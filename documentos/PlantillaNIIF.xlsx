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1a516d432b37f/1. Documentos 2025/Coopsergaleras/Taxonomías/Anuales/"/>
    </mc:Choice>
  </mc:AlternateContent>
  <xr:revisionPtr revIDLastSave="33" documentId="13_ncr:1_{BEF328D2-F598-48FB-9BB5-EF55E137BF58}" xr6:coauthVersionLast="47" xr6:coauthVersionMax="47" xr10:uidLastSave="{56356952-4A32-4F90-8D36-24F68E58790F}"/>
  <bookViews>
    <workbookView xWindow="1950" yWindow="1950" windowWidth="29010" windowHeight="15345" activeTab="1" xr2:uid="{00000000-000D-0000-FFFF-FFFF00000000}"/>
  </bookViews>
  <sheets>
    <sheet name="Consolidado" sheetId="4" r:id="rId1"/>
    <sheet name="AAA" sheetId="5" r:id="rId2"/>
  </sheets>
  <definedNames>
    <definedName name="_xlnm._FilterDatabase" localSheetId="1" hidden="1">AAA!$A$1:$E$3735</definedName>
    <definedName name="_xlnm._FilterDatabase" localSheetId="0" hidden="1">Consolidado!$A$1:$E$3735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50" i="5" l="1"/>
  <c r="F3749" i="5"/>
  <c r="E3751" i="5"/>
  <c r="D3751" i="5"/>
  <c r="C3751" i="5"/>
  <c r="F3751" i="5" s="1"/>
  <c r="E227" i="4"/>
  <c r="E227" i="5" s="1"/>
  <c r="E1446" i="5"/>
  <c r="E1447" i="5"/>
  <c r="E3499" i="5"/>
  <c r="E3500" i="5"/>
  <c r="E3502" i="5"/>
  <c r="E3503" i="5"/>
  <c r="E3504" i="5"/>
  <c r="E3505" i="5"/>
  <c r="E3506" i="5"/>
  <c r="E3507" i="5"/>
  <c r="E3509" i="5"/>
  <c r="E3510" i="5"/>
  <c r="E3511" i="5"/>
  <c r="E3512" i="5"/>
  <c r="E3513" i="5"/>
  <c r="E3514" i="5"/>
  <c r="E3515" i="5"/>
  <c r="E3516" i="5"/>
  <c r="E3518" i="5"/>
  <c r="E3519" i="5"/>
  <c r="E3521" i="5"/>
  <c r="E3522" i="5"/>
  <c r="E3523" i="5"/>
  <c r="E3524" i="5"/>
  <c r="E3525" i="5"/>
  <c r="E3527" i="5"/>
  <c r="E3528" i="5"/>
  <c r="E3530" i="5"/>
  <c r="E3531" i="5"/>
  <c r="E3532" i="5"/>
  <c r="E3533" i="5"/>
  <c r="E3534" i="5"/>
  <c r="E3535" i="5"/>
  <c r="E3537" i="5"/>
  <c r="E3538" i="5"/>
  <c r="E3539" i="5"/>
  <c r="E3540" i="5"/>
  <c r="E3541" i="5"/>
  <c r="E3543" i="5"/>
  <c r="E3544" i="5"/>
  <c r="E3545" i="5"/>
  <c r="E3546" i="5"/>
  <c r="E3548" i="5"/>
  <c r="E3550" i="5"/>
  <c r="E3551" i="5"/>
  <c r="E3552" i="5"/>
  <c r="E3553" i="5"/>
  <c r="E3554" i="5"/>
  <c r="E3555" i="5"/>
  <c r="E3556" i="5"/>
  <c r="E3557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6" i="5"/>
  <c r="E3577" i="5"/>
  <c r="E3579" i="5"/>
  <c r="E3580" i="5"/>
  <c r="E3581" i="5"/>
  <c r="E3582" i="5"/>
  <c r="E3584" i="5"/>
  <c r="E3585" i="5"/>
  <c r="E3587" i="5"/>
  <c r="E3588" i="5"/>
  <c r="E3590" i="5"/>
  <c r="E3591" i="5"/>
  <c r="E3593" i="5"/>
  <c r="E3594" i="5"/>
  <c r="E3596" i="5"/>
  <c r="E3597" i="5"/>
  <c r="E3598" i="5"/>
  <c r="E3599" i="5"/>
  <c r="E3600" i="5"/>
  <c r="E3601" i="5"/>
  <c r="E3602" i="5"/>
  <c r="E3603" i="5"/>
  <c r="E3605" i="5"/>
  <c r="E3606" i="5"/>
  <c r="E3607" i="5"/>
  <c r="E3608" i="5"/>
  <c r="E3609" i="5"/>
  <c r="E3610" i="5"/>
  <c r="E3611" i="5"/>
  <c r="E3613" i="5"/>
  <c r="E3614" i="5"/>
  <c r="E3615" i="5"/>
  <c r="E3616" i="5"/>
  <c r="E3617" i="5"/>
  <c r="E3618" i="5"/>
  <c r="E3619" i="5"/>
  <c r="E3620" i="5"/>
  <c r="E3622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3" i="5"/>
  <c r="E3644" i="5"/>
  <c r="E3645" i="5"/>
  <c r="E3646" i="5"/>
  <c r="E3647" i="5"/>
  <c r="E3649" i="5"/>
  <c r="E3650" i="5"/>
  <c r="E3651" i="5"/>
  <c r="E3652" i="5"/>
  <c r="E3653" i="5"/>
  <c r="E3654" i="5"/>
  <c r="E3655" i="5"/>
  <c r="E3656" i="5"/>
  <c r="E3658" i="5"/>
  <c r="E3659" i="5"/>
  <c r="E3661" i="5"/>
  <c r="E3662" i="5"/>
  <c r="E3663" i="5"/>
  <c r="E3664" i="5"/>
  <c r="E3665" i="5"/>
  <c r="E3666" i="5"/>
  <c r="E3668" i="5"/>
  <c r="E3669" i="5"/>
  <c r="E3671" i="5"/>
  <c r="E3672" i="5"/>
  <c r="E3673" i="5"/>
  <c r="E3675" i="5"/>
  <c r="E3676" i="5"/>
  <c r="E3677" i="5"/>
  <c r="E3678" i="5"/>
  <c r="E3679" i="5"/>
  <c r="E3680" i="5"/>
  <c r="E3682" i="5"/>
  <c r="E3683" i="5"/>
  <c r="E3684" i="5"/>
  <c r="E3685" i="5"/>
  <c r="E3686" i="5"/>
  <c r="E3688" i="5"/>
  <c r="E3689" i="5"/>
  <c r="E3690" i="5"/>
  <c r="E3691" i="5"/>
  <c r="E3692" i="5"/>
  <c r="E3693" i="5"/>
  <c r="E3695" i="5"/>
  <c r="E3697" i="5"/>
  <c r="E3699" i="5"/>
  <c r="E3700" i="5"/>
  <c r="E3701" i="5"/>
  <c r="E3702" i="5"/>
  <c r="E3703" i="5"/>
  <c r="E3704" i="5"/>
  <c r="E3706" i="5"/>
  <c r="E3707" i="5"/>
  <c r="E3709" i="5"/>
  <c r="E3710" i="5"/>
  <c r="E3711" i="5"/>
  <c r="E3712" i="5"/>
  <c r="E3713" i="5"/>
  <c r="E3714" i="5"/>
  <c r="E3715" i="5"/>
  <c r="E3716" i="5"/>
  <c r="E3717" i="5"/>
  <c r="E3719" i="5"/>
  <c r="E3720" i="5"/>
  <c r="E3721" i="5"/>
  <c r="E3722" i="5"/>
  <c r="E3724" i="5"/>
  <c r="E3726" i="5"/>
  <c r="E3727" i="5"/>
  <c r="E3728" i="5"/>
  <c r="E3729" i="5"/>
  <c r="E3730" i="5"/>
  <c r="E3731" i="5"/>
  <c r="E3732" i="5"/>
  <c r="E3733" i="5"/>
  <c r="E3734" i="5"/>
  <c r="E3735" i="5"/>
  <c r="D1446" i="5"/>
  <c r="D1447" i="5"/>
  <c r="D3499" i="5"/>
  <c r="D3500" i="5"/>
  <c r="D3502" i="5"/>
  <c r="D3503" i="5"/>
  <c r="D3504" i="5"/>
  <c r="D3505" i="5"/>
  <c r="D3506" i="5"/>
  <c r="D3507" i="5"/>
  <c r="D3509" i="5"/>
  <c r="D3510" i="5"/>
  <c r="D3511" i="5"/>
  <c r="D3512" i="5"/>
  <c r="D3513" i="5"/>
  <c r="D3514" i="5"/>
  <c r="D3515" i="5"/>
  <c r="D3516" i="5"/>
  <c r="D3518" i="5"/>
  <c r="D3519" i="5"/>
  <c r="D3521" i="5"/>
  <c r="D3522" i="5"/>
  <c r="D3523" i="5"/>
  <c r="D3524" i="5"/>
  <c r="D3525" i="5"/>
  <c r="D3527" i="5"/>
  <c r="D3528" i="5"/>
  <c r="D3530" i="5"/>
  <c r="D3531" i="5"/>
  <c r="D3532" i="5"/>
  <c r="D3533" i="5"/>
  <c r="D3534" i="5"/>
  <c r="D3535" i="5"/>
  <c r="D3537" i="5"/>
  <c r="D3538" i="5"/>
  <c r="D3539" i="5"/>
  <c r="D3540" i="5"/>
  <c r="D3541" i="5"/>
  <c r="D3543" i="5"/>
  <c r="D3544" i="5"/>
  <c r="D3545" i="5"/>
  <c r="D3546" i="5"/>
  <c r="D3548" i="5"/>
  <c r="D3550" i="5"/>
  <c r="D3551" i="5"/>
  <c r="D3552" i="5"/>
  <c r="D3553" i="5"/>
  <c r="D3554" i="5"/>
  <c r="D3555" i="5"/>
  <c r="D3556" i="5"/>
  <c r="D3557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6" i="5"/>
  <c r="D3577" i="5"/>
  <c r="D3579" i="5"/>
  <c r="D3580" i="5"/>
  <c r="D3581" i="5"/>
  <c r="D3582" i="5"/>
  <c r="D3584" i="5"/>
  <c r="D3585" i="5"/>
  <c r="D3587" i="5"/>
  <c r="D3588" i="5"/>
  <c r="D3590" i="5"/>
  <c r="D3591" i="5"/>
  <c r="D3593" i="5"/>
  <c r="D3594" i="5"/>
  <c r="D3596" i="5"/>
  <c r="D3597" i="5"/>
  <c r="D3598" i="5"/>
  <c r="D3599" i="5"/>
  <c r="D3600" i="5"/>
  <c r="D3601" i="5"/>
  <c r="D3602" i="5"/>
  <c r="D3603" i="5"/>
  <c r="D3605" i="5"/>
  <c r="D3606" i="5"/>
  <c r="D3607" i="5"/>
  <c r="D3608" i="5"/>
  <c r="D3609" i="5"/>
  <c r="D3610" i="5"/>
  <c r="D3611" i="5"/>
  <c r="D3613" i="5"/>
  <c r="D3614" i="5"/>
  <c r="D3615" i="5"/>
  <c r="D3616" i="5"/>
  <c r="D3617" i="5"/>
  <c r="D3618" i="5"/>
  <c r="D3619" i="5"/>
  <c r="D3620" i="5"/>
  <c r="D3622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3" i="5"/>
  <c r="D3644" i="5"/>
  <c r="D3645" i="5"/>
  <c r="D3646" i="5"/>
  <c r="D3647" i="5"/>
  <c r="D3649" i="5"/>
  <c r="D3650" i="5"/>
  <c r="D3651" i="5"/>
  <c r="D3652" i="5"/>
  <c r="D3653" i="5"/>
  <c r="D3654" i="5"/>
  <c r="D3655" i="5"/>
  <c r="D3656" i="5"/>
  <c r="D3658" i="5"/>
  <c r="D3659" i="5"/>
  <c r="D3661" i="5"/>
  <c r="D3662" i="5"/>
  <c r="D3663" i="5"/>
  <c r="D3664" i="5"/>
  <c r="D3665" i="5"/>
  <c r="D3666" i="5"/>
  <c r="D3668" i="5"/>
  <c r="D3669" i="5"/>
  <c r="D3671" i="5"/>
  <c r="D3672" i="5"/>
  <c r="D3673" i="5"/>
  <c r="D3675" i="5"/>
  <c r="D3676" i="5"/>
  <c r="D3677" i="5"/>
  <c r="D3678" i="5"/>
  <c r="D3679" i="5"/>
  <c r="D3680" i="5"/>
  <c r="D3682" i="5"/>
  <c r="D3683" i="5"/>
  <c r="D3684" i="5"/>
  <c r="D3685" i="5"/>
  <c r="D3686" i="5"/>
  <c r="D3688" i="5"/>
  <c r="D3689" i="5"/>
  <c r="D3690" i="5"/>
  <c r="D3691" i="5"/>
  <c r="D3692" i="5"/>
  <c r="D3693" i="5"/>
  <c r="D3695" i="5"/>
  <c r="D3697" i="5"/>
  <c r="D3699" i="5"/>
  <c r="D3700" i="5"/>
  <c r="D3701" i="5"/>
  <c r="D3702" i="5"/>
  <c r="D3703" i="5"/>
  <c r="D3704" i="5"/>
  <c r="D3706" i="5"/>
  <c r="D3707" i="5"/>
  <c r="D3709" i="5"/>
  <c r="D3710" i="5"/>
  <c r="D3711" i="5"/>
  <c r="D3712" i="5"/>
  <c r="D3713" i="5"/>
  <c r="D3714" i="5"/>
  <c r="D3715" i="5"/>
  <c r="D3716" i="5"/>
  <c r="D3717" i="5"/>
  <c r="D3719" i="5"/>
  <c r="D3720" i="5"/>
  <c r="D3721" i="5"/>
  <c r="D3722" i="5"/>
  <c r="D3724" i="5"/>
  <c r="D3726" i="5"/>
  <c r="D3727" i="5"/>
  <c r="D3728" i="5"/>
  <c r="D3729" i="5"/>
  <c r="D3730" i="5"/>
  <c r="D3731" i="5"/>
  <c r="D3732" i="5"/>
  <c r="D3733" i="5"/>
  <c r="D3734" i="5"/>
  <c r="D3735" i="5"/>
  <c r="C1446" i="5"/>
  <c r="C1447" i="5"/>
  <c r="C3499" i="5"/>
  <c r="C3500" i="5"/>
  <c r="C3502" i="5"/>
  <c r="C3503" i="5"/>
  <c r="C3504" i="5"/>
  <c r="C3505" i="5"/>
  <c r="C3506" i="5"/>
  <c r="C3507" i="5"/>
  <c r="C3509" i="5"/>
  <c r="C3510" i="5"/>
  <c r="C3511" i="5"/>
  <c r="C3512" i="5"/>
  <c r="C3513" i="5"/>
  <c r="C3514" i="5"/>
  <c r="C3515" i="5"/>
  <c r="C3516" i="5"/>
  <c r="C3518" i="5"/>
  <c r="C3519" i="5"/>
  <c r="C3521" i="5"/>
  <c r="C3522" i="5"/>
  <c r="C3523" i="5"/>
  <c r="C3524" i="5"/>
  <c r="C3525" i="5"/>
  <c r="C3527" i="5"/>
  <c r="C3528" i="5"/>
  <c r="C3530" i="5"/>
  <c r="C3531" i="5"/>
  <c r="C3532" i="5"/>
  <c r="C3533" i="5"/>
  <c r="C3534" i="5"/>
  <c r="C3535" i="5"/>
  <c r="C3537" i="5"/>
  <c r="C3538" i="5"/>
  <c r="C3539" i="5"/>
  <c r="C3540" i="5"/>
  <c r="C3541" i="5"/>
  <c r="C3543" i="5"/>
  <c r="C3544" i="5"/>
  <c r="C3545" i="5"/>
  <c r="C3546" i="5"/>
  <c r="C3548" i="5"/>
  <c r="C3550" i="5"/>
  <c r="C3551" i="5"/>
  <c r="C3552" i="5"/>
  <c r="C3553" i="5"/>
  <c r="C3554" i="5"/>
  <c r="C3555" i="5"/>
  <c r="C3556" i="5"/>
  <c r="C3557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6" i="5"/>
  <c r="C3577" i="5"/>
  <c r="C3579" i="5"/>
  <c r="C3580" i="5"/>
  <c r="C3581" i="5"/>
  <c r="C3582" i="5"/>
  <c r="C3584" i="5"/>
  <c r="C3585" i="5"/>
  <c r="C3587" i="5"/>
  <c r="C3588" i="5"/>
  <c r="C3590" i="5"/>
  <c r="C3591" i="5"/>
  <c r="C3593" i="5"/>
  <c r="C3594" i="5"/>
  <c r="C3596" i="5"/>
  <c r="C3597" i="5"/>
  <c r="C3598" i="5"/>
  <c r="C3599" i="5"/>
  <c r="C3600" i="5"/>
  <c r="C3601" i="5"/>
  <c r="C3602" i="5"/>
  <c r="C3603" i="5"/>
  <c r="C3605" i="5"/>
  <c r="C3606" i="5"/>
  <c r="C3607" i="5"/>
  <c r="C3608" i="5"/>
  <c r="C3609" i="5"/>
  <c r="C3610" i="5"/>
  <c r="C3611" i="5"/>
  <c r="C3613" i="5"/>
  <c r="C3614" i="5"/>
  <c r="C3615" i="5"/>
  <c r="C3616" i="5"/>
  <c r="C3617" i="5"/>
  <c r="C3618" i="5"/>
  <c r="C3619" i="5"/>
  <c r="C3620" i="5"/>
  <c r="C3622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3" i="5"/>
  <c r="C3644" i="5"/>
  <c r="C3645" i="5"/>
  <c r="C3646" i="5"/>
  <c r="C3647" i="5"/>
  <c r="C3649" i="5"/>
  <c r="C3650" i="5"/>
  <c r="C3651" i="5"/>
  <c r="C3652" i="5"/>
  <c r="C3653" i="5"/>
  <c r="C3654" i="5"/>
  <c r="C3655" i="5"/>
  <c r="C3656" i="5"/>
  <c r="C3658" i="5"/>
  <c r="C3659" i="5"/>
  <c r="C3661" i="5"/>
  <c r="C3662" i="5"/>
  <c r="C3663" i="5"/>
  <c r="C3664" i="5"/>
  <c r="C3665" i="5"/>
  <c r="C3666" i="5"/>
  <c r="C3668" i="5"/>
  <c r="C3669" i="5"/>
  <c r="C3671" i="5"/>
  <c r="C3672" i="5"/>
  <c r="C3673" i="5"/>
  <c r="C3675" i="5"/>
  <c r="C3676" i="5"/>
  <c r="C3677" i="5"/>
  <c r="C3678" i="5"/>
  <c r="C3679" i="5"/>
  <c r="C3680" i="5"/>
  <c r="C3682" i="5"/>
  <c r="C3683" i="5"/>
  <c r="C3684" i="5"/>
  <c r="C3685" i="5"/>
  <c r="C3686" i="5"/>
  <c r="C3688" i="5"/>
  <c r="C3689" i="5"/>
  <c r="C3690" i="5"/>
  <c r="C3691" i="5"/>
  <c r="C3692" i="5"/>
  <c r="C3693" i="5"/>
  <c r="C3695" i="5"/>
  <c r="C3697" i="5"/>
  <c r="C3699" i="5"/>
  <c r="C3700" i="5"/>
  <c r="C3701" i="5"/>
  <c r="C3702" i="5"/>
  <c r="C3703" i="5"/>
  <c r="C3704" i="5"/>
  <c r="C3706" i="5"/>
  <c r="C3707" i="5"/>
  <c r="C3709" i="5"/>
  <c r="C3710" i="5"/>
  <c r="C3711" i="5"/>
  <c r="C3712" i="5"/>
  <c r="C3713" i="5"/>
  <c r="C3714" i="5"/>
  <c r="C3715" i="5"/>
  <c r="C3716" i="5"/>
  <c r="C3717" i="5"/>
  <c r="C3719" i="5"/>
  <c r="C3720" i="5"/>
  <c r="C3721" i="5"/>
  <c r="C3722" i="5"/>
  <c r="C3724" i="5"/>
  <c r="C3726" i="5"/>
  <c r="C3727" i="5"/>
  <c r="C3728" i="5"/>
  <c r="C3729" i="5"/>
  <c r="C3730" i="5"/>
  <c r="C3731" i="5"/>
  <c r="C3732" i="5"/>
  <c r="C3733" i="5"/>
  <c r="C3734" i="5"/>
  <c r="C3735" i="5"/>
  <c r="C227" i="5" l="1"/>
  <c r="D227" i="5"/>
  <c r="C920" i="4"/>
  <c r="C4" i="4" l="1"/>
  <c r="F3645" i="5"/>
  <c r="F3636" i="5"/>
  <c r="F3628" i="5"/>
  <c r="F3600" i="5"/>
  <c r="F3522" i="5"/>
  <c r="F3512" i="5"/>
  <c r="D1776" i="4"/>
  <c r="C1776" i="4"/>
  <c r="D225" i="4"/>
  <c r="C225" i="4"/>
  <c r="E3725" i="4"/>
  <c r="D3725" i="4"/>
  <c r="C3725" i="4"/>
  <c r="E3723" i="4"/>
  <c r="D3723" i="4"/>
  <c r="C3723" i="4"/>
  <c r="E3718" i="4"/>
  <c r="D3718" i="4"/>
  <c r="C3718" i="4"/>
  <c r="E3708" i="4"/>
  <c r="D3708" i="4"/>
  <c r="C3708" i="4"/>
  <c r="E3705" i="4"/>
  <c r="D3705" i="4"/>
  <c r="C3705" i="4"/>
  <c r="E3698" i="4"/>
  <c r="D3698" i="4"/>
  <c r="C3698" i="4"/>
  <c r="E3696" i="4"/>
  <c r="D3696" i="4"/>
  <c r="C3696" i="4"/>
  <c r="E3694" i="4"/>
  <c r="D3694" i="4"/>
  <c r="C3694" i="4"/>
  <c r="E3687" i="4"/>
  <c r="D3687" i="4"/>
  <c r="C3687" i="4"/>
  <c r="E3681" i="4"/>
  <c r="D3681" i="4"/>
  <c r="C3681" i="4"/>
  <c r="E3674" i="4"/>
  <c r="D3674" i="4"/>
  <c r="C3674" i="4"/>
  <c r="E3670" i="4"/>
  <c r="D3670" i="4"/>
  <c r="C3670" i="4"/>
  <c r="E3667" i="4"/>
  <c r="D3667" i="4"/>
  <c r="C3667" i="4"/>
  <c r="E3660" i="4"/>
  <c r="D3660" i="4"/>
  <c r="C3660" i="4"/>
  <c r="E3657" i="4"/>
  <c r="D3657" i="4"/>
  <c r="C3657" i="4"/>
  <c r="E3648" i="4"/>
  <c r="D3648" i="4"/>
  <c r="C3648" i="4"/>
  <c r="E3642" i="4"/>
  <c r="D3642" i="4"/>
  <c r="C3642" i="4"/>
  <c r="E3623" i="4"/>
  <c r="D3623" i="4"/>
  <c r="C3623" i="4"/>
  <c r="E3621" i="4"/>
  <c r="D3621" i="4"/>
  <c r="C3621" i="4"/>
  <c r="C3616" i="4"/>
  <c r="E3612" i="4"/>
  <c r="D3612" i="4"/>
  <c r="C3612" i="4"/>
  <c r="E3604" i="4"/>
  <c r="D3604" i="4"/>
  <c r="C3604" i="4"/>
  <c r="E3595" i="4"/>
  <c r="D3595" i="4"/>
  <c r="C3595" i="4"/>
  <c r="E3592" i="4"/>
  <c r="D3592" i="4"/>
  <c r="C3592" i="4"/>
  <c r="E3589" i="4"/>
  <c r="D3589" i="4"/>
  <c r="C3589" i="4"/>
  <c r="E3586" i="4"/>
  <c r="D3586" i="4"/>
  <c r="C3586" i="4"/>
  <c r="E3583" i="4"/>
  <c r="D3583" i="4"/>
  <c r="C3583" i="4"/>
  <c r="E3578" i="4"/>
  <c r="D3578" i="4"/>
  <c r="C3578" i="4"/>
  <c r="E3575" i="4"/>
  <c r="D3575" i="4"/>
  <c r="C3575" i="4"/>
  <c r="E3558" i="4"/>
  <c r="D3558" i="4"/>
  <c r="C3558" i="4"/>
  <c r="E3549" i="4"/>
  <c r="D3549" i="4"/>
  <c r="C3549" i="4"/>
  <c r="E3547" i="4"/>
  <c r="D3547" i="4"/>
  <c r="C3547" i="4"/>
  <c r="E3542" i="4"/>
  <c r="D3542" i="4"/>
  <c r="C3542" i="4"/>
  <c r="E3536" i="4"/>
  <c r="D3536" i="4"/>
  <c r="C3536" i="4"/>
  <c r="E3529" i="4"/>
  <c r="D3529" i="4"/>
  <c r="C3529" i="4"/>
  <c r="E3526" i="4"/>
  <c r="D3526" i="4"/>
  <c r="C3526" i="4"/>
  <c r="E3520" i="4"/>
  <c r="D3520" i="4"/>
  <c r="C3520" i="4"/>
  <c r="E3517" i="4"/>
  <c r="D3517" i="4"/>
  <c r="C3517" i="4"/>
  <c r="E3508" i="4"/>
  <c r="D3508" i="4"/>
  <c r="C3508" i="4"/>
  <c r="E3501" i="4"/>
  <c r="D3501" i="4"/>
  <c r="C3501" i="4"/>
  <c r="E3498" i="4"/>
  <c r="E3497" i="4"/>
  <c r="E3496" i="4"/>
  <c r="E3495" i="4"/>
  <c r="E3494" i="4"/>
  <c r="E3493" i="4"/>
  <c r="E3492" i="4"/>
  <c r="E3491" i="4"/>
  <c r="E3490" i="4"/>
  <c r="E3489" i="4"/>
  <c r="E3488" i="4"/>
  <c r="D3487" i="4"/>
  <c r="C3487" i="4"/>
  <c r="E3486" i="4"/>
  <c r="E3485" i="4"/>
  <c r="E3484" i="4"/>
  <c r="E3483" i="4"/>
  <c r="E3482" i="4"/>
  <c r="E3481" i="4"/>
  <c r="E3480" i="4"/>
  <c r="E3479" i="4"/>
  <c r="E3478" i="4"/>
  <c r="E3477" i="4"/>
  <c r="E3476" i="4"/>
  <c r="D3475" i="4"/>
  <c r="C3475" i="4"/>
  <c r="E3474" i="4"/>
  <c r="E3473" i="4"/>
  <c r="E3472" i="4"/>
  <c r="E3471" i="4"/>
  <c r="E3470" i="4"/>
  <c r="E3469" i="4"/>
  <c r="E3468" i="4"/>
  <c r="E3467" i="4"/>
  <c r="E3466" i="4"/>
  <c r="E3465" i="4"/>
  <c r="E3464" i="4"/>
  <c r="D3463" i="4"/>
  <c r="C3463" i="4"/>
  <c r="E3462" i="4"/>
  <c r="E3461" i="4"/>
  <c r="E3460" i="4"/>
  <c r="E3459" i="4"/>
  <c r="E3458" i="4"/>
  <c r="E3457" i="4"/>
  <c r="E3456" i="4"/>
  <c r="E3455" i="4"/>
  <c r="E3454" i="4"/>
  <c r="E3453" i="4"/>
  <c r="E3452" i="4"/>
  <c r="D3451" i="4"/>
  <c r="C3451" i="4"/>
  <c r="E3450" i="4"/>
  <c r="E3449" i="4"/>
  <c r="E3448" i="4"/>
  <c r="E3447" i="4"/>
  <c r="E3446" i="4"/>
  <c r="E3445" i="4"/>
  <c r="E3444" i="4"/>
  <c r="E3443" i="4"/>
  <c r="E3442" i="4"/>
  <c r="E3441" i="4"/>
  <c r="E3440" i="4"/>
  <c r="D3439" i="4"/>
  <c r="C3439" i="4"/>
  <c r="E3438" i="4"/>
  <c r="E3437" i="4"/>
  <c r="E3436" i="4"/>
  <c r="E3435" i="4"/>
  <c r="E3434" i="4"/>
  <c r="E3433" i="4"/>
  <c r="E3432" i="4"/>
  <c r="E3431" i="4"/>
  <c r="E3430" i="4"/>
  <c r="E3429" i="4"/>
  <c r="E3428" i="4"/>
  <c r="D3427" i="4"/>
  <c r="C3427" i="4"/>
  <c r="E3426" i="4"/>
  <c r="E3425" i="4"/>
  <c r="E3424" i="4"/>
  <c r="E3423" i="4"/>
  <c r="E3422" i="4"/>
  <c r="E3421" i="4"/>
  <c r="E3420" i="4"/>
  <c r="E3419" i="4"/>
  <c r="E3418" i="4"/>
  <c r="E3417" i="4"/>
  <c r="E3416" i="4"/>
  <c r="D3415" i="4"/>
  <c r="C3415" i="4"/>
  <c r="E3414" i="4"/>
  <c r="E3413" i="4"/>
  <c r="E3412" i="4"/>
  <c r="E3411" i="4"/>
  <c r="E3410" i="4"/>
  <c r="E3409" i="4"/>
  <c r="E3408" i="4"/>
  <c r="E3407" i="4"/>
  <c r="E3406" i="4"/>
  <c r="E3405" i="4"/>
  <c r="E3404" i="4"/>
  <c r="D3403" i="4"/>
  <c r="C3403" i="4"/>
  <c r="E3402" i="4"/>
  <c r="E3401" i="4"/>
  <c r="E3400" i="4"/>
  <c r="E3399" i="4"/>
  <c r="E3398" i="4"/>
  <c r="E3397" i="4"/>
  <c r="E3396" i="4"/>
  <c r="E3395" i="4"/>
  <c r="E3394" i="4"/>
  <c r="E3393" i="4"/>
  <c r="E3392" i="4"/>
  <c r="D3391" i="4"/>
  <c r="C3391" i="4"/>
  <c r="E3390" i="4"/>
  <c r="E3389" i="4"/>
  <c r="E3388" i="4"/>
  <c r="E3387" i="4"/>
  <c r="E3386" i="4"/>
  <c r="E3385" i="4"/>
  <c r="E3384" i="4"/>
  <c r="E3383" i="4"/>
  <c r="E3382" i="4"/>
  <c r="E3381" i="4"/>
  <c r="E3380" i="4"/>
  <c r="D3379" i="4"/>
  <c r="C3379" i="4"/>
  <c r="E3377" i="4"/>
  <c r="E3376" i="4"/>
  <c r="E3375" i="4"/>
  <c r="E3374" i="4"/>
  <c r="E3373" i="4"/>
  <c r="E3372" i="4"/>
  <c r="E3371" i="4"/>
  <c r="E3370" i="4"/>
  <c r="E3369" i="4"/>
  <c r="E3368" i="4"/>
  <c r="E3367" i="4"/>
  <c r="D3366" i="4"/>
  <c r="C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D3353" i="4"/>
  <c r="C3353" i="4"/>
  <c r="E3352" i="4"/>
  <c r="E3351" i="4"/>
  <c r="E3350" i="4"/>
  <c r="E3349" i="4"/>
  <c r="E3348" i="4"/>
  <c r="E3347" i="4"/>
  <c r="E3346" i="4"/>
  <c r="E3345" i="4"/>
  <c r="E3344" i="4"/>
  <c r="E3343" i="4"/>
  <c r="E3342" i="4"/>
  <c r="D3341" i="4"/>
  <c r="C3341" i="4"/>
  <c r="E3339" i="4"/>
  <c r="E3338" i="4"/>
  <c r="E3337" i="4"/>
  <c r="E3336" i="4"/>
  <c r="E3335" i="4"/>
  <c r="E3334" i="4"/>
  <c r="E3333" i="4"/>
  <c r="E3332" i="4"/>
  <c r="E3331" i="4"/>
  <c r="E3330" i="4"/>
  <c r="E3329" i="4"/>
  <c r="D3328" i="4"/>
  <c r="C3328" i="4"/>
  <c r="E3327" i="4"/>
  <c r="E3326" i="4"/>
  <c r="E3325" i="4"/>
  <c r="E3324" i="4"/>
  <c r="E3323" i="4"/>
  <c r="E3322" i="4"/>
  <c r="E3321" i="4"/>
  <c r="E3320" i="4"/>
  <c r="E3319" i="4"/>
  <c r="E3318" i="4"/>
  <c r="E3317" i="4"/>
  <c r="D3316" i="4"/>
  <c r="C3316" i="4"/>
  <c r="E3315" i="4"/>
  <c r="E3314" i="4"/>
  <c r="E3313" i="4"/>
  <c r="E3312" i="4"/>
  <c r="E3311" i="4"/>
  <c r="E3310" i="4"/>
  <c r="E3309" i="4"/>
  <c r="E3308" i="4"/>
  <c r="E3307" i="4"/>
  <c r="E3306" i="4"/>
  <c r="E3305" i="4"/>
  <c r="D3304" i="4"/>
  <c r="C3304" i="4"/>
  <c r="E2586" i="4" s="1"/>
  <c r="E3303" i="4"/>
  <c r="E3302" i="4"/>
  <c r="E3301" i="4"/>
  <c r="E3300" i="4"/>
  <c r="E3299" i="4"/>
  <c r="E3298" i="4"/>
  <c r="E3297" i="4"/>
  <c r="E3296" i="4"/>
  <c r="E3295" i="4"/>
  <c r="E3294" i="4"/>
  <c r="E3293" i="4"/>
  <c r="D3292" i="4"/>
  <c r="C3292" i="4"/>
  <c r="E3291" i="4"/>
  <c r="E3290" i="4"/>
  <c r="E3289" i="4"/>
  <c r="E3288" i="4"/>
  <c r="E3287" i="4"/>
  <c r="E3286" i="4"/>
  <c r="E3285" i="4"/>
  <c r="E3284" i="4"/>
  <c r="E3283" i="4"/>
  <c r="E3282" i="4"/>
  <c r="E3281" i="4"/>
  <c r="D3280" i="4"/>
  <c r="C3280" i="4"/>
  <c r="E2584" i="4" s="1"/>
  <c r="E3279" i="4"/>
  <c r="E3278" i="4"/>
  <c r="E3277" i="4"/>
  <c r="E3276" i="4"/>
  <c r="E3275" i="4"/>
  <c r="E3274" i="4"/>
  <c r="E3273" i="4"/>
  <c r="E3272" i="4"/>
  <c r="E3271" i="4"/>
  <c r="E3270" i="4"/>
  <c r="E3269" i="4"/>
  <c r="D3268" i="4"/>
  <c r="C3268" i="4"/>
  <c r="E3266" i="4"/>
  <c r="E3265" i="4"/>
  <c r="E3264" i="4"/>
  <c r="E3263" i="4"/>
  <c r="E3262" i="4"/>
  <c r="E3261" i="4"/>
  <c r="E3260" i="4"/>
  <c r="E3259" i="4"/>
  <c r="E3258" i="4"/>
  <c r="E3257" i="4"/>
  <c r="E3256" i="4"/>
  <c r="D3255" i="4"/>
  <c r="C3255" i="4"/>
  <c r="E3254" i="4"/>
  <c r="E3253" i="4"/>
  <c r="E3252" i="4"/>
  <c r="E3251" i="4"/>
  <c r="E3250" i="4"/>
  <c r="E3249" i="4"/>
  <c r="E3248" i="4"/>
  <c r="E3247" i="4"/>
  <c r="E3246" i="4"/>
  <c r="E3245" i="4"/>
  <c r="E3244" i="4"/>
  <c r="D3243" i="4"/>
  <c r="C3243" i="4"/>
  <c r="E3242" i="4"/>
  <c r="E3241" i="4"/>
  <c r="E3240" i="4"/>
  <c r="E3239" i="4"/>
  <c r="E3238" i="4"/>
  <c r="E3237" i="4"/>
  <c r="E3236" i="4"/>
  <c r="E3235" i="4"/>
  <c r="E3234" i="4"/>
  <c r="E3233" i="4"/>
  <c r="E3232" i="4"/>
  <c r="D3231" i="4"/>
  <c r="C3231" i="4"/>
  <c r="E3230" i="4"/>
  <c r="E3229" i="4"/>
  <c r="E3228" i="4"/>
  <c r="E3227" i="4"/>
  <c r="E3226" i="4"/>
  <c r="E3225" i="4"/>
  <c r="E3224" i="4"/>
  <c r="E3223" i="4"/>
  <c r="E3222" i="4"/>
  <c r="E3221" i="4"/>
  <c r="E3220" i="4"/>
  <c r="D3219" i="4"/>
  <c r="C3219" i="4"/>
  <c r="E3218" i="4"/>
  <c r="E3217" i="4"/>
  <c r="E3216" i="4"/>
  <c r="E3215" i="4"/>
  <c r="E3214" i="4"/>
  <c r="E3213" i="4"/>
  <c r="E3212" i="4"/>
  <c r="E3211" i="4"/>
  <c r="E3210" i="4"/>
  <c r="E3209" i="4"/>
  <c r="E3208" i="4"/>
  <c r="D3207" i="4"/>
  <c r="C3207" i="4"/>
  <c r="E3205" i="4"/>
  <c r="E3204" i="4"/>
  <c r="E3203" i="4"/>
  <c r="E3202" i="4"/>
  <c r="E3201" i="4"/>
  <c r="E3200" i="4"/>
  <c r="E3199" i="4"/>
  <c r="E3198" i="4"/>
  <c r="E3197" i="4"/>
  <c r="E3196" i="4"/>
  <c r="E3195" i="4"/>
  <c r="D3194" i="4"/>
  <c r="C3194" i="4"/>
  <c r="E3193" i="4"/>
  <c r="E3192" i="4"/>
  <c r="E3191" i="4"/>
  <c r="E3190" i="4"/>
  <c r="E3189" i="4"/>
  <c r="E3188" i="4"/>
  <c r="E3187" i="4"/>
  <c r="E3186" i="4"/>
  <c r="E3185" i="4"/>
  <c r="E3184" i="4"/>
  <c r="E3183" i="4"/>
  <c r="D3182" i="4"/>
  <c r="C3182" i="4"/>
  <c r="E3181" i="4"/>
  <c r="E3180" i="4"/>
  <c r="E3179" i="4"/>
  <c r="E3178" i="4"/>
  <c r="E3177" i="4"/>
  <c r="E3176" i="4"/>
  <c r="E3175" i="4"/>
  <c r="E3174" i="4"/>
  <c r="E3173" i="4"/>
  <c r="E3172" i="4"/>
  <c r="E3171" i="4"/>
  <c r="D3170" i="4"/>
  <c r="C3170" i="4"/>
  <c r="E3169" i="4"/>
  <c r="E3168" i="4"/>
  <c r="E3167" i="4"/>
  <c r="E3166" i="4"/>
  <c r="E3165" i="4"/>
  <c r="E3164" i="4"/>
  <c r="E3163" i="4"/>
  <c r="E3162" i="4"/>
  <c r="E3161" i="4"/>
  <c r="E3160" i="4"/>
  <c r="E3159" i="4"/>
  <c r="D3158" i="4"/>
  <c r="C3158" i="4"/>
  <c r="E3157" i="4"/>
  <c r="E3156" i="4"/>
  <c r="E3155" i="4"/>
  <c r="E3154" i="4"/>
  <c r="E3153" i="4"/>
  <c r="E3152" i="4"/>
  <c r="E3151" i="4"/>
  <c r="E3150" i="4"/>
  <c r="E3149" i="4"/>
  <c r="E3148" i="4"/>
  <c r="E3147" i="4"/>
  <c r="D3146" i="4"/>
  <c r="C3146" i="4"/>
  <c r="E3145" i="4"/>
  <c r="E3144" i="4"/>
  <c r="E3143" i="4"/>
  <c r="E3142" i="4"/>
  <c r="E3141" i="4"/>
  <c r="E3140" i="4"/>
  <c r="E3139" i="4"/>
  <c r="E3138" i="4"/>
  <c r="E3137" i="4"/>
  <c r="E3136" i="4"/>
  <c r="E3135" i="4"/>
  <c r="D3134" i="4"/>
  <c r="C3134" i="4"/>
  <c r="E3133" i="4"/>
  <c r="E3132" i="4"/>
  <c r="E3131" i="4"/>
  <c r="E3130" i="4"/>
  <c r="E3129" i="4"/>
  <c r="E3128" i="4"/>
  <c r="E3127" i="4"/>
  <c r="E3126" i="4"/>
  <c r="E3125" i="4"/>
  <c r="E3124" i="4"/>
  <c r="E3123" i="4"/>
  <c r="D3122" i="4"/>
  <c r="C3122" i="4"/>
  <c r="E3121" i="4"/>
  <c r="E3120" i="4"/>
  <c r="E3119" i="4"/>
  <c r="E3118" i="4"/>
  <c r="E3117" i="4"/>
  <c r="E3116" i="4"/>
  <c r="E3115" i="4"/>
  <c r="E3114" i="4"/>
  <c r="E3113" i="4"/>
  <c r="E3112" i="4"/>
  <c r="E3111" i="4"/>
  <c r="D3110" i="4"/>
  <c r="C3110" i="4"/>
  <c r="E3109" i="4"/>
  <c r="E3108" i="4"/>
  <c r="E3107" i="4"/>
  <c r="E3106" i="4"/>
  <c r="E3105" i="4"/>
  <c r="E3104" i="4"/>
  <c r="E3103" i="4"/>
  <c r="E3102" i="4"/>
  <c r="E3101" i="4"/>
  <c r="E3100" i="4"/>
  <c r="E3099" i="4"/>
  <c r="D3098" i="4"/>
  <c r="C3098" i="4"/>
  <c r="E3097" i="4"/>
  <c r="E3096" i="4"/>
  <c r="E3095" i="4"/>
  <c r="E3094" i="4"/>
  <c r="E3093" i="4"/>
  <c r="E3092" i="4"/>
  <c r="E3091" i="4"/>
  <c r="E3090" i="4"/>
  <c r="E3089" i="4"/>
  <c r="E3088" i="4"/>
  <c r="E3087" i="4"/>
  <c r="D3086" i="4"/>
  <c r="C3086" i="4"/>
  <c r="E3085" i="4"/>
  <c r="E3084" i="4"/>
  <c r="E3083" i="4"/>
  <c r="E3082" i="4"/>
  <c r="E3081" i="4"/>
  <c r="E3080" i="4"/>
  <c r="E3079" i="4"/>
  <c r="E3078" i="4"/>
  <c r="E3077" i="4"/>
  <c r="E3076" i="4"/>
  <c r="E3075" i="4"/>
  <c r="D3074" i="4"/>
  <c r="C3074" i="4"/>
  <c r="E3073" i="4"/>
  <c r="E3072" i="4"/>
  <c r="E3071" i="4"/>
  <c r="E3070" i="4"/>
  <c r="E3069" i="4"/>
  <c r="E3068" i="4"/>
  <c r="E3067" i="4"/>
  <c r="E3066" i="4"/>
  <c r="E3065" i="4"/>
  <c r="E3064" i="4"/>
  <c r="E3063" i="4"/>
  <c r="D3062" i="4"/>
  <c r="C3062" i="4"/>
  <c r="E3061" i="4"/>
  <c r="E3060" i="4"/>
  <c r="E3059" i="4"/>
  <c r="E3058" i="4"/>
  <c r="E3057" i="4"/>
  <c r="E3056" i="4"/>
  <c r="E3055" i="4"/>
  <c r="E3054" i="4"/>
  <c r="E3053" i="4"/>
  <c r="E3052" i="4"/>
  <c r="E3051" i="4"/>
  <c r="D3050" i="4"/>
  <c r="C3050" i="4"/>
  <c r="E3049" i="4"/>
  <c r="E3048" i="4"/>
  <c r="E3047" i="4"/>
  <c r="E3046" i="4"/>
  <c r="E3045" i="4"/>
  <c r="E3044" i="4"/>
  <c r="E3043" i="4"/>
  <c r="E3042" i="4"/>
  <c r="E3041" i="4"/>
  <c r="E3040" i="4"/>
  <c r="E3039" i="4"/>
  <c r="D3038" i="4"/>
  <c r="C3038" i="4"/>
  <c r="E3037" i="4"/>
  <c r="E3036" i="4"/>
  <c r="E3035" i="4"/>
  <c r="E3034" i="4"/>
  <c r="E3033" i="4"/>
  <c r="E3032" i="4"/>
  <c r="E3031" i="4"/>
  <c r="E3030" i="4"/>
  <c r="E3029" i="4"/>
  <c r="E3028" i="4"/>
  <c r="E3027" i="4"/>
  <c r="D3026" i="4"/>
  <c r="C3026" i="4"/>
  <c r="E3025" i="4"/>
  <c r="E3024" i="4"/>
  <c r="E3023" i="4"/>
  <c r="E3022" i="4"/>
  <c r="E3021" i="4"/>
  <c r="E3020" i="4"/>
  <c r="E3019" i="4"/>
  <c r="E3018" i="4"/>
  <c r="E3017" i="4"/>
  <c r="E3016" i="4"/>
  <c r="E3015" i="4"/>
  <c r="D3014" i="4"/>
  <c r="C3014" i="4"/>
  <c r="E3013" i="4"/>
  <c r="E3012" i="4"/>
  <c r="E3011" i="4"/>
  <c r="E3010" i="4"/>
  <c r="E3009" i="4"/>
  <c r="E3008" i="4"/>
  <c r="E3007" i="4"/>
  <c r="E3006" i="4"/>
  <c r="E3005" i="4"/>
  <c r="E3004" i="4"/>
  <c r="E3003" i="4"/>
  <c r="D3002" i="4"/>
  <c r="C3002" i="4"/>
  <c r="E3001" i="4"/>
  <c r="E3000" i="4"/>
  <c r="E2999" i="4"/>
  <c r="E2998" i="4"/>
  <c r="E2997" i="4"/>
  <c r="E2996" i="4"/>
  <c r="E2995" i="4"/>
  <c r="E2994" i="4"/>
  <c r="E2993" i="4"/>
  <c r="E2992" i="4"/>
  <c r="E2991" i="4"/>
  <c r="D2990" i="4"/>
  <c r="C2990" i="4"/>
  <c r="E2989" i="4"/>
  <c r="E2988" i="4"/>
  <c r="E2987" i="4"/>
  <c r="E2986" i="4"/>
  <c r="E2985" i="4"/>
  <c r="E2984" i="4"/>
  <c r="E2983" i="4"/>
  <c r="E2982" i="4"/>
  <c r="E2981" i="4"/>
  <c r="E2980" i="4"/>
  <c r="E2979" i="4"/>
  <c r="D2978" i="4"/>
  <c r="C2978" i="4"/>
  <c r="E2977" i="4"/>
  <c r="E2976" i="4"/>
  <c r="E2975" i="4"/>
  <c r="E2974" i="4"/>
  <c r="E2973" i="4"/>
  <c r="E2972" i="4"/>
  <c r="E2971" i="4"/>
  <c r="E2970" i="4"/>
  <c r="E2969" i="4"/>
  <c r="E2968" i="4"/>
  <c r="E2967" i="4"/>
  <c r="D2966" i="4"/>
  <c r="C2966" i="4"/>
  <c r="E2965" i="4"/>
  <c r="E2964" i="4"/>
  <c r="E2963" i="4"/>
  <c r="E2962" i="4"/>
  <c r="E2961" i="4"/>
  <c r="E2960" i="4"/>
  <c r="E2959" i="4"/>
  <c r="E2958" i="4"/>
  <c r="E2957" i="4"/>
  <c r="E2956" i="4"/>
  <c r="E2955" i="4"/>
  <c r="D2954" i="4"/>
  <c r="C2954" i="4"/>
  <c r="E2953" i="4"/>
  <c r="E2952" i="4"/>
  <c r="E2951" i="4"/>
  <c r="E2950" i="4"/>
  <c r="E2949" i="4"/>
  <c r="E2948" i="4"/>
  <c r="E2947" i="4"/>
  <c r="E2946" i="4"/>
  <c r="E2945" i="4"/>
  <c r="E2944" i="4"/>
  <c r="E2943" i="4"/>
  <c r="D2942" i="4"/>
  <c r="C2942" i="4"/>
  <c r="E2941" i="4"/>
  <c r="E2940" i="4"/>
  <c r="E2939" i="4"/>
  <c r="E2938" i="4"/>
  <c r="E2937" i="4"/>
  <c r="E2936" i="4"/>
  <c r="E2935" i="4"/>
  <c r="E2934" i="4"/>
  <c r="E2933" i="4"/>
  <c r="E2932" i="4"/>
  <c r="E2931" i="4"/>
  <c r="D2930" i="4"/>
  <c r="C2930" i="4"/>
  <c r="E2929" i="4"/>
  <c r="E2928" i="4"/>
  <c r="E2927" i="4"/>
  <c r="E2926" i="4"/>
  <c r="E2925" i="4"/>
  <c r="E2924" i="4"/>
  <c r="E2923" i="4"/>
  <c r="E2922" i="4"/>
  <c r="E2921" i="4"/>
  <c r="E2920" i="4"/>
  <c r="E2919" i="4"/>
  <c r="D2918" i="4"/>
  <c r="C2918" i="4"/>
  <c r="E2917" i="4"/>
  <c r="E2916" i="4"/>
  <c r="E2915" i="4"/>
  <c r="E2914" i="4"/>
  <c r="E2913" i="4"/>
  <c r="E2912" i="4"/>
  <c r="E2911" i="4"/>
  <c r="E2910" i="4"/>
  <c r="E2909" i="4"/>
  <c r="E2908" i="4"/>
  <c r="E2907" i="4"/>
  <c r="D2906" i="4"/>
  <c r="C2906" i="4"/>
  <c r="E2905" i="4"/>
  <c r="E2904" i="4"/>
  <c r="E2903" i="4"/>
  <c r="E2902" i="4"/>
  <c r="E2901" i="4"/>
  <c r="E2900" i="4"/>
  <c r="E2899" i="4"/>
  <c r="E2898" i="4"/>
  <c r="E2897" i="4"/>
  <c r="E2896" i="4"/>
  <c r="E2895" i="4"/>
  <c r="D2894" i="4"/>
  <c r="C2894" i="4"/>
  <c r="E2893" i="4"/>
  <c r="E2892" i="4"/>
  <c r="E2891" i="4"/>
  <c r="E2890" i="4"/>
  <c r="E2889" i="4"/>
  <c r="E2888" i="4"/>
  <c r="E2887" i="4"/>
  <c r="E2886" i="4"/>
  <c r="E2885" i="4"/>
  <c r="E2884" i="4"/>
  <c r="E2883" i="4"/>
  <c r="D2882" i="4"/>
  <c r="C2882" i="4"/>
  <c r="E2881" i="4"/>
  <c r="E2880" i="4"/>
  <c r="E2879" i="4"/>
  <c r="E2878" i="4"/>
  <c r="E2877" i="4"/>
  <c r="E2876" i="4"/>
  <c r="E2875" i="4"/>
  <c r="E2874" i="4"/>
  <c r="E2873" i="4"/>
  <c r="E2872" i="4"/>
  <c r="E2871" i="4"/>
  <c r="D2870" i="4"/>
  <c r="C2870" i="4"/>
  <c r="E2869" i="4"/>
  <c r="E2868" i="4"/>
  <c r="E2867" i="4"/>
  <c r="E2866" i="4"/>
  <c r="E2865" i="4"/>
  <c r="E2864" i="4"/>
  <c r="E2863" i="4"/>
  <c r="E2862" i="4"/>
  <c r="E2861" i="4"/>
  <c r="E2860" i="4"/>
  <c r="E2859" i="4"/>
  <c r="D2858" i="4"/>
  <c r="C2858" i="4"/>
  <c r="E2857" i="4"/>
  <c r="E2856" i="4"/>
  <c r="E2855" i="4"/>
  <c r="E2854" i="4"/>
  <c r="E2853" i="4"/>
  <c r="E2852" i="4"/>
  <c r="E2851" i="4"/>
  <c r="E2850" i="4"/>
  <c r="E2849" i="4"/>
  <c r="E2848" i="4"/>
  <c r="E2847" i="4"/>
  <c r="D2846" i="4"/>
  <c r="C2846" i="4"/>
  <c r="E2845" i="4"/>
  <c r="E2844" i="4"/>
  <c r="E2843" i="4"/>
  <c r="E2842" i="4"/>
  <c r="E2841" i="4"/>
  <c r="E2840" i="4"/>
  <c r="E2839" i="4"/>
  <c r="E2838" i="4"/>
  <c r="E2837" i="4"/>
  <c r="E2836" i="4"/>
  <c r="E2835" i="4"/>
  <c r="D2834" i="4"/>
  <c r="C2834" i="4"/>
  <c r="E2833" i="4"/>
  <c r="E2832" i="4"/>
  <c r="E2831" i="4"/>
  <c r="E2830" i="4"/>
  <c r="E2829" i="4"/>
  <c r="E2828" i="4"/>
  <c r="E2827" i="4"/>
  <c r="E2826" i="4"/>
  <c r="E2825" i="4"/>
  <c r="E2824" i="4"/>
  <c r="E2823" i="4"/>
  <c r="D2822" i="4"/>
  <c r="C2822" i="4"/>
  <c r="E2821" i="4"/>
  <c r="E2820" i="4"/>
  <c r="E2819" i="4"/>
  <c r="E2818" i="4"/>
  <c r="E2817" i="4"/>
  <c r="E2816" i="4"/>
  <c r="E2815" i="4"/>
  <c r="E2814" i="4"/>
  <c r="E2813" i="4"/>
  <c r="E2812" i="4"/>
  <c r="E2811" i="4"/>
  <c r="D2810" i="4"/>
  <c r="C2810" i="4"/>
  <c r="E2809" i="4"/>
  <c r="E2808" i="4"/>
  <c r="E2807" i="4"/>
  <c r="E2806" i="4"/>
  <c r="E2805" i="4"/>
  <c r="E2804" i="4"/>
  <c r="E2803" i="4"/>
  <c r="E2802" i="4"/>
  <c r="E2801" i="4"/>
  <c r="E2800" i="4"/>
  <c r="E2799" i="4"/>
  <c r="D2798" i="4"/>
  <c r="C2798" i="4"/>
  <c r="E2797" i="4"/>
  <c r="E2796" i="4"/>
  <c r="E2795" i="4"/>
  <c r="E2794" i="4"/>
  <c r="E2793" i="4"/>
  <c r="E2792" i="4"/>
  <c r="E2791" i="4"/>
  <c r="E2790" i="4"/>
  <c r="E2789" i="4"/>
  <c r="E2788" i="4"/>
  <c r="E2787" i="4"/>
  <c r="D2786" i="4"/>
  <c r="C2786" i="4"/>
  <c r="E2785" i="4"/>
  <c r="E2784" i="4"/>
  <c r="E2783" i="4"/>
  <c r="E2782" i="4"/>
  <c r="E2781" i="4"/>
  <c r="E2780" i="4"/>
  <c r="E2779" i="4"/>
  <c r="E2778" i="4"/>
  <c r="E2777" i="4"/>
  <c r="E2776" i="4"/>
  <c r="E2775" i="4"/>
  <c r="D2774" i="4"/>
  <c r="C2774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D2760" i="4"/>
  <c r="C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D2747" i="4"/>
  <c r="C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D2734" i="4"/>
  <c r="C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D2721" i="4"/>
  <c r="C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D2708" i="4"/>
  <c r="C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D2695" i="4"/>
  <c r="C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D2682" i="4"/>
  <c r="C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D2669" i="4"/>
  <c r="C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D2656" i="4"/>
  <c r="C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D2643" i="4"/>
  <c r="C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D2630" i="4"/>
  <c r="C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D2617" i="4"/>
  <c r="C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D2604" i="4"/>
  <c r="C2604" i="4"/>
  <c r="E2601" i="4"/>
  <c r="E2600" i="4"/>
  <c r="E2599" i="4"/>
  <c r="E2598" i="4"/>
  <c r="E2597" i="4"/>
  <c r="E2596" i="4"/>
  <c r="E2595" i="4"/>
  <c r="E2594" i="4"/>
  <c r="E2593" i="4"/>
  <c r="E2592" i="4"/>
  <c r="D2591" i="4"/>
  <c r="C2591" i="4"/>
  <c r="E2590" i="4"/>
  <c r="E2589" i="4"/>
  <c r="E2588" i="4"/>
  <c r="E2587" i="4"/>
  <c r="D2583" i="4"/>
  <c r="E2582" i="4"/>
  <c r="E2581" i="4"/>
  <c r="E2580" i="4"/>
  <c r="D2579" i="4"/>
  <c r="C2579" i="4"/>
  <c r="E2578" i="4"/>
  <c r="E2577" i="4"/>
  <c r="E2576" i="4"/>
  <c r="E2575" i="4"/>
  <c r="E2574" i="4"/>
  <c r="D2573" i="4"/>
  <c r="C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D2536" i="4"/>
  <c r="C2536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D2509" i="4"/>
  <c r="C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D2494" i="4"/>
  <c r="D2493" i="4" s="1"/>
  <c r="C2494" i="4"/>
  <c r="C2493" i="4" s="1"/>
  <c r="E2491" i="4"/>
  <c r="D2490" i="4"/>
  <c r="D2489" i="4" s="1"/>
  <c r="C2490" i="4"/>
  <c r="E2488" i="4"/>
  <c r="E2487" i="4"/>
  <c r="D2486" i="4"/>
  <c r="C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D2472" i="4"/>
  <c r="C2472" i="4"/>
  <c r="E2471" i="4"/>
  <c r="E2470" i="4"/>
  <c r="E2469" i="4"/>
  <c r="E2468" i="4"/>
  <c r="E2467" i="4"/>
  <c r="E2466" i="4"/>
  <c r="D2465" i="4"/>
  <c r="C2465" i="4"/>
  <c r="E2464" i="4"/>
  <c r="D2463" i="4"/>
  <c r="C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D2440" i="4"/>
  <c r="C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D2421" i="4"/>
  <c r="C2421" i="4"/>
  <c r="E2420" i="4"/>
  <c r="E2419" i="4"/>
  <c r="D2418" i="4"/>
  <c r="C2418" i="4"/>
  <c r="E2417" i="4"/>
  <c r="E2416" i="4"/>
  <c r="E2415" i="4"/>
  <c r="E2414" i="4"/>
  <c r="D2413" i="4"/>
  <c r="C2413" i="4"/>
  <c r="E2412" i="4"/>
  <c r="E2411" i="4"/>
  <c r="D2410" i="4"/>
  <c r="C2410" i="4"/>
  <c r="E2409" i="4"/>
  <c r="E2408" i="4"/>
  <c r="E2407" i="4"/>
  <c r="E2406" i="4"/>
  <c r="E2405" i="4"/>
  <c r="D2404" i="4"/>
  <c r="C2404" i="4"/>
  <c r="E2403" i="4"/>
  <c r="E2402" i="4"/>
  <c r="E2401" i="4"/>
  <c r="E2400" i="4"/>
  <c r="E2399" i="4"/>
  <c r="D2398" i="4"/>
  <c r="C2398" i="4"/>
  <c r="E2397" i="4"/>
  <c r="E2396" i="4"/>
  <c r="E2395" i="4"/>
  <c r="E2394" i="4"/>
  <c r="E2393" i="4"/>
  <c r="D2392" i="4"/>
  <c r="C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D2349" i="4"/>
  <c r="C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D2330" i="4"/>
  <c r="C2330" i="4"/>
  <c r="E2329" i="4"/>
  <c r="E2328" i="4"/>
  <c r="E2327" i="4"/>
  <c r="E2326" i="4"/>
  <c r="E2325" i="4"/>
  <c r="D2324" i="4"/>
  <c r="C2324" i="4"/>
  <c r="E2322" i="4"/>
  <c r="E2321" i="4"/>
  <c r="E2320" i="4"/>
  <c r="E2319" i="4"/>
  <c r="E2318" i="4"/>
  <c r="E2317" i="4"/>
  <c r="E2316" i="4"/>
  <c r="E2315" i="4"/>
  <c r="E2314" i="4"/>
  <c r="D2313" i="4"/>
  <c r="C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D2289" i="4"/>
  <c r="C2289" i="4"/>
  <c r="E2287" i="4"/>
  <c r="E2286" i="4"/>
  <c r="E2285" i="4"/>
  <c r="E2284" i="4"/>
  <c r="E2283" i="4"/>
  <c r="E2282" i="4"/>
  <c r="E2281" i="4"/>
  <c r="E2280" i="4"/>
  <c r="D2279" i="4"/>
  <c r="D2278" i="4" s="1"/>
  <c r="C2279" i="4"/>
  <c r="E2277" i="4"/>
  <c r="E2276" i="4"/>
  <c r="E2275" i="4"/>
  <c r="E2274" i="4"/>
  <c r="E2273" i="4"/>
  <c r="E2272" i="4"/>
  <c r="E2271" i="4"/>
  <c r="E2270" i="4"/>
  <c r="D2269" i="4"/>
  <c r="C2269" i="4"/>
  <c r="E2268" i="4"/>
  <c r="E2267" i="4"/>
  <c r="D2266" i="4"/>
  <c r="C2266" i="4"/>
  <c r="E2265" i="4"/>
  <c r="E2264" i="4"/>
  <c r="E2263" i="4"/>
  <c r="E2262" i="4"/>
  <c r="E2261" i="4"/>
  <c r="E2260" i="4"/>
  <c r="D2259" i="4"/>
  <c r="C2259" i="4"/>
  <c r="E2258" i="4"/>
  <c r="E2257" i="4"/>
  <c r="E2256" i="4"/>
  <c r="E2255" i="4"/>
  <c r="E2254" i="4"/>
  <c r="E2253" i="4"/>
  <c r="E2252" i="4"/>
  <c r="E2251" i="4"/>
  <c r="D2250" i="4"/>
  <c r="C2250" i="4"/>
  <c r="E2249" i="4"/>
  <c r="E2248" i="4"/>
  <c r="E2247" i="4"/>
  <c r="E2246" i="4"/>
  <c r="D2245" i="4"/>
  <c r="C2245" i="4"/>
  <c r="E2244" i="4"/>
  <c r="E2243" i="4"/>
  <c r="D2242" i="4"/>
  <c r="C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D2224" i="4"/>
  <c r="C2224" i="4"/>
  <c r="E2223" i="4"/>
  <c r="E2222" i="4"/>
  <c r="E2221" i="4"/>
  <c r="E2220" i="4"/>
  <c r="D2219" i="4"/>
  <c r="C2219" i="4"/>
  <c r="E2218" i="4"/>
  <c r="E2217" i="4"/>
  <c r="E2216" i="4"/>
  <c r="E2215" i="4"/>
  <c r="E2214" i="4"/>
  <c r="E2213" i="4"/>
  <c r="E2212" i="4"/>
  <c r="E2211" i="4"/>
  <c r="E2210" i="4"/>
  <c r="E2209" i="4"/>
  <c r="D2208" i="4"/>
  <c r="C2208" i="4"/>
  <c r="E2207" i="4"/>
  <c r="E2206" i="4"/>
  <c r="E2205" i="4"/>
  <c r="E2204" i="4"/>
  <c r="D2203" i="4"/>
  <c r="C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D2181" i="4"/>
  <c r="C2181" i="4"/>
  <c r="E2180" i="4"/>
  <c r="E2179" i="4"/>
  <c r="E2178" i="4"/>
  <c r="E2177" i="4"/>
  <c r="E2176" i="4"/>
  <c r="E2175" i="4"/>
  <c r="E2174" i="4"/>
  <c r="E2173" i="4"/>
  <c r="D2172" i="4"/>
  <c r="C2172" i="4"/>
  <c r="E2171" i="4"/>
  <c r="D2170" i="4"/>
  <c r="C2170" i="4"/>
  <c r="E2169" i="4"/>
  <c r="E2168" i="4"/>
  <c r="E2167" i="4"/>
  <c r="E2166" i="4"/>
  <c r="E2165" i="4"/>
  <c r="E2164" i="4"/>
  <c r="E2163" i="4"/>
  <c r="E2162" i="4"/>
  <c r="E2161" i="4"/>
  <c r="E2160" i="4"/>
  <c r="D2159" i="4"/>
  <c r="C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D2146" i="4"/>
  <c r="C2146" i="4"/>
  <c r="E2145" i="4"/>
  <c r="E2144" i="4"/>
  <c r="E2143" i="4"/>
  <c r="E2142" i="4"/>
  <c r="E2141" i="4"/>
  <c r="E2140" i="4"/>
  <c r="D2139" i="4"/>
  <c r="C2139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D2120" i="4"/>
  <c r="C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D2106" i="4"/>
  <c r="C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D2080" i="4"/>
  <c r="C2080" i="4"/>
  <c r="E2079" i="4"/>
  <c r="E2078" i="4"/>
  <c r="E2077" i="4"/>
  <c r="E2076" i="4"/>
  <c r="E2075" i="4"/>
  <c r="E2074" i="4"/>
  <c r="E2073" i="4"/>
  <c r="E2072" i="4"/>
  <c r="E2071" i="4"/>
  <c r="D2070" i="4"/>
  <c r="C2070" i="4"/>
  <c r="E2069" i="4"/>
  <c r="E2068" i="4"/>
  <c r="E2067" i="4"/>
  <c r="E2066" i="4"/>
  <c r="D2065" i="4"/>
  <c r="C2065" i="4"/>
  <c r="E2064" i="4"/>
  <c r="E2063" i="4"/>
  <c r="E2062" i="4"/>
  <c r="E2061" i="4"/>
  <c r="E2060" i="4"/>
  <c r="E2059" i="4"/>
  <c r="E2058" i="4"/>
  <c r="E2057" i="4"/>
  <c r="E2056" i="4"/>
  <c r="D2055" i="4"/>
  <c r="C2055" i="4"/>
  <c r="E2054" i="4"/>
  <c r="E2053" i="4"/>
  <c r="E2052" i="4"/>
  <c r="E2051" i="4"/>
  <c r="E2050" i="4"/>
  <c r="E2049" i="4"/>
  <c r="E2048" i="4"/>
  <c r="E2047" i="4"/>
  <c r="E2046" i="4"/>
  <c r="D2045" i="4"/>
  <c r="C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D2032" i="4"/>
  <c r="C2032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D2006" i="4"/>
  <c r="C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D1951" i="4"/>
  <c r="C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D1937" i="4"/>
  <c r="C1937" i="4"/>
  <c r="E1936" i="4"/>
  <c r="E1935" i="4"/>
  <c r="E1934" i="4"/>
  <c r="E1933" i="4"/>
  <c r="E1932" i="4"/>
  <c r="E1931" i="4"/>
  <c r="E1930" i="4"/>
  <c r="E1929" i="4"/>
  <c r="E1928" i="4"/>
  <c r="D1927" i="4"/>
  <c r="C1927" i="4"/>
  <c r="E1926" i="4"/>
  <c r="E1925" i="4"/>
  <c r="E1924" i="4"/>
  <c r="E1923" i="4"/>
  <c r="D1922" i="4"/>
  <c r="C1922" i="4"/>
  <c r="E1921" i="4"/>
  <c r="E1920" i="4"/>
  <c r="E1919" i="4"/>
  <c r="E1918" i="4"/>
  <c r="E1917" i="4"/>
  <c r="E1916" i="4"/>
  <c r="E1915" i="4"/>
  <c r="E1914" i="4"/>
  <c r="E1913" i="4"/>
  <c r="D1912" i="4"/>
  <c r="C1912" i="4"/>
  <c r="E1911" i="4"/>
  <c r="E1910" i="4"/>
  <c r="E1909" i="4"/>
  <c r="E1908" i="4"/>
  <c r="E1907" i="4"/>
  <c r="E1906" i="4"/>
  <c r="E1905" i="4"/>
  <c r="E1904" i="4"/>
  <c r="E1903" i="4"/>
  <c r="D1902" i="4"/>
  <c r="C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D1889" i="4"/>
  <c r="C1889" i="4"/>
  <c r="E1886" i="4"/>
  <c r="E1885" i="4"/>
  <c r="E1884" i="4"/>
  <c r="E1883" i="4"/>
  <c r="E1882" i="4"/>
  <c r="E1881" i="4"/>
  <c r="E1880" i="4"/>
  <c r="E1879" i="4"/>
  <c r="E1878" i="4"/>
  <c r="D1877" i="4"/>
  <c r="C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D1858" i="4"/>
  <c r="C1858" i="4"/>
  <c r="E1857" i="4"/>
  <c r="E1856" i="4"/>
  <c r="E1855" i="4"/>
  <c r="E1854" i="4"/>
  <c r="D1853" i="4"/>
  <c r="C1853" i="4"/>
  <c r="E1852" i="4"/>
  <c r="E1851" i="4"/>
  <c r="D1850" i="4"/>
  <c r="C1850" i="4"/>
  <c r="E1849" i="4"/>
  <c r="E1848" i="4"/>
  <c r="E1847" i="4"/>
  <c r="E1846" i="4"/>
  <c r="E1845" i="4"/>
  <c r="D1844" i="4"/>
  <c r="C1844" i="4"/>
  <c r="E1843" i="4"/>
  <c r="E1842" i="4"/>
  <c r="E1841" i="4"/>
  <c r="E1840" i="4"/>
  <c r="E1839" i="4"/>
  <c r="D1838" i="4"/>
  <c r="C1838" i="4"/>
  <c r="E1837" i="4"/>
  <c r="E1836" i="4"/>
  <c r="E1835" i="4"/>
  <c r="E1834" i="4"/>
  <c r="E1833" i="4"/>
  <c r="D1832" i="4"/>
  <c r="C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D1795" i="4"/>
  <c r="C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D1738" i="4"/>
  <c r="C1738" i="4"/>
  <c r="E1736" i="4"/>
  <c r="E1735" i="4"/>
  <c r="E1734" i="4"/>
  <c r="E1733" i="4"/>
  <c r="E1732" i="4"/>
  <c r="E1731" i="4"/>
  <c r="E1730" i="4"/>
  <c r="E1729" i="4"/>
  <c r="D1728" i="4"/>
  <c r="D1727" i="4" s="1"/>
  <c r="C1728" i="4"/>
  <c r="C1727" i="4" s="1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D1713" i="4"/>
  <c r="C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D1690" i="4"/>
  <c r="C1690" i="4"/>
  <c r="E1689" i="4"/>
  <c r="E1688" i="4"/>
  <c r="E1687" i="4"/>
  <c r="E1686" i="4"/>
  <c r="D1685" i="4"/>
  <c r="C1685" i="4"/>
  <c r="E1684" i="4"/>
  <c r="E1683" i="4"/>
  <c r="E1682" i="4"/>
  <c r="E1681" i="4"/>
  <c r="E1680" i="4"/>
  <c r="E1679" i="4"/>
  <c r="D1678" i="4"/>
  <c r="C1678" i="4"/>
  <c r="E1677" i="4"/>
  <c r="E1676" i="4"/>
  <c r="E1675" i="4"/>
  <c r="E1674" i="4"/>
  <c r="E1673" i="4"/>
  <c r="E1672" i="4"/>
  <c r="E1671" i="4"/>
  <c r="E1670" i="4"/>
  <c r="E1669" i="4"/>
  <c r="D1668" i="4"/>
  <c r="C1668" i="4"/>
  <c r="E1667" i="4"/>
  <c r="E1666" i="4"/>
  <c r="E1665" i="4"/>
  <c r="E1664" i="4"/>
  <c r="E1663" i="4"/>
  <c r="E1662" i="4"/>
  <c r="E1661" i="4"/>
  <c r="E1660" i="4"/>
  <c r="D1659" i="4"/>
  <c r="C1659" i="4"/>
  <c r="E1658" i="4"/>
  <c r="E1657" i="4"/>
  <c r="E1656" i="4"/>
  <c r="E1655" i="4"/>
  <c r="E1654" i="4"/>
  <c r="E1653" i="4"/>
  <c r="E1652" i="4"/>
  <c r="D1651" i="4"/>
  <c r="C1651" i="4"/>
  <c r="E1650" i="4"/>
  <c r="E1649" i="4"/>
  <c r="E1648" i="4"/>
  <c r="E1647" i="4"/>
  <c r="E1646" i="4"/>
  <c r="D1645" i="4"/>
  <c r="C1645" i="4"/>
  <c r="E1644" i="4"/>
  <c r="E1643" i="4"/>
  <c r="E1642" i="4"/>
  <c r="E1641" i="4"/>
  <c r="E1640" i="4"/>
  <c r="E1639" i="4"/>
  <c r="D1638" i="4"/>
  <c r="C1638" i="4"/>
  <c r="E1637" i="4"/>
  <c r="E1636" i="4"/>
  <c r="E1635" i="4"/>
  <c r="E1634" i="4"/>
  <c r="E1633" i="4"/>
  <c r="E1632" i="4"/>
  <c r="E1631" i="4"/>
  <c r="E1630" i="4"/>
  <c r="E1629" i="4"/>
  <c r="E1628" i="4"/>
  <c r="E1627" i="4"/>
  <c r="D1626" i="4"/>
  <c r="C1626" i="4"/>
  <c r="E1625" i="4"/>
  <c r="E1624" i="4"/>
  <c r="E1623" i="4"/>
  <c r="D1622" i="4"/>
  <c r="C1622" i="4"/>
  <c r="E1621" i="4"/>
  <c r="E1620" i="4"/>
  <c r="E1619" i="4"/>
  <c r="D1618" i="4"/>
  <c r="C1618" i="4"/>
  <c r="E1617" i="4"/>
  <c r="E1616" i="4"/>
  <c r="E1615" i="4"/>
  <c r="E1614" i="4"/>
  <c r="D1613" i="4"/>
  <c r="C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D1576" i="4"/>
  <c r="C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D1559" i="4"/>
  <c r="C1559" i="4"/>
  <c r="E1557" i="4"/>
  <c r="E1556" i="4"/>
  <c r="E1555" i="4"/>
  <c r="E1554" i="4"/>
  <c r="E1553" i="4"/>
  <c r="E1552" i="4"/>
  <c r="D1551" i="4"/>
  <c r="C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D1525" i="4"/>
  <c r="C1525" i="4"/>
  <c r="E1524" i="4"/>
  <c r="E1523" i="4"/>
  <c r="D1522" i="4"/>
  <c r="C1522" i="4"/>
  <c r="E1521" i="4"/>
  <c r="E1520" i="4"/>
  <c r="E1519" i="4"/>
  <c r="E1518" i="4"/>
  <c r="E1517" i="4"/>
  <c r="E1516" i="4"/>
  <c r="E1515" i="4"/>
  <c r="E1514" i="4"/>
  <c r="E1513" i="4"/>
  <c r="E1512" i="4"/>
  <c r="E1511" i="4"/>
  <c r="D1510" i="4"/>
  <c r="C1510" i="4"/>
  <c r="E1509" i="4"/>
  <c r="E1508" i="4"/>
  <c r="D1507" i="4"/>
  <c r="C1507" i="4"/>
  <c r="E1506" i="4"/>
  <c r="D1505" i="4"/>
  <c r="C1505" i="4"/>
  <c r="E1504" i="4"/>
  <c r="E1503" i="4"/>
  <c r="E1502" i="4"/>
  <c r="E1501" i="4"/>
  <c r="E1500" i="4"/>
  <c r="E1499" i="4"/>
  <c r="E1498" i="4"/>
  <c r="D1497" i="4"/>
  <c r="C1497" i="4"/>
  <c r="E1495" i="4"/>
  <c r="D1494" i="4"/>
  <c r="C1494" i="4"/>
  <c r="E1493" i="4"/>
  <c r="E1492" i="4"/>
  <c r="E1491" i="4"/>
  <c r="E1490" i="4"/>
  <c r="D1489" i="4"/>
  <c r="C1489" i="4"/>
  <c r="E1486" i="4"/>
  <c r="D1485" i="4"/>
  <c r="C1485" i="4"/>
  <c r="E1484" i="4"/>
  <c r="E1483" i="4"/>
  <c r="D1482" i="4"/>
  <c r="C1482" i="4"/>
  <c r="E1481" i="4"/>
  <c r="E1480" i="4"/>
  <c r="E1479" i="4"/>
  <c r="E1478" i="4"/>
  <c r="E1477" i="4"/>
  <c r="D1476" i="4"/>
  <c r="C1476" i="4"/>
  <c r="E1475" i="4"/>
  <c r="E1474" i="4"/>
  <c r="E1473" i="4"/>
  <c r="E1472" i="4"/>
  <c r="E1471" i="4"/>
  <c r="D1470" i="4"/>
  <c r="C1470" i="4"/>
  <c r="E1469" i="4"/>
  <c r="E1468" i="4"/>
  <c r="E1467" i="4"/>
  <c r="E1466" i="4"/>
  <c r="E1465" i="4"/>
  <c r="D1464" i="4"/>
  <c r="C1464" i="4"/>
  <c r="E1463" i="4"/>
  <c r="D1462" i="4"/>
  <c r="C1462" i="4"/>
  <c r="E1461" i="4"/>
  <c r="D1460" i="4"/>
  <c r="C1460" i="4"/>
  <c r="E1459" i="4"/>
  <c r="E1458" i="4"/>
  <c r="E1457" i="4"/>
  <c r="E1456" i="4"/>
  <c r="E1455" i="4"/>
  <c r="E1454" i="4"/>
  <c r="E1453" i="4"/>
  <c r="E1452" i="4"/>
  <c r="D1451" i="4"/>
  <c r="C1451" i="4"/>
  <c r="E1450" i="4"/>
  <c r="E1449" i="4"/>
  <c r="D1448" i="4"/>
  <c r="C1448" i="4"/>
  <c r="E1445" i="4"/>
  <c r="D1445" i="4"/>
  <c r="C1445" i="4"/>
  <c r="E1444" i="4"/>
  <c r="E1443" i="4"/>
  <c r="D1442" i="4"/>
  <c r="C1442" i="4"/>
  <c r="E1441" i="4"/>
  <c r="E1440" i="4"/>
  <c r="E1439" i="4"/>
  <c r="E1438" i="4"/>
  <c r="E1437" i="4"/>
  <c r="E1436" i="4"/>
  <c r="E1435" i="4"/>
  <c r="E1434" i="4"/>
  <c r="E1433" i="4"/>
  <c r="D1432" i="4"/>
  <c r="C1432" i="4"/>
  <c r="E1431" i="4"/>
  <c r="E1430" i="4"/>
  <c r="E1429" i="4"/>
  <c r="E1428" i="4"/>
  <c r="D1427" i="4"/>
  <c r="C1427" i="4"/>
  <c r="E1426" i="4"/>
  <c r="D1425" i="4"/>
  <c r="C1425" i="4"/>
  <c r="E1424" i="4"/>
  <c r="E1423" i="4"/>
  <c r="E1422" i="4"/>
  <c r="D1421" i="4"/>
  <c r="C1421" i="4"/>
  <c r="E1420" i="4"/>
  <c r="D1419" i="4"/>
  <c r="C1419" i="4"/>
  <c r="E1416" i="4"/>
  <c r="E1415" i="4"/>
  <c r="E1414" i="4"/>
  <c r="E1413" i="4"/>
  <c r="D1412" i="4"/>
  <c r="C1412" i="4"/>
  <c r="E1411" i="4"/>
  <c r="D1410" i="4"/>
  <c r="C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D1391" i="4"/>
  <c r="C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D1375" i="4"/>
  <c r="C1375" i="4"/>
  <c r="E1374" i="4"/>
  <c r="E1373" i="4"/>
  <c r="E1372" i="4"/>
  <c r="E1371" i="4"/>
  <c r="E1370" i="4"/>
  <c r="E1369" i="4"/>
  <c r="D1368" i="4"/>
  <c r="C1368" i="4"/>
  <c r="E1367" i="4"/>
  <c r="D1366" i="4"/>
  <c r="C1366" i="4"/>
  <c r="E1365" i="4"/>
  <c r="E1364" i="4"/>
  <c r="E1363" i="4"/>
  <c r="E1362" i="4"/>
  <c r="D1361" i="4"/>
  <c r="C1361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D1347" i="4"/>
  <c r="C1347" i="4"/>
  <c r="E1346" i="4"/>
  <c r="E1345" i="4"/>
  <c r="D1344" i="4"/>
  <c r="C1344" i="4"/>
  <c r="E1343" i="4"/>
  <c r="E1342" i="4"/>
  <c r="E1341" i="4"/>
  <c r="E1340" i="4"/>
  <c r="E1339" i="4"/>
  <c r="E1338" i="4"/>
  <c r="D1337" i="4"/>
  <c r="C1337" i="4"/>
  <c r="E1335" i="4"/>
  <c r="E1334" i="4"/>
  <c r="D1333" i="4"/>
  <c r="C1333" i="4"/>
  <c r="E1332" i="4"/>
  <c r="E1331" i="4"/>
  <c r="E1330" i="4"/>
  <c r="D1329" i="4"/>
  <c r="C1329" i="4"/>
  <c r="E1328" i="4"/>
  <c r="E1327" i="4"/>
  <c r="E1326" i="4"/>
  <c r="E1325" i="4"/>
  <c r="E1324" i="4"/>
  <c r="E1323" i="4"/>
  <c r="E1322" i="4"/>
  <c r="E1321" i="4"/>
  <c r="E1320" i="4"/>
  <c r="E1319" i="4"/>
  <c r="D1318" i="4"/>
  <c r="C1318" i="4"/>
  <c r="E1317" i="4"/>
  <c r="E1316" i="4"/>
  <c r="E1315" i="4"/>
  <c r="E1314" i="4"/>
  <c r="E1313" i="4"/>
  <c r="E1312" i="4"/>
  <c r="E1311" i="4"/>
  <c r="E1310" i="4"/>
  <c r="E1309" i="4"/>
  <c r="E1308" i="4"/>
  <c r="D1307" i="4"/>
  <c r="C1307" i="4"/>
  <c r="E1306" i="4"/>
  <c r="E1305" i="4"/>
  <c r="E1304" i="4"/>
  <c r="E1303" i="4"/>
  <c r="E1302" i="4"/>
  <c r="E1301" i="4"/>
  <c r="E1300" i="4"/>
  <c r="E1299" i="4"/>
  <c r="E1298" i="4"/>
  <c r="E1297" i="4"/>
  <c r="D1296" i="4"/>
  <c r="C1296" i="4"/>
  <c r="E1295" i="4"/>
  <c r="E1294" i="4"/>
  <c r="E1293" i="4"/>
  <c r="E1292" i="4"/>
  <c r="E1291" i="4"/>
  <c r="E1290" i="4"/>
  <c r="E1289" i="4"/>
  <c r="E1288" i="4"/>
  <c r="E1287" i="4"/>
  <c r="E1286" i="4"/>
  <c r="D1285" i="4"/>
  <c r="C1285" i="4"/>
  <c r="E1283" i="4"/>
  <c r="E1282" i="4"/>
  <c r="D1281" i="4"/>
  <c r="C1281" i="4"/>
  <c r="E1280" i="4"/>
  <c r="E1279" i="4"/>
  <c r="E1278" i="4"/>
  <c r="E1277" i="4"/>
  <c r="E1276" i="4"/>
  <c r="E1275" i="4"/>
  <c r="E1274" i="4"/>
  <c r="E1273" i="4"/>
  <c r="E1272" i="4"/>
  <c r="D1271" i="4"/>
  <c r="C1271" i="4"/>
  <c r="E1270" i="4"/>
  <c r="E1269" i="4"/>
  <c r="E1268" i="4"/>
  <c r="D1267" i="4"/>
  <c r="C1267" i="4"/>
  <c r="E1266" i="4"/>
  <c r="E1265" i="4"/>
  <c r="E1264" i="4"/>
  <c r="E1263" i="4"/>
  <c r="E1262" i="4"/>
  <c r="D1261" i="4"/>
  <c r="C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D1233" i="4"/>
  <c r="C1233" i="4"/>
  <c r="E1231" i="4"/>
  <c r="E1230" i="4"/>
  <c r="E1229" i="4"/>
  <c r="E1228" i="4"/>
  <c r="E1227" i="4"/>
  <c r="E1226" i="4"/>
  <c r="D1225" i="4"/>
  <c r="C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D1188" i="4"/>
  <c r="C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D1168" i="4"/>
  <c r="C1168" i="4"/>
  <c r="E1167" i="4"/>
  <c r="E1166" i="4"/>
  <c r="E1165" i="4"/>
  <c r="E1164" i="4"/>
  <c r="E1163" i="4"/>
  <c r="E1162" i="4"/>
  <c r="D1161" i="4"/>
  <c r="C1161" i="4"/>
  <c r="E1160" i="4"/>
  <c r="E1159" i="4"/>
  <c r="E1158" i="4"/>
  <c r="E1157" i="4"/>
  <c r="E1156" i="4"/>
  <c r="D1155" i="4"/>
  <c r="C1155" i="4"/>
  <c r="E1154" i="4"/>
  <c r="E1153" i="4"/>
  <c r="E1152" i="4"/>
  <c r="D1151" i="4"/>
  <c r="C1151" i="4"/>
  <c r="E1150" i="4"/>
  <c r="E1149" i="4"/>
  <c r="E1148" i="4"/>
  <c r="E1147" i="4"/>
  <c r="E1146" i="4"/>
  <c r="E1145" i="4"/>
  <c r="E1144" i="4"/>
  <c r="E1143" i="4"/>
  <c r="E1142" i="4"/>
  <c r="E1141" i="4"/>
  <c r="D1140" i="4"/>
  <c r="C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D1110" i="4"/>
  <c r="C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D1087" i="4"/>
  <c r="C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D1073" i="4"/>
  <c r="C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D1058" i="4"/>
  <c r="C1058" i="4"/>
  <c r="E1057" i="4"/>
  <c r="E1056" i="4"/>
  <c r="D1055" i="4"/>
  <c r="C1055" i="4"/>
  <c r="E1054" i="4"/>
  <c r="E1053" i="4"/>
  <c r="E1052" i="4"/>
  <c r="D1051" i="4"/>
  <c r="C1051" i="4"/>
  <c r="E1050" i="4"/>
  <c r="E1049" i="4"/>
  <c r="D1048" i="4"/>
  <c r="C1048" i="4"/>
  <c r="E1046" i="4"/>
  <c r="E1045" i="4"/>
  <c r="E1044" i="4"/>
  <c r="E1043" i="4"/>
  <c r="E1042" i="4"/>
  <c r="D1041" i="4"/>
  <c r="C1041" i="4"/>
  <c r="E1040" i="4"/>
  <c r="E1039" i="4"/>
  <c r="E1038" i="4"/>
  <c r="E1037" i="4"/>
  <c r="E1036" i="4"/>
  <c r="D1035" i="4"/>
  <c r="C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D1020" i="4"/>
  <c r="C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D1004" i="4"/>
  <c r="C1004" i="4"/>
  <c r="E1002" i="4"/>
  <c r="D1001" i="4"/>
  <c r="C1001" i="4"/>
  <c r="E1000" i="4"/>
  <c r="D999" i="4"/>
  <c r="C999" i="4"/>
  <c r="E998" i="4"/>
  <c r="D997" i="4"/>
  <c r="C997" i="4"/>
  <c r="E996" i="4"/>
  <c r="D995" i="4"/>
  <c r="C995" i="4"/>
  <c r="E993" i="4"/>
  <c r="E992" i="4"/>
  <c r="E991" i="4"/>
  <c r="E990" i="4"/>
  <c r="E989" i="4"/>
  <c r="E988" i="4"/>
  <c r="E987" i="4"/>
  <c r="D986" i="4"/>
  <c r="D985" i="4" s="1"/>
  <c r="C986" i="4"/>
  <c r="C985" i="4" s="1"/>
  <c r="E983" i="4"/>
  <c r="E982" i="4"/>
  <c r="D981" i="4"/>
  <c r="C981" i="4"/>
  <c r="E980" i="4"/>
  <c r="D979" i="4"/>
  <c r="C979" i="4"/>
  <c r="E978" i="4"/>
  <c r="E977" i="4"/>
  <c r="E976" i="4"/>
  <c r="D975" i="4"/>
  <c r="C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D956" i="4"/>
  <c r="C956" i="4"/>
  <c r="E955" i="4"/>
  <c r="E954" i="4"/>
  <c r="E953" i="4"/>
  <c r="E952" i="4"/>
  <c r="D951" i="4"/>
  <c r="C951" i="4"/>
  <c r="E950" i="4"/>
  <c r="E949" i="4"/>
  <c r="E948" i="4"/>
  <c r="E947" i="4"/>
  <c r="D946" i="4"/>
  <c r="C946" i="4"/>
  <c r="E945" i="4"/>
  <c r="E944" i="4"/>
  <c r="E943" i="4"/>
  <c r="E942" i="4"/>
  <c r="D941" i="4"/>
  <c r="C941" i="4"/>
  <c r="E940" i="4"/>
  <c r="E939" i="4"/>
  <c r="E938" i="4"/>
  <c r="E937" i="4"/>
  <c r="D936" i="4"/>
  <c r="C936" i="4"/>
  <c r="E935" i="4"/>
  <c r="E934" i="4"/>
  <c r="E933" i="4"/>
  <c r="E932" i="4"/>
  <c r="D931" i="4"/>
  <c r="C931" i="4"/>
  <c r="E930" i="4"/>
  <c r="E929" i="4"/>
  <c r="E928" i="4"/>
  <c r="E927" i="4"/>
  <c r="E926" i="4"/>
  <c r="E925" i="4"/>
  <c r="E924" i="4"/>
  <c r="E923" i="4"/>
  <c r="E922" i="4"/>
  <c r="E921" i="4"/>
  <c r="D920" i="4"/>
  <c r="E919" i="4"/>
  <c r="E918" i="4"/>
  <c r="E917" i="4"/>
  <c r="E916" i="4"/>
  <c r="E915" i="4"/>
  <c r="E914" i="4"/>
  <c r="E913" i="4"/>
  <c r="E912" i="4"/>
  <c r="D911" i="4"/>
  <c r="C911" i="4"/>
  <c r="E910" i="4"/>
  <c r="E909" i="4"/>
  <c r="E908" i="4"/>
  <c r="E907" i="4"/>
  <c r="E906" i="4"/>
  <c r="E905" i="4"/>
  <c r="E904" i="4"/>
  <c r="E903" i="4"/>
  <c r="E902" i="4"/>
  <c r="E901" i="4"/>
  <c r="D900" i="4"/>
  <c r="C900" i="4"/>
  <c r="E899" i="4"/>
  <c r="E898" i="4"/>
  <c r="E897" i="4"/>
  <c r="E896" i="4"/>
  <c r="D895" i="4"/>
  <c r="C895" i="4"/>
  <c r="E894" i="4"/>
  <c r="E893" i="4"/>
  <c r="D892" i="4"/>
  <c r="C892" i="4"/>
  <c r="E891" i="4"/>
  <c r="E890" i="4"/>
  <c r="E889" i="4"/>
  <c r="E888" i="4"/>
  <c r="D887" i="4"/>
  <c r="C887" i="4"/>
  <c r="E886" i="4"/>
  <c r="D885" i="4"/>
  <c r="C885" i="4"/>
  <c r="E884" i="4"/>
  <c r="E883" i="4"/>
  <c r="E882" i="4"/>
  <c r="E881" i="4"/>
  <c r="E880" i="4"/>
  <c r="E879" i="4"/>
  <c r="E878" i="4"/>
  <c r="E877" i="4"/>
  <c r="E876" i="4"/>
  <c r="D875" i="4"/>
  <c r="C875" i="4"/>
  <c r="E874" i="4"/>
  <c r="E873" i="4"/>
  <c r="E872" i="4"/>
  <c r="E871" i="4"/>
  <c r="D870" i="4"/>
  <c r="C870" i="4"/>
  <c r="E869" i="4"/>
  <c r="E868" i="4"/>
  <c r="E867" i="4"/>
  <c r="E866" i="4"/>
  <c r="E865" i="4"/>
  <c r="E864" i="4"/>
  <c r="E863" i="4"/>
  <c r="E862" i="4"/>
  <c r="E861" i="4"/>
  <c r="E860" i="4"/>
  <c r="D859" i="4"/>
  <c r="C859" i="4"/>
  <c r="E858" i="4"/>
  <c r="E857" i="4"/>
  <c r="E856" i="4"/>
  <c r="E855" i="4"/>
  <c r="E854" i="4"/>
  <c r="D853" i="4"/>
  <c r="C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D836" i="4"/>
  <c r="C836" i="4"/>
  <c r="E835" i="4"/>
  <c r="E834" i="4"/>
  <c r="E833" i="4"/>
  <c r="E832" i="4"/>
  <c r="E831" i="4"/>
  <c r="E830" i="4"/>
  <c r="E829" i="4"/>
  <c r="E828" i="4"/>
  <c r="E827" i="4"/>
  <c r="E826" i="4"/>
  <c r="D825" i="4"/>
  <c r="C825" i="4"/>
  <c r="E824" i="4"/>
  <c r="E823" i="4"/>
  <c r="E822" i="4"/>
  <c r="E821" i="4"/>
  <c r="E820" i="4"/>
  <c r="E819" i="4"/>
  <c r="E818" i="4"/>
  <c r="D817" i="4"/>
  <c r="C817" i="4"/>
  <c r="E816" i="4"/>
  <c r="E815" i="4"/>
  <c r="E814" i="4"/>
  <c r="E813" i="4"/>
  <c r="E812" i="4"/>
  <c r="E811" i="4"/>
  <c r="E810" i="4"/>
  <c r="E809" i="4"/>
  <c r="D808" i="4"/>
  <c r="C808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D785" i="4"/>
  <c r="C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D767" i="4"/>
  <c r="C767" i="4"/>
  <c r="E766" i="4"/>
  <c r="E765" i="4"/>
  <c r="E764" i="4"/>
  <c r="E763" i="4"/>
  <c r="E762" i="4"/>
  <c r="E761" i="4"/>
  <c r="E760" i="4"/>
  <c r="E759" i="4"/>
  <c r="E758" i="4"/>
  <c r="E757" i="4"/>
  <c r="E756" i="4"/>
  <c r="D755" i="4"/>
  <c r="C755" i="4"/>
  <c r="E754" i="4"/>
  <c r="E753" i="4"/>
  <c r="E752" i="4"/>
  <c r="E751" i="4"/>
  <c r="E750" i="4"/>
  <c r="E749" i="4"/>
  <c r="E748" i="4"/>
  <c r="D747" i="4"/>
  <c r="C747" i="4"/>
  <c r="E746" i="4"/>
  <c r="E745" i="4"/>
  <c r="E744" i="4"/>
  <c r="E743" i="4"/>
  <c r="E742" i="4"/>
  <c r="E741" i="4"/>
  <c r="E740" i="4"/>
  <c r="D739" i="4"/>
  <c r="C739" i="4"/>
  <c r="E738" i="4"/>
  <c r="E737" i="4"/>
  <c r="E736" i="4"/>
  <c r="E735" i="4"/>
  <c r="E734" i="4"/>
  <c r="E733" i="4"/>
  <c r="E732" i="4"/>
  <c r="E731" i="4"/>
  <c r="E730" i="4"/>
  <c r="D729" i="4"/>
  <c r="C729" i="4"/>
  <c r="E728" i="4"/>
  <c r="E727" i="4"/>
  <c r="E726" i="4"/>
  <c r="E725" i="4"/>
  <c r="E724" i="4"/>
  <c r="E723" i="4"/>
  <c r="E722" i="4"/>
  <c r="D721" i="4"/>
  <c r="C721" i="4"/>
  <c r="E720" i="4"/>
  <c r="E719" i="4"/>
  <c r="E718" i="4"/>
  <c r="E717" i="4"/>
  <c r="E716" i="4"/>
  <c r="D715" i="4"/>
  <c r="C715" i="4"/>
  <c r="E714" i="4"/>
  <c r="E713" i="4"/>
  <c r="E712" i="4"/>
  <c r="E711" i="4"/>
  <c r="E710" i="4"/>
  <c r="E709" i="4"/>
  <c r="E708" i="4"/>
  <c r="E707" i="4"/>
  <c r="E706" i="4"/>
  <c r="E705" i="4"/>
  <c r="E704" i="4"/>
  <c r="D703" i="4"/>
  <c r="C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D685" i="4"/>
  <c r="C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D672" i="4"/>
  <c r="C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D657" i="4"/>
  <c r="C657" i="4"/>
  <c r="E656" i="4"/>
  <c r="E655" i="4"/>
  <c r="E654" i="4"/>
  <c r="E653" i="4"/>
  <c r="E652" i="4"/>
  <c r="E651" i="4"/>
  <c r="E650" i="4"/>
  <c r="E649" i="4"/>
  <c r="E648" i="4"/>
  <c r="E647" i="4"/>
  <c r="D646" i="4"/>
  <c r="C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D619" i="4"/>
  <c r="C619" i="4"/>
  <c r="E618" i="4"/>
  <c r="E617" i="4"/>
  <c r="E616" i="4"/>
  <c r="E615" i="4"/>
  <c r="E614" i="4"/>
  <c r="E613" i="4"/>
  <c r="E612" i="4"/>
  <c r="E611" i="4"/>
  <c r="E610" i="4"/>
  <c r="E609" i="4"/>
  <c r="E608" i="4"/>
  <c r="D607" i="4"/>
  <c r="C607" i="4"/>
  <c r="E606" i="4"/>
  <c r="E605" i="4"/>
  <c r="E604" i="4"/>
  <c r="E603" i="4"/>
  <c r="E602" i="4"/>
  <c r="E601" i="4"/>
  <c r="E600" i="4"/>
  <c r="E599" i="4"/>
  <c r="E598" i="4"/>
  <c r="D597" i="4"/>
  <c r="C597" i="4"/>
  <c r="E596" i="4"/>
  <c r="E595" i="4"/>
  <c r="E594" i="4"/>
  <c r="E593" i="4"/>
  <c r="E592" i="4"/>
  <c r="E591" i="4"/>
  <c r="E590" i="4"/>
  <c r="E589" i="4"/>
  <c r="E588" i="4"/>
  <c r="D587" i="4"/>
  <c r="C587" i="4"/>
  <c r="E586" i="4"/>
  <c r="E585" i="4"/>
  <c r="E584" i="4"/>
  <c r="E583" i="4"/>
  <c r="E582" i="4"/>
  <c r="E581" i="4"/>
  <c r="E580" i="4"/>
  <c r="E579" i="4"/>
  <c r="E578" i="4"/>
  <c r="E577" i="4"/>
  <c r="E576" i="4"/>
  <c r="D575" i="4"/>
  <c r="C575" i="4"/>
  <c r="E574" i="4"/>
  <c r="E573" i="4"/>
  <c r="E572" i="4"/>
  <c r="E571" i="4"/>
  <c r="E570" i="4"/>
  <c r="E569" i="4"/>
  <c r="E568" i="4"/>
  <c r="E567" i="4"/>
  <c r="D566" i="4"/>
  <c r="C566" i="4"/>
  <c r="E565" i="4"/>
  <c r="E564" i="4"/>
  <c r="E563" i="4"/>
  <c r="E562" i="4"/>
  <c r="D561" i="4"/>
  <c r="C561" i="4"/>
  <c r="E560" i="4"/>
  <c r="E559" i="4"/>
  <c r="D558" i="4"/>
  <c r="C558" i="4"/>
  <c r="E557" i="4"/>
  <c r="E556" i="4"/>
  <c r="E555" i="4"/>
  <c r="E554" i="4"/>
  <c r="E553" i="4"/>
  <c r="E552" i="4"/>
  <c r="E551" i="4"/>
  <c r="D550" i="4"/>
  <c r="C550" i="4"/>
  <c r="E549" i="4"/>
  <c r="E548" i="4"/>
  <c r="E547" i="4"/>
  <c r="E546" i="4"/>
  <c r="E545" i="4"/>
  <c r="D544" i="4"/>
  <c r="C544" i="4"/>
  <c r="E542" i="4"/>
  <c r="E541" i="4"/>
  <c r="E540" i="4"/>
  <c r="E539" i="4"/>
  <c r="E538" i="4"/>
  <c r="E537" i="4"/>
  <c r="E536" i="4"/>
  <c r="E535" i="4"/>
  <c r="D534" i="4"/>
  <c r="C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D512" i="4"/>
  <c r="C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D489" i="4"/>
  <c r="C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D474" i="4"/>
  <c r="C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D450" i="4"/>
  <c r="C450" i="4"/>
  <c r="E449" i="4"/>
  <c r="D448" i="4"/>
  <c r="C448" i="4"/>
  <c r="E447" i="4"/>
  <c r="E446" i="4"/>
  <c r="E445" i="4"/>
  <c r="D444" i="4"/>
  <c r="C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D419" i="4"/>
  <c r="C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D404" i="4"/>
  <c r="C404" i="4"/>
  <c r="E402" i="4"/>
  <c r="D401" i="4"/>
  <c r="C401" i="4"/>
  <c r="E400" i="4"/>
  <c r="D399" i="4"/>
  <c r="C399" i="4"/>
  <c r="E398" i="4"/>
  <c r="D397" i="4"/>
  <c r="C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D383" i="4"/>
  <c r="C383" i="4"/>
  <c r="E381" i="4"/>
  <c r="E380" i="4"/>
  <c r="E379" i="4"/>
  <c r="E378" i="4"/>
  <c r="E377" i="4"/>
  <c r="E376" i="4"/>
  <c r="E375" i="4"/>
  <c r="E374" i="4"/>
  <c r="E373" i="4"/>
  <c r="E372" i="4"/>
  <c r="D371" i="4"/>
  <c r="C371" i="4"/>
  <c r="E370" i="4"/>
  <c r="E369" i="4"/>
  <c r="E368" i="4"/>
  <c r="E367" i="4"/>
  <c r="E366" i="4"/>
  <c r="E365" i="4"/>
  <c r="E364" i="4"/>
  <c r="E363" i="4"/>
  <c r="E362" i="4"/>
  <c r="E361" i="4"/>
  <c r="D360" i="4"/>
  <c r="C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D347" i="4"/>
  <c r="C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D334" i="4"/>
  <c r="C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D302" i="4"/>
  <c r="C302" i="4"/>
  <c r="E301" i="4"/>
  <c r="D300" i="4"/>
  <c r="C300" i="4"/>
  <c r="E299" i="4"/>
  <c r="E298" i="4"/>
  <c r="E297" i="4"/>
  <c r="D296" i="4"/>
  <c r="C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D271" i="4"/>
  <c r="C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D238" i="4"/>
  <c r="C238" i="4"/>
  <c r="E237" i="4"/>
  <c r="E236" i="4"/>
  <c r="E235" i="4"/>
  <c r="E234" i="4"/>
  <c r="E233" i="4"/>
  <c r="E232" i="4"/>
  <c r="E231" i="4"/>
  <c r="E230" i="4"/>
  <c r="E229" i="4"/>
  <c r="E228" i="4"/>
  <c r="E226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D196" i="4"/>
  <c r="C196" i="4"/>
  <c r="E195" i="4"/>
  <c r="E194" i="4"/>
  <c r="E193" i="4"/>
  <c r="E192" i="4"/>
  <c r="E191" i="4"/>
  <c r="E190" i="4"/>
  <c r="D189" i="4"/>
  <c r="C189" i="4"/>
  <c r="E188" i="4"/>
  <c r="E187" i="4"/>
  <c r="E186" i="4"/>
  <c r="E185" i="4"/>
  <c r="D184" i="4"/>
  <c r="C184" i="4"/>
  <c r="E182" i="4"/>
  <c r="E181" i="4"/>
  <c r="E180" i="4"/>
  <c r="E179" i="4"/>
  <c r="E178" i="4"/>
  <c r="E177" i="4"/>
  <c r="D176" i="4"/>
  <c r="C176" i="4"/>
  <c r="E175" i="4"/>
  <c r="E174" i="4"/>
  <c r="D173" i="4"/>
  <c r="C173" i="4"/>
  <c r="E172" i="4"/>
  <c r="E171" i="4"/>
  <c r="E170" i="4"/>
  <c r="D169" i="4"/>
  <c r="C169" i="4"/>
  <c r="E168" i="4"/>
  <c r="E167" i="4"/>
  <c r="E166" i="4"/>
  <c r="E165" i="4"/>
  <c r="E164" i="4"/>
  <c r="E163" i="4"/>
  <c r="E162" i="4"/>
  <c r="E161" i="4"/>
  <c r="E160" i="4"/>
  <c r="E159" i="4"/>
  <c r="D158" i="4"/>
  <c r="C158" i="4"/>
  <c r="E157" i="4"/>
  <c r="E156" i="4"/>
  <c r="E155" i="4"/>
  <c r="E154" i="4"/>
  <c r="E153" i="4"/>
  <c r="E152" i="4"/>
  <c r="E151" i="4"/>
  <c r="E150" i="4"/>
  <c r="E149" i="4"/>
  <c r="E148" i="4"/>
  <c r="D147" i="4"/>
  <c r="C147" i="4"/>
  <c r="E146" i="4"/>
  <c r="E145" i="4"/>
  <c r="E144" i="4"/>
  <c r="E143" i="4"/>
  <c r="E142" i="4"/>
  <c r="E141" i="4"/>
  <c r="E140" i="4"/>
  <c r="E139" i="4"/>
  <c r="E138" i="4"/>
  <c r="E137" i="4"/>
  <c r="D136" i="4"/>
  <c r="C136" i="4"/>
  <c r="E135" i="4"/>
  <c r="E134" i="4"/>
  <c r="E133" i="4"/>
  <c r="E132" i="4"/>
  <c r="E131" i="4"/>
  <c r="E130" i="4"/>
  <c r="E129" i="4"/>
  <c r="E128" i="4"/>
  <c r="E127" i="4"/>
  <c r="E126" i="4"/>
  <c r="D125" i="4"/>
  <c r="C125" i="4"/>
  <c r="E124" i="4"/>
  <c r="E123" i="4"/>
  <c r="E122" i="4"/>
  <c r="E121" i="4"/>
  <c r="E120" i="4"/>
  <c r="D119" i="4"/>
  <c r="C119" i="4"/>
  <c r="E118" i="4"/>
  <c r="E117" i="4"/>
  <c r="E116" i="4"/>
  <c r="E115" i="4"/>
  <c r="E114" i="4"/>
  <c r="D113" i="4"/>
  <c r="C113" i="4"/>
  <c r="E112" i="4"/>
  <c r="E111" i="4"/>
  <c r="E110" i="4"/>
  <c r="E109" i="4"/>
  <c r="E108" i="4"/>
  <c r="D107" i="4"/>
  <c r="C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D88" i="4"/>
  <c r="C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D74" i="4"/>
  <c r="C74" i="4"/>
  <c r="E73" i="4"/>
  <c r="E72" i="4"/>
  <c r="E71" i="4"/>
  <c r="E70" i="4"/>
  <c r="E69" i="4"/>
  <c r="E68" i="4"/>
  <c r="E67" i="4"/>
  <c r="E66" i="4"/>
  <c r="D65" i="4"/>
  <c r="C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D45" i="4"/>
  <c r="C45" i="4"/>
  <c r="E44" i="4"/>
  <c r="E43" i="4"/>
  <c r="E42" i="4"/>
  <c r="E41" i="4"/>
  <c r="D40" i="4"/>
  <c r="C40" i="4"/>
  <c r="E39" i="4"/>
  <c r="E38" i="4"/>
  <c r="E37" i="4"/>
  <c r="E36" i="4"/>
  <c r="E35" i="4"/>
  <c r="E34" i="4"/>
  <c r="D33" i="4"/>
  <c r="C33" i="4"/>
  <c r="E31" i="4"/>
  <c r="E30" i="4"/>
  <c r="E29" i="4"/>
  <c r="E28" i="4"/>
  <c r="E27" i="4"/>
  <c r="E26" i="4"/>
  <c r="E25" i="4"/>
  <c r="E24" i="4"/>
  <c r="D23" i="4"/>
  <c r="C23" i="4"/>
  <c r="E22" i="4"/>
  <c r="E21" i="4"/>
  <c r="E20" i="4"/>
  <c r="D19" i="4"/>
  <c r="C19" i="4"/>
  <c r="E18" i="4"/>
  <c r="E17" i="4"/>
  <c r="E16" i="4"/>
  <c r="D15" i="4"/>
  <c r="C15" i="4"/>
  <c r="E14" i="4"/>
  <c r="E13" i="4"/>
  <c r="E12" i="4"/>
  <c r="E11" i="4"/>
  <c r="E10" i="4"/>
  <c r="E9" i="4"/>
  <c r="E8" i="4"/>
  <c r="D7" i="4"/>
  <c r="C7" i="4"/>
  <c r="E6" i="4"/>
  <c r="E5" i="4"/>
  <c r="D4" i="4"/>
  <c r="E14" i="5" l="1"/>
  <c r="D14" i="5"/>
  <c r="C14" i="5"/>
  <c r="E20" i="5"/>
  <c r="D20" i="5"/>
  <c r="C20" i="5"/>
  <c r="E31" i="5"/>
  <c r="D31" i="5"/>
  <c r="C31" i="5"/>
  <c r="E39" i="5"/>
  <c r="D39" i="5"/>
  <c r="C39" i="5"/>
  <c r="E49" i="5"/>
  <c r="D49" i="5"/>
  <c r="C49" i="5"/>
  <c r="E57" i="5"/>
  <c r="D57" i="5"/>
  <c r="C57" i="5"/>
  <c r="E68" i="5"/>
  <c r="D68" i="5"/>
  <c r="C68" i="5"/>
  <c r="E75" i="5"/>
  <c r="C75" i="5"/>
  <c r="D75" i="5"/>
  <c r="E90" i="5"/>
  <c r="D90" i="5"/>
  <c r="C90" i="5"/>
  <c r="E98" i="5"/>
  <c r="D98" i="5"/>
  <c r="C98" i="5"/>
  <c r="E109" i="5"/>
  <c r="D109" i="5"/>
  <c r="C109" i="5"/>
  <c r="E116" i="5"/>
  <c r="D116" i="5"/>
  <c r="C116" i="5"/>
  <c r="E126" i="5"/>
  <c r="D126" i="5"/>
  <c r="C126" i="5"/>
  <c r="E134" i="5"/>
  <c r="D134" i="5"/>
  <c r="C134" i="5"/>
  <c r="E145" i="5"/>
  <c r="D145" i="5"/>
  <c r="C145" i="5"/>
  <c r="E152" i="5"/>
  <c r="D152" i="5"/>
  <c r="C152" i="5"/>
  <c r="E159" i="5"/>
  <c r="D159" i="5"/>
  <c r="C159" i="5"/>
  <c r="E170" i="5"/>
  <c r="D170" i="5"/>
  <c r="C170" i="5"/>
  <c r="E188" i="5"/>
  <c r="D188" i="5"/>
  <c r="C188" i="5"/>
  <c r="E195" i="5"/>
  <c r="D195" i="5"/>
  <c r="C195" i="5"/>
  <c r="E206" i="5"/>
  <c r="D206" i="5"/>
  <c r="C206" i="5"/>
  <c r="E214" i="5"/>
  <c r="D214" i="5"/>
  <c r="C214" i="5"/>
  <c r="E228" i="5"/>
  <c r="D228" i="5"/>
  <c r="C228" i="5"/>
  <c r="E236" i="5"/>
  <c r="D236" i="5"/>
  <c r="C236" i="5"/>
  <c r="E247" i="5"/>
  <c r="D247" i="5"/>
  <c r="C247" i="5"/>
  <c r="E255" i="5"/>
  <c r="D255" i="5"/>
  <c r="C255" i="5"/>
  <c r="E263" i="5"/>
  <c r="D263" i="5"/>
  <c r="C263" i="5"/>
  <c r="E274" i="5"/>
  <c r="D274" i="5"/>
  <c r="C274" i="5"/>
  <c r="E286" i="5"/>
  <c r="D286" i="5"/>
  <c r="C286" i="5"/>
  <c r="E311" i="5"/>
  <c r="D311" i="5"/>
  <c r="C311" i="5"/>
  <c r="E323" i="5"/>
  <c r="D323" i="5"/>
  <c r="C323" i="5"/>
  <c r="E331" i="5"/>
  <c r="D331" i="5"/>
  <c r="C331" i="5"/>
  <c r="E338" i="5"/>
  <c r="D338" i="5"/>
  <c r="C338" i="5"/>
  <c r="E353" i="5"/>
  <c r="D353" i="5"/>
  <c r="C353" i="5"/>
  <c r="E364" i="5"/>
  <c r="D364" i="5"/>
  <c r="C364" i="5"/>
  <c r="E375" i="5"/>
  <c r="D375" i="5"/>
  <c r="C375" i="5"/>
  <c r="E387" i="5"/>
  <c r="D387" i="5"/>
  <c r="C387" i="5"/>
  <c r="E395" i="5"/>
  <c r="D395" i="5"/>
  <c r="C395" i="5"/>
  <c r="E427" i="5"/>
  <c r="D427" i="5"/>
  <c r="C427" i="5"/>
  <c r="E443" i="5"/>
  <c r="D443" i="5"/>
  <c r="C443" i="5"/>
  <c r="E452" i="5"/>
  <c r="D452" i="5"/>
  <c r="C452" i="5"/>
  <c r="E460" i="5"/>
  <c r="D460" i="5"/>
  <c r="C460" i="5"/>
  <c r="E472" i="5"/>
  <c r="D472" i="5"/>
  <c r="C472" i="5"/>
  <c r="E487" i="5"/>
  <c r="D487" i="5"/>
  <c r="C487" i="5"/>
  <c r="E494" i="5"/>
  <c r="D494" i="5"/>
  <c r="C494" i="5"/>
  <c r="E506" i="5"/>
  <c r="D506" i="5"/>
  <c r="C506" i="5"/>
  <c r="E517" i="5"/>
  <c r="D517" i="5"/>
  <c r="C517" i="5"/>
  <c r="E529" i="5"/>
  <c r="D529" i="5"/>
  <c r="C529" i="5"/>
  <c r="E540" i="5"/>
  <c r="D540" i="5"/>
  <c r="C540" i="5"/>
  <c r="E548" i="5"/>
  <c r="D548" i="5"/>
  <c r="C548" i="5"/>
  <c r="E565" i="5"/>
  <c r="D565" i="5"/>
  <c r="C565" i="5"/>
  <c r="E572" i="5"/>
  <c r="D572" i="5"/>
  <c r="C572" i="5"/>
  <c r="E579" i="5"/>
  <c r="D579" i="5"/>
  <c r="C579" i="5"/>
  <c r="E594" i="5"/>
  <c r="D594" i="5"/>
  <c r="C594" i="5"/>
  <c r="E605" i="5"/>
  <c r="D605" i="5"/>
  <c r="C605" i="5"/>
  <c r="E627" i="5"/>
  <c r="D627" i="5"/>
  <c r="C627" i="5"/>
  <c r="E639" i="5"/>
  <c r="D639" i="5"/>
  <c r="C639" i="5"/>
  <c r="E650" i="5"/>
  <c r="D650" i="5"/>
  <c r="C650" i="5"/>
  <c r="E661" i="5"/>
  <c r="D661" i="5"/>
  <c r="C661" i="5"/>
  <c r="E680" i="5"/>
  <c r="D680" i="5"/>
  <c r="C680" i="5"/>
  <c r="E691" i="5"/>
  <c r="D691" i="5"/>
  <c r="C691" i="5"/>
  <c r="E699" i="5"/>
  <c r="D699" i="5"/>
  <c r="C699" i="5"/>
  <c r="E710" i="5"/>
  <c r="D710" i="5"/>
  <c r="C710" i="5"/>
  <c r="E728" i="5"/>
  <c r="D728" i="5"/>
  <c r="C728" i="5"/>
  <c r="E746" i="5"/>
  <c r="D746" i="5"/>
  <c r="C746" i="5"/>
  <c r="E756" i="5"/>
  <c r="D756" i="5"/>
  <c r="C756" i="5"/>
  <c r="E779" i="5"/>
  <c r="D779" i="5"/>
  <c r="C779" i="5"/>
  <c r="E790" i="5"/>
  <c r="D790" i="5"/>
  <c r="C790" i="5"/>
  <c r="E798" i="5"/>
  <c r="D798" i="5"/>
  <c r="C798" i="5"/>
  <c r="E810" i="5"/>
  <c r="D810" i="5"/>
  <c r="C810" i="5"/>
  <c r="E821" i="5"/>
  <c r="D821" i="5"/>
  <c r="C821" i="5"/>
  <c r="E843" i="5"/>
  <c r="D843" i="5"/>
  <c r="C843" i="5"/>
  <c r="E858" i="5"/>
  <c r="D858" i="5"/>
  <c r="C858" i="5"/>
  <c r="E869" i="5"/>
  <c r="D869" i="5"/>
  <c r="C869" i="5"/>
  <c r="E879" i="5"/>
  <c r="D879" i="5"/>
  <c r="C879" i="5"/>
  <c r="E889" i="5"/>
  <c r="D889" i="5"/>
  <c r="C889" i="5"/>
  <c r="E906" i="5"/>
  <c r="D906" i="5"/>
  <c r="C906" i="5"/>
  <c r="E913" i="5"/>
  <c r="D913" i="5"/>
  <c r="C913" i="5"/>
  <c r="E925" i="5"/>
  <c r="D925" i="5"/>
  <c r="C925" i="5"/>
  <c r="E942" i="5"/>
  <c r="D942" i="5"/>
  <c r="C942" i="5"/>
  <c r="E949" i="5"/>
  <c r="D949" i="5"/>
  <c r="C949" i="5"/>
  <c r="E963" i="5"/>
  <c r="D963" i="5"/>
  <c r="C963" i="5"/>
  <c r="E989" i="5"/>
  <c r="D989" i="5"/>
  <c r="C989" i="5"/>
  <c r="E1002" i="5"/>
  <c r="D1002" i="5"/>
  <c r="C1002" i="5"/>
  <c r="E1014" i="5"/>
  <c r="D1014" i="5"/>
  <c r="C1014" i="5"/>
  <c r="E1021" i="5"/>
  <c r="D1021" i="5"/>
  <c r="C1021" i="5"/>
  <c r="E1033" i="5"/>
  <c r="D1033" i="5"/>
  <c r="C1033" i="5"/>
  <c r="E1040" i="5"/>
  <c r="D1040" i="5"/>
  <c r="C1040" i="5"/>
  <c r="E1060" i="5"/>
  <c r="D1060" i="5"/>
  <c r="C1060" i="5"/>
  <c r="E1072" i="5"/>
  <c r="D1072" i="5"/>
  <c r="C1072" i="5"/>
  <c r="E1098" i="5"/>
  <c r="D1098" i="5"/>
  <c r="C1098" i="5"/>
  <c r="E1106" i="5"/>
  <c r="D1106" i="5"/>
  <c r="C1106" i="5"/>
  <c r="E1117" i="5"/>
  <c r="D1117" i="5"/>
  <c r="C1117" i="5"/>
  <c r="E1129" i="5"/>
  <c r="D1129" i="5"/>
  <c r="C1129" i="5"/>
  <c r="E1158" i="5"/>
  <c r="D1158" i="5"/>
  <c r="C1158" i="5"/>
  <c r="E1165" i="5"/>
  <c r="D1165" i="5"/>
  <c r="C1165" i="5"/>
  <c r="E1172" i="5"/>
  <c r="D1172" i="5"/>
  <c r="C1172" i="5"/>
  <c r="E1180" i="5"/>
  <c r="D1180" i="5"/>
  <c r="C1180" i="5"/>
  <c r="E1191" i="5"/>
  <c r="C1191" i="5"/>
  <c r="D1191" i="5"/>
  <c r="E1203" i="5"/>
  <c r="D1203" i="5"/>
  <c r="C1203" i="5"/>
  <c r="E1219" i="5"/>
  <c r="D1219" i="5"/>
  <c r="C1219" i="5"/>
  <c r="E1230" i="5"/>
  <c r="D1230" i="5"/>
  <c r="C1230" i="5"/>
  <c r="E1242" i="5"/>
  <c r="D1242" i="5"/>
  <c r="C1242" i="5"/>
  <c r="E1254" i="5"/>
  <c r="D1254" i="5"/>
  <c r="C1254" i="5"/>
  <c r="E1265" i="5"/>
  <c r="D1265" i="5"/>
  <c r="C1265" i="5"/>
  <c r="E1275" i="5"/>
  <c r="D1275" i="5"/>
  <c r="C1275" i="5"/>
  <c r="E1282" i="5"/>
  <c r="D1282" i="5"/>
  <c r="C1282" i="5"/>
  <c r="E1294" i="5"/>
  <c r="D1294" i="5"/>
  <c r="C1294" i="5"/>
  <c r="E1301" i="5"/>
  <c r="D1301" i="5"/>
  <c r="C1301" i="5"/>
  <c r="E1308" i="5"/>
  <c r="D1308" i="5"/>
  <c r="C1308" i="5"/>
  <c r="E1316" i="5"/>
  <c r="D1316" i="5"/>
  <c r="C1316" i="5"/>
  <c r="E1327" i="5"/>
  <c r="D1327" i="5"/>
  <c r="C1327" i="5"/>
  <c r="E1359" i="5"/>
  <c r="D1359" i="5"/>
  <c r="C1359" i="5"/>
  <c r="E1376" i="5"/>
  <c r="D1376" i="5"/>
  <c r="C1376" i="5"/>
  <c r="E1403" i="5"/>
  <c r="D1403" i="5"/>
  <c r="C1403" i="5"/>
  <c r="E1413" i="5"/>
  <c r="D1413" i="5"/>
  <c r="C1413" i="5"/>
  <c r="E1434" i="5"/>
  <c r="D1434" i="5"/>
  <c r="C1434" i="5"/>
  <c r="E1459" i="5"/>
  <c r="D1459" i="5"/>
  <c r="C1459" i="5"/>
  <c r="E1468" i="5"/>
  <c r="D1468" i="5"/>
  <c r="C1468" i="5"/>
  <c r="E1475" i="5"/>
  <c r="D1475" i="5"/>
  <c r="C1475" i="5"/>
  <c r="E1521" i="5"/>
  <c r="D1521" i="5"/>
  <c r="C1521" i="5"/>
  <c r="E1531" i="5"/>
  <c r="D1531" i="5"/>
  <c r="C1531" i="5"/>
  <c r="E1539" i="5"/>
  <c r="D1539" i="5"/>
  <c r="C1539" i="5"/>
  <c r="E1562" i="5"/>
  <c r="D1562" i="5"/>
  <c r="C1562" i="5"/>
  <c r="E1574" i="5"/>
  <c r="D1574" i="5"/>
  <c r="C1574" i="5"/>
  <c r="E1581" i="5"/>
  <c r="D1581" i="5"/>
  <c r="C1581" i="5"/>
  <c r="E1593" i="5"/>
  <c r="D1593" i="5"/>
  <c r="C1593" i="5"/>
  <c r="E1609" i="5"/>
  <c r="D1609" i="5"/>
  <c r="C1609" i="5"/>
  <c r="E1616" i="5"/>
  <c r="D1616" i="5"/>
  <c r="C1616" i="5"/>
  <c r="E1637" i="5"/>
  <c r="C1637" i="5"/>
  <c r="D1637" i="5"/>
  <c r="E1661" i="5"/>
  <c r="D1661" i="5"/>
  <c r="C1661" i="5"/>
  <c r="E1679" i="5"/>
  <c r="D1679" i="5"/>
  <c r="C1679" i="5"/>
  <c r="E1697" i="5"/>
  <c r="D1697" i="5"/>
  <c r="C1697" i="5"/>
  <c r="E1740" i="5"/>
  <c r="D1740" i="5"/>
  <c r="C1740" i="5"/>
  <c r="E1748" i="5"/>
  <c r="D1748" i="5"/>
  <c r="C1748" i="5"/>
  <c r="E1760" i="5"/>
  <c r="D1760" i="5"/>
  <c r="C1760" i="5"/>
  <c r="E1772" i="5"/>
  <c r="D1772" i="5"/>
  <c r="C1772" i="5"/>
  <c r="E1781" i="5"/>
  <c r="D1781" i="5"/>
  <c r="C1781" i="5"/>
  <c r="E1793" i="5"/>
  <c r="D1793" i="5"/>
  <c r="C1793" i="5"/>
  <c r="E1800" i="5"/>
  <c r="D1800" i="5"/>
  <c r="C1800" i="5"/>
  <c r="E1812" i="5"/>
  <c r="D1812" i="5"/>
  <c r="C1812" i="5"/>
  <c r="E1816" i="5"/>
  <c r="D1816" i="5"/>
  <c r="C1816" i="5"/>
  <c r="E1828" i="5"/>
  <c r="D1828" i="5"/>
  <c r="C1828" i="5"/>
  <c r="E1835" i="5"/>
  <c r="D1835" i="5"/>
  <c r="C1835" i="5"/>
  <c r="E1845" i="5"/>
  <c r="D1845" i="5"/>
  <c r="C1845" i="5"/>
  <c r="E1852" i="5"/>
  <c r="D1852" i="5"/>
  <c r="C1852" i="5"/>
  <c r="E1862" i="5"/>
  <c r="D1862" i="5"/>
  <c r="C1862" i="5"/>
  <c r="E1870" i="5"/>
  <c r="D1870" i="5"/>
  <c r="C1870" i="5"/>
  <c r="E1881" i="5"/>
  <c r="D1881" i="5"/>
  <c r="C1881" i="5"/>
  <c r="E1890" i="5"/>
  <c r="D1890" i="5"/>
  <c r="C1890" i="5"/>
  <c r="E1949" i="5"/>
  <c r="D1949" i="5"/>
  <c r="C1949" i="5"/>
  <c r="E1956" i="5"/>
  <c r="D1956" i="5"/>
  <c r="C1956" i="5"/>
  <c r="E1968" i="5"/>
  <c r="D1968" i="5"/>
  <c r="C1968" i="5"/>
  <c r="E1980" i="5"/>
  <c r="D1980" i="5"/>
  <c r="C1980" i="5"/>
  <c r="E1992" i="5"/>
  <c r="D1992" i="5"/>
  <c r="C1992" i="5"/>
  <c r="E2000" i="5"/>
  <c r="D2000" i="5"/>
  <c r="C2000" i="5"/>
  <c r="E2011" i="5"/>
  <c r="D2011" i="5"/>
  <c r="C2011" i="5"/>
  <c r="E2019" i="5"/>
  <c r="D2019" i="5"/>
  <c r="C2019" i="5"/>
  <c r="E2043" i="5"/>
  <c r="D2043" i="5"/>
  <c r="C2043" i="5"/>
  <c r="E2050" i="5"/>
  <c r="D2050" i="5"/>
  <c r="C2050" i="5"/>
  <c r="E2061" i="5"/>
  <c r="D2061" i="5"/>
  <c r="C2061" i="5"/>
  <c r="E2068" i="5"/>
  <c r="D2068" i="5"/>
  <c r="C2068" i="5"/>
  <c r="E2079" i="5"/>
  <c r="D2079" i="5"/>
  <c r="C2079" i="5"/>
  <c r="E2090" i="5"/>
  <c r="D2090" i="5"/>
  <c r="C2090" i="5"/>
  <c r="E2102" i="5"/>
  <c r="D2102" i="5"/>
  <c r="C2102" i="5"/>
  <c r="E2109" i="5"/>
  <c r="D2109" i="5"/>
  <c r="C2109" i="5"/>
  <c r="E2128" i="5"/>
  <c r="D2128" i="5"/>
  <c r="C2128" i="5"/>
  <c r="E2140" i="5"/>
  <c r="D2140" i="5"/>
  <c r="C2140" i="5"/>
  <c r="E2151" i="5"/>
  <c r="D2151" i="5"/>
  <c r="C2151" i="5"/>
  <c r="E2183" i="5"/>
  <c r="D2183" i="5"/>
  <c r="C2183" i="5"/>
  <c r="E2191" i="5"/>
  <c r="D2191" i="5"/>
  <c r="C2191" i="5"/>
  <c r="E2209" i="5"/>
  <c r="D2209" i="5"/>
  <c r="C2209" i="5"/>
  <c r="E2231" i="5"/>
  <c r="D2231" i="5"/>
  <c r="C2231" i="5"/>
  <c r="E2249" i="5"/>
  <c r="D2249" i="5"/>
  <c r="C2249" i="5"/>
  <c r="E2256" i="5"/>
  <c r="D2256" i="5"/>
  <c r="C2256" i="5"/>
  <c r="E2277" i="5"/>
  <c r="D2277" i="5"/>
  <c r="C2277" i="5"/>
  <c r="E2285" i="5"/>
  <c r="D2285" i="5"/>
  <c r="C2285" i="5"/>
  <c r="E2297" i="5"/>
  <c r="D2297" i="5"/>
  <c r="C2297" i="5"/>
  <c r="E2305" i="5"/>
  <c r="D2305" i="5"/>
  <c r="C2305" i="5"/>
  <c r="E2316" i="5"/>
  <c r="D2316" i="5"/>
  <c r="C2316" i="5"/>
  <c r="E2328" i="5"/>
  <c r="D2328" i="5"/>
  <c r="C2328" i="5"/>
  <c r="E2331" i="5"/>
  <c r="D2331" i="5"/>
  <c r="C2331" i="5"/>
  <c r="E2339" i="5"/>
  <c r="D2339" i="5"/>
  <c r="C2339" i="5"/>
  <c r="E2350" i="5"/>
  <c r="D2350" i="5"/>
  <c r="C2350" i="5"/>
  <c r="E2358" i="5"/>
  <c r="D2358" i="5"/>
  <c r="C2358" i="5"/>
  <c r="E2370" i="5"/>
  <c r="D2370" i="5"/>
  <c r="C2370" i="5"/>
  <c r="E2390" i="5"/>
  <c r="D2390" i="5"/>
  <c r="C2390" i="5"/>
  <c r="E2400" i="5"/>
  <c r="D2400" i="5"/>
  <c r="C2400" i="5"/>
  <c r="E2420" i="5"/>
  <c r="D2420" i="5"/>
  <c r="C2420" i="5"/>
  <c r="E2427" i="5"/>
  <c r="D2427" i="5"/>
  <c r="C2427" i="5"/>
  <c r="E2439" i="5"/>
  <c r="D2439" i="5"/>
  <c r="C2439" i="5"/>
  <c r="E2446" i="5"/>
  <c r="D2446" i="5"/>
  <c r="C2446" i="5"/>
  <c r="E2458" i="5"/>
  <c r="D2458" i="5"/>
  <c r="C2458" i="5"/>
  <c r="E2479" i="5"/>
  <c r="D2479" i="5"/>
  <c r="C2479" i="5"/>
  <c r="E2503" i="5"/>
  <c r="D2503" i="5"/>
  <c r="C2503" i="5"/>
  <c r="E2514" i="5"/>
  <c r="D2514" i="5"/>
  <c r="C2514" i="5"/>
  <c r="E2526" i="5"/>
  <c r="D2526" i="5"/>
  <c r="C2526" i="5"/>
  <c r="E2530" i="5"/>
  <c r="D2530" i="5"/>
  <c r="C2530" i="5"/>
  <c r="E2542" i="5"/>
  <c r="D2542" i="5"/>
  <c r="C2542" i="5"/>
  <c r="E2550" i="5"/>
  <c r="D2550" i="5"/>
  <c r="C2550" i="5"/>
  <c r="E2562" i="5"/>
  <c r="D2562" i="5"/>
  <c r="C2562" i="5"/>
  <c r="E2577" i="5"/>
  <c r="D2577" i="5"/>
  <c r="C2577" i="5"/>
  <c r="E2587" i="5"/>
  <c r="D2587" i="5"/>
  <c r="C2587" i="5"/>
  <c r="E2611" i="5"/>
  <c r="D2611" i="5"/>
  <c r="C2611" i="5"/>
  <c r="E2622" i="5"/>
  <c r="D2622" i="5"/>
  <c r="C2622" i="5"/>
  <c r="E2633" i="5"/>
  <c r="D2633" i="5"/>
  <c r="C2633" i="5"/>
  <c r="E2644" i="5"/>
  <c r="D2644" i="5"/>
  <c r="C2644" i="5"/>
  <c r="E2667" i="5"/>
  <c r="D2667" i="5"/>
  <c r="C2667" i="5"/>
  <c r="E2674" i="5"/>
  <c r="D2674" i="5"/>
  <c r="C2674" i="5"/>
  <c r="E2685" i="5"/>
  <c r="D2685" i="5"/>
  <c r="C2685" i="5"/>
  <c r="E2696" i="5"/>
  <c r="D2696" i="5"/>
  <c r="C2696" i="5"/>
  <c r="E2719" i="5"/>
  <c r="D2719" i="5"/>
  <c r="C2719" i="5"/>
  <c r="E2726" i="5"/>
  <c r="C2726" i="5"/>
  <c r="D2726" i="5"/>
  <c r="E2737" i="5"/>
  <c r="D2737" i="5"/>
  <c r="C2737" i="5"/>
  <c r="E2748" i="5"/>
  <c r="D2748" i="5"/>
  <c r="C2748" i="5"/>
  <c r="E2771" i="5"/>
  <c r="D2771" i="5"/>
  <c r="C2771" i="5"/>
  <c r="E2779" i="5"/>
  <c r="D2779" i="5"/>
  <c r="C2779" i="5"/>
  <c r="E2790" i="5"/>
  <c r="C2790" i="5"/>
  <c r="D2790" i="5"/>
  <c r="E2801" i="5"/>
  <c r="D2801" i="5"/>
  <c r="C2801" i="5"/>
  <c r="E2812" i="5"/>
  <c r="D2812" i="5"/>
  <c r="C2812" i="5"/>
  <c r="E2823" i="5"/>
  <c r="D2823" i="5"/>
  <c r="C2823" i="5"/>
  <c r="E2831" i="5"/>
  <c r="D2831" i="5"/>
  <c r="C2831" i="5"/>
  <c r="E2838" i="5"/>
  <c r="D2838" i="5"/>
  <c r="C2838" i="5"/>
  <c r="E2849" i="5"/>
  <c r="D2849" i="5"/>
  <c r="C2849" i="5"/>
  <c r="E2860" i="5"/>
  <c r="D2860" i="5"/>
  <c r="C2860" i="5"/>
  <c r="E2868" i="5"/>
  <c r="D2868" i="5"/>
  <c r="C2868" i="5"/>
  <c r="E2890" i="5"/>
  <c r="D2890" i="5"/>
  <c r="C2890" i="5"/>
  <c r="E2897" i="5"/>
  <c r="D2897" i="5"/>
  <c r="C2897" i="5"/>
  <c r="E2905" i="5"/>
  <c r="D2905" i="5"/>
  <c r="C2905" i="5"/>
  <c r="E2916" i="5"/>
  <c r="D2916" i="5"/>
  <c r="C2916" i="5"/>
  <c r="E2923" i="5"/>
  <c r="D2923" i="5"/>
  <c r="C2923" i="5"/>
  <c r="E2934" i="5"/>
  <c r="D2934" i="5"/>
  <c r="C2934" i="5"/>
  <c r="E2945" i="5"/>
  <c r="D2945" i="5"/>
  <c r="C2945" i="5"/>
  <c r="E2953" i="5"/>
  <c r="D2953" i="5"/>
  <c r="C2953" i="5"/>
  <c r="E2964" i="5"/>
  <c r="D2964" i="5"/>
  <c r="C2964" i="5"/>
  <c r="E2971" i="5"/>
  <c r="D2971" i="5"/>
  <c r="C2971" i="5"/>
  <c r="E2982" i="5"/>
  <c r="C2982" i="5"/>
  <c r="D2982" i="5"/>
  <c r="E2993" i="5"/>
  <c r="D2993" i="5"/>
  <c r="C2993" i="5"/>
  <c r="E3001" i="5"/>
  <c r="D3001" i="5"/>
  <c r="C3001" i="5"/>
  <c r="E3012" i="5"/>
  <c r="D3012" i="5"/>
  <c r="C3012" i="5"/>
  <c r="E3034" i="5"/>
  <c r="D3034" i="5"/>
  <c r="C3034" i="5"/>
  <c r="E3041" i="5"/>
  <c r="D3041" i="5"/>
  <c r="C3041" i="5"/>
  <c r="E3056" i="5"/>
  <c r="D3056" i="5"/>
  <c r="C3056" i="5"/>
  <c r="E3063" i="5"/>
  <c r="D3063" i="5"/>
  <c r="C3063" i="5"/>
  <c r="E3093" i="5"/>
  <c r="D3093" i="5"/>
  <c r="C3093" i="5"/>
  <c r="E3104" i="5"/>
  <c r="D3104" i="5"/>
  <c r="C3104" i="5"/>
  <c r="E3115" i="5"/>
  <c r="D3115" i="5"/>
  <c r="C3115" i="5"/>
  <c r="E3126" i="5"/>
  <c r="D3126" i="5"/>
  <c r="C3126" i="5"/>
  <c r="E3137" i="5"/>
  <c r="D3137" i="5"/>
  <c r="C3137" i="5"/>
  <c r="E3152" i="5"/>
  <c r="D3152" i="5"/>
  <c r="C3152" i="5"/>
  <c r="E3159" i="5"/>
  <c r="D3159" i="5"/>
  <c r="C3159" i="5"/>
  <c r="E3193" i="5"/>
  <c r="D3193" i="5"/>
  <c r="C3193" i="5"/>
  <c r="E3200" i="5"/>
  <c r="D3200" i="5"/>
  <c r="C3200" i="5"/>
  <c r="E3208" i="5"/>
  <c r="D3208" i="5"/>
  <c r="C3208" i="5"/>
  <c r="E3238" i="5"/>
  <c r="C3238" i="5"/>
  <c r="D3238" i="5"/>
  <c r="E3245" i="5"/>
  <c r="D3245" i="5"/>
  <c r="C3245" i="5"/>
  <c r="E3253" i="5"/>
  <c r="D3253" i="5"/>
  <c r="C3253" i="5"/>
  <c r="E3260" i="5"/>
  <c r="D3260" i="5"/>
  <c r="C3260" i="5"/>
  <c r="E3272" i="5"/>
  <c r="D3272" i="5"/>
  <c r="C3272" i="5"/>
  <c r="E2584" i="5"/>
  <c r="D2584" i="5"/>
  <c r="C2584" i="5"/>
  <c r="E3283" i="5"/>
  <c r="D3283" i="5"/>
  <c r="C3283" i="5"/>
  <c r="E3287" i="5"/>
  <c r="D3287" i="5"/>
  <c r="C3287" i="5"/>
  <c r="E3291" i="5"/>
  <c r="D3291" i="5"/>
  <c r="C3291" i="5"/>
  <c r="E3294" i="5"/>
  <c r="D3294" i="5"/>
  <c r="C3294" i="5"/>
  <c r="E3298" i="5"/>
  <c r="D3298" i="5"/>
  <c r="C3298" i="5"/>
  <c r="E3302" i="5"/>
  <c r="D3302" i="5"/>
  <c r="C3302" i="5"/>
  <c r="E3305" i="5"/>
  <c r="D3305" i="5"/>
  <c r="C3305" i="5"/>
  <c r="E3309" i="5"/>
  <c r="D3309" i="5"/>
  <c r="C3309" i="5"/>
  <c r="E3313" i="5"/>
  <c r="D3313" i="5"/>
  <c r="C3313" i="5"/>
  <c r="E3320" i="5"/>
  <c r="D3320" i="5"/>
  <c r="C3320" i="5"/>
  <c r="E3324" i="5"/>
  <c r="D3324" i="5"/>
  <c r="C3324" i="5"/>
  <c r="E3331" i="5"/>
  <c r="D3331" i="5"/>
  <c r="C3331" i="5"/>
  <c r="E3335" i="5"/>
  <c r="D3335" i="5"/>
  <c r="C3335" i="5"/>
  <c r="E3339" i="5"/>
  <c r="D3339" i="5"/>
  <c r="C3339" i="5"/>
  <c r="E3343" i="5"/>
  <c r="D3343" i="5"/>
  <c r="C3343" i="5"/>
  <c r="E3347" i="5"/>
  <c r="D3347" i="5"/>
  <c r="C3347" i="5"/>
  <c r="E3351" i="5"/>
  <c r="D3351" i="5"/>
  <c r="C3351" i="5"/>
  <c r="E3354" i="5"/>
  <c r="D3354" i="5"/>
  <c r="C3354" i="5"/>
  <c r="E3358" i="5"/>
  <c r="D3358" i="5"/>
  <c r="C3358" i="5"/>
  <c r="E3362" i="5"/>
  <c r="D3362" i="5"/>
  <c r="C3362" i="5"/>
  <c r="E3369" i="5"/>
  <c r="D3369" i="5"/>
  <c r="C3369" i="5"/>
  <c r="E3373" i="5"/>
  <c r="D3373" i="5"/>
  <c r="C3373" i="5"/>
  <c r="E3377" i="5"/>
  <c r="D3377" i="5"/>
  <c r="C3377" i="5"/>
  <c r="E3381" i="5"/>
  <c r="D3381" i="5"/>
  <c r="C3381" i="5"/>
  <c r="E3385" i="5"/>
  <c r="D3385" i="5"/>
  <c r="C3385" i="5"/>
  <c r="E3389" i="5"/>
  <c r="D3389" i="5"/>
  <c r="C3389" i="5"/>
  <c r="E3392" i="5"/>
  <c r="D3392" i="5"/>
  <c r="C3392" i="5"/>
  <c r="E3396" i="5"/>
  <c r="D3396" i="5"/>
  <c r="C3396" i="5"/>
  <c r="E3400" i="5"/>
  <c r="D3400" i="5"/>
  <c r="C3400" i="5"/>
  <c r="E3407" i="5"/>
  <c r="D3407" i="5"/>
  <c r="C3407" i="5"/>
  <c r="E3411" i="5"/>
  <c r="D3411" i="5"/>
  <c r="C3411" i="5"/>
  <c r="E3418" i="5"/>
  <c r="D3418" i="5"/>
  <c r="C3418" i="5"/>
  <c r="E3422" i="5"/>
  <c r="D3422" i="5"/>
  <c r="C3422" i="5"/>
  <c r="E3426" i="5"/>
  <c r="D3426" i="5"/>
  <c r="C3426" i="5"/>
  <c r="E3429" i="5"/>
  <c r="D3429" i="5"/>
  <c r="C3429" i="5"/>
  <c r="E3433" i="5"/>
  <c r="D3433" i="5"/>
  <c r="C3433" i="5"/>
  <c r="E3437" i="5"/>
  <c r="D3437" i="5"/>
  <c r="C3437" i="5"/>
  <c r="E3440" i="5"/>
  <c r="D3440" i="5"/>
  <c r="C3440" i="5"/>
  <c r="E3444" i="5"/>
  <c r="D3444" i="5"/>
  <c r="C3444" i="5"/>
  <c r="E3448" i="5"/>
  <c r="D3448" i="5"/>
  <c r="C3448" i="5"/>
  <c r="E3455" i="5"/>
  <c r="D3455" i="5"/>
  <c r="C3455" i="5"/>
  <c r="E3459" i="5"/>
  <c r="D3459" i="5"/>
  <c r="C3459" i="5"/>
  <c r="E3466" i="5"/>
  <c r="D3466" i="5"/>
  <c r="C3466" i="5"/>
  <c r="E3470" i="5"/>
  <c r="D3470" i="5"/>
  <c r="C3470" i="5"/>
  <c r="E3474" i="5"/>
  <c r="D3474" i="5"/>
  <c r="C3474" i="5"/>
  <c r="E3477" i="5"/>
  <c r="D3477" i="5"/>
  <c r="C3477" i="5"/>
  <c r="E3481" i="5"/>
  <c r="D3481" i="5"/>
  <c r="C3481" i="5"/>
  <c r="E3485" i="5"/>
  <c r="D3485" i="5"/>
  <c r="C3485" i="5"/>
  <c r="D3488" i="5"/>
  <c r="E3488" i="5"/>
  <c r="C3488" i="5"/>
  <c r="E3492" i="5"/>
  <c r="D3492" i="5"/>
  <c r="C3492" i="5"/>
  <c r="E3496" i="5"/>
  <c r="D3496" i="5"/>
  <c r="C3496" i="5"/>
  <c r="E3508" i="5"/>
  <c r="D3508" i="5"/>
  <c r="C3508" i="5"/>
  <c r="E3529" i="5"/>
  <c r="D3529" i="5"/>
  <c r="C3529" i="5"/>
  <c r="E3549" i="5"/>
  <c r="D3549" i="5"/>
  <c r="C3549" i="5"/>
  <c r="E3583" i="5"/>
  <c r="D3583" i="5"/>
  <c r="C3583" i="5"/>
  <c r="E3595" i="5"/>
  <c r="D3595" i="5"/>
  <c r="C3595" i="5"/>
  <c r="E3642" i="5"/>
  <c r="C3642" i="5"/>
  <c r="D3642" i="5"/>
  <c r="E3667" i="5"/>
  <c r="D3667" i="5"/>
  <c r="C3667" i="5"/>
  <c r="E3687" i="5"/>
  <c r="D3687" i="5"/>
  <c r="C3687" i="5"/>
  <c r="E3705" i="5"/>
  <c r="D3705" i="5"/>
  <c r="C3705" i="5"/>
  <c r="E3725" i="5"/>
  <c r="D3725" i="5"/>
  <c r="C3725" i="5"/>
  <c r="E11" i="5"/>
  <c r="D11" i="5"/>
  <c r="C11" i="5"/>
  <c r="E18" i="5"/>
  <c r="D18" i="5"/>
  <c r="C18" i="5"/>
  <c r="E21" i="5"/>
  <c r="D21" i="5"/>
  <c r="C21" i="5"/>
  <c r="E24" i="5"/>
  <c r="D24" i="5"/>
  <c r="C24" i="5"/>
  <c r="E28" i="5"/>
  <c r="D28" i="5"/>
  <c r="C28" i="5"/>
  <c r="E36" i="5"/>
  <c r="D36" i="5"/>
  <c r="C36" i="5"/>
  <c r="E43" i="5"/>
  <c r="D43" i="5"/>
  <c r="C43" i="5"/>
  <c r="E46" i="5"/>
  <c r="D46" i="5"/>
  <c r="C46" i="5"/>
  <c r="E50" i="5"/>
  <c r="D50" i="5"/>
  <c r="C50" i="5"/>
  <c r="E54" i="5"/>
  <c r="D54" i="5"/>
  <c r="C54" i="5"/>
  <c r="E58" i="5"/>
  <c r="D58" i="5"/>
  <c r="C58" i="5"/>
  <c r="E62" i="5"/>
  <c r="D62" i="5"/>
  <c r="C62" i="5"/>
  <c r="E69" i="5"/>
  <c r="D69" i="5"/>
  <c r="C69" i="5"/>
  <c r="E73" i="5"/>
  <c r="D73" i="5"/>
  <c r="C73" i="5"/>
  <c r="E76" i="5"/>
  <c r="D76" i="5"/>
  <c r="C76" i="5"/>
  <c r="E80" i="5"/>
  <c r="D80" i="5"/>
  <c r="C80" i="5"/>
  <c r="E84" i="5"/>
  <c r="D84" i="5"/>
  <c r="C84" i="5"/>
  <c r="E91" i="5"/>
  <c r="D91" i="5"/>
  <c r="C91" i="5"/>
  <c r="E95" i="5"/>
  <c r="D95" i="5"/>
  <c r="C95" i="5"/>
  <c r="E99" i="5"/>
  <c r="D99" i="5"/>
  <c r="C99" i="5"/>
  <c r="E103" i="5"/>
  <c r="D103" i="5"/>
  <c r="C103" i="5"/>
  <c r="E110" i="5"/>
  <c r="D110" i="5"/>
  <c r="C110" i="5"/>
  <c r="E117" i="5"/>
  <c r="D117" i="5"/>
  <c r="C117" i="5"/>
  <c r="E120" i="5"/>
  <c r="D120" i="5"/>
  <c r="C120" i="5"/>
  <c r="E124" i="5"/>
  <c r="D124" i="5"/>
  <c r="C124" i="5"/>
  <c r="E127" i="5"/>
  <c r="D127" i="5"/>
  <c r="C127" i="5"/>
  <c r="E131" i="5"/>
  <c r="D131" i="5"/>
  <c r="C131" i="5"/>
  <c r="E135" i="5"/>
  <c r="D135" i="5"/>
  <c r="C135" i="5"/>
  <c r="E138" i="5"/>
  <c r="D138" i="5"/>
  <c r="C138" i="5"/>
  <c r="E142" i="5"/>
  <c r="D142" i="5"/>
  <c r="C142" i="5"/>
  <c r="E146" i="5"/>
  <c r="D146" i="5"/>
  <c r="C146" i="5"/>
  <c r="E149" i="5"/>
  <c r="D149" i="5"/>
  <c r="C149" i="5"/>
  <c r="E153" i="5"/>
  <c r="D153" i="5"/>
  <c r="C153" i="5"/>
  <c r="E157" i="5"/>
  <c r="D157" i="5"/>
  <c r="C157" i="5"/>
  <c r="E160" i="5"/>
  <c r="D160" i="5"/>
  <c r="C160" i="5"/>
  <c r="E164" i="5"/>
  <c r="D164" i="5"/>
  <c r="C164" i="5"/>
  <c r="E168" i="5"/>
  <c r="D168" i="5"/>
  <c r="C168" i="5"/>
  <c r="E171" i="5"/>
  <c r="D171" i="5"/>
  <c r="C171" i="5"/>
  <c r="E174" i="5"/>
  <c r="D174" i="5"/>
  <c r="C174" i="5"/>
  <c r="E177" i="5"/>
  <c r="D177" i="5"/>
  <c r="C177" i="5"/>
  <c r="E181" i="5"/>
  <c r="D181" i="5"/>
  <c r="C181" i="5"/>
  <c r="E185" i="5"/>
  <c r="D185" i="5"/>
  <c r="C185" i="5"/>
  <c r="E192" i="5"/>
  <c r="D192" i="5"/>
  <c r="C192" i="5"/>
  <c r="E199" i="5"/>
  <c r="D199" i="5"/>
  <c r="C199" i="5"/>
  <c r="E203" i="5"/>
  <c r="D203" i="5"/>
  <c r="C203" i="5"/>
  <c r="E207" i="5"/>
  <c r="D207" i="5"/>
  <c r="C207" i="5"/>
  <c r="E211" i="5"/>
  <c r="D211" i="5"/>
  <c r="C211" i="5"/>
  <c r="E215" i="5"/>
  <c r="D215" i="5"/>
  <c r="C215" i="5"/>
  <c r="E219" i="5"/>
  <c r="D219" i="5"/>
  <c r="C219" i="5"/>
  <c r="E223" i="5"/>
  <c r="D223" i="5"/>
  <c r="C223" i="5"/>
  <c r="E229" i="5"/>
  <c r="D229" i="5"/>
  <c r="C229" i="5"/>
  <c r="E233" i="5"/>
  <c r="D233" i="5"/>
  <c r="C233" i="5"/>
  <c r="E237" i="5"/>
  <c r="D237" i="5"/>
  <c r="C237" i="5"/>
  <c r="E240" i="5"/>
  <c r="D240" i="5"/>
  <c r="C240" i="5"/>
  <c r="E244" i="5"/>
  <c r="D244" i="5"/>
  <c r="C244" i="5"/>
  <c r="E248" i="5"/>
  <c r="D248" i="5"/>
  <c r="C248" i="5"/>
  <c r="E252" i="5"/>
  <c r="D252" i="5"/>
  <c r="C252" i="5"/>
  <c r="E256" i="5"/>
  <c r="D256" i="5"/>
  <c r="C256" i="5"/>
  <c r="E260" i="5"/>
  <c r="D260" i="5"/>
  <c r="C260" i="5"/>
  <c r="E264" i="5"/>
  <c r="D264" i="5"/>
  <c r="C264" i="5"/>
  <c r="E268" i="5"/>
  <c r="D268" i="5"/>
  <c r="C268" i="5"/>
  <c r="E275" i="5"/>
  <c r="D275" i="5"/>
  <c r="C275" i="5"/>
  <c r="E279" i="5"/>
  <c r="D279" i="5"/>
  <c r="C279" i="5"/>
  <c r="E283" i="5"/>
  <c r="D283" i="5"/>
  <c r="C283" i="5"/>
  <c r="E287" i="5"/>
  <c r="D287" i="5"/>
  <c r="C287" i="5"/>
  <c r="E291" i="5"/>
  <c r="D291" i="5"/>
  <c r="C291" i="5"/>
  <c r="E295" i="5"/>
  <c r="D295" i="5"/>
  <c r="C295" i="5"/>
  <c r="E298" i="5"/>
  <c r="D298" i="5"/>
  <c r="C298" i="5"/>
  <c r="E301" i="5"/>
  <c r="D301" i="5"/>
  <c r="C301" i="5"/>
  <c r="E304" i="5"/>
  <c r="D304" i="5"/>
  <c r="C304" i="5"/>
  <c r="E308" i="5"/>
  <c r="D308" i="5"/>
  <c r="C308" i="5"/>
  <c r="E312" i="5"/>
  <c r="D312" i="5"/>
  <c r="C312" i="5"/>
  <c r="E316" i="5"/>
  <c r="D316" i="5"/>
  <c r="C316" i="5"/>
  <c r="E320" i="5"/>
  <c r="D320" i="5"/>
  <c r="C320" i="5"/>
  <c r="E324" i="5"/>
  <c r="D324" i="5"/>
  <c r="C324" i="5"/>
  <c r="E328" i="5"/>
  <c r="D328" i="5"/>
  <c r="C328" i="5"/>
  <c r="E332" i="5"/>
  <c r="D332" i="5"/>
  <c r="C332" i="5"/>
  <c r="E335" i="5"/>
  <c r="D335" i="5"/>
  <c r="C335" i="5"/>
  <c r="E339" i="5"/>
  <c r="D339" i="5"/>
  <c r="C339" i="5"/>
  <c r="E343" i="5"/>
  <c r="D343" i="5"/>
  <c r="C343" i="5"/>
  <c r="E350" i="5"/>
  <c r="D350" i="5"/>
  <c r="C350" i="5"/>
  <c r="E354" i="5"/>
  <c r="D354" i="5"/>
  <c r="C354" i="5"/>
  <c r="E358" i="5"/>
  <c r="D358" i="5"/>
  <c r="C358" i="5"/>
  <c r="E361" i="5"/>
  <c r="D361" i="5"/>
  <c r="C361" i="5"/>
  <c r="E365" i="5"/>
  <c r="D365" i="5"/>
  <c r="C365" i="5"/>
  <c r="E369" i="5"/>
  <c r="D369" i="5"/>
  <c r="C369" i="5"/>
  <c r="E372" i="5"/>
  <c r="D372" i="5"/>
  <c r="C372" i="5"/>
  <c r="E376" i="5"/>
  <c r="D376" i="5"/>
  <c r="C376" i="5"/>
  <c r="E380" i="5"/>
  <c r="D380" i="5"/>
  <c r="C380" i="5"/>
  <c r="E384" i="5"/>
  <c r="D384" i="5"/>
  <c r="C384" i="5"/>
  <c r="E388" i="5"/>
  <c r="D388" i="5"/>
  <c r="C388" i="5"/>
  <c r="E392" i="5"/>
  <c r="D392" i="5"/>
  <c r="C392" i="5"/>
  <c r="E396" i="5"/>
  <c r="D396" i="5"/>
  <c r="C396" i="5"/>
  <c r="E405" i="5"/>
  <c r="D405" i="5"/>
  <c r="C405" i="5"/>
  <c r="E409" i="5"/>
  <c r="D409" i="5"/>
  <c r="C409" i="5"/>
  <c r="E413" i="5"/>
  <c r="D413" i="5"/>
  <c r="C413" i="5"/>
  <c r="E417" i="5"/>
  <c r="D417" i="5"/>
  <c r="C417" i="5"/>
  <c r="E420" i="5"/>
  <c r="D420" i="5"/>
  <c r="C420" i="5"/>
  <c r="E424" i="5"/>
  <c r="D424" i="5"/>
  <c r="C424" i="5"/>
  <c r="E428" i="5"/>
  <c r="D428" i="5"/>
  <c r="C428" i="5"/>
  <c r="E432" i="5"/>
  <c r="D432" i="5"/>
  <c r="C432" i="5"/>
  <c r="E436" i="5"/>
  <c r="D436" i="5"/>
  <c r="C436" i="5"/>
  <c r="E440" i="5"/>
  <c r="D440" i="5"/>
  <c r="C440" i="5"/>
  <c r="E447" i="5"/>
  <c r="D447" i="5"/>
  <c r="C447" i="5"/>
  <c r="E453" i="5"/>
  <c r="D453" i="5"/>
  <c r="C453" i="5"/>
  <c r="E457" i="5"/>
  <c r="D457" i="5"/>
  <c r="C457" i="5"/>
  <c r="E461" i="5"/>
  <c r="D461" i="5"/>
  <c r="C461" i="5"/>
  <c r="E465" i="5"/>
  <c r="D465" i="5"/>
  <c r="C465" i="5"/>
  <c r="E469" i="5"/>
  <c r="D469" i="5"/>
  <c r="C469" i="5"/>
  <c r="E473" i="5"/>
  <c r="D473" i="5"/>
  <c r="C473" i="5"/>
  <c r="E476" i="5"/>
  <c r="D476" i="5"/>
  <c r="C476" i="5"/>
  <c r="E480" i="5"/>
  <c r="D480" i="5"/>
  <c r="C480" i="5"/>
  <c r="E484" i="5"/>
  <c r="D484" i="5"/>
  <c r="C484" i="5"/>
  <c r="E488" i="5"/>
  <c r="D488" i="5"/>
  <c r="C488" i="5"/>
  <c r="E491" i="5"/>
  <c r="D491" i="5"/>
  <c r="C491" i="5"/>
  <c r="E495" i="5"/>
  <c r="D495" i="5"/>
  <c r="C495" i="5"/>
  <c r="E499" i="5"/>
  <c r="D499" i="5"/>
  <c r="C499" i="5"/>
  <c r="E503" i="5"/>
  <c r="D503" i="5"/>
  <c r="C503" i="5"/>
  <c r="E507" i="5"/>
  <c r="D507" i="5"/>
  <c r="C507" i="5"/>
  <c r="E511" i="5"/>
  <c r="D511" i="5"/>
  <c r="C511" i="5"/>
  <c r="E514" i="5"/>
  <c r="D514" i="5"/>
  <c r="C514" i="5"/>
  <c r="E518" i="5"/>
  <c r="D518" i="5"/>
  <c r="C518" i="5"/>
  <c r="E522" i="5"/>
  <c r="D522" i="5"/>
  <c r="C522" i="5"/>
  <c r="E526" i="5"/>
  <c r="D526" i="5"/>
  <c r="C526" i="5"/>
  <c r="E530" i="5"/>
  <c r="D530" i="5"/>
  <c r="C530" i="5"/>
  <c r="E537" i="5"/>
  <c r="D537" i="5"/>
  <c r="C537" i="5"/>
  <c r="E541" i="5"/>
  <c r="D541" i="5"/>
  <c r="C541" i="5"/>
  <c r="E545" i="5"/>
  <c r="D545" i="5"/>
  <c r="C545" i="5"/>
  <c r="E549" i="5"/>
  <c r="D549" i="5"/>
  <c r="C549" i="5"/>
  <c r="E552" i="5"/>
  <c r="D552" i="5"/>
  <c r="C552" i="5"/>
  <c r="E556" i="5"/>
  <c r="D556" i="5"/>
  <c r="C556" i="5"/>
  <c r="E559" i="5"/>
  <c r="D559" i="5"/>
  <c r="C559" i="5"/>
  <c r="E562" i="5"/>
  <c r="D562" i="5"/>
  <c r="C562" i="5"/>
  <c r="E569" i="5"/>
  <c r="D569" i="5"/>
  <c r="C569" i="5"/>
  <c r="E573" i="5"/>
  <c r="D573" i="5"/>
  <c r="C573" i="5"/>
  <c r="E576" i="5"/>
  <c r="D576" i="5"/>
  <c r="C576" i="5"/>
  <c r="E580" i="5"/>
  <c r="D580" i="5"/>
  <c r="C580" i="5"/>
  <c r="E584" i="5"/>
  <c r="D584" i="5"/>
  <c r="C584" i="5"/>
  <c r="E591" i="5"/>
  <c r="D591" i="5"/>
  <c r="C591" i="5"/>
  <c r="E595" i="5"/>
  <c r="D595" i="5"/>
  <c r="C595" i="5"/>
  <c r="E598" i="5"/>
  <c r="D598" i="5"/>
  <c r="C598" i="5"/>
  <c r="E602" i="5"/>
  <c r="D602" i="5"/>
  <c r="C602" i="5"/>
  <c r="E606" i="5"/>
  <c r="D606" i="5"/>
  <c r="C606" i="5"/>
  <c r="E609" i="5"/>
  <c r="D609" i="5"/>
  <c r="C609" i="5"/>
  <c r="E613" i="5"/>
  <c r="D613" i="5"/>
  <c r="C613" i="5"/>
  <c r="E617" i="5"/>
  <c r="D617" i="5"/>
  <c r="C617" i="5"/>
  <c r="E620" i="5"/>
  <c r="D620" i="5"/>
  <c r="C620" i="5"/>
  <c r="E624" i="5"/>
  <c r="D624" i="5"/>
  <c r="C624" i="5"/>
  <c r="E628" i="5"/>
  <c r="D628" i="5"/>
  <c r="C628" i="5"/>
  <c r="E632" i="5"/>
  <c r="D632" i="5"/>
  <c r="C632" i="5"/>
  <c r="E636" i="5"/>
  <c r="D636" i="5"/>
  <c r="C636" i="5"/>
  <c r="E640" i="5"/>
  <c r="D640" i="5"/>
  <c r="C640" i="5"/>
  <c r="E644" i="5"/>
  <c r="D644" i="5"/>
  <c r="C644" i="5"/>
  <c r="E647" i="5"/>
  <c r="D647" i="5"/>
  <c r="C647" i="5"/>
  <c r="E651" i="5"/>
  <c r="D651" i="5"/>
  <c r="C651" i="5"/>
  <c r="E655" i="5"/>
  <c r="D655" i="5"/>
  <c r="C655" i="5"/>
  <c r="E658" i="5"/>
  <c r="D658" i="5"/>
  <c r="C658" i="5"/>
  <c r="E662" i="5"/>
  <c r="D662" i="5"/>
  <c r="C662" i="5"/>
  <c r="E666" i="5"/>
  <c r="D666" i="5"/>
  <c r="C666" i="5"/>
  <c r="E670" i="5"/>
  <c r="D670" i="5"/>
  <c r="C670" i="5"/>
  <c r="E673" i="5"/>
  <c r="D673" i="5"/>
  <c r="C673" i="5"/>
  <c r="E677" i="5"/>
  <c r="D677" i="5"/>
  <c r="C677" i="5"/>
  <c r="E681" i="5"/>
  <c r="D681" i="5"/>
  <c r="C681" i="5"/>
  <c r="E688" i="5"/>
  <c r="D688" i="5"/>
  <c r="C688" i="5"/>
  <c r="E692" i="5"/>
  <c r="D692" i="5"/>
  <c r="C692" i="5"/>
  <c r="E696" i="5"/>
  <c r="D696" i="5"/>
  <c r="C696" i="5"/>
  <c r="E700" i="5"/>
  <c r="D700" i="5"/>
  <c r="C700" i="5"/>
  <c r="E707" i="5"/>
  <c r="D707" i="5"/>
  <c r="C707" i="5"/>
  <c r="E711" i="5"/>
  <c r="D711" i="5"/>
  <c r="C711" i="5"/>
  <c r="E718" i="5"/>
  <c r="D718" i="5"/>
  <c r="C718" i="5"/>
  <c r="E725" i="5"/>
  <c r="D725" i="5"/>
  <c r="C725" i="5"/>
  <c r="E732" i="5"/>
  <c r="D732" i="5"/>
  <c r="C732" i="5"/>
  <c r="E736" i="5"/>
  <c r="D736" i="5"/>
  <c r="C736" i="5"/>
  <c r="E743" i="5"/>
  <c r="D743" i="5"/>
  <c r="C743" i="5"/>
  <c r="E750" i="5"/>
  <c r="D750" i="5"/>
  <c r="C750" i="5"/>
  <c r="E754" i="5"/>
  <c r="D754" i="5"/>
  <c r="C754" i="5"/>
  <c r="E757" i="5"/>
  <c r="C757" i="5"/>
  <c r="D757" i="5"/>
  <c r="E761" i="5"/>
  <c r="D761" i="5"/>
  <c r="C761" i="5"/>
  <c r="E765" i="5"/>
  <c r="D765" i="5"/>
  <c r="C765" i="5"/>
  <c r="E768" i="5"/>
  <c r="D768" i="5"/>
  <c r="C768" i="5"/>
  <c r="E772" i="5"/>
  <c r="D772" i="5"/>
  <c r="C772" i="5"/>
  <c r="E776" i="5"/>
  <c r="D776" i="5"/>
  <c r="C776" i="5"/>
  <c r="E780" i="5"/>
  <c r="D780" i="5"/>
  <c r="C780" i="5"/>
  <c r="E784" i="5"/>
  <c r="D784" i="5"/>
  <c r="C784" i="5"/>
  <c r="E787" i="5"/>
  <c r="D787" i="5"/>
  <c r="C787" i="5"/>
  <c r="E791" i="5"/>
  <c r="D791" i="5"/>
  <c r="C791" i="5"/>
  <c r="E795" i="5"/>
  <c r="D795" i="5"/>
  <c r="C795" i="5"/>
  <c r="E799" i="5"/>
  <c r="D799" i="5"/>
  <c r="C799" i="5"/>
  <c r="E803" i="5"/>
  <c r="D803" i="5"/>
  <c r="C803" i="5"/>
  <c r="E811" i="5"/>
  <c r="D811" i="5"/>
  <c r="C811" i="5"/>
  <c r="E815" i="5"/>
  <c r="D815" i="5"/>
  <c r="C815" i="5"/>
  <c r="E818" i="5"/>
  <c r="D818" i="5"/>
  <c r="C818" i="5"/>
  <c r="E822" i="5"/>
  <c r="D822" i="5"/>
  <c r="C822" i="5"/>
  <c r="E829" i="5"/>
  <c r="D829" i="5"/>
  <c r="C829" i="5"/>
  <c r="E833" i="5"/>
  <c r="D833" i="5"/>
  <c r="C833" i="5"/>
  <c r="E840" i="5"/>
  <c r="D840" i="5"/>
  <c r="C840" i="5"/>
  <c r="E844" i="5"/>
  <c r="D844" i="5"/>
  <c r="C844" i="5"/>
  <c r="E848" i="5"/>
  <c r="D848" i="5"/>
  <c r="C848" i="5"/>
  <c r="E852" i="5"/>
  <c r="D852" i="5"/>
  <c r="C852" i="5"/>
  <c r="E855" i="5"/>
  <c r="D855" i="5"/>
  <c r="C855" i="5"/>
  <c r="E862" i="5"/>
  <c r="D862" i="5"/>
  <c r="C862" i="5"/>
  <c r="E866" i="5"/>
  <c r="D866" i="5"/>
  <c r="C866" i="5"/>
  <c r="E873" i="5"/>
  <c r="D873" i="5"/>
  <c r="C873" i="5"/>
  <c r="E876" i="5"/>
  <c r="D876" i="5"/>
  <c r="C876" i="5"/>
  <c r="E880" i="5"/>
  <c r="D880" i="5"/>
  <c r="C880" i="5"/>
  <c r="E884" i="5"/>
  <c r="D884" i="5"/>
  <c r="C884" i="5"/>
  <c r="E890" i="5"/>
  <c r="D890" i="5"/>
  <c r="C890" i="5"/>
  <c r="E893" i="5"/>
  <c r="D893" i="5"/>
  <c r="C893" i="5"/>
  <c r="E896" i="5"/>
  <c r="D896" i="5"/>
  <c r="C896" i="5"/>
  <c r="E903" i="5"/>
  <c r="D903" i="5"/>
  <c r="C903" i="5"/>
  <c r="E907" i="5"/>
  <c r="D907" i="5"/>
  <c r="C907" i="5"/>
  <c r="E914" i="5"/>
  <c r="D914" i="5"/>
  <c r="C914" i="5"/>
  <c r="E918" i="5"/>
  <c r="D918" i="5"/>
  <c r="C918" i="5"/>
  <c r="E922" i="5"/>
  <c r="D922" i="5"/>
  <c r="C922" i="5"/>
  <c r="E926" i="5"/>
  <c r="D926" i="5"/>
  <c r="C926" i="5"/>
  <c r="E930" i="5"/>
  <c r="D930" i="5"/>
  <c r="C930" i="5"/>
  <c r="E933" i="5"/>
  <c r="D933" i="5"/>
  <c r="C933" i="5"/>
  <c r="E940" i="5"/>
  <c r="D940" i="5"/>
  <c r="C940" i="5"/>
  <c r="E943" i="5"/>
  <c r="D943" i="5"/>
  <c r="C943" i="5"/>
  <c r="E950" i="5"/>
  <c r="D950" i="5"/>
  <c r="C950" i="5"/>
  <c r="E953" i="5"/>
  <c r="D953" i="5"/>
  <c r="C953" i="5"/>
  <c r="E960" i="5"/>
  <c r="D960" i="5"/>
  <c r="C960" i="5"/>
  <c r="E964" i="5"/>
  <c r="D964" i="5"/>
  <c r="C964" i="5"/>
  <c r="E968" i="5"/>
  <c r="D968" i="5"/>
  <c r="C968" i="5"/>
  <c r="E972" i="5"/>
  <c r="D972" i="5"/>
  <c r="C972" i="5"/>
  <c r="E990" i="5"/>
  <c r="D990" i="5"/>
  <c r="C990" i="5"/>
  <c r="E1000" i="5"/>
  <c r="D1000" i="5"/>
  <c r="C1000" i="5"/>
  <c r="E1007" i="5"/>
  <c r="D1007" i="5"/>
  <c r="C1007" i="5"/>
  <c r="E1011" i="5"/>
  <c r="D1011" i="5"/>
  <c r="C1011" i="5"/>
  <c r="E1015" i="5"/>
  <c r="D1015" i="5"/>
  <c r="C1015" i="5"/>
  <c r="E1019" i="5"/>
  <c r="D1019" i="5"/>
  <c r="C1019" i="5"/>
  <c r="E1022" i="5"/>
  <c r="D1022" i="5"/>
  <c r="C1022" i="5"/>
  <c r="E1026" i="5"/>
  <c r="D1026" i="5"/>
  <c r="C1026" i="5"/>
  <c r="E1030" i="5"/>
  <c r="D1030" i="5"/>
  <c r="C1030" i="5"/>
  <c r="E1034" i="5"/>
  <c r="D1034" i="5"/>
  <c r="C1034" i="5"/>
  <c r="E1037" i="5"/>
  <c r="D1037" i="5"/>
  <c r="C1037" i="5"/>
  <c r="E1044" i="5"/>
  <c r="D1044" i="5"/>
  <c r="C1044" i="5"/>
  <c r="E1061" i="5"/>
  <c r="D1061" i="5"/>
  <c r="C1061" i="5"/>
  <c r="E1065" i="5"/>
  <c r="D1065" i="5"/>
  <c r="C1065" i="5"/>
  <c r="E1069" i="5"/>
  <c r="D1069" i="5"/>
  <c r="C1069" i="5"/>
  <c r="E1076" i="5"/>
  <c r="D1076" i="5"/>
  <c r="C1076" i="5"/>
  <c r="E1080" i="5"/>
  <c r="D1080" i="5"/>
  <c r="C1080" i="5"/>
  <c r="E1084" i="5"/>
  <c r="D1084" i="5"/>
  <c r="C1084" i="5"/>
  <c r="E1091" i="5"/>
  <c r="D1091" i="5"/>
  <c r="C1091" i="5"/>
  <c r="E1095" i="5"/>
  <c r="D1095" i="5"/>
  <c r="C1095" i="5"/>
  <c r="E1099" i="5"/>
  <c r="D1099" i="5"/>
  <c r="C1099" i="5"/>
  <c r="E1103" i="5"/>
  <c r="D1103" i="5"/>
  <c r="C1103" i="5"/>
  <c r="E1107" i="5"/>
  <c r="D1107" i="5"/>
  <c r="C1107" i="5"/>
  <c r="E1114" i="5"/>
  <c r="D1114" i="5"/>
  <c r="C1114" i="5"/>
  <c r="E1118" i="5"/>
  <c r="D1118" i="5"/>
  <c r="C1118" i="5"/>
  <c r="E1122" i="5"/>
  <c r="D1122" i="5"/>
  <c r="C1122" i="5"/>
  <c r="E1126" i="5"/>
  <c r="D1126" i="5"/>
  <c r="C1126" i="5"/>
  <c r="E1130" i="5"/>
  <c r="D1130" i="5"/>
  <c r="C1130" i="5"/>
  <c r="E1134" i="5"/>
  <c r="D1134" i="5"/>
  <c r="C1134" i="5"/>
  <c r="E1138" i="5"/>
  <c r="D1138" i="5"/>
  <c r="C1138" i="5"/>
  <c r="E1141" i="5"/>
  <c r="D1141" i="5"/>
  <c r="C1141" i="5"/>
  <c r="E1145" i="5"/>
  <c r="D1145" i="5"/>
  <c r="C1145" i="5"/>
  <c r="E1149" i="5"/>
  <c r="D1149" i="5"/>
  <c r="C1149" i="5"/>
  <c r="E1152" i="5"/>
  <c r="D1152" i="5"/>
  <c r="C1152" i="5"/>
  <c r="E1159" i="5"/>
  <c r="D1159" i="5"/>
  <c r="C1159" i="5"/>
  <c r="E1162" i="5"/>
  <c r="D1162" i="5"/>
  <c r="C1162" i="5"/>
  <c r="E1166" i="5"/>
  <c r="D1166" i="5"/>
  <c r="C1166" i="5"/>
  <c r="E1169" i="5"/>
  <c r="D1169" i="5"/>
  <c r="C1169" i="5"/>
  <c r="E1173" i="5"/>
  <c r="D1173" i="5"/>
  <c r="C1173" i="5"/>
  <c r="E1177" i="5"/>
  <c r="D1177" i="5"/>
  <c r="C1177" i="5"/>
  <c r="E1181" i="5"/>
  <c r="D1181" i="5"/>
  <c r="C1181" i="5"/>
  <c r="E1185" i="5"/>
  <c r="D1185" i="5"/>
  <c r="C1185" i="5"/>
  <c r="E1192" i="5"/>
  <c r="D1192" i="5"/>
  <c r="C1192" i="5"/>
  <c r="E1196" i="5"/>
  <c r="D1196" i="5"/>
  <c r="C1196" i="5"/>
  <c r="E1200" i="5"/>
  <c r="D1200" i="5"/>
  <c r="C1200" i="5"/>
  <c r="E1204" i="5"/>
  <c r="D1204" i="5"/>
  <c r="C1204" i="5"/>
  <c r="E1208" i="5"/>
  <c r="D1208" i="5"/>
  <c r="C1208" i="5"/>
  <c r="E1212" i="5"/>
  <c r="D1212" i="5"/>
  <c r="C1212" i="5"/>
  <c r="E1216" i="5"/>
  <c r="D1216" i="5"/>
  <c r="C1216" i="5"/>
  <c r="E1220" i="5"/>
  <c r="D1220" i="5"/>
  <c r="C1220" i="5"/>
  <c r="E1224" i="5"/>
  <c r="D1224" i="5"/>
  <c r="C1224" i="5"/>
  <c r="E1227" i="5"/>
  <c r="D1227" i="5"/>
  <c r="C1227" i="5"/>
  <c r="E1231" i="5"/>
  <c r="D1231" i="5"/>
  <c r="C1231" i="5"/>
  <c r="E1235" i="5"/>
  <c r="D1235" i="5"/>
  <c r="C1235" i="5"/>
  <c r="E1239" i="5"/>
  <c r="D1239" i="5"/>
  <c r="C1239" i="5"/>
  <c r="E1243" i="5"/>
  <c r="D1243" i="5"/>
  <c r="C1243" i="5"/>
  <c r="E1247" i="5"/>
  <c r="D1247" i="5"/>
  <c r="C1247" i="5"/>
  <c r="E1251" i="5"/>
  <c r="D1251" i="5"/>
  <c r="C1251" i="5"/>
  <c r="E1255" i="5"/>
  <c r="D1255" i="5"/>
  <c r="C1255" i="5"/>
  <c r="E1259" i="5"/>
  <c r="D1259" i="5"/>
  <c r="C1259" i="5"/>
  <c r="E1262" i="5"/>
  <c r="D1262" i="5"/>
  <c r="C1262" i="5"/>
  <c r="E1266" i="5"/>
  <c r="D1266" i="5"/>
  <c r="C1266" i="5"/>
  <c r="E1269" i="5"/>
  <c r="D1269" i="5"/>
  <c r="C1269" i="5"/>
  <c r="E1272" i="5"/>
  <c r="D1272" i="5"/>
  <c r="C1272" i="5"/>
  <c r="E1276" i="5"/>
  <c r="D1276" i="5"/>
  <c r="C1276" i="5"/>
  <c r="E1280" i="5"/>
  <c r="D1280" i="5"/>
  <c r="C1280" i="5"/>
  <c r="E1283" i="5"/>
  <c r="D1283" i="5"/>
  <c r="C1283" i="5"/>
  <c r="E1287" i="5"/>
  <c r="D1287" i="5"/>
  <c r="C1287" i="5"/>
  <c r="E1291" i="5"/>
  <c r="D1291" i="5"/>
  <c r="C1291" i="5"/>
  <c r="E1295" i="5"/>
  <c r="D1295" i="5"/>
  <c r="C1295" i="5"/>
  <c r="E1298" i="5"/>
  <c r="D1298" i="5"/>
  <c r="C1298" i="5"/>
  <c r="E1302" i="5"/>
  <c r="D1302" i="5"/>
  <c r="C1302" i="5"/>
  <c r="E1306" i="5"/>
  <c r="D1306" i="5"/>
  <c r="C1306" i="5"/>
  <c r="E1309" i="5"/>
  <c r="D1309" i="5"/>
  <c r="C1309" i="5"/>
  <c r="E1313" i="5"/>
  <c r="D1313" i="5"/>
  <c r="C1313" i="5"/>
  <c r="E1317" i="5"/>
  <c r="D1317" i="5"/>
  <c r="C1317" i="5"/>
  <c r="E1320" i="5"/>
  <c r="D1320" i="5"/>
  <c r="C1320" i="5"/>
  <c r="E1324" i="5"/>
  <c r="D1324" i="5"/>
  <c r="C1324" i="5"/>
  <c r="E1328" i="5"/>
  <c r="D1328" i="5"/>
  <c r="C1328" i="5"/>
  <c r="E1331" i="5"/>
  <c r="D1331" i="5"/>
  <c r="C1331" i="5"/>
  <c r="E1334" i="5"/>
  <c r="D1334" i="5"/>
  <c r="C1334" i="5"/>
  <c r="D1338" i="5"/>
  <c r="E1338" i="5"/>
  <c r="C1338" i="5"/>
  <c r="E1342" i="5"/>
  <c r="D1342" i="5"/>
  <c r="C1342" i="5"/>
  <c r="E1345" i="5"/>
  <c r="D1345" i="5"/>
  <c r="C1345" i="5"/>
  <c r="E1348" i="5"/>
  <c r="D1348" i="5"/>
  <c r="C1348" i="5"/>
  <c r="E1352" i="5"/>
  <c r="D1352" i="5"/>
  <c r="C1352" i="5"/>
  <c r="E1356" i="5"/>
  <c r="D1356" i="5"/>
  <c r="C1356" i="5"/>
  <c r="E1364" i="5"/>
  <c r="D1364" i="5"/>
  <c r="C1364" i="5"/>
  <c r="E1367" i="5"/>
  <c r="D1367" i="5"/>
  <c r="C1367" i="5"/>
  <c r="E1370" i="5"/>
  <c r="D1370" i="5"/>
  <c r="C1370" i="5"/>
  <c r="E1374" i="5"/>
  <c r="D1374" i="5"/>
  <c r="C1374" i="5"/>
  <c r="E1377" i="5"/>
  <c r="D1377" i="5"/>
  <c r="C1377" i="5"/>
  <c r="E1381" i="5"/>
  <c r="D1381" i="5"/>
  <c r="C1381" i="5"/>
  <c r="E1385" i="5"/>
  <c r="D1385" i="5"/>
  <c r="C1385" i="5"/>
  <c r="E1389" i="5"/>
  <c r="D1389" i="5"/>
  <c r="C1389" i="5"/>
  <c r="E1392" i="5"/>
  <c r="D1392" i="5"/>
  <c r="C1392" i="5"/>
  <c r="E1396" i="5"/>
  <c r="D1396" i="5"/>
  <c r="C1396" i="5"/>
  <c r="E1400" i="5"/>
  <c r="D1400" i="5"/>
  <c r="C1400" i="5"/>
  <c r="E1404" i="5"/>
  <c r="D1404" i="5"/>
  <c r="C1404" i="5"/>
  <c r="E1408" i="5"/>
  <c r="D1408" i="5"/>
  <c r="C1408" i="5"/>
  <c r="E1411" i="5"/>
  <c r="D1411" i="5"/>
  <c r="C1411" i="5"/>
  <c r="E1414" i="5"/>
  <c r="D1414" i="5"/>
  <c r="C1414" i="5"/>
  <c r="E1422" i="5"/>
  <c r="D1422" i="5"/>
  <c r="C1422" i="5"/>
  <c r="E1428" i="5"/>
  <c r="D1428" i="5"/>
  <c r="C1428" i="5"/>
  <c r="E1435" i="5"/>
  <c r="D1435" i="5"/>
  <c r="C1435" i="5"/>
  <c r="E1439" i="5"/>
  <c r="D1439" i="5"/>
  <c r="C1439" i="5"/>
  <c r="E1449" i="5"/>
  <c r="D1449" i="5"/>
  <c r="C1449" i="5"/>
  <c r="E1452" i="5"/>
  <c r="D1452" i="5"/>
  <c r="C1452" i="5"/>
  <c r="E1456" i="5"/>
  <c r="D1456" i="5"/>
  <c r="C1456" i="5"/>
  <c r="E1465" i="5"/>
  <c r="D1465" i="5"/>
  <c r="C1465" i="5"/>
  <c r="E1469" i="5"/>
  <c r="D1469" i="5"/>
  <c r="C1469" i="5"/>
  <c r="E1472" i="5"/>
  <c r="D1472" i="5"/>
  <c r="C1472" i="5"/>
  <c r="E1479" i="5"/>
  <c r="D1479" i="5"/>
  <c r="C1479" i="5"/>
  <c r="E1490" i="5"/>
  <c r="D1490" i="5"/>
  <c r="C1490" i="5"/>
  <c r="E1501" i="5"/>
  <c r="D1501" i="5"/>
  <c r="C1501" i="5"/>
  <c r="E1514" i="5"/>
  <c r="D1514" i="5"/>
  <c r="C1514" i="5"/>
  <c r="E1518" i="5"/>
  <c r="D1518" i="5"/>
  <c r="C1518" i="5"/>
  <c r="E1528" i="5"/>
  <c r="D1528" i="5"/>
  <c r="C1528" i="5"/>
  <c r="E1532" i="5"/>
  <c r="D1532" i="5"/>
  <c r="C1532" i="5"/>
  <c r="E1536" i="5"/>
  <c r="D1536" i="5"/>
  <c r="C1536" i="5"/>
  <c r="E1540" i="5"/>
  <c r="D1540" i="5"/>
  <c r="C1540" i="5"/>
  <c r="E1544" i="5"/>
  <c r="D1544" i="5"/>
  <c r="C1544" i="5"/>
  <c r="E1548" i="5"/>
  <c r="D1548" i="5"/>
  <c r="C1548" i="5"/>
  <c r="E1555" i="5"/>
  <c r="D1555" i="5"/>
  <c r="C1555" i="5"/>
  <c r="E1563" i="5"/>
  <c r="D1563" i="5"/>
  <c r="C1563" i="5"/>
  <c r="E1567" i="5"/>
  <c r="D1567" i="5"/>
  <c r="C1567" i="5"/>
  <c r="E1571" i="5"/>
  <c r="D1571" i="5"/>
  <c r="C1571" i="5"/>
  <c r="E1575" i="5"/>
  <c r="D1575" i="5"/>
  <c r="C1575" i="5"/>
  <c r="E1578" i="5"/>
  <c r="D1578" i="5"/>
  <c r="C1578" i="5"/>
  <c r="E1582" i="5"/>
  <c r="D1582" i="5"/>
  <c r="C1582" i="5"/>
  <c r="E1586" i="5"/>
  <c r="D1586" i="5"/>
  <c r="C1586" i="5"/>
  <c r="E1590" i="5"/>
  <c r="D1590" i="5"/>
  <c r="C1590" i="5"/>
  <c r="E1594" i="5"/>
  <c r="D1594" i="5"/>
  <c r="C1594" i="5"/>
  <c r="E1598" i="5"/>
  <c r="D1598" i="5"/>
  <c r="C1598" i="5"/>
  <c r="E1602" i="5"/>
  <c r="D1602" i="5"/>
  <c r="C1602" i="5"/>
  <c r="E1606" i="5"/>
  <c r="D1606" i="5"/>
  <c r="C1606" i="5"/>
  <c r="E1610" i="5"/>
  <c r="D1610" i="5"/>
  <c r="C1610" i="5"/>
  <c r="E1617" i="5"/>
  <c r="D1617" i="5"/>
  <c r="C1617" i="5"/>
  <c r="E1620" i="5"/>
  <c r="D1620" i="5"/>
  <c r="C1620" i="5"/>
  <c r="E1623" i="5"/>
  <c r="D1623" i="5"/>
  <c r="C1623" i="5"/>
  <c r="E1630" i="5"/>
  <c r="D1630" i="5"/>
  <c r="C1630" i="5"/>
  <c r="E1634" i="5"/>
  <c r="D1634" i="5"/>
  <c r="C1634" i="5"/>
  <c r="E1641" i="5"/>
  <c r="D1641" i="5"/>
  <c r="C1641" i="5"/>
  <c r="E1648" i="5"/>
  <c r="D1648" i="5"/>
  <c r="C1648" i="5"/>
  <c r="E1655" i="5"/>
  <c r="D1655" i="5"/>
  <c r="C1655" i="5"/>
  <c r="E1662" i="5"/>
  <c r="D1662" i="5"/>
  <c r="C1662" i="5"/>
  <c r="E1666" i="5"/>
  <c r="D1666" i="5"/>
  <c r="C1666" i="5"/>
  <c r="E1669" i="5"/>
  <c r="D1669" i="5"/>
  <c r="C1669" i="5"/>
  <c r="E1673" i="5"/>
  <c r="D1673" i="5"/>
  <c r="C1673" i="5"/>
  <c r="E1677" i="5"/>
  <c r="D1677" i="5"/>
  <c r="C1677" i="5"/>
  <c r="E1680" i="5"/>
  <c r="D1680" i="5"/>
  <c r="C1680" i="5"/>
  <c r="E1684" i="5"/>
  <c r="D1684" i="5"/>
  <c r="C1684" i="5"/>
  <c r="E1687" i="5"/>
  <c r="D1687" i="5"/>
  <c r="C1687" i="5"/>
  <c r="E1694" i="5"/>
  <c r="D1694" i="5"/>
  <c r="C1694" i="5"/>
  <c r="E1698" i="5"/>
  <c r="D1698" i="5"/>
  <c r="C1698" i="5"/>
  <c r="E1702" i="5"/>
  <c r="D1702" i="5"/>
  <c r="C1702" i="5"/>
  <c r="E1706" i="5"/>
  <c r="D1706" i="5"/>
  <c r="C1706" i="5"/>
  <c r="E1710" i="5"/>
  <c r="D1710" i="5"/>
  <c r="C1710" i="5"/>
  <c r="E1717" i="5"/>
  <c r="D1717" i="5"/>
  <c r="C1717" i="5"/>
  <c r="E1721" i="5"/>
  <c r="D1721" i="5"/>
  <c r="C1721" i="5"/>
  <c r="E1725" i="5"/>
  <c r="D1725" i="5"/>
  <c r="C1725" i="5"/>
  <c r="E1729" i="5"/>
  <c r="D1729" i="5"/>
  <c r="C1729" i="5"/>
  <c r="E1733" i="5"/>
  <c r="D1733" i="5"/>
  <c r="C1733" i="5"/>
  <c r="E1741" i="5"/>
  <c r="D1741" i="5"/>
  <c r="C1741" i="5"/>
  <c r="E1745" i="5"/>
  <c r="D1745" i="5"/>
  <c r="C1745" i="5"/>
  <c r="E1749" i="5"/>
  <c r="D1749" i="5"/>
  <c r="C1749" i="5"/>
  <c r="E1753" i="5"/>
  <c r="D1753" i="5"/>
  <c r="C1753" i="5"/>
  <c r="E1757" i="5"/>
  <c r="D1757" i="5"/>
  <c r="C1757" i="5"/>
  <c r="E1761" i="5"/>
  <c r="D1761" i="5"/>
  <c r="C1761" i="5"/>
  <c r="E1765" i="5"/>
  <c r="D1765" i="5"/>
  <c r="C1765" i="5"/>
  <c r="E1769" i="5"/>
  <c r="D1769" i="5"/>
  <c r="C1769" i="5"/>
  <c r="E1773" i="5"/>
  <c r="D1773" i="5"/>
  <c r="C1773" i="5"/>
  <c r="E1778" i="5"/>
  <c r="D1778" i="5"/>
  <c r="C1778" i="5"/>
  <c r="E1782" i="5"/>
  <c r="D1782" i="5"/>
  <c r="C1782" i="5"/>
  <c r="E1786" i="5"/>
  <c r="D1786" i="5"/>
  <c r="C1786" i="5"/>
  <c r="E1790" i="5"/>
  <c r="D1790" i="5"/>
  <c r="C1790" i="5"/>
  <c r="E1794" i="5"/>
  <c r="D1794" i="5"/>
  <c r="C1794" i="5"/>
  <c r="E1797" i="5"/>
  <c r="D1797" i="5"/>
  <c r="C1797" i="5"/>
  <c r="E1801" i="5"/>
  <c r="D1801" i="5"/>
  <c r="C1801" i="5"/>
  <c r="E1805" i="5"/>
  <c r="D1805" i="5"/>
  <c r="C1805" i="5"/>
  <c r="E1809" i="5"/>
  <c r="D1809" i="5"/>
  <c r="C1809" i="5"/>
  <c r="E1813" i="5"/>
  <c r="D1813" i="5"/>
  <c r="C1813" i="5"/>
  <c r="E1817" i="5"/>
  <c r="D1817" i="5"/>
  <c r="C1817" i="5"/>
  <c r="E1821" i="5"/>
  <c r="D1821" i="5"/>
  <c r="C1821" i="5"/>
  <c r="E1825" i="5"/>
  <c r="D1825" i="5"/>
  <c r="C1825" i="5"/>
  <c r="E1829" i="5"/>
  <c r="D1829" i="5"/>
  <c r="C1829" i="5"/>
  <c r="E1836" i="5"/>
  <c r="D1836" i="5"/>
  <c r="C1836" i="5"/>
  <c r="E1839" i="5"/>
  <c r="D1839" i="5"/>
  <c r="C1839" i="5"/>
  <c r="E1843" i="5"/>
  <c r="D1843" i="5"/>
  <c r="C1843" i="5"/>
  <c r="E1846" i="5"/>
  <c r="D1846" i="5"/>
  <c r="C1846" i="5"/>
  <c r="E1856" i="5"/>
  <c r="D1856" i="5"/>
  <c r="C1856" i="5"/>
  <c r="E1859" i="5"/>
  <c r="D1859" i="5"/>
  <c r="C1859" i="5"/>
  <c r="E1863" i="5"/>
  <c r="D1863" i="5"/>
  <c r="C1863" i="5"/>
  <c r="E1867" i="5"/>
  <c r="D1867" i="5"/>
  <c r="C1867" i="5"/>
  <c r="E1871" i="5"/>
  <c r="D1871" i="5"/>
  <c r="C1871" i="5"/>
  <c r="E1875" i="5"/>
  <c r="D1875" i="5"/>
  <c r="C1875" i="5"/>
  <c r="E1878" i="5"/>
  <c r="D1878" i="5"/>
  <c r="C1878" i="5"/>
  <c r="E1882" i="5"/>
  <c r="D1882" i="5"/>
  <c r="C1882" i="5"/>
  <c r="E1886" i="5"/>
  <c r="D1886" i="5"/>
  <c r="C1886" i="5"/>
  <c r="E1891" i="5"/>
  <c r="D1891" i="5"/>
  <c r="C1891" i="5"/>
  <c r="E1895" i="5"/>
  <c r="D1895" i="5"/>
  <c r="C1895" i="5"/>
  <c r="E1899" i="5"/>
  <c r="D1899" i="5"/>
  <c r="C1899" i="5"/>
  <c r="E1906" i="5"/>
  <c r="D1906" i="5"/>
  <c r="C1906" i="5"/>
  <c r="E1910" i="5"/>
  <c r="D1910" i="5"/>
  <c r="C1910" i="5"/>
  <c r="E1913" i="5"/>
  <c r="D1913" i="5"/>
  <c r="C1913" i="5"/>
  <c r="E1917" i="5"/>
  <c r="D1917" i="5"/>
  <c r="C1917" i="5"/>
  <c r="E1921" i="5"/>
  <c r="D1921" i="5"/>
  <c r="C1921" i="5"/>
  <c r="E1924" i="5"/>
  <c r="D1924" i="5"/>
  <c r="C1924" i="5"/>
  <c r="E1931" i="5"/>
  <c r="D1931" i="5"/>
  <c r="C1931" i="5"/>
  <c r="E1935" i="5"/>
  <c r="D1935" i="5"/>
  <c r="C1935" i="5"/>
  <c r="E1938" i="5"/>
  <c r="D1938" i="5"/>
  <c r="C1938" i="5"/>
  <c r="E1942" i="5"/>
  <c r="D1942" i="5"/>
  <c r="C1942" i="5"/>
  <c r="E1946" i="5"/>
  <c r="D1946" i="5"/>
  <c r="C1946" i="5"/>
  <c r="E1950" i="5"/>
  <c r="D1950" i="5"/>
  <c r="C1950" i="5"/>
  <c r="E1953" i="5"/>
  <c r="D1953" i="5"/>
  <c r="C1953" i="5"/>
  <c r="E1957" i="5"/>
  <c r="D1957" i="5"/>
  <c r="C1957" i="5"/>
  <c r="E1961" i="5"/>
  <c r="D1961" i="5"/>
  <c r="C1961" i="5"/>
  <c r="E1965" i="5"/>
  <c r="D1965" i="5"/>
  <c r="C1965" i="5"/>
  <c r="E1969" i="5"/>
  <c r="D1969" i="5"/>
  <c r="C1969" i="5"/>
  <c r="E1973" i="5"/>
  <c r="D1973" i="5"/>
  <c r="C1973" i="5"/>
  <c r="E1977" i="5"/>
  <c r="D1977" i="5"/>
  <c r="C1977" i="5"/>
  <c r="E1981" i="5"/>
  <c r="D1981" i="5"/>
  <c r="C1981" i="5"/>
  <c r="E1985" i="5"/>
  <c r="D1985" i="5"/>
  <c r="C1985" i="5"/>
  <c r="E1989" i="5"/>
  <c r="D1989" i="5"/>
  <c r="C1989" i="5"/>
  <c r="E1993" i="5"/>
  <c r="D1993" i="5"/>
  <c r="C1993" i="5"/>
  <c r="E1997" i="5"/>
  <c r="D1997" i="5"/>
  <c r="C1997" i="5"/>
  <c r="E2001" i="5"/>
  <c r="C2001" i="5"/>
  <c r="D2001" i="5"/>
  <c r="E2005" i="5"/>
  <c r="D2005" i="5"/>
  <c r="C2005" i="5"/>
  <c r="E2008" i="5"/>
  <c r="D2008" i="5"/>
  <c r="C2008" i="5"/>
  <c r="E2012" i="5"/>
  <c r="D2012" i="5"/>
  <c r="C2012" i="5"/>
  <c r="E2016" i="5"/>
  <c r="D2016" i="5"/>
  <c r="C2016" i="5"/>
  <c r="E2020" i="5"/>
  <c r="D2020" i="5"/>
  <c r="C2020" i="5"/>
  <c r="E2024" i="5"/>
  <c r="D2024" i="5"/>
  <c r="C2024" i="5"/>
  <c r="E2028" i="5"/>
  <c r="D2028" i="5"/>
  <c r="C2028" i="5"/>
  <c r="E2036" i="5"/>
  <c r="D2036" i="5"/>
  <c r="C2036" i="5"/>
  <c r="E2040" i="5"/>
  <c r="D2040" i="5"/>
  <c r="C2040" i="5"/>
  <c r="E2044" i="5"/>
  <c r="D2044" i="5"/>
  <c r="C2044" i="5"/>
  <c r="E2047" i="5"/>
  <c r="D2047" i="5"/>
  <c r="C2047" i="5"/>
  <c r="E2051" i="5"/>
  <c r="D2051" i="5"/>
  <c r="C2051" i="5"/>
  <c r="E2058" i="5"/>
  <c r="D2058" i="5"/>
  <c r="C2058" i="5"/>
  <c r="E2062" i="5"/>
  <c r="D2062" i="5"/>
  <c r="C2062" i="5"/>
  <c r="E2069" i="5"/>
  <c r="D2069" i="5"/>
  <c r="C2069" i="5"/>
  <c r="E2072" i="5"/>
  <c r="D2072" i="5"/>
  <c r="C2072" i="5"/>
  <c r="E2076" i="5"/>
  <c r="D2076" i="5"/>
  <c r="C2076" i="5"/>
  <c r="E2083" i="5"/>
  <c r="D2083" i="5"/>
  <c r="C2083" i="5"/>
  <c r="E2087" i="5"/>
  <c r="D2087" i="5"/>
  <c r="C2087" i="5"/>
  <c r="E2091" i="5"/>
  <c r="D2091" i="5"/>
  <c r="C2091" i="5"/>
  <c r="E2095" i="5"/>
  <c r="D2095" i="5"/>
  <c r="C2095" i="5"/>
  <c r="E2099" i="5"/>
  <c r="D2099" i="5"/>
  <c r="C2099" i="5"/>
  <c r="E2103" i="5"/>
  <c r="D2103" i="5"/>
  <c r="C2103" i="5"/>
  <c r="E2110" i="5"/>
  <c r="D2110" i="5"/>
  <c r="C2110" i="5"/>
  <c r="E2114" i="5"/>
  <c r="D2114" i="5"/>
  <c r="C2114" i="5"/>
  <c r="E2118" i="5"/>
  <c r="C2118" i="5"/>
  <c r="D2118" i="5"/>
  <c r="E2121" i="5"/>
  <c r="D2121" i="5"/>
  <c r="C2121" i="5"/>
  <c r="E2125" i="5"/>
  <c r="D2125" i="5"/>
  <c r="C2125" i="5"/>
  <c r="E2129" i="5"/>
  <c r="D2129" i="5"/>
  <c r="C2129" i="5"/>
  <c r="E2133" i="5"/>
  <c r="D2133" i="5"/>
  <c r="C2133" i="5"/>
  <c r="E2137" i="5"/>
  <c r="D2137" i="5"/>
  <c r="C2137" i="5"/>
  <c r="E2141" i="5"/>
  <c r="D2141" i="5"/>
  <c r="C2141" i="5"/>
  <c r="E2145" i="5"/>
  <c r="D2145" i="5"/>
  <c r="C2145" i="5"/>
  <c r="E2148" i="5"/>
  <c r="D2148" i="5"/>
  <c r="C2148" i="5"/>
  <c r="E2152" i="5"/>
  <c r="D2152" i="5"/>
  <c r="C2152" i="5"/>
  <c r="E2156" i="5"/>
  <c r="D2156" i="5"/>
  <c r="C2156" i="5"/>
  <c r="E2163" i="5"/>
  <c r="D2163" i="5"/>
  <c r="C2163" i="5"/>
  <c r="E2167" i="5"/>
  <c r="D2167" i="5"/>
  <c r="C2167" i="5"/>
  <c r="E2173" i="5"/>
  <c r="D2173" i="5"/>
  <c r="C2173" i="5"/>
  <c r="E2177" i="5"/>
  <c r="D2177" i="5"/>
  <c r="C2177" i="5"/>
  <c r="E2184" i="5"/>
  <c r="D2184" i="5"/>
  <c r="C2184" i="5"/>
  <c r="E2188" i="5"/>
  <c r="D2188" i="5"/>
  <c r="C2188" i="5"/>
  <c r="E2192" i="5"/>
  <c r="D2192" i="5"/>
  <c r="C2192" i="5"/>
  <c r="E2196" i="5"/>
  <c r="D2196" i="5"/>
  <c r="C2196" i="5"/>
  <c r="E2200" i="5"/>
  <c r="D2200" i="5"/>
  <c r="C2200" i="5"/>
  <c r="E2207" i="5"/>
  <c r="D2207" i="5"/>
  <c r="C2207" i="5"/>
  <c r="E2210" i="5"/>
  <c r="D2210" i="5"/>
  <c r="C2210" i="5"/>
  <c r="E2214" i="5"/>
  <c r="C2214" i="5"/>
  <c r="D2214" i="5"/>
  <c r="E2218" i="5"/>
  <c r="D2218" i="5"/>
  <c r="C2218" i="5"/>
  <c r="E2221" i="5"/>
  <c r="D2221" i="5"/>
  <c r="C2221" i="5"/>
  <c r="E2228" i="5"/>
  <c r="D2228" i="5"/>
  <c r="C2228" i="5"/>
  <c r="E2232" i="5"/>
  <c r="D2232" i="5"/>
  <c r="C2232" i="5"/>
  <c r="E2236" i="5"/>
  <c r="D2236" i="5"/>
  <c r="C2236" i="5"/>
  <c r="E2240" i="5"/>
  <c r="D2240" i="5"/>
  <c r="C2240" i="5"/>
  <c r="E2243" i="5"/>
  <c r="D2243" i="5"/>
  <c r="C2243" i="5"/>
  <c r="E2246" i="5"/>
  <c r="D2246" i="5"/>
  <c r="C2246" i="5"/>
  <c r="E2253" i="5"/>
  <c r="D2253" i="5"/>
  <c r="C2253" i="5"/>
  <c r="E2257" i="5"/>
  <c r="D2257" i="5"/>
  <c r="C2257" i="5"/>
  <c r="E2260" i="5"/>
  <c r="D2260" i="5"/>
  <c r="C2260" i="5"/>
  <c r="E2264" i="5"/>
  <c r="D2264" i="5"/>
  <c r="C2264" i="5"/>
  <c r="E2267" i="5"/>
  <c r="D2267" i="5"/>
  <c r="C2267" i="5"/>
  <c r="E2270" i="5"/>
  <c r="D2270" i="5"/>
  <c r="C2270" i="5"/>
  <c r="E2274" i="5"/>
  <c r="D2274" i="5"/>
  <c r="C2274" i="5"/>
  <c r="E2282" i="5"/>
  <c r="D2282" i="5"/>
  <c r="C2282" i="5"/>
  <c r="E2286" i="5"/>
  <c r="D2286" i="5"/>
  <c r="C2286" i="5"/>
  <c r="E2290" i="5"/>
  <c r="C2290" i="5"/>
  <c r="D2290" i="5"/>
  <c r="E2294" i="5"/>
  <c r="D2294" i="5"/>
  <c r="C2294" i="5"/>
  <c r="E2298" i="5"/>
  <c r="D2298" i="5"/>
  <c r="C2298" i="5"/>
  <c r="E2302" i="5"/>
  <c r="D2302" i="5"/>
  <c r="C2302" i="5"/>
  <c r="E2306" i="5"/>
  <c r="D2306" i="5"/>
  <c r="C2306" i="5"/>
  <c r="E2310" i="5"/>
  <c r="D2310" i="5"/>
  <c r="C2310" i="5"/>
  <c r="E2317" i="5"/>
  <c r="D2317" i="5"/>
  <c r="C2317" i="5"/>
  <c r="E2321" i="5"/>
  <c r="D2321" i="5"/>
  <c r="C2321" i="5"/>
  <c r="E2325" i="5"/>
  <c r="D2325" i="5"/>
  <c r="C2325" i="5"/>
  <c r="E2329" i="5"/>
  <c r="D2329" i="5"/>
  <c r="C2329" i="5"/>
  <c r="E2332" i="5"/>
  <c r="D2332" i="5"/>
  <c r="C2332" i="5"/>
  <c r="E2336" i="5"/>
  <c r="D2336" i="5"/>
  <c r="C2336" i="5"/>
  <c r="E2340" i="5"/>
  <c r="D2340" i="5"/>
  <c r="C2340" i="5"/>
  <c r="E2344" i="5"/>
  <c r="D2344" i="5"/>
  <c r="C2344" i="5"/>
  <c r="E2348" i="5"/>
  <c r="D2348" i="5"/>
  <c r="C2348" i="5"/>
  <c r="E2351" i="5"/>
  <c r="D2351" i="5"/>
  <c r="C2351" i="5"/>
  <c r="E2355" i="5"/>
  <c r="D2355" i="5"/>
  <c r="C2355" i="5"/>
  <c r="E2359" i="5"/>
  <c r="D2359" i="5"/>
  <c r="C2359" i="5"/>
  <c r="E2363" i="5"/>
  <c r="D2363" i="5"/>
  <c r="C2363" i="5"/>
  <c r="E2367" i="5"/>
  <c r="D2367" i="5"/>
  <c r="C2367" i="5"/>
  <c r="E2371" i="5"/>
  <c r="D2371" i="5"/>
  <c r="C2371" i="5"/>
  <c r="E2375" i="5"/>
  <c r="D2375" i="5"/>
  <c r="C2375" i="5"/>
  <c r="E2379" i="5"/>
  <c r="D2379" i="5"/>
  <c r="C2379" i="5"/>
  <c r="E2383" i="5"/>
  <c r="D2383" i="5"/>
  <c r="C2383" i="5"/>
  <c r="E2387" i="5"/>
  <c r="D2387" i="5"/>
  <c r="C2387" i="5"/>
  <c r="E2391" i="5"/>
  <c r="D2391" i="5"/>
  <c r="C2391" i="5"/>
  <c r="E2394" i="5"/>
  <c r="D2394" i="5"/>
  <c r="C2394" i="5"/>
  <c r="E2401" i="5"/>
  <c r="D2401" i="5"/>
  <c r="C2401" i="5"/>
  <c r="E2408" i="5"/>
  <c r="D2408" i="5"/>
  <c r="C2408" i="5"/>
  <c r="E2411" i="5"/>
  <c r="D2411" i="5"/>
  <c r="C2411" i="5"/>
  <c r="E2414" i="5"/>
  <c r="D2414" i="5"/>
  <c r="C2414" i="5"/>
  <c r="E2424" i="5"/>
  <c r="D2424" i="5"/>
  <c r="C2424" i="5"/>
  <c r="E2428" i="5"/>
  <c r="D2428" i="5"/>
  <c r="C2428" i="5"/>
  <c r="E2432" i="5"/>
  <c r="D2432" i="5"/>
  <c r="C2432" i="5"/>
  <c r="E2436" i="5"/>
  <c r="D2436" i="5"/>
  <c r="C2436" i="5"/>
  <c r="E2443" i="5"/>
  <c r="D2443" i="5"/>
  <c r="C2443" i="5"/>
  <c r="E2447" i="5"/>
  <c r="D2447" i="5"/>
  <c r="C2447" i="5"/>
  <c r="E2451" i="5"/>
  <c r="D2451" i="5"/>
  <c r="C2451" i="5"/>
  <c r="E2455" i="5"/>
  <c r="D2455" i="5"/>
  <c r="C2455" i="5"/>
  <c r="E2459" i="5"/>
  <c r="D2459" i="5"/>
  <c r="C2459" i="5"/>
  <c r="E2469" i="5"/>
  <c r="D2469" i="5"/>
  <c r="C2469" i="5"/>
  <c r="E2476" i="5"/>
  <c r="D2476" i="5"/>
  <c r="C2476" i="5"/>
  <c r="E2480" i="5"/>
  <c r="D2480" i="5"/>
  <c r="C2480" i="5"/>
  <c r="E2484" i="5"/>
  <c r="D2484" i="5"/>
  <c r="C2484" i="5"/>
  <c r="E2487" i="5"/>
  <c r="D2487" i="5"/>
  <c r="C2487" i="5"/>
  <c r="E2491" i="5"/>
  <c r="D2491" i="5"/>
  <c r="C2491" i="5"/>
  <c r="E2496" i="5"/>
  <c r="D2496" i="5"/>
  <c r="C2496" i="5"/>
  <c r="E2500" i="5"/>
  <c r="D2500" i="5"/>
  <c r="C2500" i="5"/>
  <c r="E2504" i="5"/>
  <c r="D2504" i="5"/>
  <c r="C2504" i="5"/>
  <c r="E2508" i="5"/>
  <c r="D2508" i="5"/>
  <c r="C2508" i="5"/>
  <c r="E2511" i="5"/>
  <c r="D2511" i="5"/>
  <c r="C2511" i="5"/>
  <c r="E2515" i="5"/>
  <c r="D2515" i="5"/>
  <c r="C2515" i="5"/>
  <c r="E2519" i="5"/>
  <c r="D2519" i="5"/>
  <c r="C2519" i="5"/>
  <c r="E2523" i="5"/>
  <c r="D2523" i="5"/>
  <c r="C2523" i="5"/>
  <c r="E2527" i="5"/>
  <c r="D2527" i="5"/>
  <c r="C2527" i="5"/>
  <c r="E2531" i="5"/>
  <c r="D2531" i="5"/>
  <c r="C2531" i="5"/>
  <c r="E2539" i="5"/>
  <c r="D2539" i="5"/>
  <c r="C2539" i="5"/>
  <c r="E2543" i="5"/>
  <c r="D2543" i="5"/>
  <c r="C2543" i="5"/>
  <c r="E2547" i="5"/>
  <c r="D2547" i="5"/>
  <c r="C2547" i="5"/>
  <c r="E2551" i="5"/>
  <c r="D2551" i="5"/>
  <c r="C2551" i="5"/>
  <c r="E2555" i="5"/>
  <c r="D2555" i="5"/>
  <c r="C2555" i="5"/>
  <c r="E2559" i="5"/>
  <c r="D2559" i="5"/>
  <c r="C2559" i="5"/>
  <c r="E2563" i="5"/>
  <c r="D2563" i="5"/>
  <c r="C2563" i="5"/>
  <c r="E2567" i="5"/>
  <c r="D2567" i="5"/>
  <c r="C2567" i="5"/>
  <c r="E2571" i="5"/>
  <c r="D2571" i="5"/>
  <c r="C2571" i="5"/>
  <c r="E2574" i="5"/>
  <c r="D2574" i="5"/>
  <c r="C2574" i="5"/>
  <c r="E2578" i="5"/>
  <c r="D2578" i="5"/>
  <c r="C2578" i="5"/>
  <c r="E2581" i="5"/>
  <c r="D2581" i="5"/>
  <c r="C2581" i="5"/>
  <c r="E2588" i="5"/>
  <c r="D2588" i="5"/>
  <c r="C2588" i="5"/>
  <c r="E2595" i="5"/>
  <c r="D2595" i="5"/>
  <c r="C2595" i="5"/>
  <c r="E2599" i="5"/>
  <c r="D2599" i="5"/>
  <c r="C2599" i="5"/>
  <c r="E2608" i="5"/>
  <c r="D2608" i="5"/>
  <c r="C2608" i="5"/>
  <c r="E2612" i="5"/>
  <c r="D2612" i="5"/>
  <c r="C2612" i="5"/>
  <c r="E2616" i="5"/>
  <c r="D2616" i="5"/>
  <c r="C2616" i="5"/>
  <c r="E2619" i="5"/>
  <c r="D2619" i="5"/>
  <c r="C2619" i="5"/>
  <c r="E2623" i="5"/>
  <c r="D2623" i="5"/>
  <c r="C2623" i="5"/>
  <c r="E2627" i="5"/>
  <c r="D2627" i="5"/>
  <c r="C2627" i="5"/>
  <c r="E2634" i="5"/>
  <c r="D2634" i="5"/>
  <c r="C2634" i="5"/>
  <c r="E2638" i="5"/>
  <c r="D2638" i="5"/>
  <c r="C2638" i="5"/>
  <c r="E2642" i="5"/>
  <c r="D2642" i="5"/>
  <c r="C2642" i="5"/>
  <c r="E2645" i="5"/>
  <c r="D2645" i="5"/>
  <c r="C2645" i="5"/>
  <c r="E2649" i="5"/>
  <c r="D2649" i="5"/>
  <c r="C2649" i="5"/>
  <c r="E2653" i="5"/>
  <c r="D2653" i="5"/>
  <c r="C2653" i="5"/>
  <c r="E2660" i="5"/>
  <c r="D2660" i="5"/>
  <c r="C2660" i="5"/>
  <c r="E2664" i="5"/>
  <c r="D2664" i="5"/>
  <c r="C2664" i="5"/>
  <c r="E2668" i="5"/>
  <c r="D2668" i="5"/>
  <c r="C2668" i="5"/>
  <c r="E2671" i="5"/>
  <c r="D2671" i="5"/>
  <c r="C2671" i="5"/>
  <c r="E2675" i="5"/>
  <c r="D2675" i="5"/>
  <c r="C2675" i="5"/>
  <c r="E2679" i="5"/>
  <c r="D2679" i="5"/>
  <c r="C2679" i="5"/>
  <c r="E2686" i="5"/>
  <c r="D2686" i="5"/>
  <c r="C2686" i="5"/>
  <c r="E2690" i="5"/>
  <c r="D2690" i="5"/>
  <c r="C2690" i="5"/>
  <c r="E2694" i="5"/>
  <c r="D2694" i="5"/>
  <c r="C2694" i="5"/>
  <c r="E2697" i="5"/>
  <c r="D2697" i="5"/>
  <c r="C2697" i="5"/>
  <c r="E2701" i="5"/>
  <c r="D2701" i="5"/>
  <c r="C2701" i="5"/>
  <c r="E2705" i="5"/>
  <c r="D2705" i="5"/>
  <c r="C2705" i="5"/>
  <c r="E2712" i="5"/>
  <c r="D2712" i="5"/>
  <c r="C2712" i="5"/>
  <c r="E2716" i="5"/>
  <c r="D2716" i="5"/>
  <c r="C2716" i="5"/>
  <c r="D2720" i="5"/>
  <c r="E2720" i="5"/>
  <c r="C2720" i="5"/>
  <c r="E2723" i="5"/>
  <c r="D2723" i="5"/>
  <c r="C2723" i="5"/>
  <c r="E2727" i="5"/>
  <c r="D2727" i="5"/>
  <c r="C2727" i="5"/>
  <c r="E2731" i="5"/>
  <c r="D2731" i="5"/>
  <c r="C2731" i="5"/>
  <c r="E2738" i="5"/>
  <c r="C2738" i="5"/>
  <c r="D2738" i="5"/>
  <c r="E2742" i="5"/>
  <c r="D2742" i="5"/>
  <c r="C2742" i="5"/>
  <c r="E2746" i="5"/>
  <c r="D2746" i="5"/>
  <c r="C2746" i="5"/>
  <c r="E2749" i="5"/>
  <c r="D2749" i="5"/>
  <c r="C2749" i="5"/>
  <c r="E2753" i="5"/>
  <c r="D2753" i="5"/>
  <c r="C2753" i="5"/>
  <c r="E2757" i="5"/>
  <c r="D2757" i="5"/>
  <c r="C2757" i="5"/>
  <c r="E2764" i="5"/>
  <c r="D2764" i="5"/>
  <c r="C2764" i="5"/>
  <c r="E2768" i="5"/>
  <c r="D2768" i="5"/>
  <c r="C2768" i="5"/>
  <c r="E2772" i="5"/>
  <c r="D2772" i="5"/>
  <c r="C2772" i="5"/>
  <c r="E2776" i="5"/>
  <c r="D2776" i="5"/>
  <c r="C2776" i="5"/>
  <c r="E2780" i="5"/>
  <c r="D2780" i="5"/>
  <c r="C2780" i="5"/>
  <c r="D2784" i="5"/>
  <c r="E2784" i="5"/>
  <c r="C2784" i="5"/>
  <c r="E2787" i="5"/>
  <c r="D2787" i="5"/>
  <c r="C2787" i="5"/>
  <c r="E2791" i="5"/>
  <c r="D2791" i="5"/>
  <c r="C2791" i="5"/>
  <c r="E2795" i="5"/>
  <c r="D2795" i="5"/>
  <c r="C2795" i="5"/>
  <c r="E2802" i="5"/>
  <c r="C2802" i="5"/>
  <c r="D2802" i="5"/>
  <c r="E2806" i="5"/>
  <c r="D2806" i="5"/>
  <c r="C2806" i="5"/>
  <c r="E2813" i="5"/>
  <c r="D2813" i="5"/>
  <c r="C2813" i="5"/>
  <c r="E2817" i="5"/>
  <c r="D2817" i="5"/>
  <c r="C2817" i="5"/>
  <c r="E2821" i="5"/>
  <c r="D2821" i="5"/>
  <c r="C2821" i="5"/>
  <c r="E2824" i="5"/>
  <c r="D2824" i="5"/>
  <c r="C2824" i="5"/>
  <c r="E2828" i="5"/>
  <c r="D2828" i="5"/>
  <c r="C2828" i="5"/>
  <c r="E2832" i="5"/>
  <c r="D2832" i="5"/>
  <c r="C2832" i="5"/>
  <c r="E2835" i="5"/>
  <c r="D2835" i="5"/>
  <c r="C2835" i="5"/>
  <c r="E2839" i="5"/>
  <c r="D2839" i="5"/>
  <c r="C2839" i="5"/>
  <c r="E2843" i="5"/>
  <c r="D2843" i="5"/>
  <c r="C2843" i="5"/>
  <c r="E2850" i="5"/>
  <c r="D2850" i="5"/>
  <c r="C2850" i="5"/>
  <c r="E2854" i="5"/>
  <c r="C2854" i="5"/>
  <c r="D2854" i="5"/>
  <c r="E2861" i="5"/>
  <c r="D2861" i="5"/>
  <c r="C2861" i="5"/>
  <c r="E2865" i="5"/>
  <c r="D2865" i="5"/>
  <c r="C2865" i="5"/>
  <c r="E2869" i="5"/>
  <c r="D2869" i="5"/>
  <c r="C2869" i="5"/>
  <c r="E2872" i="5"/>
  <c r="D2872" i="5"/>
  <c r="C2872" i="5"/>
  <c r="E2876" i="5"/>
  <c r="D2876" i="5"/>
  <c r="C2876" i="5"/>
  <c r="E2880" i="5"/>
  <c r="D2880" i="5"/>
  <c r="C2880" i="5"/>
  <c r="E2883" i="5"/>
  <c r="D2883" i="5"/>
  <c r="C2883" i="5"/>
  <c r="E2887" i="5"/>
  <c r="D2887" i="5"/>
  <c r="C2887" i="5"/>
  <c r="E2891" i="5"/>
  <c r="D2891" i="5"/>
  <c r="C2891" i="5"/>
  <c r="E2898" i="5"/>
  <c r="D2898" i="5"/>
  <c r="C2898" i="5"/>
  <c r="E2902" i="5"/>
  <c r="D2902" i="5"/>
  <c r="C2902" i="5"/>
  <c r="E2909" i="5"/>
  <c r="D2909" i="5"/>
  <c r="C2909" i="5"/>
  <c r="E2913" i="5"/>
  <c r="D2913" i="5"/>
  <c r="C2913" i="5"/>
  <c r="E2917" i="5"/>
  <c r="D2917" i="5"/>
  <c r="C2917" i="5"/>
  <c r="E2920" i="5"/>
  <c r="D2920" i="5"/>
  <c r="C2920" i="5"/>
  <c r="E2924" i="5"/>
  <c r="D2924" i="5"/>
  <c r="C2924" i="5"/>
  <c r="E2928" i="5"/>
  <c r="D2928" i="5"/>
  <c r="C2928" i="5"/>
  <c r="E2931" i="5"/>
  <c r="D2931" i="5"/>
  <c r="C2931" i="5"/>
  <c r="E2935" i="5"/>
  <c r="D2935" i="5"/>
  <c r="C2935" i="5"/>
  <c r="E2939" i="5"/>
  <c r="D2939" i="5"/>
  <c r="C2939" i="5"/>
  <c r="E2946" i="5"/>
  <c r="D2946" i="5"/>
  <c r="C2946" i="5"/>
  <c r="E2950" i="5"/>
  <c r="C2950" i="5"/>
  <c r="D2950" i="5"/>
  <c r="E2957" i="5"/>
  <c r="D2957" i="5"/>
  <c r="C2957" i="5"/>
  <c r="E2961" i="5"/>
  <c r="D2961" i="5"/>
  <c r="C2961" i="5"/>
  <c r="E2965" i="5"/>
  <c r="D2965" i="5"/>
  <c r="C2965" i="5"/>
  <c r="E2968" i="5"/>
  <c r="D2968" i="5"/>
  <c r="C2968" i="5"/>
  <c r="E2972" i="5"/>
  <c r="D2972" i="5"/>
  <c r="C2972" i="5"/>
  <c r="D2976" i="5"/>
  <c r="E2976" i="5"/>
  <c r="C2976" i="5"/>
  <c r="E2979" i="5"/>
  <c r="D2979" i="5"/>
  <c r="C2979" i="5"/>
  <c r="E2983" i="5"/>
  <c r="D2983" i="5"/>
  <c r="C2983" i="5"/>
  <c r="E2987" i="5"/>
  <c r="D2987" i="5"/>
  <c r="C2987" i="5"/>
  <c r="E2994" i="5"/>
  <c r="C2994" i="5"/>
  <c r="D2994" i="5"/>
  <c r="E2998" i="5"/>
  <c r="D2998" i="5"/>
  <c r="C2998" i="5"/>
  <c r="E3005" i="5"/>
  <c r="D3005" i="5"/>
  <c r="C3005" i="5"/>
  <c r="E3009" i="5"/>
  <c r="D3009" i="5"/>
  <c r="C3009" i="5"/>
  <c r="E3013" i="5"/>
  <c r="D3013" i="5"/>
  <c r="C3013" i="5"/>
  <c r="E3016" i="5"/>
  <c r="D3016" i="5"/>
  <c r="C3016" i="5"/>
  <c r="E3020" i="5"/>
  <c r="D3020" i="5"/>
  <c r="C3020" i="5"/>
  <c r="E3024" i="5"/>
  <c r="D3024" i="5"/>
  <c r="C3024" i="5"/>
  <c r="E3027" i="5"/>
  <c r="D3027" i="5"/>
  <c r="C3027" i="5"/>
  <c r="E3031" i="5"/>
  <c r="D3031" i="5"/>
  <c r="C3031" i="5"/>
  <c r="E3035" i="5"/>
  <c r="D3035" i="5"/>
  <c r="C3035" i="5"/>
  <c r="E3042" i="5"/>
  <c r="D3042" i="5"/>
  <c r="C3042" i="5"/>
  <c r="E3046" i="5"/>
  <c r="D3046" i="5"/>
  <c r="C3046" i="5"/>
  <c r="E3053" i="5"/>
  <c r="D3053" i="5"/>
  <c r="C3053" i="5"/>
  <c r="E3057" i="5"/>
  <c r="D3057" i="5"/>
  <c r="C3057" i="5"/>
  <c r="E3061" i="5"/>
  <c r="D3061" i="5"/>
  <c r="C3061" i="5"/>
  <c r="E3064" i="5"/>
  <c r="D3064" i="5"/>
  <c r="C3064" i="5"/>
  <c r="E3068" i="5"/>
  <c r="D3068" i="5"/>
  <c r="C3068" i="5"/>
  <c r="E3072" i="5"/>
  <c r="D3072" i="5"/>
  <c r="C3072" i="5"/>
  <c r="E3075" i="5"/>
  <c r="D3075" i="5"/>
  <c r="C3075" i="5"/>
  <c r="E3079" i="5"/>
  <c r="D3079" i="5"/>
  <c r="C3079" i="5"/>
  <c r="E3083" i="5"/>
  <c r="D3083" i="5"/>
  <c r="C3083" i="5"/>
  <c r="E3090" i="5"/>
  <c r="C3090" i="5"/>
  <c r="D3090" i="5"/>
  <c r="E3094" i="5"/>
  <c r="D3094" i="5"/>
  <c r="C3094" i="5"/>
  <c r="E3101" i="5"/>
  <c r="D3101" i="5"/>
  <c r="C3101" i="5"/>
  <c r="E3105" i="5"/>
  <c r="D3105" i="5"/>
  <c r="C3105" i="5"/>
  <c r="E3109" i="5"/>
  <c r="D3109" i="5"/>
  <c r="C3109" i="5"/>
  <c r="E3112" i="5"/>
  <c r="D3112" i="5"/>
  <c r="C3112" i="5"/>
  <c r="E3116" i="5"/>
  <c r="D3116" i="5"/>
  <c r="C3116" i="5"/>
  <c r="E3120" i="5"/>
  <c r="D3120" i="5"/>
  <c r="C3120" i="5"/>
  <c r="E3123" i="5"/>
  <c r="D3123" i="5"/>
  <c r="C3123" i="5"/>
  <c r="E3127" i="5"/>
  <c r="D3127" i="5"/>
  <c r="C3127" i="5"/>
  <c r="E3131" i="5"/>
  <c r="D3131" i="5"/>
  <c r="C3131" i="5"/>
  <c r="E3138" i="5"/>
  <c r="D3138" i="5"/>
  <c r="C3138" i="5"/>
  <c r="E3142" i="5"/>
  <c r="D3142" i="5"/>
  <c r="C3142" i="5"/>
  <c r="E3149" i="5"/>
  <c r="D3149" i="5"/>
  <c r="C3149" i="5"/>
  <c r="E3153" i="5"/>
  <c r="D3153" i="5"/>
  <c r="C3153" i="5"/>
  <c r="E3157" i="5"/>
  <c r="D3157" i="5"/>
  <c r="C3157" i="5"/>
  <c r="E3160" i="5"/>
  <c r="D3160" i="5"/>
  <c r="C3160" i="5"/>
  <c r="E3164" i="5"/>
  <c r="D3164" i="5"/>
  <c r="C3164" i="5"/>
  <c r="E3168" i="5"/>
  <c r="D3168" i="5"/>
  <c r="C3168" i="5"/>
  <c r="E3171" i="5"/>
  <c r="D3171" i="5"/>
  <c r="C3171" i="5"/>
  <c r="E3175" i="5"/>
  <c r="D3175" i="5"/>
  <c r="C3175" i="5"/>
  <c r="E3179" i="5"/>
  <c r="D3179" i="5"/>
  <c r="C3179" i="5"/>
  <c r="E3186" i="5"/>
  <c r="C3186" i="5"/>
  <c r="D3186" i="5"/>
  <c r="E3190" i="5"/>
  <c r="D3190" i="5"/>
  <c r="C3190" i="5"/>
  <c r="E3197" i="5"/>
  <c r="D3197" i="5"/>
  <c r="C3197" i="5"/>
  <c r="E3201" i="5"/>
  <c r="D3201" i="5"/>
  <c r="C3201" i="5"/>
  <c r="E3205" i="5"/>
  <c r="D3205" i="5"/>
  <c r="C3205" i="5"/>
  <c r="E3209" i="5"/>
  <c r="D3209" i="5"/>
  <c r="C3209" i="5"/>
  <c r="E3213" i="5"/>
  <c r="D3213" i="5"/>
  <c r="C3213" i="5"/>
  <c r="E3217" i="5"/>
  <c r="D3217" i="5"/>
  <c r="C3217" i="5"/>
  <c r="E3220" i="5"/>
  <c r="D3220" i="5"/>
  <c r="C3220" i="5"/>
  <c r="E3224" i="5"/>
  <c r="D3224" i="5"/>
  <c r="C3224" i="5"/>
  <c r="E3228" i="5"/>
  <c r="D3228" i="5"/>
  <c r="C3228" i="5"/>
  <c r="E3235" i="5"/>
  <c r="D3235" i="5"/>
  <c r="C3235" i="5"/>
  <c r="E3239" i="5"/>
  <c r="D3239" i="5"/>
  <c r="C3239" i="5"/>
  <c r="E3246" i="5"/>
  <c r="D3246" i="5"/>
  <c r="C3246" i="5"/>
  <c r="E3250" i="5"/>
  <c r="C3250" i="5"/>
  <c r="D3250" i="5"/>
  <c r="E3254" i="5"/>
  <c r="D3254" i="5"/>
  <c r="C3254" i="5"/>
  <c r="E3257" i="5"/>
  <c r="D3257" i="5"/>
  <c r="C3257" i="5"/>
  <c r="E3261" i="5"/>
  <c r="D3261" i="5"/>
  <c r="C3261" i="5"/>
  <c r="E3265" i="5"/>
  <c r="D3265" i="5"/>
  <c r="C3265" i="5"/>
  <c r="E3269" i="5"/>
  <c r="D3269" i="5"/>
  <c r="C3269" i="5"/>
  <c r="E3273" i="5"/>
  <c r="D3273" i="5"/>
  <c r="C3273" i="5"/>
  <c r="E3277" i="5"/>
  <c r="D3277" i="5"/>
  <c r="C3277" i="5"/>
  <c r="E3284" i="5"/>
  <c r="D3284" i="5"/>
  <c r="C3284" i="5"/>
  <c r="E3288" i="5"/>
  <c r="D3288" i="5"/>
  <c r="C3288" i="5"/>
  <c r="E3295" i="5"/>
  <c r="D3295" i="5"/>
  <c r="C3295" i="5"/>
  <c r="E3299" i="5"/>
  <c r="D3299" i="5"/>
  <c r="C3299" i="5"/>
  <c r="E3303" i="5"/>
  <c r="D3303" i="5"/>
  <c r="C3303" i="5"/>
  <c r="E3306" i="5"/>
  <c r="D3306" i="5"/>
  <c r="C3306" i="5"/>
  <c r="E3310" i="5"/>
  <c r="D3310" i="5"/>
  <c r="C3310" i="5"/>
  <c r="E3314" i="5"/>
  <c r="C3314" i="5"/>
  <c r="D3314" i="5"/>
  <c r="E3317" i="5"/>
  <c r="D3317" i="5"/>
  <c r="C3317" i="5"/>
  <c r="E3321" i="5"/>
  <c r="D3321" i="5"/>
  <c r="C3321" i="5"/>
  <c r="E3325" i="5"/>
  <c r="D3325" i="5"/>
  <c r="C3325" i="5"/>
  <c r="E3332" i="5"/>
  <c r="D3332" i="5"/>
  <c r="C3332" i="5"/>
  <c r="E3336" i="5"/>
  <c r="D3336" i="5"/>
  <c r="C3336" i="5"/>
  <c r="E3344" i="5"/>
  <c r="D3344" i="5"/>
  <c r="C3344" i="5"/>
  <c r="E3348" i="5"/>
  <c r="D3348" i="5"/>
  <c r="C3348" i="5"/>
  <c r="E3352" i="5"/>
  <c r="D3352" i="5"/>
  <c r="C3352" i="5"/>
  <c r="E3355" i="5"/>
  <c r="D3355" i="5"/>
  <c r="C3355" i="5"/>
  <c r="E3359" i="5"/>
  <c r="D3359" i="5"/>
  <c r="C3359" i="5"/>
  <c r="E3363" i="5"/>
  <c r="D3363" i="5"/>
  <c r="C3363" i="5"/>
  <c r="E3370" i="5"/>
  <c r="D3370" i="5"/>
  <c r="C3370" i="5"/>
  <c r="E3374" i="5"/>
  <c r="D3374" i="5"/>
  <c r="C3374" i="5"/>
  <c r="E3382" i="5"/>
  <c r="D3382" i="5"/>
  <c r="C3382" i="5"/>
  <c r="E3386" i="5"/>
  <c r="D3386" i="5"/>
  <c r="C3386" i="5"/>
  <c r="E3390" i="5"/>
  <c r="D3390" i="5"/>
  <c r="C3390" i="5"/>
  <c r="E3393" i="5"/>
  <c r="D3393" i="5"/>
  <c r="C3393" i="5"/>
  <c r="E3397" i="5"/>
  <c r="D3397" i="5"/>
  <c r="C3397" i="5"/>
  <c r="E3401" i="5"/>
  <c r="D3401" i="5"/>
  <c r="C3401" i="5"/>
  <c r="E3404" i="5"/>
  <c r="D3404" i="5"/>
  <c r="C3404" i="5"/>
  <c r="E3408" i="5"/>
  <c r="D3408" i="5"/>
  <c r="C3408" i="5"/>
  <c r="E3412" i="5"/>
  <c r="D3412" i="5"/>
  <c r="C3412" i="5"/>
  <c r="E3419" i="5"/>
  <c r="D3419" i="5"/>
  <c r="C3419" i="5"/>
  <c r="E3423" i="5"/>
  <c r="D3423" i="5"/>
  <c r="C3423" i="5"/>
  <c r="E3430" i="5"/>
  <c r="C3430" i="5"/>
  <c r="D3430" i="5"/>
  <c r="E3434" i="5"/>
  <c r="D3434" i="5"/>
  <c r="C3434" i="5"/>
  <c r="E3438" i="5"/>
  <c r="D3438" i="5"/>
  <c r="C3438" i="5"/>
  <c r="E3441" i="5"/>
  <c r="D3441" i="5"/>
  <c r="C3441" i="5"/>
  <c r="E3445" i="5"/>
  <c r="D3445" i="5"/>
  <c r="C3445" i="5"/>
  <c r="E3449" i="5"/>
  <c r="D3449" i="5"/>
  <c r="C3449" i="5"/>
  <c r="E3452" i="5"/>
  <c r="D3452" i="5"/>
  <c r="C3452" i="5"/>
  <c r="E3456" i="5"/>
  <c r="D3456" i="5"/>
  <c r="C3456" i="5"/>
  <c r="E3460" i="5"/>
  <c r="D3460" i="5"/>
  <c r="C3460" i="5"/>
  <c r="E3467" i="5"/>
  <c r="D3467" i="5"/>
  <c r="C3467" i="5"/>
  <c r="E3471" i="5"/>
  <c r="D3471" i="5"/>
  <c r="C3471" i="5"/>
  <c r="E3478" i="5"/>
  <c r="D3478" i="5"/>
  <c r="C3478" i="5"/>
  <c r="E3482" i="5"/>
  <c r="D3482" i="5"/>
  <c r="C3482" i="5"/>
  <c r="E3486" i="5"/>
  <c r="D3486" i="5"/>
  <c r="C3486" i="5"/>
  <c r="E3489" i="5"/>
  <c r="D3489" i="5"/>
  <c r="C3489" i="5"/>
  <c r="E3493" i="5"/>
  <c r="D3493" i="5"/>
  <c r="C3493" i="5"/>
  <c r="E3497" i="5"/>
  <c r="D3497" i="5"/>
  <c r="C3497" i="5"/>
  <c r="E3501" i="5"/>
  <c r="D3501" i="5"/>
  <c r="C3501" i="5"/>
  <c r="E3526" i="5"/>
  <c r="D3526" i="5"/>
  <c r="C3526" i="5"/>
  <c r="E3547" i="5"/>
  <c r="D3547" i="5"/>
  <c r="C3547" i="5"/>
  <c r="E3578" i="5"/>
  <c r="C3578" i="5"/>
  <c r="D3578" i="5"/>
  <c r="E3592" i="5"/>
  <c r="D3592" i="5"/>
  <c r="C3592" i="5"/>
  <c r="E3623" i="5"/>
  <c r="D3623" i="5"/>
  <c r="C3623" i="5"/>
  <c r="E3660" i="5"/>
  <c r="D3660" i="5"/>
  <c r="C3660" i="5"/>
  <c r="E3681" i="5"/>
  <c r="D3681" i="5"/>
  <c r="C3681" i="5"/>
  <c r="E3698" i="5"/>
  <c r="D3698" i="5"/>
  <c r="C3698" i="5"/>
  <c r="E3723" i="5"/>
  <c r="D3723" i="5"/>
  <c r="C3723" i="5"/>
  <c r="E61" i="5"/>
  <c r="D61" i="5"/>
  <c r="C61" i="5"/>
  <c r="E83" i="5"/>
  <c r="D83" i="5"/>
  <c r="C83" i="5"/>
  <c r="E102" i="5"/>
  <c r="D102" i="5"/>
  <c r="C102" i="5"/>
  <c r="E137" i="5"/>
  <c r="D137" i="5"/>
  <c r="C137" i="5"/>
  <c r="E163" i="5"/>
  <c r="D163" i="5"/>
  <c r="C163" i="5"/>
  <c r="E198" i="5"/>
  <c r="D198" i="5"/>
  <c r="C198" i="5"/>
  <c r="E218" i="5"/>
  <c r="D218" i="5"/>
  <c r="C218" i="5"/>
  <c r="E239" i="5"/>
  <c r="D239" i="5"/>
  <c r="C239" i="5"/>
  <c r="E251" i="5"/>
  <c r="D251" i="5"/>
  <c r="C251" i="5"/>
  <c r="E267" i="5"/>
  <c r="D267" i="5"/>
  <c r="C267" i="5"/>
  <c r="E282" i="5"/>
  <c r="D282" i="5"/>
  <c r="C282" i="5"/>
  <c r="E294" i="5"/>
  <c r="D294" i="5"/>
  <c r="C294" i="5"/>
  <c r="E303" i="5"/>
  <c r="D303" i="5"/>
  <c r="C303" i="5"/>
  <c r="E315" i="5"/>
  <c r="D315" i="5"/>
  <c r="C315" i="5"/>
  <c r="E327" i="5"/>
  <c r="D327" i="5"/>
  <c r="C327" i="5"/>
  <c r="E346" i="5"/>
  <c r="D346" i="5"/>
  <c r="C346" i="5"/>
  <c r="E357" i="5"/>
  <c r="D357" i="5"/>
  <c r="C357" i="5"/>
  <c r="E368" i="5"/>
  <c r="D368" i="5"/>
  <c r="C368" i="5"/>
  <c r="E379" i="5"/>
  <c r="D379" i="5"/>
  <c r="C379" i="5"/>
  <c r="E398" i="5"/>
  <c r="D398" i="5"/>
  <c r="C398" i="5"/>
  <c r="E416" i="5"/>
  <c r="D416" i="5"/>
  <c r="C416" i="5"/>
  <c r="E435" i="5"/>
  <c r="D435" i="5"/>
  <c r="C435" i="5"/>
  <c r="E449" i="5"/>
  <c r="D449" i="5"/>
  <c r="C449" i="5"/>
  <c r="E464" i="5"/>
  <c r="D464" i="5"/>
  <c r="C464" i="5"/>
  <c r="E475" i="5"/>
  <c r="D475" i="5"/>
  <c r="C475" i="5"/>
  <c r="E490" i="5"/>
  <c r="D490" i="5"/>
  <c r="C490" i="5"/>
  <c r="E502" i="5"/>
  <c r="D502" i="5"/>
  <c r="C502" i="5"/>
  <c r="E513" i="5"/>
  <c r="D513" i="5"/>
  <c r="C513" i="5"/>
  <c r="E521" i="5"/>
  <c r="D521" i="5"/>
  <c r="C521" i="5"/>
  <c r="E533" i="5"/>
  <c r="D533" i="5"/>
  <c r="C533" i="5"/>
  <c r="E551" i="5"/>
  <c r="D551" i="5"/>
  <c r="C551" i="5"/>
  <c r="E568" i="5"/>
  <c r="D568" i="5"/>
  <c r="C568" i="5"/>
  <c r="E583" i="5"/>
  <c r="D583" i="5"/>
  <c r="C583" i="5"/>
  <c r="E608" i="5"/>
  <c r="D608" i="5"/>
  <c r="C608" i="5"/>
  <c r="E616" i="5"/>
  <c r="D616" i="5"/>
  <c r="C616" i="5"/>
  <c r="E635" i="5"/>
  <c r="D635" i="5"/>
  <c r="C635" i="5"/>
  <c r="E669" i="5"/>
  <c r="D669" i="5"/>
  <c r="C669" i="5"/>
  <c r="E687" i="5"/>
  <c r="D687" i="5"/>
  <c r="C687" i="5"/>
  <c r="E717" i="5"/>
  <c r="D717" i="5"/>
  <c r="C717" i="5"/>
  <c r="E735" i="5"/>
  <c r="D735" i="5"/>
  <c r="C735" i="5"/>
  <c r="E749" i="5"/>
  <c r="D749" i="5"/>
  <c r="C749" i="5"/>
  <c r="E764" i="5"/>
  <c r="D764" i="5"/>
  <c r="C764" i="5"/>
  <c r="E783" i="5"/>
  <c r="D783" i="5"/>
  <c r="C783" i="5"/>
  <c r="E806" i="5"/>
  <c r="D806" i="5"/>
  <c r="C806" i="5"/>
  <c r="E828" i="5"/>
  <c r="D828" i="5"/>
  <c r="C828" i="5"/>
  <c r="E847" i="5"/>
  <c r="D847" i="5"/>
  <c r="C847" i="5"/>
  <c r="E861" i="5"/>
  <c r="D861" i="5"/>
  <c r="C861" i="5"/>
  <c r="E872" i="5"/>
  <c r="D872" i="5"/>
  <c r="C872" i="5"/>
  <c r="E886" i="5"/>
  <c r="D886" i="5"/>
  <c r="C886" i="5"/>
  <c r="E899" i="5"/>
  <c r="D899" i="5"/>
  <c r="C899" i="5"/>
  <c r="E910" i="5"/>
  <c r="D910" i="5"/>
  <c r="C910" i="5"/>
  <c r="E921" i="5"/>
  <c r="D921" i="5"/>
  <c r="C921" i="5"/>
  <c r="E932" i="5"/>
  <c r="D932" i="5"/>
  <c r="C932" i="5"/>
  <c r="E967" i="5"/>
  <c r="D967" i="5"/>
  <c r="C967" i="5"/>
  <c r="E978" i="5"/>
  <c r="D978" i="5"/>
  <c r="C978" i="5"/>
  <c r="E993" i="5"/>
  <c r="D993" i="5"/>
  <c r="C993" i="5"/>
  <c r="E1006" i="5"/>
  <c r="D1006" i="5"/>
  <c r="C1006" i="5"/>
  <c r="E1025" i="5"/>
  <c r="D1025" i="5"/>
  <c r="C1025" i="5"/>
  <c r="E1043" i="5"/>
  <c r="D1043" i="5"/>
  <c r="C1043" i="5"/>
  <c r="E1064" i="5"/>
  <c r="D1064" i="5"/>
  <c r="C1064" i="5"/>
  <c r="E1075" i="5"/>
  <c r="D1075" i="5"/>
  <c r="C1075" i="5"/>
  <c r="E1090" i="5"/>
  <c r="D1090" i="5"/>
  <c r="C1090" i="5"/>
  <c r="E1121" i="5"/>
  <c r="D1121" i="5"/>
  <c r="C1121" i="5"/>
  <c r="E1133" i="5"/>
  <c r="D1133" i="5"/>
  <c r="C1133" i="5"/>
  <c r="E1144" i="5"/>
  <c r="D1144" i="5"/>
  <c r="C1144" i="5"/>
  <c r="E1199" i="5"/>
  <c r="D1199" i="5"/>
  <c r="C1199" i="5"/>
  <c r="E1211" i="5"/>
  <c r="D1211" i="5"/>
  <c r="C1211" i="5"/>
  <c r="E1223" i="5"/>
  <c r="D1223" i="5"/>
  <c r="C1223" i="5"/>
  <c r="E1234" i="5"/>
  <c r="D1234" i="5"/>
  <c r="C1234" i="5"/>
  <c r="E1246" i="5"/>
  <c r="D1246" i="5"/>
  <c r="C1246" i="5"/>
  <c r="E1258" i="5"/>
  <c r="D1258" i="5"/>
  <c r="C1258" i="5"/>
  <c r="E1286" i="5"/>
  <c r="D1286" i="5"/>
  <c r="C1286" i="5"/>
  <c r="E1305" i="5"/>
  <c r="D1305" i="5"/>
  <c r="C1305" i="5"/>
  <c r="E1323" i="5"/>
  <c r="D1323" i="5"/>
  <c r="C1323" i="5"/>
  <c r="E1341" i="5"/>
  <c r="D1341" i="5"/>
  <c r="C1341" i="5"/>
  <c r="E1351" i="5"/>
  <c r="D1351" i="5"/>
  <c r="C1351" i="5"/>
  <c r="E1363" i="5"/>
  <c r="D1363" i="5"/>
  <c r="C1363" i="5"/>
  <c r="E1373" i="5"/>
  <c r="D1373" i="5"/>
  <c r="C1373" i="5"/>
  <c r="E1384" i="5"/>
  <c r="D1384" i="5"/>
  <c r="C1384" i="5"/>
  <c r="E1395" i="5"/>
  <c r="D1395" i="5"/>
  <c r="C1395" i="5"/>
  <c r="E1407" i="5"/>
  <c r="D1407" i="5"/>
  <c r="C1407" i="5"/>
  <c r="E1431" i="5"/>
  <c r="D1431" i="5"/>
  <c r="C1431" i="5"/>
  <c r="E1455" i="5"/>
  <c r="D1455" i="5"/>
  <c r="C1455" i="5"/>
  <c r="E1504" i="5"/>
  <c r="D1504" i="5"/>
  <c r="C1504" i="5"/>
  <c r="E1513" i="5"/>
  <c r="D1513" i="5"/>
  <c r="C1513" i="5"/>
  <c r="E1527" i="5"/>
  <c r="D1527" i="5"/>
  <c r="C1527" i="5"/>
  <c r="E1543" i="5"/>
  <c r="D1543" i="5"/>
  <c r="C1543" i="5"/>
  <c r="E1570" i="5"/>
  <c r="D1570" i="5"/>
  <c r="C1570" i="5"/>
  <c r="E1589" i="5"/>
  <c r="D1589" i="5"/>
  <c r="C1589" i="5"/>
  <c r="E1601" i="5"/>
  <c r="D1601" i="5"/>
  <c r="C1601" i="5"/>
  <c r="E1619" i="5"/>
  <c r="D1619" i="5"/>
  <c r="C1619" i="5"/>
  <c r="E1629" i="5"/>
  <c r="D1629" i="5"/>
  <c r="C1629" i="5"/>
  <c r="E1644" i="5"/>
  <c r="D1644" i="5"/>
  <c r="C1644" i="5"/>
  <c r="E1654" i="5"/>
  <c r="D1654" i="5"/>
  <c r="C1654" i="5"/>
  <c r="E1672" i="5"/>
  <c r="D1672" i="5"/>
  <c r="C1672" i="5"/>
  <c r="E1686" i="5"/>
  <c r="D1686" i="5"/>
  <c r="C1686" i="5"/>
  <c r="E1705" i="5"/>
  <c r="D1705" i="5"/>
  <c r="C1705" i="5"/>
  <c r="E1716" i="5"/>
  <c r="D1716" i="5"/>
  <c r="C1716" i="5"/>
  <c r="E1732" i="5"/>
  <c r="D1732" i="5"/>
  <c r="C1732" i="5"/>
  <c r="E1744" i="5"/>
  <c r="D1744" i="5"/>
  <c r="C1744" i="5"/>
  <c r="E1756" i="5"/>
  <c r="D1756" i="5"/>
  <c r="C1756" i="5"/>
  <c r="E1777" i="5"/>
  <c r="D1777" i="5"/>
  <c r="C1777" i="5"/>
  <c r="E1789" i="5"/>
  <c r="D1789" i="5"/>
  <c r="C1789" i="5"/>
  <c r="E1804" i="5"/>
  <c r="D1804" i="5"/>
  <c r="C1804" i="5"/>
  <c r="E1824" i="5"/>
  <c r="D1824" i="5"/>
  <c r="C1824" i="5"/>
  <c r="E1842" i="5"/>
  <c r="D1842" i="5"/>
  <c r="C1842" i="5"/>
  <c r="E1874" i="5"/>
  <c r="D1874" i="5"/>
  <c r="C1874" i="5"/>
  <c r="E1885" i="5"/>
  <c r="D1885" i="5"/>
  <c r="C1885" i="5"/>
  <c r="E1909" i="5"/>
  <c r="D1909" i="5"/>
  <c r="C1909" i="5"/>
  <c r="E1920" i="5"/>
  <c r="D1920" i="5"/>
  <c r="C1920" i="5"/>
  <c r="E1930" i="5"/>
  <c r="D1930" i="5"/>
  <c r="C1930" i="5"/>
  <c r="E1945" i="5"/>
  <c r="D1945" i="5"/>
  <c r="C1945" i="5"/>
  <c r="E1964" i="5"/>
  <c r="D1964" i="5"/>
  <c r="C1964" i="5"/>
  <c r="E1984" i="5"/>
  <c r="D1984" i="5"/>
  <c r="C1984" i="5"/>
  <c r="E2004" i="5"/>
  <c r="D2004" i="5"/>
  <c r="C2004" i="5"/>
  <c r="E2023" i="5"/>
  <c r="D2023" i="5"/>
  <c r="C2023" i="5"/>
  <c r="E2039" i="5"/>
  <c r="D2039" i="5"/>
  <c r="C2039" i="5"/>
  <c r="E2057" i="5"/>
  <c r="D2057" i="5"/>
  <c r="C2057" i="5"/>
  <c r="E2071" i="5"/>
  <c r="D2071" i="5"/>
  <c r="C2071" i="5"/>
  <c r="E2082" i="5"/>
  <c r="D2082" i="5"/>
  <c r="C2082" i="5"/>
  <c r="E2098" i="5"/>
  <c r="C2098" i="5"/>
  <c r="D2098" i="5"/>
  <c r="E2113" i="5"/>
  <c r="D2113" i="5"/>
  <c r="C2113" i="5"/>
  <c r="E2132" i="5"/>
  <c r="D2132" i="5"/>
  <c r="C2132" i="5"/>
  <c r="E2147" i="5"/>
  <c r="D2147" i="5"/>
  <c r="C2147" i="5"/>
  <c r="E2166" i="5"/>
  <c r="D2166" i="5"/>
  <c r="C2166" i="5"/>
  <c r="E2180" i="5"/>
  <c r="D2180" i="5"/>
  <c r="C2180" i="5"/>
  <c r="E2199" i="5"/>
  <c r="D2199" i="5"/>
  <c r="C2199" i="5"/>
  <c r="E2217" i="5"/>
  <c r="D2217" i="5"/>
  <c r="C2217" i="5"/>
  <c r="E2239" i="5"/>
  <c r="D2239" i="5"/>
  <c r="C2239" i="5"/>
  <c r="E2252" i="5"/>
  <c r="D2252" i="5"/>
  <c r="C2252" i="5"/>
  <c r="E2281" i="5"/>
  <c r="D2281" i="5"/>
  <c r="C2281" i="5"/>
  <c r="E2293" i="5"/>
  <c r="D2293" i="5"/>
  <c r="C2293" i="5"/>
  <c r="E2309" i="5"/>
  <c r="D2309" i="5"/>
  <c r="C2309" i="5"/>
  <c r="E2320" i="5"/>
  <c r="D2320" i="5"/>
  <c r="C2320" i="5"/>
  <c r="E2343" i="5"/>
  <c r="D2343" i="5"/>
  <c r="C2343" i="5"/>
  <c r="E2362" i="5"/>
  <c r="D2362" i="5"/>
  <c r="C2362" i="5"/>
  <c r="E2378" i="5"/>
  <c r="D2378" i="5"/>
  <c r="C2378" i="5"/>
  <c r="E2393" i="5"/>
  <c r="D2393" i="5"/>
  <c r="C2393" i="5"/>
  <c r="E2431" i="5"/>
  <c r="D2431" i="5"/>
  <c r="C2431" i="5"/>
  <c r="E2450" i="5"/>
  <c r="D2450" i="5"/>
  <c r="C2450" i="5"/>
  <c r="E2499" i="5"/>
  <c r="D2499" i="5"/>
  <c r="C2499" i="5"/>
  <c r="E2510" i="5"/>
  <c r="D2510" i="5"/>
  <c r="C2510" i="5"/>
  <c r="E2522" i="5"/>
  <c r="D2522" i="5"/>
  <c r="C2522" i="5"/>
  <c r="E2538" i="5"/>
  <c r="D2538" i="5"/>
  <c r="C2538" i="5"/>
  <c r="E2558" i="5"/>
  <c r="D2558" i="5"/>
  <c r="C2558" i="5"/>
  <c r="E2570" i="5"/>
  <c r="D2570" i="5"/>
  <c r="C2570" i="5"/>
  <c r="E2580" i="5"/>
  <c r="D2580" i="5"/>
  <c r="C2580" i="5"/>
  <c r="E2594" i="5"/>
  <c r="D2594" i="5"/>
  <c r="C2594" i="5"/>
  <c r="E2607" i="5"/>
  <c r="D2607" i="5"/>
  <c r="C2607" i="5"/>
  <c r="E2618" i="5"/>
  <c r="D2618" i="5"/>
  <c r="C2618" i="5"/>
  <c r="E2648" i="5"/>
  <c r="D2648" i="5"/>
  <c r="C2648" i="5"/>
  <c r="E2663" i="5"/>
  <c r="D2663" i="5"/>
  <c r="C2663" i="5"/>
  <c r="E2693" i="5"/>
  <c r="D2693" i="5"/>
  <c r="C2693" i="5"/>
  <c r="E2704" i="5"/>
  <c r="D2704" i="5"/>
  <c r="C2704" i="5"/>
  <c r="E2715" i="5"/>
  <c r="D2715" i="5"/>
  <c r="C2715" i="5"/>
  <c r="E2745" i="5"/>
  <c r="D2745" i="5"/>
  <c r="C2745" i="5"/>
  <c r="E2763" i="5"/>
  <c r="D2763" i="5"/>
  <c r="C2763" i="5"/>
  <c r="E2783" i="5"/>
  <c r="D2783" i="5"/>
  <c r="C2783" i="5"/>
  <c r="E2794" i="5"/>
  <c r="D2794" i="5"/>
  <c r="C2794" i="5"/>
  <c r="E2805" i="5"/>
  <c r="D2805" i="5"/>
  <c r="C2805" i="5"/>
  <c r="E2816" i="5"/>
  <c r="D2816" i="5"/>
  <c r="C2816" i="5"/>
  <c r="E2857" i="5"/>
  <c r="D2857" i="5"/>
  <c r="C2857" i="5"/>
  <c r="E2875" i="5"/>
  <c r="D2875" i="5"/>
  <c r="C2875" i="5"/>
  <c r="E2912" i="5"/>
  <c r="D2912" i="5"/>
  <c r="C2912" i="5"/>
  <c r="E2927" i="5"/>
  <c r="D2927" i="5"/>
  <c r="C2927" i="5"/>
  <c r="E2938" i="5"/>
  <c r="D2938" i="5"/>
  <c r="C2938" i="5"/>
  <c r="E2956" i="5"/>
  <c r="D2956" i="5"/>
  <c r="C2956" i="5"/>
  <c r="E2975" i="5"/>
  <c r="D2975" i="5"/>
  <c r="C2975" i="5"/>
  <c r="E2986" i="5"/>
  <c r="D2986" i="5"/>
  <c r="C2986" i="5"/>
  <c r="E3004" i="5"/>
  <c r="D3004" i="5"/>
  <c r="C3004" i="5"/>
  <c r="E3019" i="5"/>
  <c r="D3019" i="5"/>
  <c r="C3019" i="5"/>
  <c r="E3030" i="5"/>
  <c r="D3030" i="5"/>
  <c r="C3030" i="5"/>
  <c r="E3049" i="5"/>
  <c r="D3049" i="5"/>
  <c r="C3049" i="5"/>
  <c r="E3067" i="5"/>
  <c r="D3067" i="5"/>
  <c r="C3067" i="5"/>
  <c r="E3082" i="5"/>
  <c r="D3082" i="5"/>
  <c r="C3082" i="5"/>
  <c r="E3097" i="5"/>
  <c r="D3097" i="5"/>
  <c r="C3097" i="5"/>
  <c r="E3111" i="5"/>
  <c r="D3111" i="5"/>
  <c r="C3111" i="5"/>
  <c r="E3145" i="5"/>
  <c r="D3145" i="5"/>
  <c r="C3145" i="5"/>
  <c r="E3163" i="5"/>
  <c r="D3163" i="5"/>
  <c r="C3163" i="5"/>
  <c r="E3178" i="5"/>
  <c r="D3178" i="5"/>
  <c r="C3178" i="5"/>
  <c r="E3212" i="5"/>
  <c r="D3212" i="5"/>
  <c r="C3212" i="5"/>
  <c r="E5" i="5"/>
  <c r="D5" i="5"/>
  <c r="C5" i="5"/>
  <c r="E12" i="5"/>
  <c r="D12" i="5"/>
  <c r="C12" i="5"/>
  <c r="E22" i="5"/>
  <c r="D22" i="5"/>
  <c r="C22" i="5"/>
  <c r="E44" i="5"/>
  <c r="D44" i="5"/>
  <c r="C44" i="5"/>
  <c r="E55" i="5"/>
  <c r="D55" i="5"/>
  <c r="C55" i="5"/>
  <c r="E63" i="5"/>
  <c r="D63" i="5"/>
  <c r="C63" i="5"/>
  <c r="E96" i="5"/>
  <c r="D96" i="5"/>
  <c r="C96" i="5"/>
  <c r="E114" i="5"/>
  <c r="D114" i="5"/>
  <c r="C114" i="5"/>
  <c r="E143" i="5"/>
  <c r="D143" i="5"/>
  <c r="C143" i="5"/>
  <c r="E154" i="5"/>
  <c r="D154" i="5"/>
  <c r="C154" i="5"/>
  <c r="E165" i="5"/>
  <c r="D165" i="5"/>
  <c r="C165" i="5"/>
  <c r="E172" i="5"/>
  <c r="D172" i="5"/>
  <c r="C172" i="5"/>
  <c r="E178" i="5"/>
  <c r="D178" i="5"/>
  <c r="C178" i="5"/>
  <c r="E186" i="5"/>
  <c r="D186" i="5"/>
  <c r="C186" i="5"/>
  <c r="E204" i="5"/>
  <c r="D204" i="5"/>
  <c r="C204" i="5"/>
  <c r="E216" i="5"/>
  <c r="D216" i="5"/>
  <c r="C216" i="5"/>
  <c r="E224" i="5"/>
  <c r="D224" i="5"/>
  <c r="C224" i="5"/>
  <c r="E234" i="5"/>
  <c r="D234" i="5"/>
  <c r="C234" i="5"/>
  <c r="E241" i="5"/>
  <c r="D241" i="5"/>
  <c r="C241" i="5"/>
  <c r="E253" i="5"/>
  <c r="D253" i="5"/>
  <c r="C253" i="5"/>
  <c r="E269" i="5"/>
  <c r="D269" i="5"/>
  <c r="C269" i="5"/>
  <c r="E276" i="5"/>
  <c r="D276" i="5"/>
  <c r="C276" i="5"/>
  <c r="E288" i="5"/>
  <c r="D288" i="5"/>
  <c r="C288" i="5"/>
  <c r="E299" i="5"/>
  <c r="D299" i="5"/>
  <c r="C299" i="5"/>
  <c r="E313" i="5"/>
  <c r="D313" i="5"/>
  <c r="C313" i="5"/>
  <c r="E321" i="5"/>
  <c r="D321" i="5"/>
  <c r="C321" i="5"/>
  <c r="E333" i="5"/>
  <c r="D333" i="5"/>
  <c r="C333" i="5"/>
  <c r="E340" i="5"/>
  <c r="D340" i="5"/>
  <c r="C340" i="5"/>
  <c r="E351" i="5"/>
  <c r="D351" i="5"/>
  <c r="C351" i="5"/>
  <c r="E362" i="5"/>
  <c r="D362" i="5"/>
  <c r="C362" i="5"/>
  <c r="E373" i="5"/>
  <c r="D373" i="5"/>
  <c r="C373" i="5"/>
  <c r="E385" i="5"/>
  <c r="D385" i="5"/>
  <c r="C385" i="5"/>
  <c r="E393" i="5"/>
  <c r="D393" i="5"/>
  <c r="C393" i="5"/>
  <c r="E410" i="5"/>
  <c r="D410" i="5"/>
  <c r="C410" i="5"/>
  <c r="E418" i="5"/>
  <c r="D418" i="5"/>
  <c r="C418" i="5"/>
  <c r="E425" i="5"/>
  <c r="D425" i="5"/>
  <c r="C425" i="5"/>
  <c r="E437" i="5"/>
  <c r="D437" i="5"/>
  <c r="C437" i="5"/>
  <c r="E454" i="5"/>
  <c r="D454" i="5"/>
  <c r="C454" i="5"/>
  <c r="E462" i="5"/>
  <c r="D462" i="5"/>
  <c r="C462" i="5"/>
  <c r="E481" i="5"/>
  <c r="D481" i="5"/>
  <c r="C481" i="5"/>
  <c r="E485" i="5"/>
  <c r="D485" i="5"/>
  <c r="C485" i="5"/>
  <c r="E492" i="5"/>
  <c r="D492" i="5"/>
  <c r="C492" i="5"/>
  <c r="E496" i="5"/>
  <c r="D496" i="5"/>
  <c r="C496" i="5"/>
  <c r="E500" i="5"/>
  <c r="D500" i="5"/>
  <c r="C500" i="5"/>
  <c r="E504" i="5"/>
  <c r="D504" i="5"/>
  <c r="C504" i="5"/>
  <c r="E508" i="5"/>
  <c r="D508" i="5"/>
  <c r="C508" i="5"/>
  <c r="E515" i="5"/>
  <c r="D515" i="5"/>
  <c r="C515" i="5"/>
  <c r="E519" i="5"/>
  <c r="D519" i="5"/>
  <c r="C519" i="5"/>
  <c r="E527" i="5"/>
  <c r="D527" i="5"/>
  <c r="C527" i="5"/>
  <c r="E531" i="5"/>
  <c r="D531" i="5"/>
  <c r="C531" i="5"/>
  <c r="E538" i="5"/>
  <c r="D538" i="5"/>
  <c r="C538" i="5"/>
  <c r="E542" i="5"/>
  <c r="D542" i="5"/>
  <c r="C542" i="5"/>
  <c r="E546" i="5"/>
  <c r="D546" i="5"/>
  <c r="C546" i="5"/>
  <c r="E553" i="5"/>
  <c r="D553" i="5"/>
  <c r="C553" i="5"/>
  <c r="E557" i="5"/>
  <c r="D557" i="5"/>
  <c r="C557" i="5"/>
  <c r="E560" i="5"/>
  <c r="D560" i="5"/>
  <c r="C560" i="5"/>
  <c r="E563" i="5"/>
  <c r="D563" i="5"/>
  <c r="C563" i="5"/>
  <c r="E570" i="5"/>
  <c r="D570" i="5"/>
  <c r="C570" i="5"/>
  <c r="E574" i="5"/>
  <c r="D574" i="5"/>
  <c r="C574" i="5"/>
  <c r="E577" i="5"/>
  <c r="D577" i="5"/>
  <c r="C577" i="5"/>
  <c r="E581" i="5"/>
  <c r="D581" i="5"/>
  <c r="C581" i="5"/>
  <c r="E585" i="5"/>
  <c r="D585" i="5"/>
  <c r="C585" i="5"/>
  <c r="E588" i="5"/>
  <c r="D588" i="5"/>
  <c r="C588" i="5"/>
  <c r="E592" i="5"/>
  <c r="D592" i="5"/>
  <c r="C592" i="5"/>
  <c r="E596" i="5"/>
  <c r="D596" i="5"/>
  <c r="C596" i="5"/>
  <c r="E599" i="5"/>
  <c r="D599" i="5"/>
  <c r="C599" i="5"/>
  <c r="E603" i="5"/>
  <c r="D603" i="5"/>
  <c r="C603" i="5"/>
  <c r="E610" i="5"/>
  <c r="D610" i="5"/>
  <c r="C610" i="5"/>
  <c r="E614" i="5"/>
  <c r="D614" i="5"/>
  <c r="C614" i="5"/>
  <c r="E618" i="5"/>
  <c r="D618" i="5"/>
  <c r="C618" i="5"/>
  <c r="E621" i="5"/>
  <c r="D621" i="5"/>
  <c r="C621" i="5"/>
  <c r="E625" i="5"/>
  <c r="D625" i="5"/>
  <c r="C625" i="5"/>
  <c r="E629" i="5"/>
  <c r="D629" i="5"/>
  <c r="C629" i="5"/>
  <c r="E633" i="5"/>
  <c r="D633" i="5"/>
  <c r="C633" i="5"/>
  <c r="E637" i="5"/>
  <c r="D637" i="5"/>
  <c r="C637" i="5"/>
  <c r="E641" i="5"/>
  <c r="D641" i="5"/>
  <c r="C641" i="5"/>
  <c r="E645" i="5"/>
  <c r="D645" i="5"/>
  <c r="C645" i="5"/>
  <c r="E648" i="5"/>
  <c r="D648" i="5"/>
  <c r="C648" i="5"/>
  <c r="E652" i="5"/>
  <c r="D652" i="5"/>
  <c r="C652" i="5"/>
  <c r="E656" i="5"/>
  <c r="D656" i="5"/>
  <c r="C656" i="5"/>
  <c r="E659" i="5"/>
  <c r="D659" i="5"/>
  <c r="C659" i="5"/>
  <c r="E663" i="5"/>
  <c r="D663" i="5"/>
  <c r="C663" i="5"/>
  <c r="E667" i="5"/>
  <c r="D667" i="5"/>
  <c r="C667" i="5"/>
  <c r="E671" i="5"/>
  <c r="D671" i="5"/>
  <c r="C671" i="5"/>
  <c r="E674" i="5"/>
  <c r="D674" i="5"/>
  <c r="C674" i="5"/>
  <c r="E678" i="5"/>
  <c r="D678" i="5"/>
  <c r="C678" i="5"/>
  <c r="E682" i="5"/>
  <c r="D682" i="5"/>
  <c r="C682" i="5"/>
  <c r="E689" i="5"/>
  <c r="D689" i="5"/>
  <c r="C689" i="5"/>
  <c r="E693" i="5"/>
  <c r="D693" i="5"/>
  <c r="C693" i="5"/>
  <c r="E697" i="5"/>
  <c r="D697" i="5"/>
  <c r="C697" i="5"/>
  <c r="E701" i="5"/>
  <c r="D701" i="5"/>
  <c r="C701" i="5"/>
  <c r="E704" i="5"/>
  <c r="D704" i="5"/>
  <c r="C704" i="5"/>
  <c r="E708" i="5"/>
  <c r="D708" i="5"/>
  <c r="C708" i="5"/>
  <c r="E712" i="5"/>
  <c r="D712" i="5"/>
  <c r="C712" i="5"/>
  <c r="E719" i="5"/>
  <c r="D719" i="5"/>
  <c r="C719" i="5"/>
  <c r="E722" i="5"/>
  <c r="D722" i="5"/>
  <c r="C722" i="5"/>
  <c r="E726" i="5"/>
  <c r="D726" i="5"/>
  <c r="C726" i="5"/>
  <c r="E733" i="5"/>
  <c r="D733" i="5"/>
  <c r="C733" i="5"/>
  <c r="E737" i="5"/>
  <c r="D737" i="5"/>
  <c r="C737" i="5"/>
  <c r="E740" i="5"/>
  <c r="D740" i="5"/>
  <c r="C740" i="5"/>
  <c r="E744" i="5"/>
  <c r="D744" i="5"/>
  <c r="C744" i="5"/>
  <c r="E751" i="5"/>
  <c r="D751" i="5"/>
  <c r="C751" i="5"/>
  <c r="E758" i="5"/>
  <c r="D758" i="5"/>
  <c r="C758" i="5"/>
  <c r="E762" i="5"/>
  <c r="D762" i="5"/>
  <c r="C762" i="5"/>
  <c r="E766" i="5"/>
  <c r="D766" i="5"/>
  <c r="C766" i="5"/>
  <c r="E769" i="5"/>
  <c r="D769" i="5"/>
  <c r="C769" i="5"/>
  <c r="E773" i="5"/>
  <c r="D773" i="5"/>
  <c r="C773" i="5"/>
  <c r="E777" i="5"/>
  <c r="D777" i="5"/>
  <c r="C777" i="5"/>
  <c r="E781" i="5"/>
  <c r="D781" i="5"/>
  <c r="C781" i="5"/>
  <c r="E788" i="5"/>
  <c r="D788" i="5"/>
  <c r="C788" i="5"/>
  <c r="E792" i="5"/>
  <c r="D792" i="5"/>
  <c r="C792" i="5"/>
  <c r="E796" i="5"/>
  <c r="D796" i="5"/>
  <c r="C796" i="5"/>
  <c r="E800" i="5"/>
  <c r="D800" i="5"/>
  <c r="C800" i="5"/>
  <c r="E804" i="5"/>
  <c r="D804" i="5"/>
  <c r="C804" i="5"/>
  <c r="E812" i="5"/>
  <c r="D812" i="5"/>
  <c r="C812" i="5"/>
  <c r="E816" i="5"/>
  <c r="D816" i="5"/>
  <c r="C816" i="5"/>
  <c r="E819" i="5"/>
  <c r="D819" i="5"/>
  <c r="C819" i="5"/>
  <c r="E823" i="5"/>
  <c r="D823" i="5"/>
  <c r="C823" i="5"/>
  <c r="E826" i="5"/>
  <c r="D826" i="5"/>
  <c r="C826" i="5"/>
  <c r="E830" i="5"/>
  <c r="D830" i="5"/>
  <c r="C830" i="5"/>
  <c r="E834" i="5"/>
  <c r="D834" i="5"/>
  <c r="C834" i="5"/>
  <c r="E837" i="5"/>
  <c r="D837" i="5"/>
  <c r="C837" i="5"/>
  <c r="E841" i="5"/>
  <c r="D841" i="5"/>
  <c r="C841" i="5"/>
  <c r="E845" i="5"/>
  <c r="D845" i="5"/>
  <c r="C845" i="5"/>
  <c r="E849" i="5"/>
  <c r="D849" i="5"/>
  <c r="C849" i="5"/>
  <c r="E856" i="5"/>
  <c r="D856" i="5"/>
  <c r="C856" i="5"/>
  <c r="E863" i="5"/>
  <c r="D863" i="5"/>
  <c r="C863" i="5"/>
  <c r="E867" i="5"/>
  <c r="D867" i="5"/>
  <c r="C867" i="5"/>
  <c r="E874" i="5"/>
  <c r="D874" i="5"/>
  <c r="C874" i="5"/>
  <c r="E877" i="5"/>
  <c r="D877" i="5"/>
  <c r="C877" i="5"/>
  <c r="E881" i="5"/>
  <c r="D881" i="5"/>
  <c r="C881" i="5"/>
  <c r="E891" i="5"/>
  <c r="D891" i="5"/>
  <c r="C891" i="5"/>
  <c r="E894" i="5"/>
  <c r="D894" i="5"/>
  <c r="C894" i="5"/>
  <c r="E897" i="5"/>
  <c r="D897" i="5"/>
  <c r="C897" i="5"/>
  <c r="E904" i="5"/>
  <c r="D904" i="5"/>
  <c r="C904" i="5"/>
  <c r="E908" i="5"/>
  <c r="D908" i="5"/>
  <c r="C908" i="5"/>
  <c r="E915" i="5"/>
  <c r="D915" i="5"/>
  <c r="C915" i="5"/>
  <c r="E919" i="5"/>
  <c r="D919" i="5"/>
  <c r="C919" i="5"/>
  <c r="E923" i="5"/>
  <c r="D923" i="5"/>
  <c r="C923" i="5"/>
  <c r="E927" i="5"/>
  <c r="D927" i="5"/>
  <c r="C927" i="5"/>
  <c r="E934" i="5"/>
  <c r="D934" i="5"/>
  <c r="C934" i="5"/>
  <c r="E937" i="5"/>
  <c r="D937" i="5"/>
  <c r="C937" i="5"/>
  <c r="E944" i="5"/>
  <c r="D944" i="5"/>
  <c r="C944" i="5"/>
  <c r="E947" i="5"/>
  <c r="D947" i="5"/>
  <c r="C947" i="5"/>
  <c r="E954" i="5"/>
  <c r="D954" i="5"/>
  <c r="C954" i="5"/>
  <c r="E957" i="5"/>
  <c r="D957" i="5"/>
  <c r="C957" i="5"/>
  <c r="E961" i="5"/>
  <c r="D961" i="5"/>
  <c r="C961" i="5"/>
  <c r="E965" i="5"/>
  <c r="D965" i="5"/>
  <c r="C965" i="5"/>
  <c r="E969" i="5"/>
  <c r="D969" i="5"/>
  <c r="C969" i="5"/>
  <c r="E973" i="5"/>
  <c r="D973" i="5"/>
  <c r="C973" i="5"/>
  <c r="E976" i="5"/>
  <c r="D976" i="5"/>
  <c r="C976" i="5"/>
  <c r="E982" i="5"/>
  <c r="D982" i="5"/>
  <c r="C982" i="5"/>
  <c r="E987" i="5"/>
  <c r="D987" i="5"/>
  <c r="C987" i="5"/>
  <c r="E991" i="5"/>
  <c r="D991" i="5"/>
  <c r="C991" i="5"/>
  <c r="E998" i="5"/>
  <c r="D998" i="5"/>
  <c r="C998" i="5"/>
  <c r="E1008" i="5"/>
  <c r="D1008" i="5"/>
  <c r="C1008" i="5"/>
  <c r="E1012" i="5"/>
  <c r="D1012" i="5"/>
  <c r="C1012" i="5"/>
  <c r="E1016" i="5"/>
  <c r="D1016" i="5"/>
  <c r="C1016" i="5"/>
  <c r="E1023" i="5"/>
  <c r="D1023" i="5"/>
  <c r="C1023" i="5"/>
  <c r="E1027" i="5"/>
  <c r="D1027" i="5"/>
  <c r="C1027" i="5"/>
  <c r="E1031" i="5"/>
  <c r="D1031" i="5"/>
  <c r="C1031" i="5"/>
  <c r="E1038" i="5"/>
  <c r="D1038" i="5"/>
  <c r="C1038" i="5"/>
  <c r="E1045" i="5"/>
  <c r="D1045" i="5"/>
  <c r="C1045" i="5"/>
  <c r="E1049" i="5"/>
  <c r="D1049" i="5"/>
  <c r="C1049" i="5"/>
  <c r="E1052" i="5"/>
  <c r="D1052" i="5"/>
  <c r="C1052" i="5"/>
  <c r="E1062" i="5"/>
  <c r="D1062" i="5"/>
  <c r="C1062" i="5"/>
  <c r="E1066" i="5"/>
  <c r="D1066" i="5"/>
  <c r="C1066" i="5"/>
  <c r="E1070" i="5"/>
  <c r="D1070" i="5"/>
  <c r="C1070" i="5"/>
  <c r="E1077" i="5"/>
  <c r="D1077" i="5"/>
  <c r="C1077" i="5"/>
  <c r="E1081" i="5"/>
  <c r="D1081" i="5"/>
  <c r="C1081" i="5"/>
  <c r="E1085" i="5"/>
  <c r="D1085" i="5"/>
  <c r="C1085" i="5"/>
  <c r="E1088" i="5"/>
  <c r="D1088" i="5"/>
  <c r="C1088" i="5"/>
  <c r="E1092" i="5"/>
  <c r="D1092" i="5"/>
  <c r="C1092" i="5"/>
  <c r="E1096" i="5"/>
  <c r="D1096" i="5"/>
  <c r="C1096" i="5"/>
  <c r="E1100" i="5"/>
  <c r="D1100" i="5"/>
  <c r="C1100" i="5"/>
  <c r="E1104" i="5"/>
  <c r="D1104" i="5"/>
  <c r="C1104" i="5"/>
  <c r="E1108" i="5"/>
  <c r="D1108" i="5"/>
  <c r="C1108" i="5"/>
  <c r="E1111" i="5"/>
  <c r="D1111" i="5"/>
  <c r="C1111" i="5"/>
  <c r="E1115" i="5"/>
  <c r="D1115" i="5"/>
  <c r="C1115" i="5"/>
  <c r="E1119" i="5"/>
  <c r="D1119" i="5"/>
  <c r="C1119" i="5"/>
  <c r="E1123" i="5"/>
  <c r="D1123" i="5"/>
  <c r="C1123" i="5"/>
  <c r="E1127" i="5"/>
  <c r="C1127" i="5"/>
  <c r="D1127" i="5"/>
  <c r="E1131" i="5"/>
  <c r="D1131" i="5"/>
  <c r="C1131" i="5"/>
  <c r="E1135" i="5"/>
  <c r="D1135" i="5"/>
  <c r="C1135" i="5"/>
  <c r="E1139" i="5"/>
  <c r="D1139" i="5"/>
  <c r="C1139" i="5"/>
  <c r="E1142" i="5"/>
  <c r="D1142" i="5"/>
  <c r="C1142" i="5"/>
  <c r="E1146" i="5"/>
  <c r="D1146" i="5"/>
  <c r="C1146" i="5"/>
  <c r="E1150" i="5"/>
  <c r="D1150" i="5"/>
  <c r="C1150" i="5"/>
  <c r="E1153" i="5"/>
  <c r="D1153" i="5"/>
  <c r="C1153" i="5"/>
  <c r="E1156" i="5"/>
  <c r="D1156" i="5"/>
  <c r="C1156" i="5"/>
  <c r="E1160" i="5"/>
  <c r="D1160" i="5"/>
  <c r="C1160" i="5"/>
  <c r="E1163" i="5"/>
  <c r="D1163" i="5"/>
  <c r="C1163" i="5"/>
  <c r="E1167" i="5"/>
  <c r="D1167" i="5"/>
  <c r="C1167" i="5"/>
  <c r="E1170" i="5"/>
  <c r="D1170" i="5"/>
  <c r="C1170" i="5"/>
  <c r="E1174" i="5"/>
  <c r="D1174" i="5"/>
  <c r="C1174" i="5"/>
  <c r="E1178" i="5"/>
  <c r="D1178" i="5"/>
  <c r="C1178" i="5"/>
  <c r="E1182" i="5"/>
  <c r="D1182" i="5"/>
  <c r="C1182" i="5"/>
  <c r="E1186" i="5"/>
  <c r="D1186" i="5"/>
  <c r="C1186" i="5"/>
  <c r="E1189" i="5"/>
  <c r="D1189" i="5"/>
  <c r="C1189" i="5"/>
  <c r="E1193" i="5"/>
  <c r="D1193" i="5"/>
  <c r="C1193" i="5"/>
  <c r="E1197" i="5"/>
  <c r="D1197" i="5"/>
  <c r="C1197" i="5"/>
  <c r="E1201" i="5"/>
  <c r="D1201" i="5"/>
  <c r="C1201" i="5"/>
  <c r="E1205" i="5"/>
  <c r="D1205" i="5"/>
  <c r="C1205" i="5"/>
  <c r="E1209" i="5"/>
  <c r="D1209" i="5"/>
  <c r="C1209" i="5"/>
  <c r="E1213" i="5"/>
  <c r="D1213" i="5"/>
  <c r="C1213" i="5"/>
  <c r="E1217" i="5"/>
  <c r="D1217" i="5"/>
  <c r="C1217" i="5"/>
  <c r="E1221" i="5"/>
  <c r="D1221" i="5"/>
  <c r="C1221" i="5"/>
  <c r="E1228" i="5"/>
  <c r="D1228" i="5"/>
  <c r="C1228" i="5"/>
  <c r="E1236" i="5"/>
  <c r="D1236" i="5"/>
  <c r="C1236" i="5"/>
  <c r="E1240" i="5"/>
  <c r="D1240" i="5"/>
  <c r="C1240" i="5"/>
  <c r="E1244" i="5"/>
  <c r="D1244" i="5"/>
  <c r="C1244" i="5"/>
  <c r="E1248" i="5"/>
  <c r="D1248" i="5"/>
  <c r="C1248" i="5"/>
  <c r="E1252" i="5"/>
  <c r="D1252" i="5"/>
  <c r="C1252" i="5"/>
  <c r="E1256" i="5"/>
  <c r="D1256" i="5"/>
  <c r="C1256" i="5"/>
  <c r="E1260" i="5"/>
  <c r="D1260" i="5"/>
  <c r="C1260" i="5"/>
  <c r="E1263" i="5"/>
  <c r="D1263" i="5"/>
  <c r="C1263" i="5"/>
  <c r="E1270" i="5"/>
  <c r="D1270" i="5"/>
  <c r="C1270" i="5"/>
  <c r="E1273" i="5"/>
  <c r="D1273" i="5"/>
  <c r="C1273" i="5"/>
  <c r="E1277" i="5"/>
  <c r="D1277" i="5"/>
  <c r="C1277" i="5"/>
  <c r="E1288" i="5"/>
  <c r="D1288" i="5"/>
  <c r="C1288" i="5"/>
  <c r="E1292" i="5"/>
  <c r="D1292" i="5"/>
  <c r="C1292" i="5"/>
  <c r="E1299" i="5"/>
  <c r="D1299" i="5"/>
  <c r="C1299" i="5"/>
  <c r="E1303" i="5"/>
  <c r="D1303" i="5"/>
  <c r="C1303" i="5"/>
  <c r="E1310" i="5"/>
  <c r="D1310" i="5"/>
  <c r="C1310" i="5"/>
  <c r="E1314" i="5"/>
  <c r="D1314" i="5"/>
  <c r="C1314" i="5"/>
  <c r="E1321" i="5"/>
  <c r="D1321" i="5"/>
  <c r="C1321" i="5"/>
  <c r="E1325" i="5"/>
  <c r="D1325" i="5"/>
  <c r="C1325" i="5"/>
  <c r="E1332" i="5"/>
  <c r="D1332" i="5"/>
  <c r="C1332" i="5"/>
  <c r="E1335" i="5"/>
  <c r="D1335" i="5"/>
  <c r="C1335" i="5"/>
  <c r="E1339" i="5"/>
  <c r="D1339" i="5"/>
  <c r="C1339" i="5"/>
  <c r="E1343" i="5"/>
  <c r="D1343" i="5"/>
  <c r="C1343" i="5"/>
  <c r="E1346" i="5"/>
  <c r="D1346" i="5"/>
  <c r="C1346" i="5"/>
  <c r="E1349" i="5"/>
  <c r="D1349" i="5"/>
  <c r="C1349" i="5"/>
  <c r="E1353" i="5"/>
  <c r="D1353" i="5"/>
  <c r="C1353" i="5"/>
  <c r="E1357" i="5"/>
  <c r="D1357" i="5"/>
  <c r="C1357" i="5"/>
  <c r="E1365" i="5"/>
  <c r="D1365" i="5"/>
  <c r="C1365" i="5"/>
  <c r="E1371" i="5"/>
  <c r="D1371" i="5"/>
  <c r="C1371" i="5"/>
  <c r="E1378" i="5"/>
  <c r="D1378" i="5"/>
  <c r="C1378" i="5"/>
  <c r="E1382" i="5"/>
  <c r="D1382" i="5"/>
  <c r="C1382" i="5"/>
  <c r="E1386" i="5"/>
  <c r="D1386" i="5"/>
  <c r="C1386" i="5"/>
  <c r="E1390" i="5"/>
  <c r="D1390" i="5"/>
  <c r="C1390" i="5"/>
  <c r="E1393" i="5"/>
  <c r="D1393" i="5"/>
  <c r="C1393" i="5"/>
  <c r="E1397" i="5"/>
  <c r="D1397" i="5"/>
  <c r="C1397" i="5"/>
  <c r="E1401" i="5"/>
  <c r="D1401" i="5"/>
  <c r="C1401" i="5"/>
  <c r="E1405" i="5"/>
  <c r="D1405" i="5"/>
  <c r="C1405" i="5"/>
  <c r="E1409" i="5"/>
  <c r="D1409" i="5"/>
  <c r="C1409" i="5"/>
  <c r="E1415" i="5"/>
  <c r="D1415" i="5"/>
  <c r="C1415" i="5"/>
  <c r="E1420" i="5"/>
  <c r="D1420" i="5"/>
  <c r="C1420" i="5"/>
  <c r="E1423" i="5"/>
  <c r="D1423" i="5"/>
  <c r="C1423" i="5"/>
  <c r="E1426" i="5"/>
  <c r="D1426" i="5"/>
  <c r="C1426" i="5"/>
  <c r="E1429" i="5"/>
  <c r="D1429" i="5"/>
  <c r="C1429" i="5"/>
  <c r="E1436" i="5"/>
  <c r="D1436" i="5"/>
  <c r="C1436" i="5"/>
  <c r="E1440" i="5"/>
  <c r="D1440" i="5"/>
  <c r="C1440" i="5"/>
  <c r="E1443" i="5"/>
  <c r="D1443" i="5"/>
  <c r="C1443" i="5"/>
  <c r="E1445" i="5"/>
  <c r="D1445" i="5"/>
  <c r="C1445" i="5"/>
  <c r="E1450" i="5"/>
  <c r="D1450" i="5"/>
  <c r="C1450" i="5"/>
  <c r="E1453" i="5"/>
  <c r="D1453" i="5"/>
  <c r="C1453" i="5"/>
  <c r="E1457" i="5"/>
  <c r="D1457" i="5"/>
  <c r="C1457" i="5"/>
  <c r="E1463" i="5"/>
  <c r="D1463" i="5"/>
  <c r="C1463" i="5"/>
  <c r="E1466" i="5"/>
  <c r="D1466" i="5"/>
  <c r="C1466" i="5"/>
  <c r="E1473" i="5"/>
  <c r="D1473" i="5"/>
  <c r="C1473" i="5"/>
  <c r="E1480" i="5"/>
  <c r="D1480" i="5"/>
  <c r="C1480" i="5"/>
  <c r="E1483" i="5"/>
  <c r="D1483" i="5"/>
  <c r="C1483" i="5"/>
  <c r="E1486" i="5"/>
  <c r="D1486" i="5"/>
  <c r="C1486" i="5"/>
  <c r="E1491" i="5"/>
  <c r="D1491" i="5"/>
  <c r="C1491" i="5"/>
  <c r="E1498" i="5"/>
  <c r="D1498" i="5"/>
  <c r="C1498" i="5"/>
  <c r="E1502" i="5"/>
  <c r="D1502" i="5"/>
  <c r="C1502" i="5"/>
  <c r="E1508" i="5"/>
  <c r="D1508" i="5"/>
  <c r="C1508" i="5"/>
  <c r="E1511" i="5"/>
  <c r="D1511" i="5"/>
  <c r="C1511" i="5"/>
  <c r="E1515" i="5"/>
  <c r="D1515" i="5"/>
  <c r="C1515" i="5"/>
  <c r="E1519" i="5"/>
  <c r="D1519" i="5"/>
  <c r="C1519" i="5"/>
  <c r="E1529" i="5"/>
  <c r="D1529" i="5"/>
  <c r="C1529" i="5"/>
  <c r="E1533" i="5"/>
  <c r="D1533" i="5"/>
  <c r="C1533" i="5"/>
  <c r="E1537" i="5"/>
  <c r="D1537" i="5"/>
  <c r="C1537" i="5"/>
  <c r="E1541" i="5"/>
  <c r="D1541" i="5"/>
  <c r="C1541" i="5"/>
  <c r="E1545" i="5"/>
  <c r="D1545" i="5"/>
  <c r="C1545" i="5"/>
  <c r="E1549" i="5"/>
  <c r="D1549" i="5"/>
  <c r="C1549" i="5"/>
  <c r="E1552" i="5"/>
  <c r="D1552" i="5"/>
  <c r="C1552" i="5"/>
  <c r="E1556" i="5"/>
  <c r="D1556" i="5"/>
  <c r="C1556" i="5"/>
  <c r="E1560" i="5"/>
  <c r="D1560" i="5"/>
  <c r="C1560" i="5"/>
  <c r="E1564" i="5"/>
  <c r="D1564" i="5"/>
  <c r="C1564" i="5"/>
  <c r="E1568" i="5"/>
  <c r="D1568" i="5"/>
  <c r="C1568" i="5"/>
  <c r="E1572" i="5"/>
  <c r="D1572" i="5"/>
  <c r="C1572" i="5"/>
  <c r="E1579" i="5"/>
  <c r="D1579" i="5"/>
  <c r="C1579" i="5"/>
  <c r="E1583" i="5"/>
  <c r="D1583" i="5"/>
  <c r="C1583" i="5"/>
  <c r="E1587" i="5"/>
  <c r="D1587" i="5"/>
  <c r="C1587" i="5"/>
  <c r="E1591" i="5"/>
  <c r="D1591" i="5"/>
  <c r="C1591" i="5"/>
  <c r="E1595" i="5"/>
  <c r="D1595" i="5"/>
  <c r="C1595" i="5"/>
  <c r="E1599" i="5"/>
  <c r="D1599" i="5"/>
  <c r="C1599" i="5"/>
  <c r="E1603" i="5"/>
  <c r="D1603" i="5"/>
  <c r="C1603" i="5"/>
  <c r="E1607" i="5"/>
  <c r="D1607" i="5"/>
  <c r="C1607" i="5"/>
  <c r="E1611" i="5"/>
  <c r="D1611" i="5"/>
  <c r="C1611" i="5"/>
  <c r="E1614" i="5"/>
  <c r="D1614" i="5"/>
  <c r="C1614" i="5"/>
  <c r="E1621" i="5"/>
  <c r="D1621" i="5"/>
  <c r="C1621" i="5"/>
  <c r="E1624" i="5"/>
  <c r="D1624" i="5"/>
  <c r="C1624" i="5"/>
  <c r="E1627" i="5"/>
  <c r="D1627" i="5"/>
  <c r="C1627" i="5"/>
  <c r="E1631" i="5"/>
  <c r="D1631" i="5"/>
  <c r="C1631" i="5"/>
  <c r="E1635" i="5"/>
  <c r="D1635" i="5"/>
  <c r="C1635" i="5"/>
  <c r="E1642" i="5"/>
  <c r="D1642" i="5"/>
  <c r="C1642" i="5"/>
  <c r="E1649" i="5"/>
  <c r="D1649" i="5"/>
  <c r="C1649" i="5"/>
  <c r="E1652" i="5"/>
  <c r="D1652" i="5"/>
  <c r="C1652" i="5"/>
  <c r="E1656" i="5"/>
  <c r="D1656" i="5"/>
  <c r="C1656" i="5"/>
  <c r="E1663" i="5"/>
  <c r="D1663" i="5"/>
  <c r="C1663" i="5"/>
  <c r="E1667" i="5"/>
  <c r="D1667" i="5"/>
  <c r="C1667" i="5"/>
  <c r="E1670" i="5"/>
  <c r="D1670" i="5"/>
  <c r="C1670" i="5"/>
  <c r="E1674" i="5"/>
  <c r="D1674" i="5"/>
  <c r="C1674" i="5"/>
  <c r="E1681" i="5"/>
  <c r="D1681" i="5"/>
  <c r="C1681" i="5"/>
  <c r="E1688" i="5"/>
  <c r="D1688" i="5"/>
  <c r="C1688" i="5"/>
  <c r="E1691" i="5"/>
  <c r="D1691" i="5"/>
  <c r="C1691" i="5"/>
  <c r="E1695" i="5"/>
  <c r="D1695" i="5"/>
  <c r="C1695" i="5"/>
  <c r="E1699" i="5"/>
  <c r="D1699" i="5"/>
  <c r="C1699" i="5"/>
  <c r="E1703" i="5"/>
  <c r="D1703" i="5"/>
  <c r="C1703" i="5"/>
  <c r="E1707" i="5"/>
  <c r="D1707" i="5"/>
  <c r="C1707" i="5"/>
  <c r="E1711" i="5"/>
  <c r="D1711" i="5"/>
  <c r="C1711" i="5"/>
  <c r="E1714" i="5"/>
  <c r="D1714" i="5"/>
  <c r="C1714" i="5"/>
  <c r="E1718" i="5"/>
  <c r="D1718" i="5"/>
  <c r="C1718" i="5"/>
  <c r="E1722" i="5"/>
  <c r="D1722" i="5"/>
  <c r="C1722" i="5"/>
  <c r="E1726" i="5"/>
  <c r="D1726" i="5"/>
  <c r="C1726" i="5"/>
  <c r="E1730" i="5"/>
  <c r="D1730" i="5"/>
  <c r="C1730" i="5"/>
  <c r="E1734" i="5"/>
  <c r="D1734" i="5"/>
  <c r="C1734" i="5"/>
  <c r="E1742" i="5"/>
  <c r="D1742" i="5"/>
  <c r="C1742" i="5"/>
  <c r="E1746" i="5"/>
  <c r="D1746" i="5"/>
  <c r="C1746" i="5"/>
  <c r="E1750" i="5"/>
  <c r="D1750" i="5"/>
  <c r="C1750" i="5"/>
  <c r="E1754" i="5"/>
  <c r="D1754" i="5"/>
  <c r="C1754" i="5"/>
  <c r="E1758" i="5"/>
  <c r="D1758" i="5"/>
  <c r="C1758" i="5"/>
  <c r="E1762" i="5"/>
  <c r="D1762" i="5"/>
  <c r="C1762" i="5"/>
  <c r="E1766" i="5"/>
  <c r="D1766" i="5"/>
  <c r="C1766" i="5"/>
  <c r="E1770" i="5"/>
  <c r="D1770" i="5"/>
  <c r="C1770" i="5"/>
  <c r="E1774" i="5"/>
  <c r="D1774" i="5"/>
  <c r="C1774" i="5"/>
  <c r="E1779" i="5"/>
  <c r="D1779" i="5"/>
  <c r="C1779" i="5"/>
  <c r="E1783" i="5"/>
  <c r="D1783" i="5"/>
  <c r="C1783" i="5"/>
  <c r="E1787" i="5"/>
  <c r="D1787" i="5"/>
  <c r="C1787" i="5"/>
  <c r="E1791" i="5"/>
  <c r="D1791" i="5"/>
  <c r="C1791" i="5"/>
  <c r="E1798" i="5"/>
  <c r="D1798" i="5"/>
  <c r="C1798" i="5"/>
  <c r="E1802" i="5"/>
  <c r="D1802" i="5"/>
  <c r="C1802" i="5"/>
  <c r="E1806" i="5"/>
  <c r="D1806" i="5"/>
  <c r="C1806" i="5"/>
  <c r="E1810" i="5"/>
  <c r="D1810" i="5"/>
  <c r="C1810" i="5"/>
  <c r="E1814" i="5"/>
  <c r="D1814" i="5"/>
  <c r="C1814" i="5"/>
  <c r="E1818" i="5"/>
  <c r="D1818" i="5"/>
  <c r="C1818" i="5"/>
  <c r="E1822" i="5"/>
  <c r="D1822" i="5"/>
  <c r="C1822" i="5"/>
  <c r="E1826" i="5"/>
  <c r="D1826" i="5"/>
  <c r="C1826" i="5"/>
  <c r="E1830" i="5"/>
  <c r="D1830" i="5"/>
  <c r="C1830" i="5"/>
  <c r="E1833" i="5"/>
  <c r="D1833" i="5"/>
  <c r="C1833" i="5"/>
  <c r="E1837" i="5"/>
  <c r="D1837" i="5"/>
  <c r="C1837" i="5"/>
  <c r="E1840" i="5"/>
  <c r="D1840" i="5"/>
  <c r="C1840" i="5"/>
  <c r="E1847" i="5"/>
  <c r="D1847" i="5"/>
  <c r="C1847" i="5"/>
  <c r="E1857" i="5"/>
  <c r="D1857" i="5"/>
  <c r="C1857" i="5"/>
  <c r="E1860" i="5"/>
  <c r="D1860" i="5"/>
  <c r="C1860" i="5"/>
  <c r="E1864" i="5"/>
  <c r="D1864" i="5"/>
  <c r="C1864" i="5"/>
  <c r="E1868" i="5"/>
  <c r="D1868" i="5"/>
  <c r="C1868" i="5"/>
  <c r="E1872" i="5"/>
  <c r="D1872" i="5"/>
  <c r="C1872" i="5"/>
  <c r="E1876" i="5"/>
  <c r="D1876" i="5"/>
  <c r="C1876" i="5"/>
  <c r="E1879" i="5"/>
  <c r="D1879" i="5"/>
  <c r="C1879" i="5"/>
  <c r="E1883" i="5"/>
  <c r="D1883" i="5"/>
  <c r="C1883" i="5"/>
  <c r="E1892" i="5"/>
  <c r="D1892" i="5"/>
  <c r="C1892" i="5"/>
  <c r="E1896" i="5"/>
  <c r="D1896" i="5"/>
  <c r="C1896" i="5"/>
  <c r="E1900" i="5"/>
  <c r="D1900" i="5"/>
  <c r="C1900" i="5"/>
  <c r="E1903" i="5"/>
  <c r="D1903" i="5"/>
  <c r="C1903" i="5"/>
  <c r="E1907" i="5"/>
  <c r="D1907" i="5"/>
  <c r="C1907" i="5"/>
  <c r="E1911" i="5"/>
  <c r="D1911" i="5"/>
  <c r="C1911" i="5"/>
  <c r="E1914" i="5"/>
  <c r="D1914" i="5"/>
  <c r="C1914" i="5"/>
  <c r="E1918" i="5"/>
  <c r="D1918" i="5"/>
  <c r="C1918" i="5"/>
  <c r="E1925" i="5"/>
  <c r="D1925" i="5"/>
  <c r="C1925" i="5"/>
  <c r="E1928" i="5"/>
  <c r="D1928" i="5"/>
  <c r="C1928" i="5"/>
  <c r="E1932" i="5"/>
  <c r="D1932" i="5"/>
  <c r="C1932" i="5"/>
  <c r="E1936" i="5"/>
  <c r="D1936" i="5"/>
  <c r="C1936" i="5"/>
  <c r="E1939" i="5"/>
  <c r="D1939" i="5"/>
  <c r="C1939" i="5"/>
  <c r="E1943" i="5"/>
  <c r="D1943" i="5"/>
  <c r="C1943" i="5"/>
  <c r="E1947" i="5"/>
  <c r="D1947" i="5"/>
  <c r="C1947" i="5"/>
  <c r="E1954" i="5"/>
  <c r="D1954" i="5"/>
  <c r="C1954" i="5"/>
  <c r="E1958" i="5"/>
  <c r="D1958" i="5"/>
  <c r="C1958" i="5"/>
  <c r="E1962" i="5"/>
  <c r="D1962" i="5"/>
  <c r="C1962" i="5"/>
  <c r="E1966" i="5"/>
  <c r="D1966" i="5"/>
  <c r="C1966" i="5"/>
  <c r="E1970" i="5"/>
  <c r="D1970" i="5"/>
  <c r="C1970" i="5"/>
  <c r="E1974" i="5"/>
  <c r="D1974" i="5"/>
  <c r="C1974" i="5"/>
  <c r="E1978" i="5"/>
  <c r="D1978" i="5"/>
  <c r="C1978" i="5"/>
  <c r="E1982" i="5"/>
  <c r="D1982" i="5"/>
  <c r="C1982" i="5"/>
  <c r="E1986" i="5"/>
  <c r="D1986" i="5"/>
  <c r="C1986" i="5"/>
  <c r="E1990" i="5"/>
  <c r="D1990" i="5"/>
  <c r="C1990" i="5"/>
  <c r="E1994" i="5"/>
  <c r="D1994" i="5"/>
  <c r="C1994" i="5"/>
  <c r="E1998" i="5"/>
  <c r="D1998" i="5"/>
  <c r="C1998" i="5"/>
  <c r="E2002" i="5"/>
  <c r="D2002" i="5"/>
  <c r="C2002" i="5"/>
  <c r="E2009" i="5"/>
  <c r="D2009" i="5"/>
  <c r="C2009" i="5"/>
  <c r="E2013" i="5"/>
  <c r="D2013" i="5"/>
  <c r="C2013" i="5"/>
  <c r="E2017" i="5"/>
  <c r="D2017" i="5"/>
  <c r="C2017" i="5"/>
  <c r="E2021" i="5"/>
  <c r="D2021" i="5"/>
  <c r="C2021" i="5"/>
  <c r="E2025" i="5"/>
  <c r="C2025" i="5"/>
  <c r="D2025" i="5"/>
  <c r="E2029" i="5"/>
  <c r="D2029" i="5"/>
  <c r="C2029" i="5"/>
  <c r="E2033" i="5"/>
  <c r="D2033" i="5"/>
  <c r="C2033" i="5"/>
  <c r="E2037" i="5"/>
  <c r="D2037" i="5"/>
  <c r="C2037" i="5"/>
  <c r="E2041" i="5"/>
  <c r="D2041" i="5"/>
  <c r="C2041" i="5"/>
  <c r="E2048" i="5"/>
  <c r="D2048" i="5"/>
  <c r="C2048" i="5"/>
  <c r="E2052" i="5"/>
  <c r="D2052" i="5"/>
  <c r="C2052" i="5"/>
  <c r="E2059" i="5"/>
  <c r="D2059" i="5"/>
  <c r="C2059" i="5"/>
  <c r="E2063" i="5"/>
  <c r="D2063" i="5"/>
  <c r="C2063" i="5"/>
  <c r="E2066" i="5"/>
  <c r="D2066" i="5"/>
  <c r="C2066" i="5"/>
  <c r="E2073" i="5"/>
  <c r="D2073" i="5"/>
  <c r="C2073" i="5"/>
  <c r="E2077" i="5"/>
  <c r="D2077" i="5"/>
  <c r="C2077" i="5"/>
  <c r="E2084" i="5"/>
  <c r="D2084" i="5"/>
  <c r="C2084" i="5"/>
  <c r="E2088" i="5"/>
  <c r="D2088" i="5"/>
  <c r="C2088" i="5"/>
  <c r="E2092" i="5"/>
  <c r="D2092" i="5"/>
  <c r="C2092" i="5"/>
  <c r="E2096" i="5"/>
  <c r="D2096" i="5"/>
  <c r="C2096" i="5"/>
  <c r="E2100" i="5"/>
  <c r="D2100" i="5"/>
  <c r="C2100" i="5"/>
  <c r="E2104" i="5"/>
  <c r="D2104" i="5"/>
  <c r="C2104" i="5"/>
  <c r="E2107" i="5"/>
  <c r="D2107" i="5"/>
  <c r="C2107" i="5"/>
  <c r="E2111" i="5"/>
  <c r="D2111" i="5"/>
  <c r="C2111" i="5"/>
  <c r="E2115" i="5"/>
  <c r="D2115" i="5"/>
  <c r="C2115" i="5"/>
  <c r="E2119" i="5"/>
  <c r="D2119" i="5"/>
  <c r="C2119" i="5"/>
  <c r="E2122" i="5"/>
  <c r="D2122" i="5"/>
  <c r="C2122" i="5"/>
  <c r="E2126" i="5"/>
  <c r="D2126" i="5"/>
  <c r="C2126" i="5"/>
  <c r="E2130" i="5"/>
  <c r="D2130" i="5"/>
  <c r="C2130" i="5"/>
  <c r="E2134" i="5"/>
  <c r="D2134" i="5"/>
  <c r="C2134" i="5"/>
  <c r="E2142" i="5"/>
  <c r="D2142" i="5"/>
  <c r="C2142" i="5"/>
  <c r="E2149" i="5"/>
  <c r="D2149" i="5"/>
  <c r="C2149" i="5"/>
  <c r="E2153" i="5"/>
  <c r="D2153" i="5"/>
  <c r="C2153" i="5"/>
  <c r="E2157" i="5"/>
  <c r="D2157" i="5"/>
  <c r="C2157" i="5"/>
  <c r="E2160" i="5"/>
  <c r="D2160" i="5"/>
  <c r="C2160" i="5"/>
  <c r="E2164" i="5"/>
  <c r="D2164" i="5"/>
  <c r="C2164" i="5"/>
  <c r="E2168" i="5"/>
  <c r="D2168" i="5"/>
  <c r="C2168" i="5"/>
  <c r="E2171" i="5"/>
  <c r="D2171" i="5"/>
  <c r="C2171" i="5"/>
  <c r="E2174" i="5"/>
  <c r="D2174" i="5"/>
  <c r="C2174" i="5"/>
  <c r="E2178" i="5"/>
  <c r="D2178" i="5"/>
  <c r="C2178" i="5"/>
  <c r="E2185" i="5"/>
  <c r="D2185" i="5"/>
  <c r="C2185" i="5"/>
  <c r="E2189" i="5"/>
  <c r="D2189" i="5"/>
  <c r="C2189" i="5"/>
  <c r="E2193" i="5"/>
  <c r="D2193" i="5"/>
  <c r="C2193" i="5"/>
  <c r="E2197" i="5"/>
  <c r="D2197" i="5"/>
  <c r="C2197" i="5"/>
  <c r="E2201" i="5"/>
  <c r="D2201" i="5"/>
  <c r="C2201" i="5"/>
  <c r="E2204" i="5"/>
  <c r="D2204" i="5"/>
  <c r="C2204" i="5"/>
  <c r="E2211" i="5"/>
  <c r="D2211" i="5"/>
  <c r="C2211" i="5"/>
  <c r="E2215" i="5"/>
  <c r="D2215" i="5"/>
  <c r="C2215" i="5"/>
  <c r="E2222" i="5"/>
  <c r="D2222" i="5"/>
  <c r="C2222" i="5"/>
  <c r="E2225" i="5"/>
  <c r="D2225" i="5"/>
  <c r="C2225" i="5"/>
  <c r="E2229" i="5"/>
  <c r="D2229" i="5"/>
  <c r="C2229" i="5"/>
  <c r="E2233" i="5"/>
  <c r="D2233" i="5"/>
  <c r="C2233" i="5"/>
  <c r="E2237" i="5"/>
  <c r="D2237" i="5"/>
  <c r="C2237" i="5"/>
  <c r="E2241" i="5"/>
  <c r="D2241" i="5"/>
  <c r="C2241" i="5"/>
  <c r="E2244" i="5"/>
  <c r="D2244" i="5"/>
  <c r="C2244" i="5"/>
  <c r="E2247" i="5"/>
  <c r="D2247" i="5"/>
  <c r="C2247" i="5"/>
  <c r="E2254" i="5"/>
  <c r="D2254" i="5"/>
  <c r="C2254" i="5"/>
  <c r="E2258" i="5"/>
  <c r="D2258" i="5"/>
  <c r="C2258" i="5"/>
  <c r="E2261" i="5"/>
  <c r="D2261" i="5"/>
  <c r="C2261" i="5"/>
  <c r="E2265" i="5"/>
  <c r="D2265" i="5"/>
  <c r="C2265" i="5"/>
  <c r="E2268" i="5"/>
  <c r="D2268" i="5"/>
  <c r="C2268" i="5"/>
  <c r="E2271" i="5"/>
  <c r="D2271" i="5"/>
  <c r="C2271" i="5"/>
  <c r="E2275" i="5"/>
  <c r="D2275" i="5"/>
  <c r="C2275" i="5"/>
  <c r="E2283" i="5"/>
  <c r="D2283" i="5"/>
  <c r="C2283" i="5"/>
  <c r="E2287" i="5"/>
  <c r="D2287" i="5"/>
  <c r="C2287" i="5"/>
  <c r="E2291" i="5"/>
  <c r="D2291" i="5"/>
  <c r="C2291" i="5"/>
  <c r="E2295" i="5"/>
  <c r="D2295" i="5"/>
  <c r="C2295" i="5"/>
  <c r="E2299" i="5"/>
  <c r="D2299" i="5"/>
  <c r="C2299" i="5"/>
  <c r="E2303" i="5"/>
  <c r="D2303" i="5"/>
  <c r="C2303" i="5"/>
  <c r="E2307" i="5"/>
  <c r="D2307" i="5"/>
  <c r="C2307" i="5"/>
  <c r="E2311" i="5"/>
  <c r="D2311" i="5"/>
  <c r="C2311" i="5"/>
  <c r="E2314" i="5"/>
  <c r="D2314" i="5"/>
  <c r="C2314" i="5"/>
  <c r="E2318" i="5"/>
  <c r="D2318" i="5"/>
  <c r="C2318" i="5"/>
  <c r="E2322" i="5"/>
  <c r="D2322" i="5"/>
  <c r="C2322" i="5"/>
  <c r="E2326" i="5"/>
  <c r="D2326" i="5"/>
  <c r="C2326" i="5"/>
  <c r="E2333" i="5"/>
  <c r="D2333" i="5"/>
  <c r="C2333" i="5"/>
  <c r="E2337" i="5"/>
  <c r="D2337" i="5"/>
  <c r="C2337" i="5"/>
  <c r="E2341" i="5"/>
  <c r="D2341" i="5"/>
  <c r="C2341" i="5"/>
  <c r="E2345" i="5"/>
  <c r="D2345" i="5"/>
  <c r="C2345" i="5"/>
  <c r="E2352" i="5"/>
  <c r="D2352" i="5"/>
  <c r="C2352" i="5"/>
  <c r="E2356" i="5"/>
  <c r="D2356" i="5"/>
  <c r="C2356" i="5"/>
  <c r="E2360" i="5"/>
  <c r="D2360" i="5"/>
  <c r="C2360" i="5"/>
  <c r="E2364" i="5"/>
  <c r="D2364" i="5"/>
  <c r="C2364" i="5"/>
  <c r="E2368" i="5"/>
  <c r="D2368" i="5"/>
  <c r="C2368" i="5"/>
  <c r="E2372" i="5"/>
  <c r="D2372" i="5"/>
  <c r="C2372" i="5"/>
  <c r="E2376" i="5"/>
  <c r="D2376" i="5"/>
  <c r="C2376" i="5"/>
  <c r="E2380" i="5"/>
  <c r="D2380" i="5"/>
  <c r="C2380" i="5"/>
  <c r="E2384" i="5"/>
  <c r="D2384" i="5"/>
  <c r="C2384" i="5"/>
  <c r="E2388" i="5"/>
  <c r="D2388" i="5"/>
  <c r="C2388" i="5"/>
  <c r="E2395" i="5"/>
  <c r="D2395" i="5"/>
  <c r="C2395" i="5"/>
  <c r="E2402" i="5"/>
  <c r="D2402" i="5"/>
  <c r="C2402" i="5"/>
  <c r="E2405" i="5"/>
  <c r="D2405" i="5"/>
  <c r="C2405" i="5"/>
  <c r="E2409" i="5"/>
  <c r="D2409" i="5"/>
  <c r="C2409" i="5"/>
  <c r="E2412" i="5"/>
  <c r="D2412" i="5"/>
  <c r="C2412" i="5"/>
  <c r="E2415" i="5"/>
  <c r="D2415" i="5"/>
  <c r="C2415" i="5"/>
  <c r="E2425" i="5"/>
  <c r="D2425" i="5"/>
  <c r="C2425" i="5"/>
  <c r="E2429" i="5"/>
  <c r="D2429" i="5"/>
  <c r="C2429" i="5"/>
  <c r="E2433" i="5"/>
  <c r="D2433" i="5"/>
  <c r="C2433" i="5"/>
  <c r="E2437" i="5"/>
  <c r="D2437" i="5"/>
  <c r="C2437" i="5"/>
  <c r="E2444" i="5"/>
  <c r="D2444" i="5"/>
  <c r="C2444" i="5"/>
  <c r="E2448" i="5"/>
  <c r="D2448" i="5"/>
  <c r="C2448" i="5"/>
  <c r="E2452" i="5"/>
  <c r="D2452" i="5"/>
  <c r="C2452" i="5"/>
  <c r="E2456" i="5"/>
  <c r="D2456" i="5"/>
  <c r="C2456" i="5"/>
  <c r="E2460" i="5"/>
  <c r="D2460" i="5"/>
  <c r="C2460" i="5"/>
  <c r="E2466" i="5"/>
  <c r="D2466" i="5"/>
  <c r="C2466" i="5"/>
  <c r="E2470" i="5"/>
  <c r="C2470" i="5"/>
  <c r="D2470" i="5"/>
  <c r="E2473" i="5"/>
  <c r="D2473" i="5"/>
  <c r="C2473" i="5"/>
  <c r="E2477" i="5"/>
  <c r="D2477" i="5"/>
  <c r="C2477" i="5"/>
  <c r="E2481" i="5"/>
  <c r="D2481" i="5"/>
  <c r="C2481" i="5"/>
  <c r="E2485" i="5"/>
  <c r="D2485" i="5"/>
  <c r="C2485" i="5"/>
  <c r="E2488" i="5"/>
  <c r="D2488" i="5"/>
  <c r="C2488" i="5"/>
  <c r="E2497" i="5"/>
  <c r="D2497" i="5"/>
  <c r="C2497" i="5"/>
  <c r="E2501" i="5"/>
  <c r="D2501" i="5"/>
  <c r="C2501" i="5"/>
  <c r="E2505" i="5"/>
  <c r="D2505" i="5"/>
  <c r="C2505" i="5"/>
  <c r="E2512" i="5"/>
  <c r="D2512" i="5"/>
  <c r="C2512" i="5"/>
  <c r="E2516" i="5"/>
  <c r="D2516" i="5"/>
  <c r="C2516" i="5"/>
  <c r="E2520" i="5"/>
  <c r="D2520" i="5"/>
  <c r="C2520" i="5"/>
  <c r="E2524" i="5"/>
  <c r="D2524" i="5"/>
  <c r="C2524" i="5"/>
  <c r="D2528" i="5"/>
  <c r="E2528" i="5"/>
  <c r="C2528" i="5"/>
  <c r="E2532" i="5"/>
  <c r="D2532" i="5"/>
  <c r="C2532" i="5"/>
  <c r="E2540" i="5"/>
  <c r="D2540" i="5"/>
  <c r="C2540" i="5"/>
  <c r="E2544" i="5"/>
  <c r="D2544" i="5"/>
  <c r="C2544" i="5"/>
  <c r="E2548" i="5"/>
  <c r="D2548" i="5"/>
  <c r="C2548" i="5"/>
  <c r="E2552" i="5"/>
  <c r="D2552" i="5"/>
  <c r="C2552" i="5"/>
  <c r="E2556" i="5"/>
  <c r="D2556" i="5"/>
  <c r="C2556" i="5"/>
  <c r="E2560" i="5"/>
  <c r="D2560" i="5"/>
  <c r="C2560" i="5"/>
  <c r="E2564" i="5"/>
  <c r="D2564" i="5"/>
  <c r="C2564" i="5"/>
  <c r="E2568" i="5"/>
  <c r="D2568" i="5"/>
  <c r="C2568" i="5"/>
  <c r="E2572" i="5"/>
  <c r="D2572" i="5"/>
  <c r="C2572" i="5"/>
  <c r="E2575" i="5"/>
  <c r="D2575" i="5"/>
  <c r="C2575" i="5"/>
  <c r="E2582" i="5"/>
  <c r="D2582" i="5"/>
  <c r="C2582" i="5"/>
  <c r="E2589" i="5"/>
  <c r="D2589" i="5"/>
  <c r="C2589" i="5"/>
  <c r="E2592" i="5"/>
  <c r="D2592" i="5"/>
  <c r="C2592" i="5"/>
  <c r="E2596" i="5"/>
  <c r="D2596" i="5"/>
  <c r="C2596" i="5"/>
  <c r="E2600" i="5"/>
  <c r="D2600" i="5"/>
  <c r="C2600" i="5"/>
  <c r="E2605" i="5"/>
  <c r="D2605" i="5"/>
  <c r="C2605" i="5"/>
  <c r="E2609" i="5"/>
  <c r="D2609" i="5"/>
  <c r="C2609" i="5"/>
  <c r="E2613" i="5"/>
  <c r="D2613" i="5"/>
  <c r="C2613" i="5"/>
  <c r="E2620" i="5"/>
  <c r="D2620" i="5"/>
  <c r="C2620" i="5"/>
  <c r="E2624" i="5"/>
  <c r="D2624" i="5"/>
  <c r="C2624" i="5"/>
  <c r="E2628" i="5"/>
  <c r="D2628" i="5"/>
  <c r="C2628" i="5"/>
  <c r="E2631" i="5"/>
  <c r="D2631" i="5"/>
  <c r="C2631" i="5"/>
  <c r="E2635" i="5"/>
  <c r="D2635" i="5"/>
  <c r="C2635" i="5"/>
  <c r="E2639" i="5"/>
  <c r="D2639" i="5"/>
  <c r="C2639" i="5"/>
  <c r="E2646" i="5"/>
  <c r="D2646" i="5"/>
  <c r="C2646" i="5"/>
  <c r="E2650" i="5"/>
  <c r="D2650" i="5"/>
  <c r="C2650" i="5"/>
  <c r="E2654" i="5"/>
  <c r="D2654" i="5"/>
  <c r="C2654" i="5"/>
  <c r="E2657" i="5"/>
  <c r="D2657" i="5"/>
  <c r="C2657" i="5"/>
  <c r="E2661" i="5"/>
  <c r="D2661" i="5"/>
  <c r="C2661" i="5"/>
  <c r="E2665" i="5"/>
  <c r="D2665" i="5"/>
  <c r="C2665" i="5"/>
  <c r="E2672" i="5"/>
  <c r="D2672" i="5"/>
  <c r="C2672" i="5"/>
  <c r="E2676" i="5"/>
  <c r="D2676" i="5"/>
  <c r="C2676" i="5"/>
  <c r="E2680" i="5"/>
  <c r="D2680" i="5"/>
  <c r="C2680" i="5"/>
  <c r="E2683" i="5"/>
  <c r="D2683" i="5"/>
  <c r="C2683" i="5"/>
  <c r="E2687" i="5"/>
  <c r="D2687" i="5"/>
  <c r="C2687" i="5"/>
  <c r="E2691" i="5"/>
  <c r="D2691" i="5"/>
  <c r="C2691" i="5"/>
  <c r="E2698" i="5"/>
  <c r="D2698" i="5"/>
  <c r="C2698" i="5"/>
  <c r="E2702" i="5"/>
  <c r="D2702" i="5"/>
  <c r="C2702" i="5"/>
  <c r="E2706" i="5"/>
  <c r="D2706" i="5"/>
  <c r="C2706" i="5"/>
  <c r="E2709" i="5"/>
  <c r="D2709" i="5"/>
  <c r="C2709" i="5"/>
  <c r="E2713" i="5"/>
  <c r="D2713" i="5"/>
  <c r="C2713" i="5"/>
  <c r="E2717" i="5"/>
  <c r="D2717" i="5"/>
  <c r="C2717" i="5"/>
  <c r="E2724" i="5"/>
  <c r="D2724" i="5"/>
  <c r="C2724" i="5"/>
  <c r="E2728" i="5"/>
  <c r="D2728" i="5"/>
  <c r="C2728" i="5"/>
  <c r="E2732" i="5"/>
  <c r="D2732" i="5"/>
  <c r="C2732" i="5"/>
  <c r="E2735" i="5"/>
  <c r="D2735" i="5"/>
  <c r="C2735" i="5"/>
  <c r="E2739" i="5"/>
  <c r="D2739" i="5"/>
  <c r="C2739" i="5"/>
  <c r="E2743" i="5"/>
  <c r="D2743" i="5"/>
  <c r="C2743" i="5"/>
  <c r="E2750" i="5"/>
  <c r="D2750" i="5"/>
  <c r="C2750" i="5"/>
  <c r="E2754" i="5"/>
  <c r="D2754" i="5"/>
  <c r="C2754" i="5"/>
  <c r="E2758" i="5"/>
  <c r="D2758" i="5"/>
  <c r="C2758" i="5"/>
  <c r="E2761" i="5"/>
  <c r="D2761" i="5"/>
  <c r="C2761" i="5"/>
  <c r="E2765" i="5"/>
  <c r="D2765" i="5"/>
  <c r="C2765" i="5"/>
  <c r="E2769" i="5"/>
  <c r="D2769" i="5"/>
  <c r="C2769" i="5"/>
  <c r="E2777" i="5"/>
  <c r="D2777" i="5"/>
  <c r="C2777" i="5"/>
  <c r="E2781" i="5"/>
  <c r="D2781" i="5"/>
  <c r="C2781" i="5"/>
  <c r="E2785" i="5"/>
  <c r="D2785" i="5"/>
  <c r="C2785" i="5"/>
  <c r="E2788" i="5"/>
  <c r="D2788" i="5"/>
  <c r="C2788" i="5"/>
  <c r="E2792" i="5"/>
  <c r="D2792" i="5"/>
  <c r="C2792" i="5"/>
  <c r="E2796" i="5"/>
  <c r="D2796" i="5"/>
  <c r="C2796" i="5"/>
  <c r="E2799" i="5"/>
  <c r="D2799" i="5"/>
  <c r="C2799" i="5"/>
  <c r="E2803" i="5"/>
  <c r="D2803" i="5"/>
  <c r="C2803" i="5"/>
  <c r="E2807" i="5"/>
  <c r="D2807" i="5"/>
  <c r="C2807" i="5"/>
  <c r="E2814" i="5"/>
  <c r="D2814" i="5"/>
  <c r="C2814" i="5"/>
  <c r="E2818" i="5"/>
  <c r="D2818" i="5"/>
  <c r="C2818" i="5"/>
  <c r="E2825" i="5"/>
  <c r="D2825" i="5"/>
  <c r="C2825" i="5"/>
  <c r="E2829" i="5"/>
  <c r="D2829" i="5"/>
  <c r="C2829" i="5"/>
  <c r="E2833" i="5"/>
  <c r="D2833" i="5"/>
  <c r="C2833" i="5"/>
  <c r="E2836" i="5"/>
  <c r="D2836" i="5"/>
  <c r="C2836" i="5"/>
  <c r="E2840" i="5"/>
  <c r="D2840" i="5"/>
  <c r="C2840" i="5"/>
  <c r="E2844" i="5"/>
  <c r="D2844" i="5"/>
  <c r="C2844" i="5"/>
  <c r="E2847" i="5"/>
  <c r="D2847" i="5"/>
  <c r="C2847" i="5"/>
  <c r="E2851" i="5"/>
  <c r="D2851" i="5"/>
  <c r="C2851" i="5"/>
  <c r="E2855" i="5"/>
  <c r="D2855" i="5"/>
  <c r="C2855" i="5"/>
  <c r="E2862" i="5"/>
  <c r="D2862" i="5"/>
  <c r="C2862" i="5"/>
  <c r="E2866" i="5"/>
  <c r="C2866" i="5"/>
  <c r="D2866" i="5"/>
  <c r="E2873" i="5"/>
  <c r="D2873" i="5"/>
  <c r="C2873" i="5"/>
  <c r="E2877" i="5"/>
  <c r="D2877" i="5"/>
  <c r="C2877" i="5"/>
  <c r="E2881" i="5"/>
  <c r="D2881" i="5"/>
  <c r="C2881" i="5"/>
  <c r="E2884" i="5"/>
  <c r="D2884" i="5"/>
  <c r="C2884" i="5"/>
  <c r="E2888" i="5"/>
  <c r="D2888" i="5"/>
  <c r="C2888" i="5"/>
  <c r="E2892" i="5"/>
  <c r="D2892" i="5"/>
  <c r="C2892" i="5"/>
  <c r="E2895" i="5"/>
  <c r="D2895" i="5"/>
  <c r="C2895" i="5"/>
  <c r="E2899" i="5"/>
  <c r="D2899" i="5"/>
  <c r="C2899" i="5"/>
  <c r="E2903" i="5"/>
  <c r="D2903" i="5"/>
  <c r="C2903" i="5"/>
  <c r="E2910" i="5"/>
  <c r="D2910" i="5"/>
  <c r="C2910" i="5"/>
  <c r="E2914" i="5"/>
  <c r="D2914" i="5"/>
  <c r="C2914" i="5"/>
  <c r="E2921" i="5"/>
  <c r="D2921" i="5"/>
  <c r="C2921" i="5"/>
  <c r="E2925" i="5"/>
  <c r="D2925" i="5"/>
  <c r="C2925" i="5"/>
  <c r="E2929" i="5"/>
  <c r="D2929" i="5"/>
  <c r="C2929" i="5"/>
  <c r="E2932" i="5"/>
  <c r="D2932" i="5"/>
  <c r="C2932" i="5"/>
  <c r="E2936" i="5"/>
  <c r="D2936" i="5"/>
  <c r="C2936" i="5"/>
  <c r="E2940" i="5"/>
  <c r="D2940" i="5"/>
  <c r="C2940" i="5"/>
  <c r="E2943" i="5"/>
  <c r="D2943" i="5"/>
  <c r="C2943" i="5"/>
  <c r="E2947" i="5"/>
  <c r="D2947" i="5"/>
  <c r="C2947" i="5"/>
  <c r="E2951" i="5"/>
  <c r="D2951" i="5"/>
  <c r="C2951" i="5"/>
  <c r="E2958" i="5"/>
  <c r="D2958" i="5"/>
  <c r="C2958" i="5"/>
  <c r="E2962" i="5"/>
  <c r="C2962" i="5"/>
  <c r="D2962" i="5"/>
  <c r="E2969" i="5"/>
  <c r="D2969" i="5"/>
  <c r="C2969" i="5"/>
  <c r="E2973" i="5"/>
  <c r="D2973" i="5"/>
  <c r="C2973" i="5"/>
  <c r="E2977" i="5"/>
  <c r="D2977" i="5"/>
  <c r="C2977" i="5"/>
  <c r="E2980" i="5"/>
  <c r="D2980" i="5"/>
  <c r="C2980" i="5"/>
  <c r="E2984" i="5"/>
  <c r="D2984" i="5"/>
  <c r="C2984" i="5"/>
  <c r="E2988" i="5"/>
  <c r="D2988" i="5"/>
  <c r="C2988" i="5"/>
  <c r="E2991" i="5"/>
  <c r="D2991" i="5"/>
  <c r="C2991" i="5"/>
  <c r="E2995" i="5"/>
  <c r="D2995" i="5"/>
  <c r="C2995" i="5"/>
  <c r="E2999" i="5"/>
  <c r="D2999" i="5"/>
  <c r="C2999" i="5"/>
  <c r="E3006" i="5"/>
  <c r="D3006" i="5"/>
  <c r="C3006" i="5"/>
  <c r="E3010" i="5"/>
  <c r="D3010" i="5"/>
  <c r="C3010" i="5"/>
  <c r="E3017" i="5"/>
  <c r="D3017" i="5"/>
  <c r="C3017" i="5"/>
  <c r="E3021" i="5"/>
  <c r="D3021" i="5"/>
  <c r="C3021" i="5"/>
  <c r="E3025" i="5"/>
  <c r="D3025" i="5"/>
  <c r="C3025" i="5"/>
  <c r="E3028" i="5"/>
  <c r="D3028" i="5"/>
  <c r="C3028" i="5"/>
  <c r="E3032" i="5"/>
  <c r="D3032" i="5"/>
  <c r="C3032" i="5"/>
  <c r="E3036" i="5"/>
  <c r="D3036" i="5"/>
  <c r="C3036" i="5"/>
  <c r="E3039" i="5"/>
  <c r="D3039" i="5"/>
  <c r="C3039" i="5"/>
  <c r="E3043" i="5"/>
  <c r="D3043" i="5"/>
  <c r="C3043" i="5"/>
  <c r="E3047" i="5"/>
  <c r="D3047" i="5"/>
  <c r="C3047" i="5"/>
  <c r="E3054" i="5"/>
  <c r="D3054" i="5"/>
  <c r="C3054" i="5"/>
  <c r="E3058" i="5"/>
  <c r="C3058" i="5"/>
  <c r="D3058" i="5"/>
  <c r="E3065" i="5"/>
  <c r="D3065" i="5"/>
  <c r="C3065" i="5"/>
  <c r="E3069" i="5"/>
  <c r="D3069" i="5"/>
  <c r="C3069" i="5"/>
  <c r="E3073" i="5"/>
  <c r="D3073" i="5"/>
  <c r="C3073" i="5"/>
  <c r="E3076" i="5"/>
  <c r="D3076" i="5"/>
  <c r="C3076" i="5"/>
  <c r="E3080" i="5"/>
  <c r="D3080" i="5"/>
  <c r="C3080" i="5"/>
  <c r="E3084" i="5"/>
  <c r="D3084" i="5"/>
  <c r="C3084" i="5"/>
  <c r="E3087" i="5"/>
  <c r="D3087" i="5"/>
  <c r="C3087" i="5"/>
  <c r="E3091" i="5"/>
  <c r="D3091" i="5"/>
  <c r="C3091" i="5"/>
  <c r="E3095" i="5"/>
  <c r="D3095" i="5"/>
  <c r="C3095" i="5"/>
  <c r="E3102" i="5"/>
  <c r="D3102" i="5"/>
  <c r="C3102" i="5"/>
  <c r="E3106" i="5"/>
  <c r="D3106" i="5"/>
  <c r="C3106" i="5"/>
  <c r="E3113" i="5"/>
  <c r="D3113" i="5"/>
  <c r="C3113" i="5"/>
  <c r="E3117" i="5"/>
  <c r="D3117" i="5"/>
  <c r="C3117" i="5"/>
  <c r="E3121" i="5"/>
  <c r="D3121" i="5"/>
  <c r="C3121" i="5"/>
  <c r="E3124" i="5"/>
  <c r="D3124" i="5"/>
  <c r="C3124" i="5"/>
  <c r="E3128" i="5"/>
  <c r="D3128" i="5"/>
  <c r="C3128" i="5"/>
  <c r="E3132" i="5"/>
  <c r="D3132" i="5"/>
  <c r="C3132" i="5"/>
  <c r="E3135" i="5"/>
  <c r="D3135" i="5"/>
  <c r="C3135" i="5"/>
  <c r="E3139" i="5"/>
  <c r="D3139" i="5"/>
  <c r="C3139" i="5"/>
  <c r="E3143" i="5"/>
  <c r="D3143" i="5"/>
  <c r="C3143" i="5"/>
  <c r="E3150" i="5"/>
  <c r="D3150" i="5"/>
  <c r="C3150" i="5"/>
  <c r="E3154" i="5"/>
  <c r="C3154" i="5"/>
  <c r="D3154" i="5"/>
  <c r="E3161" i="5"/>
  <c r="D3161" i="5"/>
  <c r="C3161" i="5"/>
  <c r="E3165" i="5"/>
  <c r="D3165" i="5"/>
  <c r="C3165" i="5"/>
  <c r="E3169" i="5"/>
  <c r="D3169" i="5"/>
  <c r="C3169" i="5"/>
  <c r="E3172" i="5"/>
  <c r="D3172" i="5"/>
  <c r="C3172" i="5"/>
  <c r="E3176" i="5"/>
  <c r="D3176" i="5"/>
  <c r="C3176" i="5"/>
  <c r="E3180" i="5"/>
  <c r="D3180" i="5"/>
  <c r="C3180" i="5"/>
  <c r="E3183" i="5"/>
  <c r="D3183" i="5"/>
  <c r="C3183" i="5"/>
  <c r="E3187" i="5"/>
  <c r="D3187" i="5"/>
  <c r="C3187" i="5"/>
  <c r="E3191" i="5"/>
  <c r="D3191" i="5"/>
  <c r="C3191" i="5"/>
  <c r="E3198" i="5"/>
  <c r="D3198" i="5"/>
  <c r="C3198" i="5"/>
  <c r="E3202" i="5"/>
  <c r="D3202" i="5"/>
  <c r="C3202" i="5"/>
  <c r="E3210" i="5"/>
  <c r="D3210" i="5"/>
  <c r="C3210" i="5"/>
  <c r="E3214" i="5"/>
  <c r="D3214" i="5"/>
  <c r="C3214" i="5"/>
  <c r="E3218" i="5"/>
  <c r="C3218" i="5"/>
  <c r="D3218" i="5"/>
  <c r="E3221" i="5"/>
  <c r="D3221" i="5"/>
  <c r="C3221" i="5"/>
  <c r="E3225" i="5"/>
  <c r="D3225" i="5"/>
  <c r="C3225" i="5"/>
  <c r="E3229" i="5"/>
  <c r="D3229" i="5"/>
  <c r="C3229" i="5"/>
  <c r="D3232" i="5"/>
  <c r="E3232" i="5"/>
  <c r="C3232" i="5"/>
  <c r="E3236" i="5"/>
  <c r="D3236" i="5"/>
  <c r="C3236" i="5"/>
  <c r="E3240" i="5"/>
  <c r="D3240" i="5"/>
  <c r="C3240" i="5"/>
  <c r="E3247" i="5"/>
  <c r="D3247" i="5"/>
  <c r="C3247" i="5"/>
  <c r="E3251" i="5"/>
  <c r="D3251" i="5"/>
  <c r="C3251" i="5"/>
  <c r="E3258" i="5"/>
  <c r="D3258" i="5"/>
  <c r="C3258" i="5"/>
  <c r="E3262" i="5"/>
  <c r="D3262" i="5"/>
  <c r="C3262" i="5"/>
  <c r="E3266" i="5"/>
  <c r="D3266" i="5"/>
  <c r="C3266" i="5"/>
  <c r="E3270" i="5"/>
  <c r="D3270" i="5"/>
  <c r="C3270" i="5"/>
  <c r="E3274" i="5"/>
  <c r="D3274" i="5"/>
  <c r="C3274" i="5"/>
  <c r="E3278" i="5"/>
  <c r="D3278" i="5"/>
  <c r="C3278" i="5"/>
  <c r="E3281" i="5"/>
  <c r="D3281" i="5"/>
  <c r="C3281" i="5"/>
  <c r="E3285" i="5"/>
  <c r="D3285" i="5"/>
  <c r="C3285" i="5"/>
  <c r="E3289" i="5"/>
  <c r="D3289" i="5"/>
  <c r="C3289" i="5"/>
  <c r="D3296" i="5"/>
  <c r="C3296" i="5"/>
  <c r="E3296" i="5"/>
  <c r="E3300" i="5"/>
  <c r="D3300" i="5"/>
  <c r="C3300" i="5"/>
  <c r="E2586" i="5"/>
  <c r="D2586" i="5"/>
  <c r="C2586" i="5"/>
  <c r="E3307" i="5"/>
  <c r="D3307" i="5"/>
  <c r="C3307" i="5"/>
  <c r="E3311" i="5"/>
  <c r="D3311" i="5"/>
  <c r="C3311" i="5"/>
  <c r="E3315" i="5"/>
  <c r="D3315" i="5"/>
  <c r="C3315" i="5"/>
  <c r="E3318" i="5"/>
  <c r="D3318" i="5"/>
  <c r="C3318" i="5"/>
  <c r="E3322" i="5"/>
  <c r="D3322" i="5"/>
  <c r="C3322" i="5"/>
  <c r="E3326" i="5"/>
  <c r="D3326" i="5"/>
  <c r="C3326" i="5"/>
  <c r="E3329" i="5"/>
  <c r="D3329" i="5"/>
  <c r="C3329" i="5"/>
  <c r="E3333" i="5"/>
  <c r="D3333" i="5"/>
  <c r="C3333" i="5"/>
  <c r="E3337" i="5"/>
  <c r="D3337" i="5"/>
  <c r="C3337" i="5"/>
  <c r="E3345" i="5"/>
  <c r="D3345" i="5"/>
  <c r="C3345" i="5"/>
  <c r="E3349" i="5"/>
  <c r="D3349" i="5"/>
  <c r="C3349" i="5"/>
  <c r="E3356" i="5"/>
  <c r="D3356" i="5"/>
  <c r="C3356" i="5"/>
  <c r="E3360" i="5"/>
  <c r="D3360" i="5"/>
  <c r="C3360" i="5"/>
  <c r="E3364" i="5"/>
  <c r="D3364" i="5"/>
  <c r="C3364" i="5"/>
  <c r="E3367" i="5"/>
  <c r="D3367" i="5"/>
  <c r="C3367" i="5"/>
  <c r="E3371" i="5"/>
  <c r="D3371" i="5"/>
  <c r="C3371" i="5"/>
  <c r="E3375" i="5"/>
  <c r="D3375" i="5"/>
  <c r="C3375" i="5"/>
  <c r="E3383" i="5"/>
  <c r="D3383" i="5"/>
  <c r="C3383" i="5"/>
  <c r="E3387" i="5"/>
  <c r="D3387" i="5"/>
  <c r="C3387" i="5"/>
  <c r="E3394" i="5"/>
  <c r="D3394" i="5"/>
  <c r="C3394" i="5"/>
  <c r="E3398" i="5"/>
  <c r="D3398" i="5"/>
  <c r="C3398" i="5"/>
  <c r="E3402" i="5"/>
  <c r="D3402" i="5"/>
  <c r="C3402" i="5"/>
  <c r="E3405" i="5"/>
  <c r="D3405" i="5"/>
  <c r="C3405" i="5"/>
  <c r="E3409" i="5"/>
  <c r="D3409" i="5"/>
  <c r="C3409" i="5"/>
  <c r="E3413" i="5"/>
  <c r="D3413" i="5"/>
  <c r="C3413" i="5"/>
  <c r="E3416" i="5"/>
  <c r="D3416" i="5"/>
  <c r="C3416" i="5"/>
  <c r="E3420" i="5"/>
  <c r="D3420" i="5"/>
  <c r="C3420" i="5"/>
  <c r="E3424" i="5"/>
  <c r="D3424" i="5"/>
  <c r="C3424" i="5"/>
  <c r="E3431" i="5"/>
  <c r="D3431" i="5"/>
  <c r="C3431" i="5"/>
  <c r="E3435" i="5"/>
  <c r="D3435" i="5"/>
  <c r="C3435" i="5"/>
  <c r="E3442" i="5"/>
  <c r="C3442" i="5"/>
  <c r="D3442" i="5"/>
  <c r="E3446" i="5"/>
  <c r="D3446" i="5"/>
  <c r="C3446" i="5"/>
  <c r="E3450" i="5"/>
  <c r="D3450" i="5"/>
  <c r="C3450" i="5"/>
  <c r="E3453" i="5"/>
  <c r="D3453" i="5"/>
  <c r="C3453" i="5"/>
  <c r="E3457" i="5"/>
  <c r="D3457" i="5"/>
  <c r="C3457" i="5"/>
  <c r="E3461" i="5"/>
  <c r="D3461" i="5"/>
  <c r="C3461" i="5"/>
  <c r="E3464" i="5"/>
  <c r="D3464" i="5"/>
  <c r="C3464" i="5"/>
  <c r="E3468" i="5"/>
  <c r="D3468" i="5"/>
  <c r="C3468" i="5"/>
  <c r="E3472" i="5"/>
  <c r="D3472" i="5"/>
  <c r="C3472" i="5"/>
  <c r="E3479" i="5"/>
  <c r="D3479" i="5"/>
  <c r="C3479" i="5"/>
  <c r="E3483" i="5"/>
  <c r="D3483" i="5"/>
  <c r="C3483" i="5"/>
  <c r="E3490" i="5"/>
  <c r="D3490" i="5"/>
  <c r="C3490" i="5"/>
  <c r="E3494" i="5"/>
  <c r="C3494" i="5"/>
  <c r="D3494" i="5"/>
  <c r="E3498" i="5"/>
  <c r="D3498" i="5"/>
  <c r="C3498" i="5"/>
  <c r="E3520" i="5"/>
  <c r="D3520" i="5"/>
  <c r="C3520" i="5"/>
  <c r="E3542" i="5"/>
  <c r="D3542" i="5"/>
  <c r="C3542" i="5"/>
  <c r="E3575" i="5"/>
  <c r="D3575" i="5"/>
  <c r="C3575" i="5"/>
  <c r="E3589" i="5"/>
  <c r="D3589" i="5"/>
  <c r="C3589" i="5"/>
  <c r="E3612" i="5"/>
  <c r="D3612" i="5"/>
  <c r="C3612" i="5"/>
  <c r="E3621" i="5"/>
  <c r="D3621" i="5"/>
  <c r="C3621" i="5"/>
  <c r="E3657" i="5"/>
  <c r="D3657" i="5"/>
  <c r="C3657" i="5"/>
  <c r="E3674" i="5"/>
  <c r="D3674" i="5"/>
  <c r="C3674" i="5"/>
  <c r="E3696" i="5"/>
  <c r="D3696" i="5"/>
  <c r="C3696" i="5"/>
  <c r="E3718" i="5"/>
  <c r="D3718" i="5"/>
  <c r="C3718" i="5"/>
  <c r="E10" i="5"/>
  <c r="D10" i="5"/>
  <c r="C10" i="5"/>
  <c r="E17" i="5"/>
  <c r="D17" i="5"/>
  <c r="C17" i="5"/>
  <c r="E27" i="5"/>
  <c r="D27" i="5"/>
  <c r="C27" i="5"/>
  <c r="E35" i="5"/>
  <c r="D35" i="5"/>
  <c r="C35" i="5"/>
  <c r="E42" i="5"/>
  <c r="D42" i="5"/>
  <c r="C42" i="5"/>
  <c r="E53" i="5"/>
  <c r="D53" i="5"/>
  <c r="C53" i="5"/>
  <c r="E72" i="5"/>
  <c r="D72" i="5"/>
  <c r="C72" i="5"/>
  <c r="E79" i="5"/>
  <c r="D79" i="5"/>
  <c r="C79" i="5"/>
  <c r="E87" i="5"/>
  <c r="D87" i="5"/>
  <c r="C87" i="5"/>
  <c r="E94" i="5"/>
  <c r="D94" i="5"/>
  <c r="C94" i="5"/>
  <c r="E106" i="5"/>
  <c r="D106" i="5"/>
  <c r="C106" i="5"/>
  <c r="E123" i="5"/>
  <c r="D123" i="5"/>
  <c r="C123" i="5"/>
  <c r="E130" i="5"/>
  <c r="D130" i="5"/>
  <c r="C130" i="5"/>
  <c r="E141" i="5"/>
  <c r="D141" i="5"/>
  <c r="C141" i="5"/>
  <c r="E148" i="5"/>
  <c r="D148" i="5"/>
  <c r="C148" i="5"/>
  <c r="E156" i="5"/>
  <c r="D156" i="5"/>
  <c r="C156" i="5"/>
  <c r="E167" i="5"/>
  <c r="D167" i="5"/>
  <c r="C167" i="5"/>
  <c r="E180" i="5"/>
  <c r="D180" i="5"/>
  <c r="C180" i="5"/>
  <c r="E191" i="5"/>
  <c r="D191" i="5"/>
  <c r="C191" i="5"/>
  <c r="E202" i="5"/>
  <c r="D202" i="5"/>
  <c r="C202" i="5"/>
  <c r="E210" i="5"/>
  <c r="D210" i="5"/>
  <c r="C210" i="5"/>
  <c r="E222" i="5"/>
  <c r="D222" i="5"/>
  <c r="C222" i="5"/>
  <c r="E232" i="5"/>
  <c r="D232" i="5"/>
  <c r="C232" i="5"/>
  <c r="E243" i="5"/>
  <c r="D243" i="5"/>
  <c r="C243" i="5"/>
  <c r="E259" i="5"/>
  <c r="D259" i="5"/>
  <c r="C259" i="5"/>
  <c r="E278" i="5"/>
  <c r="D278" i="5"/>
  <c r="C278" i="5"/>
  <c r="E290" i="5"/>
  <c r="D290" i="5"/>
  <c r="C290" i="5"/>
  <c r="E297" i="5"/>
  <c r="D297" i="5"/>
  <c r="C297" i="5"/>
  <c r="E307" i="5"/>
  <c r="D307" i="5"/>
  <c r="C307" i="5"/>
  <c r="E319" i="5"/>
  <c r="D319" i="5"/>
  <c r="C319" i="5"/>
  <c r="E342" i="5"/>
  <c r="D342" i="5"/>
  <c r="F342" i="5" s="1"/>
  <c r="C342" i="5"/>
  <c r="E349" i="5"/>
  <c r="D349" i="5"/>
  <c r="C349" i="5"/>
  <c r="E391" i="5"/>
  <c r="D391" i="5"/>
  <c r="C391" i="5"/>
  <c r="E408" i="5"/>
  <c r="D408" i="5"/>
  <c r="C408" i="5"/>
  <c r="E412" i="5"/>
  <c r="D412" i="5"/>
  <c r="C412" i="5"/>
  <c r="E423" i="5"/>
  <c r="D423" i="5"/>
  <c r="C423" i="5"/>
  <c r="E431" i="5"/>
  <c r="D431" i="5"/>
  <c r="C431" i="5"/>
  <c r="E439" i="5"/>
  <c r="D439" i="5"/>
  <c r="C439" i="5"/>
  <c r="E446" i="5"/>
  <c r="D446" i="5"/>
  <c r="C446" i="5"/>
  <c r="E456" i="5"/>
  <c r="D456" i="5"/>
  <c r="C456" i="5"/>
  <c r="E468" i="5"/>
  <c r="D468" i="5"/>
  <c r="C468" i="5"/>
  <c r="E479" i="5"/>
  <c r="D479" i="5"/>
  <c r="C479" i="5"/>
  <c r="E483" i="5"/>
  <c r="D483" i="5"/>
  <c r="C483" i="5"/>
  <c r="E498" i="5"/>
  <c r="D498" i="5"/>
  <c r="C498" i="5"/>
  <c r="E510" i="5"/>
  <c r="D510" i="5"/>
  <c r="C510" i="5"/>
  <c r="E525" i="5"/>
  <c r="D525" i="5"/>
  <c r="C525" i="5"/>
  <c r="E536" i="5"/>
  <c r="D536" i="5"/>
  <c r="C536" i="5"/>
  <c r="E555" i="5"/>
  <c r="D555" i="5"/>
  <c r="C555" i="5"/>
  <c r="E590" i="5"/>
  <c r="D590" i="5"/>
  <c r="C590" i="5"/>
  <c r="E601" i="5"/>
  <c r="D601" i="5"/>
  <c r="C601" i="5"/>
  <c r="E612" i="5"/>
  <c r="D612" i="5"/>
  <c r="C612" i="5"/>
  <c r="E623" i="5"/>
  <c r="D623" i="5"/>
  <c r="C623" i="5"/>
  <c r="E631" i="5"/>
  <c r="D631" i="5"/>
  <c r="C631" i="5"/>
  <c r="E643" i="5"/>
  <c r="D643" i="5"/>
  <c r="C643" i="5"/>
  <c r="E654" i="5"/>
  <c r="D654" i="5"/>
  <c r="C654" i="5"/>
  <c r="E665" i="5"/>
  <c r="D665" i="5"/>
  <c r="C665" i="5"/>
  <c r="E676" i="5"/>
  <c r="D676" i="5"/>
  <c r="C676" i="5"/>
  <c r="E684" i="5"/>
  <c r="D684" i="5"/>
  <c r="C684" i="5"/>
  <c r="E695" i="5"/>
  <c r="D695" i="5"/>
  <c r="C695" i="5"/>
  <c r="E706" i="5"/>
  <c r="D706" i="5"/>
  <c r="C706" i="5"/>
  <c r="E714" i="5"/>
  <c r="D714" i="5"/>
  <c r="C714" i="5"/>
  <c r="E724" i="5"/>
  <c r="D724" i="5"/>
  <c r="C724" i="5"/>
  <c r="E731" i="5"/>
  <c r="D731" i="5"/>
  <c r="C731" i="5"/>
  <c r="E742" i="5"/>
  <c r="D742" i="5"/>
  <c r="C742" i="5"/>
  <c r="E753" i="5"/>
  <c r="D753" i="5"/>
  <c r="C753" i="5"/>
  <c r="E760" i="5"/>
  <c r="D760" i="5"/>
  <c r="C760" i="5"/>
  <c r="E771" i="5"/>
  <c r="D771" i="5"/>
  <c r="C771" i="5"/>
  <c r="E775" i="5"/>
  <c r="D775" i="5"/>
  <c r="C775" i="5"/>
  <c r="E786" i="5"/>
  <c r="D786" i="5"/>
  <c r="C786" i="5"/>
  <c r="E794" i="5"/>
  <c r="D794" i="5"/>
  <c r="C794" i="5"/>
  <c r="E802" i="5"/>
  <c r="D802" i="5"/>
  <c r="C802" i="5"/>
  <c r="E814" i="5"/>
  <c r="D814" i="5"/>
  <c r="C814" i="5"/>
  <c r="E832" i="5"/>
  <c r="D832" i="5"/>
  <c r="C832" i="5"/>
  <c r="E839" i="5"/>
  <c r="D839" i="5"/>
  <c r="C839" i="5"/>
  <c r="E851" i="5"/>
  <c r="D851" i="5"/>
  <c r="C851" i="5"/>
  <c r="E854" i="5"/>
  <c r="D854" i="5"/>
  <c r="C854" i="5"/>
  <c r="E865" i="5"/>
  <c r="D865" i="5"/>
  <c r="C865" i="5"/>
  <c r="E883" i="5"/>
  <c r="D883" i="5"/>
  <c r="C883" i="5"/>
  <c r="E902" i="5"/>
  <c r="D902" i="5"/>
  <c r="C902" i="5"/>
  <c r="E917" i="5"/>
  <c r="D917" i="5"/>
  <c r="C917" i="5"/>
  <c r="E929" i="5"/>
  <c r="D929" i="5"/>
  <c r="C929" i="5"/>
  <c r="E939" i="5"/>
  <c r="D939" i="5"/>
  <c r="C939" i="5"/>
  <c r="E952" i="5"/>
  <c r="D952" i="5"/>
  <c r="C952" i="5"/>
  <c r="E959" i="5"/>
  <c r="D959" i="5"/>
  <c r="C959" i="5"/>
  <c r="E971" i="5"/>
  <c r="D971" i="5"/>
  <c r="C971" i="5"/>
  <c r="E1010" i="5"/>
  <c r="D1010" i="5"/>
  <c r="C1010" i="5"/>
  <c r="E1018" i="5"/>
  <c r="D1018" i="5"/>
  <c r="C1018" i="5"/>
  <c r="E1029" i="5"/>
  <c r="D1029" i="5"/>
  <c r="C1029" i="5"/>
  <c r="E1036" i="5"/>
  <c r="D1036" i="5"/>
  <c r="C1036" i="5"/>
  <c r="E1054" i="5"/>
  <c r="D1054" i="5"/>
  <c r="C1054" i="5"/>
  <c r="E1057" i="5"/>
  <c r="D1057" i="5"/>
  <c r="C1057" i="5"/>
  <c r="E1068" i="5"/>
  <c r="D1068" i="5"/>
  <c r="C1068" i="5"/>
  <c r="E1079" i="5"/>
  <c r="D1079" i="5"/>
  <c r="C1079" i="5"/>
  <c r="E1083" i="5"/>
  <c r="D1083" i="5"/>
  <c r="C1083" i="5"/>
  <c r="E1094" i="5"/>
  <c r="D1094" i="5"/>
  <c r="C1094" i="5"/>
  <c r="E1102" i="5"/>
  <c r="D1102" i="5"/>
  <c r="C1102" i="5"/>
  <c r="E1113" i="5"/>
  <c r="D1113" i="5"/>
  <c r="C1113" i="5"/>
  <c r="E1125" i="5"/>
  <c r="D1125" i="5"/>
  <c r="C1125" i="5"/>
  <c r="E1137" i="5"/>
  <c r="D1137" i="5"/>
  <c r="C1137" i="5"/>
  <c r="E1148" i="5"/>
  <c r="D1148" i="5"/>
  <c r="C1148" i="5"/>
  <c r="E1176" i="5"/>
  <c r="D1176" i="5"/>
  <c r="C1176" i="5"/>
  <c r="E1184" i="5"/>
  <c r="D1184" i="5"/>
  <c r="C1184" i="5"/>
  <c r="E1195" i="5"/>
  <c r="D1195" i="5"/>
  <c r="C1195" i="5"/>
  <c r="E1207" i="5"/>
  <c r="D1207" i="5"/>
  <c r="C1207" i="5"/>
  <c r="E1215" i="5"/>
  <c r="D1215" i="5"/>
  <c r="C1215" i="5"/>
  <c r="E1226" i="5"/>
  <c r="D1226" i="5"/>
  <c r="C1226" i="5"/>
  <c r="E1238" i="5"/>
  <c r="D1238" i="5"/>
  <c r="C1238" i="5"/>
  <c r="E1250" i="5"/>
  <c r="D1250" i="5"/>
  <c r="C1250" i="5"/>
  <c r="E1268" i="5"/>
  <c r="D1268" i="5"/>
  <c r="C1268" i="5"/>
  <c r="E1279" i="5"/>
  <c r="D1279" i="5"/>
  <c r="C1279" i="5"/>
  <c r="E1290" i="5"/>
  <c r="D1290" i="5"/>
  <c r="C1290" i="5"/>
  <c r="E1297" i="5"/>
  <c r="D1297" i="5"/>
  <c r="C1297" i="5"/>
  <c r="E1312" i="5"/>
  <c r="D1312" i="5"/>
  <c r="C1312" i="5"/>
  <c r="E1319" i="5"/>
  <c r="D1319" i="5"/>
  <c r="C1319" i="5"/>
  <c r="E1330" i="5"/>
  <c r="D1330" i="5"/>
  <c r="C1330" i="5"/>
  <c r="E1355" i="5"/>
  <c r="D1355" i="5"/>
  <c r="C1355" i="5"/>
  <c r="E1369" i="5"/>
  <c r="D1369" i="5"/>
  <c r="C1369" i="5"/>
  <c r="E1380" i="5"/>
  <c r="D1380" i="5"/>
  <c r="C1380" i="5"/>
  <c r="E1388" i="5"/>
  <c r="D1388" i="5"/>
  <c r="C1388" i="5"/>
  <c r="E1399" i="5"/>
  <c r="D1399" i="5"/>
  <c r="C1399" i="5"/>
  <c r="E1438" i="5"/>
  <c r="D1438" i="5"/>
  <c r="C1438" i="5"/>
  <c r="E1471" i="5"/>
  <c r="D1471" i="5"/>
  <c r="C1471" i="5"/>
  <c r="E1478" i="5"/>
  <c r="D1478" i="5"/>
  <c r="C1478" i="5"/>
  <c r="E1493" i="5"/>
  <c r="D1493" i="5"/>
  <c r="C1493" i="5"/>
  <c r="E1500" i="5"/>
  <c r="D1500" i="5"/>
  <c r="C1500" i="5"/>
  <c r="E1517" i="5"/>
  <c r="D1517" i="5"/>
  <c r="C1517" i="5"/>
  <c r="E1524" i="5"/>
  <c r="D1524" i="5"/>
  <c r="C1524" i="5"/>
  <c r="E1535" i="5"/>
  <c r="D1535" i="5"/>
  <c r="C1535" i="5"/>
  <c r="E1547" i="5"/>
  <c r="D1547" i="5"/>
  <c r="C1547" i="5"/>
  <c r="E1554" i="5"/>
  <c r="D1554" i="5"/>
  <c r="C1554" i="5"/>
  <c r="E1566" i="5"/>
  <c r="D1566" i="5"/>
  <c r="C1566" i="5"/>
  <c r="E1577" i="5"/>
  <c r="D1577" i="5"/>
  <c r="C1577" i="5"/>
  <c r="E1585" i="5"/>
  <c r="D1585" i="5"/>
  <c r="C1585" i="5"/>
  <c r="E1597" i="5"/>
  <c r="D1597" i="5"/>
  <c r="C1597" i="5"/>
  <c r="E1605" i="5"/>
  <c r="D1605" i="5"/>
  <c r="C1605" i="5"/>
  <c r="E1633" i="5"/>
  <c r="D1633" i="5"/>
  <c r="C1633" i="5"/>
  <c r="E1640" i="5"/>
  <c r="D1640" i="5"/>
  <c r="C1640" i="5"/>
  <c r="E1647" i="5"/>
  <c r="D1647" i="5"/>
  <c r="C1647" i="5"/>
  <c r="E1658" i="5"/>
  <c r="D1658" i="5"/>
  <c r="C1658" i="5"/>
  <c r="E1665" i="5"/>
  <c r="D1665" i="5"/>
  <c r="C1665" i="5"/>
  <c r="E1676" i="5"/>
  <c r="D1676" i="5"/>
  <c r="C1676" i="5"/>
  <c r="E1683" i="5"/>
  <c r="D1683" i="5"/>
  <c r="C1683" i="5"/>
  <c r="E1693" i="5"/>
  <c r="D1693" i="5"/>
  <c r="C1693" i="5"/>
  <c r="E1701" i="5"/>
  <c r="D1701" i="5"/>
  <c r="C1701" i="5"/>
  <c r="E1709" i="5"/>
  <c r="D1709" i="5"/>
  <c r="C1709" i="5"/>
  <c r="E1720" i="5"/>
  <c r="D1720" i="5"/>
  <c r="C1720" i="5"/>
  <c r="E1724" i="5"/>
  <c r="D1724" i="5"/>
  <c r="C1724" i="5"/>
  <c r="E1736" i="5"/>
  <c r="D1736" i="5"/>
  <c r="C1736" i="5"/>
  <c r="E1752" i="5"/>
  <c r="D1752" i="5"/>
  <c r="C1752" i="5"/>
  <c r="E1764" i="5"/>
  <c r="D1764" i="5"/>
  <c r="C1764" i="5"/>
  <c r="E1768" i="5"/>
  <c r="D1768" i="5"/>
  <c r="C1768" i="5"/>
  <c r="E1785" i="5"/>
  <c r="D1785" i="5"/>
  <c r="C1785" i="5"/>
  <c r="E1796" i="5"/>
  <c r="D1796" i="5"/>
  <c r="C1796" i="5"/>
  <c r="E1808" i="5"/>
  <c r="D1808" i="5"/>
  <c r="C1808" i="5"/>
  <c r="E1820" i="5"/>
  <c r="D1820" i="5"/>
  <c r="C1820" i="5"/>
  <c r="E1849" i="5"/>
  <c r="D1849" i="5"/>
  <c r="C1849" i="5"/>
  <c r="E1855" i="5"/>
  <c r="D1855" i="5"/>
  <c r="C1855" i="5"/>
  <c r="E1866" i="5"/>
  <c r="D1866" i="5"/>
  <c r="C1866" i="5"/>
  <c r="E1894" i="5"/>
  <c r="D1894" i="5"/>
  <c r="C1894" i="5"/>
  <c r="E1898" i="5"/>
  <c r="D1898" i="5"/>
  <c r="C1898" i="5"/>
  <c r="E1905" i="5"/>
  <c r="D1905" i="5"/>
  <c r="C1905" i="5"/>
  <c r="E1916" i="5"/>
  <c r="D1916" i="5"/>
  <c r="C1916" i="5"/>
  <c r="E1923" i="5"/>
  <c r="D1923" i="5"/>
  <c r="C1923" i="5"/>
  <c r="E1934" i="5"/>
  <c r="D1934" i="5"/>
  <c r="C1934" i="5"/>
  <c r="E1941" i="5"/>
  <c r="D1941" i="5"/>
  <c r="C1941" i="5"/>
  <c r="E1952" i="5"/>
  <c r="D1952" i="5"/>
  <c r="C1952" i="5"/>
  <c r="E1960" i="5"/>
  <c r="D1960" i="5"/>
  <c r="C1960" i="5"/>
  <c r="E1972" i="5"/>
  <c r="D1972" i="5"/>
  <c r="C1972" i="5"/>
  <c r="E1976" i="5"/>
  <c r="D1976" i="5"/>
  <c r="C1976" i="5"/>
  <c r="E1988" i="5"/>
  <c r="D1988" i="5"/>
  <c r="C1988" i="5"/>
  <c r="E1996" i="5"/>
  <c r="D1996" i="5"/>
  <c r="C1996" i="5"/>
  <c r="E2007" i="5"/>
  <c r="D2007" i="5"/>
  <c r="C2007" i="5"/>
  <c r="E2015" i="5"/>
  <c r="D2015" i="5"/>
  <c r="C2015" i="5"/>
  <c r="E2027" i="5"/>
  <c r="D2027" i="5"/>
  <c r="C2027" i="5"/>
  <c r="E2035" i="5"/>
  <c r="D2035" i="5"/>
  <c r="C2035" i="5"/>
  <c r="E2046" i="5"/>
  <c r="D2046" i="5"/>
  <c r="C2046" i="5"/>
  <c r="E2054" i="5"/>
  <c r="C2054" i="5"/>
  <c r="D2054" i="5"/>
  <c r="E2075" i="5"/>
  <c r="D2075" i="5"/>
  <c r="C2075" i="5"/>
  <c r="E2086" i="5"/>
  <c r="C2086" i="5"/>
  <c r="D2086" i="5"/>
  <c r="E2094" i="5"/>
  <c r="D2094" i="5"/>
  <c r="C2094" i="5"/>
  <c r="E2117" i="5"/>
  <c r="D2117" i="5"/>
  <c r="C2117" i="5"/>
  <c r="E2124" i="5"/>
  <c r="D2124" i="5"/>
  <c r="C2124" i="5"/>
  <c r="E2136" i="5"/>
  <c r="D2136" i="5"/>
  <c r="C2136" i="5"/>
  <c r="E2144" i="5"/>
  <c r="D2144" i="5"/>
  <c r="C2144" i="5"/>
  <c r="E2155" i="5"/>
  <c r="D2155" i="5"/>
  <c r="C2155" i="5"/>
  <c r="E2162" i="5"/>
  <c r="D2162" i="5"/>
  <c r="C2162" i="5"/>
  <c r="E2176" i="5"/>
  <c r="D2176" i="5"/>
  <c r="C2176" i="5"/>
  <c r="E2187" i="5"/>
  <c r="D2187" i="5"/>
  <c r="C2187" i="5"/>
  <c r="E2195" i="5"/>
  <c r="D2195" i="5"/>
  <c r="C2195" i="5"/>
  <c r="E2206" i="5"/>
  <c r="D2206" i="5"/>
  <c r="C2206" i="5"/>
  <c r="E2213" i="5"/>
  <c r="D2213" i="5"/>
  <c r="C2213" i="5"/>
  <c r="E2220" i="5"/>
  <c r="D2220" i="5"/>
  <c r="C2220" i="5"/>
  <c r="E2227" i="5"/>
  <c r="D2227" i="5"/>
  <c r="C2227" i="5"/>
  <c r="E2235" i="5"/>
  <c r="D2235" i="5"/>
  <c r="C2235" i="5"/>
  <c r="E2263" i="5"/>
  <c r="D2263" i="5"/>
  <c r="C2263" i="5"/>
  <c r="E2273" i="5"/>
  <c r="D2273" i="5"/>
  <c r="C2273" i="5"/>
  <c r="E2301" i="5"/>
  <c r="D2301" i="5"/>
  <c r="C2301" i="5"/>
  <c r="E2335" i="5"/>
  <c r="D2335" i="5"/>
  <c r="C2335" i="5"/>
  <c r="E2347" i="5"/>
  <c r="D2347" i="5"/>
  <c r="C2347" i="5"/>
  <c r="E2354" i="5"/>
  <c r="D2354" i="5"/>
  <c r="C2354" i="5"/>
  <c r="E2366" i="5"/>
  <c r="D2366" i="5"/>
  <c r="C2366" i="5"/>
  <c r="E2374" i="5"/>
  <c r="D2374" i="5"/>
  <c r="C2374" i="5"/>
  <c r="E2382" i="5"/>
  <c r="D2382" i="5"/>
  <c r="C2382" i="5"/>
  <c r="E2386" i="5"/>
  <c r="D2386" i="5"/>
  <c r="C2386" i="5"/>
  <c r="E2397" i="5"/>
  <c r="D2397" i="5"/>
  <c r="C2397" i="5"/>
  <c r="E2407" i="5"/>
  <c r="D2407" i="5"/>
  <c r="C2407" i="5"/>
  <c r="E2417" i="5"/>
  <c r="D2417" i="5"/>
  <c r="C2417" i="5"/>
  <c r="E2423" i="5"/>
  <c r="D2423" i="5"/>
  <c r="C2423" i="5"/>
  <c r="E2435" i="5"/>
  <c r="D2435" i="5"/>
  <c r="C2435" i="5"/>
  <c r="E2442" i="5"/>
  <c r="D2442" i="5"/>
  <c r="C2442" i="5"/>
  <c r="E2454" i="5"/>
  <c r="D2454" i="5"/>
  <c r="C2454" i="5"/>
  <c r="E2462" i="5"/>
  <c r="D2462" i="5"/>
  <c r="C2462" i="5"/>
  <c r="E2468" i="5"/>
  <c r="D2468" i="5"/>
  <c r="C2468" i="5"/>
  <c r="E2475" i="5"/>
  <c r="D2475" i="5"/>
  <c r="C2475" i="5"/>
  <c r="E2483" i="5"/>
  <c r="D2483" i="5"/>
  <c r="C2483" i="5"/>
  <c r="E2495" i="5"/>
  <c r="D2495" i="5"/>
  <c r="C2495" i="5"/>
  <c r="E2507" i="5"/>
  <c r="D2507" i="5"/>
  <c r="C2507" i="5"/>
  <c r="E2518" i="5"/>
  <c r="D2518" i="5"/>
  <c r="C2518" i="5"/>
  <c r="E2534" i="5"/>
  <c r="C2534" i="5"/>
  <c r="D2534" i="5"/>
  <c r="E2546" i="5"/>
  <c r="D2546" i="5"/>
  <c r="C2546" i="5"/>
  <c r="E2554" i="5"/>
  <c r="D2554" i="5"/>
  <c r="C2554" i="5"/>
  <c r="E2566" i="5"/>
  <c r="D2566" i="5"/>
  <c r="C2566" i="5"/>
  <c r="E2598" i="5"/>
  <c r="D2598" i="5"/>
  <c r="C2598" i="5"/>
  <c r="E2615" i="5"/>
  <c r="D2615" i="5"/>
  <c r="C2615" i="5"/>
  <c r="E2626" i="5"/>
  <c r="D2626" i="5"/>
  <c r="C2626" i="5"/>
  <c r="E2637" i="5"/>
  <c r="D2637" i="5"/>
  <c r="C2637" i="5"/>
  <c r="E2641" i="5"/>
  <c r="D2641" i="5"/>
  <c r="C2641" i="5"/>
  <c r="E2652" i="5"/>
  <c r="D2652" i="5"/>
  <c r="C2652" i="5"/>
  <c r="E2659" i="5"/>
  <c r="D2659" i="5"/>
  <c r="C2659" i="5"/>
  <c r="E2670" i="5"/>
  <c r="D2670" i="5"/>
  <c r="C2670" i="5"/>
  <c r="E2678" i="5"/>
  <c r="D2678" i="5"/>
  <c r="C2678" i="5"/>
  <c r="E2689" i="5"/>
  <c r="D2689" i="5"/>
  <c r="C2689" i="5"/>
  <c r="E2700" i="5"/>
  <c r="D2700" i="5"/>
  <c r="C2700" i="5"/>
  <c r="E2711" i="5"/>
  <c r="D2711" i="5"/>
  <c r="C2711" i="5"/>
  <c r="E2722" i="5"/>
  <c r="D2722" i="5"/>
  <c r="C2722" i="5"/>
  <c r="E2730" i="5"/>
  <c r="D2730" i="5"/>
  <c r="C2730" i="5"/>
  <c r="E2741" i="5"/>
  <c r="D2741" i="5"/>
  <c r="C2741" i="5"/>
  <c r="E2752" i="5"/>
  <c r="D2752" i="5"/>
  <c r="C2752" i="5"/>
  <c r="E2756" i="5"/>
  <c r="D2756" i="5"/>
  <c r="C2756" i="5"/>
  <c r="E2767" i="5"/>
  <c r="D2767" i="5"/>
  <c r="C2767" i="5"/>
  <c r="E2775" i="5"/>
  <c r="D2775" i="5"/>
  <c r="C2775" i="5"/>
  <c r="E2809" i="5"/>
  <c r="D2809" i="5"/>
  <c r="C2809" i="5"/>
  <c r="E2820" i="5"/>
  <c r="D2820" i="5"/>
  <c r="C2820" i="5"/>
  <c r="E2827" i="5"/>
  <c r="D2827" i="5"/>
  <c r="C2827" i="5"/>
  <c r="E2842" i="5"/>
  <c r="D2842" i="5"/>
  <c r="C2842" i="5"/>
  <c r="E2853" i="5"/>
  <c r="D2853" i="5"/>
  <c r="C2853" i="5"/>
  <c r="E2864" i="5"/>
  <c r="D2864" i="5"/>
  <c r="C2864" i="5"/>
  <c r="E2871" i="5"/>
  <c r="D2871" i="5"/>
  <c r="C2871" i="5"/>
  <c r="E2879" i="5"/>
  <c r="D2879" i="5"/>
  <c r="C2879" i="5"/>
  <c r="E2886" i="5"/>
  <c r="D2886" i="5"/>
  <c r="C2886" i="5"/>
  <c r="E2901" i="5"/>
  <c r="D2901" i="5"/>
  <c r="C2901" i="5"/>
  <c r="E2908" i="5"/>
  <c r="D2908" i="5"/>
  <c r="C2908" i="5"/>
  <c r="E2919" i="5"/>
  <c r="D2919" i="5"/>
  <c r="C2919" i="5"/>
  <c r="E2949" i="5"/>
  <c r="D2949" i="5"/>
  <c r="C2949" i="5"/>
  <c r="E2960" i="5"/>
  <c r="D2960" i="5"/>
  <c r="C2960" i="5"/>
  <c r="E2967" i="5"/>
  <c r="D2967" i="5"/>
  <c r="C2967" i="5"/>
  <c r="E2997" i="5"/>
  <c r="D2997" i="5"/>
  <c r="C2997" i="5"/>
  <c r="E3008" i="5"/>
  <c r="D3008" i="5"/>
  <c r="C3008" i="5"/>
  <c r="E3015" i="5"/>
  <c r="D3015" i="5"/>
  <c r="C3015" i="5"/>
  <c r="E3023" i="5"/>
  <c r="D3023" i="5"/>
  <c r="C3023" i="5"/>
  <c r="E3045" i="5"/>
  <c r="D3045" i="5"/>
  <c r="C3045" i="5"/>
  <c r="E3052" i="5"/>
  <c r="D3052" i="5"/>
  <c r="C3052" i="5"/>
  <c r="E3060" i="5"/>
  <c r="D3060" i="5"/>
  <c r="C3060" i="5"/>
  <c r="E3071" i="5"/>
  <c r="D3071" i="5"/>
  <c r="C3071" i="5"/>
  <c r="E3078" i="5"/>
  <c r="D3078" i="5"/>
  <c r="C3078" i="5"/>
  <c r="E3089" i="5"/>
  <c r="D3089" i="5"/>
  <c r="C3089" i="5"/>
  <c r="E3100" i="5"/>
  <c r="D3100" i="5"/>
  <c r="C3100" i="5"/>
  <c r="E3108" i="5"/>
  <c r="D3108" i="5"/>
  <c r="C3108" i="5"/>
  <c r="E3119" i="5"/>
  <c r="D3119" i="5"/>
  <c r="C3119" i="5"/>
  <c r="E3130" i="5"/>
  <c r="D3130" i="5"/>
  <c r="C3130" i="5"/>
  <c r="E3141" i="5"/>
  <c r="D3141" i="5"/>
  <c r="C3141" i="5"/>
  <c r="E3148" i="5"/>
  <c r="D3148" i="5"/>
  <c r="C3148" i="5"/>
  <c r="E3156" i="5"/>
  <c r="D3156" i="5"/>
  <c r="C3156" i="5"/>
  <c r="E3167" i="5"/>
  <c r="D3167" i="5"/>
  <c r="C3167" i="5"/>
  <c r="E3174" i="5"/>
  <c r="D3174" i="5"/>
  <c r="C3174" i="5"/>
  <c r="E3185" i="5"/>
  <c r="D3185" i="5"/>
  <c r="C3185" i="5"/>
  <c r="E3189" i="5"/>
  <c r="D3189" i="5"/>
  <c r="C3189" i="5"/>
  <c r="E3196" i="5"/>
  <c r="D3196" i="5"/>
  <c r="C3196" i="5"/>
  <c r="E3204" i="5"/>
  <c r="D3204" i="5"/>
  <c r="C3204" i="5"/>
  <c r="E3216" i="5"/>
  <c r="D3216" i="5"/>
  <c r="C3216" i="5"/>
  <c r="E3223" i="5"/>
  <c r="D3223" i="5"/>
  <c r="C3223" i="5"/>
  <c r="E3227" i="5"/>
  <c r="D3227" i="5"/>
  <c r="C3227" i="5"/>
  <c r="E3234" i="5"/>
  <c r="D3234" i="5"/>
  <c r="C3234" i="5"/>
  <c r="E3242" i="5"/>
  <c r="D3242" i="5"/>
  <c r="C3242" i="5"/>
  <c r="E3249" i="5"/>
  <c r="D3249" i="5"/>
  <c r="C3249" i="5"/>
  <c r="E3256" i="5"/>
  <c r="D3256" i="5"/>
  <c r="C3256" i="5"/>
  <c r="E3264" i="5"/>
  <c r="D3264" i="5"/>
  <c r="C3264" i="5"/>
  <c r="E3276" i="5"/>
  <c r="D3276" i="5"/>
  <c r="C3276" i="5"/>
  <c r="E25" i="5"/>
  <c r="D25" i="5"/>
  <c r="C25" i="5"/>
  <c r="E29" i="5"/>
  <c r="D29" i="5"/>
  <c r="C29" i="5"/>
  <c r="E37" i="5"/>
  <c r="D37" i="5"/>
  <c r="C37" i="5"/>
  <c r="E47" i="5"/>
  <c r="D47" i="5"/>
  <c r="C47" i="5"/>
  <c r="E51" i="5"/>
  <c r="D51" i="5"/>
  <c r="C51" i="5"/>
  <c r="E59" i="5"/>
  <c r="C59" i="5"/>
  <c r="D59" i="5"/>
  <c r="E66" i="5"/>
  <c r="D66" i="5"/>
  <c r="C66" i="5"/>
  <c r="E70" i="5"/>
  <c r="D70" i="5"/>
  <c r="C70" i="5"/>
  <c r="E77" i="5"/>
  <c r="D77" i="5"/>
  <c r="C77" i="5"/>
  <c r="E81" i="5"/>
  <c r="D81" i="5"/>
  <c r="C81" i="5"/>
  <c r="E85" i="5"/>
  <c r="D85" i="5"/>
  <c r="C85" i="5"/>
  <c r="E92" i="5"/>
  <c r="D92" i="5"/>
  <c r="C92" i="5"/>
  <c r="E100" i="5"/>
  <c r="D100" i="5"/>
  <c r="C100" i="5"/>
  <c r="E104" i="5"/>
  <c r="D104" i="5"/>
  <c r="C104" i="5"/>
  <c r="E111" i="5"/>
  <c r="D111" i="5"/>
  <c r="C111" i="5"/>
  <c r="E118" i="5"/>
  <c r="D118" i="5"/>
  <c r="C118" i="5"/>
  <c r="E121" i="5"/>
  <c r="D121" i="5"/>
  <c r="C121" i="5"/>
  <c r="E128" i="5"/>
  <c r="D128" i="5"/>
  <c r="C128" i="5"/>
  <c r="E132" i="5"/>
  <c r="D132" i="5"/>
  <c r="C132" i="5"/>
  <c r="E139" i="5"/>
  <c r="D139" i="5"/>
  <c r="C139" i="5"/>
  <c r="E150" i="5"/>
  <c r="D150" i="5"/>
  <c r="C150" i="5"/>
  <c r="E161" i="5"/>
  <c r="D161" i="5"/>
  <c r="C161" i="5"/>
  <c r="E175" i="5"/>
  <c r="D175" i="5"/>
  <c r="C175" i="5"/>
  <c r="E182" i="5"/>
  <c r="D182" i="5"/>
  <c r="C182" i="5"/>
  <c r="E193" i="5"/>
  <c r="D193" i="5"/>
  <c r="C193" i="5"/>
  <c r="E200" i="5"/>
  <c r="D200" i="5"/>
  <c r="C200" i="5"/>
  <c r="E208" i="5"/>
  <c r="D208" i="5"/>
  <c r="C208" i="5"/>
  <c r="E212" i="5"/>
  <c r="D212" i="5"/>
  <c r="C212" i="5"/>
  <c r="D220" i="5"/>
  <c r="C220" i="5"/>
  <c r="E220" i="5"/>
  <c r="E230" i="5"/>
  <c r="D230" i="5"/>
  <c r="C230" i="5"/>
  <c r="E245" i="5"/>
  <c r="D245" i="5"/>
  <c r="C245" i="5"/>
  <c r="E249" i="5"/>
  <c r="D249" i="5"/>
  <c r="C249" i="5"/>
  <c r="E257" i="5"/>
  <c r="D257" i="5"/>
  <c r="C257" i="5"/>
  <c r="E261" i="5"/>
  <c r="D261" i="5"/>
  <c r="C261" i="5"/>
  <c r="E265" i="5"/>
  <c r="D265" i="5"/>
  <c r="C265" i="5"/>
  <c r="E272" i="5"/>
  <c r="D272" i="5"/>
  <c r="C272" i="5"/>
  <c r="E280" i="5"/>
  <c r="D280" i="5"/>
  <c r="C280" i="5"/>
  <c r="E284" i="5"/>
  <c r="D284" i="5"/>
  <c r="C284" i="5"/>
  <c r="E292" i="5"/>
  <c r="D292" i="5"/>
  <c r="C292" i="5"/>
  <c r="E305" i="5"/>
  <c r="D305" i="5"/>
  <c r="C305" i="5"/>
  <c r="E309" i="5"/>
  <c r="D309" i="5"/>
  <c r="C309" i="5"/>
  <c r="E317" i="5"/>
  <c r="D317" i="5"/>
  <c r="C317" i="5"/>
  <c r="E325" i="5"/>
  <c r="D325" i="5"/>
  <c r="C325" i="5"/>
  <c r="E329" i="5"/>
  <c r="D329" i="5"/>
  <c r="C329" i="5"/>
  <c r="E336" i="5"/>
  <c r="D336" i="5"/>
  <c r="C336" i="5"/>
  <c r="E344" i="5"/>
  <c r="D344" i="5"/>
  <c r="C344" i="5"/>
  <c r="E355" i="5"/>
  <c r="D355" i="5"/>
  <c r="C355" i="5"/>
  <c r="E359" i="5"/>
  <c r="D359" i="5"/>
  <c r="C359" i="5"/>
  <c r="E366" i="5"/>
  <c r="D366" i="5"/>
  <c r="C366" i="5"/>
  <c r="E370" i="5"/>
  <c r="D370" i="5"/>
  <c r="C370" i="5"/>
  <c r="E377" i="5"/>
  <c r="D377" i="5"/>
  <c r="C377" i="5"/>
  <c r="E381" i="5"/>
  <c r="D381" i="5"/>
  <c r="C381" i="5"/>
  <c r="E389" i="5"/>
  <c r="D389" i="5"/>
  <c r="C389" i="5"/>
  <c r="E402" i="5"/>
  <c r="D402" i="5"/>
  <c r="C402" i="5"/>
  <c r="E406" i="5"/>
  <c r="D406" i="5"/>
  <c r="C406" i="5"/>
  <c r="E414" i="5"/>
  <c r="D414" i="5"/>
  <c r="C414" i="5"/>
  <c r="E421" i="5"/>
  <c r="D421" i="5"/>
  <c r="C421" i="5"/>
  <c r="E429" i="5"/>
  <c r="D429" i="5"/>
  <c r="C429" i="5"/>
  <c r="E433" i="5"/>
  <c r="D433" i="5"/>
  <c r="C433" i="5"/>
  <c r="E441" i="5"/>
  <c r="D441" i="5"/>
  <c r="C441" i="5"/>
  <c r="E458" i="5"/>
  <c r="D458" i="5"/>
  <c r="C458" i="5"/>
  <c r="E466" i="5"/>
  <c r="D466" i="5"/>
  <c r="C466" i="5"/>
  <c r="E470" i="5"/>
  <c r="D470" i="5"/>
  <c r="C470" i="5"/>
  <c r="E477" i="5"/>
  <c r="D477" i="5"/>
  <c r="C477" i="5"/>
  <c r="E523" i="5"/>
  <c r="D523" i="5"/>
  <c r="C523" i="5"/>
  <c r="E6" i="5"/>
  <c r="D6" i="5"/>
  <c r="C6" i="5"/>
  <c r="E13" i="5"/>
  <c r="D13" i="5"/>
  <c r="C13" i="5"/>
  <c r="E16" i="5"/>
  <c r="D16" i="5"/>
  <c r="C16" i="5"/>
  <c r="E26" i="5"/>
  <c r="D26" i="5"/>
  <c r="C26" i="5"/>
  <c r="E30" i="5"/>
  <c r="D30" i="5"/>
  <c r="C30" i="5"/>
  <c r="E34" i="5"/>
  <c r="D34" i="5"/>
  <c r="C34" i="5"/>
  <c r="E38" i="5"/>
  <c r="D38" i="5"/>
  <c r="C38" i="5"/>
  <c r="E41" i="5"/>
  <c r="D41" i="5"/>
  <c r="C41" i="5"/>
  <c r="E48" i="5"/>
  <c r="D48" i="5"/>
  <c r="C48" i="5"/>
  <c r="E52" i="5"/>
  <c r="D52" i="5"/>
  <c r="C52" i="5"/>
  <c r="E56" i="5"/>
  <c r="D56" i="5"/>
  <c r="C56" i="5"/>
  <c r="E60" i="5"/>
  <c r="D60" i="5"/>
  <c r="C60" i="5"/>
  <c r="E64" i="5"/>
  <c r="D64" i="5"/>
  <c r="C64" i="5"/>
  <c r="E67" i="5"/>
  <c r="D67" i="5"/>
  <c r="C67" i="5"/>
  <c r="E71" i="5"/>
  <c r="D71" i="5"/>
  <c r="C71" i="5"/>
  <c r="E78" i="5"/>
  <c r="D78" i="5"/>
  <c r="C78" i="5"/>
  <c r="E82" i="5"/>
  <c r="D82" i="5"/>
  <c r="C82" i="5"/>
  <c r="E86" i="5"/>
  <c r="D86" i="5"/>
  <c r="C86" i="5"/>
  <c r="E89" i="5"/>
  <c r="D89" i="5"/>
  <c r="C89" i="5"/>
  <c r="E93" i="5"/>
  <c r="D93" i="5"/>
  <c r="C93" i="5"/>
  <c r="E97" i="5"/>
  <c r="D97" i="5"/>
  <c r="C97" i="5"/>
  <c r="E101" i="5"/>
  <c r="D101" i="5"/>
  <c r="C101" i="5"/>
  <c r="E105" i="5"/>
  <c r="D105" i="5"/>
  <c r="C105" i="5"/>
  <c r="E108" i="5"/>
  <c r="D108" i="5"/>
  <c r="C108" i="5"/>
  <c r="E112" i="5"/>
  <c r="D112" i="5"/>
  <c r="C112" i="5"/>
  <c r="E115" i="5"/>
  <c r="D115" i="5"/>
  <c r="C115" i="5"/>
  <c r="E122" i="5"/>
  <c r="D122" i="5"/>
  <c r="C122" i="5"/>
  <c r="E129" i="5"/>
  <c r="D129" i="5"/>
  <c r="C129" i="5"/>
  <c r="E133" i="5"/>
  <c r="D133" i="5"/>
  <c r="C133" i="5"/>
  <c r="E140" i="5"/>
  <c r="D140" i="5"/>
  <c r="C140" i="5"/>
  <c r="E144" i="5"/>
  <c r="D144" i="5"/>
  <c r="C144" i="5"/>
  <c r="E151" i="5"/>
  <c r="D151" i="5"/>
  <c r="C151" i="5"/>
  <c r="E155" i="5"/>
  <c r="D155" i="5"/>
  <c r="C155" i="5"/>
  <c r="E162" i="5"/>
  <c r="D162" i="5"/>
  <c r="C162" i="5"/>
  <c r="E166" i="5"/>
  <c r="D166" i="5"/>
  <c r="C166" i="5"/>
  <c r="E179" i="5"/>
  <c r="D179" i="5"/>
  <c r="C179" i="5"/>
  <c r="E187" i="5"/>
  <c r="D187" i="5"/>
  <c r="C187" i="5"/>
  <c r="E190" i="5"/>
  <c r="D190" i="5"/>
  <c r="C190" i="5"/>
  <c r="E194" i="5"/>
  <c r="D194" i="5"/>
  <c r="C194" i="5"/>
  <c r="E197" i="5"/>
  <c r="D197" i="5"/>
  <c r="C197" i="5"/>
  <c r="E201" i="5"/>
  <c r="D201" i="5"/>
  <c r="C201" i="5"/>
  <c r="E205" i="5"/>
  <c r="D205" i="5"/>
  <c r="C205" i="5"/>
  <c r="E209" i="5"/>
  <c r="D209" i="5"/>
  <c r="C209" i="5"/>
  <c r="E213" i="5"/>
  <c r="D213" i="5"/>
  <c r="C213" i="5"/>
  <c r="E217" i="5"/>
  <c r="D217" i="5"/>
  <c r="C217" i="5"/>
  <c r="E221" i="5"/>
  <c r="D221" i="5"/>
  <c r="C221" i="5"/>
  <c r="E226" i="5"/>
  <c r="D226" i="5"/>
  <c r="C226" i="5"/>
  <c r="E231" i="5"/>
  <c r="D231" i="5"/>
  <c r="C231" i="5"/>
  <c r="E235" i="5"/>
  <c r="D235" i="5"/>
  <c r="C235" i="5"/>
  <c r="E242" i="5"/>
  <c r="D242" i="5"/>
  <c r="C242" i="5"/>
  <c r="E246" i="5"/>
  <c r="D246" i="5"/>
  <c r="C246" i="5"/>
  <c r="E250" i="5"/>
  <c r="D250" i="5"/>
  <c r="C250" i="5"/>
  <c r="E254" i="5"/>
  <c r="D254" i="5"/>
  <c r="C254" i="5"/>
  <c r="E258" i="5"/>
  <c r="D258" i="5"/>
  <c r="C258" i="5"/>
  <c r="E262" i="5"/>
  <c r="D262" i="5"/>
  <c r="C262" i="5"/>
  <c r="E266" i="5"/>
  <c r="D266" i="5"/>
  <c r="C266" i="5"/>
  <c r="E270" i="5"/>
  <c r="D270" i="5"/>
  <c r="C270" i="5"/>
  <c r="E273" i="5"/>
  <c r="D273" i="5"/>
  <c r="C273" i="5"/>
  <c r="E277" i="5"/>
  <c r="D277" i="5"/>
  <c r="C277" i="5"/>
  <c r="E281" i="5"/>
  <c r="D281" i="5"/>
  <c r="C281" i="5"/>
  <c r="E285" i="5"/>
  <c r="D285" i="5"/>
  <c r="C285" i="5"/>
  <c r="E289" i="5"/>
  <c r="D289" i="5"/>
  <c r="C289" i="5"/>
  <c r="E293" i="5"/>
  <c r="D293" i="5"/>
  <c r="C293" i="5"/>
  <c r="E306" i="5"/>
  <c r="D306" i="5"/>
  <c r="C306" i="5"/>
  <c r="E310" i="5"/>
  <c r="D310" i="5"/>
  <c r="C310" i="5"/>
  <c r="E314" i="5"/>
  <c r="D314" i="5"/>
  <c r="C314" i="5"/>
  <c r="E318" i="5"/>
  <c r="D318" i="5"/>
  <c r="C318" i="5"/>
  <c r="E322" i="5"/>
  <c r="D322" i="5"/>
  <c r="C322" i="5"/>
  <c r="E326" i="5"/>
  <c r="D326" i="5"/>
  <c r="C326" i="5"/>
  <c r="E330" i="5"/>
  <c r="D330" i="5"/>
  <c r="C330" i="5"/>
  <c r="E337" i="5"/>
  <c r="D337" i="5"/>
  <c r="C337" i="5"/>
  <c r="E341" i="5"/>
  <c r="D341" i="5"/>
  <c r="C341" i="5"/>
  <c r="E345" i="5"/>
  <c r="D345" i="5"/>
  <c r="C345" i="5"/>
  <c r="E348" i="5"/>
  <c r="D348" i="5"/>
  <c r="C348" i="5"/>
  <c r="E352" i="5"/>
  <c r="D352" i="5"/>
  <c r="C352" i="5"/>
  <c r="E356" i="5"/>
  <c r="D356" i="5"/>
  <c r="C356" i="5"/>
  <c r="E363" i="5"/>
  <c r="D363" i="5"/>
  <c r="C363" i="5"/>
  <c r="E367" i="5"/>
  <c r="D367" i="5"/>
  <c r="C367" i="5"/>
  <c r="E374" i="5"/>
  <c r="D374" i="5"/>
  <c r="C374" i="5"/>
  <c r="E378" i="5"/>
  <c r="D378" i="5"/>
  <c r="C378" i="5"/>
  <c r="E386" i="5"/>
  <c r="D386" i="5"/>
  <c r="C386" i="5"/>
  <c r="E390" i="5"/>
  <c r="D390" i="5"/>
  <c r="C390" i="5"/>
  <c r="E394" i="5"/>
  <c r="D394" i="5"/>
  <c r="C394" i="5"/>
  <c r="E400" i="5"/>
  <c r="D400" i="5"/>
  <c r="C400" i="5"/>
  <c r="E407" i="5"/>
  <c r="D407" i="5"/>
  <c r="C407" i="5"/>
  <c r="E411" i="5"/>
  <c r="D411" i="5"/>
  <c r="C411" i="5"/>
  <c r="E415" i="5"/>
  <c r="D415" i="5"/>
  <c r="C415" i="5"/>
  <c r="E422" i="5"/>
  <c r="D422" i="5"/>
  <c r="C422" i="5"/>
  <c r="E426" i="5"/>
  <c r="D426" i="5"/>
  <c r="C426" i="5"/>
  <c r="E430" i="5"/>
  <c r="D430" i="5"/>
  <c r="C430" i="5"/>
  <c r="E434" i="5"/>
  <c r="D434" i="5"/>
  <c r="C434" i="5"/>
  <c r="E438" i="5"/>
  <c r="D438" i="5"/>
  <c r="C438" i="5"/>
  <c r="E442" i="5"/>
  <c r="D442" i="5"/>
  <c r="C442" i="5"/>
  <c r="E445" i="5"/>
  <c r="D445" i="5"/>
  <c r="C445" i="5"/>
  <c r="E451" i="5"/>
  <c r="D451" i="5"/>
  <c r="C451" i="5"/>
  <c r="E455" i="5"/>
  <c r="D455" i="5"/>
  <c r="C455" i="5"/>
  <c r="E459" i="5"/>
  <c r="D459" i="5"/>
  <c r="C459" i="5"/>
  <c r="E463" i="5"/>
  <c r="D463" i="5"/>
  <c r="C463" i="5"/>
  <c r="E467" i="5"/>
  <c r="D467" i="5"/>
  <c r="C467" i="5"/>
  <c r="E471" i="5"/>
  <c r="D471" i="5"/>
  <c r="C471" i="5"/>
  <c r="E478" i="5"/>
  <c r="D478" i="5"/>
  <c r="C478" i="5"/>
  <c r="E482" i="5"/>
  <c r="D482" i="5"/>
  <c r="C482" i="5"/>
  <c r="E486" i="5"/>
  <c r="D486" i="5"/>
  <c r="C486" i="5"/>
  <c r="E493" i="5"/>
  <c r="D493" i="5"/>
  <c r="C493" i="5"/>
  <c r="E497" i="5"/>
  <c r="D497" i="5"/>
  <c r="C497" i="5"/>
  <c r="E501" i="5"/>
  <c r="D501" i="5"/>
  <c r="C501" i="5"/>
  <c r="E505" i="5"/>
  <c r="D505" i="5"/>
  <c r="C505" i="5"/>
  <c r="E509" i="5"/>
  <c r="D509" i="5"/>
  <c r="C509" i="5"/>
  <c r="E516" i="5"/>
  <c r="D516" i="5"/>
  <c r="C516" i="5"/>
  <c r="E520" i="5"/>
  <c r="D520" i="5"/>
  <c r="C520" i="5"/>
  <c r="E524" i="5"/>
  <c r="D524" i="5"/>
  <c r="C524" i="5"/>
  <c r="E528" i="5"/>
  <c r="D528" i="5"/>
  <c r="C528" i="5"/>
  <c r="E532" i="5"/>
  <c r="D532" i="5"/>
  <c r="C532" i="5"/>
  <c r="E535" i="5"/>
  <c r="D535" i="5"/>
  <c r="C535" i="5"/>
  <c r="E539" i="5"/>
  <c r="D539" i="5"/>
  <c r="C539" i="5"/>
  <c r="E547" i="5"/>
  <c r="D547" i="5"/>
  <c r="C547" i="5"/>
  <c r="E554" i="5"/>
  <c r="D554" i="5"/>
  <c r="C554" i="5"/>
  <c r="E564" i="5"/>
  <c r="D564" i="5"/>
  <c r="C564" i="5"/>
  <c r="E567" i="5"/>
  <c r="D567" i="5"/>
  <c r="C567" i="5"/>
  <c r="E571" i="5"/>
  <c r="D571" i="5"/>
  <c r="C571" i="5"/>
  <c r="E578" i="5"/>
  <c r="D578" i="5"/>
  <c r="C578" i="5"/>
  <c r="E582" i="5"/>
  <c r="D582" i="5"/>
  <c r="C582" i="5"/>
  <c r="E586" i="5"/>
  <c r="D586" i="5"/>
  <c r="C586" i="5"/>
  <c r="E589" i="5"/>
  <c r="D589" i="5"/>
  <c r="C589" i="5"/>
  <c r="E593" i="5"/>
  <c r="D593" i="5"/>
  <c r="C593" i="5"/>
  <c r="E600" i="5"/>
  <c r="D600" i="5"/>
  <c r="C600" i="5"/>
  <c r="E604" i="5"/>
  <c r="D604" i="5"/>
  <c r="C604" i="5"/>
  <c r="E611" i="5"/>
  <c r="D611" i="5"/>
  <c r="C611" i="5"/>
  <c r="E615" i="5"/>
  <c r="D615" i="5"/>
  <c r="C615" i="5"/>
  <c r="E622" i="5"/>
  <c r="D622" i="5"/>
  <c r="C622" i="5"/>
  <c r="E626" i="5"/>
  <c r="D626" i="5"/>
  <c r="C626" i="5"/>
  <c r="E630" i="5"/>
  <c r="D630" i="5"/>
  <c r="C630" i="5"/>
  <c r="E634" i="5"/>
  <c r="D634" i="5"/>
  <c r="C634" i="5"/>
  <c r="E638" i="5"/>
  <c r="D638" i="5"/>
  <c r="C638" i="5"/>
  <c r="E642" i="5"/>
  <c r="D642" i="5"/>
  <c r="C642" i="5"/>
  <c r="E649" i="5"/>
  <c r="D649" i="5"/>
  <c r="C649" i="5"/>
  <c r="E653" i="5"/>
  <c r="D653" i="5"/>
  <c r="C653" i="5"/>
  <c r="E660" i="5"/>
  <c r="D660" i="5"/>
  <c r="C660" i="5"/>
  <c r="E664" i="5"/>
  <c r="D664" i="5"/>
  <c r="C664" i="5"/>
  <c r="E668" i="5"/>
  <c r="D668" i="5"/>
  <c r="C668" i="5"/>
  <c r="E675" i="5"/>
  <c r="D675" i="5"/>
  <c r="C675" i="5"/>
  <c r="E679" i="5"/>
  <c r="D679" i="5"/>
  <c r="C679" i="5"/>
  <c r="E683" i="5"/>
  <c r="D683" i="5"/>
  <c r="C683" i="5"/>
  <c r="E686" i="5"/>
  <c r="D686" i="5"/>
  <c r="C686" i="5"/>
  <c r="E690" i="5"/>
  <c r="D690" i="5"/>
  <c r="C690" i="5"/>
  <c r="E694" i="5"/>
  <c r="D694" i="5"/>
  <c r="C694" i="5"/>
  <c r="E698" i="5"/>
  <c r="D698" i="5"/>
  <c r="C698" i="5"/>
  <c r="E702" i="5"/>
  <c r="D702" i="5"/>
  <c r="C702" i="5"/>
  <c r="E705" i="5"/>
  <c r="D705" i="5"/>
  <c r="C705" i="5"/>
  <c r="E709" i="5"/>
  <c r="D709" i="5"/>
  <c r="C709" i="5"/>
  <c r="E713" i="5"/>
  <c r="D713" i="5"/>
  <c r="C713" i="5"/>
  <c r="E716" i="5"/>
  <c r="D716" i="5"/>
  <c r="C716" i="5"/>
  <c r="E720" i="5"/>
  <c r="D720" i="5"/>
  <c r="C720" i="5"/>
  <c r="E723" i="5"/>
  <c r="D723" i="5"/>
  <c r="C723" i="5"/>
  <c r="E727" i="5"/>
  <c r="D727" i="5"/>
  <c r="C727" i="5"/>
  <c r="E730" i="5"/>
  <c r="D730" i="5"/>
  <c r="C730" i="5"/>
  <c r="E734" i="5"/>
  <c r="D734" i="5"/>
  <c r="C734" i="5"/>
  <c r="E738" i="5"/>
  <c r="D738" i="5"/>
  <c r="C738" i="5"/>
  <c r="E741" i="5"/>
  <c r="D741" i="5"/>
  <c r="C741" i="5"/>
  <c r="E745" i="5"/>
  <c r="D745" i="5"/>
  <c r="C745" i="5"/>
  <c r="E748" i="5"/>
  <c r="D748" i="5"/>
  <c r="C748" i="5"/>
  <c r="E752" i="5"/>
  <c r="D752" i="5"/>
  <c r="C752" i="5"/>
  <c r="E759" i="5"/>
  <c r="D759" i="5"/>
  <c r="C759" i="5"/>
  <c r="E763" i="5"/>
  <c r="D763" i="5"/>
  <c r="C763" i="5"/>
  <c r="E770" i="5"/>
  <c r="D770" i="5"/>
  <c r="C770" i="5"/>
  <c r="E774" i="5"/>
  <c r="D774" i="5"/>
  <c r="C774" i="5"/>
  <c r="E778" i="5"/>
  <c r="D778" i="5"/>
  <c r="C778" i="5"/>
  <c r="E782" i="5"/>
  <c r="D782" i="5"/>
  <c r="C782" i="5"/>
  <c r="E789" i="5"/>
  <c r="D789" i="5"/>
  <c r="C789" i="5"/>
  <c r="E793" i="5"/>
  <c r="D793" i="5"/>
  <c r="C793" i="5"/>
  <c r="E797" i="5"/>
  <c r="D797" i="5"/>
  <c r="C797" i="5"/>
  <c r="E801" i="5"/>
  <c r="D801" i="5"/>
  <c r="C801" i="5"/>
  <c r="E805" i="5"/>
  <c r="D805" i="5"/>
  <c r="C805" i="5"/>
  <c r="E809" i="5"/>
  <c r="D809" i="5"/>
  <c r="C809" i="5"/>
  <c r="E813" i="5"/>
  <c r="D813" i="5"/>
  <c r="C813" i="5"/>
  <c r="E820" i="5"/>
  <c r="D820" i="5"/>
  <c r="C820" i="5"/>
  <c r="E824" i="5"/>
  <c r="D824" i="5"/>
  <c r="C824" i="5"/>
  <c r="E827" i="5"/>
  <c r="D827" i="5"/>
  <c r="C827" i="5"/>
  <c r="E831" i="5"/>
  <c r="D831" i="5"/>
  <c r="C831" i="5"/>
  <c r="E835" i="5"/>
  <c r="D835" i="5"/>
  <c r="C835" i="5"/>
  <c r="E838" i="5"/>
  <c r="D838" i="5"/>
  <c r="C838" i="5"/>
  <c r="E842" i="5"/>
  <c r="D842" i="5"/>
  <c r="C842" i="5"/>
  <c r="E846" i="5"/>
  <c r="D846" i="5"/>
  <c r="C846" i="5"/>
  <c r="E850" i="5"/>
  <c r="D850" i="5"/>
  <c r="C850" i="5"/>
  <c r="E857" i="5"/>
  <c r="D857" i="5"/>
  <c r="C857" i="5"/>
  <c r="E860" i="5"/>
  <c r="D860" i="5"/>
  <c r="C860" i="5"/>
  <c r="E864" i="5"/>
  <c r="D864" i="5"/>
  <c r="C864" i="5"/>
  <c r="E868" i="5"/>
  <c r="D868" i="5"/>
  <c r="C868" i="5"/>
  <c r="E871" i="5"/>
  <c r="D871" i="5"/>
  <c r="C871" i="5"/>
  <c r="E878" i="5"/>
  <c r="D878" i="5"/>
  <c r="C878" i="5"/>
  <c r="E882" i="5"/>
  <c r="D882" i="5"/>
  <c r="C882" i="5"/>
  <c r="E888" i="5"/>
  <c r="D888" i="5"/>
  <c r="C888" i="5"/>
  <c r="E898" i="5"/>
  <c r="D898" i="5"/>
  <c r="C898" i="5"/>
  <c r="E901" i="5"/>
  <c r="D901" i="5"/>
  <c r="C901" i="5"/>
  <c r="E905" i="5"/>
  <c r="D905" i="5"/>
  <c r="C905" i="5"/>
  <c r="E909" i="5"/>
  <c r="D909" i="5"/>
  <c r="C909" i="5"/>
  <c r="D912" i="5"/>
  <c r="E912" i="5"/>
  <c r="C912" i="5"/>
  <c r="E916" i="5"/>
  <c r="D916" i="5"/>
  <c r="C916" i="5"/>
  <c r="E924" i="5"/>
  <c r="D924" i="5"/>
  <c r="C924" i="5"/>
  <c r="E928" i="5"/>
  <c r="D928" i="5"/>
  <c r="C928" i="5"/>
  <c r="E935" i="5"/>
  <c r="D935" i="5"/>
  <c r="C935" i="5"/>
  <c r="E938" i="5"/>
  <c r="D938" i="5"/>
  <c r="C938" i="5"/>
  <c r="E945" i="5"/>
  <c r="D945" i="5"/>
  <c r="C945" i="5"/>
  <c r="E948" i="5"/>
  <c r="D948" i="5"/>
  <c r="C948" i="5"/>
  <c r="E955" i="5"/>
  <c r="D955" i="5"/>
  <c r="C955" i="5"/>
  <c r="E958" i="5"/>
  <c r="D958" i="5"/>
  <c r="C958" i="5"/>
  <c r="E962" i="5"/>
  <c r="D962" i="5"/>
  <c r="C962" i="5"/>
  <c r="E966" i="5"/>
  <c r="D966" i="5"/>
  <c r="C966" i="5"/>
  <c r="E970" i="5"/>
  <c r="D970" i="5"/>
  <c r="C970" i="5"/>
  <c r="E974" i="5"/>
  <c r="D974" i="5"/>
  <c r="C974" i="5"/>
  <c r="E977" i="5"/>
  <c r="D977" i="5"/>
  <c r="C977" i="5"/>
  <c r="E980" i="5"/>
  <c r="D980" i="5"/>
  <c r="C980" i="5"/>
  <c r="E983" i="5"/>
  <c r="D983" i="5"/>
  <c r="C983" i="5"/>
  <c r="E988" i="5"/>
  <c r="D988" i="5"/>
  <c r="C988" i="5"/>
  <c r="E992" i="5"/>
  <c r="D992" i="5"/>
  <c r="C992" i="5"/>
  <c r="E996" i="5"/>
  <c r="D996" i="5"/>
  <c r="C996" i="5"/>
  <c r="E1005" i="5"/>
  <c r="D1005" i="5"/>
  <c r="C1005" i="5"/>
  <c r="E1009" i="5"/>
  <c r="D1009" i="5"/>
  <c r="C1009" i="5"/>
  <c r="E1013" i="5"/>
  <c r="D1013" i="5"/>
  <c r="C1013" i="5"/>
  <c r="E1017" i="5"/>
  <c r="D1017" i="5"/>
  <c r="C1017" i="5"/>
  <c r="E1024" i="5"/>
  <c r="D1024" i="5"/>
  <c r="C1024" i="5"/>
  <c r="E1028" i="5"/>
  <c r="D1028" i="5"/>
  <c r="C1028" i="5"/>
  <c r="E1032" i="5"/>
  <c r="D1032" i="5"/>
  <c r="C1032" i="5"/>
  <c r="E1039" i="5"/>
  <c r="D1039" i="5"/>
  <c r="C1039" i="5"/>
  <c r="E1042" i="5"/>
  <c r="D1042" i="5"/>
  <c r="C1042" i="5"/>
  <c r="E1046" i="5"/>
  <c r="D1046" i="5"/>
  <c r="C1046" i="5"/>
  <c r="E1050" i="5"/>
  <c r="D1050" i="5"/>
  <c r="C1050" i="5"/>
  <c r="E1053" i="5"/>
  <c r="D1053" i="5"/>
  <c r="C1053" i="5"/>
  <c r="E1056" i="5"/>
  <c r="D1056" i="5"/>
  <c r="C1056" i="5"/>
  <c r="E1059" i="5"/>
  <c r="D1059" i="5"/>
  <c r="C1059" i="5"/>
  <c r="E1063" i="5"/>
  <c r="D1063" i="5"/>
  <c r="C1063" i="5"/>
  <c r="E1067" i="5"/>
  <c r="D1067" i="5"/>
  <c r="C1067" i="5"/>
  <c r="E1071" i="5"/>
  <c r="D1071" i="5"/>
  <c r="C1071" i="5"/>
  <c r="E1074" i="5"/>
  <c r="D1074" i="5"/>
  <c r="C1074" i="5"/>
  <c r="E1078" i="5"/>
  <c r="D1078" i="5"/>
  <c r="C1078" i="5"/>
  <c r="E1082" i="5"/>
  <c r="D1082" i="5"/>
  <c r="C1082" i="5"/>
  <c r="E1086" i="5"/>
  <c r="D1086" i="5"/>
  <c r="C1086" i="5"/>
  <c r="E1089" i="5"/>
  <c r="D1089" i="5"/>
  <c r="C1089" i="5"/>
  <c r="E1093" i="5"/>
  <c r="D1093" i="5"/>
  <c r="C1093" i="5"/>
  <c r="E1097" i="5"/>
  <c r="D1097" i="5"/>
  <c r="C1097" i="5"/>
  <c r="E1101" i="5"/>
  <c r="D1101" i="5"/>
  <c r="C1101" i="5"/>
  <c r="E1105" i="5"/>
  <c r="D1105" i="5"/>
  <c r="C1105" i="5"/>
  <c r="E1109" i="5"/>
  <c r="D1109" i="5"/>
  <c r="C1109" i="5"/>
  <c r="E1112" i="5"/>
  <c r="D1112" i="5"/>
  <c r="C1112" i="5"/>
  <c r="E1116" i="5"/>
  <c r="D1116" i="5"/>
  <c r="C1116" i="5"/>
  <c r="E1120" i="5"/>
  <c r="D1120" i="5"/>
  <c r="C1120" i="5"/>
  <c r="E1124" i="5"/>
  <c r="D1124" i="5"/>
  <c r="C1124" i="5"/>
  <c r="E1128" i="5"/>
  <c r="D1128" i="5"/>
  <c r="C1128" i="5"/>
  <c r="E1132" i="5"/>
  <c r="D1132" i="5"/>
  <c r="C1132" i="5"/>
  <c r="E1136" i="5"/>
  <c r="D1136" i="5"/>
  <c r="C1136" i="5"/>
  <c r="E1143" i="5"/>
  <c r="D1143" i="5"/>
  <c r="C1143" i="5"/>
  <c r="E1147" i="5"/>
  <c r="D1147" i="5"/>
  <c r="C1147" i="5"/>
  <c r="E1154" i="5"/>
  <c r="D1154" i="5"/>
  <c r="C1154" i="5"/>
  <c r="E1157" i="5"/>
  <c r="D1157" i="5"/>
  <c r="C1157" i="5"/>
  <c r="E1164" i="5"/>
  <c r="D1164" i="5"/>
  <c r="C1164" i="5"/>
  <c r="E1171" i="5"/>
  <c r="D1171" i="5"/>
  <c r="C1171" i="5"/>
  <c r="E1175" i="5"/>
  <c r="D1175" i="5"/>
  <c r="C1175" i="5"/>
  <c r="E1179" i="5"/>
  <c r="D1179" i="5"/>
  <c r="C1179" i="5"/>
  <c r="E1183" i="5"/>
  <c r="D1183" i="5"/>
  <c r="C1183" i="5"/>
  <c r="E1187" i="5"/>
  <c r="D1187" i="5"/>
  <c r="C1187" i="5"/>
  <c r="E1190" i="5"/>
  <c r="D1190" i="5"/>
  <c r="C1190" i="5"/>
  <c r="E1194" i="5"/>
  <c r="D1194" i="5"/>
  <c r="C1194" i="5"/>
  <c r="E1198" i="5"/>
  <c r="D1198" i="5"/>
  <c r="C1198" i="5"/>
  <c r="E1202" i="5"/>
  <c r="D1202" i="5"/>
  <c r="C1202" i="5"/>
  <c r="E1206" i="5"/>
  <c r="D1206" i="5"/>
  <c r="C1206" i="5"/>
  <c r="E1210" i="5"/>
  <c r="D1210" i="5"/>
  <c r="C1210" i="5"/>
  <c r="E1214" i="5"/>
  <c r="D1214" i="5"/>
  <c r="C1214" i="5"/>
  <c r="E1218" i="5"/>
  <c r="D1218" i="5"/>
  <c r="C1218" i="5"/>
  <c r="E1222" i="5"/>
  <c r="D1222" i="5"/>
  <c r="C1222" i="5"/>
  <c r="E1229" i="5"/>
  <c r="D1229" i="5"/>
  <c r="C1229" i="5"/>
  <c r="E1237" i="5"/>
  <c r="D1237" i="5"/>
  <c r="C1237" i="5"/>
  <c r="E1241" i="5"/>
  <c r="D1241" i="5"/>
  <c r="C1241" i="5"/>
  <c r="E1245" i="5"/>
  <c r="D1245" i="5"/>
  <c r="C1245" i="5"/>
  <c r="E1249" i="5"/>
  <c r="D1249" i="5"/>
  <c r="C1249" i="5"/>
  <c r="E1253" i="5"/>
  <c r="D1253" i="5"/>
  <c r="C1253" i="5"/>
  <c r="E1257" i="5"/>
  <c r="D1257" i="5"/>
  <c r="C1257" i="5"/>
  <c r="E1264" i="5"/>
  <c r="D1264" i="5"/>
  <c r="C1264" i="5"/>
  <c r="E1274" i="5"/>
  <c r="D1274" i="5"/>
  <c r="C1274" i="5"/>
  <c r="E1278" i="5"/>
  <c r="D1278" i="5"/>
  <c r="C1278" i="5"/>
  <c r="E1289" i="5"/>
  <c r="D1289" i="5"/>
  <c r="C1289" i="5"/>
  <c r="E1293" i="5"/>
  <c r="D1293" i="5"/>
  <c r="C1293" i="5"/>
  <c r="E1300" i="5"/>
  <c r="D1300" i="5"/>
  <c r="C1300" i="5"/>
  <c r="E1304" i="5"/>
  <c r="D1304" i="5"/>
  <c r="C1304" i="5"/>
  <c r="E1311" i="5"/>
  <c r="D1311" i="5"/>
  <c r="C1311" i="5"/>
  <c r="E1315" i="5"/>
  <c r="D1315" i="5"/>
  <c r="C1315" i="5"/>
  <c r="E1322" i="5"/>
  <c r="D1322" i="5"/>
  <c r="C1322" i="5"/>
  <c r="E1326" i="5"/>
  <c r="D1326" i="5"/>
  <c r="C1326" i="5"/>
  <c r="E1340" i="5"/>
  <c r="D1340" i="5"/>
  <c r="C1340" i="5"/>
  <c r="E1350" i="5"/>
  <c r="D1350" i="5"/>
  <c r="C1350" i="5"/>
  <c r="E1354" i="5"/>
  <c r="D1354" i="5"/>
  <c r="C1354" i="5"/>
  <c r="E1358" i="5"/>
  <c r="D1358" i="5"/>
  <c r="C1358" i="5"/>
  <c r="E1362" i="5"/>
  <c r="D1362" i="5"/>
  <c r="C1362" i="5"/>
  <c r="E1372" i="5"/>
  <c r="D1372" i="5"/>
  <c r="C1372" i="5"/>
  <c r="E1379" i="5"/>
  <c r="D1379" i="5"/>
  <c r="C1379" i="5"/>
  <c r="E1383" i="5"/>
  <c r="D1383" i="5"/>
  <c r="C1383" i="5"/>
  <c r="E1387" i="5"/>
  <c r="D1387" i="5"/>
  <c r="C1387" i="5"/>
  <c r="E1394" i="5"/>
  <c r="D1394" i="5"/>
  <c r="C1394" i="5"/>
  <c r="E1398" i="5"/>
  <c r="D1398" i="5"/>
  <c r="C1398" i="5"/>
  <c r="E1402" i="5"/>
  <c r="D1402" i="5"/>
  <c r="C1402" i="5"/>
  <c r="E1406" i="5"/>
  <c r="D1406" i="5"/>
  <c r="C1406" i="5"/>
  <c r="E1416" i="5"/>
  <c r="D1416" i="5"/>
  <c r="C1416" i="5"/>
  <c r="E1424" i="5"/>
  <c r="D1424" i="5"/>
  <c r="C1424" i="5"/>
  <c r="E1430" i="5"/>
  <c r="D1430" i="5"/>
  <c r="C1430" i="5"/>
  <c r="E1433" i="5"/>
  <c r="D1433" i="5"/>
  <c r="C1433" i="5"/>
  <c r="E1437" i="5"/>
  <c r="D1437" i="5"/>
  <c r="C1437" i="5"/>
  <c r="E1441" i="5"/>
  <c r="D1441" i="5"/>
  <c r="C1441" i="5"/>
  <c r="E1444" i="5"/>
  <c r="D1444" i="5"/>
  <c r="C1444" i="5"/>
  <c r="E1454" i="5"/>
  <c r="D1454" i="5"/>
  <c r="C1454" i="5"/>
  <c r="E1458" i="5"/>
  <c r="D1458" i="5"/>
  <c r="C1458" i="5"/>
  <c r="E1461" i="5"/>
  <c r="D1461" i="5"/>
  <c r="C1461" i="5"/>
  <c r="E1467" i="5"/>
  <c r="D1467" i="5"/>
  <c r="C1467" i="5"/>
  <c r="E1474" i="5"/>
  <c r="D1474" i="5"/>
  <c r="C1474" i="5"/>
  <c r="E1477" i="5"/>
  <c r="D1477" i="5"/>
  <c r="C1477" i="5"/>
  <c r="E1481" i="5"/>
  <c r="D1481" i="5"/>
  <c r="C1481" i="5"/>
  <c r="E1484" i="5"/>
  <c r="D1484" i="5"/>
  <c r="C1484" i="5"/>
  <c r="E1492" i="5"/>
  <c r="D1492" i="5"/>
  <c r="C1492" i="5"/>
  <c r="E1495" i="5"/>
  <c r="D1495" i="5"/>
  <c r="C1495" i="5"/>
  <c r="E1499" i="5"/>
  <c r="D1499" i="5"/>
  <c r="C1499" i="5"/>
  <c r="E1503" i="5"/>
  <c r="D1503" i="5"/>
  <c r="C1503" i="5"/>
  <c r="E1506" i="5"/>
  <c r="D1506" i="5"/>
  <c r="C1506" i="5"/>
  <c r="E1509" i="5"/>
  <c r="C1509" i="5"/>
  <c r="D1509" i="5"/>
  <c r="E1512" i="5"/>
  <c r="D1512" i="5"/>
  <c r="C1512" i="5"/>
  <c r="E1516" i="5"/>
  <c r="D1516" i="5"/>
  <c r="C1516" i="5"/>
  <c r="E1520" i="5"/>
  <c r="D1520" i="5"/>
  <c r="C1520" i="5"/>
  <c r="E1523" i="5"/>
  <c r="D1523" i="5"/>
  <c r="C1523" i="5"/>
  <c r="E1526" i="5"/>
  <c r="D1526" i="5"/>
  <c r="C1526" i="5"/>
  <c r="E1530" i="5"/>
  <c r="D1530" i="5"/>
  <c r="C1530" i="5"/>
  <c r="E1534" i="5"/>
  <c r="D1534" i="5"/>
  <c r="C1534" i="5"/>
  <c r="E1538" i="5"/>
  <c r="D1538" i="5"/>
  <c r="C1538" i="5"/>
  <c r="E1542" i="5"/>
  <c r="D1542" i="5"/>
  <c r="C1542" i="5"/>
  <c r="E1546" i="5"/>
  <c r="D1546" i="5"/>
  <c r="C1546" i="5"/>
  <c r="E1550" i="5"/>
  <c r="D1550" i="5"/>
  <c r="C1550" i="5"/>
  <c r="E1553" i="5"/>
  <c r="D1553" i="5"/>
  <c r="C1553" i="5"/>
  <c r="E1557" i="5"/>
  <c r="C1557" i="5"/>
  <c r="D1557" i="5"/>
  <c r="E1561" i="5"/>
  <c r="D1561" i="5"/>
  <c r="C1561" i="5"/>
  <c r="E1565" i="5"/>
  <c r="D1565" i="5"/>
  <c r="C1565" i="5"/>
  <c r="E1569" i="5"/>
  <c r="D1569" i="5"/>
  <c r="C1569" i="5"/>
  <c r="E1573" i="5"/>
  <c r="D1573" i="5"/>
  <c r="C1573" i="5"/>
  <c r="E1580" i="5"/>
  <c r="D1580" i="5"/>
  <c r="C1580" i="5"/>
  <c r="E1584" i="5"/>
  <c r="D1584" i="5"/>
  <c r="C1584" i="5"/>
  <c r="E1588" i="5"/>
  <c r="D1588" i="5"/>
  <c r="C1588" i="5"/>
  <c r="E1592" i="5"/>
  <c r="D1592" i="5"/>
  <c r="C1592" i="5"/>
  <c r="E1596" i="5"/>
  <c r="D1596" i="5"/>
  <c r="C1596" i="5"/>
  <c r="E1600" i="5"/>
  <c r="D1600" i="5"/>
  <c r="C1600" i="5"/>
  <c r="E1604" i="5"/>
  <c r="D1604" i="5"/>
  <c r="C1604" i="5"/>
  <c r="E1608" i="5"/>
  <c r="D1608" i="5"/>
  <c r="C1608" i="5"/>
  <c r="E1612" i="5"/>
  <c r="D1612" i="5"/>
  <c r="C1612" i="5"/>
  <c r="E1615" i="5"/>
  <c r="D1615" i="5"/>
  <c r="C1615" i="5"/>
  <c r="E1625" i="5"/>
  <c r="D1625" i="5"/>
  <c r="C1625" i="5"/>
  <c r="E1628" i="5"/>
  <c r="D1628" i="5"/>
  <c r="C1628" i="5"/>
  <c r="E1632" i="5"/>
  <c r="D1632" i="5"/>
  <c r="C1632" i="5"/>
  <c r="E1636" i="5"/>
  <c r="D1636" i="5"/>
  <c r="C1636" i="5"/>
  <c r="E1639" i="5"/>
  <c r="D1639" i="5"/>
  <c r="C1639" i="5"/>
  <c r="E1643" i="5"/>
  <c r="D1643" i="5"/>
  <c r="C1643" i="5"/>
  <c r="E1646" i="5"/>
  <c r="D1646" i="5"/>
  <c r="C1646" i="5"/>
  <c r="E1650" i="5"/>
  <c r="D1650" i="5"/>
  <c r="C1650" i="5"/>
  <c r="E1653" i="5"/>
  <c r="D1653" i="5"/>
  <c r="C1653" i="5"/>
  <c r="E1657" i="5"/>
  <c r="D1657" i="5"/>
  <c r="C1657" i="5"/>
  <c r="E1660" i="5"/>
  <c r="D1660" i="5"/>
  <c r="C1660" i="5"/>
  <c r="E1664" i="5"/>
  <c r="D1664" i="5"/>
  <c r="C1664" i="5"/>
  <c r="E1671" i="5"/>
  <c r="D1671" i="5"/>
  <c r="C1671" i="5"/>
  <c r="E1675" i="5"/>
  <c r="D1675" i="5"/>
  <c r="C1675" i="5"/>
  <c r="E1682" i="5"/>
  <c r="D1682" i="5"/>
  <c r="C1682" i="5"/>
  <c r="E1689" i="5"/>
  <c r="D1689" i="5"/>
  <c r="C1689" i="5"/>
  <c r="E1692" i="5"/>
  <c r="D1692" i="5"/>
  <c r="C1692" i="5"/>
  <c r="E1696" i="5"/>
  <c r="D1696" i="5"/>
  <c r="C1696" i="5"/>
  <c r="E1700" i="5"/>
  <c r="D1700" i="5"/>
  <c r="C1700" i="5"/>
  <c r="E1704" i="5"/>
  <c r="D1704" i="5"/>
  <c r="C1704" i="5"/>
  <c r="E1708" i="5"/>
  <c r="D1708" i="5"/>
  <c r="C1708" i="5"/>
  <c r="E1712" i="5"/>
  <c r="D1712" i="5"/>
  <c r="C1712" i="5"/>
  <c r="E1715" i="5"/>
  <c r="D1715" i="5"/>
  <c r="C1715" i="5"/>
  <c r="E1719" i="5"/>
  <c r="D1719" i="5"/>
  <c r="C1719" i="5"/>
  <c r="E1723" i="5"/>
  <c r="D1723" i="5"/>
  <c r="C1723" i="5"/>
  <c r="E1731" i="5"/>
  <c r="D1731" i="5"/>
  <c r="C1731" i="5"/>
  <c r="E1735" i="5"/>
  <c r="D1735" i="5"/>
  <c r="C1735" i="5"/>
  <c r="E1739" i="5"/>
  <c r="D1739" i="5"/>
  <c r="C1739" i="5"/>
  <c r="E1743" i="5"/>
  <c r="D1743" i="5"/>
  <c r="C1743" i="5"/>
  <c r="E1747" i="5"/>
  <c r="D1747" i="5"/>
  <c r="C1747" i="5"/>
  <c r="E1751" i="5"/>
  <c r="D1751" i="5"/>
  <c r="C1751" i="5"/>
  <c r="E1755" i="5"/>
  <c r="D1755" i="5"/>
  <c r="C1755" i="5"/>
  <c r="E1759" i="5"/>
  <c r="D1759" i="5"/>
  <c r="C1759" i="5"/>
  <c r="E1763" i="5"/>
  <c r="D1763" i="5"/>
  <c r="C1763" i="5"/>
  <c r="E1767" i="5"/>
  <c r="D1767" i="5"/>
  <c r="C1767" i="5"/>
  <c r="E1771" i="5"/>
  <c r="D1771" i="5"/>
  <c r="C1771" i="5"/>
  <c r="E1775" i="5"/>
  <c r="D1775" i="5"/>
  <c r="C1775" i="5"/>
  <c r="E1780" i="5"/>
  <c r="D1780" i="5"/>
  <c r="C1780" i="5"/>
  <c r="E1784" i="5"/>
  <c r="D1784" i="5"/>
  <c r="C1784" i="5"/>
  <c r="E1788" i="5"/>
  <c r="D1788" i="5"/>
  <c r="C1788" i="5"/>
  <c r="E1792" i="5"/>
  <c r="D1792" i="5"/>
  <c r="C1792" i="5"/>
  <c r="E1799" i="5"/>
  <c r="D1799" i="5"/>
  <c r="C1799" i="5"/>
  <c r="E1803" i="5"/>
  <c r="D1803" i="5"/>
  <c r="C1803" i="5"/>
  <c r="E1807" i="5"/>
  <c r="D1807" i="5"/>
  <c r="C1807" i="5"/>
  <c r="E1811" i="5"/>
  <c r="D1811" i="5"/>
  <c r="C1811" i="5"/>
  <c r="E1815" i="5"/>
  <c r="D1815" i="5"/>
  <c r="C1815" i="5"/>
  <c r="E1819" i="5"/>
  <c r="D1819" i="5"/>
  <c r="C1819" i="5"/>
  <c r="E1823" i="5"/>
  <c r="D1823" i="5"/>
  <c r="C1823" i="5"/>
  <c r="E1827" i="5"/>
  <c r="D1827" i="5"/>
  <c r="C1827" i="5"/>
  <c r="E1831" i="5"/>
  <c r="D1831" i="5"/>
  <c r="C1831" i="5"/>
  <c r="E1834" i="5"/>
  <c r="D1834" i="5"/>
  <c r="C1834" i="5"/>
  <c r="E1841" i="5"/>
  <c r="D1841" i="5"/>
  <c r="C1841" i="5"/>
  <c r="E1848" i="5"/>
  <c r="D1848" i="5"/>
  <c r="C1848" i="5"/>
  <c r="E1851" i="5"/>
  <c r="D1851" i="5"/>
  <c r="C1851" i="5"/>
  <c r="E1854" i="5"/>
  <c r="D1854" i="5"/>
  <c r="C1854" i="5"/>
  <c r="E1861" i="5"/>
  <c r="D1861" i="5"/>
  <c r="C1861" i="5"/>
  <c r="E1865" i="5"/>
  <c r="D1865" i="5"/>
  <c r="C1865" i="5"/>
  <c r="E1869" i="5"/>
  <c r="D1869" i="5"/>
  <c r="C1869" i="5"/>
  <c r="E1873" i="5"/>
  <c r="D1873" i="5"/>
  <c r="C1873" i="5"/>
  <c r="E1880" i="5"/>
  <c r="D1880" i="5"/>
  <c r="C1880" i="5"/>
  <c r="E1884" i="5"/>
  <c r="D1884" i="5"/>
  <c r="C1884" i="5"/>
  <c r="E1893" i="5"/>
  <c r="C1893" i="5"/>
  <c r="D1893" i="5"/>
  <c r="E1897" i="5"/>
  <c r="D1897" i="5"/>
  <c r="C1897" i="5"/>
  <c r="E1901" i="5"/>
  <c r="D1901" i="5"/>
  <c r="C1901" i="5"/>
  <c r="E1904" i="5"/>
  <c r="D1904" i="5"/>
  <c r="C1904" i="5"/>
  <c r="E1908" i="5"/>
  <c r="D1908" i="5"/>
  <c r="C1908" i="5"/>
  <c r="E1915" i="5"/>
  <c r="D1915" i="5"/>
  <c r="C1915" i="5"/>
  <c r="E1919" i="5"/>
  <c r="D1919" i="5"/>
  <c r="C1919" i="5"/>
  <c r="D1926" i="5"/>
  <c r="C1926" i="5"/>
  <c r="E1926" i="5"/>
  <c r="E1929" i="5"/>
  <c r="D1929" i="5"/>
  <c r="C1929" i="5"/>
  <c r="E1933" i="5"/>
  <c r="D1933" i="5"/>
  <c r="C1933" i="5"/>
  <c r="E1940" i="5"/>
  <c r="D1940" i="5"/>
  <c r="C1940" i="5"/>
  <c r="E1944" i="5"/>
  <c r="D1944" i="5"/>
  <c r="C1944" i="5"/>
  <c r="E1948" i="5"/>
  <c r="D1948" i="5"/>
  <c r="C1948" i="5"/>
  <c r="E1955" i="5"/>
  <c r="D1955" i="5"/>
  <c r="C1955" i="5"/>
  <c r="E1959" i="5"/>
  <c r="D1959" i="5"/>
  <c r="C1959" i="5"/>
  <c r="E1963" i="5"/>
  <c r="D1963" i="5"/>
  <c r="C1963" i="5"/>
  <c r="E1967" i="5"/>
  <c r="D1967" i="5"/>
  <c r="C1967" i="5"/>
  <c r="E1971" i="5"/>
  <c r="D1971" i="5"/>
  <c r="C1971" i="5"/>
  <c r="E1975" i="5"/>
  <c r="D1975" i="5"/>
  <c r="C1975" i="5"/>
  <c r="E1979" i="5"/>
  <c r="D1979" i="5"/>
  <c r="C1979" i="5"/>
  <c r="E1983" i="5"/>
  <c r="D1983" i="5"/>
  <c r="C1983" i="5"/>
  <c r="E1987" i="5"/>
  <c r="D1987" i="5"/>
  <c r="C1987" i="5"/>
  <c r="E1991" i="5"/>
  <c r="D1991" i="5"/>
  <c r="C1991" i="5"/>
  <c r="E1995" i="5"/>
  <c r="D1995" i="5"/>
  <c r="C1995" i="5"/>
  <c r="E1999" i="5"/>
  <c r="D1999" i="5"/>
  <c r="C1999" i="5"/>
  <c r="E2003" i="5"/>
  <c r="D2003" i="5"/>
  <c r="C2003" i="5"/>
  <c r="E2010" i="5"/>
  <c r="D2010" i="5"/>
  <c r="C2010" i="5"/>
  <c r="E2014" i="5"/>
  <c r="D2014" i="5"/>
  <c r="C2014" i="5"/>
  <c r="E2018" i="5"/>
  <c r="D2018" i="5"/>
  <c r="C2018" i="5"/>
  <c r="E2022" i="5"/>
  <c r="D2022" i="5"/>
  <c r="C2022" i="5"/>
  <c r="E2026" i="5"/>
  <c r="D2026" i="5"/>
  <c r="C2026" i="5"/>
  <c r="E2030" i="5"/>
  <c r="D2030" i="5"/>
  <c r="C2030" i="5"/>
  <c r="E2034" i="5"/>
  <c r="D2034" i="5"/>
  <c r="C2034" i="5"/>
  <c r="E2038" i="5"/>
  <c r="D2038" i="5"/>
  <c r="C2038" i="5"/>
  <c r="E2042" i="5"/>
  <c r="D2042" i="5"/>
  <c r="C2042" i="5"/>
  <c r="E2049" i="5"/>
  <c r="D2049" i="5"/>
  <c r="C2049" i="5"/>
  <c r="E2053" i="5"/>
  <c r="D2053" i="5"/>
  <c r="C2053" i="5"/>
  <c r="E2056" i="5"/>
  <c r="D2056" i="5"/>
  <c r="C2056" i="5"/>
  <c r="E2060" i="5"/>
  <c r="D2060" i="5"/>
  <c r="C2060" i="5"/>
  <c r="E2064" i="5"/>
  <c r="D2064" i="5"/>
  <c r="C2064" i="5"/>
  <c r="E2067" i="5"/>
  <c r="D2067" i="5"/>
  <c r="C2067" i="5"/>
  <c r="E2074" i="5"/>
  <c r="D2074" i="5"/>
  <c r="C2074" i="5"/>
  <c r="E2078" i="5"/>
  <c r="D2078" i="5"/>
  <c r="C2078" i="5"/>
  <c r="E2081" i="5"/>
  <c r="D2081" i="5"/>
  <c r="C2081" i="5"/>
  <c r="E2085" i="5"/>
  <c r="D2085" i="5"/>
  <c r="C2085" i="5"/>
  <c r="E2089" i="5"/>
  <c r="D2089" i="5"/>
  <c r="C2089" i="5"/>
  <c r="E2093" i="5"/>
  <c r="D2093" i="5"/>
  <c r="C2093" i="5"/>
  <c r="E2097" i="5"/>
  <c r="D2097" i="5"/>
  <c r="C2097" i="5"/>
  <c r="E2101" i="5"/>
  <c r="D2101" i="5"/>
  <c r="C2101" i="5"/>
  <c r="E2105" i="5"/>
  <c r="D2105" i="5"/>
  <c r="C2105" i="5"/>
  <c r="E2108" i="5"/>
  <c r="D2108" i="5"/>
  <c r="C2108" i="5"/>
  <c r="E2112" i="5"/>
  <c r="D2112" i="5"/>
  <c r="C2112" i="5"/>
  <c r="E2116" i="5"/>
  <c r="D2116" i="5"/>
  <c r="C2116" i="5"/>
  <c r="E2123" i="5"/>
  <c r="D2123" i="5"/>
  <c r="C2123" i="5"/>
  <c r="E2127" i="5"/>
  <c r="D2127" i="5"/>
  <c r="C2127" i="5"/>
  <c r="E2131" i="5"/>
  <c r="D2131" i="5"/>
  <c r="C2131" i="5"/>
  <c r="E2135" i="5"/>
  <c r="D2135" i="5"/>
  <c r="C2135" i="5"/>
  <c r="E2143" i="5"/>
  <c r="D2143" i="5"/>
  <c r="C2143" i="5"/>
  <c r="E2150" i="5"/>
  <c r="C2150" i="5"/>
  <c r="D2150" i="5"/>
  <c r="E2154" i="5"/>
  <c r="D2154" i="5"/>
  <c r="C2154" i="5"/>
  <c r="E2158" i="5"/>
  <c r="D2158" i="5"/>
  <c r="C2158" i="5"/>
  <c r="E2161" i="5"/>
  <c r="D2161" i="5"/>
  <c r="C2161" i="5"/>
  <c r="E2165" i="5"/>
  <c r="D2165" i="5"/>
  <c r="C2165" i="5"/>
  <c r="E2169" i="5"/>
  <c r="D2169" i="5"/>
  <c r="C2169" i="5"/>
  <c r="E2175" i="5"/>
  <c r="D2175" i="5"/>
  <c r="C2175" i="5"/>
  <c r="E2179" i="5"/>
  <c r="D2179" i="5"/>
  <c r="C2179" i="5"/>
  <c r="E2182" i="5"/>
  <c r="D2182" i="5"/>
  <c r="C2182" i="5"/>
  <c r="E2186" i="5"/>
  <c r="D2186" i="5"/>
  <c r="C2186" i="5"/>
  <c r="E2190" i="5"/>
  <c r="D2190" i="5"/>
  <c r="C2190" i="5"/>
  <c r="E2194" i="5"/>
  <c r="D2194" i="5"/>
  <c r="C2194" i="5"/>
  <c r="E2198" i="5"/>
  <c r="D2198" i="5"/>
  <c r="C2198" i="5"/>
  <c r="E2202" i="5"/>
  <c r="D2202" i="5"/>
  <c r="C2202" i="5"/>
  <c r="E2205" i="5"/>
  <c r="D2205" i="5"/>
  <c r="C2205" i="5"/>
  <c r="E2212" i="5"/>
  <c r="D2212" i="5"/>
  <c r="C2212" i="5"/>
  <c r="E2216" i="5"/>
  <c r="D2216" i="5"/>
  <c r="C2216" i="5"/>
  <c r="E2223" i="5"/>
  <c r="D2223" i="5"/>
  <c r="C2223" i="5"/>
  <c r="E2226" i="5"/>
  <c r="D2226" i="5"/>
  <c r="C2226" i="5"/>
  <c r="E2230" i="5"/>
  <c r="D2230" i="5"/>
  <c r="C2230" i="5"/>
  <c r="E2234" i="5"/>
  <c r="D2234" i="5"/>
  <c r="C2234" i="5"/>
  <c r="E2238" i="5"/>
  <c r="D2238" i="5"/>
  <c r="C2238" i="5"/>
  <c r="E2248" i="5"/>
  <c r="D2248" i="5"/>
  <c r="C2248" i="5"/>
  <c r="E2251" i="5"/>
  <c r="D2251" i="5"/>
  <c r="C2251" i="5"/>
  <c r="E2255" i="5"/>
  <c r="D2255" i="5"/>
  <c r="C2255" i="5"/>
  <c r="E2262" i="5"/>
  <c r="D2262" i="5"/>
  <c r="C2262" i="5"/>
  <c r="E2272" i="5"/>
  <c r="D2272" i="5"/>
  <c r="C2272" i="5"/>
  <c r="E2276" i="5"/>
  <c r="D2276" i="5"/>
  <c r="C2276" i="5"/>
  <c r="E2280" i="5"/>
  <c r="D2280" i="5"/>
  <c r="C2280" i="5"/>
  <c r="E2284" i="5"/>
  <c r="D2284" i="5"/>
  <c r="C2284" i="5"/>
  <c r="E2292" i="5"/>
  <c r="D2292" i="5"/>
  <c r="C2292" i="5"/>
  <c r="E2296" i="5"/>
  <c r="D2296" i="5"/>
  <c r="C2296" i="5"/>
  <c r="E2300" i="5"/>
  <c r="D2300" i="5"/>
  <c r="C2300" i="5"/>
  <c r="E2304" i="5"/>
  <c r="D2304" i="5"/>
  <c r="C2304" i="5"/>
  <c r="E2308" i="5"/>
  <c r="D2308" i="5"/>
  <c r="C2308" i="5"/>
  <c r="E2312" i="5"/>
  <c r="D2312" i="5"/>
  <c r="C2312" i="5"/>
  <c r="E2315" i="5"/>
  <c r="D2315" i="5"/>
  <c r="C2315" i="5"/>
  <c r="E2319" i="5"/>
  <c r="D2319" i="5"/>
  <c r="C2319" i="5"/>
  <c r="E2327" i="5"/>
  <c r="D2327" i="5"/>
  <c r="C2327" i="5"/>
  <c r="E2334" i="5"/>
  <c r="D2334" i="5"/>
  <c r="C2334" i="5"/>
  <c r="E2338" i="5"/>
  <c r="D2338" i="5"/>
  <c r="C2338" i="5"/>
  <c r="E2342" i="5"/>
  <c r="D2342" i="5"/>
  <c r="C2342" i="5"/>
  <c r="E2346" i="5"/>
  <c r="D2346" i="5"/>
  <c r="C2346" i="5"/>
  <c r="E2353" i="5"/>
  <c r="D2353" i="5"/>
  <c r="C2353" i="5"/>
  <c r="E2357" i="5"/>
  <c r="D2357" i="5"/>
  <c r="C2357" i="5"/>
  <c r="E2361" i="5"/>
  <c r="D2361" i="5"/>
  <c r="C2361" i="5"/>
  <c r="E2365" i="5"/>
  <c r="D2365" i="5"/>
  <c r="C2365" i="5"/>
  <c r="E2369" i="5"/>
  <c r="D2369" i="5"/>
  <c r="C2369" i="5"/>
  <c r="E2373" i="5"/>
  <c r="D2373" i="5"/>
  <c r="C2373" i="5"/>
  <c r="E2377" i="5"/>
  <c r="D2377" i="5"/>
  <c r="C2377" i="5"/>
  <c r="E2381" i="5"/>
  <c r="D2381" i="5"/>
  <c r="C2381" i="5"/>
  <c r="E2385" i="5"/>
  <c r="D2385" i="5"/>
  <c r="C2385" i="5"/>
  <c r="E2389" i="5"/>
  <c r="D2389" i="5"/>
  <c r="C2389" i="5"/>
  <c r="E2396" i="5"/>
  <c r="D2396" i="5"/>
  <c r="C2396" i="5"/>
  <c r="E2399" i="5"/>
  <c r="D2399" i="5"/>
  <c r="C2399" i="5"/>
  <c r="E2403" i="5"/>
  <c r="D2403" i="5"/>
  <c r="C2403" i="5"/>
  <c r="E2406" i="5"/>
  <c r="C2406" i="5"/>
  <c r="D2406" i="5"/>
  <c r="E2416" i="5"/>
  <c r="D2416" i="5"/>
  <c r="C2416" i="5"/>
  <c r="E2419" i="5"/>
  <c r="D2419" i="5"/>
  <c r="C2419" i="5"/>
  <c r="E2422" i="5"/>
  <c r="D2422" i="5"/>
  <c r="C2422" i="5"/>
  <c r="E2426" i="5"/>
  <c r="D2426" i="5"/>
  <c r="C2426" i="5"/>
  <c r="E2430" i="5"/>
  <c r="D2430" i="5"/>
  <c r="C2430" i="5"/>
  <c r="E2434" i="5"/>
  <c r="D2434" i="5"/>
  <c r="C2434" i="5"/>
  <c r="E2438" i="5"/>
  <c r="C2438" i="5"/>
  <c r="D2438" i="5"/>
  <c r="E2441" i="5"/>
  <c r="D2441" i="5"/>
  <c r="C2441" i="5"/>
  <c r="E2445" i="5"/>
  <c r="D2445" i="5"/>
  <c r="C2445" i="5"/>
  <c r="E2449" i="5"/>
  <c r="D2449" i="5"/>
  <c r="C2449" i="5"/>
  <c r="E2453" i="5"/>
  <c r="D2453" i="5"/>
  <c r="C2453" i="5"/>
  <c r="E2457" i="5"/>
  <c r="D2457" i="5"/>
  <c r="C2457" i="5"/>
  <c r="E2461" i="5"/>
  <c r="D2461" i="5"/>
  <c r="C2461" i="5"/>
  <c r="D2464" i="5"/>
  <c r="E2464" i="5"/>
  <c r="C2464" i="5"/>
  <c r="E2467" i="5"/>
  <c r="D2467" i="5"/>
  <c r="C2467" i="5"/>
  <c r="E2471" i="5"/>
  <c r="D2471" i="5"/>
  <c r="C2471" i="5"/>
  <c r="E2474" i="5"/>
  <c r="D2474" i="5"/>
  <c r="C2474" i="5"/>
  <c r="E2478" i="5"/>
  <c r="D2478" i="5"/>
  <c r="C2478" i="5"/>
  <c r="E2482" i="5"/>
  <c r="D2482" i="5"/>
  <c r="C2482" i="5"/>
  <c r="E2498" i="5"/>
  <c r="D2498" i="5"/>
  <c r="C2498" i="5"/>
  <c r="E2502" i="5"/>
  <c r="C2502" i="5"/>
  <c r="D2502" i="5"/>
  <c r="E2506" i="5"/>
  <c r="D2506" i="5"/>
  <c r="C2506" i="5"/>
  <c r="E2513" i="5"/>
  <c r="D2513" i="5"/>
  <c r="C2513" i="5"/>
  <c r="E2517" i="5"/>
  <c r="D2517" i="5"/>
  <c r="C2517" i="5"/>
  <c r="E2521" i="5"/>
  <c r="D2521" i="5"/>
  <c r="C2521" i="5"/>
  <c r="E2525" i="5"/>
  <c r="D2525" i="5"/>
  <c r="C2525" i="5"/>
  <c r="E2529" i="5"/>
  <c r="D2529" i="5"/>
  <c r="C2529" i="5"/>
  <c r="E2533" i="5"/>
  <c r="D2533" i="5"/>
  <c r="C2533" i="5"/>
  <c r="E2537" i="5"/>
  <c r="D2537" i="5"/>
  <c r="C2537" i="5"/>
  <c r="E2541" i="5"/>
  <c r="D2541" i="5"/>
  <c r="C2541" i="5"/>
  <c r="E2545" i="5"/>
  <c r="D2545" i="5"/>
  <c r="C2545" i="5"/>
  <c r="E2549" i="5"/>
  <c r="D2549" i="5"/>
  <c r="C2549" i="5"/>
  <c r="E2553" i="5"/>
  <c r="D2553" i="5"/>
  <c r="C2553" i="5"/>
  <c r="E2557" i="5"/>
  <c r="D2557" i="5"/>
  <c r="C2557" i="5"/>
  <c r="E2561" i="5"/>
  <c r="D2561" i="5"/>
  <c r="C2561" i="5"/>
  <c r="E2565" i="5"/>
  <c r="D2565" i="5"/>
  <c r="C2565" i="5"/>
  <c r="E2569" i="5"/>
  <c r="D2569" i="5"/>
  <c r="C2569" i="5"/>
  <c r="E2576" i="5"/>
  <c r="D2576" i="5"/>
  <c r="C2576" i="5"/>
  <c r="E2590" i="5"/>
  <c r="D2590" i="5"/>
  <c r="C2590" i="5"/>
  <c r="E2593" i="5"/>
  <c r="D2593" i="5"/>
  <c r="C2593" i="5"/>
  <c r="E2597" i="5"/>
  <c r="D2597" i="5"/>
  <c r="C2597" i="5"/>
  <c r="E2601" i="5"/>
  <c r="D2601" i="5"/>
  <c r="C2601" i="5"/>
  <c r="E2606" i="5"/>
  <c r="D2606" i="5"/>
  <c r="C2606" i="5"/>
  <c r="E2610" i="5"/>
  <c r="D2610" i="5"/>
  <c r="C2610" i="5"/>
  <c r="E2614" i="5"/>
  <c r="D2614" i="5"/>
  <c r="C2614" i="5"/>
  <c r="E2621" i="5"/>
  <c r="D2621" i="5"/>
  <c r="C2621" i="5"/>
  <c r="E2625" i="5"/>
  <c r="D2625" i="5"/>
  <c r="C2625" i="5"/>
  <c r="E2629" i="5"/>
  <c r="D2629" i="5"/>
  <c r="C2629" i="5"/>
  <c r="E2632" i="5"/>
  <c r="D2632" i="5"/>
  <c r="C2632" i="5"/>
  <c r="E2636" i="5"/>
  <c r="D2636" i="5"/>
  <c r="C2636" i="5"/>
  <c r="E2640" i="5"/>
  <c r="D2640" i="5"/>
  <c r="C2640" i="5"/>
  <c r="E2647" i="5"/>
  <c r="D2647" i="5"/>
  <c r="C2647" i="5"/>
  <c r="E2651" i="5"/>
  <c r="D2651" i="5"/>
  <c r="C2651" i="5"/>
  <c r="E2655" i="5"/>
  <c r="D2655" i="5"/>
  <c r="C2655" i="5"/>
  <c r="E2658" i="5"/>
  <c r="D2658" i="5"/>
  <c r="C2658" i="5"/>
  <c r="E2662" i="5"/>
  <c r="D2662" i="5"/>
  <c r="C2662" i="5"/>
  <c r="E2666" i="5"/>
  <c r="D2666" i="5"/>
  <c r="C2666" i="5"/>
  <c r="E2673" i="5"/>
  <c r="D2673" i="5"/>
  <c r="C2673" i="5"/>
  <c r="E2677" i="5"/>
  <c r="D2677" i="5"/>
  <c r="C2677" i="5"/>
  <c r="E2681" i="5"/>
  <c r="D2681" i="5"/>
  <c r="C2681" i="5"/>
  <c r="E2684" i="5"/>
  <c r="D2684" i="5"/>
  <c r="C2684" i="5"/>
  <c r="E2688" i="5"/>
  <c r="D2688" i="5"/>
  <c r="C2688" i="5"/>
  <c r="E2692" i="5"/>
  <c r="D2692" i="5"/>
  <c r="C2692" i="5"/>
  <c r="E2699" i="5"/>
  <c r="D2699" i="5"/>
  <c r="C2699" i="5"/>
  <c r="E2703" i="5"/>
  <c r="D2703" i="5"/>
  <c r="C2703" i="5"/>
  <c r="E2707" i="5"/>
  <c r="D2707" i="5"/>
  <c r="C2707" i="5"/>
  <c r="E2710" i="5"/>
  <c r="D2710" i="5"/>
  <c r="C2710" i="5"/>
  <c r="E2714" i="5"/>
  <c r="D2714" i="5"/>
  <c r="C2714" i="5"/>
  <c r="E2718" i="5"/>
  <c r="D2718" i="5"/>
  <c r="C2718" i="5"/>
  <c r="E2725" i="5"/>
  <c r="D2725" i="5"/>
  <c r="C2725" i="5"/>
  <c r="E2729" i="5"/>
  <c r="D2729" i="5"/>
  <c r="C2729" i="5"/>
  <c r="E2733" i="5"/>
  <c r="D2733" i="5"/>
  <c r="C2733" i="5"/>
  <c r="E2736" i="5"/>
  <c r="D2736" i="5"/>
  <c r="C2736" i="5"/>
  <c r="E2740" i="5"/>
  <c r="D2740" i="5"/>
  <c r="C2740" i="5"/>
  <c r="E2744" i="5"/>
  <c r="D2744" i="5"/>
  <c r="C2744" i="5"/>
  <c r="E2751" i="5"/>
  <c r="D2751" i="5"/>
  <c r="C2751" i="5"/>
  <c r="E2755" i="5"/>
  <c r="D2755" i="5"/>
  <c r="C2755" i="5"/>
  <c r="E2759" i="5"/>
  <c r="D2759" i="5"/>
  <c r="C2759" i="5"/>
  <c r="E2762" i="5"/>
  <c r="D2762" i="5"/>
  <c r="C2762" i="5"/>
  <c r="E2766" i="5"/>
  <c r="D2766" i="5"/>
  <c r="C2766" i="5"/>
  <c r="E2770" i="5"/>
  <c r="C2770" i="5"/>
  <c r="D2770" i="5"/>
  <c r="E2778" i="5"/>
  <c r="D2778" i="5"/>
  <c r="C2778" i="5"/>
  <c r="E2782" i="5"/>
  <c r="D2782" i="5"/>
  <c r="C2782" i="5"/>
  <c r="E2789" i="5"/>
  <c r="D2789" i="5"/>
  <c r="C2789" i="5"/>
  <c r="E2793" i="5"/>
  <c r="D2793" i="5"/>
  <c r="C2793" i="5"/>
  <c r="E2797" i="5"/>
  <c r="D2797" i="5"/>
  <c r="C2797" i="5"/>
  <c r="E2800" i="5"/>
  <c r="D2800" i="5"/>
  <c r="C2800" i="5"/>
  <c r="E2804" i="5"/>
  <c r="D2804" i="5"/>
  <c r="C2804" i="5"/>
  <c r="E2808" i="5"/>
  <c r="D2808" i="5"/>
  <c r="C2808" i="5"/>
  <c r="E2811" i="5"/>
  <c r="D2811" i="5"/>
  <c r="C2811" i="5"/>
  <c r="E2815" i="5"/>
  <c r="D2815" i="5"/>
  <c r="C2815" i="5"/>
  <c r="E2819" i="5"/>
  <c r="D2819" i="5"/>
  <c r="C2819" i="5"/>
  <c r="E2826" i="5"/>
  <c r="D2826" i="5"/>
  <c r="C2826" i="5"/>
  <c r="E2830" i="5"/>
  <c r="D2830" i="5"/>
  <c r="C2830" i="5"/>
  <c r="E2837" i="5"/>
  <c r="D2837" i="5"/>
  <c r="C2837" i="5"/>
  <c r="E2841" i="5"/>
  <c r="D2841" i="5"/>
  <c r="C2841" i="5"/>
  <c r="E2845" i="5"/>
  <c r="D2845" i="5"/>
  <c r="C2845" i="5"/>
  <c r="E2848" i="5"/>
  <c r="D2848" i="5"/>
  <c r="C2848" i="5"/>
  <c r="E2852" i="5"/>
  <c r="D2852" i="5"/>
  <c r="C2852" i="5"/>
  <c r="E2856" i="5"/>
  <c r="D2856" i="5"/>
  <c r="C2856" i="5"/>
  <c r="E2859" i="5"/>
  <c r="D2859" i="5"/>
  <c r="C2859" i="5"/>
  <c r="E2863" i="5"/>
  <c r="D2863" i="5"/>
  <c r="C2863" i="5"/>
  <c r="E2867" i="5"/>
  <c r="D2867" i="5"/>
  <c r="C2867" i="5"/>
  <c r="E2874" i="5"/>
  <c r="D2874" i="5"/>
  <c r="C2874" i="5"/>
  <c r="E2878" i="5"/>
  <c r="D2878" i="5"/>
  <c r="C2878" i="5"/>
  <c r="E2885" i="5"/>
  <c r="D2885" i="5"/>
  <c r="C2885" i="5"/>
  <c r="E2889" i="5"/>
  <c r="D2889" i="5"/>
  <c r="C2889" i="5"/>
  <c r="E2893" i="5"/>
  <c r="D2893" i="5"/>
  <c r="C2893" i="5"/>
  <c r="E2896" i="5"/>
  <c r="D2896" i="5"/>
  <c r="C2896" i="5"/>
  <c r="E2900" i="5"/>
  <c r="D2900" i="5"/>
  <c r="C2900" i="5"/>
  <c r="E2904" i="5"/>
  <c r="D2904" i="5"/>
  <c r="C2904" i="5"/>
  <c r="E2907" i="5"/>
  <c r="D2907" i="5"/>
  <c r="C2907" i="5"/>
  <c r="E2911" i="5"/>
  <c r="D2911" i="5"/>
  <c r="C2911" i="5"/>
  <c r="E2915" i="5"/>
  <c r="D2915" i="5"/>
  <c r="C2915" i="5"/>
  <c r="E2922" i="5"/>
  <c r="D2922" i="5"/>
  <c r="C2922" i="5"/>
  <c r="E2926" i="5"/>
  <c r="D2926" i="5"/>
  <c r="C2926" i="5"/>
  <c r="E2933" i="5"/>
  <c r="D2933" i="5"/>
  <c r="C2933" i="5"/>
  <c r="E2937" i="5"/>
  <c r="D2937" i="5"/>
  <c r="C2937" i="5"/>
  <c r="E2941" i="5"/>
  <c r="D2941" i="5"/>
  <c r="C2941" i="5"/>
  <c r="E2944" i="5"/>
  <c r="D2944" i="5"/>
  <c r="C2944" i="5"/>
  <c r="E2948" i="5"/>
  <c r="D2948" i="5"/>
  <c r="C2948" i="5"/>
  <c r="E2952" i="5"/>
  <c r="D2952" i="5"/>
  <c r="C2952" i="5"/>
  <c r="E2955" i="5"/>
  <c r="D2955" i="5"/>
  <c r="C2955" i="5"/>
  <c r="E2959" i="5"/>
  <c r="D2959" i="5"/>
  <c r="C2959" i="5"/>
  <c r="E2963" i="5"/>
  <c r="D2963" i="5"/>
  <c r="C2963" i="5"/>
  <c r="E2970" i="5"/>
  <c r="D2970" i="5"/>
  <c r="C2970" i="5"/>
  <c r="E2974" i="5"/>
  <c r="D2974" i="5"/>
  <c r="C2974" i="5"/>
  <c r="E2981" i="5"/>
  <c r="D2981" i="5"/>
  <c r="C2981" i="5"/>
  <c r="E2985" i="5"/>
  <c r="D2985" i="5"/>
  <c r="C2985" i="5"/>
  <c r="E2989" i="5"/>
  <c r="D2989" i="5"/>
  <c r="C2989" i="5"/>
  <c r="E2992" i="5"/>
  <c r="D2992" i="5"/>
  <c r="C2992" i="5"/>
  <c r="E2996" i="5"/>
  <c r="D2996" i="5"/>
  <c r="C2996" i="5"/>
  <c r="E3000" i="5"/>
  <c r="D3000" i="5"/>
  <c r="C3000" i="5"/>
  <c r="E3003" i="5"/>
  <c r="D3003" i="5"/>
  <c r="C3003" i="5"/>
  <c r="E3007" i="5"/>
  <c r="D3007" i="5"/>
  <c r="C3007" i="5"/>
  <c r="E3011" i="5"/>
  <c r="D3011" i="5"/>
  <c r="C3011" i="5"/>
  <c r="E3018" i="5"/>
  <c r="D3018" i="5"/>
  <c r="C3018" i="5"/>
  <c r="E3022" i="5"/>
  <c r="D3022" i="5"/>
  <c r="C3022" i="5"/>
  <c r="E3029" i="5"/>
  <c r="D3029" i="5"/>
  <c r="C3029" i="5"/>
  <c r="E3033" i="5"/>
  <c r="D3033" i="5"/>
  <c r="C3033" i="5"/>
  <c r="E3037" i="5"/>
  <c r="D3037" i="5"/>
  <c r="C3037" i="5"/>
  <c r="D3040" i="5"/>
  <c r="E3040" i="5"/>
  <c r="C3040" i="5"/>
  <c r="E3044" i="5"/>
  <c r="D3044" i="5"/>
  <c r="C3044" i="5"/>
  <c r="E3048" i="5"/>
  <c r="D3048" i="5"/>
  <c r="C3048" i="5"/>
  <c r="E3051" i="5"/>
  <c r="D3051" i="5"/>
  <c r="C3051" i="5"/>
  <c r="E3055" i="5"/>
  <c r="D3055" i="5"/>
  <c r="C3055" i="5"/>
  <c r="E3059" i="5"/>
  <c r="D3059" i="5"/>
  <c r="C3059" i="5"/>
  <c r="E3066" i="5"/>
  <c r="D3066" i="5"/>
  <c r="C3066" i="5"/>
  <c r="E3070" i="5"/>
  <c r="D3070" i="5"/>
  <c r="C3070" i="5"/>
  <c r="E3077" i="5"/>
  <c r="D3077" i="5"/>
  <c r="C3077" i="5"/>
  <c r="E3081" i="5"/>
  <c r="D3081" i="5"/>
  <c r="C3081" i="5"/>
  <c r="E3085" i="5"/>
  <c r="D3085" i="5"/>
  <c r="C3085" i="5"/>
  <c r="E3088" i="5"/>
  <c r="D3088" i="5"/>
  <c r="C3088" i="5"/>
  <c r="E3092" i="5"/>
  <c r="D3092" i="5"/>
  <c r="C3092" i="5"/>
  <c r="E3096" i="5"/>
  <c r="D3096" i="5"/>
  <c r="C3096" i="5"/>
  <c r="E3099" i="5"/>
  <c r="D3099" i="5"/>
  <c r="C3099" i="5"/>
  <c r="E3103" i="5"/>
  <c r="D3103" i="5"/>
  <c r="C3103" i="5"/>
  <c r="E3107" i="5"/>
  <c r="D3107" i="5"/>
  <c r="C3107" i="5"/>
  <c r="E3114" i="5"/>
  <c r="D3114" i="5"/>
  <c r="C3114" i="5"/>
  <c r="E3118" i="5"/>
  <c r="D3118" i="5"/>
  <c r="C3118" i="5"/>
  <c r="E3125" i="5"/>
  <c r="D3125" i="5"/>
  <c r="C3125" i="5"/>
  <c r="E3129" i="5"/>
  <c r="D3129" i="5"/>
  <c r="C3129" i="5"/>
  <c r="E3133" i="5"/>
  <c r="D3133" i="5"/>
  <c r="C3133" i="5"/>
  <c r="E3136" i="5"/>
  <c r="D3136" i="5"/>
  <c r="C3136" i="5"/>
  <c r="E3140" i="5"/>
  <c r="D3140" i="5"/>
  <c r="C3140" i="5"/>
  <c r="E3144" i="5"/>
  <c r="D3144" i="5"/>
  <c r="C3144" i="5"/>
  <c r="E3147" i="5"/>
  <c r="D3147" i="5"/>
  <c r="C3147" i="5"/>
  <c r="E3151" i="5"/>
  <c r="D3151" i="5"/>
  <c r="C3151" i="5"/>
  <c r="E3155" i="5"/>
  <c r="D3155" i="5"/>
  <c r="C3155" i="5"/>
  <c r="E3162" i="5"/>
  <c r="D3162" i="5"/>
  <c r="C3162" i="5"/>
  <c r="E3166" i="5"/>
  <c r="D3166" i="5"/>
  <c r="C3166" i="5"/>
  <c r="E3173" i="5"/>
  <c r="D3173" i="5"/>
  <c r="C3173" i="5"/>
  <c r="E3177" i="5"/>
  <c r="D3177" i="5"/>
  <c r="C3177" i="5"/>
  <c r="E3181" i="5"/>
  <c r="D3181" i="5"/>
  <c r="C3181" i="5"/>
  <c r="E3184" i="5"/>
  <c r="D3184" i="5"/>
  <c r="C3184" i="5"/>
  <c r="E3188" i="5"/>
  <c r="D3188" i="5"/>
  <c r="C3188" i="5"/>
  <c r="E3192" i="5"/>
  <c r="D3192" i="5"/>
  <c r="C3192" i="5"/>
  <c r="E3195" i="5"/>
  <c r="D3195" i="5"/>
  <c r="C3195" i="5"/>
  <c r="E3199" i="5"/>
  <c r="D3199" i="5"/>
  <c r="C3199" i="5"/>
  <c r="E3203" i="5"/>
  <c r="D3203" i="5"/>
  <c r="C3203" i="5"/>
  <c r="E3211" i="5"/>
  <c r="D3211" i="5"/>
  <c r="C3211" i="5"/>
  <c r="E3215" i="5"/>
  <c r="D3215" i="5"/>
  <c r="C3215" i="5"/>
  <c r="E3222" i="5"/>
  <c r="D3222" i="5"/>
  <c r="C3222" i="5"/>
  <c r="E3226" i="5"/>
  <c r="D3226" i="5"/>
  <c r="C3226" i="5"/>
  <c r="E3230" i="5"/>
  <c r="D3230" i="5"/>
  <c r="C3230" i="5"/>
  <c r="E3233" i="5"/>
  <c r="D3233" i="5"/>
  <c r="C3233" i="5"/>
  <c r="E3237" i="5"/>
  <c r="D3237" i="5"/>
  <c r="C3237" i="5"/>
  <c r="E3241" i="5"/>
  <c r="D3241" i="5"/>
  <c r="C3241" i="5"/>
  <c r="E3244" i="5"/>
  <c r="D3244" i="5"/>
  <c r="C3244" i="5"/>
  <c r="E3248" i="5"/>
  <c r="D3248" i="5"/>
  <c r="C3248" i="5"/>
  <c r="E3252" i="5"/>
  <c r="D3252" i="5"/>
  <c r="C3252" i="5"/>
  <c r="E3259" i="5"/>
  <c r="D3259" i="5"/>
  <c r="C3259" i="5"/>
  <c r="E3263" i="5"/>
  <c r="D3263" i="5"/>
  <c r="C3263" i="5"/>
  <c r="E3271" i="5"/>
  <c r="D3271" i="5"/>
  <c r="C3271" i="5"/>
  <c r="E3275" i="5"/>
  <c r="D3275" i="5"/>
  <c r="C3275" i="5"/>
  <c r="E3279" i="5"/>
  <c r="D3279" i="5"/>
  <c r="C3279" i="5"/>
  <c r="E3282" i="5"/>
  <c r="C3282" i="5"/>
  <c r="D3282" i="5"/>
  <c r="E3286" i="5"/>
  <c r="D3286" i="5"/>
  <c r="C3286" i="5"/>
  <c r="E3290" i="5"/>
  <c r="D3290" i="5"/>
  <c r="C3290" i="5"/>
  <c r="E3293" i="5"/>
  <c r="D3293" i="5"/>
  <c r="C3293" i="5"/>
  <c r="E3297" i="5"/>
  <c r="D3297" i="5"/>
  <c r="C3297" i="5"/>
  <c r="E3301" i="5"/>
  <c r="D3301" i="5"/>
  <c r="C3301" i="5"/>
  <c r="E3308" i="5"/>
  <c r="D3308" i="5"/>
  <c r="C3308" i="5"/>
  <c r="E3312" i="5"/>
  <c r="D3312" i="5"/>
  <c r="C3312" i="5"/>
  <c r="E3319" i="5"/>
  <c r="D3319" i="5"/>
  <c r="C3319" i="5"/>
  <c r="E3323" i="5"/>
  <c r="D3323" i="5"/>
  <c r="C3323" i="5"/>
  <c r="E3327" i="5"/>
  <c r="D3327" i="5"/>
  <c r="C3327" i="5"/>
  <c r="E3330" i="5"/>
  <c r="D3330" i="5"/>
  <c r="C3330" i="5"/>
  <c r="E3334" i="5"/>
  <c r="C3334" i="5"/>
  <c r="D3334" i="5"/>
  <c r="E3338" i="5"/>
  <c r="D3338" i="5"/>
  <c r="C3338" i="5"/>
  <c r="E3342" i="5"/>
  <c r="D3342" i="5"/>
  <c r="C3342" i="5"/>
  <c r="E3346" i="5"/>
  <c r="C3346" i="5"/>
  <c r="D3346" i="5"/>
  <c r="E3350" i="5"/>
  <c r="D3350" i="5"/>
  <c r="C3350" i="5"/>
  <c r="E3357" i="5"/>
  <c r="D3357" i="5"/>
  <c r="C3357" i="5"/>
  <c r="E3361" i="5"/>
  <c r="D3361" i="5"/>
  <c r="C3361" i="5"/>
  <c r="E3365" i="5"/>
  <c r="D3365" i="5"/>
  <c r="C3365" i="5"/>
  <c r="E3368" i="5"/>
  <c r="D3368" i="5"/>
  <c r="C3368" i="5"/>
  <c r="E3372" i="5"/>
  <c r="D3372" i="5"/>
  <c r="C3372" i="5"/>
  <c r="E3376" i="5"/>
  <c r="D3376" i="5"/>
  <c r="C3376" i="5"/>
  <c r="E3380" i="5"/>
  <c r="D3380" i="5"/>
  <c r="C3380" i="5"/>
  <c r="E3384" i="5"/>
  <c r="D3384" i="5"/>
  <c r="C3384" i="5"/>
  <c r="E3388" i="5"/>
  <c r="D3388" i="5"/>
  <c r="C3388" i="5"/>
  <c r="E3395" i="5"/>
  <c r="D3395" i="5"/>
  <c r="C3395" i="5"/>
  <c r="E3399" i="5"/>
  <c r="D3399" i="5"/>
  <c r="C3399" i="5"/>
  <c r="E3406" i="5"/>
  <c r="D3406" i="5"/>
  <c r="C3406" i="5"/>
  <c r="E3410" i="5"/>
  <c r="D3410" i="5"/>
  <c r="C3410" i="5"/>
  <c r="E3414" i="5"/>
  <c r="D3414" i="5"/>
  <c r="C3414" i="5"/>
  <c r="E3417" i="5"/>
  <c r="D3417" i="5"/>
  <c r="C3417" i="5"/>
  <c r="E3421" i="5"/>
  <c r="D3421" i="5"/>
  <c r="C3421" i="5"/>
  <c r="E3425" i="5"/>
  <c r="D3425" i="5"/>
  <c r="C3425" i="5"/>
  <c r="E3428" i="5"/>
  <c r="D3428" i="5"/>
  <c r="C3428" i="5"/>
  <c r="E3432" i="5"/>
  <c r="D3432" i="5"/>
  <c r="C3432" i="5"/>
  <c r="E3436" i="5"/>
  <c r="D3436" i="5"/>
  <c r="C3436" i="5"/>
  <c r="E3443" i="5"/>
  <c r="D3443" i="5"/>
  <c r="C3443" i="5"/>
  <c r="E3447" i="5"/>
  <c r="D3447" i="5"/>
  <c r="C3447" i="5"/>
  <c r="E3454" i="5"/>
  <c r="D3454" i="5"/>
  <c r="C3454" i="5"/>
  <c r="E3458" i="5"/>
  <c r="D3458" i="5"/>
  <c r="C3458" i="5"/>
  <c r="E3462" i="5"/>
  <c r="C3462" i="5"/>
  <c r="D3462" i="5"/>
  <c r="E3465" i="5"/>
  <c r="D3465" i="5"/>
  <c r="C3465" i="5"/>
  <c r="E3469" i="5"/>
  <c r="D3469" i="5"/>
  <c r="C3469" i="5"/>
  <c r="E3473" i="5"/>
  <c r="D3473" i="5"/>
  <c r="C3473" i="5"/>
  <c r="E3476" i="5"/>
  <c r="D3476" i="5"/>
  <c r="C3476" i="5"/>
  <c r="E3480" i="5"/>
  <c r="D3480" i="5"/>
  <c r="C3480" i="5"/>
  <c r="E3484" i="5"/>
  <c r="D3484" i="5"/>
  <c r="C3484" i="5"/>
  <c r="E3491" i="5"/>
  <c r="D3491" i="5"/>
  <c r="C3491" i="5"/>
  <c r="E3495" i="5"/>
  <c r="D3495" i="5"/>
  <c r="C3495" i="5"/>
  <c r="E3517" i="5"/>
  <c r="D3517" i="5"/>
  <c r="C3517" i="5"/>
  <c r="E3536" i="5"/>
  <c r="D3536" i="5"/>
  <c r="C3536" i="5"/>
  <c r="E3558" i="5"/>
  <c r="D3558" i="5"/>
  <c r="C3558" i="5"/>
  <c r="E3586" i="5"/>
  <c r="C3586" i="5"/>
  <c r="D3586" i="5"/>
  <c r="E3604" i="5"/>
  <c r="D3604" i="5"/>
  <c r="C3604" i="5"/>
  <c r="E3648" i="5"/>
  <c r="D3648" i="5"/>
  <c r="C3648" i="5"/>
  <c r="E3670" i="5"/>
  <c r="C3670" i="5"/>
  <c r="D3670" i="5"/>
  <c r="E3694" i="5"/>
  <c r="D3694" i="5"/>
  <c r="C3694" i="5"/>
  <c r="E3708" i="5"/>
  <c r="D3708" i="5"/>
  <c r="C3708" i="5"/>
  <c r="D9" i="5"/>
  <c r="E9" i="5"/>
  <c r="C9" i="5"/>
  <c r="D8" i="5"/>
  <c r="E8" i="5"/>
  <c r="C8" i="5"/>
  <c r="E399" i="4"/>
  <c r="E1410" i="4"/>
  <c r="E1505" i="4"/>
  <c r="E2463" i="4"/>
  <c r="F3513" i="5"/>
  <c r="F3523" i="5"/>
  <c r="F3601" i="5"/>
  <c r="F3629" i="5"/>
  <c r="F3637" i="5"/>
  <c r="F3646" i="5"/>
  <c r="F3525" i="5"/>
  <c r="F3639" i="5"/>
  <c r="F3515" i="5"/>
  <c r="F3631" i="5"/>
  <c r="E300" i="4"/>
  <c r="E397" i="4"/>
  <c r="E401" i="4"/>
  <c r="D1336" i="4"/>
  <c r="F3538" i="5"/>
  <c r="F3603" i="5"/>
  <c r="F3649" i="5"/>
  <c r="C3" i="4"/>
  <c r="F3516" i="5"/>
  <c r="F3596" i="5"/>
  <c r="F3624" i="5"/>
  <c r="F3632" i="5"/>
  <c r="F3640" i="5"/>
  <c r="F3650" i="5"/>
  <c r="F3656" i="5"/>
  <c r="F3716" i="5"/>
  <c r="F3511" i="5"/>
  <c r="F3521" i="5"/>
  <c r="F3599" i="5"/>
  <c r="F3627" i="5"/>
  <c r="F3635" i="5"/>
  <c r="F3644" i="5"/>
  <c r="F3514" i="5"/>
  <c r="F3524" i="5"/>
  <c r="F3602" i="5"/>
  <c r="F3630" i="5"/>
  <c r="F3638" i="5"/>
  <c r="F3647" i="5"/>
  <c r="F3509" i="5"/>
  <c r="F3518" i="5"/>
  <c r="F3597" i="5"/>
  <c r="F3625" i="5"/>
  <c r="F3633" i="5"/>
  <c r="F3641" i="5"/>
  <c r="E979" i="4"/>
  <c r="F3652" i="5"/>
  <c r="F3672" i="5"/>
  <c r="F3712" i="5"/>
  <c r="F3533" i="5"/>
  <c r="F3543" i="5"/>
  <c r="F3510" i="5"/>
  <c r="F3519" i="5"/>
  <c r="F3598" i="5"/>
  <c r="F3626" i="5"/>
  <c r="F3634" i="5"/>
  <c r="F3643" i="5"/>
  <c r="F3554" i="5"/>
  <c r="F3559" i="5"/>
  <c r="F3576" i="5"/>
  <c r="F3587" i="5"/>
  <c r="F3594" i="5"/>
  <c r="F3608" i="5"/>
  <c r="E646" i="4"/>
  <c r="D994" i="4"/>
  <c r="F3532" i="5"/>
  <c r="F3537" i="5"/>
  <c r="F3541" i="5"/>
  <c r="F3546" i="5"/>
  <c r="F3614" i="5"/>
  <c r="F3618" i="5"/>
  <c r="F3676" i="5"/>
  <c r="F3680" i="5"/>
  <c r="F3720" i="5"/>
  <c r="F3503" i="5"/>
  <c r="F3507" i="5"/>
  <c r="F3550" i="5"/>
  <c r="F3563" i="5"/>
  <c r="F3567" i="5"/>
  <c r="F3571" i="5"/>
  <c r="F3622" i="5"/>
  <c r="E1659" i="4"/>
  <c r="C994" i="4"/>
  <c r="E1576" i="4"/>
  <c r="F3500" i="5"/>
  <c r="F3553" i="5"/>
  <c r="F3557" i="5"/>
  <c r="F3562" i="5"/>
  <c r="F3566" i="5"/>
  <c r="F3570" i="5"/>
  <c r="F3574" i="5"/>
  <c r="F3585" i="5"/>
  <c r="F3591" i="5"/>
  <c r="E3451" i="4"/>
  <c r="F3499" i="5"/>
  <c r="F3531" i="5"/>
  <c r="F3535" i="5"/>
  <c r="F3540" i="5"/>
  <c r="F3545" i="5"/>
  <c r="F3552" i="5"/>
  <c r="F3556" i="5"/>
  <c r="F3561" i="5"/>
  <c r="F3565" i="5"/>
  <c r="F3569" i="5"/>
  <c r="F3573" i="5"/>
  <c r="F3580" i="5"/>
  <c r="F3584" i="5"/>
  <c r="F3590" i="5"/>
  <c r="F3613" i="5"/>
  <c r="F3617" i="5"/>
  <c r="F3527" i="5"/>
  <c r="F3530" i="5"/>
  <c r="F3534" i="5"/>
  <c r="F3539" i="5"/>
  <c r="F3544" i="5"/>
  <c r="F3551" i="5"/>
  <c r="F3555" i="5"/>
  <c r="F3560" i="5"/>
  <c r="F3564" i="5"/>
  <c r="F3568" i="5"/>
  <c r="F3572" i="5"/>
  <c r="F3577" i="5"/>
  <c r="F3588" i="5"/>
  <c r="F3688" i="5"/>
  <c r="F3692" i="5"/>
  <c r="F3728" i="5"/>
  <c r="F3732" i="5"/>
  <c r="E946" i="4"/>
  <c r="E999" i="4"/>
  <c r="E2669" i="4"/>
  <c r="E997" i="4"/>
  <c r="E995" i="4"/>
  <c r="E1419" i="4"/>
  <c r="E1001" i="4"/>
  <c r="C3340" i="4"/>
  <c r="C403" i="4"/>
  <c r="D1003" i="4"/>
  <c r="D1360" i="4"/>
  <c r="E2465" i="4"/>
  <c r="E3328" i="4"/>
  <c r="C1488" i="4"/>
  <c r="C2583" i="4"/>
  <c r="C2535" i="4" s="1"/>
  <c r="C2492" i="4" s="1"/>
  <c r="F3616" i="5"/>
  <c r="F3620" i="5"/>
  <c r="F3615" i="5"/>
  <c r="F3619" i="5"/>
  <c r="F3502" i="5"/>
  <c r="F3506" i="5"/>
  <c r="F3579" i="5"/>
  <c r="F3593" i="5"/>
  <c r="F3607" i="5"/>
  <c r="F3611" i="5"/>
  <c r="F3505" i="5"/>
  <c r="F3548" i="5"/>
  <c r="F3582" i="5"/>
  <c r="F3606" i="5"/>
  <c r="F3610" i="5"/>
  <c r="F3664" i="5"/>
  <c r="F3724" i="5"/>
  <c r="F3504" i="5"/>
  <c r="F3528" i="5"/>
  <c r="F3581" i="5"/>
  <c r="F3605" i="5"/>
  <c r="F3609" i="5"/>
  <c r="F3668" i="5"/>
  <c r="F3684" i="5"/>
  <c r="F3700" i="5"/>
  <c r="F3704" i="5"/>
  <c r="D382" i="4"/>
  <c r="E2219" i="4"/>
  <c r="E739" i="4"/>
  <c r="E1055" i="4"/>
  <c r="E1110" i="4"/>
  <c r="E1168" i="4"/>
  <c r="E2418" i="4"/>
  <c r="E2486" i="4"/>
  <c r="E2585" i="4"/>
  <c r="E3050" i="4"/>
  <c r="E2656" i="4"/>
  <c r="E271" i="4"/>
  <c r="D403" i="4"/>
  <c r="E512" i="4"/>
  <c r="E534" i="4"/>
  <c r="E4" i="4"/>
  <c r="E981" i="4"/>
  <c r="E986" i="4"/>
  <c r="E1333" i="4"/>
  <c r="E1425" i="4"/>
  <c r="D1488" i="4"/>
  <c r="E1795" i="4"/>
  <c r="E1853" i="4"/>
  <c r="E2242" i="4"/>
  <c r="D2288" i="4"/>
  <c r="E2490" i="4"/>
  <c r="E2760" i="4"/>
  <c r="E2930" i="4"/>
  <c r="E2966" i="4"/>
  <c r="F1447" i="5"/>
  <c r="F1446" i="5"/>
  <c r="F3651" i="5"/>
  <c r="F3655" i="5"/>
  <c r="F3659" i="5"/>
  <c r="F3663" i="5"/>
  <c r="F3671" i="5"/>
  <c r="F3675" i="5"/>
  <c r="F3679" i="5"/>
  <c r="F3683" i="5"/>
  <c r="F3691" i="5"/>
  <c r="F3695" i="5"/>
  <c r="F3699" i="5"/>
  <c r="F3703" i="5"/>
  <c r="F3707" i="5"/>
  <c r="F3711" i="5"/>
  <c r="F3715" i="5"/>
  <c r="F3719" i="5"/>
  <c r="F3727" i="5"/>
  <c r="F3731" i="5"/>
  <c r="F3735" i="5"/>
  <c r="E3304" i="4"/>
  <c r="C3267" i="4"/>
  <c r="E1233" i="4"/>
  <c r="C1047" i="4"/>
  <c r="F3654" i="5"/>
  <c r="F3658" i="5"/>
  <c r="F3662" i="5"/>
  <c r="F3666" i="5"/>
  <c r="F3678" i="5"/>
  <c r="F3682" i="5"/>
  <c r="F3686" i="5"/>
  <c r="F3690" i="5"/>
  <c r="F3702" i="5"/>
  <c r="F3706" i="5"/>
  <c r="F3710" i="5"/>
  <c r="F3714" i="5"/>
  <c r="F3722" i="5"/>
  <c r="F3726" i="5"/>
  <c r="F3730" i="5"/>
  <c r="F3734" i="5"/>
  <c r="F3653" i="5"/>
  <c r="F3661" i="5"/>
  <c r="F3665" i="5"/>
  <c r="F3669" i="5"/>
  <c r="F3673" i="5"/>
  <c r="F3677" i="5"/>
  <c r="F3685" i="5"/>
  <c r="F3689" i="5"/>
  <c r="F3693" i="5"/>
  <c r="F3697" i="5"/>
  <c r="F3701" i="5"/>
  <c r="F3709" i="5"/>
  <c r="F3713" i="5"/>
  <c r="F3717" i="5"/>
  <c r="F3721" i="5"/>
  <c r="F3729" i="5"/>
  <c r="F3733" i="5"/>
  <c r="E40" i="4"/>
  <c r="E45" i="4"/>
  <c r="E107" i="4"/>
  <c r="E703" i="4"/>
  <c r="E1161" i="4"/>
  <c r="C2138" i="4"/>
  <c r="E2170" i="4"/>
  <c r="E2208" i="4"/>
  <c r="E2250" i="4"/>
  <c r="E2313" i="4"/>
  <c r="E2392" i="4"/>
  <c r="E2509" i="4"/>
  <c r="E2591" i="4"/>
  <c r="E2747" i="4"/>
  <c r="E2834" i="4"/>
  <c r="C3206" i="4"/>
  <c r="E3243" i="4"/>
  <c r="C32" i="4"/>
  <c r="E169" i="4"/>
  <c r="E1058" i="4"/>
  <c r="E1073" i="4"/>
  <c r="E1489" i="4"/>
  <c r="E1877" i="4"/>
  <c r="E1889" i="4"/>
  <c r="E2080" i="4"/>
  <c r="E2159" i="4"/>
  <c r="C2489" i="4"/>
  <c r="D2603" i="4"/>
  <c r="E2617" i="4"/>
  <c r="E88" i="4"/>
  <c r="E136" i="4"/>
  <c r="E238" i="4"/>
  <c r="E448" i="4"/>
  <c r="E489" i="4"/>
  <c r="E544" i="4"/>
  <c r="E619" i="4"/>
  <c r="E1004" i="4"/>
  <c r="E1020" i="4"/>
  <c r="E1035" i="4"/>
  <c r="E1087" i="4"/>
  <c r="E1347" i="4"/>
  <c r="E1494" i="4"/>
  <c r="E2906" i="4"/>
  <c r="E3074" i="4"/>
  <c r="D3" i="4"/>
  <c r="E23" i="4"/>
  <c r="E74" i="4"/>
  <c r="E125" i="4"/>
  <c r="E158" i="4"/>
  <c r="E870" i="4"/>
  <c r="E941" i="4"/>
  <c r="C1336" i="4"/>
  <c r="E1485" i="4"/>
  <c r="E1951" i="4"/>
  <c r="E2065" i="4"/>
  <c r="D2138" i="4"/>
  <c r="E2181" i="4"/>
  <c r="E2203" i="4"/>
  <c r="E2279" i="4"/>
  <c r="C2288" i="4"/>
  <c r="E2643" i="4"/>
  <c r="E2708" i="4"/>
  <c r="E2721" i="4"/>
  <c r="E3194" i="4"/>
  <c r="E3231" i="4"/>
  <c r="E3292" i="4"/>
  <c r="E3475" i="4"/>
  <c r="E173" i="4"/>
  <c r="E176" i="4"/>
  <c r="E189" i="4"/>
  <c r="E302" i="4"/>
  <c r="E383" i="4"/>
  <c r="E419" i="4"/>
  <c r="E561" i="4"/>
  <c r="E566" i="4"/>
  <c r="E587" i="4"/>
  <c r="E597" i="4"/>
  <c r="E607" i="4"/>
  <c r="E672" i="4"/>
  <c r="E885" i="4"/>
  <c r="E956" i="4"/>
  <c r="E975" i="4"/>
  <c r="E1296" i="4"/>
  <c r="E1329" i="4"/>
  <c r="E1368" i="4"/>
  <c r="E1432" i="4"/>
  <c r="E1460" i="4"/>
  <c r="E1476" i="4"/>
  <c r="E1522" i="4"/>
  <c r="E1525" i="4"/>
  <c r="E1559" i="4"/>
  <c r="E1651" i="4"/>
  <c r="E1728" i="4"/>
  <c r="C1737" i="4"/>
  <c r="E1776" i="4"/>
  <c r="E1850" i="4"/>
  <c r="C1888" i="4"/>
  <c r="E1902" i="4"/>
  <c r="E1927" i="4"/>
  <c r="E1937" i="4"/>
  <c r="E2055" i="4"/>
  <c r="E2070" i="4"/>
  <c r="E2269" i="4"/>
  <c r="E2440" i="4"/>
  <c r="E3122" i="4"/>
  <c r="E3403" i="4"/>
  <c r="E3439" i="4"/>
  <c r="E15" i="4"/>
  <c r="D32" i="4"/>
  <c r="E65" i="4"/>
  <c r="E113" i="4"/>
  <c r="E147" i="4"/>
  <c r="E184" i="4"/>
  <c r="E296" i="4"/>
  <c r="E347" i="4"/>
  <c r="E360" i="4"/>
  <c r="C382" i="4"/>
  <c r="E404" i="4"/>
  <c r="E444" i="4"/>
  <c r="E450" i="4"/>
  <c r="E550" i="4"/>
  <c r="E558" i="4"/>
  <c r="E657" i="4"/>
  <c r="E755" i="4"/>
  <c r="E825" i="4"/>
  <c r="E836" i="4"/>
  <c r="C807" i="4"/>
  <c r="D1232" i="4"/>
  <c r="E1261" i="4"/>
  <c r="E1307" i="4"/>
  <c r="E1366" i="4"/>
  <c r="E1391" i="4"/>
  <c r="E1412" i="4"/>
  <c r="E1421" i="4"/>
  <c r="E1427" i="4"/>
  <c r="E1497" i="4"/>
  <c r="D1558" i="4"/>
  <c r="C1558" i="4"/>
  <c r="E1645" i="4"/>
  <c r="E1713" i="4"/>
  <c r="E1738" i="4"/>
  <c r="E1844" i="4"/>
  <c r="E2245" i="4"/>
  <c r="E2259" i="4"/>
  <c r="C2278" i="4"/>
  <c r="E2349" i="4"/>
  <c r="E2398" i="4"/>
  <c r="E2410" i="4"/>
  <c r="E2421" i="4"/>
  <c r="E2810" i="4"/>
  <c r="E2870" i="4"/>
  <c r="E2954" i="4"/>
  <c r="E2978" i="4"/>
  <c r="E3002" i="4"/>
  <c r="E3086" i="4"/>
  <c r="E3341" i="4"/>
  <c r="E3379" i="4"/>
  <c r="E817" i="4"/>
  <c r="E895" i="4"/>
  <c r="E1188" i="4"/>
  <c r="E1281" i="4"/>
  <c r="D1284" i="4"/>
  <c r="E1685" i="4"/>
  <c r="E2695" i="4"/>
  <c r="D2773" i="4"/>
  <c r="E2786" i="4"/>
  <c r="C2773" i="4"/>
  <c r="E2894" i="4"/>
  <c r="E3062" i="4"/>
  <c r="E3219" i="4"/>
  <c r="E3280" i="4"/>
  <c r="E3353" i="4"/>
  <c r="D3340" i="4"/>
  <c r="E729" i="4"/>
  <c r="E747" i="4"/>
  <c r="E875" i="4"/>
  <c r="E892" i="4"/>
  <c r="E920" i="4"/>
  <c r="E931" i="4"/>
  <c r="E1151" i="4"/>
  <c r="E1225" i="4"/>
  <c r="E1285" i="4"/>
  <c r="E1344" i="4"/>
  <c r="E1375" i="4"/>
  <c r="E1448" i="4"/>
  <c r="E1507" i="4"/>
  <c r="D1496" i="4"/>
  <c r="E1622" i="4"/>
  <c r="E1638" i="4"/>
  <c r="D1737" i="4"/>
  <c r="E1838" i="4"/>
  <c r="E2045" i="4"/>
  <c r="E2330" i="4"/>
  <c r="E2413" i="4"/>
  <c r="E2579" i="4"/>
  <c r="E2604" i="4"/>
  <c r="C2603" i="4"/>
  <c r="E2630" i="4"/>
  <c r="E3146" i="4"/>
  <c r="E3170" i="4"/>
  <c r="E3427" i="4"/>
  <c r="D3378" i="4"/>
  <c r="E3487" i="4"/>
  <c r="E19" i="4"/>
  <c r="E33" i="4"/>
  <c r="E119" i="4"/>
  <c r="D183" i="4"/>
  <c r="E196" i="4"/>
  <c r="E334" i="4"/>
  <c r="E371" i="4"/>
  <c r="E474" i="4"/>
  <c r="E785" i="4"/>
  <c r="E808" i="4"/>
  <c r="E859" i="4"/>
  <c r="E1140" i="4"/>
  <c r="E1271" i="4"/>
  <c r="E1337" i="4"/>
  <c r="E1361" i="4"/>
  <c r="C1360" i="4"/>
  <c r="E1451" i="4"/>
  <c r="D1418" i="4"/>
  <c r="D1417" i="4" s="1"/>
  <c r="E1462" i="4"/>
  <c r="E1482" i="4"/>
  <c r="E1551" i="4"/>
  <c r="E1626" i="4"/>
  <c r="E1832" i="4"/>
  <c r="E1858" i="4"/>
  <c r="E2032" i="4"/>
  <c r="C2031" i="4"/>
  <c r="E2139" i="4"/>
  <c r="E2224" i="4"/>
  <c r="E2266" i="4"/>
  <c r="E2289" i="4"/>
  <c r="E2404" i="4"/>
  <c r="E2472" i="4"/>
  <c r="E2494" i="4"/>
  <c r="E2573" i="4"/>
  <c r="E2682" i="4"/>
  <c r="E2774" i="4"/>
  <c r="E2858" i="4"/>
  <c r="E2882" i="4"/>
  <c r="E3026" i="4"/>
  <c r="E3098" i="4"/>
  <c r="E3158" i="4"/>
  <c r="E3207" i="4"/>
  <c r="E3255" i="4"/>
  <c r="E3268" i="4"/>
  <c r="E3366" i="4"/>
  <c r="E3391" i="4"/>
  <c r="E3463" i="4"/>
  <c r="E767" i="4"/>
  <c r="E715" i="4"/>
  <c r="C543" i="4"/>
  <c r="E685" i="4"/>
  <c r="E7" i="4"/>
  <c r="E225" i="4"/>
  <c r="C183" i="4"/>
  <c r="C1003" i="4"/>
  <c r="D1047" i="4"/>
  <c r="C2323" i="4"/>
  <c r="D3206" i="4"/>
  <c r="D543" i="4"/>
  <c r="E575" i="4"/>
  <c r="E721" i="4"/>
  <c r="D807" i="4"/>
  <c r="E853" i="4"/>
  <c r="E887" i="4"/>
  <c r="E900" i="4"/>
  <c r="E911" i="4"/>
  <c r="E936" i="4"/>
  <c r="E951" i="4"/>
  <c r="E1041" i="4"/>
  <c r="E1048" i="4"/>
  <c r="E1051" i="4"/>
  <c r="E1155" i="4"/>
  <c r="E1267" i="4"/>
  <c r="C1284" i="4"/>
  <c r="C1418" i="4"/>
  <c r="E1510" i="4"/>
  <c r="E1613" i="4"/>
  <c r="E1668" i="4"/>
  <c r="D1888" i="4"/>
  <c r="E1912" i="4"/>
  <c r="D2031" i="4"/>
  <c r="E2146" i="4"/>
  <c r="D2323" i="4"/>
  <c r="E2798" i="4"/>
  <c r="E2990" i="4"/>
  <c r="E3182" i="4"/>
  <c r="D3267" i="4"/>
  <c r="E3415" i="4"/>
  <c r="C1232" i="4"/>
  <c r="E1318" i="4"/>
  <c r="E1470" i="4"/>
  <c r="E1618" i="4"/>
  <c r="E1690" i="4"/>
  <c r="E2006" i="4"/>
  <c r="E2120" i="4"/>
  <c r="E2172" i="4"/>
  <c r="E2324" i="4"/>
  <c r="D2535" i="4"/>
  <c r="D2492" i="4" s="1"/>
  <c r="E2846" i="4"/>
  <c r="E2942" i="4"/>
  <c r="E3038" i="4"/>
  <c r="E3134" i="4"/>
  <c r="C3378" i="4"/>
  <c r="E1442" i="4"/>
  <c r="E1464" i="4"/>
  <c r="C1496" i="4"/>
  <c r="E1678" i="4"/>
  <c r="E1922" i="4"/>
  <c r="E2106" i="4"/>
  <c r="E2536" i="4"/>
  <c r="E2734" i="4"/>
  <c r="E2822" i="4"/>
  <c r="E2918" i="4"/>
  <c r="E3014" i="4"/>
  <c r="E3110" i="4"/>
  <c r="E3316" i="4"/>
  <c r="F921" i="5" l="1"/>
  <c r="F780" i="5"/>
  <c r="F273" i="5"/>
  <c r="F115" i="5"/>
  <c r="F202" i="5"/>
  <c r="F231" i="5"/>
  <c r="F77" i="5"/>
  <c r="F837" i="5"/>
  <c r="F1042" i="5"/>
  <c r="F939" i="5"/>
  <c r="E3134" i="5"/>
  <c r="D3134" i="5"/>
  <c r="C3134" i="5"/>
  <c r="E1318" i="5"/>
  <c r="D1318" i="5"/>
  <c r="C1318" i="5"/>
  <c r="E3391" i="5"/>
  <c r="D3391" i="5"/>
  <c r="C3391" i="5"/>
  <c r="E2882" i="5"/>
  <c r="D2882" i="5"/>
  <c r="C2882" i="5"/>
  <c r="E2573" i="5"/>
  <c r="D2573" i="5"/>
  <c r="C2573" i="5"/>
  <c r="E1626" i="5"/>
  <c r="D1626" i="5"/>
  <c r="C1626" i="5"/>
  <c r="E1337" i="5"/>
  <c r="D1337" i="5"/>
  <c r="C1337" i="5"/>
  <c r="E808" i="5"/>
  <c r="D808" i="5"/>
  <c r="C808" i="5"/>
  <c r="E3379" i="5"/>
  <c r="D3379" i="5"/>
  <c r="C3379" i="5"/>
  <c r="E2421" i="5"/>
  <c r="D2421" i="5"/>
  <c r="C2421" i="5"/>
  <c r="E1738" i="5"/>
  <c r="D1738" i="5"/>
  <c r="C1738" i="5"/>
  <c r="E1412" i="5"/>
  <c r="D1412" i="5"/>
  <c r="C1412" i="5"/>
  <c r="E825" i="5"/>
  <c r="D825" i="5"/>
  <c r="C825" i="5"/>
  <c r="E550" i="5"/>
  <c r="D550" i="5"/>
  <c r="C550" i="5"/>
  <c r="E184" i="5"/>
  <c r="D184" i="5"/>
  <c r="C184" i="5"/>
  <c r="E1522" i="5"/>
  <c r="D1522" i="5"/>
  <c r="C1522" i="5"/>
  <c r="E1368" i="5"/>
  <c r="D1368" i="5"/>
  <c r="C1368" i="5"/>
  <c r="E597" i="5"/>
  <c r="D597" i="5"/>
  <c r="C597" i="5"/>
  <c r="E176" i="5"/>
  <c r="D176" i="5"/>
  <c r="C176" i="5"/>
  <c r="E2643" i="5"/>
  <c r="D2643" i="5"/>
  <c r="C2643" i="5"/>
  <c r="E1485" i="5"/>
  <c r="D1485" i="5"/>
  <c r="C1485" i="5"/>
  <c r="E1004" i="5"/>
  <c r="D1004" i="5"/>
  <c r="C1004" i="5"/>
  <c r="E2617" i="5"/>
  <c r="D2617" i="5"/>
  <c r="C2617" i="5"/>
  <c r="E1073" i="5"/>
  <c r="D1073" i="5"/>
  <c r="C1073" i="5"/>
  <c r="E2591" i="5"/>
  <c r="D2591" i="5"/>
  <c r="C2591" i="5"/>
  <c r="E1161" i="5"/>
  <c r="D1161" i="5"/>
  <c r="C1161" i="5"/>
  <c r="E2242" i="5"/>
  <c r="D2242" i="5"/>
  <c r="C2242" i="5"/>
  <c r="E271" i="5"/>
  <c r="D271" i="5"/>
  <c r="C271" i="5"/>
  <c r="E1110" i="5"/>
  <c r="D1110" i="5"/>
  <c r="C1110" i="5"/>
  <c r="E2669" i="5"/>
  <c r="D2669" i="5"/>
  <c r="C2669" i="5"/>
  <c r="E3451" i="5"/>
  <c r="D3451" i="5"/>
  <c r="C3451" i="5"/>
  <c r="E2918" i="5"/>
  <c r="C2918" i="5"/>
  <c r="D2918" i="5"/>
  <c r="E2106" i="5"/>
  <c r="D2106" i="5"/>
  <c r="C2106" i="5"/>
  <c r="E1464" i="5"/>
  <c r="D1464" i="5"/>
  <c r="C1464" i="5"/>
  <c r="E3038" i="5"/>
  <c r="D3038" i="5"/>
  <c r="C3038" i="5"/>
  <c r="E2324" i="5"/>
  <c r="D2324" i="5"/>
  <c r="C2324" i="5"/>
  <c r="E1690" i="5"/>
  <c r="D1690" i="5"/>
  <c r="C1690" i="5"/>
  <c r="E2990" i="5"/>
  <c r="D2990" i="5"/>
  <c r="C2990" i="5"/>
  <c r="E1613" i="5"/>
  <c r="D1613" i="5"/>
  <c r="C1613" i="5"/>
  <c r="E1267" i="5"/>
  <c r="D1267" i="5"/>
  <c r="C1267" i="5"/>
  <c r="E1041" i="5"/>
  <c r="D1041" i="5"/>
  <c r="C1041" i="5"/>
  <c r="E900" i="5"/>
  <c r="D900" i="5"/>
  <c r="C900" i="5"/>
  <c r="E721" i="5"/>
  <c r="D721" i="5"/>
  <c r="C721" i="5"/>
  <c r="E225" i="5"/>
  <c r="D225" i="5"/>
  <c r="C225" i="5"/>
  <c r="E715" i="5"/>
  <c r="D715" i="5"/>
  <c r="C715" i="5"/>
  <c r="E3366" i="5"/>
  <c r="D3366" i="5"/>
  <c r="C3366" i="5"/>
  <c r="E3158" i="5"/>
  <c r="D3158" i="5"/>
  <c r="C3158" i="5"/>
  <c r="E2858" i="5"/>
  <c r="D2858" i="5"/>
  <c r="C2858" i="5"/>
  <c r="E2494" i="5"/>
  <c r="D2494" i="5"/>
  <c r="C2494" i="5"/>
  <c r="E2266" i="5"/>
  <c r="D2266" i="5"/>
  <c r="C2266" i="5"/>
  <c r="E2032" i="5"/>
  <c r="D2032" i="5"/>
  <c r="C2032" i="5"/>
  <c r="E1551" i="5"/>
  <c r="D1551" i="5"/>
  <c r="C1551" i="5"/>
  <c r="E1451" i="5"/>
  <c r="D1451" i="5"/>
  <c r="C1451" i="5"/>
  <c r="E1271" i="5"/>
  <c r="D1271" i="5"/>
  <c r="C1271" i="5"/>
  <c r="E785" i="5"/>
  <c r="D785" i="5"/>
  <c r="C785" i="5"/>
  <c r="E196" i="5"/>
  <c r="D196" i="5"/>
  <c r="C196" i="5"/>
  <c r="E19" i="5"/>
  <c r="D19" i="5"/>
  <c r="C19" i="5"/>
  <c r="E3170" i="5"/>
  <c r="D3170" i="5"/>
  <c r="C3170" i="5"/>
  <c r="E2604" i="5"/>
  <c r="D2604" i="5"/>
  <c r="C2604" i="5"/>
  <c r="E2045" i="5"/>
  <c r="D2045" i="5"/>
  <c r="C2045" i="5"/>
  <c r="E1622" i="5"/>
  <c r="D1622" i="5"/>
  <c r="C1622" i="5"/>
  <c r="E1375" i="5"/>
  <c r="D1375" i="5"/>
  <c r="C1375" i="5"/>
  <c r="E1151" i="5"/>
  <c r="D1151" i="5"/>
  <c r="C1151" i="5"/>
  <c r="E875" i="5"/>
  <c r="D875" i="5"/>
  <c r="C875" i="5"/>
  <c r="E3353" i="5"/>
  <c r="D3353" i="5"/>
  <c r="C3353" i="5"/>
  <c r="E2894" i="5"/>
  <c r="D2894" i="5"/>
  <c r="C2894" i="5"/>
  <c r="E2695" i="5"/>
  <c r="D2695" i="5"/>
  <c r="C2695" i="5"/>
  <c r="E1188" i="5"/>
  <c r="D1188" i="5"/>
  <c r="C1188" i="5"/>
  <c r="E3341" i="5"/>
  <c r="D3341" i="5"/>
  <c r="C3341" i="5"/>
  <c r="E2954" i="5"/>
  <c r="D2954" i="5"/>
  <c r="C2954" i="5"/>
  <c r="E2410" i="5"/>
  <c r="D2410" i="5"/>
  <c r="C2410" i="5"/>
  <c r="E2259" i="5"/>
  <c r="D2259" i="5"/>
  <c r="C2259" i="5"/>
  <c r="E1713" i="5"/>
  <c r="D1713" i="5"/>
  <c r="C1713" i="5"/>
  <c r="E1497" i="5"/>
  <c r="D1497" i="5"/>
  <c r="C1497" i="5"/>
  <c r="E1391" i="5"/>
  <c r="D1391" i="5"/>
  <c r="C1391" i="5"/>
  <c r="E755" i="5"/>
  <c r="D755" i="5"/>
  <c r="C755" i="5"/>
  <c r="E450" i="5"/>
  <c r="D450" i="5"/>
  <c r="C450" i="5"/>
  <c r="E360" i="5"/>
  <c r="D360" i="5"/>
  <c r="C360" i="5"/>
  <c r="E147" i="5"/>
  <c r="D147" i="5"/>
  <c r="C147" i="5"/>
  <c r="E15" i="5"/>
  <c r="D15" i="5"/>
  <c r="C15" i="5"/>
  <c r="E2440" i="5"/>
  <c r="D2440" i="5"/>
  <c r="C2440" i="5"/>
  <c r="E1937" i="5"/>
  <c r="D1937" i="5"/>
  <c r="C1937" i="5"/>
  <c r="E1850" i="5"/>
  <c r="D1850" i="5"/>
  <c r="C1850" i="5"/>
  <c r="E1651" i="5"/>
  <c r="D1651" i="5"/>
  <c r="C1651" i="5"/>
  <c r="E1476" i="5"/>
  <c r="D1476" i="5"/>
  <c r="C1476" i="5"/>
  <c r="E1329" i="5"/>
  <c r="D1329" i="5"/>
  <c r="C1329" i="5"/>
  <c r="E885" i="5"/>
  <c r="D885" i="5"/>
  <c r="C885" i="5"/>
  <c r="E587" i="5"/>
  <c r="D587" i="5"/>
  <c r="C587" i="5"/>
  <c r="E383" i="5"/>
  <c r="D383" i="5"/>
  <c r="C383" i="5"/>
  <c r="E173" i="5"/>
  <c r="D173" i="5"/>
  <c r="C173" i="5"/>
  <c r="E3194" i="5"/>
  <c r="D3194" i="5"/>
  <c r="C3194" i="5"/>
  <c r="E125" i="5"/>
  <c r="D125" i="5"/>
  <c r="C125" i="5"/>
  <c r="E3074" i="5"/>
  <c r="D3074" i="5"/>
  <c r="C3074" i="5"/>
  <c r="E1087" i="5"/>
  <c r="D1087" i="5"/>
  <c r="C1087" i="5"/>
  <c r="E619" i="5"/>
  <c r="D619" i="5"/>
  <c r="C619" i="5"/>
  <c r="E238" i="5"/>
  <c r="D238" i="5"/>
  <c r="C238" i="5"/>
  <c r="E1889" i="5"/>
  <c r="D1889" i="5"/>
  <c r="C1889" i="5"/>
  <c r="E1058" i="5"/>
  <c r="D1058" i="5"/>
  <c r="C1058" i="5"/>
  <c r="E2509" i="5"/>
  <c r="D2509" i="5"/>
  <c r="C2509" i="5"/>
  <c r="E2208" i="5"/>
  <c r="D2208" i="5"/>
  <c r="C2208" i="5"/>
  <c r="E703" i="5"/>
  <c r="D703" i="5"/>
  <c r="C703" i="5"/>
  <c r="E3304" i="5"/>
  <c r="D3304" i="5"/>
  <c r="C3304" i="5"/>
  <c r="E2760" i="5"/>
  <c r="D2760" i="5"/>
  <c r="C2760" i="5"/>
  <c r="E1853" i="5"/>
  <c r="D1853" i="5"/>
  <c r="C1853" i="5"/>
  <c r="E1333" i="5"/>
  <c r="D1333" i="5"/>
  <c r="C1333" i="5"/>
  <c r="E534" i="5"/>
  <c r="D534" i="5"/>
  <c r="C534" i="5"/>
  <c r="E2656" i="5"/>
  <c r="D2656" i="5"/>
  <c r="C2656" i="5"/>
  <c r="E2486" i="5"/>
  <c r="D2486" i="5"/>
  <c r="C2486" i="5"/>
  <c r="E1055" i="5"/>
  <c r="D1055" i="5"/>
  <c r="C1055" i="5"/>
  <c r="E3328" i="5"/>
  <c r="D3328" i="5"/>
  <c r="C3328" i="5"/>
  <c r="E995" i="5"/>
  <c r="D995" i="5"/>
  <c r="C995" i="5"/>
  <c r="E999" i="5"/>
  <c r="D999" i="5"/>
  <c r="C999" i="5"/>
  <c r="E397" i="5"/>
  <c r="D397" i="5"/>
  <c r="C397" i="5"/>
  <c r="E2463" i="5"/>
  <c r="D2463" i="5"/>
  <c r="C2463" i="5"/>
  <c r="E399" i="5"/>
  <c r="D399" i="5"/>
  <c r="C399" i="5"/>
  <c r="E3014" i="5"/>
  <c r="C3014" i="5"/>
  <c r="D3014" i="5"/>
  <c r="E3182" i="5"/>
  <c r="D3182" i="5"/>
  <c r="C3182" i="5"/>
  <c r="E2146" i="5"/>
  <c r="D2146" i="5"/>
  <c r="C2146" i="5"/>
  <c r="E1668" i="5"/>
  <c r="D1668" i="5"/>
  <c r="C1668" i="5"/>
  <c r="E1048" i="5"/>
  <c r="D1048" i="5"/>
  <c r="C1048" i="5"/>
  <c r="E911" i="5"/>
  <c r="D911" i="5"/>
  <c r="C911" i="5"/>
  <c r="E3207" i="5"/>
  <c r="D3207" i="5"/>
  <c r="C3207" i="5"/>
  <c r="E2289" i="5"/>
  <c r="D2289" i="5"/>
  <c r="C2289" i="5"/>
  <c r="E334" i="5"/>
  <c r="D334" i="5"/>
  <c r="C334" i="5"/>
  <c r="E33" i="5"/>
  <c r="D33" i="5"/>
  <c r="C33" i="5"/>
  <c r="E3427" i="5"/>
  <c r="D3427" i="5"/>
  <c r="C3427" i="5"/>
  <c r="E2330" i="5"/>
  <c r="D2330" i="5"/>
  <c r="C2330" i="5"/>
  <c r="E1638" i="5"/>
  <c r="D1638" i="5"/>
  <c r="C1638" i="5"/>
  <c r="E1448" i="5"/>
  <c r="D1448" i="5"/>
  <c r="C1448" i="5"/>
  <c r="E1225" i="5"/>
  <c r="D1225" i="5"/>
  <c r="C1225" i="5"/>
  <c r="E892" i="5"/>
  <c r="D892" i="5"/>
  <c r="C892" i="5"/>
  <c r="E3062" i="5"/>
  <c r="D3062" i="5"/>
  <c r="C3062" i="5"/>
  <c r="E1281" i="5"/>
  <c r="D1281" i="5"/>
  <c r="C1281" i="5"/>
  <c r="E2978" i="5"/>
  <c r="D2978" i="5"/>
  <c r="C2978" i="5"/>
  <c r="E1261" i="5"/>
  <c r="D1261" i="5"/>
  <c r="C1261" i="5"/>
  <c r="E3122" i="5"/>
  <c r="C3122" i="5"/>
  <c r="D3122" i="5"/>
  <c r="E2055" i="5"/>
  <c r="D2055" i="5"/>
  <c r="C2055" i="5"/>
  <c r="E1728" i="5"/>
  <c r="D1728" i="5"/>
  <c r="C1728" i="5"/>
  <c r="E956" i="5"/>
  <c r="D956" i="5"/>
  <c r="C956" i="5"/>
  <c r="E419" i="5"/>
  <c r="D419" i="5"/>
  <c r="C419" i="5"/>
  <c r="E3231" i="5"/>
  <c r="D3231" i="5"/>
  <c r="C3231" i="5"/>
  <c r="E2181" i="5"/>
  <c r="D2181" i="5"/>
  <c r="C2181" i="5"/>
  <c r="E158" i="5"/>
  <c r="D158" i="5"/>
  <c r="C158" i="5"/>
  <c r="E1347" i="5"/>
  <c r="D1347" i="5"/>
  <c r="C1347" i="5"/>
  <c r="E448" i="5"/>
  <c r="D448" i="5"/>
  <c r="C448" i="5"/>
  <c r="E2080" i="5"/>
  <c r="D2080" i="5"/>
  <c r="C2080" i="5"/>
  <c r="E3243" i="5"/>
  <c r="D3243" i="5"/>
  <c r="C3243" i="5"/>
  <c r="E2250" i="5"/>
  <c r="D2250" i="5"/>
  <c r="C2250" i="5"/>
  <c r="E40" i="5"/>
  <c r="D40" i="5"/>
  <c r="C40" i="5"/>
  <c r="E2930" i="5"/>
  <c r="C2930" i="5"/>
  <c r="D2930" i="5"/>
  <c r="E1425" i="5"/>
  <c r="D1425" i="5"/>
  <c r="C1425" i="5"/>
  <c r="E4" i="5"/>
  <c r="D4" i="5"/>
  <c r="C4" i="5"/>
  <c r="E2585" i="5"/>
  <c r="D2585" i="5"/>
  <c r="C2585" i="5"/>
  <c r="E1419" i="5"/>
  <c r="D1419" i="5"/>
  <c r="C1419" i="5"/>
  <c r="E1659" i="5"/>
  <c r="D1659" i="5"/>
  <c r="C1659" i="5"/>
  <c r="E979" i="5"/>
  <c r="D979" i="5"/>
  <c r="C979" i="5"/>
  <c r="E401" i="5"/>
  <c r="D401" i="5"/>
  <c r="C401" i="5"/>
  <c r="E3316" i="5"/>
  <c r="D3316" i="5"/>
  <c r="C3316" i="5"/>
  <c r="E2822" i="5"/>
  <c r="C2822" i="5"/>
  <c r="D2822" i="5"/>
  <c r="E1922" i="5"/>
  <c r="D1922" i="5"/>
  <c r="C1922" i="5"/>
  <c r="E1442" i="5"/>
  <c r="D1442" i="5"/>
  <c r="C1442" i="5"/>
  <c r="E2942" i="5"/>
  <c r="D2942" i="5"/>
  <c r="C2942" i="5"/>
  <c r="E2172" i="5"/>
  <c r="D2172" i="5"/>
  <c r="C2172" i="5"/>
  <c r="E1618" i="5"/>
  <c r="D1618" i="5"/>
  <c r="C1618" i="5"/>
  <c r="E3415" i="5"/>
  <c r="D3415" i="5"/>
  <c r="C3415" i="5"/>
  <c r="E2798" i="5"/>
  <c r="D2798" i="5"/>
  <c r="C2798" i="5"/>
  <c r="E1912" i="5"/>
  <c r="D1912" i="5"/>
  <c r="C1912" i="5"/>
  <c r="E1510" i="5"/>
  <c r="D1510" i="5"/>
  <c r="C1510" i="5"/>
  <c r="E1155" i="5"/>
  <c r="D1155" i="5"/>
  <c r="C1155" i="5"/>
  <c r="E951" i="5"/>
  <c r="D951" i="5"/>
  <c r="C951" i="5"/>
  <c r="E887" i="5"/>
  <c r="D887" i="5"/>
  <c r="C887" i="5"/>
  <c r="E575" i="5"/>
  <c r="D575" i="5"/>
  <c r="C575" i="5"/>
  <c r="E767" i="5"/>
  <c r="D767" i="5"/>
  <c r="C767" i="5"/>
  <c r="E3268" i="5"/>
  <c r="D3268" i="5"/>
  <c r="C3268" i="5"/>
  <c r="E3098" i="5"/>
  <c r="D3098" i="5"/>
  <c r="C3098" i="5"/>
  <c r="E2774" i="5"/>
  <c r="D2774" i="5"/>
  <c r="C2774" i="5"/>
  <c r="E2472" i="5"/>
  <c r="D2472" i="5"/>
  <c r="C2472" i="5"/>
  <c r="E2224" i="5"/>
  <c r="D2224" i="5"/>
  <c r="C2224" i="5"/>
  <c r="E1858" i="5"/>
  <c r="D1858" i="5"/>
  <c r="C1858" i="5"/>
  <c r="E1482" i="5"/>
  <c r="D1482" i="5"/>
  <c r="C1482" i="5"/>
  <c r="E1140" i="5"/>
  <c r="D1140" i="5"/>
  <c r="C1140" i="5"/>
  <c r="E474" i="5"/>
  <c r="D474" i="5"/>
  <c r="C474" i="5"/>
  <c r="E3487" i="5"/>
  <c r="D3487" i="5"/>
  <c r="C3487" i="5"/>
  <c r="E3146" i="5"/>
  <c r="D3146" i="5"/>
  <c r="C3146" i="5"/>
  <c r="E2579" i="5"/>
  <c r="D2579" i="5"/>
  <c r="C2579" i="5"/>
  <c r="E1838" i="5"/>
  <c r="D1838" i="5"/>
  <c r="C1838" i="5"/>
  <c r="E1344" i="5"/>
  <c r="D1344" i="5"/>
  <c r="C1344" i="5"/>
  <c r="E931" i="5"/>
  <c r="D931" i="5"/>
  <c r="C931" i="5"/>
  <c r="E747" i="5"/>
  <c r="D747" i="5"/>
  <c r="C747" i="5"/>
  <c r="E3280" i="5"/>
  <c r="D3280" i="5"/>
  <c r="C3280" i="5"/>
  <c r="E1685" i="5"/>
  <c r="D1685" i="5"/>
  <c r="C1685" i="5"/>
  <c r="E895" i="5"/>
  <c r="D895" i="5"/>
  <c r="C895" i="5"/>
  <c r="E3086" i="5"/>
  <c r="D3086" i="5"/>
  <c r="C3086" i="5"/>
  <c r="E2870" i="5"/>
  <c r="D2870" i="5"/>
  <c r="C2870" i="5"/>
  <c r="E2398" i="5"/>
  <c r="D2398" i="5"/>
  <c r="C2398" i="5"/>
  <c r="E2245" i="5"/>
  <c r="D2245" i="5"/>
  <c r="C2245" i="5"/>
  <c r="E1645" i="5"/>
  <c r="D1645" i="5"/>
  <c r="C1645" i="5"/>
  <c r="E1427" i="5"/>
  <c r="D1427" i="5"/>
  <c r="C1427" i="5"/>
  <c r="E1366" i="5"/>
  <c r="D1366" i="5"/>
  <c r="C1366" i="5"/>
  <c r="E657" i="5"/>
  <c r="D657" i="5"/>
  <c r="C657" i="5"/>
  <c r="E444" i="5"/>
  <c r="D444" i="5"/>
  <c r="C444" i="5"/>
  <c r="E347" i="5"/>
  <c r="D347" i="5"/>
  <c r="C347" i="5"/>
  <c r="E113" i="5"/>
  <c r="D113" i="5"/>
  <c r="C113" i="5"/>
  <c r="E3439" i="5"/>
  <c r="D3439" i="5"/>
  <c r="C3439" i="5"/>
  <c r="E2269" i="5"/>
  <c r="D2269" i="5"/>
  <c r="C2269" i="5"/>
  <c r="E1927" i="5"/>
  <c r="D1927" i="5"/>
  <c r="C1927" i="5"/>
  <c r="E1776" i="5"/>
  <c r="D1776" i="5"/>
  <c r="C1776" i="5"/>
  <c r="E1559" i="5"/>
  <c r="D1559" i="5"/>
  <c r="C1559" i="5"/>
  <c r="E1460" i="5"/>
  <c r="D1460" i="5"/>
  <c r="C1460" i="5"/>
  <c r="E1296" i="5"/>
  <c r="D1296" i="5"/>
  <c r="C1296" i="5"/>
  <c r="E672" i="5"/>
  <c r="D672" i="5"/>
  <c r="C672" i="5"/>
  <c r="E566" i="5"/>
  <c r="D566" i="5"/>
  <c r="C566" i="5"/>
  <c r="E302" i="5"/>
  <c r="D302" i="5"/>
  <c r="C302" i="5"/>
  <c r="E3475" i="5"/>
  <c r="D3475" i="5"/>
  <c r="C3475" i="5"/>
  <c r="E2721" i="5"/>
  <c r="D2721" i="5"/>
  <c r="C2721" i="5"/>
  <c r="E2279" i="5"/>
  <c r="D2279" i="5"/>
  <c r="C2279" i="5"/>
  <c r="E2065" i="5"/>
  <c r="D2065" i="5"/>
  <c r="C2065" i="5"/>
  <c r="E941" i="5"/>
  <c r="D941" i="5"/>
  <c r="C941" i="5"/>
  <c r="E74" i="5"/>
  <c r="D74" i="5"/>
  <c r="C74" i="5"/>
  <c r="E2906" i="5"/>
  <c r="D2906" i="5"/>
  <c r="C2906" i="5"/>
  <c r="E1035" i="5"/>
  <c r="D1035" i="5"/>
  <c r="C1035" i="5"/>
  <c r="E544" i="5"/>
  <c r="D544" i="5"/>
  <c r="C544" i="5"/>
  <c r="E136" i="5"/>
  <c r="D136" i="5"/>
  <c r="C136" i="5"/>
  <c r="E1877" i="5"/>
  <c r="D1877" i="5"/>
  <c r="C1877" i="5"/>
  <c r="E169" i="5"/>
  <c r="D169" i="5"/>
  <c r="C169" i="5"/>
  <c r="E2834" i="5"/>
  <c r="C2834" i="5"/>
  <c r="D2834" i="5"/>
  <c r="E2392" i="5"/>
  <c r="D2392" i="5"/>
  <c r="C2392" i="5"/>
  <c r="E2170" i="5"/>
  <c r="D2170" i="5"/>
  <c r="C2170" i="5"/>
  <c r="E107" i="5"/>
  <c r="D107" i="5"/>
  <c r="C107" i="5"/>
  <c r="E2490" i="5"/>
  <c r="D2490" i="5"/>
  <c r="C2490" i="5"/>
  <c r="E1795" i="5"/>
  <c r="D1795" i="5"/>
  <c r="C1795" i="5"/>
  <c r="E986" i="5"/>
  <c r="D986" i="5"/>
  <c r="C986" i="5"/>
  <c r="E512" i="5"/>
  <c r="D512" i="5"/>
  <c r="C512" i="5"/>
  <c r="E2418" i="5"/>
  <c r="D2418" i="5"/>
  <c r="C2418" i="5"/>
  <c r="E739" i="5"/>
  <c r="D739" i="5"/>
  <c r="C739" i="5"/>
  <c r="E2465" i="5"/>
  <c r="D2465" i="5"/>
  <c r="C2465" i="5"/>
  <c r="E946" i="5"/>
  <c r="D946" i="5"/>
  <c r="C946" i="5"/>
  <c r="E1576" i="5"/>
  <c r="D1576" i="5"/>
  <c r="C1576" i="5"/>
  <c r="E646" i="5"/>
  <c r="D646" i="5"/>
  <c r="C646" i="5"/>
  <c r="E300" i="5"/>
  <c r="D300" i="5"/>
  <c r="C300" i="5"/>
  <c r="E1505" i="5"/>
  <c r="D1505" i="5"/>
  <c r="C1505" i="5"/>
  <c r="E1410" i="5"/>
  <c r="D1410" i="5"/>
  <c r="C1410" i="5"/>
  <c r="E2536" i="5"/>
  <c r="D2536" i="5"/>
  <c r="C2536" i="5"/>
  <c r="E2006" i="5"/>
  <c r="D2006" i="5"/>
  <c r="C2006" i="5"/>
  <c r="E3110" i="5"/>
  <c r="D3110" i="5"/>
  <c r="C3110" i="5"/>
  <c r="E2734" i="5"/>
  <c r="D2734" i="5"/>
  <c r="C2734" i="5"/>
  <c r="E1678" i="5"/>
  <c r="D1678" i="5"/>
  <c r="C1678" i="5"/>
  <c r="E2846" i="5"/>
  <c r="D2846" i="5"/>
  <c r="C2846" i="5"/>
  <c r="E2120" i="5"/>
  <c r="D2120" i="5"/>
  <c r="C2120" i="5"/>
  <c r="E1470" i="5"/>
  <c r="D1470" i="5"/>
  <c r="C1470" i="5"/>
  <c r="E1051" i="5"/>
  <c r="D1051" i="5"/>
  <c r="C1051" i="5"/>
  <c r="E936" i="5"/>
  <c r="D936" i="5"/>
  <c r="C936" i="5"/>
  <c r="E853" i="5"/>
  <c r="D853" i="5"/>
  <c r="C853" i="5"/>
  <c r="E685" i="5"/>
  <c r="D685" i="5"/>
  <c r="C685" i="5"/>
  <c r="E3463" i="5"/>
  <c r="D3463" i="5"/>
  <c r="C3463" i="5"/>
  <c r="E3255" i="5"/>
  <c r="D3255" i="5"/>
  <c r="C3255" i="5"/>
  <c r="E3026" i="5"/>
  <c r="C3026" i="5"/>
  <c r="D3026" i="5"/>
  <c r="E2682" i="5"/>
  <c r="D2682" i="5"/>
  <c r="C2682" i="5"/>
  <c r="E2404" i="5"/>
  <c r="D2404" i="5"/>
  <c r="C2404" i="5"/>
  <c r="E2139" i="5"/>
  <c r="D2139" i="5"/>
  <c r="C2139" i="5"/>
  <c r="E1832" i="5"/>
  <c r="D1832" i="5"/>
  <c r="C1832" i="5"/>
  <c r="E1462" i="5"/>
  <c r="D1462" i="5"/>
  <c r="C1462" i="5"/>
  <c r="E1361" i="5"/>
  <c r="D1361" i="5"/>
  <c r="C1361" i="5"/>
  <c r="E859" i="5"/>
  <c r="D859" i="5"/>
  <c r="C859" i="5"/>
  <c r="E371" i="5"/>
  <c r="D371" i="5"/>
  <c r="C371" i="5"/>
  <c r="E119" i="5"/>
  <c r="D119" i="5"/>
  <c r="C119" i="5"/>
  <c r="E2630" i="5"/>
  <c r="C2630" i="5"/>
  <c r="D2630" i="5"/>
  <c r="E2413" i="5"/>
  <c r="D2413" i="5"/>
  <c r="C2413" i="5"/>
  <c r="E1507" i="5"/>
  <c r="D1507" i="5"/>
  <c r="C1507" i="5"/>
  <c r="E1285" i="5"/>
  <c r="D1285" i="5"/>
  <c r="C1285" i="5"/>
  <c r="E920" i="5"/>
  <c r="D920" i="5"/>
  <c r="C920" i="5"/>
  <c r="E729" i="5"/>
  <c r="D729" i="5"/>
  <c r="C729" i="5"/>
  <c r="E3219" i="5"/>
  <c r="D3219" i="5"/>
  <c r="C3219" i="5"/>
  <c r="E2786" i="5"/>
  <c r="D2786" i="5"/>
  <c r="C2786" i="5"/>
  <c r="E817" i="5"/>
  <c r="D817" i="5"/>
  <c r="C817" i="5"/>
  <c r="E3002" i="5"/>
  <c r="D3002" i="5"/>
  <c r="C3002" i="5"/>
  <c r="E2810" i="5"/>
  <c r="D2810" i="5"/>
  <c r="C2810" i="5"/>
  <c r="E2349" i="5"/>
  <c r="D2349" i="5"/>
  <c r="C2349" i="5"/>
  <c r="E1844" i="5"/>
  <c r="D1844" i="5"/>
  <c r="C1844" i="5"/>
  <c r="E1421" i="5"/>
  <c r="D1421" i="5"/>
  <c r="C1421" i="5"/>
  <c r="E1307" i="5"/>
  <c r="D1307" i="5"/>
  <c r="C1307" i="5"/>
  <c r="E836" i="5"/>
  <c r="D836" i="5"/>
  <c r="C836" i="5"/>
  <c r="E558" i="5"/>
  <c r="D558" i="5"/>
  <c r="C558" i="5"/>
  <c r="E404" i="5"/>
  <c r="D404" i="5"/>
  <c r="C404" i="5"/>
  <c r="E296" i="5"/>
  <c r="D296" i="5"/>
  <c r="C296" i="5"/>
  <c r="E65" i="5"/>
  <c r="D65" i="5"/>
  <c r="C65" i="5"/>
  <c r="E3403" i="5"/>
  <c r="D3403" i="5"/>
  <c r="C3403" i="5"/>
  <c r="E2070" i="5"/>
  <c r="D2070" i="5"/>
  <c r="C2070" i="5"/>
  <c r="E1902" i="5"/>
  <c r="D1902" i="5"/>
  <c r="C1902" i="5"/>
  <c r="E1525" i="5"/>
  <c r="D1525" i="5"/>
  <c r="C1525" i="5"/>
  <c r="E1432" i="5"/>
  <c r="D1432" i="5"/>
  <c r="C1432" i="5"/>
  <c r="E975" i="5"/>
  <c r="D975" i="5"/>
  <c r="C975" i="5"/>
  <c r="E607" i="5"/>
  <c r="D607" i="5"/>
  <c r="C607" i="5"/>
  <c r="E561" i="5"/>
  <c r="D561" i="5"/>
  <c r="C561" i="5"/>
  <c r="E189" i="5"/>
  <c r="D189" i="5"/>
  <c r="C189" i="5"/>
  <c r="E3292" i="5"/>
  <c r="D3292" i="5"/>
  <c r="C3292" i="5"/>
  <c r="E2708" i="5"/>
  <c r="D2708" i="5"/>
  <c r="C2708" i="5"/>
  <c r="E2203" i="5"/>
  <c r="D2203" i="5"/>
  <c r="C2203" i="5"/>
  <c r="E1951" i="5"/>
  <c r="D1951" i="5"/>
  <c r="C1951" i="5"/>
  <c r="E870" i="5"/>
  <c r="D870" i="5"/>
  <c r="C870" i="5"/>
  <c r="E23" i="5"/>
  <c r="D23" i="5"/>
  <c r="C23" i="5"/>
  <c r="E1494" i="5"/>
  <c r="D1494" i="5"/>
  <c r="C1494" i="5"/>
  <c r="E1020" i="5"/>
  <c r="D1020" i="5"/>
  <c r="C1020" i="5"/>
  <c r="E489" i="5"/>
  <c r="D489" i="5"/>
  <c r="C489" i="5"/>
  <c r="E88" i="5"/>
  <c r="D88" i="5"/>
  <c r="C88" i="5"/>
  <c r="E2159" i="5"/>
  <c r="D2159" i="5"/>
  <c r="C2159" i="5"/>
  <c r="E1489" i="5"/>
  <c r="D1489" i="5"/>
  <c r="C1489" i="5"/>
  <c r="E2747" i="5"/>
  <c r="D2747" i="5"/>
  <c r="C2747" i="5"/>
  <c r="E2313" i="5"/>
  <c r="D2313" i="5"/>
  <c r="C2313" i="5"/>
  <c r="E45" i="5"/>
  <c r="D45" i="5"/>
  <c r="C45" i="5"/>
  <c r="E1233" i="5"/>
  <c r="D1233" i="5"/>
  <c r="C1233" i="5"/>
  <c r="E2966" i="5"/>
  <c r="D2966" i="5"/>
  <c r="C2966" i="5"/>
  <c r="E981" i="5"/>
  <c r="D981" i="5"/>
  <c r="C981" i="5"/>
  <c r="E3050" i="5"/>
  <c r="D3050" i="5"/>
  <c r="C3050" i="5"/>
  <c r="D1168" i="5"/>
  <c r="E1168" i="5"/>
  <c r="C1168" i="5"/>
  <c r="E2219" i="5"/>
  <c r="D2219" i="5"/>
  <c r="C2219" i="5"/>
  <c r="E1001" i="5"/>
  <c r="D1001" i="5"/>
  <c r="C1001" i="5"/>
  <c r="E997" i="5"/>
  <c r="D997" i="5"/>
  <c r="C997" i="5"/>
  <c r="E7" i="5"/>
  <c r="C7" i="5"/>
  <c r="D7" i="5"/>
  <c r="F228" i="5"/>
  <c r="E2489" i="4"/>
  <c r="F828" i="5"/>
  <c r="F812" i="5"/>
  <c r="F584" i="5"/>
  <c r="F562" i="5"/>
  <c r="F527" i="5"/>
  <c r="F493" i="5"/>
  <c r="F283" i="5"/>
  <c r="F1066" i="5"/>
  <c r="F2859" i="5"/>
  <c r="F2608" i="5"/>
  <c r="F1444" i="5"/>
  <c r="F8" i="5"/>
  <c r="F841" i="5"/>
  <c r="F226" i="5"/>
  <c r="F792" i="5"/>
  <c r="F49" i="5"/>
  <c r="F714" i="5"/>
  <c r="F3454" i="5"/>
  <c r="F3392" i="5"/>
  <c r="F3006" i="5"/>
  <c r="F2932" i="5"/>
  <c r="F2841" i="5"/>
  <c r="F2711" i="5"/>
  <c r="F838" i="5"/>
  <c r="F204" i="5"/>
  <c r="F292" i="5"/>
  <c r="F1026" i="5"/>
  <c r="F266" i="5"/>
  <c r="F854" i="5"/>
  <c r="F872" i="5"/>
  <c r="F1915" i="5"/>
  <c r="F1069" i="5"/>
  <c r="F175" i="5"/>
  <c r="F12" i="5"/>
  <c r="F899" i="5"/>
  <c r="F3657" i="5"/>
  <c r="F783" i="5"/>
  <c r="F1091" i="5"/>
  <c r="F180" i="5"/>
  <c r="F148" i="5"/>
  <c r="F1286" i="5"/>
  <c r="F83" i="5"/>
  <c r="F198" i="5"/>
  <c r="F849" i="5"/>
  <c r="F170" i="5"/>
  <c r="F224" i="5"/>
  <c r="F1954" i="5"/>
  <c r="F1561" i="5"/>
  <c r="F1272" i="5"/>
  <c r="F1089" i="5"/>
  <c r="F1067" i="5"/>
  <c r="F1544" i="5"/>
  <c r="F278" i="5"/>
  <c r="F3388" i="5"/>
  <c r="F3339" i="5"/>
  <c r="F3224" i="5"/>
  <c r="F3190" i="5"/>
  <c r="F3157" i="5"/>
  <c r="F2888" i="5"/>
  <c r="F2796" i="5"/>
  <c r="F2710" i="5"/>
  <c r="F263" i="5"/>
  <c r="F867" i="5"/>
  <c r="F329" i="5"/>
  <c r="F262" i="5"/>
  <c r="F2480" i="5"/>
  <c r="F320" i="5"/>
  <c r="F200" i="5"/>
  <c r="F336" i="5"/>
  <c r="F123" i="5"/>
  <c r="F215" i="5"/>
  <c r="F155" i="5"/>
  <c r="F86" i="5"/>
  <c r="F325" i="5"/>
  <c r="F1593" i="5"/>
  <c r="F163" i="5"/>
  <c r="F152" i="5"/>
  <c r="F188" i="5"/>
  <c r="F104" i="5"/>
  <c r="F613" i="5"/>
  <c r="F386" i="5"/>
  <c r="F1997" i="5"/>
  <c r="F195" i="5"/>
  <c r="F90" i="5"/>
  <c r="F856" i="5"/>
  <c r="F822" i="5"/>
  <c r="F803" i="5"/>
  <c r="F211" i="5"/>
  <c r="F355" i="5"/>
  <c r="F237" i="5"/>
  <c r="F2105" i="5"/>
  <c r="F1940" i="5"/>
  <c r="F145" i="5"/>
  <c r="F788" i="5"/>
  <c r="F89" i="5"/>
  <c r="F157" i="5"/>
  <c r="F857" i="5"/>
  <c r="F181" i="5"/>
  <c r="F897" i="5"/>
  <c r="F137" i="5"/>
  <c r="F222" i="5"/>
  <c r="F798" i="5"/>
  <c r="F2039" i="5"/>
  <c r="F2037" i="5"/>
  <c r="F2021" i="5"/>
  <c r="F1970" i="5"/>
  <c r="F1302" i="5"/>
  <c r="F1243" i="5"/>
  <c r="F706" i="5"/>
  <c r="F676" i="5"/>
  <c r="F289" i="5"/>
  <c r="F1012" i="5"/>
  <c r="F6" i="5"/>
  <c r="F1554" i="5"/>
  <c r="F1473" i="5"/>
  <c r="F291" i="5"/>
  <c r="F827" i="5"/>
  <c r="F813" i="5"/>
  <c r="F208" i="5"/>
  <c r="F833" i="5"/>
  <c r="F132" i="5"/>
  <c r="F29" i="5"/>
  <c r="F3209" i="5"/>
  <c r="F2925" i="5"/>
  <c r="F2829" i="5"/>
  <c r="F2769" i="5"/>
  <c r="F628" i="5"/>
  <c r="F598" i="5"/>
  <c r="F573" i="5"/>
  <c r="F509" i="5"/>
  <c r="F451" i="5"/>
  <c r="F411" i="5"/>
  <c r="F1973" i="5"/>
  <c r="F182" i="5"/>
  <c r="F3362" i="5"/>
  <c r="F3198" i="5"/>
  <c r="F3132" i="5"/>
  <c r="F2984" i="5"/>
  <c r="F2900" i="5"/>
  <c r="F2797" i="5"/>
  <c r="F2634" i="5"/>
  <c r="F2523" i="5"/>
  <c r="F2086" i="5"/>
  <c r="F1315" i="5"/>
  <c r="F1293" i="5"/>
  <c r="F863" i="5"/>
  <c r="F823" i="5"/>
  <c r="F893" i="5"/>
  <c r="F1008" i="5"/>
  <c r="F2054" i="5"/>
  <c r="F463" i="5"/>
  <c r="F9" i="5"/>
  <c r="F223" i="5"/>
  <c r="F35" i="5"/>
  <c r="F82" i="5"/>
  <c r="F160" i="5"/>
  <c r="F361" i="5"/>
  <c r="F218" i="5"/>
  <c r="F937" i="5"/>
  <c r="F172" i="5"/>
  <c r="F281" i="5"/>
  <c r="F277" i="5"/>
  <c r="F2838" i="5"/>
  <c r="F1016" i="5"/>
  <c r="F961" i="5"/>
  <c r="F194" i="5"/>
  <c r="F93" i="5"/>
  <c r="F41" i="5"/>
  <c r="F3708" i="5"/>
  <c r="F3536" i="5"/>
  <c r="F3476" i="5"/>
  <c r="F3385" i="5"/>
  <c r="F3191" i="5"/>
  <c r="F3124" i="5"/>
  <c r="F2999" i="5"/>
  <c r="F2951" i="5"/>
  <c r="F2689" i="5"/>
  <c r="F2653" i="5"/>
  <c r="F2555" i="5"/>
  <c r="F2405" i="5"/>
  <c r="F2322" i="5"/>
  <c r="F2255" i="5"/>
  <c r="F2230" i="5"/>
  <c r="F2176" i="5"/>
  <c r="F1934" i="5"/>
  <c r="F1916" i="5"/>
  <c r="F1885" i="5"/>
  <c r="F203" i="5"/>
  <c r="F53" i="5"/>
  <c r="F174" i="5"/>
  <c r="F2047" i="5"/>
  <c r="F1571" i="5"/>
  <c r="F912" i="5"/>
  <c r="E2583" i="4"/>
  <c r="F229" i="5"/>
  <c r="F917" i="5"/>
  <c r="F1256" i="5"/>
  <c r="F3313" i="5"/>
  <c r="F2595" i="5"/>
  <c r="F992" i="5"/>
  <c r="F865" i="5"/>
  <c r="F331" i="5"/>
  <c r="F319" i="5"/>
  <c r="F282" i="5"/>
  <c r="F265" i="5"/>
  <c r="F252" i="5"/>
  <c r="F221" i="5"/>
  <c r="F162" i="5"/>
  <c r="F101" i="5"/>
  <c r="F16" i="5"/>
  <c r="F3694" i="5"/>
  <c r="F904" i="5"/>
  <c r="F2103" i="5"/>
  <c r="F2087" i="5"/>
  <c r="F2015" i="5"/>
  <c r="F1070" i="5"/>
  <c r="F769" i="5"/>
  <c r="F762" i="5"/>
  <c r="F751" i="5"/>
  <c r="F740" i="5"/>
  <c r="F734" i="5"/>
  <c r="F727" i="5"/>
  <c r="F713" i="5"/>
  <c r="F705" i="5"/>
  <c r="F690" i="5"/>
  <c r="F679" i="5"/>
  <c r="F668" i="5"/>
  <c r="F660" i="5"/>
  <c r="F649" i="5"/>
  <c r="F639" i="5"/>
  <c r="F631" i="5"/>
  <c r="F623" i="5"/>
  <c r="F612" i="5"/>
  <c r="F605" i="5"/>
  <c r="F594" i="5"/>
  <c r="F583" i="5"/>
  <c r="F572" i="5"/>
  <c r="F565" i="5"/>
  <c r="F551" i="5"/>
  <c r="F540" i="5"/>
  <c r="F530" i="5"/>
  <c r="F522" i="5"/>
  <c r="F514" i="5"/>
  <c r="F504" i="5"/>
  <c r="F496" i="5"/>
  <c r="F485" i="5"/>
  <c r="F477" i="5"/>
  <c r="F466" i="5"/>
  <c r="F458" i="5"/>
  <c r="F441" i="5"/>
  <c r="F433" i="5"/>
  <c r="F425" i="5"/>
  <c r="F418" i="5"/>
  <c r="F410" i="5"/>
  <c r="F393" i="5"/>
  <c r="F385" i="5"/>
  <c r="F377" i="5"/>
  <c r="F370" i="5"/>
  <c r="F2554" i="5"/>
  <c r="F286" i="5"/>
  <c r="F274" i="5"/>
  <c r="F257" i="5"/>
  <c r="F245" i="5"/>
  <c r="F1467" i="5"/>
  <c r="F1300" i="5"/>
  <c r="F1218" i="5"/>
  <c r="F831" i="5"/>
  <c r="F165" i="5"/>
  <c r="F128" i="5"/>
  <c r="F3696" i="5"/>
  <c r="F280" i="5"/>
  <c r="F267" i="5"/>
  <c r="F259" i="5"/>
  <c r="F255" i="5"/>
  <c r="F243" i="5"/>
  <c r="F1977" i="5"/>
  <c r="F201" i="5"/>
  <c r="F122" i="5"/>
  <c r="F34" i="5"/>
  <c r="F220" i="5"/>
  <c r="F963" i="5"/>
  <c r="F362" i="5"/>
  <c r="F177" i="5"/>
  <c r="F891" i="5"/>
  <c r="F881" i="5"/>
  <c r="F845" i="5"/>
  <c r="F800" i="5"/>
  <c r="F796" i="5"/>
  <c r="F351" i="5"/>
  <c r="F1605" i="5"/>
  <c r="F269" i="5"/>
  <c r="F253" i="5"/>
  <c r="F241" i="5"/>
  <c r="F1022" i="5"/>
  <c r="F871" i="5"/>
  <c r="F186" i="5"/>
  <c r="F118" i="5"/>
  <c r="F22" i="5"/>
  <c r="F2622" i="5"/>
  <c r="F2587" i="5"/>
  <c r="F2522" i="5"/>
  <c r="F1342" i="5"/>
  <c r="F1292" i="5"/>
  <c r="F1116" i="5"/>
  <c r="F321" i="5"/>
  <c r="F317" i="5"/>
  <c r="F313" i="5"/>
  <c r="F258" i="5"/>
  <c r="F254" i="5"/>
  <c r="F246" i="5"/>
  <c r="F242" i="5"/>
  <c r="F1294" i="5"/>
  <c r="F697" i="5"/>
  <c r="F667" i="5"/>
  <c r="F634" i="5"/>
  <c r="F593" i="5"/>
  <c r="F567" i="5"/>
  <c r="F547" i="5"/>
  <c r="F517" i="5"/>
  <c r="F488" i="5"/>
  <c r="F473" i="5"/>
  <c r="F879" i="5"/>
  <c r="F3698" i="5"/>
  <c r="F1006" i="5"/>
  <c r="F138" i="5"/>
  <c r="F58" i="5"/>
  <c r="F78" i="5"/>
  <c r="F847" i="5"/>
  <c r="F124" i="5"/>
  <c r="F126" i="5"/>
  <c r="F191" i="5"/>
  <c r="F164" i="5"/>
  <c r="F3282" i="5"/>
  <c r="F1924" i="5"/>
  <c r="F1633" i="5"/>
  <c r="F1094" i="5"/>
  <c r="F907" i="5"/>
  <c r="F835" i="5"/>
  <c r="F341" i="5"/>
  <c r="F303" i="5"/>
  <c r="F256" i="5"/>
  <c r="F28" i="5"/>
  <c r="F131" i="5"/>
  <c r="F346" i="5"/>
  <c r="D1487" i="4"/>
  <c r="F235" i="5"/>
  <c r="F861" i="5"/>
  <c r="F50" i="5"/>
  <c r="F149" i="5"/>
  <c r="F199" i="5"/>
  <c r="E3340" i="4"/>
  <c r="F1962" i="5"/>
  <c r="F2095" i="5"/>
  <c r="F359" i="5"/>
  <c r="F2101" i="5"/>
  <c r="F973" i="5"/>
  <c r="F883" i="5"/>
  <c r="F357" i="5"/>
  <c r="F323" i="5"/>
  <c r="F311" i="5"/>
  <c r="F166" i="5"/>
  <c r="F151" i="5"/>
  <c r="F97" i="5"/>
  <c r="F67" i="5"/>
  <c r="F1270" i="5"/>
  <c r="F1079" i="5"/>
  <c r="F1044" i="5"/>
  <c r="F927" i="5"/>
  <c r="F85" i="5"/>
  <c r="F301" i="5"/>
  <c r="F276" i="5"/>
  <c r="F251" i="5"/>
  <c r="F2484" i="5"/>
  <c r="F2476" i="5"/>
  <c r="F2389" i="5"/>
  <c r="F2381" i="5"/>
  <c r="F2373" i="5"/>
  <c r="F2365" i="5"/>
  <c r="F2357" i="5"/>
  <c r="F1921" i="5"/>
  <c r="F1617" i="5"/>
  <c r="F1422" i="5"/>
  <c r="F1372" i="5"/>
  <c r="F1290" i="5"/>
  <c r="F1282" i="5"/>
  <c r="F179" i="5"/>
  <c r="F150" i="5"/>
  <c r="F47" i="5"/>
  <c r="F1325" i="5"/>
  <c r="F75" i="5"/>
  <c r="F20" i="5"/>
  <c r="F10" i="5"/>
  <c r="F117" i="5"/>
  <c r="F103" i="5"/>
  <c r="F84" i="5"/>
  <c r="F957" i="5"/>
  <c r="F153" i="5"/>
  <c r="F1254" i="5"/>
  <c r="F1625" i="5"/>
  <c r="F1919" i="5"/>
  <c r="F1969" i="5"/>
  <c r="F2443" i="5"/>
  <c r="F3293" i="5"/>
  <c r="F3310" i="5"/>
  <c r="F2584" i="5"/>
  <c r="F2813" i="5"/>
  <c r="F2660" i="5"/>
  <c r="F2570" i="5"/>
  <c r="F2521" i="5"/>
  <c r="F2488" i="5"/>
  <c r="F2107" i="5"/>
  <c r="F2091" i="5"/>
  <c r="F2075" i="5"/>
  <c r="F1899" i="5"/>
  <c r="F1563" i="5"/>
  <c r="F1502" i="5"/>
  <c r="F3526" i="5"/>
  <c r="F2795" i="5"/>
  <c r="F2545" i="5"/>
  <c r="F2533" i="5"/>
  <c r="F2525" i="5"/>
  <c r="F2517" i="5"/>
  <c r="F2506" i="5"/>
  <c r="F2498" i="5"/>
  <c r="F2481" i="5"/>
  <c r="F2473" i="5"/>
  <c r="F2073" i="5"/>
  <c r="F1624" i="5"/>
  <c r="F1516" i="5"/>
  <c r="F1428" i="5"/>
  <c r="F1328" i="5"/>
  <c r="F1320" i="5"/>
  <c r="F1262" i="5"/>
  <c r="F1071" i="5"/>
  <c r="F983" i="5"/>
  <c r="F2460" i="5"/>
  <c r="F969" i="5"/>
  <c r="F843" i="5"/>
  <c r="F786" i="5"/>
  <c r="F349" i="5"/>
  <c r="F337" i="5"/>
  <c r="F322" i="5"/>
  <c r="F306" i="5"/>
  <c r="F143" i="5"/>
  <c r="F56" i="5"/>
  <c r="F38" i="5"/>
  <c r="F2543" i="5"/>
  <c r="F1956" i="5"/>
  <c r="F1949" i="5"/>
  <c r="F1894" i="5"/>
  <c r="F1540" i="5"/>
  <c r="F1433" i="5"/>
  <c r="F1278" i="5"/>
  <c r="F771" i="5"/>
  <c r="F753" i="5"/>
  <c r="F736" i="5"/>
  <c r="F688" i="5"/>
  <c r="F673" i="5"/>
  <c r="F655" i="5"/>
  <c r="F641" i="5"/>
  <c r="F618" i="5"/>
  <c r="F603" i="5"/>
  <c r="F585" i="5"/>
  <c r="F570" i="5"/>
  <c r="F560" i="5"/>
  <c r="F546" i="5"/>
  <c r="F502" i="5"/>
  <c r="F487" i="5"/>
  <c r="F472" i="5"/>
  <c r="F456" i="5"/>
  <c r="F443" i="5"/>
  <c r="F427" i="5"/>
  <c r="F335" i="5"/>
  <c r="F309" i="5"/>
  <c r="F305" i="5"/>
  <c r="F270" i="5"/>
  <c r="F250" i="5"/>
  <c r="F3037" i="5"/>
  <c r="F733" i="5"/>
  <c r="F719" i="5"/>
  <c r="F682" i="5"/>
  <c r="F652" i="5"/>
  <c r="F533" i="5"/>
  <c r="F499" i="5"/>
  <c r="F457" i="5"/>
  <c r="F1077" i="5"/>
  <c r="F804" i="5"/>
  <c r="F206" i="5"/>
  <c r="F185" i="5"/>
  <c r="F168" i="5"/>
  <c r="F971" i="5"/>
  <c r="F877" i="5"/>
  <c r="F135" i="5"/>
  <c r="F106" i="5"/>
  <c r="F21" i="5"/>
  <c r="F1010" i="5"/>
  <c r="F896" i="5"/>
  <c r="F886" i="5"/>
  <c r="F878" i="5"/>
  <c r="F860" i="5"/>
  <c r="F844" i="5"/>
  <c r="F834" i="5"/>
  <c r="F826" i="5"/>
  <c r="F818" i="5"/>
  <c r="F810" i="5"/>
  <c r="F799" i="5"/>
  <c r="F781" i="5"/>
  <c r="F343" i="5"/>
  <c r="F3019" i="5"/>
  <c r="F2902" i="5"/>
  <c r="F2891" i="5"/>
  <c r="F2802" i="5"/>
  <c r="F2640" i="5"/>
  <c r="F2502" i="5"/>
  <c r="F2485" i="5"/>
  <c r="F2477" i="5"/>
  <c r="F2077" i="5"/>
  <c r="F1892" i="5"/>
  <c r="F1520" i="5"/>
  <c r="F1512" i="5"/>
  <c r="F1324" i="5"/>
  <c r="F1266" i="5"/>
  <c r="F1038" i="5"/>
  <c r="F947" i="5"/>
  <c r="F889" i="5"/>
  <c r="F851" i="5"/>
  <c r="F802" i="5"/>
  <c r="F345" i="5"/>
  <c r="F327" i="5"/>
  <c r="F315" i="5"/>
  <c r="F260" i="5"/>
  <c r="F248" i="5"/>
  <c r="F217" i="5"/>
  <c r="F133" i="5"/>
  <c r="F100" i="5"/>
  <c r="F30" i="5"/>
  <c r="F13" i="5"/>
  <c r="F2468" i="5"/>
  <c r="F2448" i="5"/>
  <c r="F1960" i="5"/>
  <c r="F1952" i="5"/>
  <c r="F1532" i="5"/>
  <c r="F1264" i="5"/>
  <c r="F1237" i="5"/>
  <c r="F760" i="5"/>
  <c r="F746" i="5"/>
  <c r="F696" i="5"/>
  <c r="F681" i="5"/>
  <c r="F662" i="5"/>
  <c r="F647" i="5"/>
  <c r="F629" i="5"/>
  <c r="F610" i="5"/>
  <c r="F592" i="5"/>
  <c r="F577" i="5"/>
  <c r="F563" i="5"/>
  <c r="F553" i="5"/>
  <c r="F538" i="5"/>
  <c r="F494" i="5"/>
  <c r="F479" i="5"/>
  <c r="F464" i="5"/>
  <c r="F449" i="5"/>
  <c r="F435" i="5"/>
  <c r="F3718" i="5"/>
  <c r="F1463" i="5"/>
  <c r="F1260" i="5"/>
  <c r="F2635" i="5"/>
  <c r="F1999" i="5"/>
  <c r="F1983" i="5"/>
  <c r="F1316" i="5"/>
  <c r="F1288" i="5"/>
  <c r="F1226" i="5"/>
  <c r="F332" i="5"/>
  <c r="F328" i="5"/>
  <c r="F316" i="5"/>
  <c r="F312" i="5"/>
  <c r="F304" i="5"/>
  <c r="F299" i="5"/>
  <c r="F236" i="5"/>
  <c r="F232" i="5"/>
  <c r="F2697" i="5"/>
  <c r="F2665" i="5"/>
  <c r="F2501" i="5"/>
  <c r="F1989" i="5"/>
  <c r="F1981" i="5"/>
  <c r="F1552" i="5"/>
  <c r="F1475" i="5"/>
  <c r="F1234" i="5"/>
  <c r="F1215" i="5"/>
  <c r="F1180" i="5"/>
  <c r="F1172" i="5"/>
  <c r="F1108" i="5"/>
  <c r="F140" i="5"/>
  <c r="F1274" i="5"/>
  <c r="F55" i="5"/>
  <c r="F3399" i="5"/>
  <c r="F3342" i="5"/>
  <c r="F3120" i="5"/>
  <c r="F3109" i="5"/>
  <c r="F3072" i="5"/>
  <c r="F3057" i="5"/>
  <c r="F3020" i="5"/>
  <c r="F2968" i="5"/>
  <c r="F2950" i="5"/>
  <c r="F2929" i="5"/>
  <c r="F2892" i="5"/>
  <c r="F2862" i="5"/>
  <c r="F2833" i="5"/>
  <c r="F2788" i="5"/>
  <c r="F2759" i="5"/>
  <c r="F2707" i="5"/>
  <c r="F2663" i="5"/>
  <c r="F2611" i="5"/>
  <c r="F2562" i="5"/>
  <c r="F2503" i="5"/>
  <c r="F2478" i="5"/>
  <c r="F2064" i="5"/>
  <c r="F2038" i="5"/>
  <c r="F1904" i="5"/>
  <c r="F1584" i="5"/>
  <c r="F763" i="5"/>
  <c r="F741" i="5"/>
  <c r="F699" i="5"/>
  <c r="F650" i="5"/>
  <c r="F636" i="5"/>
  <c r="F624" i="5"/>
  <c r="F545" i="5"/>
  <c r="F531" i="5"/>
  <c r="F519" i="5"/>
  <c r="F497" i="5"/>
  <c r="F467" i="5"/>
  <c r="F442" i="5"/>
  <c r="F426" i="5"/>
  <c r="F415" i="5"/>
  <c r="F367" i="5"/>
  <c r="F943" i="5"/>
  <c r="F819" i="5"/>
  <c r="F214" i="5"/>
  <c r="F3705" i="5"/>
  <c r="F1046" i="5"/>
  <c r="F1032" i="5"/>
  <c r="F1028" i="5"/>
  <c r="F219" i="5"/>
  <c r="F1062" i="5"/>
  <c r="F959" i="5"/>
  <c r="F919" i="5"/>
  <c r="F821" i="5"/>
  <c r="F167" i="5"/>
  <c r="F99" i="5"/>
  <c r="F1036" i="5"/>
  <c r="F1014" i="5"/>
  <c r="F48" i="5"/>
  <c r="F432" i="5"/>
  <c r="F388" i="5"/>
  <c r="F372" i="5"/>
  <c r="F794" i="5"/>
  <c r="F108" i="5"/>
  <c r="F26" i="5"/>
  <c r="F3161" i="5"/>
  <c r="F1084" i="5"/>
  <c r="F121" i="5"/>
  <c r="F3674" i="5"/>
  <c r="F3542" i="5"/>
  <c r="F3479" i="5"/>
  <c r="F3335" i="5"/>
  <c r="F3325" i="5"/>
  <c r="F3116" i="5"/>
  <c r="F3105" i="5"/>
  <c r="F3101" i="5"/>
  <c r="F3083" i="5"/>
  <c r="F3079" i="5"/>
  <c r="F3068" i="5"/>
  <c r="F3053" i="5"/>
  <c r="F3027" i="5"/>
  <c r="F3016" i="5"/>
  <c r="F2965" i="5"/>
  <c r="F2939" i="5"/>
  <c r="F2921" i="5"/>
  <c r="F2914" i="5"/>
  <c r="F2884" i="5"/>
  <c r="F2847" i="5"/>
  <c r="F2825" i="5"/>
  <c r="F2818" i="5"/>
  <c r="F2751" i="5"/>
  <c r="F2744" i="5"/>
  <c r="F2729" i="5"/>
  <c r="F2688" i="5"/>
  <c r="F2637" i="5"/>
  <c r="F2594" i="5"/>
  <c r="F2495" i="5"/>
  <c r="F2375" i="5"/>
  <c r="F2302" i="5"/>
  <c r="F2222" i="5"/>
  <c r="F2198" i="5"/>
  <c r="F2112" i="5"/>
  <c r="F2030" i="5"/>
  <c r="F1632" i="5"/>
  <c r="F1612" i="5"/>
  <c r="F1547" i="5"/>
  <c r="F1466" i="5"/>
  <c r="F1263" i="5"/>
  <c r="F1147" i="5"/>
  <c r="F1128" i="5"/>
  <c r="F207" i="5"/>
  <c r="F1053" i="5"/>
  <c r="F949" i="5"/>
  <c r="F210" i="5"/>
  <c r="F192" i="5"/>
  <c r="F933" i="5"/>
  <c r="F159" i="5"/>
  <c r="F18" i="5"/>
  <c r="F929" i="5"/>
  <c r="F873" i="5"/>
  <c r="F855" i="5"/>
  <c r="F815" i="5"/>
  <c r="F784" i="5"/>
  <c r="F776" i="5"/>
  <c r="F187" i="5"/>
  <c r="F977" i="5"/>
  <c r="F945" i="5"/>
  <c r="F906" i="5"/>
  <c r="F839" i="5"/>
  <c r="F790" i="5"/>
  <c r="F965" i="5"/>
  <c r="F91" i="5"/>
  <c r="F2683" i="5"/>
  <c r="F73" i="5"/>
  <c r="E994" i="4"/>
  <c r="F829" i="5"/>
  <c r="F811" i="5"/>
  <c r="F354" i="5"/>
  <c r="F213" i="5"/>
  <c r="F197" i="5"/>
  <c r="F112" i="5"/>
  <c r="F64" i="5"/>
  <c r="F11" i="5"/>
  <c r="E1360" i="4"/>
  <c r="F2464" i="5"/>
  <c r="F2909" i="5"/>
  <c r="F2806" i="5"/>
  <c r="F998" i="5"/>
  <c r="F1217" i="5"/>
  <c r="F1443" i="5"/>
  <c r="F2081" i="5"/>
  <c r="F988" i="5"/>
  <c r="F787" i="5"/>
  <c r="F2724" i="5"/>
  <c r="F2447" i="5"/>
  <c r="F766" i="5"/>
  <c r="F758" i="5"/>
  <c r="F744" i="5"/>
  <c r="F738" i="5"/>
  <c r="F730" i="5"/>
  <c r="F720" i="5"/>
  <c r="F709" i="5"/>
  <c r="F694" i="5"/>
  <c r="F683" i="5"/>
  <c r="F675" i="5"/>
  <c r="F664" i="5"/>
  <c r="F653" i="5"/>
  <c r="F643" i="5"/>
  <c r="F635" i="5"/>
  <c r="F627" i="5"/>
  <c r="F616" i="5"/>
  <c r="F608" i="5"/>
  <c r="F601" i="5"/>
  <c r="F590" i="5"/>
  <c r="F579" i="5"/>
  <c r="F568" i="5"/>
  <c r="F555" i="5"/>
  <c r="F548" i="5"/>
  <c r="F536" i="5"/>
  <c r="F526" i="5"/>
  <c r="F518" i="5"/>
  <c r="F508" i="5"/>
  <c r="F500" i="5"/>
  <c r="F492" i="5"/>
  <c r="F481" i="5"/>
  <c r="F470" i="5"/>
  <c r="F462" i="5"/>
  <c r="F454" i="5"/>
  <c r="F437" i="5"/>
  <c r="F429" i="5"/>
  <c r="F421" i="5"/>
  <c r="F414" i="5"/>
  <c r="F406" i="5"/>
  <c r="F389" i="5"/>
  <c r="F381" i="5"/>
  <c r="F373" i="5"/>
  <c r="F366" i="5"/>
  <c r="F2740" i="5"/>
  <c r="F105" i="5"/>
  <c r="F2612" i="5"/>
  <c r="F1228" i="5"/>
  <c r="F1064" i="5"/>
  <c r="F862" i="5"/>
  <c r="F793" i="5"/>
  <c r="F728" i="5"/>
  <c r="F595" i="5"/>
  <c r="F559" i="5"/>
  <c r="F394" i="5"/>
  <c r="F1000" i="5"/>
  <c r="F2093" i="5"/>
  <c r="F1548" i="5"/>
  <c r="F1441" i="5"/>
  <c r="F902" i="5"/>
  <c r="F869" i="5"/>
  <c r="F809" i="5"/>
  <c r="F193" i="5"/>
  <c r="F25" i="5"/>
  <c r="F3670" i="5"/>
  <c r="F3495" i="5"/>
  <c r="F3426" i="5"/>
  <c r="F3418" i="5"/>
  <c r="F3377" i="5"/>
  <c r="F3351" i="5"/>
  <c r="F3326" i="5"/>
  <c r="F3315" i="5"/>
  <c r="F3270" i="5"/>
  <c r="F3247" i="5"/>
  <c r="F3214" i="5"/>
  <c r="F3187" i="5"/>
  <c r="F3150" i="5"/>
  <c r="F3143" i="5"/>
  <c r="F3087" i="5"/>
  <c r="F3058" i="5"/>
  <c r="F3025" i="5"/>
  <c r="F2980" i="5"/>
  <c r="F2904" i="5"/>
  <c r="F2878" i="5"/>
  <c r="F2863" i="5"/>
  <c r="F2722" i="5"/>
  <c r="F2715" i="5"/>
  <c r="F2519" i="5"/>
  <c r="F2475" i="5"/>
  <c r="F2409" i="5"/>
  <c r="F2376" i="5"/>
  <c r="F2360" i="5"/>
  <c r="F2345" i="5"/>
  <c r="F2337" i="5"/>
  <c r="F2234" i="5"/>
  <c r="F2206" i="5"/>
  <c r="F2191" i="5"/>
  <c r="F2090" i="5"/>
  <c r="F1474" i="5"/>
  <c r="F1257" i="5"/>
  <c r="F1245" i="5"/>
  <c r="F1229" i="5"/>
  <c r="F1187" i="5"/>
  <c r="F1129" i="5"/>
  <c r="F1034" i="5"/>
  <c r="F778" i="5"/>
  <c r="F3142" i="5"/>
  <c r="F993" i="5"/>
  <c r="F982" i="5"/>
  <c r="F974" i="5"/>
  <c r="F966" i="5"/>
  <c r="F958" i="5"/>
  <c r="F948" i="5"/>
  <c r="F940" i="5"/>
  <c r="F930" i="5"/>
  <c r="F922" i="5"/>
  <c r="F910" i="5"/>
  <c r="F901" i="5"/>
  <c r="F890" i="5"/>
  <c r="F882" i="5"/>
  <c r="F874" i="5"/>
  <c r="F864" i="5"/>
  <c r="F848" i="5"/>
  <c r="F840" i="5"/>
  <c r="F830" i="5"/>
  <c r="F814" i="5"/>
  <c r="F795" i="5"/>
  <c r="F777" i="5"/>
  <c r="F364" i="5"/>
  <c r="F339" i="5"/>
  <c r="F3725" i="5"/>
  <c r="F3459" i="5"/>
  <c r="F3404" i="5"/>
  <c r="F3390" i="5"/>
  <c r="F3370" i="5"/>
  <c r="F3352" i="5"/>
  <c r="F3319" i="5"/>
  <c r="F3248" i="5"/>
  <c r="F3222" i="5"/>
  <c r="F3188" i="5"/>
  <c r="F3173" i="5"/>
  <c r="F3140" i="5"/>
  <c r="F3125" i="5"/>
  <c r="F3077" i="5"/>
  <c r="F3040" i="5"/>
  <c r="F3029" i="5"/>
  <c r="F2992" i="5"/>
  <c r="F2974" i="5"/>
  <c r="F2955" i="5"/>
  <c r="F2944" i="5"/>
  <c r="F2933" i="5"/>
  <c r="F2905" i="5"/>
  <c r="F2886" i="5"/>
  <c r="F2868" i="5"/>
  <c r="F2853" i="5"/>
  <c r="F2809" i="5"/>
  <c r="F2790" i="5"/>
  <c r="F2738" i="5"/>
  <c r="F2723" i="5"/>
  <c r="F2679" i="5"/>
  <c r="F2650" i="5"/>
  <c r="F2624" i="5"/>
  <c r="F2575" i="5"/>
  <c r="F2564" i="5"/>
  <c r="F2548" i="5"/>
  <c r="F2449" i="5"/>
  <c r="F2125" i="5"/>
  <c r="F2118" i="5"/>
  <c r="F2072" i="5"/>
  <c r="F2058" i="5"/>
  <c r="F2028" i="5"/>
  <c r="F2012" i="5"/>
  <c r="F1935" i="5"/>
  <c r="F1906" i="5"/>
  <c r="F1610" i="5"/>
  <c r="F1594" i="5"/>
  <c r="F1578" i="5"/>
  <c r="F1560" i="5"/>
  <c r="F1537" i="5"/>
  <c r="F1515" i="5"/>
  <c r="F1492" i="5"/>
  <c r="F1459" i="5"/>
  <c r="F1438" i="5"/>
  <c r="F1340" i="5"/>
  <c r="F1327" i="5"/>
  <c r="F1279" i="5"/>
  <c r="F1265" i="5"/>
  <c r="F1126" i="5"/>
  <c r="F1085" i="5"/>
  <c r="F353" i="5"/>
  <c r="F205" i="5"/>
  <c r="F71" i="5"/>
  <c r="F212" i="5"/>
  <c r="F178" i="5"/>
  <c r="F92" i="5"/>
  <c r="F59" i="5"/>
  <c r="F44" i="5"/>
  <c r="F1381" i="5"/>
  <c r="F1364" i="5"/>
  <c r="F1345" i="5"/>
  <c r="F1209" i="5"/>
  <c r="F171" i="5"/>
  <c r="F967" i="5"/>
  <c r="F116" i="5"/>
  <c r="F98" i="5"/>
  <c r="F79" i="5"/>
  <c r="F68" i="5"/>
  <c r="F27" i="5"/>
  <c r="F14" i="5"/>
  <c r="F990" i="5"/>
  <c r="F43" i="5"/>
  <c r="F76" i="5"/>
  <c r="F2123" i="5"/>
  <c r="F2059" i="5"/>
  <c r="F2019" i="5"/>
  <c r="F1611" i="5"/>
  <c r="F1595" i="5"/>
  <c r="F1579" i="5"/>
  <c r="F1542" i="5"/>
  <c r="F1526" i="5"/>
  <c r="F1477" i="5"/>
  <c r="F1461" i="5"/>
  <c r="F1439" i="5"/>
  <c r="F363" i="5"/>
  <c r="F3547" i="5"/>
  <c r="F3497" i="5"/>
  <c r="F3482" i="5"/>
  <c r="F3467" i="5"/>
  <c r="F3460" i="5"/>
  <c r="F3450" i="5"/>
  <c r="F3446" i="5"/>
  <c r="F3431" i="5"/>
  <c r="F3402" i="5"/>
  <c r="F3383" i="5"/>
  <c r="F3324" i="5"/>
  <c r="F3287" i="5"/>
  <c r="F3264" i="5"/>
  <c r="F3249" i="5"/>
  <c r="F3234" i="5"/>
  <c r="F3216" i="5"/>
  <c r="F3200" i="5"/>
  <c r="F3178" i="5"/>
  <c r="F3159" i="5"/>
  <c r="F3148" i="5"/>
  <c r="F3115" i="5"/>
  <c r="F3100" i="5"/>
  <c r="F3082" i="5"/>
  <c r="F3063" i="5"/>
  <c r="F3052" i="5"/>
  <c r="F3030" i="5"/>
  <c r="F3008" i="5"/>
  <c r="F2993" i="5"/>
  <c r="F2986" i="5"/>
  <c r="F2967" i="5"/>
  <c r="F2953" i="5"/>
  <c r="F2917" i="5"/>
  <c r="F2880" i="5"/>
  <c r="F2865" i="5"/>
  <c r="F2839" i="5"/>
  <c r="F2828" i="5"/>
  <c r="F2787" i="5"/>
  <c r="F2776" i="5"/>
  <c r="F2754" i="5"/>
  <c r="F2735" i="5"/>
  <c r="F2717" i="5"/>
  <c r="F2691" i="5"/>
  <c r="F2676" i="5"/>
  <c r="F2655" i="5"/>
  <c r="F2651" i="5"/>
  <c r="F2625" i="5"/>
  <c r="F2610" i="5"/>
  <c r="F2593" i="5"/>
  <c r="F2565" i="5"/>
  <c r="F2561" i="5"/>
  <c r="F2553" i="5"/>
  <c r="F2541" i="5"/>
  <c r="F2537" i="5"/>
  <c r="F2470" i="5"/>
  <c r="F2462" i="5"/>
  <c r="F2442" i="5"/>
  <c r="F2427" i="5"/>
  <c r="F2400" i="5"/>
  <c r="F2393" i="5"/>
  <c r="F2378" i="5"/>
  <c r="F2362" i="5"/>
  <c r="F2347" i="5"/>
  <c r="F2331" i="5"/>
  <c r="F2320" i="5"/>
  <c r="F2305" i="5"/>
  <c r="F2281" i="5"/>
  <c r="F2260" i="5"/>
  <c r="F2236" i="5"/>
  <c r="F2228" i="5"/>
  <c r="F2201" i="5"/>
  <c r="F2185" i="5"/>
  <c r="F2164" i="5"/>
  <c r="F2153" i="5"/>
  <c r="F2096" i="5"/>
  <c r="F2066" i="5"/>
  <c r="F2029" i="5"/>
  <c r="F2013" i="5"/>
  <c r="F1943" i="5"/>
  <c r="F1851" i="5"/>
  <c r="F1841" i="5"/>
  <c r="F1831" i="5"/>
  <c r="F1823" i="5"/>
  <c r="F1815" i="5"/>
  <c r="F1807" i="5"/>
  <c r="F1799" i="5"/>
  <c r="F1627" i="5"/>
  <c r="F1614" i="5"/>
  <c r="F1569" i="5"/>
  <c r="F1553" i="5"/>
  <c r="F1504" i="5"/>
  <c r="F1479" i="5"/>
  <c r="F1456" i="5"/>
  <c r="F1420" i="5"/>
  <c r="F1407" i="5"/>
  <c r="F1399" i="5"/>
  <c r="F1388" i="5"/>
  <c r="F1380" i="5"/>
  <c r="F1373" i="5"/>
  <c r="F1363" i="5"/>
  <c r="F1317" i="5"/>
  <c r="F1283" i="5"/>
  <c r="F1280" i="5"/>
  <c r="F1259" i="5"/>
  <c r="F1220" i="5"/>
  <c r="F1212" i="5"/>
  <c r="F1204" i="5"/>
  <c r="F1181" i="5"/>
  <c r="F1167" i="5"/>
  <c r="F1142" i="5"/>
  <c r="F1127" i="5"/>
  <c r="F1111" i="5"/>
  <c r="F1101" i="5"/>
  <c r="F698" i="5"/>
  <c r="F723" i="5"/>
  <c r="F773" i="5"/>
  <c r="F1255" i="5"/>
  <c r="F1449" i="5"/>
  <c r="F1925" i="5"/>
  <c r="F1972" i="5"/>
  <c r="F2010" i="5"/>
  <c r="F3295" i="5"/>
  <c r="F3093" i="5"/>
  <c r="F2119" i="5"/>
  <c r="F2071" i="5"/>
  <c r="F1911" i="5"/>
  <c r="F1607" i="5"/>
  <c r="F1591" i="5"/>
  <c r="F1575" i="5"/>
  <c r="F1538" i="5"/>
  <c r="F1457" i="5"/>
  <c r="F3681" i="5"/>
  <c r="F3452" i="5"/>
  <c r="F3435" i="5"/>
  <c r="F3387" i="5"/>
  <c r="F3367" i="5"/>
  <c r="F3330" i="5"/>
  <c r="F3291" i="5"/>
  <c r="F3256" i="5"/>
  <c r="F3204" i="5"/>
  <c r="F3152" i="5"/>
  <c r="F3119" i="5"/>
  <c r="F3104" i="5"/>
  <c r="F3056" i="5"/>
  <c r="F3041" i="5"/>
  <c r="F3012" i="5"/>
  <c r="F2997" i="5"/>
  <c r="F2956" i="5"/>
  <c r="F2934" i="5"/>
  <c r="F2920" i="5"/>
  <c r="F2869" i="5"/>
  <c r="F2832" i="5"/>
  <c r="F2817" i="5"/>
  <c r="F2780" i="5"/>
  <c r="F2758" i="5"/>
  <c r="F2739" i="5"/>
  <c r="F2698" i="5"/>
  <c r="F2672" i="5"/>
  <c r="F2658" i="5"/>
  <c r="F2647" i="5"/>
  <c r="F2614" i="5"/>
  <c r="F2597" i="5"/>
  <c r="F2569" i="5"/>
  <c r="F2557" i="5"/>
  <c r="F2100" i="5"/>
  <c r="F2084" i="5"/>
  <c r="F2041" i="5"/>
  <c r="F2033" i="5"/>
  <c r="F2025" i="5"/>
  <c r="F2017" i="5"/>
  <c r="F2009" i="5"/>
  <c r="F1998" i="5"/>
  <c r="F1990" i="5"/>
  <c r="F1982" i="5"/>
  <c r="F1974" i="5"/>
  <c r="F1958" i="5"/>
  <c r="F1947" i="5"/>
  <c r="F1573" i="5"/>
  <c r="F1565" i="5"/>
  <c r="F1557" i="5"/>
  <c r="F1523" i="5"/>
  <c r="F1500" i="5"/>
  <c r="F1472" i="5"/>
  <c r="F1306" i="5"/>
  <c r="F1298" i="5"/>
  <c r="F1287" i="5"/>
  <c r="F1276" i="5"/>
  <c r="F1269" i="5"/>
  <c r="F1239" i="5"/>
  <c r="F1224" i="5"/>
  <c r="F1216" i="5"/>
  <c r="F1160" i="5"/>
  <c r="F1086" i="5"/>
  <c r="F722" i="5"/>
  <c r="F704" i="5"/>
  <c r="F693" i="5"/>
  <c r="F671" i="5"/>
  <c r="F656" i="5"/>
  <c r="F638" i="5"/>
  <c r="F622" i="5"/>
  <c r="F611" i="5"/>
  <c r="F600" i="5"/>
  <c r="F586" i="5"/>
  <c r="F571" i="5"/>
  <c r="F535" i="5"/>
  <c r="F521" i="5"/>
  <c r="F511" i="5"/>
  <c r="F495" i="5"/>
  <c r="F476" i="5"/>
  <c r="F461" i="5"/>
  <c r="F428" i="5"/>
  <c r="F413" i="5"/>
  <c r="F400" i="5"/>
  <c r="F392" i="5"/>
  <c r="F376" i="5"/>
  <c r="F2117" i="5"/>
  <c r="F1597" i="5"/>
  <c r="F1429" i="5"/>
  <c r="F806" i="5"/>
  <c r="F782" i="5"/>
  <c r="F52" i="5"/>
  <c r="F3358" i="5"/>
  <c r="F3251" i="5"/>
  <c r="F3221" i="5"/>
  <c r="F3095" i="5"/>
  <c r="F3065" i="5"/>
  <c r="F3032" i="5"/>
  <c r="F2958" i="5"/>
  <c r="F2885" i="5"/>
  <c r="F2793" i="5"/>
  <c r="F2762" i="5"/>
  <c r="F2668" i="5"/>
  <c r="F2638" i="5"/>
  <c r="F2619" i="5"/>
  <c r="F2578" i="5"/>
  <c r="F2527" i="5"/>
  <c r="F2098" i="5"/>
  <c r="F2007" i="5"/>
  <c r="F1988" i="5"/>
  <c r="F1484" i="5"/>
  <c r="F1322" i="5"/>
  <c r="F1289" i="5"/>
  <c r="F1148" i="5"/>
  <c r="F379" i="5"/>
  <c r="F368" i="5"/>
  <c r="F916" i="5"/>
  <c r="F216" i="5"/>
  <c r="F139" i="5"/>
  <c r="F111" i="5"/>
  <c r="F70" i="5"/>
  <c r="F3621" i="5"/>
  <c r="F3468" i="5"/>
  <c r="F3461" i="5"/>
  <c r="F1078" i="5"/>
  <c r="F1059" i="5"/>
  <c r="F1050" i="5"/>
  <c r="F1037" i="5"/>
  <c r="F1027" i="5"/>
  <c r="F1019" i="5"/>
  <c r="F1011" i="5"/>
  <c r="F898" i="5"/>
  <c r="F888" i="5"/>
  <c r="F880" i="5"/>
  <c r="F846" i="5"/>
  <c r="F820" i="5"/>
  <c r="F801" i="5"/>
  <c r="F352" i="5"/>
  <c r="F324" i="5"/>
  <c r="F308" i="5"/>
  <c r="F935" i="5"/>
  <c r="F295" i="5"/>
  <c r="F275" i="5"/>
  <c r="F154" i="5"/>
  <c r="F129" i="5"/>
  <c r="F2388" i="5"/>
  <c r="F2356" i="5"/>
  <c r="F2195" i="5"/>
  <c r="F1996" i="5"/>
  <c r="F1866" i="5"/>
  <c r="F1839" i="5"/>
  <c r="F1821" i="5"/>
  <c r="F1809" i="5"/>
  <c r="F1770" i="5"/>
  <c r="F1754" i="5"/>
  <c r="F1742" i="5"/>
  <c r="F1730" i="5"/>
  <c r="F1715" i="5"/>
  <c r="F1704" i="5"/>
  <c r="F1689" i="5"/>
  <c r="F1675" i="5"/>
  <c r="F1654" i="5"/>
  <c r="F1640" i="5"/>
  <c r="F1629" i="5"/>
  <c r="F1430" i="5"/>
  <c r="F1175" i="5"/>
  <c r="F1107" i="5"/>
  <c r="F1095" i="5"/>
  <c r="F161" i="5"/>
  <c r="F114" i="5"/>
  <c r="F81" i="5"/>
  <c r="F37" i="5"/>
  <c r="F2526" i="5"/>
  <c r="F1186" i="5"/>
  <c r="F1170" i="5"/>
  <c r="F1024" i="5"/>
  <c r="F141" i="5"/>
  <c r="F130" i="5"/>
  <c r="F69" i="5"/>
  <c r="F54" i="5"/>
  <c r="F60" i="5"/>
  <c r="F3447" i="5"/>
  <c r="F3432" i="5"/>
  <c r="F3384" i="5"/>
  <c r="F3331" i="5"/>
  <c r="F3321" i="5"/>
  <c r="F3314" i="5"/>
  <c r="F3269" i="5"/>
  <c r="F3254" i="5"/>
  <c r="F3239" i="5"/>
  <c r="F3220" i="5"/>
  <c r="F3217" i="5"/>
  <c r="F3205" i="5"/>
  <c r="F3201" i="5"/>
  <c r="F3186" i="5"/>
  <c r="F3179" i="5"/>
  <c r="F3168" i="5"/>
  <c r="F3138" i="5"/>
  <c r="F2910" i="5"/>
  <c r="F2903" i="5"/>
  <c r="F2881" i="5"/>
  <c r="F2814" i="5"/>
  <c r="F2807" i="5"/>
  <c r="F2792" i="5"/>
  <c r="F2761" i="5"/>
  <c r="F2725" i="5"/>
  <c r="F2703" i="5"/>
  <c r="F2699" i="5"/>
  <c r="F2659" i="5"/>
  <c r="F2652" i="5"/>
  <c r="F2633" i="5"/>
  <c r="F2615" i="5"/>
  <c r="F2580" i="5"/>
  <c r="F2558" i="5"/>
  <c r="F2482" i="5"/>
  <c r="F2451" i="5"/>
  <c r="F2411" i="5"/>
  <c r="F2387" i="5"/>
  <c r="F2355" i="5"/>
  <c r="F2325" i="5"/>
  <c r="F2290" i="5"/>
  <c r="F2271" i="5"/>
  <c r="F2247" i="5"/>
  <c r="F2186" i="5"/>
  <c r="F2161" i="5"/>
  <c r="F2131" i="5"/>
  <c r="F2097" i="5"/>
  <c r="F2085" i="5"/>
  <c r="F2074" i="5"/>
  <c r="F2056" i="5"/>
  <c r="F2049" i="5"/>
  <c r="F2026" i="5"/>
  <c r="F1955" i="5"/>
  <c r="F1933" i="5"/>
  <c r="F1869" i="5"/>
  <c r="F1854" i="5"/>
  <c r="F1845" i="5"/>
  <c r="F1812" i="5"/>
  <c r="F1800" i="5"/>
  <c r="F1786" i="5"/>
  <c r="F1773" i="5"/>
  <c r="F1757" i="5"/>
  <c r="F1741" i="5"/>
  <c r="F1726" i="5"/>
  <c r="F1714" i="5"/>
  <c r="F1699" i="5"/>
  <c r="F1674" i="5"/>
  <c r="F1643" i="5"/>
  <c r="F1588" i="5"/>
  <c r="F1562" i="5"/>
  <c r="F1521" i="5"/>
  <c r="F1436" i="5"/>
  <c r="F1273" i="5"/>
  <c r="F1164" i="5"/>
  <c r="F1143" i="5"/>
  <c r="F1124" i="5"/>
  <c r="F1083" i="5"/>
  <c r="F1308" i="5"/>
  <c r="F905" i="5"/>
  <c r="F868" i="5"/>
  <c r="F852" i="5"/>
  <c r="F791" i="5"/>
  <c r="F293" i="5"/>
  <c r="F285" i="5"/>
  <c r="F3107" i="5"/>
  <c r="F2121" i="5"/>
  <c r="F1508" i="5"/>
  <c r="F1455" i="5"/>
  <c r="F1330" i="5"/>
  <c r="F761" i="5"/>
  <c r="F754" i="5"/>
  <c r="F743" i="5"/>
  <c r="F2113" i="5"/>
  <c r="F1909" i="5"/>
  <c r="F1609" i="5"/>
  <c r="F1577" i="5"/>
  <c r="F338" i="5"/>
  <c r="F294" i="5"/>
  <c r="F268" i="5"/>
  <c r="F249" i="5"/>
  <c r="F209" i="5"/>
  <c r="F190" i="5"/>
  <c r="F3400" i="5"/>
  <c r="F3318" i="5"/>
  <c r="F3202" i="5"/>
  <c r="F3113" i="5"/>
  <c r="F3073" i="5"/>
  <c r="F3021" i="5"/>
  <c r="F2988" i="5"/>
  <c r="F2936" i="5"/>
  <c r="F2848" i="5"/>
  <c r="F2804" i="5"/>
  <c r="F2766" i="5"/>
  <c r="F2719" i="5"/>
  <c r="F2700" i="5"/>
  <c r="F2642" i="5"/>
  <c r="F2452" i="5"/>
  <c r="F2094" i="5"/>
  <c r="F1616" i="5"/>
  <c r="F1458" i="5"/>
  <c r="F66" i="5"/>
  <c r="F51" i="5"/>
  <c r="F5" i="5"/>
  <c r="F1002" i="5"/>
  <c r="F102" i="5"/>
  <c r="F87" i="5"/>
  <c r="F57" i="5"/>
  <c r="F39" i="5"/>
  <c r="F358" i="5"/>
  <c r="F146" i="5"/>
  <c r="F127" i="5"/>
  <c r="F110" i="5"/>
  <c r="F95" i="5"/>
  <c r="F80" i="5"/>
  <c r="F46" i="5"/>
  <c r="F36" i="5"/>
  <c r="F142" i="5"/>
  <c r="F120" i="5"/>
  <c r="F2514" i="5"/>
  <c r="F2060" i="5"/>
  <c r="F2034" i="5"/>
  <c r="F1901" i="5"/>
  <c r="F1592" i="5"/>
  <c r="F1570" i="5"/>
  <c r="F1527" i="5"/>
  <c r="F1483" i="5"/>
  <c r="F1314" i="5"/>
  <c r="F1252" i="5"/>
  <c r="F1154" i="5"/>
  <c r="F759" i="5"/>
  <c r="F745" i="5"/>
  <c r="F710" i="5"/>
  <c r="F684" i="5"/>
  <c r="F669" i="5"/>
  <c r="F654" i="5"/>
  <c r="F640" i="5"/>
  <c r="F620" i="5"/>
  <c r="F606" i="5"/>
  <c r="F591" i="5"/>
  <c r="F580" i="5"/>
  <c r="F556" i="5"/>
  <c r="F541" i="5"/>
  <c r="F515" i="5"/>
  <c r="F501" i="5"/>
  <c r="F471" i="5"/>
  <c r="F459" i="5"/>
  <c r="F445" i="5"/>
  <c r="F430" i="5"/>
  <c r="F390" i="5"/>
  <c r="F3112" i="5"/>
  <c r="F2667" i="5"/>
  <c r="F2004" i="5"/>
  <c r="F1987" i="5"/>
  <c r="F1332" i="5"/>
  <c r="F1304" i="5"/>
  <c r="F1230" i="5"/>
  <c r="F1061" i="5"/>
  <c r="F1052" i="5"/>
  <c r="F1039" i="5"/>
  <c r="F1029" i="5"/>
  <c r="F1021" i="5"/>
  <c r="F1013" i="5"/>
  <c r="F1005" i="5"/>
  <c r="F987" i="5"/>
  <c r="F976" i="5"/>
  <c r="F968" i="5"/>
  <c r="F960" i="5"/>
  <c r="F950" i="5"/>
  <c r="F942" i="5"/>
  <c r="F932" i="5"/>
  <c r="F924" i="5"/>
  <c r="F913" i="5"/>
  <c r="F903" i="5"/>
  <c r="F894" i="5"/>
  <c r="F884" i="5"/>
  <c r="F876" i="5"/>
  <c r="F866" i="5"/>
  <c r="F858" i="5"/>
  <c r="F850" i="5"/>
  <c r="F842" i="5"/>
  <c r="F832" i="5"/>
  <c r="F824" i="5"/>
  <c r="F816" i="5"/>
  <c r="F805" i="5"/>
  <c r="F797" i="5"/>
  <c r="F789" i="5"/>
  <c r="F779" i="5"/>
  <c r="F365" i="5"/>
  <c r="F356" i="5"/>
  <c r="F348" i="5"/>
  <c r="F340" i="5"/>
  <c r="F288" i="5"/>
  <c r="F284" i="5"/>
  <c r="F272" i="5"/>
  <c r="F247" i="5"/>
  <c r="F239" i="5"/>
  <c r="F3595" i="5"/>
  <c r="F3508" i="5"/>
  <c r="F3485" i="5"/>
  <c r="F3470" i="5"/>
  <c r="F3445" i="5"/>
  <c r="F3438" i="5"/>
  <c r="F3419" i="5"/>
  <c r="F3412" i="5"/>
  <c r="F3397" i="5"/>
  <c r="F3386" i="5"/>
  <c r="F3363" i="5"/>
  <c r="F3279" i="5"/>
  <c r="F3259" i="5"/>
  <c r="F3244" i="5"/>
  <c r="F3230" i="5"/>
  <c r="F3195" i="5"/>
  <c r="F3184" i="5"/>
  <c r="F3147" i="5"/>
  <c r="F3136" i="5"/>
  <c r="F3133" i="5"/>
  <c r="F3114" i="5"/>
  <c r="F3103" i="5"/>
  <c r="F3088" i="5"/>
  <c r="F3085" i="5"/>
  <c r="F3070" i="5"/>
  <c r="F3066" i="5"/>
  <c r="F3051" i="5"/>
  <c r="F3022" i="5"/>
  <c r="F3018" i="5"/>
  <c r="F2989" i="5"/>
  <c r="F2963" i="5"/>
  <c r="F2916" i="5"/>
  <c r="F2901" i="5"/>
  <c r="F2875" i="5"/>
  <c r="F2864" i="5"/>
  <c r="F2849" i="5"/>
  <c r="F2842" i="5"/>
  <c r="F2820" i="5"/>
  <c r="F2805" i="5"/>
  <c r="F2779" i="5"/>
  <c r="F2763" i="5"/>
  <c r="F2720" i="5"/>
  <c r="F2701" i="5"/>
  <c r="F2694" i="5"/>
  <c r="F2675" i="5"/>
  <c r="F2657" i="5"/>
  <c r="F2646" i="5"/>
  <c r="F2631" i="5"/>
  <c r="F2560" i="5"/>
  <c r="F2544" i="5"/>
  <c r="F2520" i="5"/>
  <c r="F2457" i="5"/>
  <c r="F2445" i="5"/>
  <c r="F2434" i="5"/>
  <c r="F2419" i="5"/>
  <c r="F2399" i="5"/>
  <c r="F2342" i="5"/>
  <c r="F2277" i="5"/>
  <c r="F2249" i="5"/>
  <c r="F2235" i="5"/>
  <c r="F2214" i="5"/>
  <c r="F2156" i="5"/>
  <c r="F2145" i="5"/>
  <c r="F2129" i="5"/>
  <c r="F2114" i="5"/>
  <c r="F2069" i="5"/>
  <c r="F2044" i="5"/>
  <c r="F2024" i="5"/>
  <c r="F2008" i="5"/>
  <c r="F2001" i="5"/>
  <c r="F1993" i="5"/>
  <c r="F1985" i="5"/>
  <c r="F1957" i="5"/>
  <c r="F1950" i="5"/>
  <c r="F1946" i="5"/>
  <c r="F1630" i="5"/>
  <c r="F1606" i="5"/>
  <c r="F1590" i="5"/>
  <c r="F1572" i="5"/>
  <c r="F1556" i="5"/>
  <c r="F1549" i="5"/>
  <c r="F1533" i="5"/>
  <c r="F1511" i="5"/>
  <c r="F1503" i="5"/>
  <c r="F1471" i="5"/>
  <c r="F1415" i="5"/>
  <c r="F1402" i="5"/>
  <c r="F1394" i="5"/>
  <c r="F1383" i="5"/>
  <c r="F1350" i="5"/>
  <c r="F1323" i="5"/>
  <c r="F1305" i="5"/>
  <c r="F1275" i="5"/>
  <c r="F1258" i="5"/>
  <c r="F1250" i="5"/>
  <c r="F1242" i="5"/>
  <c r="F1223" i="5"/>
  <c r="F1195" i="5"/>
  <c r="F1184" i="5"/>
  <c r="F1176" i="5"/>
  <c r="F1152" i="5"/>
  <c r="F1104" i="5"/>
  <c r="F1092" i="5"/>
  <c r="F1081" i="5"/>
  <c r="F726" i="5"/>
  <c r="F689" i="5"/>
  <c r="F659" i="5"/>
  <c r="F480" i="5"/>
  <c r="F440" i="5"/>
  <c r="F424" i="5"/>
  <c r="F398" i="5"/>
  <c r="F380" i="5"/>
  <c r="F2061" i="5"/>
  <c r="F1524" i="5"/>
  <c r="F144" i="5"/>
  <c r="F1326" i="5"/>
  <c r="F1099" i="5"/>
  <c r="F764" i="5"/>
  <c r="F732" i="5"/>
  <c r="F718" i="5"/>
  <c r="F707" i="5"/>
  <c r="F692" i="5"/>
  <c r="F670" i="5"/>
  <c r="F645" i="5"/>
  <c r="F633" i="5"/>
  <c r="F621" i="5"/>
  <c r="F599" i="5"/>
  <c r="F542" i="5"/>
  <c r="F528" i="5"/>
  <c r="F516" i="5"/>
  <c r="F506" i="5"/>
  <c r="F490" i="5"/>
  <c r="F460" i="5"/>
  <c r="F446" i="5"/>
  <c r="F431" i="5"/>
  <c r="F416" i="5"/>
  <c r="F408" i="5"/>
  <c r="F387" i="5"/>
  <c r="F96" i="5"/>
  <c r="F63" i="5"/>
  <c r="F914" i="5"/>
  <c r="F1040" i="5"/>
  <c r="F1018" i="5"/>
  <c r="F156" i="5"/>
  <c r="F134" i="5"/>
  <c r="F109" i="5"/>
  <c r="F94" i="5"/>
  <c r="F72" i="5"/>
  <c r="F61" i="5"/>
  <c r="F42" i="5"/>
  <c r="F31" i="5"/>
  <c r="F17" i="5"/>
  <c r="F996" i="5"/>
  <c r="F925" i="5"/>
  <c r="F350" i="5"/>
  <c r="F62" i="5"/>
  <c r="F24" i="5"/>
  <c r="F955" i="5"/>
  <c r="F1355" i="5"/>
  <c r="F1150" i="5"/>
  <c r="F2340" i="5"/>
  <c r="F1944" i="5"/>
  <c r="F1182" i="5"/>
  <c r="F569" i="5"/>
  <c r="F486" i="5"/>
  <c r="F378" i="5"/>
  <c r="F2227" i="5"/>
  <c r="F447" i="5"/>
  <c r="F417" i="5"/>
  <c r="F405" i="5"/>
  <c r="F2752" i="5"/>
  <c r="F2433" i="5"/>
  <c r="F2372" i="5"/>
  <c r="F1984" i="5"/>
  <c r="F1787" i="5"/>
  <c r="F1075" i="5"/>
  <c r="F1213" i="5"/>
  <c r="F2941" i="5"/>
  <c r="F1518" i="5"/>
  <c r="F1214" i="5"/>
  <c r="F3501" i="5"/>
  <c r="F3272" i="5"/>
  <c r="F3163" i="5"/>
  <c r="F3034" i="5"/>
  <c r="F2680" i="5"/>
  <c r="F2629" i="5"/>
  <c r="F2420" i="5"/>
  <c r="F2382" i="5"/>
  <c r="F2293" i="5"/>
  <c r="F2215" i="5"/>
  <c r="F2168" i="5"/>
  <c r="F2157" i="5"/>
  <c r="F1872" i="5"/>
  <c r="F1857" i="5"/>
  <c r="F1781" i="5"/>
  <c r="F1748" i="5"/>
  <c r="F1732" i="5"/>
  <c r="F1710" i="5"/>
  <c r="F1694" i="5"/>
  <c r="F1677" i="5"/>
  <c r="F1662" i="5"/>
  <c r="F1642" i="5"/>
  <c r="F1131" i="5"/>
  <c r="F1115" i="5"/>
  <c r="F2973" i="5"/>
  <c r="F2089" i="5"/>
  <c r="F3278" i="5"/>
  <c r="F2815" i="5"/>
  <c r="F2778" i="5"/>
  <c r="F2685" i="5"/>
  <c r="F2483" i="5"/>
  <c r="F2429" i="5"/>
  <c r="F2303" i="5"/>
  <c r="F2248" i="5"/>
  <c r="F2209" i="5"/>
  <c r="F2155" i="5"/>
  <c r="F1874" i="5"/>
  <c r="F1836" i="5"/>
  <c r="F1783" i="5"/>
  <c r="F1746" i="5"/>
  <c r="F1644" i="5"/>
  <c r="F1386" i="5"/>
  <c r="F1357" i="5"/>
  <c r="F1190" i="5"/>
  <c r="F3257" i="5"/>
  <c r="F3153" i="5"/>
  <c r="F2851" i="5"/>
  <c r="F2424" i="5"/>
  <c r="F2363" i="5"/>
  <c r="F2298" i="5"/>
  <c r="F2194" i="5"/>
  <c r="F1098" i="5"/>
  <c r="F2998" i="5"/>
  <c r="F3474" i="5"/>
  <c r="F3449" i="5"/>
  <c r="F3401" i="5"/>
  <c r="F3308" i="5"/>
  <c r="F3199" i="5"/>
  <c r="F3118" i="5"/>
  <c r="F3003" i="5"/>
  <c r="F2970" i="5"/>
  <c r="F2927" i="5"/>
  <c r="F2879" i="5"/>
  <c r="F2831" i="5"/>
  <c r="F2783" i="5"/>
  <c r="F2767" i="5"/>
  <c r="F2749" i="5"/>
  <c r="F2705" i="5"/>
  <c r="F2661" i="5"/>
  <c r="F2605" i="5"/>
  <c r="F2592" i="5"/>
  <c r="F2524" i="5"/>
  <c r="F2469" i="5"/>
  <c r="F2346" i="5"/>
  <c r="F2327" i="5"/>
  <c r="F2308" i="5"/>
  <c r="F2300" i="5"/>
  <c r="F2280" i="5"/>
  <c r="F2252" i="5"/>
  <c r="F2218" i="5"/>
  <c r="F2196" i="5"/>
  <c r="F2163" i="5"/>
  <c r="F1942" i="5"/>
  <c r="F1875" i="5"/>
  <c r="F1859" i="5"/>
  <c r="F1837" i="5"/>
  <c r="F1814" i="5"/>
  <c r="F1798" i="5"/>
  <c r="F1780" i="5"/>
  <c r="F1763" i="5"/>
  <c r="F1747" i="5"/>
  <c r="F1731" i="5"/>
  <c r="F1709" i="5"/>
  <c r="F1693" i="5"/>
  <c r="F1676" i="5"/>
  <c r="F1641" i="5"/>
  <c r="F1203" i="5"/>
  <c r="F1141" i="5"/>
  <c r="F1118" i="5"/>
  <c r="F2781" i="5"/>
  <c r="F1601" i="5"/>
  <c r="F3604" i="5"/>
  <c r="F3484" i="5"/>
  <c r="F3106" i="5"/>
  <c r="F2326" i="5"/>
  <c r="F2311" i="5"/>
  <c r="F2287" i="5"/>
  <c r="F2238" i="5"/>
  <c r="F2151" i="5"/>
  <c r="F1393" i="5"/>
  <c r="F1113" i="5"/>
  <c r="F749" i="5"/>
  <c r="F588" i="5"/>
  <c r="F395" i="5"/>
  <c r="F3575" i="5"/>
  <c r="F3031" i="5"/>
  <c r="F2994" i="5"/>
  <c r="F2673" i="5"/>
  <c r="F2648" i="5"/>
  <c r="F2542" i="5"/>
  <c r="F2471" i="5"/>
  <c r="F2351" i="5"/>
  <c r="F2310" i="5"/>
  <c r="F2282" i="5"/>
  <c r="F2229" i="5"/>
  <c r="F2135" i="5"/>
  <c r="F1959" i="5"/>
  <c r="F1852" i="5"/>
  <c r="F1820" i="5"/>
  <c r="F1769" i="5"/>
  <c r="F1722" i="5"/>
  <c r="F1688" i="5"/>
  <c r="F1646" i="5"/>
  <c r="F702" i="5"/>
  <c r="F1072" i="5"/>
  <c r="F1244" i="5"/>
  <c r="F1426" i="5"/>
  <c r="F1895" i="5"/>
  <c r="F1926" i="5"/>
  <c r="F3305" i="5"/>
  <c r="F3233" i="5"/>
  <c r="F3069" i="5"/>
  <c r="F2756" i="5"/>
  <c r="F2628" i="5"/>
  <c r="F2505" i="5"/>
  <c r="F2099" i="5"/>
  <c r="F2067" i="5"/>
  <c r="F2011" i="5"/>
  <c r="F1620" i="5"/>
  <c r="F1534" i="5"/>
  <c r="F1490" i="5"/>
  <c r="F1453" i="5"/>
  <c r="F1068" i="5"/>
  <c r="F3420" i="5"/>
  <c r="F3405" i="5"/>
  <c r="F3356" i="5"/>
  <c r="F3242" i="5"/>
  <c r="F3227" i="5"/>
  <c r="F3189" i="5"/>
  <c r="F3174" i="5"/>
  <c r="F3156" i="5"/>
  <c r="F3141" i="5"/>
  <c r="F3078" i="5"/>
  <c r="F3060" i="5"/>
  <c r="F3045" i="5"/>
  <c r="F3023" i="5"/>
  <c r="F2975" i="5"/>
  <c r="F2945" i="5"/>
  <c r="F2898" i="5"/>
  <c r="F2883" i="5"/>
  <c r="F2872" i="5"/>
  <c r="F2854" i="5"/>
  <c r="F2850" i="5"/>
  <c r="F2821" i="5"/>
  <c r="F2784" i="5"/>
  <c r="F2768" i="5"/>
  <c r="F2764" i="5"/>
  <c r="F2743" i="5"/>
  <c r="F2713" i="5"/>
  <c r="F2702" i="5"/>
  <c r="F2662" i="5"/>
  <c r="F2636" i="5"/>
  <c r="F2632" i="5"/>
  <c r="F2601" i="5"/>
  <c r="F2576" i="5"/>
  <c r="F2487" i="5"/>
  <c r="F2450" i="5"/>
  <c r="F2435" i="5"/>
  <c r="F2407" i="5"/>
  <c r="F2397" i="5"/>
  <c r="F2386" i="5"/>
  <c r="F2370" i="5"/>
  <c r="F2354" i="5"/>
  <c r="F2339" i="5"/>
  <c r="F2328" i="5"/>
  <c r="F2316" i="5"/>
  <c r="F2297" i="5"/>
  <c r="F2270" i="5"/>
  <c r="F2264" i="5"/>
  <c r="F2253" i="5"/>
  <c r="F2240" i="5"/>
  <c r="F2232" i="5"/>
  <c r="F2193" i="5"/>
  <c r="F2178" i="5"/>
  <c r="F2160" i="5"/>
  <c r="F2142" i="5"/>
  <c r="F2126" i="5"/>
  <c r="F2104" i="5"/>
  <c r="F2088" i="5"/>
  <c r="F2048" i="5"/>
  <c r="F1936" i="5"/>
  <c r="F1848" i="5"/>
  <c r="F1834" i="5"/>
  <c r="F1827" i="5"/>
  <c r="F1819" i="5"/>
  <c r="F1811" i="5"/>
  <c r="F1803" i="5"/>
  <c r="F1509" i="5"/>
  <c r="F1423" i="5"/>
  <c r="F1416" i="5"/>
  <c r="F1403" i="5"/>
  <c r="F1395" i="5"/>
  <c r="F1384" i="5"/>
  <c r="F1376" i="5"/>
  <c r="F1369" i="5"/>
  <c r="F1359" i="5"/>
  <c r="F1351" i="5"/>
  <c r="F1309" i="5"/>
  <c r="F1291" i="5"/>
  <c r="F1251" i="5"/>
  <c r="F1227" i="5"/>
  <c r="F1208" i="5"/>
  <c r="F1200" i="5"/>
  <c r="F1192" i="5"/>
  <c r="F1173" i="5"/>
  <c r="F1153" i="5"/>
  <c r="F1146" i="5"/>
  <c r="F1135" i="5"/>
  <c r="F1119" i="5"/>
  <c r="F1105" i="5"/>
  <c r="F1097" i="5"/>
  <c r="F2644" i="5"/>
  <c r="F2109" i="5"/>
  <c r="F1897" i="5"/>
  <c r="F1589" i="5"/>
  <c r="F1536" i="5"/>
  <c r="F287" i="5"/>
  <c r="F234" i="5"/>
  <c r="F3586" i="5"/>
  <c r="F3473" i="5"/>
  <c r="F3465" i="5"/>
  <c r="F3411" i="5"/>
  <c r="F3396" i="5"/>
  <c r="F3336" i="5"/>
  <c r="F3332" i="5"/>
  <c r="F3232" i="5"/>
  <c r="F3176" i="5"/>
  <c r="F3169" i="5"/>
  <c r="F3135" i="5"/>
  <c r="F3128" i="5"/>
  <c r="F3076" i="5"/>
  <c r="F2991" i="5"/>
  <c r="F2915" i="5"/>
  <c r="F2889" i="5"/>
  <c r="F2852" i="5"/>
  <c r="F2819" i="5"/>
  <c r="F2800" i="5"/>
  <c r="F2748" i="5"/>
  <c r="F2741" i="5"/>
  <c r="F2696" i="5"/>
  <c r="F2674" i="5"/>
  <c r="F2551" i="5"/>
  <c r="F2531" i="5"/>
  <c r="F2496" i="5"/>
  <c r="F2415" i="5"/>
  <c r="F2384" i="5"/>
  <c r="F2368" i="5"/>
  <c r="F2352" i="5"/>
  <c r="F2341" i="5"/>
  <c r="F2217" i="5"/>
  <c r="F2199" i="5"/>
  <c r="F2187" i="5"/>
  <c r="F2140" i="5"/>
  <c r="F2124" i="5"/>
  <c r="F2050" i="5"/>
  <c r="F1968" i="5"/>
  <c r="F1930" i="5"/>
  <c r="F1491" i="5"/>
  <c r="F1335" i="5"/>
  <c r="F1206" i="5"/>
  <c r="F1194" i="5"/>
  <c r="F1179" i="5"/>
  <c r="F1137" i="5"/>
  <c r="F1117" i="5"/>
  <c r="F1334" i="5"/>
  <c r="F1060" i="5"/>
  <c r="F909" i="5"/>
  <c r="F3520" i="5"/>
  <c r="F3417" i="5"/>
  <c r="F3395" i="5"/>
  <c r="F3368" i="5"/>
  <c r="F3365" i="5"/>
  <c r="F3346" i="5"/>
  <c r="F3284" i="5"/>
  <c r="F3277" i="5"/>
  <c r="F3261" i="5"/>
  <c r="F3246" i="5"/>
  <c r="F3228" i="5"/>
  <c r="F3213" i="5"/>
  <c r="F3197" i="5"/>
  <c r="F3171" i="5"/>
  <c r="F3160" i="5"/>
  <c r="F2866" i="5"/>
  <c r="F2836" i="5"/>
  <c r="F2777" i="5"/>
  <c r="F2718" i="5"/>
  <c r="F2641" i="5"/>
  <c r="F2626" i="5"/>
  <c r="F2598" i="5"/>
  <c r="F2546" i="5"/>
  <c r="F2499" i="5"/>
  <c r="F2491" i="5"/>
  <c r="F2459" i="5"/>
  <c r="F2408" i="5"/>
  <c r="F2371" i="5"/>
  <c r="F2348" i="5"/>
  <c r="F2332" i="5"/>
  <c r="F2306" i="5"/>
  <c r="F2275" i="5"/>
  <c r="F2258" i="5"/>
  <c r="F2233" i="5"/>
  <c r="F2202" i="5"/>
  <c r="F2179" i="5"/>
  <c r="F2154" i="5"/>
  <c r="F1948" i="5"/>
  <c r="F1908" i="5"/>
  <c r="F1884" i="5"/>
  <c r="F1861" i="5"/>
  <c r="F1849" i="5"/>
  <c r="F1824" i="5"/>
  <c r="F1804" i="5"/>
  <c r="F1794" i="5"/>
  <c r="F1778" i="5"/>
  <c r="F1765" i="5"/>
  <c r="F1749" i="5"/>
  <c r="F1729" i="5"/>
  <c r="F1718" i="5"/>
  <c r="F1707" i="5"/>
  <c r="F1691" i="5"/>
  <c r="F1667" i="5"/>
  <c r="F1653" i="5"/>
  <c r="F1636" i="5"/>
  <c r="F1600" i="5"/>
  <c r="F1574" i="5"/>
  <c r="F1535" i="5"/>
  <c r="F1486" i="5"/>
  <c r="F1321" i="5"/>
  <c r="F1236" i="5"/>
  <c r="F1189" i="5"/>
  <c r="F1174" i="5"/>
  <c r="F1132" i="5"/>
  <c r="F752" i="5"/>
  <c r="F691" i="5"/>
  <c r="F661" i="5"/>
  <c r="F549" i="5"/>
  <c r="F478" i="5"/>
  <c r="F438" i="5"/>
  <c r="F3218" i="5"/>
  <c r="F1995" i="5"/>
  <c r="F1979" i="5"/>
  <c r="F1312" i="5"/>
  <c r="F1268" i="5"/>
  <c r="F1222" i="5"/>
  <c r="F1065" i="5"/>
  <c r="F1056" i="5"/>
  <c r="F1045" i="5"/>
  <c r="F1033" i="5"/>
  <c r="F1025" i="5"/>
  <c r="F1017" i="5"/>
  <c r="F1009" i="5"/>
  <c r="F991" i="5"/>
  <c r="F980" i="5"/>
  <c r="F972" i="5"/>
  <c r="F964" i="5"/>
  <c r="F954" i="5"/>
  <c r="F938" i="5"/>
  <c r="F928" i="5"/>
  <c r="F918" i="5"/>
  <c r="F908" i="5"/>
  <c r="F344" i="5"/>
  <c r="F3667" i="5"/>
  <c r="F3549" i="5"/>
  <c r="F3492" i="5"/>
  <c r="F3477" i="5"/>
  <c r="F3466" i="5"/>
  <c r="F3423" i="5"/>
  <c r="F3408" i="5"/>
  <c r="F3374" i="5"/>
  <c r="F3355" i="5"/>
  <c r="F3333" i="5"/>
  <c r="F3323" i="5"/>
  <c r="F3312" i="5"/>
  <c r="F3290" i="5"/>
  <c r="F3271" i="5"/>
  <c r="F3252" i="5"/>
  <c r="F3203" i="5"/>
  <c r="F3192" i="5"/>
  <c r="F3155" i="5"/>
  <c r="F3144" i="5"/>
  <c r="F3129" i="5"/>
  <c r="F3092" i="5"/>
  <c r="F3081" i="5"/>
  <c r="F3055" i="5"/>
  <c r="F3044" i="5"/>
  <c r="F3033" i="5"/>
  <c r="F3007" i="5"/>
  <c r="F2996" i="5"/>
  <c r="F2981" i="5"/>
  <c r="F2948" i="5"/>
  <c r="F2937" i="5"/>
  <c r="F2919" i="5"/>
  <c r="F2908" i="5"/>
  <c r="F2857" i="5"/>
  <c r="F2823" i="5"/>
  <c r="F2812" i="5"/>
  <c r="F2771" i="5"/>
  <c r="F2753" i="5"/>
  <c r="F2742" i="5"/>
  <c r="F2727" i="5"/>
  <c r="F2716" i="5"/>
  <c r="F2712" i="5"/>
  <c r="F2686" i="5"/>
  <c r="F2654" i="5"/>
  <c r="F2609" i="5"/>
  <c r="F2596" i="5"/>
  <c r="F2568" i="5"/>
  <c r="F2552" i="5"/>
  <c r="F2528" i="5"/>
  <c r="F2512" i="5"/>
  <c r="F2461" i="5"/>
  <c r="F2453" i="5"/>
  <c r="F2426" i="5"/>
  <c r="F2406" i="5"/>
  <c r="F2396" i="5"/>
  <c r="F2385" i="5"/>
  <c r="F2377" i="5"/>
  <c r="F2369" i="5"/>
  <c r="F2361" i="5"/>
  <c r="F2353" i="5"/>
  <c r="F2334" i="5"/>
  <c r="F2239" i="5"/>
  <c r="F2231" i="5"/>
  <c r="F2220" i="5"/>
  <c r="F2177" i="5"/>
  <c r="F2152" i="5"/>
  <c r="F2137" i="5"/>
  <c r="F2076" i="5"/>
  <c r="F2062" i="5"/>
  <c r="F2036" i="5"/>
  <c r="F2016" i="5"/>
  <c r="F2005" i="5"/>
  <c r="F1961" i="5"/>
  <c r="F1953" i="5"/>
  <c r="F1910" i="5"/>
  <c r="F1623" i="5"/>
  <c r="F1598" i="5"/>
  <c r="F1582" i="5"/>
  <c r="F1564" i="5"/>
  <c r="F1541" i="5"/>
  <c r="F1519" i="5"/>
  <c r="F1495" i="5"/>
  <c r="F1468" i="5"/>
  <c r="F1406" i="5"/>
  <c r="F1398" i="5"/>
  <c r="F1387" i="5"/>
  <c r="F1379" i="5"/>
  <c r="F1362" i="5"/>
  <c r="F1354" i="5"/>
  <c r="F1297" i="5"/>
  <c r="F1246" i="5"/>
  <c r="F1191" i="5"/>
  <c r="F1159" i="5"/>
  <c r="F1145" i="5"/>
  <c r="F1096" i="5"/>
  <c r="F1088" i="5"/>
  <c r="F708" i="5"/>
  <c r="F674" i="5"/>
  <c r="F642" i="5"/>
  <c r="F626" i="5"/>
  <c r="F582" i="5"/>
  <c r="F554" i="5"/>
  <c r="F539" i="5"/>
  <c r="F525" i="5"/>
  <c r="F507" i="5"/>
  <c r="F491" i="5"/>
  <c r="F465" i="5"/>
  <c r="F453" i="5"/>
  <c r="F409" i="5"/>
  <c r="F2053" i="5"/>
  <c r="F1445" i="5"/>
  <c r="F330" i="5"/>
  <c r="F310" i="5"/>
  <c r="F298" i="5"/>
  <c r="F290" i="5"/>
  <c r="F264" i="5"/>
  <c r="F244" i="5"/>
  <c r="F3648" i="5"/>
  <c r="F3491" i="5"/>
  <c r="F3462" i="5"/>
  <c r="F3440" i="5"/>
  <c r="F3429" i="5"/>
  <c r="F3407" i="5"/>
  <c r="F3373" i="5"/>
  <c r="F3347" i="5"/>
  <c r="F3296" i="5"/>
  <c r="F3266" i="5"/>
  <c r="F3225" i="5"/>
  <c r="F3165" i="5"/>
  <c r="F3139" i="5"/>
  <c r="F3080" i="5"/>
  <c r="F3054" i="5"/>
  <c r="F3047" i="5"/>
  <c r="F3028" i="5"/>
  <c r="F2969" i="5"/>
  <c r="F2907" i="5"/>
  <c r="F2867" i="5"/>
  <c r="F2856" i="5"/>
  <c r="F2782" i="5"/>
  <c r="F2745" i="5"/>
  <c r="F2726" i="5"/>
  <c r="F2670" i="5"/>
  <c r="F2623" i="5"/>
  <c r="F2616" i="5"/>
  <c r="F2567" i="5"/>
  <c r="F2539" i="5"/>
  <c r="F2500" i="5"/>
  <c r="F2437" i="5"/>
  <c r="F2412" i="5"/>
  <c r="F2395" i="5"/>
  <c r="F2380" i="5"/>
  <c r="F2364" i="5"/>
  <c r="F2333" i="5"/>
  <c r="F2262" i="5"/>
  <c r="F2251" i="5"/>
  <c r="F2223" i="5"/>
  <c r="F2213" i="5"/>
  <c r="F2183" i="5"/>
  <c r="F2102" i="5"/>
  <c r="F1992" i="5"/>
  <c r="F1980" i="5"/>
  <c r="F1898" i="5"/>
  <c r="F1870" i="5"/>
  <c r="F1846" i="5"/>
  <c r="F1825" i="5"/>
  <c r="F1813" i="5"/>
  <c r="F1801" i="5"/>
  <c r="F1779" i="5"/>
  <c r="F1762" i="5"/>
  <c r="F1750" i="5"/>
  <c r="F1734" i="5"/>
  <c r="F1723" i="5"/>
  <c r="F1708" i="5"/>
  <c r="F1696" i="5"/>
  <c r="F1682" i="5"/>
  <c r="F1660" i="5"/>
  <c r="F1647" i="5"/>
  <c r="F1619" i="5"/>
  <c r="F1555" i="5"/>
  <c r="F1253" i="5"/>
  <c r="F1210" i="5"/>
  <c r="F1125" i="5"/>
  <c r="F3612" i="5"/>
  <c r="F3490" i="5"/>
  <c r="F3457" i="5"/>
  <c r="F3436" i="5"/>
  <c r="F3428" i="5"/>
  <c r="F3421" i="5"/>
  <c r="F3406" i="5"/>
  <c r="F3303" i="5"/>
  <c r="F3123" i="5"/>
  <c r="F3090" i="5"/>
  <c r="F3061" i="5"/>
  <c r="F3035" i="5"/>
  <c r="F3024" i="5"/>
  <c r="F3009" i="5"/>
  <c r="F2983" i="5"/>
  <c r="F2972" i="5"/>
  <c r="F2957" i="5"/>
  <c r="F2840" i="5"/>
  <c r="F2765" i="5"/>
  <c r="F2736" i="5"/>
  <c r="F2714" i="5"/>
  <c r="F2681" i="5"/>
  <c r="F2618" i="5"/>
  <c r="F2550" i="5"/>
  <c r="F2391" i="5"/>
  <c r="F2359" i="5"/>
  <c r="F2321" i="5"/>
  <c r="F2286" i="5"/>
  <c r="F2261" i="5"/>
  <c r="F2237" i="5"/>
  <c r="F2212" i="5"/>
  <c r="F2182" i="5"/>
  <c r="F2158" i="5"/>
  <c r="F2078" i="5"/>
  <c r="F2042" i="5"/>
  <c r="F2014" i="5"/>
  <c r="F1596" i="5"/>
  <c r="F1531" i="5"/>
  <c r="F1501" i="5"/>
  <c r="F1404" i="5"/>
  <c r="F1389" i="5"/>
  <c r="F1370" i="5"/>
  <c r="F1356" i="5"/>
  <c r="F1303" i="5"/>
  <c r="F1201" i="5"/>
  <c r="F1136" i="5"/>
  <c r="F1120" i="5"/>
  <c r="F1106" i="5"/>
  <c r="F770" i="5"/>
  <c r="F748" i="5"/>
  <c r="F735" i="5"/>
  <c r="F724" i="5"/>
  <c r="F687" i="5"/>
  <c r="F665" i="5"/>
  <c r="F644" i="5"/>
  <c r="F632" i="5"/>
  <c r="F617" i="5"/>
  <c r="F602" i="5"/>
  <c r="F576" i="5"/>
  <c r="F552" i="5"/>
  <c r="F537" i="5"/>
  <c r="F523" i="5"/>
  <c r="F505" i="5"/>
  <c r="F482" i="5"/>
  <c r="F455" i="5"/>
  <c r="F434" i="5"/>
  <c r="F422" i="5"/>
  <c r="F407" i="5"/>
  <c r="F374" i="5"/>
  <c r="F2267" i="5"/>
  <c r="F1918" i="5"/>
  <c r="F3121" i="5"/>
  <c r="F1198" i="5"/>
  <c r="F695" i="5"/>
  <c r="F1358" i="5"/>
  <c r="F318" i="5"/>
  <c r="F230" i="5"/>
  <c r="F2175" i="5"/>
  <c r="F1396" i="5"/>
  <c r="F1112" i="5"/>
  <c r="F680" i="5"/>
  <c r="F609" i="5"/>
  <c r="F1235" i="5"/>
  <c r="F1733" i="5"/>
  <c r="F3283" i="5"/>
  <c r="F3307" i="5"/>
  <c r="F2513" i="5"/>
  <c r="F2051" i="5"/>
  <c r="F2035" i="5"/>
  <c r="F1498" i="5"/>
  <c r="F1435" i="5"/>
  <c r="F3578" i="5"/>
  <c r="F3486" i="5"/>
  <c r="F3413" i="5"/>
  <c r="F3364" i="5"/>
  <c r="F3345" i="5"/>
  <c r="F3253" i="5"/>
  <c r="F3238" i="5"/>
  <c r="F3185" i="5"/>
  <c r="F3130" i="5"/>
  <c r="F3089" i="5"/>
  <c r="F3067" i="5"/>
  <c r="F2971" i="5"/>
  <c r="F2843" i="5"/>
  <c r="F2791" i="5"/>
  <c r="F2709" i="5"/>
  <c r="F2446" i="5"/>
  <c r="F2431" i="5"/>
  <c r="F2366" i="5"/>
  <c r="F2350" i="5"/>
  <c r="F2335" i="5"/>
  <c r="F2309" i="5"/>
  <c r="F2285" i="5"/>
  <c r="F2246" i="5"/>
  <c r="F2204" i="5"/>
  <c r="F2189" i="5"/>
  <c r="F2174" i="5"/>
  <c r="F2134" i="5"/>
  <c r="F1932" i="5"/>
  <c r="F1879" i="5"/>
  <c r="F1864" i="5"/>
  <c r="F1789" i="5"/>
  <c r="F1772" i="5"/>
  <c r="F1764" i="5"/>
  <c r="F1756" i="5"/>
  <c r="F1740" i="5"/>
  <c r="F1721" i="5"/>
  <c r="F1702" i="5"/>
  <c r="F1684" i="5"/>
  <c r="F1669" i="5"/>
  <c r="F1652" i="5"/>
  <c r="F1631" i="5"/>
  <c r="F1247" i="5"/>
  <c r="F1185" i="5"/>
  <c r="F1169" i="5"/>
  <c r="F1093" i="5"/>
  <c r="F1905" i="5"/>
  <c r="F3558" i="5"/>
  <c r="F3389" i="5"/>
  <c r="F2947" i="5"/>
  <c r="F2664" i="5"/>
  <c r="F2599" i="5"/>
  <c r="F2571" i="5"/>
  <c r="F2283" i="5"/>
  <c r="F2180" i="5"/>
  <c r="F2132" i="5"/>
  <c r="F1855" i="5"/>
  <c r="F1817" i="5"/>
  <c r="F1797" i="5"/>
  <c r="F1766" i="5"/>
  <c r="F1712" i="5"/>
  <c r="F1692" i="5"/>
  <c r="F1664" i="5"/>
  <c r="F1405" i="5"/>
  <c r="F1371" i="5"/>
  <c r="F1349" i="5"/>
  <c r="F1343" i="5"/>
  <c r="F1171" i="5"/>
  <c r="F1133" i="5"/>
  <c r="F1080" i="5"/>
  <c r="F953" i="5"/>
  <c r="F3494" i="5"/>
  <c r="F3357" i="5"/>
  <c r="F3273" i="5"/>
  <c r="F2733" i="5"/>
  <c r="F2432" i="5"/>
  <c r="F2394" i="5"/>
  <c r="F2225" i="5"/>
  <c r="F2169" i="5"/>
  <c r="F1424" i="5"/>
  <c r="F1408" i="5"/>
  <c r="F1392" i="5"/>
  <c r="F1377" i="5"/>
  <c r="F1367" i="5"/>
  <c r="F1348" i="5"/>
  <c r="F1197" i="5"/>
  <c r="F2731" i="5"/>
  <c r="F3642" i="5"/>
  <c r="F3529" i="5"/>
  <c r="F3488" i="5"/>
  <c r="F3455" i="5"/>
  <c r="F3348" i="5"/>
  <c r="F3329" i="5"/>
  <c r="F3263" i="5"/>
  <c r="F3215" i="5"/>
  <c r="F3151" i="5"/>
  <c r="F2438" i="5"/>
  <c r="F2422" i="5"/>
  <c r="F2403" i="5"/>
  <c r="F2315" i="5"/>
  <c r="F2292" i="5"/>
  <c r="F2263" i="5"/>
  <c r="F2207" i="5"/>
  <c r="F2188" i="5"/>
  <c r="F2173" i="5"/>
  <c r="F2148" i="5"/>
  <c r="F2133" i="5"/>
  <c r="F1882" i="5"/>
  <c r="F1867" i="5"/>
  <c r="F1847" i="5"/>
  <c r="F1830" i="5"/>
  <c r="F1822" i="5"/>
  <c r="F1806" i="5"/>
  <c r="F1788" i="5"/>
  <c r="F1771" i="5"/>
  <c r="F1755" i="5"/>
  <c r="F1739" i="5"/>
  <c r="F1720" i="5"/>
  <c r="F1701" i="5"/>
  <c r="F1683" i="5"/>
  <c r="F1665" i="5"/>
  <c r="F1655" i="5"/>
  <c r="F1211" i="5"/>
  <c r="F1166" i="5"/>
  <c r="F1134" i="5"/>
  <c r="F768" i="5"/>
  <c r="F314" i="5"/>
  <c r="F3448" i="5"/>
  <c r="F3258" i="5"/>
  <c r="F3039" i="5"/>
  <c r="F2962" i="5"/>
  <c r="F2737" i="5"/>
  <c r="F2693" i="5"/>
  <c r="F2588" i="5"/>
  <c r="F2563" i="5"/>
  <c r="F2479" i="5"/>
  <c r="F2299" i="5"/>
  <c r="F2136" i="5"/>
  <c r="F1941" i="5"/>
  <c r="F1409" i="5"/>
  <c r="F1382" i="5"/>
  <c r="F1249" i="5"/>
  <c r="F658" i="5"/>
  <c r="F574" i="5"/>
  <c r="F475" i="5"/>
  <c r="F3483" i="5"/>
  <c r="F3380" i="5"/>
  <c r="F3299" i="5"/>
  <c r="F2979" i="5"/>
  <c r="F2946" i="5"/>
  <c r="F2855" i="5"/>
  <c r="F2414" i="5"/>
  <c r="F2383" i="5"/>
  <c r="F2336" i="5"/>
  <c r="F2254" i="5"/>
  <c r="F2205" i="5"/>
  <c r="F2150" i="5"/>
  <c r="F1873" i="5"/>
  <c r="F1835" i="5"/>
  <c r="F1808" i="5"/>
  <c r="F1790" i="5"/>
  <c r="F1753" i="5"/>
  <c r="F1703" i="5"/>
  <c r="F1670" i="5"/>
  <c r="F1657" i="5"/>
  <c r="F1102" i="5"/>
  <c r="E403" i="4"/>
  <c r="F731" i="5"/>
  <c r="F1076" i="5"/>
  <c r="F1196" i="5"/>
  <c r="F1890" i="5"/>
  <c r="F2692" i="5"/>
  <c r="F2538" i="5"/>
  <c r="F2115" i="5"/>
  <c r="F2083" i="5"/>
  <c r="F2027" i="5"/>
  <c r="F1907" i="5"/>
  <c r="F1603" i="5"/>
  <c r="F1587" i="5"/>
  <c r="F1550" i="5"/>
  <c r="F1514" i="5"/>
  <c r="F1469" i="5"/>
  <c r="F1431" i="5"/>
  <c r="F3592" i="5"/>
  <c r="F3489" i="5"/>
  <c r="F3471" i="5"/>
  <c r="F3456" i="5"/>
  <c r="F3442" i="5"/>
  <c r="F3394" i="5"/>
  <c r="F3371" i="5"/>
  <c r="F3349" i="5"/>
  <c r="F3334" i="5"/>
  <c r="F3276" i="5"/>
  <c r="F3223" i="5"/>
  <c r="F3208" i="5"/>
  <c r="F3193" i="5"/>
  <c r="F3167" i="5"/>
  <c r="F3137" i="5"/>
  <c r="F3071" i="5"/>
  <c r="F3001" i="5"/>
  <c r="F2982" i="5"/>
  <c r="F2960" i="5"/>
  <c r="F2938" i="5"/>
  <c r="F2924" i="5"/>
  <c r="E1336" i="4"/>
  <c r="D2" i="4"/>
  <c r="E985" i="4"/>
  <c r="F227" i="5"/>
  <c r="F775" i="5"/>
  <c r="F1049" i="5"/>
  <c r="F1074" i="5"/>
  <c r="F1082" i="5"/>
  <c r="F1202" i="5"/>
  <c r="F1637" i="5"/>
  <c r="F1896" i="5"/>
  <c r="F1917" i="5"/>
  <c r="F2441" i="5"/>
  <c r="F3281" i="5"/>
  <c r="F3005" i="5"/>
  <c r="F2877" i="5"/>
  <c r="F2529" i="5"/>
  <c r="F2497" i="5"/>
  <c r="F2456" i="5"/>
  <c r="F2111" i="5"/>
  <c r="F2079" i="5"/>
  <c r="F2063" i="5"/>
  <c r="F2043" i="5"/>
  <c r="F2023" i="5"/>
  <c r="F1903" i="5"/>
  <c r="F1615" i="5"/>
  <c r="F1599" i="5"/>
  <c r="F1583" i="5"/>
  <c r="F1567" i="5"/>
  <c r="F1546" i="5"/>
  <c r="F1530" i="5"/>
  <c r="F1506" i="5"/>
  <c r="F1481" i="5"/>
  <c r="F1465" i="5"/>
  <c r="F3723" i="5"/>
  <c r="F3660" i="5"/>
  <c r="F3623" i="5"/>
  <c r="F3493" i="5"/>
  <c r="F3478" i="5"/>
  <c r="F3424" i="5"/>
  <c r="F3416" i="5"/>
  <c r="F3409" i="5"/>
  <c r="F3398" i="5"/>
  <c r="F3375" i="5"/>
  <c r="F3360" i="5"/>
  <c r="F3338" i="5"/>
  <c r="F3320" i="5"/>
  <c r="F3302" i="5"/>
  <c r="F3260" i="5"/>
  <c r="F3245" i="5"/>
  <c r="F3212" i="5"/>
  <c r="F3196" i="5"/>
  <c r="F3145" i="5"/>
  <c r="F3126" i="5"/>
  <c r="F3111" i="5"/>
  <c r="F3108" i="5"/>
  <c r="F3097" i="5"/>
  <c r="F3049" i="5"/>
  <c r="F3015" i="5"/>
  <c r="F3004" i="5"/>
  <c r="F2964" i="5"/>
  <c r="F2949" i="5"/>
  <c r="F2928" i="5"/>
  <c r="F2913" i="5"/>
  <c r="F2887" i="5"/>
  <c r="F2876" i="5"/>
  <c r="F2861" i="5"/>
  <c r="F2835" i="5"/>
  <c r="F2824" i="5"/>
  <c r="F2772" i="5"/>
  <c r="F2750" i="5"/>
  <c r="F2732" i="5"/>
  <c r="F2728" i="5"/>
  <c r="F2706" i="5"/>
  <c r="F2687" i="5"/>
  <c r="F2666" i="5"/>
  <c r="F2621" i="5"/>
  <c r="F2606" i="5"/>
  <c r="F2590" i="5"/>
  <c r="F2549" i="5"/>
  <c r="F2466" i="5"/>
  <c r="F2458" i="5"/>
  <c r="F2454" i="5"/>
  <c r="F2439" i="5"/>
  <c r="F2423" i="5"/>
  <c r="F2417" i="5"/>
  <c r="F2390" i="5"/>
  <c r="F2374" i="5"/>
  <c r="F2358" i="5"/>
  <c r="F2343" i="5"/>
  <c r="F2301" i="5"/>
  <c r="F2274" i="5"/>
  <c r="F2257" i="5"/>
  <c r="F2243" i="5"/>
  <c r="F2221" i="5"/>
  <c r="F2211" i="5"/>
  <c r="F2197" i="5"/>
  <c r="F2171" i="5"/>
  <c r="F2149" i="5"/>
  <c r="F2130" i="5"/>
  <c r="F2122" i="5"/>
  <c r="F2092" i="5"/>
  <c r="F2052" i="5"/>
  <c r="F2002" i="5"/>
  <c r="F1994" i="5"/>
  <c r="F1986" i="5"/>
  <c r="F1978" i="5"/>
  <c r="F1939" i="5"/>
  <c r="F1900" i="5"/>
  <c r="F1883" i="5"/>
  <c r="F1876" i="5"/>
  <c r="F1868" i="5"/>
  <c r="F1860" i="5"/>
  <c r="F1793" i="5"/>
  <c r="F1785" i="5"/>
  <c r="F1777" i="5"/>
  <c r="F1768" i="5"/>
  <c r="F1760" i="5"/>
  <c r="F1752" i="5"/>
  <c r="F1744" i="5"/>
  <c r="F1736" i="5"/>
  <c r="F1725" i="5"/>
  <c r="F1717" i="5"/>
  <c r="F1706" i="5"/>
  <c r="F1698" i="5"/>
  <c r="F1687" i="5"/>
  <c r="F1680" i="5"/>
  <c r="F1673" i="5"/>
  <c r="F1666" i="5"/>
  <c r="F1656" i="5"/>
  <c r="F1649" i="5"/>
  <c r="F1635" i="5"/>
  <c r="F1493" i="5"/>
  <c r="F1452" i="5"/>
  <c r="F1341" i="5"/>
  <c r="F1331" i="5"/>
  <c r="F1313" i="5"/>
  <c r="F1295" i="5"/>
  <c r="F1231" i="5"/>
  <c r="F1177" i="5"/>
  <c r="F1163" i="5"/>
  <c r="F1156" i="5"/>
  <c r="F1139" i="5"/>
  <c r="F1123" i="5"/>
  <c r="F1109" i="5"/>
  <c r="F737" i="5"/>
  <c r="F712" i="5"/>
  <c r="F701" i="5"/>
  <c r="F678" i="5"/>
  <c r="F663" i="5"/>
  <c r="F648" i="5"/>
  <c r="F630" i="5"/>
  <c r="F615" i="5"/>
  <c r="F604" i="5"/>
  <c r="F589" i="5"/>
  <c r="F578" i="5"/>
  <c r="F564" i="5"/>
  <c r="F529" i="5"/>
  <c r="F513" i="5"/>
  <c r="F503" i="5"/>
  <c r="F484" i="5"/>
  <c r="F469" i="5"/>
  <c r="F436" i="5"/>
  <c r="F420" i="5"/>
  <c r="F402" i="5"/>
  <c r="F396" i="5"/>
  <c r="F384" i="5"/>
  <c r="F369" i="5"/>
  <c r="F2845" i="5"/>
  <c r="F2057" i="5"/>
  <c r="F1581" i="5"/>
  <c r="F1528" i="5"/>
  <c r="F233" i="5"/>
  <c r="F3480" i="5"/>
  <c r="F3458" i="5"/>
  <c r="F3444" i="5"/>
  <c r="F3433" i="5"/>
  <c r="F3369" i="5"/>
  <c r="F3343" i="5"/>
  <c r="F3322" i="5"/>
  <c r="F3311" i="5"/>
  <c r="F3262" i="5"/>
  <c r="F3240" i="5"/>
  <c r="F3102" i="5"/>
  <c r="F3084" i="5"/>
  <c r="F3043" i="5"/>
  <c r="F3017" i="5"/>
  <c r="F3010" i="5"/>
  <c r="F2940" i="5"/>
  <c r="F2922" i="5"/>
  <c r="F2896" i="5"/>
  <c r="F2837" i="5"/>
  <c r="F2826" i="5"/>
  <c r="F2808" i="5"/>
  <c r="F2770" i="5"/>
  <c r="F2678" i="5"/>
  <c r="F2649" i="5"/>
  <c r="F2559" i="5"/>
  <c r="F2511" i="5"/>
  <c r="F2504" i="5"/>
  <c r="F2425" i="5"/>
  <c r="F2318" i="5"/>
  <c r="F2295" i="5"/>
  <c r="F2276" i="5"/>
  <c r="F2226" i="5"/>
  <c r="F2162" i="5"/>
  <c r="F2147" i="5"/>
  <c r="F2082" i="5"/>
  <c r="F2000" i="5"/>
  <c r="F1976" i="5"/>
  <c r="F1964" i="5"/>
  <c r="F1945" i="5"/>
  <c r="F1881" i="5"/>
  <c r="F1862" i="5"/>
  <c r="F1843" i="5"/>
  <c r="F1829" i="5"/>
  <c r="F1805" i="5"/>
  <c r="F1791" i="5"/>
  <c r="F1774" i="5"/>
  <c r="F1758" i="5"/>
  <c r="F1719" i="5"/>
  <c r="F1700" i="5"/>
  <c r="F1671" i="5"/>
  <c r="F1658" i="5"/>
  <c r="F1454" i="5"/>
  <c r="F1411" i="5"/>
  <c r="F1397" i="5"/>
  <c r="F1378" i="5"/>
  <c r="F1365" i="5"/>
  <c r="F1353" i="5"/>
  <c r="F1346" i="5"/>
  <c r="F1339" i="5"/>
  <c r="F1183" i="5"/>
  <c r="F1158" i="5"/>
  <c r="F1144" i="5"/>
  <c r="F1121" i="5"/>
  <c r="F524" i="5"/>
  <c r="F375" i="5"/>
  <c r="F1310" i="5"/>
  <c r="F1057" i="5"/>
  <c r="F1030" i="5"/>
  <c r="F923" i="5"/>
  <c r="F3589" i="5"/>
  <c r="F3453" i="5"/>
  <c r="F3425" i="5"/>
  <c r="F3410" i="5"/>
  <c r="F3376" i="5"/>
  <c r="F3350" i="5"/>
  <c r="F3288" i="5"/>
  <c r="F3265" i="5"/>
  <c r="F3250" i="5"/>
  <c r="F3235" i="5"/>
  <c r="F3175" i="5"/>
  <c r="F3164" i="5"/>
  <c r="F3149" i="5"/>
  <c r="F3131" i="5"/>
  <c r="F2935" i="5"/>
  <c r="F2895" i="5"/>
  <c r="F2873" i="5"/>
  <c r="F2844" i="5"/>
  <c r="F2803" i="5"/>
  <c r="F2785" i="5"/>
  <c r="F2755" i="5"/>
  <c r="F2684" i="5"/>
  <c r="F2677" i="5"/>
  <c r="F2607" i="5"/>
  <c r="F2530" i="5"/>
  <c r="F2518" i="5"/>
  <c r="F2507" i="5"/>
  <c r="F2474" i="5"/>
  <c r="F2467" i="5"/>
  <c r="F2436" i="5"/>
  <c r="F2428" i="5"/>
  <c r="F2379" i="5"/>
  <c r="F2317" i="5"/>
  <c r="F2265" i="5"/>
  <c r="F2241" i="5"/>
  <c r="F2216" i="5"/>
  <c r="F2116" i="5"/>
  <c r="F2018" i="5"/>
  <c r="F1893" i="5"/>
  <c r="F1628" i="5"/>
  <c r="F1608" i="5"/>
  <c r="F1580" i="5"/>
  <c r="F1543" i="5"/>
  <c r="F1513" i="5"/>
  <c r="F1450" i="5"/>
  <c r="F1413" i="5"/>
  <c r="F1400" i="5"/>
  <c r="F1385" i="5"/>
  <c r="F1374" i="5"/>
  <c r="F1352" i="5"/>
  <c r="F1299" i="5"/>
  <c r="F1248" i="5"/>
  <c r="F1240" i="5"/>
  <c r="F1221" i="5"/>
  <c r="F1205" i="5"/>
  <c r="F1157" i="5"/>
  <c r="F1090" i="5"/>
  <c r="F3180" i="5"/>
  <c r="F2577" i="5"/>
  <c r="F1991" i="5"/>
  <c r="F1975" i="5"/>
  <c r="F1338" i="5"/>
  <c r="F1241" i="5"/>
  <c r="F1063" i="5"/>
  <c r="F1054" i="5"/>
  <c r="F1043" i="5"/>
  <c r="F1031" i="5"/>
  <c r="F1023" i="5"/>
  <c r="F1015" i="5"/>
  <c r="F1007" i="5"/>
  <c r="F989" i="5"/>
  <c r="F978" i="5"/>
  <c r="F970" i="5"/>
  <c r="F962" i="5"/>
  <c r="F952" i="5"/>
  <c r="F944" i="5"/>
  <c r="F934" i="5"/>
  <c r="F926" i="5"/>
  <c r="F915" i="5"/>
  <c r="F3687" i="5"/>
  <c r="F3583" i="5"/>
  <c r="F3496" i="5"/>
  <c r="F3481" i="5"/>
  <c r="F3441" i="5"/>
  <c r="F3434" i="5"/>
  <c r="F3430" i="5"/>
  <c r="F3393" i="5"/>
  <c r="F3382" i="5"/>
  <c r="F3359" i="5"/>
  <c r="F3344" i="5"/>
  <c r="F3337" i="5"/>
  <c r="F3327" i="5"/>
  <c r="F3275" i="5"/>
  <c r="F3241" i="5"/>
  <c r="F3237" i="5"/>
  <c r="F3226" i="5"/>
  <c r="F3211" i="5"/>
  <c r="F3181" i="5"/>
  <c r="F3177" i="5"/>
  <c r="F3166" i="5"/>
  <c r="F3162" i="5"/>
  <c r="F3099" i="5"/>
  <c r="F3096" i="5"/>
  <c r="F3059" i="5"/>
  <c r="F3048" i="5"/>
  <c r="F3011" i="5"/>
  <c r="F3000" i="5"/>
  <c r="F2985" i="5"/>
  <c r="F2959" i="5"/>
  <c r="F2952" i="5"/>
  <c r="F2923" i="5"/>
  <c r="F2912" i="5"/>
  <c r="F2897" i="5"/>
  <c r="F2890" i="5"/>
  <c r="F2871" i="5"/>
  <c r="F2860" i="5"/>
  <c r="F2827" i="5"/>
  <c r="F2816" i="5"/>
  <c r="F2801" i="5"/>
  <c r="F2794" i="5"/>
  <c r="F2775" i="5"/>
  <c r="F2757" i="5"/>
  <c r="F2746" i="5"/>
  <c r="F2690" i="5"/>
  <c r="F2671" i="5"/>
  <c r="F2639" i="5"/>
  <c r="F2620" i="5"/>
  <c r="F2613" i="5"/>
  <c r="F2600" i="5"/>
  <c r="F2589" i="5"/>
  <c r="F2582" i="5"/>
  <c r="F2572" i="5"/>
  <c r="F2556" i="5"/>
  <c r="F2540" i="5"/>
  <c r="F2532" i="5"/>
  <c r="F2516" i="5"/>
  <c r="F2430" i="5"/>
  <c r="F2416" i="5"/>
  <c r="F2338" i="5"/>
  <c r="F2319" i="5"/>
  <c r="F2312" i="5"/>
  <c r="F2304" i="5"/>
  <c r="F2296" i="5"/>
  <c r="F2284" i="5"/>
  <c r="F2273" i="5"/>
  <c r="F2256" i="5"/>
  <c r="F2210" i="5"/>
  <c r="F2200" i="5"/>
  <c r="F2192" i="5"/>
  <c r="F2184" i="5"/>
  <c r="F2167" i="5"/>
  <c r="F2141" i="5"/>
  <c r="F2110" i="5"/>
  <c r="F2040" i="5"/>
  <c r="F2020" i="5"/>
  <c r="F1938" i="5"/>
  <c r="F1931" i="5"/>
  <c r="F1913" i="5"/>
  <c r="F1886" i="5"/>
  <c r="F1878" i="5"/>
  <c r="F1871" i="5"/>
  <c r="F1863" i="5"/>
  <c r="F1856" i="5"/>
  <c r="F1840" i="5"/>
  <c r="F1833" i="5"/>
  <c r="F1826" i="5"/>
  <c r="F1818" i="5"/>
  <c r="F1810" i="5"/>
  <c r="F1802" i="5"/>
  <c r="F1792" i="5"/>
  <c r="F1784" i="5"/>
  <c r="F1775" i="5"/>
  <c r="F1767" i="5"/>
  <c r="F1759" i="5"/>
  <c r="F1751" i="5"/>
  <c r="F1743" i="5"/>
  <c r="F1735" i="5"/>
  <c r="F1724" i="5"/>
  <c r="F1716" i="5"/>
  <c r="F1705" i="5"/>
  <c r="F1697" i="5"/>
  <c r="F1686" i="5"/>
  <c r="F1679" i="5"/>
  <c r="F1672" i="5"/>
  <c r="F1661" i="5"/>
  <c r="F1648" i="5"/>
  <c r="F1634" i="5"/>
  <c r="F1602" i="5"/>
  <c r="F1586" i="5"/>
  <c r="F1568" i="5"/>
  <c r="F1545" i="5"/>
  <c r="F1529" i="5"/>
  <c r="F1499" i="5"/>
  <c r="F1478" i="5"/>
  <c r="F1434" i="5"/>
  <c r="F1319" i="5"/>
  <c r="F1301" i="5"/>
  <c r="F1238" i="5"/>
  <c r="F1219" i="5"/>
  <c r="F1207" i="5"/>
  <c r="F1199" i="5"/>
  <c r="F1162" i="5"/>
  <c r="F1149" i="5"/>
  <c r="F1138" i="5"/>
  <c r="F1130" i="5"/>
  <c r="F1122" i="5"/>
  <c r="F1114" i="5"/>
  <c r="F1100" i="5"/>
  <c r="F772" i="5"/>
  <c r="F765" i="5"/>
  <c r="F757" i="5"/>
  <c r="F750" i="5"/>
  <c r="F1585" i="5"/>
  <c r="F1437" i="5"/>
  <c r="F326" i="5"/>
  <c r="F307" i="5"/>
  <c r="F297" i="5"/>
  <c r="F279" i="5"/>
  <c r="F261" i="5"/>
  <c r="F240" i="5"/>
  <c r="F3517" i="5"/>
  <c r="F3469" i="5"/>
  <c r="F3437" i="5"/>
  <c r="F3422" i="5"/>
  <c r="F3381" i="5"/>
  <c r="F3354" i="5"/>
  <c r="F3300" i="5"/>
  <c r="F3274" i="5"/>
  <c r="F3236" i="5"/>
  <c r="F3229" i="5"/>
  <c r="F3210" i="5"/>
  <c r="F3183" i="5"/>
  <c r="F3172" i="5"/>
  <c r="F3154" i="5"/>
  <c r="F3117" i="5"/>
  <c r="F3091" i="5"/>
  <c r="F3036" i="5"/>
  <c r="F2995" i="5"/>
  <c r="F2977" i="5"/>
  <c r="F2943" i="5"/>
  <c r="F2926" i="5"/>
  <c r="F2911" i="5"/>
  <c r="F2893" i="5"/>
  <c r="F2874" i="5"/>
  <c r="F2830" i="5"/>
  <c r="F2811" i="5"/>
  <c r="F2789" i="5"/>
  <c r="F2730" i="5"/>
  <c r="F2704" i="5"/>
  <c r="F2645" i="5"/>
  <c r="F2627" i="5"/>
  <c r="F2581" i="5"/>
  <c r="F2574" i="5"/>
  <c r="F2547" i="5"/>
  <c r="F2515" i="5"/>
  <c r="F2508" i="5"/>
  <c r="F2444" i="5"/>
  <c r="F2402" i="5"/>
  <c r="F2314" i="5"/>
  <c r="F2307" i="5"/>
  <c r="F2291" i="5"/>
  <c r="F2272" i="5"/>
  <c r="F2166" i="5"/>
  <c r="F2144" i="5"/>
  <c r="F2128" i="5"/>
  <c r="F2068" i="5"/>
  <c r="F2046" i="5"/>
  <c r="F1920" i="5"/>
  <c r="F1414" i="5"/>
  <c r="F1401" i="5"/>
  <c r="F1390" i="5"/>
  <c r="F1311" i="5"/>
  <c r="F1165" i="5"/>
  <c r="F756" i="5"/>
  <c r="F742" i="5"/>
  <c r="F725" i="5"/>
  <c r="F711" i="5"/>
  <c r="F700" i="5"/>
  <c r="F677" i="5"/>
  <c r="F666" i="5"/>
  <c r="F651" i="5"/>
  <c r="F637" i="5"/>
  <c r="F625" i="5"/>
  <c r="F614" i="5"/>
  <c r="F596" i="5"/>
  <c r="F581" i="5"/>
  <c r="F557" i="5"/>
  <c r="F532" i="5"/>
  <c r="F520" i="5"/>
  <c r="F510" i="5"/>
  <c r="F498" i="5"/>
  <c r="F483" i="5"/>
  <c r="F468" i="5"/>
  <c r="F452" i="5"/>
  <c r="F439" i="5"/>
  <c r="F423" i="5"/>
  <c r="F412" i="5"/>
  <c r="F391" i="5"/>
  <c r="F3498" i="5"/>
  <c r="F3472" i="5"/>
  <c r="F3464" i="5"/>
  <c r="F3443" i="5"/>
  <c r="F3414" i="5"/>
  <c r="F3372" i="5"/>
  <c r="F3361" i="5"/>
  <c r="F3317" i="5"/>
  <c r="F3127" i="5"/>
  <c r="F3094" i="5"/>
  <c r="F3075" i="5"/>
  <c r="F3064" i="5"/>
  <c r="F3046" i="5"/>
  <c r="F3042" i="5"/>
  <c r="F3013" i="5"/>
  <c r="F2987" i="5"/>
  <c r="F2976" i="5"/>
  <c r="F2961" i="5"/>
  <c r="F2931" i="5"/>
  <c r="F2899" i="5"/>
  <c r="F2799" i="5"/>
  <c r="F2566" i="5"/>
  <c r="F2534" i="5"/>
  <c r="F2510" i="5"/>
  <c r="F2401" i="5"/>
  <c r="F2367" i="5"/>
  <c r="F2344" i="5"/>
  <c r="F2329" i="5"/>
  <c r="F2294" i="5"/>
  <c r="F2268" i="5"/>
  <c r="F2244" i="5"/>
  <c r="F2190" i="5"/>
  <c r="F2165" i="5"/>
  <c r="F2143" i="5"/>
  <c r="F2127" i="5"/>
  <c r="F2108" i="5"/>
  <c r="F2022" i="5"/>
  <c r="F1971" i="5"/>
  <c r="F1880" i="5"/>
  <c r="F1865" i="5"/>
  <c r="F1842" i="5"/>
  <c r="F1828" i="5"/>
  <c r="F1816" i="5"/>
  <c r="F1796" i="5"/>
  <c r="F1782" i="5"/>
  <c r="F1761" i="5"/>
  <c r="F1745" i="5"/>
  <c r="F1711" i="5"/>
  <c r="F1695" i="5"/>
  <c r="F1681" i="5"/>
  <c r="F1663" i="5"/>
  <c r="F1650" i="5"/>
  <c r="F1639" i="5"/>
  <c r="F1604" i="5"/>
  <c r="F1566" i="5"/>
  <c r="F1539" i="5"/>
  <c r="F1517" i="5"/>
  <c r="F1480" i="5"/>
  <c r="F1440" i="5"/>
  <c r="F1277" i="5"/>
  <c r="F1193" i="5"/>
  <c r="F1178" i="5"/>
  <c r="F2586" i="5"/>
  <c r="F3309" i="5"/>
  <c r="F3306" i="5"/>
  <c r="F3301" i="5"/>
  <c r="F3298" i="5"/>
  <c r="F3297" i="5"/>
  <c r="F3294" i="5"/>
  <c r="F3289" i="5"/>
  <c r="F3286" i="5"/>
  <c r="F3285" i="5"/>
  <c r="F2455" i="5"/>
  <c r="F2003" i="5"/>
  <c r="F1967" i="5"/>
  <c r="F1966" i="5"/>
  <c r="F1965" i="5"/>
  <c r="F1963" i="5"/>
  <c r="F1929" i="5"/>
  <c r="F1928" i="5"/>
  <c r="F1923" i="5"/>
  <c r="F1914" i="5"/>
  <c r="F1891" i="5"/>
  <c r="F1621" i="5"/>
  <c r="F1103" i="5"/>
  <c r="F774" i="5"/>
  <c r="F717" i="5"/>
  <c r="F716" i="5"/>
  <c r="F686" i="5"/>
  <c r="E183" i="4"/>
  <c r="F333" i="5"/>
  <c r="E2323" i="4"/>
  <c r="C984" i="4"/>
  <c r="E1558" i="4"/>
  <c r="E807" i="4"/>
  <c r="C2602" i="4"/>
  <c r="D2602" i="4"/>
  <c r="E1003" i="4"/>
  <c r="E32" i="4"/>
  <c r="E1727" i="4"/>
  <c r="E382" i="4"/>
  <c r="E2278" i="4"/>
  <c r="E3267" i="4"/>
  <c r="E1418" i="4"/>
  <c r="E2138" i="4"/>
  <c r="E2773" i="4"/>
  <c r="E1888" i="4"/>
  <c r="E1496" i="4"/>
  <c r="E1488" i="4"/>
  <c r="C1887" i="4"/>
  <c r="E1284" i="4"/>
  <c r="E3206" i="4"/>
  <c r="E2603" i="4"/>
  <c r="E1232" i="4"/>
  <c r="C1487" i="4"/>
  <c r="E1737" i="4"/>
  <c r="E2493" i="4"/>
  <c r="C1417" i="4"/>
  <c r="D984" i="4"/>
  <c r="E2031" i="4"/>
  <c r="E3378" i="4"/>
  <c r="E3" i="4"/>
  <c r="E2288" i="4"/>
  <c r="E543" i="4"/>
  <c r="C2" i="4"/>
  <c r="D1887" i="4"/>
  <c r="E1047" i="4"/>
  <c r="F401" i="5" l="1"/>
  <c r="F1505" i="5"/>
  <c r="F397" i="5"/>
  <c r="F1410" i="5"/>
  <c r="F300" i="5"/>
  <c r="F979" i="5"/>
  <c r="F399" i="5"/>
  <c r="E2031" i="5"/>
  <c r="D2031" i="5"/>
  <c r="C2031" i="5"/>
  <c r="E1496" i="5"/>
  <c r="D1496" i="5"/>
  <c r="C1496" i="5"/>
  <c r="E2583" i="5"/>
  <c r="D2583" i="5"/>
  <c r="C2583" i="5"/>
  <c r="E1047" i="5"/>
  <c r="D1047" i="5"/>
  <c r="C1047" i="5"/>
  <c r="E2288" i="5"/>
  <c r="D2288" i="5"/>
  <c r="C2288" i="5"/>
  <c r="E1284" i="5"/>
  <c r="D1284" i="5"/>
  <c r="C1284" i="5"/>
  <c r="E1888" i="5"/>
  <c r="D1888" i="5"/>
  <c r="C1888" i="5"/>
  <c r="E3267" i="5"/>
  <c r="D3267" i="5"/>
  <c r="C3267" i="5"/>
  <c r="E32" i="5"/>
  <c r="D32" i="5"/>
  <c r="C32" i="5"/>
  <c r="E807" i="5"/>
  <c r="D807" i="5"/>
  <c r="C807" i="5"/>
  <c r="E1360" i="5"/>
  <c r="D1360" i="5"/>
  <c r="C1360" i="5"/>
  <c r="E1737" i="5"/>
  <c r="D1737" i="5"/>
  <c r="C1737" i="5"/>
  <c r="E3206" i="5"/>
  <c r="D3206" i="5"/>
  <c r="C3206" i="5"/>
  <c r="E2323" i="5"/>
  <c r="D2323" i="5"/>
  <c r="C2323" i="5"/>
  <c r="E2489" i="5"/>
  <c r="D2489" i="5"/>
  <c r="C2489" i="5"/>
  <c r="E1232" i="5"/>
  <c r="D1232" i="5"/>
  <c r="C1232" i="5"/>
  <c r="E2773" i="5"/>
  <c r="D2773" i="5"/>
  <c r="C2773" i="5"/>
  <c r="E2278" i="5"/>
  <c r="D2278" i="5"/>
  <c r="C2278" i="5"/>
  <c r="E1003" i="5"/>
  <c r="D1003" i="5"/>
  <c r="C1003" i="5"/>
  <c r="E1558" i="5"/>
  <c r="D1558" i="5"/>
  <c r="C1558" i="5"/>
  <c r="E183" i="5"/>
  <c r="D183" i="5"/>
  <c r="C183" i="5"/>
  <c r="E985" i="5"/>
  <c r="D985" i="5"/>
  <c r="C985" i="5"/>
  <c r="E403" i="5"/>
  <c r="D403" i="5"/>
  <c r="C403" i="5"/>
  <c r="E994" i="5"/>
  <c r="D994" i="5"/>
  <c r="C994" i="5"/>
  <c r="E543" i="5"/>
  <c r="D543" i="5"/>
  <c r="C543" i="5"/>
  <c r="E1418" i="5"/>
  <c r="D1418" i="5"/>
  <c r="C1418" i="5"/>
  <c r="E1727" i="5"/>
  <c r="D1727" i="5"/>
  <c r="C1727" i="5"/>
  <c r="E1336" i="5"/>
  <c r="D1336" i="5"/>
  <c r="C1336" i="5"/>
  <c r="E3378" i="5"/>
  <c r="C3378" i="5"/>
  <c r="D3378" i="5"/>
  <c r="E2493" i="5"/>
  <c r="D2493" i="5"/>
  <c r="C2493" i="5"/>
  <c r="E2603" i="5"/>
  <c r="D2603" i="5"/>
  <c r="C2603" i="5"/>
  <c r="E1488" i="5"/>
  <c r="D1488" i="5"/>
  <c r="C1488" i="5"/>
  <c r="E2138" i="5"/>
  <c r="D2138" i="5"/>
  <c r="C2138" i="5"/>
  <c r="E382" i="5"/>
  <c r="D382" i="5"/>
  <c r="C382" i="5"/>
  <c r="E3340" i="5"/>
  <c r="D3340" i="5"/>
  <c r="C3340" i="5"/>
  <c r="E3" i="5"/>
  <c r="C3" i="5"/>
  <c r="D3" i="5"/>
  <c r="F1419" i="5"/>
  <c r="F2463" i="5"/>
  <c r="F1425" i="5"/>
  <c r="F3451" i="5"/>
  <c r="F1001" i="5"/>
  <c r="F999" i="5"/>
  <c r="E2535" i="4"/>
  <c r="F646" i="5"/>
  <c r="F1522" i="5"/>
  <c r="F2846" i="5"/>
  <c r="F2942" i="5"/>
  <c r="F2585" i="5"/>
  <c r="F2669" i="5"/>
  <c r="F3427" i="5"/>
  <c r="F3391" i="5"/>
  <c r="F2106" i="5"/>
  <c r="F3328" i="5"/>
  <c r="F997" i="5"/>
  <c r="F2747" i="5"/>
  <c r="F1559" i="5"/>
  <c r="F1307" i="5"/>
  <c r="F946" i="5"/>
  <c r="F2643" i="5"/>
  <c r="F1055" i="5"/>
  <c r="F1035" i="5"/>
  <c r="F1902" i="5"/>
  <c r="F2894" i="5"/>
  <c r="F1659" i="5"/>
  <c r="E1487" i="4"/>
  <c r="F1728" i="5"/>
  <c r="F1927" i="5"/>
  <c r="F1937" i="5"/>
  <c r="F1507" i="5"/>
  <c r="F2472" i="5"/>
  <c r="F2490" i="5"/>
  <c r="F2080" i="5"/>
  <c r="F2465" i="5"/>
  <c r="F995" i="5"/>
  <c r="F1576" i="5"/>
  <c r="F672" i="5"/>
  <c r="F2269" i="5"/>
  <c r="F817" i="5"/>
  <c r="F450" i="5"/>
  <c r="F1361" i="5"/>
  <c r="F2404" i="5"/>
  <c r="F1155" i="5"/>
  <c r="F512" i="5"/>
  <c r="F2208" i="5"/>
  <c r="F870" i="5"/>
  <c r="F474" i="5"/>
  <c r="F1168" i="5"/>
  <c r="F3316" i="5"/>
  <c r="F534" i="5"/>
  <c r="F885" i="5"/>
  <c r="F895" i="5"/>
  <c r="F1020" i="5"/>
  <c r="F2760" i="5"/>
  <c r="F607" i="5"/>
  <c r="F767" i="5"/>
  <c r="F1626" i="5"/>
  <c r="F1460" i="5"/>
  <c r="F3062" i="5"/>
  <c r="F2990" i="5"/>
  <c r="F1464" i="5"/>
  <c r="F1485" i="5"/>
  <c r="F1427" i="5"/>
  <c r="F1285" i="5"/>
  <c r="F1462" i="5"/>
  <c r="F2682" i="5"/>
  <c r="F2536" i="5"/>
  <c r="F2509" i="5"/>
  <c r="F3231" i="5"/>
  <c r="F2120" i="5"/>
  <c r="F3243" i="5"/>
  <c r="F2695" i="5"/>
  <c r="F2604" i="5"/>
  <c r="F2032" i="5"/>
  <c r="F2798" i="5"/>
  <c r="F2486" i="5"/>
  <c r="F1333" i="5"/>
  <c r="F1476" i="5"/>
  <c r="F3014" i="5"/>
  <c r="F956" i="5"/>
  <c r="F2774" i="5"/>
  <c r="F1470" i="5"/>
  <c r="F2708" i="5"/>
  <c r="F1525" i="5"/>
  <c r="F1281" i="5"/>
  <c r="F3415" i="5"/>
  <c r="F45" i="5"/>
  <c r="F2159" i="5"/>
  <c r="F1844" i="5"/>
  <c r="F3002" i="5"/>
  <c r="F1638" i="5"/>
  <c r="F2392" i="5"/>
  <c r="F158" i="5"/>
  <c r="F1651" i="5"/>
  <c r="F3219" i="5"/>
  <c r="F1668" i="5"/>
  <c r="F4" i="5"/>
  <c r="F2954" i="5"/>
  <c r="F3098" i="5"/>
  <c r="F2250" i="5"/>
  <c r="F404" i="5"/>
  <c r="F1375" i="5"/>
  <c r="F1442" i="5"/>
  <c r="F2181" i="5"/>
  <c r="F587" i="5"/>
  <c r="F23" i="5"/>
  <c r="F1713" i="5"/>
  <c r="F2224" i="5"/>
  <c r="F1151" i="5"/>
  <c r="F729" i="5"/>
  <c r="F1058" i="5"/>
  <c r="F1337" i="5"/>
  <c r="F271" i="5"/>
  <c r="F448" i="5"/>
  <c r="F125" i="5"/>
  <c r="F566" i="5"/>
  <c r="F1776" i="5"/>
  <c r="F347" i="5"/>
  <c r="F1421" i="5"/>
  <c r="F2810" i="5"/>
  <c r="F33" i="5"/>
  <c r="F1347" i="5"/>
  <c r="F383" i="5"/>
  <c r="F2786" i="5"/>
  <c r="F371" i="5"/>
  <c r="F2139" i="5"/>
  <c r="F3026" i="5"/>
  <c r="F951" i="5"/>
  <c r="F3182" i="5"/>
  <c r="F544" i="5"/>
  <c r="F419" i="5"/>
  <c r="F1838" i="5"/>
  <c r="F941" i="5"/>
  <c r="F875" i="5"/>
  <c r="F785" i="5"/>
  <c r="F2858" i="5"/>
  <c r="F147" i="5"/>
  <c r="F3341" i="5"/>
  <c r="F3268" i="5"/>
  <c r="F558" i="5"/>
  <c r="F836" i="5"/>
  <c r="F2494" i="5"/>
  <c r="F302" i="5"/>
  <c r="F685" i="5"/>
  <c r="F715" i="5"/>
  <c r="F721" i="5"/>
  <c r="F1622" i="5"/>
  <c r="F2219" i="5"/>
  <c r="F739" i="5"/>
  <c r="F2617" i="5"/>
  <c r="F3475" i="5"/>
  <c r="F1296" i="5"/>
  <c r="F3439" i="5"/>
  <c r="F113" i="5"/>
  <c r="F657" i="5"/>
  <c r="F892" i="5"/>
  <c r="F334" i="5"/>
  <c r="F2289" i="5"/>
  <c r="F3207" i="5"/>
  <c r="F853" i="5"/>
  <c r="F1613" i="5"/>
  <c r="F1690" i="5"/>
  <c r="F3038" i="5"/>
  <c r="F360" i="5"/>
  <c r="F1645" i="5"/>
  <c r="F920" i="5"/>
  <c r="F2630" i="5"/>
  <c r="F1832" i="5"/>
  <c r="F3463" i="5"/>
  <c r="F1110" i="5"/>
  <c r="F1795" i="5"/>
  <c r="F2055" i="5"/>
  <c r="F3122" i="5"/>
  <c r="F2259" i="5"/>
  <c r="F931" i="5"/>
  <c r="F1344" i="5"/>
  <c r="F3146" i="5"/>
  <c r="F1041" i="5"/>
  <c r="F2906" i="5"/>
  <c r="F1432" i="5"/>
  <c r="F65" i="5"/>
  <c r="F1261" i="5"/>
  <c r="F1738" i="5"/>
  <c r="F3379" i="5"/>
  <c r="F19" i="5"/>
  <c r="F1451" i="5"/>
  <c r="F2172" i="5"/>
  <c r="F1853" i="5"/>
  <c r="F2966" i="5"/>
  <c r="F88" i="5"/>
  <c r="F3194" i="5"/>
  <c r="F173" i="5"/>
  <c r="F1850" i="5"/>
  <c r="F2245" i="5"/>
  <c r="F986" i="5"/>
  <c r="F703" i="5"/>
  <c r="F136" i="5"/>
  <c r="F1391" i="5"/>
  <c r="F1267" i="5"/>
  <c r="F2734" i="5"/>
  <c r="F3110" i="5"/>
  <c r="F2242" i="5"/>
  <c r="F2591" i="5"/>
  <c r="F2065" i="5"/>
  <c r="F189" i="5"/>
  <c r="F975" i="5"/>
  <c r="F3403" i="5"/>
  <c r="F296" i="5"/>
  <c r="F2045" i="5"/>
  <c r="F3170" i="5"/>
  <c r="F196" i="5"/>
  <c r="F1551" i="5"/>
  <c r="F1510" i="5"/>
  <c r="F981" i="5"/>
  <c r="F3074" i="5"/>
  <c r="F2324" i="5"/>
  <c r="F107" i="5"/>
  <c r="F489" i="5"/>
  <c r="F2398" i="5"/>
  <c r="F2413" i="5"/>
  <c r="F859" i="5"/>
  <c r="F1368" i="5"/>
  <c r="F3487" i="5"/>
  <c r="F40" i="5"/>
  <c r="F2279" i="5"/>
  <c r="F2421" i="5"/>
  <c r="F3353" i="5"/>
  <c r="F2170" i="5"/>
  <c r="F176" i="5"/>
  <c r="F184" i="5"/>
  <c r="F7" i="5"/>
  <c r="F1678" i="5"/>
  <c r="F74" i="5"/>
  <c r="F911" i="5"/>
  <c r="F1087" i="5"/>
  <c r="F1188" i="5"/>
  <c r="F1889" i="5"/>
  <c r="F2006" i="5"/>
  <c r="F2656" i="5"/>
  <c r="F2313" i="5"/>
  <c r="F1489" i="5"/>
  <c r="F2721" i="5"/>
  <c r="F444" i="5"/>
  <c r="F2349" i="5"/>
  <c r="F1225" i="5"/>
  <c r="F2330" i="5"/>
  <c r="F808" i="5"/>
  <c r="F2573" i="5"/>
  <c r="F2882" i="5"/>
  <c r="F936" i="5"/>
  <c r="F1051" i="5"/>
  <c r="F2918" i="5"/>
  <c r="F169" i="5"/>
  <c r="F1329" i="5"/>
  <c r="F15" i="5"/>
  <c r="F3086" i="5"/>
  <c r="F1685" i="5"/>
  <c r="F119" i="5"/>
  <c r="F3255" i="5"/>
  <c r="F575" i="5"/>
  <c r="F887" i="5"/>
  <c r="F2146" i="5"/>
  <c r="F1318" i="5"/>
  <c r="F3134" i="5"/>
  <c r="F1494" i="5"/>
  <c r="F747" i="5"/>
  <c r="F2579" i="5"/>
  <c r="F1140" i="5"/>
  <c r="F1858" i="5"/>
  <c r="F238" i="5"/>
  <c r="F619" i="5"/>
  <c r="F561" i="5"/>
  <c r="F1412" i="5"/>
  <c r="F3366" i="5"/>
  <c r="F3050" i="5"/>
  <c r="F2930" i="5"/>
  <c r="F2834" i="5"/>
  <c r="F1877" i="5"/>
  <c r="F1004" i="5"/>
  <c r="F755" i="5"/>
  <c r="F1366" i="5"/>
  <c r="F2870" i="5"/>
  <c r="F2418" i="5"/>
  <c r="F2203" i="5"/>
  <c r="F597" i="5"/>
  <c r="F550" i="5"/>
  <c r="F825" i="5"/>
  <c r="F1497" i="5"/>
  <c r="F2410" i="5"/>
  <c r="F1482" i="5"/>
  <c r="F1161" i="5"/>
  <c r="F2070" i="5"/>
  <c r="F2978" i="5"/>
  <c r="F1271" i="5"/>
  <c r="F2266" i="5"/>
  <c r="F3158" i="5"/>
  <c r="F2822" i="5"/>
  <c r="F3304" i="5"/>
  <c r="F3292" i="5"/>
  <c r="F3280" i="5"/>
  <c r="F2440" i="5"/>
  <c r="F1951" i="5"/>
  <c r="F1922" i="5"/>
  <c r="F1912" i="5"/>
  <c r="E1887" i="4"/>
  <c r="F1618" i="5"/>
  <c r="F1448" i="5"/>
  <c r="F1233" i="5"/>
  <c r="F1073" i="5"/>
  <c r="F1048" i="5"/>
  <c r="F900" i="5"/>
  <c r="F225" i="5"/>
  <c r="E984" i="4"/>
  <c r="E1417" i="4"/>
  <c r="E2" i="4"/>
  <c r="E2602" i="4"/>
  <c r="F3340" i="5" l="1"/>
  <c r="F994" i="5"/>
  <c r="F2489" i="5"/>
  <c r="E984" i="5"/>
  <c r="E3738" i="5" s="1"/>
  <c r="D984" i="5"/>
  <c r="D3738" i="5" s="1"/>
  <c r="C984" i="5"/>
  <c r="C3738" i="5" s="1"/>
  <c r="E1887" i="5"/>
  <c r="E3742" i="5" s="1"/>
  <c r="D1887" i="5"/>
  <c r="D3742" i="5" s="1"/>
  <c r="C1887" i="5"/>
  <c r="C3742" i="5" s="1"/>
  <c r="E1487" i="5"/>
  <c r="E3741" i="5" s="1"/>
  <c r="D1487" i="5"/>
  <c r="D3741" i="5" s="1"/>
  <c r="C1487" i="5"/>
  <c r="C3741" i="5" s="1"/>
  <c r="E2602" i="5"/>
  <c r="D2602" i="5"/>
  <c r="C2602" i="5"/>
  <c r="E1417" i="5"/>
  <c r="E3739" i="5" s="1"/>
  <c r="D1417" i="5"/>
  <c r="D3739" i="5" s="1"/>
  <c r="C1417" i="5"/>
  <c r="C3739" i="5" s="1"/>
  <c r="E2535" i="5"/>
  <c r="D2535" i="5"/>
  <c r="C2535" i="5"/>
  <c r="E2" i="5"/>
  <c r="E3737" i="5" s="1"/>
  <c r="C2" i="5"/>
  <c r="C3737" i="5" s="1"/>
  <c r="D2" i="5"/>
  <c r="D3737" i="5" s="1"/>
  <c r="F1336" i="5"/>
  <c r="F1360" i="5"/>
  <c r="E3741" i="4"/>
  <c r="F2583" i="5"/>
  <c r="E2492" i="4"/>
  <c r="F183" i="5"/>
  <c r="F1496" i="5"/>
  <c r="F2031" i="5"/>
  <c r="F3206" i="5"/>
  <c r="F807" i="5"/>
  <c r="F1727" i="5"/>
  <c r="F2773" i="5"/>
  <c r="F1488" i="5"/>
  <c r="F1284" i="5"/>
  <c r="F3" i="5"/>
  <c r="F1003" i="5"/>
  <c r="F1737" i="5"/>
  <c r="F2493" i="5"/>
  <c r="F2288" i="5"/>
  <c r="F985" i="5"/>
  <c r="F2278" i="5"/>
  <c r="F3378" i="5"/>
  <c r="F403" i="5"/>
  <c r="F382" i="5"/>
  <c r="F2138" i="5"/>
  <c r="F2603" i="5"/>
  <c r="F32" i="5"/>
  <c r="F3267" i="5"/>
  <c r="F2323" i="5"/>
  <c r="F1888" i="5"/>
  <c r="E3742" i="4"/>
  <c r="F1558" i="5"/>
  <c r="F1418" i="5"/>
  <c r="F1232" i="5"/>
  <c r="F1047" i="5"/>
  <c r="F543" i="5"/>
  <c r="E3738" i="4"/>
  <c r="E3737" i="4"/>
  <c r="E3739" i="4"/>
  <c r="E2492" i="5" l="1"/>
  <c r="E3743" i="5" s="1"/>
  <c r="E3744" i="5" s="1"/>
  <c r="D2492" i="5"/>
  <c r="D3743" i="5" s="1"/>
  <c r="D3744" i="5" s="1"/>
  <c r="C2492" i="5"/>
  <c r="C3743" i="5" s="1"/>
  <c r="C3744" i="5" s="1"/>
  <c r="E3743" i="4"/>
  <c r="E3744" i="4" s="1"/>
  <c r="F2535" i="5"/>
  <c r="F1487" i="5"/>
  <c r="F3741" i="5" s="1"/>
  <c r="D3740" i="5"/>
  <c r="E3740" i="5"/>
  <c r="C3740" i="5"/>
  <c r="F2602" i="5"/>
  <c r="F1887" i="5"/>
  <c r="F3742" i="5" s="1"/>
  <c r="F1417" i="5"/>
  <c r="F3739" i="5" s="1"/>
  <c r="E3740" i="4"/>
  <c r="F984" i="5"/>
  <c r="F3738" i="5" s="1"/>
  <c r="F2" i="5"/>
  <c r="F3737" i="5" s="1"/>
  <c r="F2492" i="5" l="1"/>
  <c r="F3743" i="5" s="1"/>
  <c r="F3744" i="5" s="1"/>
  <c r="F3740" i="5"/>
</calcChain>
</file>

<file path=xl/sharedStrings.xml><?xml version="1.0" encoding="utf-8"?>
<sst xmlns="http://schemas.openxmlformats.org/spreadsheetml/2006/main" count="7487" uniqueCount="1691">
  <si>
    <t>Corriente</t>
  </si>
  <si>
    <t>No Corriente</t>
  </si>
  <si>
    <t>Total</t>
  </si>
  <si>
    <t>CÓDIGO</t>
  </si>
  <si>
    <t>DENOMINACIÓN</t>
  </si>
  <si>
    <t>ACTIVOS</t>
  </si>
  <si>
    <t>EFECTIVO Y EQUIVALENTES AL EFECTIVO</t>
  </si>
  <si>
    <t>CAJA</t>
  </si>
  <si>
    <t>Caja principal</t>
  </si>
  <si>
    <t>Caja menor</t>
  </si>
  <si>
    <t>DEPÓSITOS EN INSTITUCIONES FINANCIERAS</t>
  </si>
  <si>
    <t>Cuenta corriente</t>
  </si>
  <si>
    <t>Cuenta de ahorro</t>
  </si>
  <si>
    <t>Depósitos simples</t>
  </si>
  <si>
    <t>Cuentas de compensación Banco de la República</t>
  </si>
  <si>
    <t>Depósitos en el exterior</t>
  </si>
  <si>
    <t>Depósitos remunerados</t>
  </si>
  <si>
    <t>Otros depósitos en instituciones financieras</t>
  </si>
  <si>
    <t>FONDOS EN TRÁNSITO</t>
  </si>
  <si>
    <t>Otros depósitos</t>
  </si>
  <si>
    <t>EFECTIVO DE USO RESTRINGIDO</t>
  </si>
  <si>
    <t>Caja</t>
  </si>
  <si>
    <t>Depósitos en instituciones financieras</t>
  </si>
  <si>
    <t>Fondos en tránsito</t>
  </si>
  <si>
    <t>EQUIVALENTES AL EFECTIVO</t>
  </si>
  <si>
    <t>Certificados de depósito de ahorro a término</t>
  </si>
  <si>
    <t>Fondos vendidos ordinarios</t>
  </si>
  <si>
    <t>Operaciones overnight</t>
  </si>
  <si>
    <t>Compromisos de reventa de cuentas por cobrar</t>
  </si>
  <si>
    <t>Compromisos de reventa de inversiones de administración de liquidez</t>
  </si>
  <si>
    <t>Compromisos de reventa de préstamos por cobrar</t>
  </si>
  <si>
    <t>Bonos y títulos</t>
  </si>
  <si>
    <t>Otros equivalentes al efectivo</t>
  </si>
  <si>
    <t>INVERSIONES E INSTRUMENTOS DERIVADOS</t>
  </si>
  <si>
    <t>INVERSIONES EN ENTIDADES EN LIQUIDACIÓN</t>
  </si>
  <si>
    <t>Empresas industriales y comerciales del Estado - Societarias</t>
  </si>
  <si>
    <t>Sociedades de economía mixta</t>
  </si>
  <si>
    <t>Sociedades públicas</t>
  </si>
  <si>
    <t>Entidades privadas</t>
  </si>
  <si>
    <t>Entidades del exterior</t>
  </si>
  <si>
    <t>Entidades del sector solidario</t>
  </si>
  <si>
    <t>DERECHOS DE RECOMPRA DE INVERSIONES</t>
  </si>
  <si>
    <t>Inversiones de administración de liquidez a valor de mercado (valor razonable) con cambios en el resultado</t>
  </si>
  <si>
    <t>Inversiones de administración de liquidez a valor de mercado (valor razonable) con cambios en el patrimonio (otro resultado integral)</t>
  </si>
  <si>
    <t>Inversiones de administración de liquidez a costo amortizado</t>
  </si>
  <si>
    <t>Inversiones de administración de liquidez al costo</t>
  </si>
  <si>
    <t>INVERSIONES DE ADMINISTRACIÓN DE LIQUIDEZ A VALOR DE MERCADO (VALOR RAZONABLE) CON CAMBIOS EN EL RESULTADO</t>
  </si>
  <si>
    <t>Títulos de tesorería (TES)</t>
  </si>
  <si>
    <t>Certificados de depósito a término (CDT)</t>
  </si>
  <si>
    <t>Bonos y títulos emitidos por el sector privado</t>
  </si>
  <si>
    <t>Bonos y títulos emitidos por entidades del exterior</t>
  </si>
  <si>
    <t>Bonos obligatoriamente convertibles en acciones (BOCAS)</t>
  </si>
  <si>
    <t>Bonos y títulos emitidos por el Gobierno General</t>
  </si>
  <si>
    <t>Bonos y títulos emitidos por las entidades públicas no financieras</t>
  </si>
  <si>
    <t>Bonos y títulos emitidos por las entidades públicas financieras</t>
  </si>
  <si>
    <t>Títulos de capitalización</t>
  </si>
  <si>
    <t>Aceptaciones</t>
  </si>
  <si>
    <t>Pagarés</t>
  </si>
  <si>
    <t>Títulos de fomento</t>
  </si>
  <si>
    <t>Acciones ordinarias</t>
  </si>
  <si>
    <t>Acciones preferenciales</t>
  </si>
  <si>
    <t>Cuotas o partes de interés social</t>
  </si>
  <si>
    <t>Fondos de inversión colectiva</t>
  </si>
  <si>
    <t>Certificados emitidos por fondos de inversión</t>
  </si>
  <si>
    <t>Otros certificados</t>
  </si>
  <si>
    <t>Otras   inversiones   de   administración   de   liquidez   a   valor   de   mercado   (valor razonable) con cambios en el resultado</t>
  </si>
  <si>
    <t>INVERSIONES DE ADMINISTRACIÓN DE LIQUIDEZ A VALOR DE MERCADO (VALOR RAZONABLE) CON CAMBIOS EN EL PATRIMONIO (OTRO RESULTADO INTEGRAL)</t>
  </si>
  <si>
    <t>Instrumentos de patrimonio - Entidades del sector solidario</t>
  </si>
  <si>
    <t>Instrumentos de patrimonio - Entidades privadas</t>
  </si>
  <si>
    <t>Instrumentos de patrimonio - Entidades del exterior</t>
  </si>
  <si>
    <t>Instrumentos  de  patrimonio  -  Empresas  industriales  y  comerciales  del  Estado  - Societarias</t>
  </si>
  <si>
    <t>Instrumentos de patrimonio - Sociedades de economía mixta</t>
  </si>
  <si>
    <t>Instrumentos de patrimonio - Sociedades públicas</t>
  </si>
  <si>
    <t>Otras   inversiones   de   administración   de   liquidez   a   valor   de   mercado   (valor razonable) con cambios en el patrimonio (otro resultado integral)</t>
  </si>
  <si>
    <t>INVERSIONES DE ADMINISTRACIÓN DE LIQUIDEZ A COSTO AMORTIZADO</t>
  </si>
  <si>
    <t>Bonos y títulos emitidos por lasentidades públicas no financieras</t>
  </si>
  <si>
    <t>Otras inversiones de administración de liquidez a costo amortizado</t>
  </si>
  <si>
    <t>INVERSIONES DE ADMINISTRACIÓN DE LIQUIDEZ AL COSTO</t>
  </si>
  <si>
    <t>Aportes sociales en entidades del sector solidario</t>
  </si>
  <si>
    <t>Otras inversiones de administración de liquidez al costo</t>
  </si>
  <si>
    <t>INVERSIONES    EN    CONTROLADAS    CONTABILIZADAS    POR    EL    MÉTODO    DE PARTICIPACIÓN PATRIMONIAL</t>
  </si>
  <si>
    <t>INVERSIONES     EN     ASOCIADAS     CONTABILIZADAS     POR     EL     MÉTODO     DE PARTICIPACIÓN PATRIMONIAL</t>
  </si>
  <si>
    <t>INVERSIONES EN NEGOCIOS CONJUNTOS CONTABILIZADAS POR EL MÉTODO DE PARTICIPACIÓN PATRIMONIAL</t>
  </si>
  <si>
    <t>INSTRUMENTOS DERIVADOS CON FINES DE ESPECULACIÓN</t>
  </si>
  <si>
    <t>Derechos en contratos forward</t>
  </si>
  <si>
    <t>Obligaciones en contratos forward (Cr)</t>
  </si>
  <si>
    <t>Derechos en contratos futuros</t>
  </si>
  <si>
    <t>Obligaciones en contratos futuros (Cr)</t>
  </si>
  <si>
    <t>Derechos en contratos swaps</t>
  </si>
  <si>
    <t>Obligaciones en contratos swaps (Cr)</t>
  </si>
  <si>
    <t>Derechos en otros derivados</t>
  </si>
  <si>
    <t>Obligaciones en otros derivados (Cr)</t>
  </si>
  <si>
    <t>Prima pagada en opciones</t>
  </si>
  <si>
    <t>Ganancia en la valoración de opciones compradas</t>
  </si>
  <si>
    <t>INSTRUMENTOS DERIVADOS CON FINES DE COBERTURA DE VALOR DE MERCADO (VALOR RAZONABLE)</t>
  </si>
  <si>
    <t>INSTRUMENTOS DERIVADOS CON FINES DE COBERTURA DE FLUJOS DE EFECTIVO</t>
  </si>
  <si>
    <t>Obligaciones en contratos swaps  (Cr)</t>
  </si>
  <si>
    <t>INSTRUMENTOS  DERIVADOS  CON  FINES  DE  COBERTURA  DE  UNA  INVERSIÓN NETA EN UN NEGOCIO EN EL EXTRANJERO</t>
  </si>
  <si>
    <t>AJUSTE  POR  COBERTURA  DEL  VALOR  DE  MERCADO  (VALOR  RAZONABLE)  DEL RIESGO  DE  TASA  DE  INTERÉS  ASOCIADO  CON  UNA  CARTERA  DE  ACTIVOS  Y/O PASIVOS FINANCIEROS</t>
  </si>
  <si>
    <t>Ajuste por cobertura del valor de mercado (valor razonable) del riesgo de tasa de
interés asociado con una cartera de activos financieros</t>
  </si>
  <si>
    <t>Ajuste por cobertura del valor de mercado (valor razonable) del riesgo de tasa de
interés asociado con una cartera de pasivos financieros</t>
  </si>
  <si>
    <t>Ajuste por cobertura del valor de mercado (valor razonable) del riesgo de tasa de interés asociado con una cartera de activos y pasivos financieros</t>
  </si>
  <si>
    <t>GANANCIA  EN  LA  VALORACIÓN  DE  COMPROMISOS  EN  FIRME  DESIGNADOS COMO PARTIDAS CUBIERTAS</t>
  </si>
  <si>
    <t>Para adquirir un activo</t>
  </si>
  <si>
    <t>Para asumir un pasivo</t>
  </si>
  <si>
    <t>DETERIORO ACUMULADO DE INVERSIONES (CR)</t>
  </si>
  <si>
    <t>Inversiones   en   controladas   contabilizadas   por   el   método   de   participación patrimonial</t>
  </si>
  <si>
    <t>Inversiones en asociadas contabilizadas por el método de participación patrimonial</t>
  </si>
  <si>
    <t>Inversiones  en  negocios  conjuntos  contabilizadas  por  el  método  de  participación patrimonial</t>
  </si>
  <si>
    <t>CUENTAS POR COBRAR</t>
  </si>
  <si>
    <t>CONTRIBUCIONES, TASAS E INGRESOS NO TRIBUTARIOS</t>
  </si>
  <si>
    <t>Multas</t>
  </si>
  <si>
    <t>Sanciones</t>
  </si>
  <si>
    <t>Estampillas</t>
  </si>
  <si>
    <t>Cuotas de sostenimiento</t>
  </si>
  <si>
    <t>VENTA DE BIENES</t>
  </si>
  <si>
    <t>Productos agropecuarios, de silvicultura, avicultura y pesca</t>
  </si>
  <si>
    <t>Productos de minas y minerales</t>
  </si>
  <si>
    <t>Productos alimenticios, bebidas y alcoholes</t>
  </si>
  <si>
    <t>Productos manufacturados</t>
  </si>
  <si>
    <t>Construcciones</t>
  </si>
  <si>
    <t>Bienes comercializados</t>
  </si>
  <si>
    <t>PRESTACIÓN DE SERVICIOS</t>
  </si>
  <si>
    <t>Servicios de transporte</t>
  </si>
  <si>
    <t>Juegos de suerte y azar</t>
  </si>
  <si>
    <t>Servicios hoteleros y de promoción turística</t>
  </si>
  <si>
    <t>Servicios financieros</t>
  </si>
  <si>
    <t>Servicios informáticos</t>
  </si>
  <si>
    <t>Servicios de comunicaciones</t>
  </si>
  <si>
    <t>Servicio de matadero</t>
  </si>
  <si>
    <t>Organización de eventos</t>
  </si>
  <si>
    <t>Servicios de apoyo industrial</t>
  </si>
  <si>
    <t>Transferencia de tecnología</t>
  </si>
  <si>
    <t>Asistencia técnica</t>
  </si>
  <si>
    <t>Servicios informativos</t>
  </si>
  <si>
    <t>Servicios de almacenamiento y pesaje</t>
  </si>
  <si>
    <t>Corporación de abastos</t>
  </si>
  <si>
    <t>Administración de proyectos</t>
  </si>
  <si>
    <t>Servicios de investigación científica y tecnológica</t>
  </si>
  <si>
    <t>Administración y operación de mercados</t>
  </si>
  <si>
    <t>Servicios de seguridad y escolta</t>
  </si>
  <si>
    <t>Servicios de lavandería</t>
  </si>
  <si>
    <t>Servicios de parqueadero</t>
  </si>
  <si>
    <t>Publicidad y propaganda</t>
  </si>
  <si>
    <t>Recreativos, culturales, y deportivos</t>
  </si>
  <si>
    <t>Gestión de transporte masivo</t>
  </si>
  <si>
    <t>Servicios de diagnóstico técnico mecánico</t>
  </si>
  <si>
    <t>Servicios por administración de contratos</t>
  </si>
  <si>
    <t>Servicios de mantenimiento y reparación</t>
  </si>
  <si>
    <t>Consultorías</t>
  </si>
  <si>
    <t>Otros servicios</t>
  </si>
  <si>
    <t>PRESTACIÓN DE SERVICIOS PÚBLICOS</t>
  </si>
  <si>
    <t>Servicio de energía</t>
  </si>
  <si>
    <t>Servicio de acueducto</t>
  </si>
  <si>
    <t>Servicio de alcantarillado</t>
  </si>
  <si>
    <t>Servicio de aseo</t>
  </si>
  <si>
    <t>Servicio de gas combustible</t>
  </si>
  <si>
    <t>Servicio de telecomunicaciones</t>
  </si>
  <si>
    <t>Subsidio servicio de energía</t>
  </si>
  <si>
    <t>Subsidio servicio de acueducto</t>
  </si>
  <si>
    <t>Subsidio servicio de alcantarillado</t>
  </si>
  <si>
    <t>Subsidio servicio de aseo</t>
  </si>
  <si>
    <t>Subsidio servicio de gas combustible</t>
  </si>
  <si>
    <t>Subsidio servicio de telecomunicaciones</t>
  </si>
  <si>
    <t>PRESTACIÓN DE SERVICIOS DE SALUD</t>
  </si>
  <si>
    <t>Plan de Beneficios en Salud (PBS) por EPS - sin facturar o con facturación pendiente de radicar</t>
  </si>
  <si>
    <t>Plan de Beneficios en Salud (PBS) por EPS - con facturación radicada</t>
  </si>
  <si>
    <t>Plan subsidiado de salud (PBSS) por EPS - sin facturar o con facturación pendiente de radicar</t>
  </si>
  <si>
    <t>Plan subsidiado de salud (PBSS) por EPS - con facturación radicada</t>
  </si>
  <si>
    <t>Empresas de medicina prepagada (EMP) - sin facturar o con facturación pendiente de radicar</t>
  </si>
  <si>
    <t>Empresas de medicina prepagada (EMP) - con facturación radicada</t>
  </si>
  <si>
    <t>Planes complementarios de EPS</t>
  </si>
  <si>
    <t>Servicios  de  salud  por  IPS  privadas  -  sin  facturar  o  con  facturación  pendiente  de radicar</t>
  </si>
  <si>
    <t>Servicios de salud por IPS privadas - con facturación radicada</t>
  </si>
  <si>
    <t>Servicios  de  salud  por  IPS  públicas  -  sin  facturar  o  con  facturación  pendiente  de radicar</t>
  </si>
  <si>
    <t>Servicios de salud por IPS públicas - con facturación radicada</t>
  </si>
  <si>
    <t>Servicios  de  salud  por  compañías  aseguradoras  -  sin  facturar  o  con  facturación pendiente de radicar</t>
  </si>
  <si>
    <t>Servicios de salud por compañías aseguradoras - con facturación radicada</t>
  </si>
  <si>
    <t>Servicios   de   Salud  por   entidades   con  régimen   especial   -   sin  facturar   o   con facturación pendiente de radicar</t>
  </si>
  <si>
    <t>Servicios de Salud por entidades con régimen especial - con facturación radicada</t>
  </si>
  <si>
    <t>Servicios de salud por particulares</t>
  </si>
  <si>
    <t>Atención  accidentes  de  tránsito  SOAT  por  compañías  de  seguros  -  sin  facturar  o con facturación pendiente de radicar</t>
  </si>
  <si>
    <t>Atención accidentes de tránsito SOAT por compañías de seguros - con facturación
radicada</t>
  </si>
  <si>
    <t>Atención  con  cargo  a  recursos  de  acciones  de  salud  pública  -  sin  facturar  o  con
facturación pendiente de radicar</t>
  </si>
  <si>
    <t>Atención  con  cargo  a  recursos  de  acciones  de  salud  pública  -  con  facturación
radicada</t>
  </si>
  <si>
    <t>Atención con cargo al subsidio a la oferta - sin facturar o con facturación pendiente
de radicar</t>
  </si>
  <si>
    <t>Atención con cargo al subsidio a la oferta - con facturación radicada</t>
  </si>
  <si>
    <t>Riesgos laborales (ARL) - sin facturar o con facturación pendiente de radicar</t>
  </si>
  <si>
    <t>Riesgos laborales (ARL) - con facturación radicada</t>
  </si>
  <si>
    <t>Convenios  con  recursos  del  Sistema  General  de  Seguridad  Social  en  Salud  para trauma mayor y desplazados - sin facturar o con facturación pendiente de radicar</t>
  </si>
  <si>
    <t>Reclamaciones con cargo a los recursos del Sistema General de Seguridad Social en Salud - sin facturar o con facturación pendiente de radicar</t>
  </si>
  <si>
    <t>Reclamaciones con cargo a los recursos del Sistema General de Seguridad Social en
Salud - con facturación radicada</t>
  </si>
  <si>
    <t>Cuota de recuperación</t>
  </si>
  <si>
    <t>Ministerio de salud - Recursos del IVA social</t>
  </si>
  <si>
    <t>Giro directo para abono a la cartera sector salud (Cr)</t>
  </si>
  <si>
    <t>Otras cuentas por cobrar servicios de salud</t>
  </si>
  <si>
    <t>ADMINISTRACIÓN DEL SISTEMA DE SEGURIDAD SOCIAL EN SALUD</t>
  </si>
  <si>
    <t>Unidad de pago por capitación (UPC) régimen contributivo</t>
  </si>
  <si>
    <t>Unidad de pago por capitación adicional régimen contributivo</t>
  </si>
  <si>
    <t>Cuota moderadora régimen contributivo</t>
  </si>
  <si>
    <t>Copagos régimen contributivo</t>
  </si>
  <si>
    <t>Cuotas de inscripción y afiliación régimen contributivo</t>
  </si>
  <si>
    <t>Unidad de pago por capitación (UPC) régimen subsidiado</t>
  </si>
  <si>
    <t>Copagos régimen subsidiado</t>
  </si>
  <si>
    <t>Comisiones administradoras de riesgos laborales</t>
  </si>
  <si>
    <t>Prestación del servicio a personas fuera del sistema</t>
  </si>
  <si>
    <t>Recobros SOAT</t>
  </si>
  <si>
    <t>Recobros ARL</t>
  </si>
  <si>
    <t>Recobro de enfermedades alto costo</t>
  </si>
  <si>
    <t>Recobro a empleadores</t>
  </si>
  <si>
    <t>Cuotas de inscripción y afiliación a planes complementarios</t>
  </si>
  <si>
    <t>Cuentas por cobrar No PBS pendientes de radicar</t>
  </si>
  <si>
    <t>Cuentas por cobrar No PBS radicadas</t>
  </si>
  <si>
    <t>Cuentas por cobrar entidades territoriales pendientes de radicar</t>
  </si>
  <si>
    <t>Cuentas por cobrar entidades territoriales radicadas</t>
  </si>
  <si>
    <t>Licencias de maternidad y paternidad</t>
  </si>
  <si>
    <t>Incapacidades</t>
  </si>
  <si>
    <t>Programas de promoción y prevención</t>
  </si>
  <si>
    <t>Gestión de cobro, manejo de información y servicios financieros  EPS o EOC</t>
  </si>
  <si>
    <t>Giro previo sobre los recobros No PBS (Cr)</t>
  </si>
  <si>
    <t>Otros ingresos por la administración del sistema de seguridad social en salud</t>
  </si>
  <si>
    <t>SUBVENCIONES POR COBRAR</t>
  </si>
  <si>
    <t>Donaciones</t>
  </si>
  <si>
    <t>Subvención por recursos transferidos por el gobierno</t>
  </si>
  <si>
    <t>Otras subvenciones</t>
  </si>
  <si>
    <t>DERECHOS DE RECOMPRA DE CUENTAS POR COBRAR</t>
  </si>
  <si>
    <t>Cuentas por cobrar</t>
  </si>
  <si>
    <t>OTRAS CUENTAS POR COBRAR</t>
  </si>
  <si>
    <t>Aportes de capital por cobrar</t>
  </si>
  <si>
    <t>Apoyo del fondo empresarial</t>
  </si>
  <si>
    <t>Cartera improductiva adquirida</t>
  </si>
  <si>
    <t>Comisiones</t>
  </si>
  <si>
    <t>Contratos para la gestión de servicios públicos</t>
  </si>
  <si>
    <t>Derechos a favor en operaciones conjuntas</t>
  </si>
  <si>
    <t>Cuotas partes de pensiones</t>
  </si>
  <si>
    <t>Depósitos en entidades intervenidas</t>
  </si>
  <si>
    <t>Derechos cobrados por terceros</t>
  </si>
  <si>
    <t>Derechos por incumplimiento de créditos garantizados</t>
  </si>
  <si>
    <t>Descuentos no autorizados</t>
  </si>
  <si>
    <t>Dividendos y participaciones por cobrar</t>
  </si>
  <si>
    <t>Enajenación de activos</t>
  </si>
  <si>
    <t>Esquemas de cobro</t>
  </si>
  <si>
    <t>Honorarios</t>
  </si>
  <si>
    <t>Indemnizaciones</t>
  </si>
  <si>
    <t>Intereses de fondos vendidos con compromiso de reventa</t>
  </si>
  <si>
    <t>Intereses de fondos vendidos ordinarios</t>
  </si>
  <si>
    <t>Margen en la comercialización de bienes y servicios</t>
  </si>
  <si>
    <t>Margen en la contratación de servicios de salud</t>
  </si>
  <si>
    <t>Pago por cuenta de terceros</t>
  </si>
  <si>
    <t>Recursos de acreedores reintegrados a tesorerías</t>
  </si>
  <si>
    <t>Rendimiento sobre depósitos judiciales</t>
  </si>
  <si>
    <t>Responsabilidades fiscales</t>
  </si>
  <si>
    <t>Intereses de mora</t>
  </si>
  <si>
    <t>Otros intereses por cobrar</t>
  </si>
  <si>
    <t>Contratos de construcción</t>
  </si>
  <si>
    <t>Compensación o indemnización por deterioro, pérdidas o abandonos</t>
  </si>
  <si>
    <t>Arrendamiento operativo</t>
  </si>
  <si>
    <t>Derechos a favor en acuerdos no clasificados como operaciones conjuntas</t>
  </si>
  <si>
    <t>Otras cuentas por cobrar</t>
  </si>
  <si>
    <t>CUENTAS POR COBRAR DE DIFÍCIL RECAUDO</t>
  </si>
  <si>
    <t>Venta de bienes</t>
  </si>
  <si>
    <t>Prestación de servicios</t>
  </si>
  <si>
    <t>Prestación de servicios de salud</t>
  </si>
  <si>
    <t>Administración del sistema de seguridad social en salud</t>
  </si>
  <si>
    <t>Contribuciones,  tasas e ingresos no tributarios</t>
  </si>
  <si>
    <t>Otras cuentas por cobrar de difícil recaudo</t>
  </si>
  <si>
    <t>DETERIORO ACUMULADO DE CUENTAS POR COBRAR (CR)</t>
  </si>
  <si>
    <t>Contribuciones, tasas e ingresos no tributarios</t>
  </si>
  <si>
    <t>CUENTAS POR COBRAR A COSTO AMORTIZADO</t>
  </si>
  <si>
    <t>Otras cuentas por cobrar a costo amortizado</t>
  </si>
  <si>
    <t>DETERIORO  ACUMULADO  DE  CUENTAS  POR  COBRAR  A  COSTO  AMORTIZADO (CR)</t>
  </si>
  <si>
    <t>PRÉSTAMOS POR COBRAR</t>
  </si>
  <si>
    <t>PRÉSTAMOS CONCEDIDOS</t>
  </si>
  <si>
    <t>Préstamos educativos</t>
  </si>
  <si>
    <t>Préstamos a vinculados económicos</t>
  </si>
  <si>
    <t>Préstamos para investigaciones</t>
  </si>
  <si>
    <t>Préstamos de vivienda</t>
  </si>
  <si>
    <t>Préstamos de consumo</t>
  </si>
  <si>
    <t>Préstamos comerciales</t>
  </si>
  <si>
    <t>Microcrédito</t>
  </si>
  <si>
    <t>Préstamos de fomento y desarrollo regional</t>
  </si>
  <si>
    <t>Créditos a empleados</t>
  </si>
  <si>
    <t>Créditos a socios y accionistas</t>
  </si>
  <si>
    <t>Arrendamiento financiero</t>
  </si>
  <si>
    <t>Activo financiero por acuerdos de concesión (Concesionario)</t>
  </si>
  <si>
    <t>Otros préstamos concedidos</t>
  </si>
  <si>
    <t>DERECHOS DE RECOMPRA DE PRÉSTAMOS POR COBRAR</t>
  </si>
  <si>
    <t>Préstamos por cobrar</t>
  </si>
  <si>
    <t>PRÉSTAMOS POR COBRAR DE DIFÍCIL RECAUDO</t>
  </si>
  <si>
    <t>Préstamos concedidos</t>
  </si>
  <si>
    <t>DETERIORO ACUMULADO DE PRÉSTAMOS POR COBRAR (CR)</t>
  </si>
  <si>
    <t>INVENTARIOS</t>
  </si>
  <si>
    <t>BIENES PRODUCIDOS</t>
  </si>
  <si>
    <t>Impresos y publicaciones</t>
  </si>
  <si>
    <t>Licores, bebidas y alcoholes</t>
  </si>
  <si>
    <t>Productos químicos</t>
  </si>
  <si>
    <t>Medicamentos</t>
  </si>
  <si>
    <t>Productos artesanales</t>
  </si>
  <si>
    <t>Productos alimenticios</t>
  </si>
  <si>
    <t>Productos bélicos y explosivos</t>
  </si>
  <si>
    <t>Medicamentos de uso veterinario</t>
  </si>
  <si>
    <t>Productos metalúrgicos y de microfundición</t>
  </si>
  <si>
    <t>Productos de madera</t>
  </si>
  <si>
    <t>Equipos</t>
  </si>
  <si>
    <t>Otros bienes producidos</t>
  </si>
  <si>
    <t>MERCANCÍAS EN EXISTENCIA</t>
  </si>
  <si>
    <t>Terrenos</t>
  </si>
  <si>
    <t>Semovientes</t>
  </si>
  <si>
    <t>Lubricantes</t>
  </si>
  <si>
    <t>Aditivos</t>
  </si>
  <si>
    <t>Material reactivo</t>
  </si>
  <si>
    <t>Equipos de comunicación y computación</t>
  </si>
  <si>
    <t>Aparatos telefónicos e identificadores de llamadas</t>
  </si>
  <si>
    <t>Medidores de agua, luz y gas</t>
  </si>
  <si>
    <t>Elementos de campaña</t>
  </si>
  <si>
    <t>Repuestos, equipos férreos y otros</t>
  </si>
  <si>
    <t>Muebles y enseres</t>
  </si>
  <si>
    <t>Material didáctico</t>
  </si>
  <si>
    <t>Maquinaria y elementos de ferretería</t>
  </si>
  <si>
    <t>Materiales médico - quirúrgicos</t>
  </si>
  <si>
    <t>Víveres y rancho</t>
  </si>
  <si>
    <t>Otras mercancías en existencia</t>
  </si>
  <si>
    <t>PRESTADORES DE SERVICIOS</t>
  </si>
  <si>
    <t>Servicios de consultoría</t>
  </si>
  <si>
    <t>Otros inventarios de prestadores de servicios</t>
  </si>
  <si>
    <t>MATERIAS PRIMAS</t>
  </si>
  <si>
    <t>Materias primas</t>
  </si>
  <si>
    <t>MATERIALES Y SUMINISTROS</t>
  </si>
  <si>
    <t>Envases y empaques</t>
  </si>
  <si>
    <t>Materiales para la producción de bienes</t>
  </si>
  <si>
    <t>Materiales reactivos y de laboratorio</t>
  </si>
  <si>
    <t>Materiales odontológicos</t>
  </si>
  <si>
    <t>Materiales para imagenología</t>
  </si>
  <si>
    <t>Repuestos</t>
  </si>
  <si>
    <t>Elementos y accesorios de energía</t>
  </si>
  <si>
    <t>Elementos y accesorios de gas combustible</t>
  </si>
  <si>
    <t>Elementos y accesorios de telecomunicaciones</t>
  </si>
  <si>
    <t>Elementos y accesorios de acueducto</t>
  </si>
  <si>
    <t>Elementos y accesorios de alcantarillado</t>
  </si>
  <si>
    <t>Materiales para educación</t>
  </si>
  <si>
    <t>Elementos y accesorios de aseo</t>
  </si>
  <si>
    <t>Aguas tratadas</t>
  </si>
  <si>
    <t>Banco de componentes anatómicos y de sangre</t>
  </si>
  <si>
    <t>Dotación a trabajadores</t>
  </si>
  <si>
    <t>Ropa hospitalaria y quirúrgica</t>
  </si>
  <si>
    <t>Combustibles y lubricantes</t>
  </si>
  <si>
    <t>Elementos y materiales para construcción</t>
  </si>
  <si>
    <t>Otros materiales y suministros</t>
  </si>
  <si>
    <t>PRODUCTOS EN PROCESO</t>
  </si>
  <si>
    <t>Otros productos en proceso</t>
  </si>
  <si>
    <t>EN TRÁNSITO</t>
  </si>
  <si>
    <t>Especies valoradas</t>
  </si>
  <si>
    <t>Materiales reactivos</t>
  </si>
  <si>
    <t>Materiales para la prestación de servicios</t>
  </si>
  <si>
    <t>Otros inventarios en tránsito</t>
  </si>
  <si>
    <t>EN PODER DE TERCEROS</t>
  </si>
  <si>
    <t>Productos de minas</t>
  </si>
  <si>
    <t>Otros inventarios en poder de terceros</t>
  </si>
  <si>
    <t>DETERIORO ACUMULADO DE INVENTARIOS (CR)</t>
  </si>
  <si>
    <t>Bienes producidos</t>
  </si>
  <si>
    <t>Mercancías en existencia</t>
  </si>
  <si>
    <t>Productos en proceso</t>
  </si>
  <si>
    <t>Inventarios en tránsito</t>
  </si>
  <si>
    <t>Inventarios en poder de terceros</t>
  </si>
  <si>
    <t>Inventarios de prestadores de servicios</t>
  </si>
  <si>
    <t>Materiales y suministros</t>
  </si>
  <si>
    <t>PROPIEDADES, PLANTA Y EQUIPO</t>
  </si>
  <si>
    <t>TERRENOS</t>
  </si>
  <si>
    <t>Urbanos</t>
  </si>
  <si>
    <t>Rurales</t>
  </si>
  <si>
    <t>Terrenos con destinación ambiental</t>
  </si>
  <si>
    <t>Terrenos pendientes de legalizar</t>
  </si>
  <si>
    <t>Terrenos de propiedad de terceros</t>
  </si>
  <si>
    <t>SEMOVIENTES Y PLANTAS</t>
  </si>
  <si>
    <t>De trabajo</t>
  </si>
  <si>
    <t>De selección</t>
  </si>
  <si>
    <t>De investigación y educación</t>
  </si>
  <si>
    <t>De exposición</t>
  </si>
  <si>
    <t>Semovientes y plantas pendientes de legalizar</t>
  </si>
  <si>
    <t>Semovientes y plantas de propiedad de terceros</t>
  </si>
  <si>
    <t>Otros semovientes y plantas</t>
  </si>
  <si>
    <t>PLANTAS PRODUCTORAS</t>
  </si>
  <si>
    <t>Cultivos en desarrollo</t>
  </si>
  <si>
    <t>Cultivos amortizables</t>
  </si>
  <si>
    <t>CONSTRUCCIONES EN CURSO</t>
  </si>
  <si>
    <t>Edificaciones</t>
  </si>
  <si>
    <t>Plantas, ductos y túneles</t>
  </si>
  <si>
    <t>Redes, líneas y cables</t>
  </si>
  <si>
    <t>Otras construcciones en curso</t>
  </si>
  <si>
    <t>MAQUINARIA, PLANTA Y EQUIPO EN MONTAJE</t>
  </si>
  <si>
    <t>Maquinaria y equipo</t>
  </si>
  <si>
    <t>Equipo médico y científico</t>
  </si>
  <si>
    <t>Equipos de comedor, cocina, despensa y hotelería</t>
  </si>
  <si>
    <t>Equipos de transporte, tracción y elevación</t>
  </si>
  <si>
    <t>Otras maquinarias, planta y equipo en montaje</t>
  </si>
  <si>
    <t>PROPIEDADES, PLANTA Y EQUIPO EN TRÁNSITO</t>
  </si>
  <si>
    <t>Plantas y ductos</t>
  </si>
  <si>
    <t>Muebles, enseres y equipo de oficina</t>
  </si>
  <si>
    <t>Semovientes y plantas</t>
  </si>
  <si>
    <t>Componentes de propiedades, planta y equipo</t>
  </si>
  <si>
    <t>Otras maquinarias, planta y equipo en tránsito</t>
  </si>
  <si>
    <t>BIENES MUEBLES EN BODEGA</t>
  </si>
  <si>
    <t>Otros bienes muebles en bodega</t>
  </si>
  <si>
    <t>PROPIEDADES, PLANTA Y EQUIPO EN MANTENIMIENTO</t>
  </si>
  <si>
    <t>PROPIEDADES, PLANTA Y EQUIPO NO EXPLOTADOS</t>
  </si>
  <si>
    <t>Construcciones en curso</t>
  </si>
  <si>
    <t>EDIFICACIONES</t>
  </si>
  <si>
    <t>Edificios y casas</t>
  </si>
  <si>
    <t>Oficinas</t>
  </si>
  <si>
    <t>Almacenes</t>
  </si>
  <si>
    <t>Locales</t>
  </si>
  <si>
    <t>Fábricas</t>
  </si>
  <si>
    <t>Mataderos</t>
  </si>
  <si>
    <t>Salas de exhibición, conferencias y ventas</t>
  </si>
  <si>
    <t>Cafeterías y casinos</t>
  </si>
  <si>
    <t>Colegios y escuelas</t>
  </si>
  <si>
    <t>Clínicas y hospitales</t>
  </si>
  <si>
    <t>Clubes</t>
  </si>
  <si>
    <t>Hoteles, hostales y paradores</t>
  </si>
  <si>
    <t>Silos</t>
  </si>
  <si>
    <t>Invernaderos</t>
  </si>
  <si>
    <t>Casetas y campamentos</t>
  </si>
  <si>
    <t>Parqueaderos y garajes</t>
  </si>
  <si>
    <t>Bodegas</t>
  </si>
  <si>
    <t>Instalaciones deportivas y recreacionales</t>
  </si>
  <si>
    <t>Estanques</t>
  </si>
  <si>
    <t>Presas</t>
  </si>
  <si>
    <t>Pozos</t>
  </si>
  <si>
    <t>Tanques de almacenamiento</t>
  </si>
  <si>
    <t>Estaciones repetidoras</t>
  </si>
  <si>
    <t>Edificaciones pendientes de legalizar</t>
  </si>
  <si>
    <t>Edificaciones de propiedad de terceros</t>
  </si>
  <si>
    <t>Otras edificaciones</t>
  </si>
  <si>
    <t>REPUESTOS</t>
  </si>
  <si>
    <t>Otros repuestos</t>
  </si>
  <si>
    <t>PLANTAS, DUCTOS Y TÚNELES</t>
  </si>
  <si>
    <t>Plantas de generación</t>
  </si>
  <si>
    <t>Plantas de tratamiento</t>
  </si>
  <si>
    <t>Plantas deshidratadoras</t>
  </si>
  <si>
    <t>Plantas de transmisión</t>
  </si>
  <si>
    <t>Plantas de distribución</t>
  </si>
  <si>
    <t>Plantas de producción</t>
  </si>
  <si>
    <t>Plantas de conducción</t>
  </si>
  <si>
    <t>Plantas de telecomunicaciones</t>
  </si>
  <si>
    <t>Subestaciones y/o estaciones de regulación</t>
  </si>
  <si>
    <t>Acueducto y canalización</t>
  </si>
  <si>
    <t>Estaciones de bombeo</t>
  </si>
  <si>
    <t>Plantas, ductos y túneles pendientes de legalizar</t>
  </si>
  <si>
    <t>Plantas, ductos y túneles de propiedad de terceros</t>
  </si>
  <si>
    <t>Otras plantas, ductos y túneles</t>
  </si>
  <si>
    <t>REDES, LÍNEAS Y CABLES</t>
  </si>
  <si>
    <t>Redes de distribución</t>
  </si>
  <si>
    <t>Redes de recolección de aguas</t>
  </si>
  <si>
    <t>Redes de distribución de vapor</t>
  </si>
  <si>
    <t>Redes de aire</t>
  </si>
  <si>
    <t>Redes de alimentación de gas</t>
  </si>
  <si>
    <t>Líneas y cables de interconexión</t>
  </si>
  <si>
    <t>Líneas y cables de transmisión</t>
  </si>
  <si>
    <t>Líneas y cables de conducción</t>
  </si>
  <si>
    <t>Líneas y cables de telecomunicaciones</t>
  </si>
  <si>
    <t>Redes, líneas y cables pendientes de legalizar</t>
  </si>
  <si>
    <t>Redes, líneas y cables de propiedad de terceros</t>
  </si>
  <si>
    <t>Otras redes, líneas y cables</t>
  </si>
  <si>
    <t>MAQUINARIA Y EQUIPO</t>
  </si>
  <si>
    <t>Equipo de construcción</t>
  </si>
  <si>
    <t>Equipo de perforación</t>
  </si>
  <si>
    <t>Maquinaria industrial</t>
  </si>
  <si>
    <t>Equipo de música</t>
  </si>
  <si>
    <t>Equipo de recreación y deporte</t>
  </si>
  <si>
    <t>Equipo agropecuario, de silvicultura, avicultura y pesca</t>
  </si>
  <si>
    <t>Equipo de enseñanza</t>
  </si>
  <si>
    <t>Herramientas y accesorios</t>
  </si>
  <si>
    <t>Equipo para estaciones de bombeo</t>
  </si>
  <si>
    <t>Equipo de centros de control</t>
  </si>
  <si>
    <t>Maquinaria y equipo de dragado</t>
  </si>
  <si>
    <t>Equipo de ayuda audiovisual</t>
  </si>
  <si>
    <t>Equipo de aseo</t>
  </si>
  <si>
    <t>Maquinaria y equipo pendiente de legalizar</t>
  </si>
  <si>
    <t>Maquinaria y equipo de propiedad de terceros</t>
  </si>
  <si>
    <t>Equipo de seguridad y rescate</t>
  </si>
  <si>
    <t>Otra maquinaria y equipo</t>
  </si>
  <si>
    <t>EQUIPO MÉDICO Y CIENTÍFICO</t>
  </si>
  <si>
    <t>Equipo de investigación</t>
  </si>
  <si>
    <t>Equipo de laboratorio</t>
  </si>
  <si>
    <t>Equipo de urgencias</t>
  </si>
  <si>
    <t>Equipo de hospitalización</t>
  </si>
  <si>
    <t>Equipo de quirófanos y salas de parto</t>
  </si>
  <si>
    <t>Equipo de apoyo diagnóstico</t>
  </si>
  <si>
    <t>Equipo de apoyo terapéutico</t>
  </si>
  <si>
    <t>Equipo de servicio ambulatorio</t>
  </si>
  <si>
    <t>Equipo médico y científico pendiente de legalizar</t>
  </si>
  <si>
    <t>Equipo médico y científico de propiedad de terceros</t>
  </si>
  <si>
    <t>Otro equipo médico y científico</t>
  </si>
  <si>
    <t>MUEBLES, ENSERES Y EQUIPO DE OFICINA</t>
  </si>
  <si>
    <t>Equipo y máquina de oficina</t>
  </si>
  <si>
    <t>Muebles, enseres y equipo de oficina pendientes de legalizar</t>
  </si>
  <si>
    <t>Muebles, enseres y equipo de oficina de propiedad de terceros</t>
  </si>
  <si>
    <t>Otros muebles, enseres y equipo de oficina</t>
  </si>
  <si>
    <t>EQUIPOS DE COMUNICACIÓN Y COMPUTACIÓN</t>
  </si>
  <si>
    <t>Equipo de comunicación</t>
  </si>
  <si>
    <t>Equipo de computación</t>
  </si>
  <si>
    <t>Satélites y antenas</t>
  </si>
  <si>
    <t>Equipos de radares</t>
  </si>
  <si>
    <t>Equipos de comunicación y computación pendientes de legalizar</t>
  </si>
  <si>
    <t>Equipos de comunicación y computación de propiedad de terceros</t>
  </si>
  <si>
    <t>Otros equipos de comunicación y computación</t>
  </si>
  <si>
    <t>EQUIPOS DE TRANSPORTE, TRACCIÓN Y ELEVACIÓN</t>
  </si>
  <si>
    <t>Aéreo</t>
  </si>
  <si>
    <t>Terrestre</t>
  </si>
  <si>
    <t>Férreo</t>
  </si>
  <si>
    <t>Marítimo y fluvial</t>
  </si>
  <si>
    <t>De tracción</t>
  </si>
  <si>
    <t>De elevación</t>
  </si>
  <si>
    <t>Equipos de transporte, tracción y elevación pendientes de legalizar</t>
  </si>
  <si>
    <t>Equipos de transporte, tracción y elevación de propiedad de terceros</t>
  </si>
  <si>
    <t>Otros equipos de transporte, tracción y elevación</t>
  </si>
  <si>
    <t>EQUIPOS DE COMEDOR, COCINA, DESPENSA Y HOTELERÍA</t>
  </si>
  <si>
    <t>Equipo de hotelería</t>
  </si>
  <si>
    <t>Equipo de restaurante y cafetería</t>
  </si>
  <si>
    <t>Equipo de calderas</t>
  </si>
  <si>
    <t>Equipo de lavandería</t>
  </si>
  <si>
    <t>Equipos de comedor, cocina, despensa y hotelería pendientes de legalizar</t>
  </si>
  <si>
    <t>Equipos de comedor, cocina, despensa y hotelería de propiedad de terceros</t>
  </si>
  <si>
    <t>Otros equipos de comedor, cocina, despensa y hotelería</t>
  </si>
  <si>
    <t>BIENES DE ARTE Y CULTURA</t>
  </si>
  <si>
    <t>Obras de arte</t>
  </si>
  <si>
    <t>Bienes de culto</t>
  </si>
  <si>
    <t>Joyas</t>
  </si>
  <si>
    <t>Elementos de museo</t>
  </si>
  <si>
    <t>Elementos musicales</t>
  </si>
  <si>
    <t>Libros y publicaciones de investigación y consulta</t>
  </si>
  <si>
    <t>Otros bienes de arte y cultura</t>
  </si>
  <si>
    <t>PROPIEDADES, PLANTA Y EQUIPO EN CONCESIÓN</t>
  </si>
  <si>
    <t>Maquinaria y Equipo</t>
  </si>
  <si>
    <t>Otras propiedades, planta y equipo en concesión</t>
  </si>
  <si>
    <t>DEPRECIACIÓN ACUMULADA DE PROPIEDADES, PLANTA Y EQUIPO (CR)</t>
  </si>
  <si>
    <t>Plantas productoras</t>
  </si>
  <si>
    <t>Bienes de arte y cultura</t>
  </si>
  <si>
    <t>Bienes muebles en bodega</t>
  </si>
  <si>
    <t>Propiedades, planta y equipo en mantenimiento</t>
  </si>
  <si>
    <t>Propiedades, planta y equipo no explotados</t>
  </si>
  <si>
    <t>Propiedades, planta y equipo en concesión</t>
  </si>
  <si>
    <t>Terrenos con vida útil finita</t>
  </si>
  <si>
    <t>DETERIORO ACUMULADO DE PROPIEDADES, PLANTA Y EQUIPO (CR)</t>
  </si>
  <si>
    <t>Maquinaria, planta y equipo en montaje</t>
  </si>
  <si>
    <t>Equipo de transporte, tracción y elevación</t>
  </si>
  <si>
    <t>Maquinaria, planta y equipo en tránsito</t>
  </si>
  <si>
    <t>OTROS ACTIVOS</t>
  </si>
  <si>
    <t>PLAN DE ACTIVOS PARA BENEFICIOS A LOS EMPLEADOS A LARGO PLAZO</t>
  </si>
  <si>
    <t>Efectivo y equivalentes al efectivo</t>
  </si>
  <si>
    <t>Recursos entregados en administración</t>
  </si>
  <si>
    <t>Inversiones</t>
  </si>
  <si>
    <t>Encargos fiduciarios</t>
  </si>
  <si>
    <t>Propiedades, planta y equipo</t>
  </si>
  <si>
    <t>Propiedades de inversión</t>
  </si>
  <si>
    <t>Otros activos</t>
  </si>
  <si>
    <t>Derechos en fideicomiso</t>
  </si>
  <si>
    <t>PLAN DE ACTIVOS PARA BENEFICIOS A LOS EMPLEADOS POR TERMINACIÓN DEL VINCULO LABORAL O CONTRACTUAL</t>
  </si>
  <si>
    <t>PLAN DE ACTIVOS PARA BENEFICIOS POSEMPLEO</t>
  </si>
  <si>
    <t>Derechos por cobrar - Concurrencia para el pago de pensiones</t>
  </si>
  <si>
    <t>Recursos para cubrir el pasivo pensional conmutado</t>
  </si>
  <si>
    <t>BIENES Y SERVICIOS PAGADOS POR ANTICIPADO</t>
  </si>
  <si>
    <t>Seguros</t>
  </si>
  <si>
    <t>Intereses</t>
  </si>
  <si>
    <t>Impresos, publicaciones, suscripciones y afiliaciones</t>
  </si>
  <si>
    <t>Mantenimiento</t>
  </si>
  <si>
    <t>Bodegaje</t>
  </si>
  <si>
    <t>Administración y emisión de títulos valores</t>
  </si>
  <si>
    <t>Sueldos y salarios</t>
  </si>
  <si>
    <t>Contribuciones efectivas</t>
  </si>
  <si>
    <t>Estudios y proyectos</t>
  </si>
  <si>
    <t>Bienes y servicios</t>
  </si>
  <si>
    <t>Otros beneficios a los empleados</t>
  </si>
  <si>
    <t>Beneficios  a  empleados  por  préstamos  condicionados  a  tasa  de  interés  cero  o inferior a la del mercado</t>
  </si>
  <si>
    <t>Otros bienes y servicios pagados por anticipado</t>
  </si>
  <si>
    <t>AVANCES Y ANTICIPOS ENTREGADOS</t>
  </si>
  <si>
    <t>Anticipos sobre convenios y acuerdos</t>
  </si>
  <si>
    <t>Avances a agentes de aduana</t>
  </si>
  <si>
    <t>Avances para viáticos y gastos de viaje</t>
  </si>
  <si>
    <t>Anticipo para adquisición de bienes y servicios</t>
  </si>
  <si>
    <t>Otros avances y anticipos</t>
  </si>
  <si>
    <t>ANTICIPOS,     RETENCIONES     Y     SALDOS     A     FAVOR     POR     IMPUESTOS     Y CONTRIBUCIONES</t>
  </si>
  <si>
    <t>Anticipo de impuesto sobre la renta</t>
  </si>
  <si>
    <t>Retención en la fuente</t>
  </si>
  <si>
    <t>Saldos a favor en liquidaciones privadas</t>
  </si>
  <si>
    <t>Anticipo contribución especial</t>
  </si>
  <si>
    <t>Saldo a favor de impuesto a las ventas</t>
  </si>
  <si>
    <t>Anticipo de impuesto de industria y comercio</t>
  </si>
  <si>
    <t>Anticipo de impuesto a las ventas</t>
  </si>
  <si>
    <t>Impuesto de industria y comercio retenido</t>
  </si>
  <si>
    <t>Anticipo sobretasa al impuesto sobre la renta y complementarios</t>
  </si>
  <si>
    <t>Otros anticipos, retenciones y saldos a favor por impuestos y contribuciones</t>
  </si>
  <si>
    <t>RECURSOS ENTREGADOS EN ADMINISTRACIÓN</t>
  </si>
  <si>
    <t>En administración</t>
  </si>
  <si>
    <t>Encargo fiduciario - Fiducia de inversión</t>
  </si>
  <si>
    <t>Encargo fiduciario - Fiducia de administración y pagos</t>
  </si>
  <si>
    <t>Encargo fiduciario - Fiducia de garantía</t>
  </si>
  <si>
    <t>DEPÓSITOS ENTREGADOS EN GARANTÍA</t>
  </si>
  <si>
    <t>Para servicios</t>
  </si>
  <si>
    <t>Para bienes</t>
  </si>
  <si>
    <t>Depósitos judiciales</t>
  </si>
  <si>
    <t>Depósitos sobre contratos</t>
  </si>
  <si>
    <t>Para importaciones</t>
  </si>
  <si>
    <t>Para inversiones</t>
  </si>
  <si>
    <t>Depósitos para procesos de titularización</t>
  </si>
  <si>
    <t>Depósitos en contratos de futuros</t>
  </si>
  <si>
    <t>Otros depósitos entregados</t>
  </si>
  <si>
    <t>DERECHOS EN FIDEICOMISO</t>
  </si>
  <si>
    <t>Fiducia mercantil - Patrimonio autónomo</t>
  </si>
  <si>
    <t>PROPIEDADES DE INVERSIÓN</t>
  </si>
  <si>
    <t>Terrenos con uso indeterminado</t>
  </si>
  <si>
    <t>Edificaciones con uso indeterminado</t>
  </si>
  <si>
    <t>DEPRECIACIÓN ACUMULADA DE PROPIEDADES DE INVERSIÓN (CR)</t>
  </si>
  <si>
    <t>DETERIORO ACUMULADO DE PROPIEDADES DE INVERSIÓN (CR)</t>
  </si>
  <si>
    <t>ACTIVOS INTANGIBLES</t>
  </si>
  <si>
    <t>Plusvalía</t>
  </si>
  <si>
    <t>Marcas</t>
  </si>
  <si>
    <t>Patentes</t>
  </si>
  <si>
    <t>Concesiones y franquicias</t>
  </si>
  <si>
    <t>Derechos</t>
  </si>
  <si>
    <t>Licencias</t>
  </si>
  <si>
    <t>Softwares</t>
  </si>
  <si>
    <t>Activos intangibles en fase de desarrollo</t>
  </si>
  <si>
    <t>Activos intangibles en concesión</t>
  </si>
  <si>
    <t>Otros activos intangibles</t>
  </si>
  <si>
    <t>AMORTIZACIÓN ACUMULADA DE ACTIVOS INTANGIBLES (CR)</t>
  </si>
  <si>
    <t>DETERIORO ACUMULADO DE ACTIVOS INTANGIBLES (CR)</t>
  </si>
  <si>
    <t>ACTIVOS  BIOLÓGICOS  A  VALOR  DE  MERCADO  (VALOR  RAZONABLE)  MENOS COSTOS DE DISPOSICIÓN</t>
  </si>
  <si>
    <t>Maduros para consumo</t>
  </si>
  <si>
    <t>Por madurar para consumo</t>
  </si>
  <si>
    <t>Maduros para producir frutos</t>
  </si>
  <si>
    <t>Por madurar para producir frutos</t>
  </si>
  <si>
    <t>ACTIVOS BIOLÓGICOS A COSTO DE REPOSICIÓN</t>
  </si>
  <si>
    <t>ACTIVOS BIOLÓGICOS AL COSTO</t>
  </si>
  <si>
    <t>AMORTIZACIÓN ACUMULADA DE ACTIVOS BIOLÓGICOS AL COSTO (CR)</t>
  </si>
  <si>
    <t>DETERIORO ACUMULADO DE ACTIVOS BIOLÓGICOS AL COSTO (CR)</t>
  </si>
  <si>
    <t>ACTIVOS POR IMPUESTOS DIFERIDOS</t>
  </si>
  <si>
    <t>Inversiones e instrumentos derivados</t>
  </si>
  <si>
    <t>Inventarios</t>
  </si>
  <si>
    <t>Activos intangibles</t>
  </si>
  <si>
    <t>Activos biológicos</t>
  </si>
  <si>
    <t>Operaciones de instituciones financieras</t>
  </si>
  <si>
    <t>Emisión y colocación de títulos de deuda</t>
  </si>
  <si>
    <t>Préstamos por pagar</t>
  </si>
  <si>
    <t>Cuentas por pagar</t>
  </si>
  <si>
    <t>Beneficios a empleados</t>
  </si>
  <si>
    <t>Operaciones con instrumentos derivados</t>
  </si>
  <si>
    <t>Provisiones</t>
  </si>
  <si>
    <t>Otros pasivos</t>
  </si>
  <si>
    <t>ACTIVOS DIFERIDOS</t>
  </si>
  <si>
    <t>Pérdida diferida por transacciones de venta con arrendamiento posterior</t>
  </si>
  <si>
    <t>Gasto diferido por subvenciones condicionadas</t>
  </si>
  <si>
    <t>Costos de transacción - Activos y pasivos financieros</t>
  </si>
  <si>
    <t>RECURSOS   DE   LA   ENTIDAD   CONCEDENTE   EN   PATRIMONIOS   AUTÓNOMOS CONSTITUIDOS POR LOS CONCESIONARIOS</t>
  </si>
  <si>
    <t>Recursos de la entidad concedente en patrimonios autónomos constituidos por los
concesionarios</t>
  </si>
  <si>
    <t>DERECHOS  DE  SUSTITUCIÓN  DE  ACTIVOS  DETERIORADOS  Y  DE  REEMBOLSO
RELACIONADOS CON PROVISIONES</t>
  </si>
  <si>
    <t>Derechos de sustitución de activos deteriorados por daño físico</t>
  </si>
  <si>
    <t>Derechos de reembolso relacionados con provisiones</t>
  </si>
  <si>
    <t>PASIVOS</t>
  </si>
  <si>
    <t>OPERACIONES DE BANCA CENTRAL E INSTITUCIONES FINANCIERAS</t>
  </si>
  <si>
    <t>OPERACIONES DE CAPTACIÓN Y SERVICIOS FINANCIEROS</t>
  </si>
  <si>
    <t>Cuentas corrientes</t>
  </si>
  <si>
    <t>Depósitos de ahorro</t>
  </si>
  <si>
    <t>Cuentas de ahorro especial</t>
  </si>
  <si>
    <t>Depósitos especiales</t>
  </si>
  <si>
    <t>Otras operaciones de captación y servicios financieros</t>
  </si>
  <si>
    <t>EMISIÓN Y COLOCACIÓN DE TÍTULOS DE DEUDA</t>
  </si>
  <si>
    <t>FINANCIAMIENTO INTERNO DE CORTO PLAZO</t>
  </si>
  <si>
    <t>Bonos y títulos emitidos</t>
  </si>
  <si>
    <t>FINANCIAMIENTO INTERNO DE LARGO PLAZO</t>
  </si>
  <si>
    <t>Otros bonos y títulos emitidos</t>
  </si>
  <si>
    <t>FINANCIAMIENTO EXTERNO DE CORTO PLAZO</t>
  </si>
  <si>
    <t>FINANCIAMIENTO EXTERNO DE LARGO PLAZO</t>
  </si>
  <si>
    <t>PRÉSTAMOS POR PAGAR</t>
  </si>
  <si>
    <t>Préstamos banca comercial</t>
  </si>
  <si>
    <t>Préstamos banca de fomento</t>
  </si>
  <si>
    <t>Préstamos entidades de fomento y desarrollo regional</t>
  </si>
  <si>
    <t>Créditos transitorios</t>
  </si>
  <si>
    <t>Fondos adquiridos con compromiso de recompra</t>
  </si>
  <si>
    <t>Sobregiros</t>
  </si>
  <si>
    <t>Préstamos de vinculados económicos</t>
  </si>
  <si>
    <t>Préstamos de fondos empresariales</t>
  </si>
  <si>
    <t>Préstamos del Gobierno General</t>
  </si>
  <si>
    <t>Préstamos de empresas no financieras</t>
  </si>
  <si>
    <t>Préstamos de otras entidades</t>
  </si>
  <si>
    <t>Préstamos de asociados</t>
  </si>
  <si>
    <t>Préstamos de socios y accionistas</t>
  </si>
  <si>
    <t>Otros préstamos</t>
  </si>
  <si>
    <t>Pasivo financiero por acuerdos de concesión (Concedente)</t>
  </si>
  <si>
    <t>Titularización de flujos futuros</t>
  </si>
  <si>
    <t>CUENTAS POR PAGAR</t>
  </si>
  <si>
    <t>ADQUISICIÓN DE BIENES Y SERVICIOS NACIONALES</t>
  </si>
  <si>
    <t>Proyectos de inversión</t>
  </si>
  <si>
    <t>SUBVENCIONES POR PAGAR</t>
  </si>
  <si>
    <t>Subvención por recursos transferidos a las empresas públicas</t>
  </si>
  <si>
    <t>ADQUISICIÓN DE BIENES Y SERVICIOS DEL EXTERIOR</t>
  </si>
  <si>
    <t>RECURSOS A FAVOR DE TERCEROS</t>
  </si>
  <si>
    <t>Ventas por cuenta de terceros</t>
  </si>
  <si>
    <t>Cobro cartera de terceros</t>
  </si>
  <si>
    <t>Seguro sobre préstamos</t>
  </si>
  <si>
    <t>Venta de servicio de directorio telefónico</t>
  </si>
  <si>
    <t>Venta de servicio de televisión</t>
  </si>
  <si>
    <t>Recaudos por clasificar</t>
  </si>
  <si>
    <t>Recaudos a favor del concedente</t>
  </si>
  <si>
    <t>Fondo de Solidaridad y Redistribución del Ingreso - Servicios públicos</t>
  </si>
  <si>
    <t>Fondo  de  repotenciación  y  reposición  de  activos  de  los  sistemas  integrados  de transporte masivo</t>
  </si>
  <si>
    <t>Venta de servicios públicos</t>
  </si>
  <si>
    <t>Rendimientos financieros</t>
  </si>
  <si>
    <t>Retención a contratistas por aportes al Sistema de Seguridad Social Integral</t>
  </si>
  <si>
    <t>Otros recursos a favor de terceros</t>
  </si>
  <si>
    <t>DESCUENTOS DE NÓMINA</t>
  </si>
  <si>
    <t>Aportes a fondos  pensionales</t>
  </si>
  <si>
    <t>Aportes a seguridad social en salud</t>
  </si>
  <si>
    <t>Sindicatos</t>
  </si>
  <si>
    <t>Cooperativas</t>
  </si>
  <si>
    <t>Fondos de empleados</t>
  </si>
  <si>
    <t>Libranzas</t>
  </si>
  <si>
    <t>Contratos de medicina prepagada</t>
  </si>
  <si>
    <t>Fondos mutuos</t>
  </si>
  <si>
    <t>Embargos judiciales</t>
  </si>
  <si>
    <t>Cuenta de ahorro para el fomento de la construcción (AFC)</t>
  </si>
  <si>
    <t>Otros descuentos de nómina</t>
  </si>
  <si>
    <t>RETENCIÓN EN LA FUENTE E IMPUESTO DE TIMBRE</t>
  </si>
  <si>
    <t>Dividendos y participaciones</t>
  </si>
  <si>
    <t>Servicios</t>
  </si>
  <si>
    <t>Arrendamientos</t>
  </si>
  <si>
    <t>Rendimientos financieros e intereses</t>
  </si>
  <si>
    <t>Compras</t>
  </si>
  <si>
    <t>Loterías, rifas, apuestas y similares</t>
  </si>
  <si>
    <t>Pagos o abonos en cuentas en el exterior</t>
  </si>
  <si>
    <t>Por ingresos obtenidos en el exterior</t>
  </si>
  <si>
    <t>Enajenación de activos fijos de personas naturales</t>
  </si>
  <si>
    <t>Rentas de pensiones</t>
  </si>
  <si>
    <t>Regalías y explotación de la propiedad intelectual</t>
  </si>
  <si>
    <t>Rentas de trabajo</t>
  </si>
  <si>
    <t>Transacciones con tarjeta débito y crédito</t>
  </si>
  <si>
    <t>Impuesto a las ventas retenido</t>
  </si>
  <si>
    <t>Retención de impuesto de industria y comercio por compras</t>
  </si>
  <si>
    <t>Retención de impuesto de industria y comercio por ventas</t>
  </si>
  <si>
    <t>Otras retenciones</t>
  </si>
  <si>
    <t>Autorretenciones</t>
  </si>
  <si>
    <t>Impuesto de timbre</t>
  </si>
  <si>
    <t>IMPUESTOS, CONTRIBUCIONES Y TASAS</t>
  </si>
  <si>
    <t>Impuesto sobre la renta y complementarios</t>
  </si>
  <si>
    <t>Impuesto predial unificado</t>
  </si>
  <si>
    <t>Impuesto de industria y comercio</t>
  </si>
  <si>
    <t>Impuesto sobre aduana y recargos</t>
  </si>
  <si>
    <t>Impuesto de registro</t>
  </si>
  <si>
    <t>Regalías y compensaciones monetarias</t>
  </si>
  <si>
    <t>Licencias, registro y salvoconducto</t>
  </si>
  <si>
    <t>Cuota de fiscalización y auditaje</t>
  </si>
  <si>
    <t>Impuesto sobre vehículos automotores</t>
  </si>
  <si>
    <t>Gravamen a los movimientos financieros</t>
  </si>
  <si>
    <t>Impuesto para preservar la seguridad democrática</t>
  </si>
  <si>
    <t>Impuesto al patrimonio</t>
  </si>
  <si>
    <t>Contribuciones</t>
  </si>
  <si>
    <t>Tasas</t>
  </si>
  <si>
    <t>Impuestos, contribuciones y tasas en el exterior</t>
  </si>
  <si>
    <t>Impuesto nacional al consumo</t>
  </si>
  <si>
    <t>Impuesto a la riqueza</t>
  </si>
  <si>
    <t>Impuesto complementario de normalización tributaria al impuesto a la riqueza</t>
  </si>
  <si>
    <t>Sobretasa ambiental</t>
  </si>
  <si>
    <t>Sobretasa al impuesto sobre la renta y complementarios</t>
  </si>
  <si>
    <t>Impuesto sobre el servicio de alumbrado público</t>
  </si>
  <si>
    <t>Otros impuestos nacionales</t>
  </si>
  <si>
    <t>Otros impuestos departamentales</t>
  </si>
  <si>
    <t>Otros impuestos municipales</t>
  </si>
  <si>
    <t>Otros impuestos distritales</t>
  </si>
  <si>
    <t>Otras contribuciones y tasas</t>
  </si>
  <si>
    <t>IMPUESTO AL VALOR AGREGADO - IVA</t>
  </si>
  <si>
    <t>Venta de servicios</t>
  </si>
  <si>
    <t>Devoluciones en compra de bienes</t>
  </si>
  <si>
    <t>Devoluciones en compra de servicios</t>
  </si>
  <si>
    <t>Compra de bienes (Db)</t>
  </si>
  <si>
    <t>Compra de servicios (Db)</t>
  </si>
  <si>
    <t>Devoluciones en venta de bienes (Db)</t>
  </si>
  <si>
    <t>Devoluciones en venta de servicios (Db)</t>
  </si>
  <si>
    <t>Impuesto a las ventas retenido (Db)</t>
  </si>
  <si>
    <t>Valor pagado (Db)</t>
  </si>
  <si>
    <t>CRÉDITOS JUDICIALES</t>
  </si>
  <si>
    <t>Sentencias</t>
  </si>
  <si>
    <t>Laudos arbitrales y conciliaciones extrajudiciales</t>
  </si>
  <si>
    <t>Otros créditos judiciales</t>
  </si>
  <si>
    <t>PREMIOS POR PAGAR</t>
  </si>
  <si>
    <t>Premios mayores pendientes de pago</t>
  </si>
  <si>
    <t>Premios secos pendientes de pago</t>
  </si>
  <si>
    <t>Premios de aproximaciones pendientes de pago</t>
  </si>
  <si>
    <t>Apuestas permanentes</t>
  </si>
  <si>
    <t>Otros premios</t>
  </si>
  <si>
    <t>RECURSOS RECIBIDOS DEL SISTEMA DE SEGURIDAD SOCIAL EN SALUD</t>
  </si>
  <si>
    <t>Cotizaciones</t>
  </si>
  <si>
    <t>Rendimientos de la cuenta maestra de recaudo</t>
  </si>
  <si>
    <t>Cotizaciones no compensadas</t>
  </si>
  <si>
    <t>Reintegros  a  la  ADRES,  a  las  entidades  territoriales  o  a  los  fondos  de  salud descentralizados</t>
  </si>
  <si>
    <t>Otros recursos recibidos del sistema de seguridad social en salud</t>
  </si>
  <si>
    <t>ADMINISTRACIÓN DE LA SEGURIDAD SOCIAL EN SALUD</t>
  </si>
  <si>
    <t>Contratos de capitación - Contributivo</t>
  </si>
  <si>
    <t>Contratos por evento y otras modalidades - Contributivo</t>
  </si>
  <si>
    <t>Promoción y prevención - Contributivo</t>
  </si>
  <si>
    <t>Sistema de garantía y calidad - Contributivo</t>
  </si>
  <si>
    <t>Reaseguro enfermedades de alto costo - Contributivo</t>
  </si>
  <si>
    <t>Incapacidades-Contributivo</t>
  </si>
  <si>
    <t>Contratos de capitación - Subsidiado</t>
  </si>
  <si>
    <t>Contratos por eventos y otras modalidades - Subsidiado</t>
  </si>
  <si>
    <t>Promoción y prevención - Subsidiado</t>
  </si>
  <si>
    <t>Sistema de garantía y calidad - Subsidiado</t>
  </si>
  <si>
    <t>Reaseguro enfermedades de alto costo - Subsidiado</t>
  </si>
  <si>
    <t>Contratos de capitación - Complementarios</t>
  </si>
  <si>
    <t>Contratos por eventos - Complementario</t>
  </si>
  <si>
    <t>Promoción y prevención - Complementario</t>
  </si>
  <si>
    <t>Sistema de garantía y calidad - Complementario</t>
  </si>
  <si>
    <t>Reaseguro enfermedades de alto costo - Complementario</t>
  </si>
  <si>
    <t>Auxilios y servicios funerarios - Complementario</t>
  </si>
  <si>
    <t>Obligaciones por servicios No PBS</t>
  </si>
  <si>
    <t>Otros gastos de seguridad social en salud</t>
  </si>
  <si>
    <t>OTRAS CUENTAS POR PAGAR</t>
  </si>
  <si>
    <t>Obligaciones a cargo en operaciones conjuntas</t>
  </si>
  <si>
    <t>Esquemas de pago</t>
  </si>
  <si>
    <t>Recursos de acreedores reintegrados por entidades públicas</t>
  </si>
  <si>
    <t>Obligaciones pagadas por terceros</t>
  </si>
  <si>
    <t>Garantías contractuales - Concesiones</t>
  </si>
  <si>
    <t>Suscripción de acciones o participaciones</t>
  </si>
  <si>
    <t>Suscripciones</t>
  </si>
  <si>
    <t>Viáticos y gastos de viaje</t>
  </si>
  <si>
    <t>Excedentes de remates</t>
  </si>
  <si>
    <t>Gastos legales</t>
  </si>
  <si>
    <t>Cheques no cobrados o por reclamar</t>
  </si>
  <si>
    <t>Gastos de representación</t>
  </si>
  <si>
    <t>Aportes a escuelas industriales, institutos técnicos y ESAP</t>
  </si>
  <si>
    <t>Prima en contratos de estabilidad jurídica</t>
  </si>
  <si>
    <t>Cartera adquirida por movilización de activos</t>
  </si>
  <si>
    <t>Saldos a favor de beneficiarios</t>
  </si>
  <si>
    <t>Ingresos a favor del concedente</t>
  </si>
  <si>
    <t>Multas y sanciones</t>
  </si>
  <si>
    <t>Implicación continuada en inversiones</t>
  </si>
  <si>
    <t>Implicación continuada en cuentas por cobrar</t>
  </si>
  <si>
    <t>Implicación continuada en préstamos por cobrar</t>
  </si>
  <si>
    <t>Aportes al ICBF y SENA</t>
  </si>
  <si>
    <t>Servicios públicos</t>
  </si>
  <si>
    <t>Excedentes financieros</t>
  </si>
  <si>
    <t>Obligaciones a cargo en acuerdos no clasificados como operaciones conjuntas</t>
  </si>
  <si>
    <t>Aportes a sindicatos</t>
  </si>
  <si>
    <t>Renta del monopolio de los juegos de suerte y azar</t>
  </si>
  <si>
    <t>Otras cuentas por pagar</t>
  </si>
  <si>
    <t>CUENTAS POR PAGAR A COSTO AMORTIZADO</t>
  </si>
  <si>
    <t>Adquisición de bienes y servicios nacionales</t>
  </si>
  <si>
    <t>Adquisición de bienes y servicios del exterior</t>
  </si>
  <si>
    <t>Inversiones transferidas que no se dan de baja</t>
  </si>
  <si>
    <t>Cuentas por cobrar transferidas que no se dan de baja</t>
  </si>
  <si>
    <t>Préstamos por cobrar transferidos que no se dan de baja</t>
  </si>
  <si>
    <t>Otras cuentas por pagar a costo amortizado</t>
  </si>
  <si>
    <t>BENEFICIOS A LOS EMPLEADOS</t>
  </si>
  <si>
    <t>BENEFICIOS A LOS EMPLEADOS A CORTO PLAZO</t>
  </si>
  <si>
    <t>Nómina por pagar</t>
  </si>
  <si>
    <t>Cesantías</t>
  </si>
  <si>
    <t>Intereses sobre cesantías</t>
  </si>
  <si>
    <t>Vacaciones</t>
  </si>
  <si>
    <t>Prima de vacaciones</t>
  </si>
  <si>
    <t>Prima de servicios</t>
  </si>
  <si>
    <t>Prima de navidad</t>
  </si>
  <si>
    <t>Bonificaciones</t>
  </si>
  <si>
    <t>Otras primas</t>
  </si>
  <si>
    <t>Aportes a riesgos laborales</t>
  </si>
  <si>
    <t>Auxilios funerarios</t>
  </si>
  <si>
    <t>Remuneración por servicios técnicos</t>
  </si>
  <si>
    <t>Capacitación, bienestar social y estímulos</t>
  </si>
  <si>
    <t>Dotación y suministro a trabajadores</t>
  </si>
  <si>
    <t>Gastos deportivos y de recreación</t>
  </si>
  <si>
    <t>Contratos de personal temporal</t>
  </si>
  <si>
    <t>Gastos de viaje</t>
  </si>
  <si>
    <t>Remuneración electoral</t>
  </si>
  <si>
    <t>Aportes a fondos pensionales - empleador</t>
  </si>
  <si>
    <t>Aportes a seguridad social en salud - empleador</t>
  </si>
  <si>
    <t>Aportes a cajas de compensación familiar</t>
  </si>
  <si>
    <t>Medicina prepagada</t>
  </si>
  <si>
    <t>Incentivos al ahorro</t>
  </si>
  <si>
    <t>Otros beneficios a los empleados a corto plazo</t>
  </si>
  <si>
    <t>BENEFICIOS A LOS EMPLEADOS A LARGO PLAZO</t>
  </si>
  <si>
    <t>Primas</t>
  </si>
  <si>
    <t>Cesantías retroactivas</t>
  </si>
  <si>
    <t>Otros beneficios a los empleados a largo plazo</t>
  </si>
  <si>
    <t>BENEFICIOS POR TERMINACIÓN DEL VÍNCULO LABORAL O CONTRACTUAL</t>
  </si>
  <si>
    <t>Otros beneficios por terminación del vínculo laboral o contractual</t>
  </si>
  <si>
    <t>BENEFICIOS POSEMPLEO - PENSIONES</t>
  </si>
  <si>
    <t>Pensiones de jubilación patronales</t>
  </si>
  <si>
    <t>Retroactivos y reintegros pensionales</t>
  </si>
  <si>
    <t>Indemnización sustitutiva</t>
  </si>
  <si>
    <t>Mesadas pensionales no reclamadas</t>
  </si>
  <si>
    <t>Cálculo actuarial de pensiones actuales</t>
  </si>
  <si>
    <t>Cálculo actuarial de futuras pensiones</t>
  </si>
  <si>
    <t>Cálculo actuarial de cuotas partes de pensiones</t>
  </si>
  <si>
    <t>Cálculo actuarial pasivo pensional conmutado</t>
  </si>
  <si>
    <t>OTROS BENEFICIOS POSEMPLEO</t>
  </si>
  <si>
    <t>Capacitación, bienestar social, estímulos y otros beneficios legales o extralegales</t>
  </si>
  <si>
    <t>Auxilio funerario</t>
  </si>
  <si>
    <t>OPERACIONES CON INSTRUMENTOS DERIVADOS</t>
  </si>
  <si>
    <t>Derechos en contratos forward (Db)</t>
  </si>
  <si>
    <t>Obligaciones en contratos forward</t>
  </si>
  <si>
    <t>Derechos en contratos futuros (Db)</t>
  </si>
  <si>
    <t>Obligaciones en contratos futuros</t>
  </si>
  <si>
    <t>Derechos en contratos swaps (Db)</t>
  </si>
  <si>
    <t>Obligaciones en contratos swaps</t>
  </si>
  <si>
    <t>Derechos en otros derivados (Db)</t>
  </si>
  <si>
    <t>Obligaciones en otros derivados</t>
  </si>
  <si>
    <t>Prima recibida en opciones</t>
  </si>
  <si>
    <t>Pérdida en la valoración de opciones vendidas</t>
  </si>
  <si>
    <t>INSTRUMENTOS  DERIVADOS  CON  FINES  DE  COBERTURA  DE  UNA  INVERSIÓN
NETA EN UN NEGOCIO EN EL EXTRANJERO</t>
  </si>
  <si>
    <t>AJUSTE  POR  COBERTURA  DEL  VALOR  DE  MERCADO  (VALOR  RAZONABLE)  DEL RIESGO  DE  TASA  DE  INTERÉS  ASOCIADO  CON  UNA  CARTERA  DE  ACTIVOS  O PASIVOS FINANCIEROS</t>
  </si>
  <si>
    <t>Ajuste por cobertura del valor de mercado (valor razonable) del riesgo de tasa de
interés asociado con una cartera de activos y pasivos financieros</t>
  </si>
  <si>
    <t>PÉRDIDA  EN  LA  VALORACIÓN  DE  COMPROMISOS  EN  FIRME  COMO  PARTIDAS CUBIERTAS</t>
  </si>
  <si>
    <t>PROVISIONES</t>
  </si>
  <si>
    <t>LITIGIOS Y DEMANDAS</t>
  </si>
  <si>
    <t>Civiles</t>
  </si>
  <si>
    <t>Penales</t>
  </si>
  <si>
    <t>Administrativas</t>
  </si>
  <si>
    <t>Obligaciones fiscales</t>
  </si>
  <si>
    <t>Laborales</t>
  </si>
  <si>
    <t>Otros litigios y demandas</t>
  </si>
  <si>
    <t>GARANTÍAS</t>
  </si>
  <si>
    <t>Garantías contractuales</t>
  </si>
  <si>
    <t>PROVISIONES DIVERSAS</t>
  </si>
  <si>
    <t>Mecanismos alternativos de solución de conflictos</t>
  </si>
  <si>
    <t>Reserva técnica para el pago de premios</t>
  </si>
  <si>
    <t>Obligaciones implícitas</t>
  </si>
  <si>
    <t>Contratos onerosos</t>
  </si>
  <si>
    <t>Reestructuraciones</t>
  </si>
  <si>
    <t>Desmantelamientos</t>
  </si>
  <si>
    <t>Reservas técnicas por servicios de salud autorizados</t>
  </si>
  <si>
    <t>Reservas técnicas por servicios de salud ocurridos no conocidos</t>
  </si>
  <si>
    <t>Reservas técnicas por incapacidades</t>
  </si>
  <si>
    <t>Otras reservas técnicas</t>
  </si>
  <si>
    <t>Obligaciones originadas por inversiones en entidades en liquidación</t>
  </si>
  <si>
    <t>Otras provisiones diversas</t>
  </si>
  <si>
    <t>OTROS PASIVOS</t>
  </si>
  <si>
    <t>AVANCES Y ANTICIPOS RECIBIDOS</t>
  </si>
  <si>
    <t>Anticipos sobre ventas de bienes y servicios</t>
  </si>
  <si>
    <t>Anticipos juegos de suerte y azar</t>
  </si>
  <si>
    <t>RECURSOS RECIBIDOS EN ADMINISTRACIÓN</t>
  </si>
  <si>
    <t>DEPÓSITOS RECIBIDOS EN GARANTÍA</t>
  </si>
  <si>
    <t>INGRESOS RECIBIDOS POR ANTICIPADO</t>
  </si>
  <si>
    <t>Ventas</t>
  </si>
  <si>
    <t>Venta de servicio de energía</t>
  </si>
  <si>
    <t>Venta de servicio de acueducto</t>
  </si>
  <si>
    <t>Venta de servicio de alcantarillado</t>
  </si>
  <si>
    <t>Venta de servicio de aseo</t>
  </si>
  <si>
    <t>Venta de servicio de gas combustible</t>
  </si>
  <si>
    <t>Venta de servicio de telecomunicaciones</t>
  </si>
  <si>
    <t>Recursos recibidos para fomentar telefonía social</t>
  </si>
  <si>
    <t>Otros ingresos recibidos por anticipado</t>
  </si>
  <si>
    <t>PASIVOS POR IMPUESTOS DIFERIDOS</t>
  </si>
  <si>
    <t>BONOS PENSIONALES</t>
  </si>
  <si>
    <t>Cuotas partes de bonos pensionales emitidos</t>
  </si>
  <si>
    <t>OTROS PASIVOS DIFERIDOS</t>
  </si>
  <si>
    <t>Ganancia diferida por transacciones de venta con arrendamiento posterior</t>
  </si>
  <si>
    <t>Ingreso diferido por subvenciones condicionadas</t>
  </si>
  <si>
    <t>Ingreso diferido por concesiones - concedente</t>
  </si>
  <si>
    <t>Otros pasivos diferidos</t>
  </si>
  <si>
    <t>PATRIMONIO</t>
  </si>
  <si>
    <t>PATRIMONIO DE LAS EMPRESAS</t>
  </si>
  <si>
    <t>APORTES SOCIALES</t>
  </si>
  <si>
    <t>CAPITAL SUSCRITO Y PAGADO</t>
  </si>
  <si>
    <t>Capital autorizado</t>
  </si>
  <si>
    <t>Capital por suscribir (Db)</t>
  </si>
  <si>
    <t>Capital suscrito por cobrar (Db)</t>
  </si>
  <si>
    <t>CAPITAL FISCAL</t>
  </si>
  <si>
    <t>Capital fiscal</t>
  </si>
  <si>
    <t>PRIMA EN COLOCACIÓN DE ACCIONES, CUOTAS O PARTES DE INTERÉS SOCIAL</t>
  </si>
  <si>
    <t>Prima en colocación de acciones</t>
  </si>
  <si>
    <t>Prima en colocación de acciones por cobrar (Db)</t>
  </si>
  <si>
    <t>Prima en colocación de cuotas o partes de interés social</t>
  </si>
  <si>
    <t>Prima en colocación de cuotas o partes de interés social por cobrar (Db)</t>
  </si>
  <si>
    <t>RESERVAS</t>
  </si>
  <si>
    <t>Reservas de Ley</t>
  </si>
  <si>
    <t>Reservas estatutarias</t>
  </si>
  <si>
    <t>Reservas ocasionales</t>
  </si>
  <si>
    <t>Reservas para readquisición de acciones y cuotas partes</t>
  </si>
  <si>
    <t>Fondos patrimoniales</t>
  </si>
  <si>
    <t>Reserva de resultado cambiario banca central</t>
  </si>
  <si>
    <t>Reserva para fluctuaciones de moneda banca central</t>
  </si>
  <si>
    <t>Acciones y cuotas partes propias readquiridas (Db)</t>
  </si>
  <si>
    <t>Otras reservas</t>
  </si>
  <si>
    <t>DIVIDENDOS Y PARTICIPACIONES DECRETADOS EN ESPECIE</t>
  </si>
  <si>
    <t>Dividendos decretados en acciones</t>
  </si>
  <si>
    <t>Participaciones decretadas en cuotas o partes de interés social</t>
  </si>
  <si>
    <t>RESULTADOS DE EJERCICIOS ANTERIORES</t>
  </si>
  <si>
    <t>Utilidades o excedentes acumulados</t>
  </si>
  <si>
    <t>Pérdidas o déficit acumulados</t>
  </si>
  <si>
    <t>RESULTADO DEL EJERCICIO</t>
  </si>
  <si>
    <t>Utilidad o excedente del ejercicio</t>
  </si>
  <si>
    <t>Pérdida o déficit del ejercicio</t>
  </si>
  <si>
    <t>GANANCIAS O PÉRDIDAS EN INVERSIONES DE ADMINISTRACIÓN DE LIQUIDEZ A VALOR RAZONABLE CON CAMBIOS EN EL OTRO RESULTADO INTEGRAL</t>
  </si>
  <si>
    <t>Otras inversiones de administración de liquidez a valor razonable con cambios en el otro resultado integral</t>
  </si>
  <si>
    <t>GANANCIAS O PÉRDIDAS POR COBERTURAS DE FLUJOS DE EFECTIVO</t>
  </si>
  <si>
    <t>Ganancias o pérdidas por cobertura de flujos de efectivo</t>
  </si>
  <si>
    <t>GANANCIAS  O  PÉRDIDAS  POR  COBERTURA  DE  UNA  INVERSIÓN  NETA  EN  UN NEGOCIO EN EL EXTRANJERO</t>
  </si>
  <si>
    <t>Ganancias  o  pérdidas  por  cobertura  de  una  inversión  neta  en  un  negocio  en  el extranjero</t>
  </si>
  <si>
    <t>GANANCIAS O PÉRDIDAS POR LA APLICACIÓN  DEL MÉTODO DE PARTICIPACIÓN PATRIMONIAL DE INVERSIONES EN CONTROLADAS</t>
  </si>
  <si>
    <t>Inversiones en empresas industriales y comerciales del Estado - Societarias</t>
  </si>
  <si>
    <t>Inversiones en sociedades de economía mixta</t>
  </si>
  <si>
    <t>Inversiones en sociedades públicas</t>
  </si>
  <si>
    <t>Inversiones en entidades privadas</t>
  </si>
  <si>
    <t>Inversiones en entidades del exterior</t>
  </si>
  <si>
    <t>GANANCIAS O  PÉRDIDAS POR LA APLICACIÓN  DEL MÉTODO DE PARTICIPACIÓN PATRIMONIAL DE INVERSIONES EN ASOCIADAS</t>
  </si>
  <si>
    <t>GANANCIAS O PÉRDIDAS POR LA APLICACIÓN  DEL MÉTODO DE PARTICIPACIÓN PATRIMONIAL DE INVERSIONES EN NEGOCIOS CONJUNTOS</t>
  </si>
  <si>
    <t>GANANCIAS O PÉRDIDAS POR PLANES DE BENEFICIOS A LOS EMPLEADOS</t>
  </si>
  <si>
    <t>Ganancias o pérdidas actuariales por planes de beneficios posempleo</t>
  </si>
  <si>
    <t>Ganancias  o  pérdidas  por  actualización  de  los  activos  del  plan  de  beneficios posempleo</t>
  </si>
  <si>
    <t>GANANCIAS O PÉRDIDAS POR CONVERSIÓN DE ESTADOS FINANCIEROS</t>
  </si>
  <si>
    <t>Ganancia o pérdida por conversión de estados financieros</t>
  </si>
  <si>
    <t>INGRESOS</t>
  </si>
  <si>
    <t>INGRESOS FISCALES</t>
  </si>
  <si>
    <t>DEVOLUCIONES Y DESCUENTOS (DB)</t>
  </si>
  <si>
    <t>PRODUCTOS AGROPECUARIOS, DE SILVICULTURA, AVICULTURA Y PESCA</t>
  </si>
  <si>
    <t>Productos agrícolas</t>
  </si>
  <si>
    <t>Productos forestales</t>
  </si>
  <si>
    <t>Productos piscícolas</t>
  </si>
  <si>
    <t>Productos avícolas</t>
  </si>
  <si>
    <t>Productos pecuarios</t>
  </si>
  <si>
    <t>Otros productos agropecuarios, de silvicultura, avicultura y pesca</t>
  </si>
  <si>
    <t>PRODUCTOS DE MINAS Y MINERALES</t>
  </si>
  <si>
    <t>Otros productos de minas y minerales</t>
  </si>
  <si>
    <t>PRODUCTOS ALIMENTICIOS, BEBIDAS Y ALCOHOLES</t>
  </si>
  <si>
    <t>PRODUCTOS MANUFACTURADOS</t>
  </si>
  <si>
    <t>Otros productos manufacturados</t>
  </si>
  <si>
    <t>CONSTRUCCIONES</t>
  </si>
  <si>
    <t>Otras construcciones</t>
  </si>
  <si>
    <t>BIENES COMERCIALIZADOS</t>
  </si>
  <si>
    <t>Equipo de transporte</t>
  </si>
  <si>
    <t>Otros bienes comercializados</t>
  </si>
  <si>
    <t>DEVOLUCIONES, REBAJAS Y DESCUENTOS EN VENTA DE BIENES (DB)</t>
  </si>
  <si>
    <t>Productos agropecuarios, de silvicultura y pesca</t>
  </si>
  <si>
    <t>VENTA DE SERVICIOS</t>
  </si>
  <si>
    <t>Unidad de pago por capitación régimen contributivo- UPC</t>
  </si>
  <si>
    <t>Unidad de pago por capitación adicional régimen contributivo -UPC</t>
  </si>
  <si>
    <t>Cuotas de inscripción y afiliación  régimen contributivo</t>
  </si>
  <si>
    <t>Unidad de pago por Capitación régimen subsidiado- UPC</t>
  </si>
  <si>
    <t>Prestación de servicios a personas fuera del sistema</t>
  </si>
  <si>
    <t>Ajuste siniestralidad cuenta de alto costo</t>
  </si>
  <si>
    <t>Gestión de cobro, manejo de información y servicios financieros EPS o EOC</t>
  </si>
  <si>
    <t>SERVICIOS DE SALUD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</si>
  <si>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</si>
  <si>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</si>
  <si>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</si>
  <si>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</si>
  <si>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</si>
  <si>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</si>
  <si>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</si>
  <si>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</si>
  <si>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</si>
  <si>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</si>
  <si>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</si>
  <si>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</si>
  <si>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</si>
  <si>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</si>
  <si>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</si>
  <si>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</si>
  <si>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</si>
  <si>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</si>
  <si>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</si>
  <si>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</si>
  <si>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</si>
  <si>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</si>
  <si>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</si>
  <si>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</si>
  <si>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</si>
  <si>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</si>
  <si>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</si>
  <si>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</si>
  <si>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</si>
  <si>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</si>
  <si>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</si>
  <si>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</si>
  <si>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</si>
  <si>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</si>
  <si>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Servicios de ambulancias</t>
  </si>
  <si>
    <t>Servicios conexos a la salud - Otros servicios</t>
  </si>
  <si>
    <t>SERVICIO DE ENERGÍA</t>
  </si>
  <si>
    <t>Generación</t>
  </si>
  <si>
    <t>Transmisión</t>
  </si>
  <si>
    <t>Distribución</t>
  </si>
  <si>
    <t>Comercialización</t>
  </si>
  <si>
    <t>SERVICIO DE ACUEDUCTO</t>
  </si>
  <si>
    <t>Abastecimiento</t>
  </si>
  <si>
    <t>SERVICIO DE ALCANTARILLADO</t>
  </si>
  <si>
    <t>Recolección y transporte</t>
  </si>
  <si>
    <t>Tratamiento de aguas residuales</t>
  </si>
  <si>
    <t>SERVICIO DE ASEO</t>
  </si>
  <si>
    <t>Recolección domiciliaria</t>
  </si>
  <si>
    <t>Transporte</t>
  </si>
  <si>
    <t>Barrido y limpieza</t>
  </si>
  <si>
    <t>Transferencia</t>
  </si>
  <si>
    <t>Aprovechamiento</t>
  </si>
  <si>
    <t>Tratamiento</t>
  </si>
  <si>
    <t>Disposición final</t>
  </si>
  <si>
    <t>Corte de césped y poda de árboles</t>
  </si>
  <si>
    <t>Limpieza y lavado de áreas públicas</t>
  </si>
  <si>
    <t>Otros servicios de aseo especiales</t>
  </si>
  <si>
    <t>SERVICIO DE GAS COMBUSTIBLE</t>
  </si>
  <si>
    <t>Transporte gas natural</t>
  </si>
  <si>
    <t>Distribución gas natural</t>
  </si>
  <si>
    <t>Comercialización gas natural</t>
  </si>
  <si>
    <t>Transporte gas licuado de petróleo (GLP)</t>
  </si>
  <si>
    <t>Distribución gas licuado de petróleo (GLP)</t>
  </si>
  <si>
    <t>Comercialización mayorista gas licuado de petróleo (GLP)</t>
  </si>
  <si>
    <t>SERVICIOS DE TRANSPORTE</t>
  </si>
  <si>
    <t>Servicio de transporte terrestre</t>
  </si>
  <si>
    <t>Servicio de transporte aéreo</t>
  </si>
  <si>
    <t>Servicios aeronáuticos</t>
  </si>
  <si>
    <t>Servicio de terminal de transporte terrestre</t>
  </si>
  <si>
    <t>Otros servicios de transporte</t>
  </si>
  <si>
    <t>SERVICIOS DE COMUNICACIONES</t>
  </si>
  <si>
    <t>Correo nacional</t>
  </si>
  <si>
    <t>Correo internacional</t>
  </si>
  <si>
    <t>Comisiones de giro</t>
  </si>
  <si>
    <t>Radiodifusión sonora</t>
  </si>
  <si>
    <t>Difusión de televisión</t>
  </si>
  <si>
    <t>Programación y producción de televisión</t>
  </si>
  <si>
    <t>Otros servicios de comunicaciones</t>
  </si>
  <si>
    <t>SERVICIO DE TELECOMUNICACIONES</t>
  </si>
  <si>
    <t>Local</t>
  </si>
  <si>
    <t>Local extendida</t>
  </si>
  <si>
    <t>Móvil rural</t>
  </si>
  <si>
    <t>Larga distancia</t>
  </si>
  <si>
    <t>Valor agregado</t>
  </si>
  <si>
    <t>Interconexión</t>
  </si>
  <si>
    <t>Otros servicios de telecomunicaciones</t>
  </si>
  <si>
    <t>JUEGOS DE SUERTE Y AZAR</t>
  </si>
  <si>
    <t>Loterías ordinarias</t>
  </si>
  <si>
    <t>Rifas</t>
  </si>
  <si>
    <t>Sorteos</t>
  </si>
  <si>
    <t>Juegos en línea</t>
  </si>
  <si>
    <t>Certificaciones y derechos</t>
  </si>
  <si>
    <t>Sorteos extraordinarios</t>
  </si>
  <si>
    <t>Otros juegos de suerte y azar</t>
  </si>
  <si>
    <t>SERVICIOS HOTELEROS Y DE PROMOCIÓN TURÍSTICA</t>
  </si>
  <si>
    <t>Campamentos</t>
  </si>
  <si>
    <t>Promoción de vacaciones y recreación</t>
  </si>
  <si>
    <t>Turismo</t>
  </si>
  <si>
    <t>Alojamiento</t>
  </si>
  <si>
    <t>Suministro de bebidas y alimentos</t>
  </si>
  <si>
    <t>Otros servicios hoteleros</t>
  </si>
  <si>
    <t>SERVICIOS INFORMÁTICOS</t>
  </si>
  <si>
    <t>De procesamiento</t>
  </si>
  <si>
    <t>De desarrollo e implementación de software</t>
  </si>
  <si>
    <t>De arrendamiento de equipo y accesorios</t>
  </si>
  <si>
    <t>Otros servicios informáticos</t>
  </si>
  <si>
    <t>OTROS SERVICIOS</t>
  </si>
  <si>
    <t>DEVOLUCIONES, REBAJAS Y DESCUENTOS EN VENTA DE SERVICIOS (DB)</t>
  </si>
  <si>
    <t>Servicios de salud</t>
  </si>
  <si>
    <t>TRANSFERENCIAS Y SUBVENCIONES</t>
  </si>
  <si>
    <t>SUBVENCIONES</t>
  </si>
  <si>
    <t>Subvención por préstamos con tasa de interés cero</t>
  </si>
  <si>
    <t>Subvención por préstamos con tasas de interés inferiores a las del mercado</t>
  </si>
  <si>
    <t>Subvención por préstamos condonables</t>
  </si>
  <si>
    <t>Bienes recibidos sin contraprestación</t>
  </si>
  <si>
    <t>Subvención por asunción de deudas</t>
  </si>
  <si>
    <t>OTROS INGRESOS</t>
  </si>
  <si>
    <t>FINANCIEROS</t>
  </si>
  <si>
    <t>Intereses sobre depósitos en instituciones financieras</t>
  </si>
  <si>
    <t>Intereses de fondos de uso restringido</t>
  </si>
  <si>
    <t>Ganancia por medición inicial de inversiones de administración de liquidez a valor de mercado (valor razonable) con cambios en el resultado</t>
  </si>
  <si>
    <t>Ganancia  por  valoración  de  inversiones  de  administración  de  liquidez  a  valor  de mercado (valor razonable) con cambios en el resultado</t>
  </si>
  <si>
    <t>Ganancia por baja en cuentas de inversiones de administración de liquidez a valor
de mercado (valor razonable) con cambios en el resultado</t>
  </si>
  <si>
    <t>Ganancia por medición inicial de inversiones de administración de liquidez a valor
de  mercado  (valor  razonable)  con  cambios  en  el  patrimonio  (otro  resultado
integral)</t>
  </si>
  <si>
    <t>Ganancia por baja en cuentas de inversiones de administración de liquidez a valor
de  mercado  (valor  razonable)  con  cambios  en  el  patrimonio  (otro  resultado integral)</t>
  </si>
  <si>
    <t>Ganancia por medición inicial de inversiones de administración de liquidez a costo
amortizado</t>
  </si>
  <si>
    <t>Rendimiento   efectivo   de   inversiones   de   administración   de   liquidez   a   costo
amortizado</t>
  </si>
  <si>
    <t>Ganancia por baja en cuentas de inversiones de administración de liquidez a costo
amortizado</t>
  </si>
  <si>
    <t>Intereses,   dividendos   y   participaciones   de   inversiones   de   administración   de
liquidez al costo</t>
  </si>
  <si>
    <t>Ganancia por baja en cuentas de inversiones de administración de liquidez al costo</t>
  </si>
  <si>
    <t>Ganancia por valoración de instrumentos derivados con fines de especulación</t>
  </si>
  <si>
    <t>Ganancia por valoración de instrumentos derivados con fines de cobertura de valor de mercado (valor razonable)</t>
  </si>
  <si>
    <t>Ganancia  por  valoración  de  instrumentos  derivados  con  fines  de  cobertura  de
flujos de efectivo</t>
  </si>
  <si>
    <t>Ganancia por valoración de instrumentos derivados con fines de cobertura de una
inversión neta en un negocio en el extranjero</t>
  </si>
  <si>
    <t>Rendimiento efectivo de cuentas por cobrar a costo amortizado</t>
  </si>
  <si>
    <t>Ganancia por baja en cuentas de cuentas por pagar</t>
  </si>
  <si>
    <t>Rendimiento efectivo préstamos por cobrar</t>
  </si>
  <si>
    <t>Ganancia por baja en cuentas de préstamos por pagar</t>
  </si>
  <si>
    <t>Rendimientos por reajuste monetario</t>
  </si>
  <si>
    <t>Ganancia por negociación de divisas</t>
  </si>
  <si>
    <t>Ganancia por medición inicial de títulos emitidos</t>
  </si>
  <si>
    <t>Ganancia por medición inicial de cuentas por pagar a costo amortizado</t>
  </si>
  <si>
    <t>Ganancia por medición inicial de préstamos por pagar</t>
  </si>
  <si>
    <t>Rendimientos sobre recursos entregados en administración</t>
  </si>
  <si>
    <t>Rendimiento     efectivo,     dividendos     y     participaciones     de     inversiones     de administración de liquidez a valor de mercado (valor razonable) con cambios en el patrimonio (otro resultado integral)</t>
  </si>
  <si>
    <t>Ajuste de partida cubierta que hace parte de una relación de cobertura de valor de
mercado (valor razonable)</t>
  </si>
  <si>
    <t>Ganancia por la recuperación de cartera improductiva adquirida</t>
  </si>
  <si>
    <t>Rendimiento de cuentas por cobrar al costo</t>
  </si>
  <si>
    <t>Interés del plan de activos para beneficios posempleo</t>
  </si>
  <si>
    <t>Otros ingresos financieros</t>
  </si>
  <si>
    <t>AJUSTE POR DIFERENCIA EN CAMBIO</t>
  </si>
  <si>
    <t>Operaciones de banca central e instituciones financieras</t>
  </si>
  <si>
    <t>Financiamiento interno de corto plazo en emisión y colocación de títulos de deuda</t>
  </si>
  <si>
    <t>Financiamiento interno de largo plazo en emisión y colocación de títulos de deuda</t>
  </si>
  <si>
    <t>Financiamiento externo de corto plazo en emisión y colocación de títulos de deuda</t>
  </si>
  <si>
    <t>Financiamiento externo de largo plazo en emisión y colocación de títulos de deuda</t>
  </si>
  <si>
    <t>Financiamiento interno de corto plazo en préstamos por pagar</t>
  </si>
  <si>
    <t>Financiamiento interno de largo plazo en préstamos por pagar</t>
  </si>
  <si>
    <t>Financiamiento externo de corto plazo en préstamos por pagar</t>
  </si>
  <si>
    <t>Financiamiento externo de largo plazo en préstamos por pagar</t>
  </si>
  <si>
    <t>Otros ajustes por diferencia en cambio</t>
  </si>
  <si>
    <t>INGRESOS DIVERSOS</t>
  </si>
  <si>
    <t>Alimentación a empleados</t>
  </si>
  <si>
    <t>Ganancia por baja en cuentas de activos no financieros</t>
  </si>
  <si>
    <t>Publicaciones</t>
  </si>
  <si>
    <t>Títulos prescritos</t>
  </si>
  <si>
    <t>Fotocopias</t>
  </si>
  <si>
    <t>Incentivos tributarios</t>
  </si>
  <si>
    <t>Aportes pensionales</t>
  </si>
  <si>
    <t>Sobrantes</t>
  </si>
  <si>
    <t>Recuperaciones</t>
  </si>
  <si>
    <t>Aprovechamientos</t>
  </si>
  <si>
    <t>Ganancia por baja en cuentas de inversiones en controladas, asociadas o negocios conjuntos</t>
  </si>
  <si>
    <t>Ganancia por transacciones de venta con arrendamiento posterior</t>
  </si>
  <si>
    <t>Ganancia por absorción en condiciones favorables</t>
  </si>
  <si>
    <t>Variaciones beneficios posempleo por el costo del servicio pasado</t>
  </si>
  <si>
    <t>Ajuste beneficios a los empleados a largo plazo</t>
  </si>
  <si>
    <t>Concurrencia para el pago de pensiones</t>
  </si>
  <si>
    <t>Ganancia  en  la  actualización  del  plan  de  activos  para  beneficios  a  empleados  a largo plazo y por terminación del vínculo laboral o contractual</t>
  </si>
  <si>
    <t>Ganancia por derechos en fideicomiso</t>
  </si>
  <si>
    <t>Amortización del pasivo diferido de la entidad concedente</t>
  </si>
  <si>
    <t>Otros ingresos diversos</t>
  </si>
  <si>
    <t>GANANCIAS POR LA APLICACIÓN DEL MÉTODO DE PARTICIPACIÓN PATRIMONIAL
DE INVERSIONES EN CONTROLADAS</t>
  </si>
  <si>
    <t>GANANCIAS POR LA APLICACIÓN DEL MÉTODO DE PARTICIPACIÓN PATRIMONIAL DE INVERSIONES EN ASOCIADAS</t>
  </si>
  <si>
    <t>GANANCIAS POR LA APLICACIÓN DEL MÉTODO DE PARTICIPACIÓN PATRIMONIAL DE INVERSIONES EN NEGOCIOS CONJUNTOS</t>
  </si>
  <si>
    <t>GANANCIAS POR ACTUALIZACIÓN DE INVENTARIOS</t>
  </si>
  <si>
    <t>Materias primas cotizadas</t>
  </si>
  <si>
    <t>Productos agrícolas y minerales</t>
  </si>
  <si>
    <t>GANANCIAS POR ACTUALIZACIÓN DE ACTIVOS BIOLÓGICOS</t>
  </si>
  <si>
    <t>IMPUESTO A LAS GANANCIAS DIFERIDO</t>
  </si>
  <si>
    <t>REVERSIÓN DE LAS PÉRDIDAS POR DETERIORO DE VALOR</t>
  </si>
  <si>
    <t>Cuentas por cobrar a costo amortizado</t>
  </si>
  <si>
    <t>Activos biológicos al costo</t>
  </si>
  <si>
    <t>GASTOS</t>
  </si>
  <si>
    <t>DE ADMINISTRACIÓN Y OPERACIÓN</t>
  </si>
  <si>
    <t>SUELDOS Y SALARIOS</t>
  </si>
  <si>
    <t>Sueldos</t>
  </si>
  <si>
    <t>Jornales</t>
  </si>
  <si>
    <t>Horas extras y festivos</t>
  </si>
  <si>
    <t>Sueldo por comisiones al exterior</t>
  </si>
  <si>
    <t>Auxilio de transporte</t>
  </si>
  <si>
    <t>Salario integral</t>
  </si>
  <si>
    <t>Estímulo a la eficiencia</t>
  </si>
  <si>
    <t>Subsidio de vivienda</t>
  </si>
  <si>
    <t>Subsidio de alimentación</t>
  </si>
  <si>
    <t>Aportes a fondos mutuos de inversión</t>
  </si>
  <si>
    <t>CONTRIBUCIONES IMPUTADAS</t>
  </si>
  <si>
    <t>Subsidio familiar</t>
  </si>
  <si>
    <t>Gastos médicos y drogas</t>
  </si>
  <si>
    <t>Subsidio por dependiente</t>
  </si>
  <si>
    <t>Otras contribuciones imputadas</t>
  </si>
  <si>
    <t>CONTRIBUCIONES EFECTIVAS</t>
  </si>
  <si>
    <t>Seguros de vida</t>
  </si>
  <si>
    <t>Cotizaciones a seguridad social en salud</t>
  </si>
  <si>
    <t>Aportes sindicales</t>
  </si>
  <si>
    <t>Cotizaciones a riesgos laborales</t>
  </si>
  <si>
    <t>Cotizaciones a entidades administradoras del régimen de prima media</t>
  </si>
  <si>
    <t>Cotizaciones a entidades administradoras del régimen de ahorro individual</t>
  </si>
  <si>
    <t>Otras contribuciones efectivas</t>
  </si>
  <si>
    <t>APORTES SOBRE LA NÓMINA</t>
  </si>
  <si>
    <t>Aportes al ICBF</t>
  </si>
  <si>
    <t>Aportes al SENA</t>
  </si>
  <si>
    <t>Aportes a la ESAP</t>
  </si>
  <si>
    <t>Aportes a escuelas industriales e institutos técnicos</t>
  </si>
  <si>
    <t>PRESTACIONES SOCIALES</t>
  </si>
  <si>
    <t>Intereses a las cesantías</t>
  </si>
  <si>
    <t>Otras prestaciones sociales</t>
  </si>
  <si>
    <t>GASTOS DE PERSONAL DIVERSOS</t>
  </si>
  <si>
    <t>Viáticos</t>
  </si>
  <si>
    <t>Variaciones beneficios posempleo por el costo del servicio presente y pasado</t>
  </si>
  <si>
    <t>Beneficios  por  préstamos  a  empleados  a  tasa  de  interés  cero  o  inferior  a  la  del mercado</t>
  </si>
  <si>
    <t>Otros gastos de personal diversos</t>
  </si>
  <si>
    <t>GENERALES</t>
  </si>
  <si>
    <t>Moldes y troqueles</t>
  </si>
  <si>
    <t>Material quirúrgico</t>
  </si>
  <si>
    <t>Elementos de lencería y ropería</t>
  </si>
  <si>
    <t>Loza y cristalería</t>
  </si>
  <si>
    <t>Gastos de organización y puesta en marcha</t>
  </si>
  <si>
    <t>Gastos de desarrollo</t>
  </si>
  <si>
    <t>Gastos de asociación</t>
  </si>
  <si>
    <t>Obras y mejoras en propiedad ajena</t>
  </si>
  <si>
    <t>Vigilancia y seguridad</t>
  </si>
  <si>
    <t>Reparaciones</t>
  </si>
  <si>
    <t>Comunicaciones y transporte</t>
  </si>
  <si>
    <t>Seguros generales</t>
  </si>
  <si>
    <t>Promoción y divulgación</t>
  </si>
  <si>
    <t>Diseños y estudios</t>
  </si>
  <si>
    <t>Seguridad industrial</t>
  </si>
  <si>
    <t>Asistencia técnica agropecuaria</t>
  </si>
  <si>
    <t>Participaciones y compensaciones</t>
  </si>
  <si>
    <t>Contratos de administración</t>
  </si>
  <si>
    <t>Sostenimiento de semovientes y plantas</t>
  </si>
  <si>
    <t>Gastos de operación aduanera</t>
  </si>
  <si>
    <t>Servicios portuarios y aeroportuarios</t>
  </si>
  <si>
    <t>Servicios de aseo, cafetería, restaurante y lavandería</t>
  </si>
  <si>
    <t>Procesamiento de información</t>
  </si>
  <si>
    <t>Gastos por control de calidad</t>
  </si>
  <si>
    <t>Consulta centrales de riesgo</t>
  </si>
  <si>
    <t>Elementos de aseo, lavandería y cafetería</t>
  </si>
  <si>
    <t>Concursos y licitaciones</t>
  </si>
  <si>
    <t>Videos</t>
  </si>
  <si>
    <t>Relaciones públicas</t>
  </si>
  <si>
    <t>Equipo de seguridad industrial</t>
  </si>
  <si>
    <t>Contratos de aprendizaje</t>
  </si>
  <si>
    <t>Intangibles</t>
  </si>
  <si>
    <t>Costas procesales</t>
  </si>
  <si>
    <t>Interventorías, auditorías y evaluaciones</t>
  </si>
  <si>
    <t>Asignación de bienes y servicios</t>
  </si>
  <si>
    <t>Otros gastos generales</t>
  </si>
  <si>
    <t>Registro y salvoconducto</t>
  </si>
  <si>
    <t>Otros impuestos, contribuciones y tasas</t>
  </si>
  <si>
    <t>DE VENTAS</t>
  </si>
  <si>
    <t>DETERIORO, DEPRECIACIONES, AMORTIZACIONES Y PROVISIONES</t>
  </si>
  <si>
    <t>DETERIORO DE INVERSIONES</t>
  </si>
  <si>
    <t>En controladas contabilizadas por el método de participación patrimonial</t>
  </si>
  <si>
    <t>En asociadas contabilizadas por el método de participación patrimonial</t>
  </si>
  <si>
    <t>En negocios conjuntos contabilizadas por el método de participación patrimonial</t>
  </si>
  <si>
    <t>DETERIORO DE CUENTAS POR COBRAR</t>
  </si>
  <si>
    <t>DETERIORO DE CUENTAS POR COBRAR A COSTO AMORTIZADO</t>
  </si>
  <si>
    <t>Prestación de servicios de  salud</t>
  </si>
  <si>
    <t>DETERIORO DE PRÉSTAMOS POR COBRAR</t>
  </si>
  <si>
    <t>DETERIORO DE INVENTARIOS</t>
  </si>
  <si>
    <t>DETERIORO DE PROPIEDADES, PLANTA Y EQUIPO</t>
  </si>
  <si>
    <t>DETERIORO DE PROPIEDADES DE INVERSIÓN</t>
  </si>
  <si>
    <t>DETERIORO DE ACTIVOS INTANGIBLES</t>
  </si>
  <si>
    <t>DETERIORO DE ACTIVOS BIOLÓGICOS AL COSTO</t>
  </si>
  <si>
    <t>DEPRECIACIÓN DE PROPIEDADES, PLANTA Y EQUIPO</t>
  </si>
  <si>
    <t>DEPRECIACIÓN DE PROPIEDADES DE INVERSIÓN</t>
  </si>
  <si>
    <t>AMORTIZACIÓN DE ACTIVOS BIOLÓGICOS AL COSTO</t>
  </si>
  <si>
    <t>AMORTIZACIÓN DE ACTIVOS INTANGIBLES</t>
  </si>
  <si>
    <t>PROVISIÓN LITIGIOS Y DEMANDAS</t>
  </si>
  <si>
    <t>PROVISIÓN POR GARANTÍAS</t>
  </si>
  <si>
    <t>Subvención por condonación de deudas</t>
  </si>
  <si>
    <t>Bienes entregados sin contraprestación</t>
  </si>
  <si>
    <t>DE ACTIVIDADES Y/O SERVICIOS ESPECIALIZADOS</t>
  </si>
  <si>
    <t>Incapacidades - Contributivo</t>
  </si>
  <si>
    <t>Contratos por evento y otras modalidades - Subsidiado</t>
  </si>
  <si>
    <t>Contratos de capitación  - Complementario</t>
  </si>
  <si>
    <t>Otros gastos por la administración de la seguridad social en salud</t>
  </si>
  <si>
    <t>Pago de premios</t>
  </si>
  <si>
    <t>Comisiones a distribuidores y loteros</t>
  </si>
  <si>
    <t>Bonificación por pago de premios</t>
  </si>
  <si>
    <t>Impresión de billetes</t>
  </si>
  <si>
    <t>Publicidad</t>
  </si>
  <si>
    <t>Otros gastos por juegos de suerte y azar</t>
  </si>
  <si>
    <t>OTROS GASTOS</t>
  </si>
  <si>
    <t>COMISIONES</t>
  </si>
  <si>
    <t>Adquisición  de bienes y servicios</t>
  </si>
  <si>
    <t>Comisiones sobre recursos entregados en administración</t>
  </si>
  <si>
    <t>Comisiones servicios financieros</t>
  </si>
  <si>
    <t>Otras comisiones</t>
  </si>
  <si>
    <t>Actualización financiera de provisiones</t>
  </si>
  <si>
    <t>Interés por beneficios a los empleados</t>
  </si>
  <si>
    <t>Sostenimiento en bolsa y registro</t>
  </si>
  <si>
    <t>Administración de fiducia</t>
  </si>
  <si>
    <t>Seguros operaciones financieras</t>
  </si>
  <si>
    <t>Descuento en venta de cartera</t>
  </si>
  <si>
    <t>Pérdida por compraventa de divisas</t>
  </si>
  <si>
    <t>Pérdida por medición inicial de inversiones de administración de liquidez a valor de mercado (valor razonable) con cambios en el resultado</t>
  </si>
  <si>
    <t>Pérdida  por  valoración  de  inversiones  de  administración  de  liquidez  a  valor  de
mercado (valor razonable) con cambios en el resultado</t>
  </si>
  <si>
    <t>Pérdida por baja en cuentas de inversiones de administración de liquidez a valor de
mercado (valor razonable) con cambios en el resultado</t>
  </si>
  <si>
    <t>Pérdida por medición inicial de inversiones de administración de liquidez a valor de
mercado (valor razonable) con cambios en el patrimonio (otro resultado integral)</t>
  </si>
  <si>
    <t>Pérdida por baja en cuentas de inversiones de administración de liquidez a valor de
mercado (valor razonable) con cambios en el patrimonio (otro resultado integral)</t>
  </si>
  <si>
    <t>Pérdida por medición inicial de  inversiones de  administración de  liquidez a costo
amortizado</t>
  </si>
  <si>
    <t>Pérdida por baja en cuentas de inversiones de administración de liquidez a costo
amortizado</t>
  </si>
  <si>
    <t>Pérdida por baja en cuentas de inversiones de administración de liquidez al costo</t>
  </si>
  <si>
    <t>Pérdida por valoración de instrumentos derivados con fines de especulación</t>
  </si>
  <si>
    <t>Pérdida por valoración de instrumentos derivados con fines de cobertura de valor de mercado (valor razonable)</t>
  </si>
  <si>
    <t>Pérdida por valoración de instrumentos derivados con fines de cobertura de flujos
de efectivo</t>
  </si>
  <si>
    <t>Pérdida por valoración de instrumentos derivados con fines  de cobertura de una
inversión neta en un negocio el extranjero</t>
  </si>
  <si>
    <t>Pérdida por medición inicial de cuentas por cobrar a costo amortizado</t>
  </si>
  <si>
    <t>Pérdida por baja en cuentas de cuentas por cobrar</t>
  </si>
  <si>
    <t>Pérdida por baja en cuentas de préstamos por cobrar</t>
  </si>
  <si>
    <t>Pérdida por medición inicial de títulos emitidos</t>
  </si>
  <si>
    <t>Costo efectivo de títulos emitidos - Financiamiento interno de corto plazo</t>
  </si>
  <si>
    <t>Costo efectivo de títulos emitidos - Financiamiento interno de largo plazo</t>
  </si>
  <si>
    <t>Costo efectivo de títulos emitidos - Financiamiento externo de corto plazo</t>
  </si>
  <si>
    <t>Costo efectivo de títulos emitidos - Financiamiento externo de largo plazo</t>
  </si>
  <si>
    <t>Costo efectivo de cuentas por pagar a costo amortizado</t>
  </si>
  <si>
    <t>Costo efectivo de préstamos por pagar - Financiamiento interno de corto plazo</t>
  </si>
  <si>
    <t>Costo efectivo de préstamos por pagar - Financiamiento interno de largo plazo</t>
  </si>
  <si>
    <t>Costo efectivo de préstamos por pagar - Financiamiento externo de corto plazo</t>
  </si>
  <si>
    <t>Costo efectivo de préstamos por pagar - Financiamiento externo de largo plazo</t>
  </si>
  <si>
    <t>Intereses sobre depósitos y exigibilidades</t>
  </si>
  <si>
    <t>Intereses crédito de redescuento</t>
  </si>
  <si>
    <t>Amortización de pérdidas en inversiones de administración de liquidez a valor de mercado (valor razonable) con cambios en el patrimonio (otro resultado integral) reclasificadas a la categoría de costo amortizado</t>
  </si>
  <si>
    <t>Pérdida por la recuperación de cartera improductiva adquirida</t>
  </si>
  <si>
    <t>Intereses sobre créditos judiciales</t>
  </si>
  <si>
    <t>Otros gastos financieros</t>
  </si>
  <si>
    <t>PÉRDIDAS  POR  LA  APLICACIÓN  DEL  MÉTODO  DE PARTICIPACIÓN  PATRIMONIAL DE INVERSIONES EN CONTROLADAS</t>
  </si>
  <si>
    <t>PÉRDIDAS  POR  LA  APLICACIÓN  DEL  MÉTODO  DE PARTICIPACIÓN  PATRIMONIAL DE INVERSIONES EN ASOCIADAS</t>
  </si>
  <si>
    <t>PÉRDIDAS  POR  LA  APLICACIÓN  DEL  MÉTODO  DE PARTICIPACIÓN  PATRIMONIAL DE INVERSIONES EN NEGOCIOS CONJUNTOS</t>
  </si>
  <si>
    <t>PÉRDIDAS POR ACTUALIZACIÓN DE INVENTARIOS</t>
  </si>
  <si>
    <t>PÉRDIDAS POR ACTUALIZACIÓN DE ACTIVOS BIOLÓGICOS</t>
  </si>
  <si>
    <t>IMPUESTO A LAS GANANCIAS CORRIENTE</t>
  </si>
  <si>
    <t>GASTOS DIVERSOS</t>
  </si>
  <si>
    <t>Impuestos asumidos</t>
  </si>
  <si>
    <t>Margen en la contratación de los servicios de salud</t>
  </si>
  <si>
    <t>Pérdidas en siniestros</t>
  </si>
  <si>
    <t>Pérdida en escisiones</t>
  </si>
  <si>
    <t>Pérdida por baja en cuentas de activos no financieros</t>
  </si>
  <si>
    <t>Pérdida por baja en cuentas de  inversiones en controladas, asociadas o  negocios conjuntos</t>
  </si>
  <si>
    <t>Desembolso intangibles durante la fase de investigación</t>
  </si>
  <si>
    <t>Desembolsos del proceso de transformación de los activos biológicos</t>
  </si>
  <si>
    <t>Pérdida por transacciones de venta con arrendamiento posterior</t>
  </si>
  <si>
    <t>Bienes entregados sin contraprestación a entidades de gobierno</t>
  </si>
  <si>
    <t>Pérdida en la actualización del plan de activos para beneficios a empleados a largo plazo y por terminación del vínculo laboral o contractual</t>
  </si>
  <si>
    <t>Pérdida por derechos en fideicomiso</t>
  </si>
  <si>
    <t>Garantías contractuales - concesiones</t>
  </si>
  <si>
    <t>Pérdida   en   la   actualización   de   los   derechos   de   reembolso   relacionados   con provisiones</t>
  </si>
  <si>
    <t>Otros gastos diversos</t>
  </si>
  <si>
    <t>DEVOLUCIONES Y DESCUENTOS INGRESOS FISCALES</t>
  </si>
  <si>
    <t>DEVOLUCIONES, REBAJAS Y DESCUENTOS EN VENTA DE BIENES</t>
  </si>
  <si>
    <t>DEVOLUCIONES, REBAJAS Y DESCUENTOS EN VENTA DE SERVICIOS</t>
  </si>
  <si>
    <t>COSTOS Y GASTOS POR DISTRIBUIR</t>
  </si>
  <si>
    <t>CIERRE DE INGRESOS, GASTOS Y COSTOS</t>
  </si>
  <si>
    <t>Cierre de ingresos, gastos y costos</t>
  </si>
  <si>
    <t>COSTOS DE VENTAS</t>
  </si>
  <si>
    <t>COSTO DE VENTAS DE BIENES</t>
  </si>
  <si>
    <t>COSTO DE VENTAS DE SERVICIOS</t>
  </si>
  <si>
    <t>Servicios ambulatorios - Actividades de salud oral</t>
  </si>
  <si>
    <t>Servicios ambulatorios - Actividades de promoción y prevención</t>
  </si>
  <si>
    <t>Servicios conexos a la salud  - Investigación científica</t>
  </si>
  <si>
    <t>Otros servicios de hotelería y de promoción turística</t>
  </si>
  <si>
    <t>SERVICIOS PÚBLICOS</t>
  </si>
  <si>
    <t>Acueducto</t>
  </si>
  <si>
    <t>Alcantarillado</t>
  </si>
  <si>
    <t>Aseo</t>
  </si>
  <si>
    <t>Energía</t>
  </si>
  <si>
    <t>Gas combustible</t>
  </si>
  <si>
    <t>Telecomunicaciones</t>
  </si>
  <si>
    <t>Otros servicios públicos</t>
  </si>
  <si>
    <t>COSTOS DE TRANSFORMACIÓN</t>
  </si>
  <si>
    <t>BIENES</t>
  </si>
  <si>
    <t>IMPRESOS Y PUBLICACIONES</t>
  </si>
  <si>
    <t>Materia prima</t>
  </si>
  <si>
    <t>Materiales</t>
  </si>
  <si>
    <t>Generales</t>
  </si>
  <si>
    <t>Contribuciones imputadas</t>
  </si>
  <si>
    <t>Aportes sobre la nómina</t>
  </si>
  <si>
    <t>Depreciación y amortización</t>
  </si>
  <si>
    <t>Impuestos</t>
  </si>
  <si>
    <t>Prestaciones sociales</t>
  </si>
  <si>
    <t>Gastos de personal diversos</t>
  </si>
  <si>
    <t>Traslado de costos (Cr)</t>
  </si>
  <si>
    <t>PRODUCTOS QUÍMICOS</t>
  </si>
  <si>
    <t>MEDICAMENTOS</t>
  </si>
  <si>
    <t>MEDICAMENTOS DE USO VETERINARIO</t>
  </si>
  <si>
    <t>PRODUCTOS ARTESANALES</t>
  </si>
  <si>
    <t>PRODUCTOS METALÚRGICOS Y DE MICROFUNDICIÓN</t>
  </si>
  <si>
    <t>PRODUCTOS BÉLICOS Y EXPLOSIVOS</t>
  </si>
  <si>
    <t>PRODUCTOS DE MADERA</t>
  </si>
  <si>
    <t>LICORES, BEBIDAS Y ALCOHOLES</t>
  </si>
  <si>
    <t>PRODUCTOS ALIMENTICIOS</t>
  </si>
  <si>
    <t>EQUIPOS</t>
  </si>
  <si>
    <t>OTROS BIENES PRODUCIDOS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</si>
  <si>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</si>
  <si>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</si>
  <si>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</si>
  <si>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</si>
  <si>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</si>
  <si>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</si>
  <si>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</si>
  <si>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</si>
  <si>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</si>
  <si>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</si>
  <si>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</si>
  <si>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</si>
  <si>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</si>
  <si>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</si>
  <si>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</si>
  <si>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</si>
  <si>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</si>
  <si>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</si>
  <si>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</si>
  <si>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</si>
  <si>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</si>
  <si>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</si>
  <si>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</si>
  <si>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</si>
  <si>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</si>
  <si>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</si>
  <si>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</si>
  <si>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</si>
  <si>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</si>
  <si>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</si>
  <si>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</si>
  <si>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</si>
  <si>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</si>
  <si>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</si>
  <si>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 DE AMBULANCIAS</t>
  </si>
  <si>
    <t>SERVICIOS CONEXOS A LA SALUD - OTROS SERVICIOS</t>
  </si>
  <si>
    <t>SERVICIO DE TRANSPORTE AÉREO</t>
  </si>
  <si>
    <t>SERVICIO DE TRANSPORTE TERRESTRE</t>
  </si>
  <si>
    <t>SERVICIOS AERONÁUTICOS</t>
  </si>
  <si>
    <t>SERVICIO DE TERMINAL DE TRANSPORTE TERRESTRE</t>
  </si>
  <si>
    <t>OTROS SERVICIOS DE TRANSPORTE</t>
  </si>
  <si>
    <t>ENERGÍA</t>
  </si>
  <si>
    <t>ACUEDUCTO</t>
  </si>
  <si>
    <t>ALCANTARILLADO</t>
  </si>
  <si>
    <t>ASEO</t>
  </si>
  <si>
    <t>GAS COMBUSTIBLE</t>
  </si>
  <si>
    <t>TELECOMUNICACIONES</t>
  </si>
  <si>
    <t>ALOJAMIENTO</t>
  </si>
  <si>
    <t>SUMINISTRO DE BEBIDAS Y ALIMENTOS</t>
  </si>
  <si>
    <t>OTROS SERVICIOS DE HOTELERÍA Y DE PROMOCIÓN TURÍSTICA</t>
  </si>
  <si>
    <t>SERVICIOS DE APOYO INDUSTRIAL</t>
  </si>
  <si>
    <t>SERVICIOS DE INVESTIGACIÓN CIENTÍFICA Y TECNOLÓGICA</t>
  </si>
  <si>
    <t>SERVICIOS DE MATADERO</t>
  </si>
  <si>
    <t>SERVICIOS DE LAVANDERÍA</t>
  </si>
  <si>
    <t>SERVICIOS DE CONSULTORÍA</t>
  </si>
  <si>
    <t>SERVICIOS DE MANTENIMIENTO Y REPARACIÓN</t>
  </si>
  <si>
    <t>SERVICIOS DE DIAGNÓSTICO TÉCNICO MECÁNICO</t>
  </si>
  <si>
    <t>CUENTAS DE ORDEN DEUDORAS</t>
  </si>
  <si>
    <t>ACTIVOS CONTINGENTES</t>
  </si>
  <si>
    <t>LITIGIOS Y MECANISMOS ALTERNATIVOS DE SOLUCIÓN DE CONFLICTOS</t>
  </si>
  <si>
    <t>Fiscales</t>
  </si>
  <si>
    <t>Otros litigios y mecanismos alternativos de solución de conflictos</t>
  </si>
  <si>
    <t>GARANTÍAS CONTRACTUALES</t>
  </si>
  <si>
    <t>Acuerdos de concesión</t>
  </si>
  <si>
    <t>Contratos de asociación</t>
  </si>
  <si>
    <t>Contratos a riesgo compartido</t>
  </si>
  <si>
    <t>Contratos de obra</t>
  </si>
  <si>
    <t>Contratos para servicios públicos</t>
  </si>
  <si>
    <t>Uniones temporales</t>
  </si>
  <si>
    <t>Promesas de compraventa</t>
  </si>
  <si>
    <t>Otras garantías contractuales</t>
  </si>
  <si>
    <t>DERECHOS EN OPCIONES</t>
  </si>
  <si>
    <t>Vendidas</t>
  </si>
  <si>
    <t>Compradas</t>
  </si>
  <si>
    <t>OTROS ACTIVOS CONTINGENTES</t>
  </si>
  <si>
    <t>Garantías</t>
  </si>
  <si>
    <t>Otros activos contingentes</t>
  </si>
  <si>
    <t>DEUDORAS FISCALES</t>
  </si>
  <si>
    <t>DEUDORAS DE CONTROL</t>
  </si>
  <si>
    <t>BIENES Y DERECHOS ENTREGADOS EN GARANTÍA</t>
  </si>
  <si>
    <t>Bienes</t>
  </si>
  <si>
    <t>BIENES ENTREGADOS EN CUSTODIA</t>
  </si>
  <si>
    <t>Pagarés, letras de cambio y otros</t>
  </si>
  <si>
    <t>Otros bienes entregados en custodia</t>
  </si>
  <si>
    <t>BONOS, TÍTULOS Y ESPECIES NO COLOCADOS</t>
  </si>
  <si>
    <t>Bonos</t>
  </si>
  <si>
    <t>Títulos</t>
  </si>
  <si>
    <t>Billetes</t>
  </si>
  <si>
    <t>Otros bonos, títulos y especies no colocados</t>
  </si>
  <si>
    <t>DOCUMENTOS ENTREGADOS PARA SU COBRO</t>
  </si>
  <si>
    <t>Letras de cambio</t>
  </si>
  <si>
    <t>Facturas</t>
  </si>
  <si>
    <t>Otros documentos entregados para su cobro</t>
  </si>
  <si>
    <t>MERCANCÍAS ENTREGADAS EN CONSIGNACIÓN</t>
  </si>
  <si>
    <t>Mercancías entregadas en consignación</t>
  </si>
  <si>
    <t>BIENES Y DERECHOS RETIRADOS</t>
  </si>
  <si>
    <t>Bienes de uso público</t>
  </si>
  <si>
    <t>Recursos naturales no renovables</t>
  </si>
  <si>
    <t>Otros bienes y derechos retirados</t>
  </si>
  <si>
    <t>FACTURACIÓN GLOSADA EN VENTA DE SERVICIOS DE SALUD</t>
  </si>
  <si>
    <t>Plan de Beneficios en Salud  (PBS) - EPS</t>
  </si>
  <si>
    <t>Plan complementario -EPS</t>
  </si>
  <si>
    <t>Plan subsidiado de salud PBSS - EPS</t>
  </si>
  <si>
    <t>Servicios de salud - IPS privadas</t>
  </si>
  <si>
    <t>Empresas de medicina prepagada - EMP</t>
  </si>
  <si>
    <t>Servicios de salud - Compañías aseguradoras</t>
  </si>
  <si>
    <t>Servicios de salud - IPS públicas</t>
  </si>
  <si>
    <t>Servicios de salud - Entidades con régimen especial</t>
  </si>
  <si>
    <t>Atención con cargo al subsidio a la oferta</t>
  </si>
  <si>
    <t>Riesgos laborales - ARL</t>
  </si>
  <si>
    <t>Atención accidentes de tránsito SOAT - Compañías de seguros</t>
  </si>
  <si>
    <t>Reclamaciones con cargo a los recursos del Sistema General de Seguridad Social en Salud</t>
  </si>
  <si>
    <t>Convenios con recursos del Sistema General de Seguridad Social en Salud  - Trauma
mayor y desplazados</t>
  </si>
  <si>
    <t>Atención con cargo a recursos de acciones de salud pública</t>
  </si>
  <si>
    <t>ACTIVOS Y FLUJOS FUTUROS TITULARIZADOS</t>
  </si>
  <si>
    <t>Activos</t>
  </si>
  <si>
    <t>Flujos futuros</t>
  </si>
  <si>
    <t>BIENES ENTREGADOS A TERCEROS</t>
  </si>
  <si>
    <t>Recursos naturales no renovables en explotación</t>
  </si>
  <si>
    <t>Otros bienes entregados a terceros</t>
  </si>
  <si>
    <t>PRÉSTAMOS APROBADOS POR DESEMBOLSAR</t>
  </si>
  <si>
    <t>Gobierno general</t>
  </si>
  <si>
    <t>Empresas</t>
  </si>
  <si>
    <t>EJECUCIÓN DE PROYECTOS DE INVERSIÓN</t>
  </si>
  <si>
    <t>Gastos</t>
  </si>
  <si>
    <t>RESPONSABILIDADES  EN PROCESO</t>
  </si>
  <si>
    <t>Internas</t>
  </si>
  <si>
    <t>Ante autoridad competente</t>
  </si>
  <si>
    <t>CARTERA ADQUIRIDA</t>
  </si>
  <si>
    <t>Cartera improductiva adquirida por movilización de activos</t>
  </si>
  <si>
    <t>Otra cartera adquirida</t>
  </si>
  <si>
    <t>BIENES DE USO PÚBLICO</t>
  </si>
  <si>
    <t>Red de transporte</t>
  </si>
  <si>
    <t>Plazas públicas</t>
  </si>
  <si>
    <t>Parques recreacionales</t>
  </si>
  <si>
    <t>Bibliotecas</t>
  </si>
  <si>
    <t>Hemerotecas</t>
  </si>
  <si>
    <t>Museos</t>
  </si>
  <si>
    <t>Otros bienes de uso público</t>
  </si>
  <si>
    <t>BIENES HISTÓRICOS Y CULTURALES</t>
  </si>
  <si>
    <t>Monumentos</t>
  </si>
  <si>
    <t>Bienes arqueológicos</t>
  </si>
  <si>
    <t>Libros y publicaciones</t>
  </si>
  <si>
    <t>Otros bienes históricos y culturales</t>
  </si>
  <si>
    <t>OTRAS CUENTAS DEUDORAS DE CONTROL</t>
  </si>
  <si>
    <t>Otras cuentas deudoras de control</t>
  </si>
  <si>
    <t>DEUDORAS POR CONTRA (CR)</t>
  </si>
  <si>
    <t>ACTIVOS CONTINGENTES POR CONTRA (CR)</t>
  </si>
  <si>
    <t>Litigios y mecanismos alternativos de solución de conflictos</t>
  </si>
  <si>
    <t>Derechos en opciones</t>
  </si>
  <si>
    <t>Otros activos contingentes por contra</t>
  </si>
  <si>
    <t>DEUDORAS FISCALES POR CONTRA (CR)</t>
  </si>
  <si>
    <t>Deudoras fiscales por contra (Cr)</t>
  </si>
  <si>
    <t>DEUDORAS DE CONTROL POR CONTRA (CR)</t>
  </si>
  <si>
    <t>Bienes entregados en custodia</t>
  </si>
  <si>
    <t>Bonos, títulos y especies no colocados</t>
  </si>
  <si>
    <t>Documentos entregados para su cobro</t>
  </si>
  <si>
    <t>Bienes y derechos retirados</t>
  </si>
  <si>
    <t>Activos y flujos futuros titularizados</t>
  </si>
  <si>
    <t>Préstamos aprobados por desembolsar</t>
  </si>
  <si>
    <t>Ejecución de proyectos de inversión</t>
  </si>
  <si>
    <t>Facturación glosada en venta de servicios de salud</t>
  </si>
  <si>
    <t>Bienes entregados a terceros</t>
  </si>
  <si>
    <t>Responsabilidades en proceso</t>
  </si>
  <si>
    <t>Bienes y derechos entregados en garantía</t>
  </si>
  <si>
    <t>Cartera adquirida</t>
  </si>
  <si>
    <t>Bienes históricos y culturales</t>
  </si>
  <si>
    <t>Otras cuentas deudoras de control por contra</t>
  </si>
  <si>
    <t>CUENTAS DE ORDEN ACREEDORAS</t>
  </si>
  <si>
    <t>PASIVOS CONTINGENTES</t>
  </si>
  <si>
    <t>Administrativos</t>
  </si>
  <si>
    <t>OBLIGACIONES EN OPCIONES</t>
  </si>
  <si>
    <t>OTROS PASIVOS CONTINGENTES</t>
  </si>
  <si>
    <t>Obligaciones contingentes a cargo en operaciones conjuntas</t>
  </si>
  <si>
    <t>Garantías y avales otorgados</t>
  </si>
  <si>
    <t>Obligaciones contingentes a cargo en acuerdos no clasificados como operaciones conjuntas</t>
  </si>
  <si>
    <t>Otros pasivos contingentes</t>
  </si>
  <si>
    <t>ACREEDORAS FISCALES</t>
  </si>
  <si>
    <t>ACREEDORAS DE CONTROL</t>
  </si>
  <si>
    <t>BIENES Y DERECHOS RECIBIDOS EN GARANTÍA</t>
  </si>
  <si>
    <t>MOVILIZACIÓN DE ACTIVOS</t>
  </si>
  <si>
    <t>Cartera en administración</t>
  </si>
  <si>
    <t>Inmuebles para reasignar a otras entidades públicas</t>
  </si>
  <si>
    <t>Inmuebles para comercializar</t>
  </si>
  <si>
    <t>BIENES RECIBIDOS EN CUSTODIA</t>
  </si>
  <si>
    <t>Otros bienes recibidos en custodia</t>
  </si>
  <si>
    <t>RECURSOS ADMINISTRADOS EN NOMBRE DE TERCEROS</t>
  </si>
  <si>
    <t>Recursos entregados en administración - Encargos fiduciarios</t>
  </si>
  <si>
    <t>Recursos entregados en administración - Fiducia mercantil</t>
  </si>
  <si>
    <t>CÁLCULO ACTUARIAL DE PENSIONES PARA EL CUMPLIMIENTO DE DISPOSICIONES LEGALES</t>
  </si>
  <si>
    <t>Pensiones</t>
  </si>
  <si>
    <t>Cuotas partes de bonos pensionales</t>
  </si>
  <si>
    <t>Pensiones conmutadas</t>
  </si>
  <si>
    <t>Cuotas partes de pensiones conmutadas</t>
  </si>
  <si>
    <t>Cuotas partes de bonos pensionales conmutadas</t>
  </si>
  <si>
    <t>LIQUIDACIÓN PROVISIONAL DE BONOS PENSIONALES</t>
  </si>
  <si>
    <t>Entidades responsables del pasivo pensional</t>
  </si>
  <si>
    <t>MERCANCÍAS RECIBIDAS EN CONSIGNACIÓN</t>
  </si>
  <si>
    <t>Mercancías recibidas en consignación</t>
  </si>
  <si>
    <t>PRÉSTAMOS POR RECIBIR</t>
  </si>
  <si>
    <t>Banca comercial</t>
  </si>
  <si>
    <t>Banca multilateral</t>
  </si>
  <si>
    <t>Banca de fomento</t>
  </si>
  <si>
    <t>Gobiernos</t>
  </si>
  <si>
    <t>Proveedores</t>
  </si>
  <si>
    <t>Otros préstamos por recibir</t>
  </si>
  <si>
    <t>Pasivos</t>
  </si>
  <si>
    <t>Ingresos</t>
  </si>
  <si>
    <t>OTRAS CUENTAS ACREEDORAS DE CONTROL</t>
  </si>
  <si>
    <t>Anticipos y fondos en administración</t>
  </si>
  <si>
    <t>Pasivos cancelados por prescripción</t>
  </si>
  <si>
    <t>Contratos pendientes de ejecución</t>
  </si>
  <si>
    <t>Facturación glosada en la adquisición de servicios de salud</t>
  </si>
  <si>
    <t>Convenios</t>
  </si>
  <si>
    <t>Otras cuentas acreedoras de control</t>
  </si>
  <si>
    <t>ACREEDORAS POR CONTRA (DB)</t>
  </si>
  <si>
    <t>PASIVOS CONTINGENTES POR CONTRA (DB)</t>
  </si>
  <si>
    <t>Obligaciones en opciones</t>
  </si>
  <si>
    <t>Otros pasivos contingentes por contra</t>
  </si>
  <si>
    <t>ACREEDORAS FISCALES POR CONTRA (DB)</t>
  </si>
  <si>
    <t>Acreedoras fiscales por contra (Db)</t>
  </si>
  <si>
    <t>ACREEDORAS DE CONTROL POR CONTRA (DB)</t>
  </si>
  <si>
    <t>Bienes recibidos en custodia</t>
  </si>
  <si>
    <t>Préstamos por recibir</t>
  </si>
  <si>
    <t>Recursos administrados en nombre de terceros</t>
  </si>
  <si>
    <t>Movilización de activos</t>
  </si>
  <si>
    <t>Bienes y derechos recibidos en garantía</t>
  </si>
  <si>
    <t>Cálculo actuarial de pensiones para el cumplimiento de disposiciones legales</t>
  </si>
  <si>
    <t>Liquidación provisional de bonos pensionales</t>
  </si>
  <si>
    <t>Otras cuentas acreedoras de control por contra</t>
  </si>
  <si>
    <t>Convenios   con  recursos  del  Sistema  General  de  Seguridad  Social  en  Salud  para trauma mayor y desplazados - con facturación radicada</t>
  </si>
  <si>
    <t>Patrimonio</t>
  </si>
  <si>
    <t>Ecuación Contable</t>
  </si>
  <si>
    <t>Costos</t>
  </si>
  <si>
    <t>Utilidad/Perdida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</si>
</sst>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center"/>
    </xf>
    <xf numFmtId="1" fontId="4" fillId="0" borderId="2" xfId="0" applyNumberFormat="1" applyFont="1" applyBorder="1" applyAlignment="1">
      <alignment vertical="top" wrapText="1" shrinkToFit="1"/>
    </xf>
    <xf numFmtId="1" fontId="5" fillId="0" borderId="2" xfId="0" applyNumberFormat="1" applyFont="1" applyBorder="1" applyAlignment="1">
      <alignment vertical="top" wrapText="1" shrinkToFit="1"/>
    </xf>
    <xf numFmtId="1" fontId="4" fillId="0" borderId="2" xfId="0" applyNumberFormat="1" applyFont="1" applyBorder="1" applyAlignment="1">
      <alignment vertical="center" wrapText="1" shrinkToFi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" fontId="5" fillId="0" borderId="7" xfId="0" applyNumberFormat="1" applyFont="1" applyBorder="1" applyAlignment="1">
      <alignment vertical="top" wrapText="1" shrinkToFit="1"/>
    </xf>
    <xf numFmtId="0" fontId="2" fillId="2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164" fontId="0" fillId="3" borderId="0" xfId="0" applyNumberFormat="1" applyFill="1"/>
    <xf numFmtId="164" fontId="0" fillId="0" borderId="0" xfId="0" applyNumberFormat="1"/>
    <xf numFmtId="0" fontId="8" fillId="4" borderId="10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" fontId="3" fillId="0" borderId="8" xfId="0" applyNumberFormat="1" applyFont="1" applyBorder="1" applyAlignment="1">
      <alignment vertical="top" wrapText="1"/>
    </xf>
    <xf numFmtId="1" fontId="2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0" fontId="1" fillId="0" borderId="0" xfId="1"/>
    <xf numFmtId="1" fontId="0" fillId="0" borderId="3" xfId="0" applyNumberFormat="1" applyBorder="1" applyAlignment="1">
      <alignment vertical="top" wrapText="1"/>
    </xf>
    <xf numFmtId="1" fontId="3" fillId="0" borderId="9" xfId="0" applyNumberFormat="1" applyFont="1" applyBorder="1" applyAlignment="1">
      <alignment vertical="top" wrapText="1"/>
    </xf>
    <xf numFmtId="1" fontId="4" fillId="5" borderId="2" xfId="0" applyNumberFormat="1" applyFont="1" applyFill="1" applyBorder="1" applyAlignment="1">
      <alignment vertical="top" wrapText="1" shrinkToFit="1"/>
    </xf>
    <xf numFmtId="0" fontId="2" fillId="5" borderId="1" xfId="0" applyFont="1" applyFill="1" applyBorder="1" applyAlignment="1">
      <alignment vertical="top"/>
    </xf>
    <xf numFmtId="1" fontId="2" fillId="5" borderId="3" xfId="0" applyNumberFormat="1" applyFont="1" applyFill="1" applyBorder="1" applyAlignment="1">
      <alignment vertical="top" wrapText="1"/>
    </xf>
    <xf numFmtId="0" fontId="0" fillId="5" borderId="0" xfId="0" applyFill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F5BE6A68-F819-4351-8A8D-32D1269DEEE7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top" textRotation="0" wrapText="1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BEBEB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top" textRotation="0" wrapText="1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BEBEB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39AC9-1B72-4593-86C6-800DFF00F560}" name="Balances" displayName="Balances" ref="A1:E3735" totalsRowShown="0" headerRowDxfId="8" headerRowBorderDxfId="7" tableBorderDxfId="6" totalsRowBorderDxfId="5">
  <autoFilter ref="A1:E3735" xr:uid="{453C2109-602F-4587-B238-C375CB934208}"/>
  <tableColumns count="5">
    <tableColumn id="1" xr3:uid="{A25A2F35-7ECB-4920-AA71-4CA77ABC68D2}" name="CÓDIGO" dataDxfId="4"/>
    <tableColumn id="2" xr3:uid="{100B9A27-2CA8-4E9D-B653-7CE9D2D48698}" name="DENOMINACIÓN" dataDxfId="3"/>
    <tableColumn id="3" xr3:uid="{C4F8F568-384A-4FC7-A3F3-81DA2CAC2D84}" name="Corriente" dataDxfId="2"/>
    <tableColumn id="4" xr3:uid="{9E0F3F11-6D46-47AE-9CA8-FF33A5243806}" name="No Corriente" dataDxfId="1"/>
    <tableColumn id="5" xr3:uid="{0D192E4E-9E52-44B1-8888-9610F7254CE8}" name="Total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1E9566-05C6-48C0-8B92-18F31F8B20CE}" name="Acueducto" displayName="Acueducto" ref="A1:F3735" totalsRowShown="0" headerRowDxfId="18" headerRowBorderDxfId="17" tableBorderDxfId="16" totalsRowBorderDxfId="15">
  <autoFilter ref="A1:F3735" xr:uid="{453C2109-602F-4587-B238-C375CB934208}"/>
  <tableColumns count="6">
    <tableColumn id="1" xr3:uid="{E8A3750C-3078-47F5-AA9E-5A325D6A5A9B}" name="CÓDIGO" dataDxfId="14"/>
    <tableColumn id="2" xr3:uid="{9E1AA2B7-ED3D-4658-932F-FBBB67E000BE}" name="DENOMINACIÓN" dataDxfId="13"/>
    <tableColumn id="3" xr3:uid="{4C1B245B-8D46-4B89-9610-B87C900E0DBE}" name="Acueducto" dataDxfId="12">
      <calculatedColumnFormula>ROUND(Balances[[#This Row],[Total]]*40%,0)</calculatedColumnFormula>
    </tableColumn>
    <tableColumn id="4" xr3:uid="{1ECCBEFF-0D2E-4CC7-B822-255960FF589A}" name="Alcantarillado" dataDxfId="11">
      <calculatedColumnFormula>ROUND(Balances[[#This Row],[Total]]*20%,0)</calculatedColumnFormula>
    </tableColumn>
    <tableColumn id="5" xr3:uid="{30DFA28B-8C3A-4495-A90F-9443C60D1D6C}" name="Aseo" dataDxfId="10">
      <calculatedColumnFormula>ROUND(Balances[[#This Row],[Total]]*40%,0)</calculatedColumnFormula>
    </tableColumn>
    <tableColumn id="6" xr3:uid="{E24CFF31-B555-4C3C-A653-13D2C9B1EC47}" name="Total" dataDxfId="9">
      <calculatedColumnFormula>SUM(Acueducto[[#This Row],[Acueducto]:[Aseo]])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5D67-AABC-47DB-9D88-F366EBE93867}">
  <dimension ref="A1:E3744"/>
  <sheetViews>
    <sheetView topLeftCell="A414" workbookViewId="0">
      <selection activeCell="D15" sqref="D15"/>
    </sheetView>
  </sheetViews>
  <sheetFormatPr baseColWidth="10" defaultRowHeight="12.75" x14ac:dyDescent="0.2"/>
  <cols>
    <col min="1" max="1" width="12.1640625" customWidth="1"/>
    <col min="2" max="2" width="66.33203125" customWidth="1"/>
    <col min="3" max="3" width="17.33203125" customWidth="1"/>
    <col min="4" max="4" width="22" customWidth="1"/>
    <col min="5" max="5" width="18.33203125" customWidth="1"/>
  </cols>
  <sheetData>
    <row r="1" spans="1:5" ht="15" x14ac:dyDescent="0.2">
      <c r="A1" s="9" t="s">
        <v>3</v>
      </c>
      <c r="B1" s="13" t="s">
        <v>4</v>
      </c>
      <c r="C1" s="10" t="s">
        <v>0</v>
      </c>
      <c r="D1" s="10" t="s">
        <v>1</v>
      </c>
      <c r="E1" s="11" t="s">
        <v>2</v>
      </c>
    </row>
    <row r="2" spans="1:5" ht="15" x14ac:dyDescent="0.2">
      <c r="A2" s="6">
        <v>1</v>
      </c>
      <c r="B2" s="2" t="s">
        <v>5</v>
      </c>
      <c r="C2" s="24">
        <f>SUM(C3,C32,C183,C382,C403,C543,C807)</f>
        <v>49469684.549999997</v>
      </c>
      <c r="D2" s="24">
        <f>SUM(D3,D32,D183,D382,D403,D543,D807)</f>
        <v>16452010</v>
      </c>
      <c r="E2" s="28">
        <f>SUM(E3,E32,E183,E382,E403,E543,E807)</f>
        <v>65921694.549999997</v>
      </c>
    </row>
    <row r="3" spans="1:5" ht="15" x14ac:dyDescent="0.2">
      <c r="A3" s="6">
        <v>11</v>
      </c>
      <c r="B3" s="2" t="s">
        <v>6</v>
      </c>
      <c r="C3" s="24">
        <f>SUM(C4,C7,C15,C19,C23)</f>
        <v>22922334.550000001</v>
      </c>
      <c r="D3" s="24">
        <f>SUM(D4,D7,D15,D19,D23)</f>
        <v>0</v>
      </c>
      <c r="E3" s="28">
        <f>SUM(E4,E7,E15,E19,E23)</f>
        <v>22922334.550000001</v>
      </c>
    </row>
    <row r="4" spans="1:5" ht="15" x14ac:dyDescent="0.2">
      <c r="A4" s="6">
        <v>1105</v>
      </c>
      <c r="B4" s="2" t="s">
        <v>7</v>
      </c>
      <c r="C4" s="24">
        <f t="shared" ref="C4" si="0">SUM(C5:C6)</f>
        <v>0</v>
      </c>
      <c r="D4" s="24">
        <f t="shared" ref="D4:E4" si="1">SUM(D5:D6)</f>
        <v>0</v>
      </c>
      <c r="E4" s="17">
        <f t="shared" si="1"/>
        <v>0</v>
      </c>
    </row>
    <row r="5" spans="1:5" ht="15" x14ac:dyDescent="0.2">
      <c r="A5" s="7">
        <v>110501</v>
      </c>
      <c r="B5" s="3" t="s">
        <v>8</v>
      </c>
      <c r="C5" s="25">
        <v>0</v>
      </c>
      <c r="D5" s="25">
        <v>0</v>
      </c>
      <c r="E5" s="18">
        <f>SUM(C5:D5)</f>
        <v>0</v>
      </c>
    </row>
    <row r="6" spans="1:5" ht="15" x14ac:dyDescent="0.2">
      <c r="A6" s="7">
        <v>110502</v>
      </c>
      <c r="B6" s="3" t="s">
        <v>9</v>
      </c>
      <c r="C6" s="25">
        <v>0</v>
      </c>
      <c r="D6" s="25">
        <v>0</v>
      </c>
      <c r="E6" s="18">
        <f>SUM(C6:D6)</f>
        <v>0</v>
      </c>
    </row>
    <row r="7" spans="1:5" ht="15" x14ac:dyDescent="0.2">
      <c r="A7" s="6">
        <v>1110</v>
      </c>
      <c r="B7" s="2" t="s">
        <v>10</v>
      </c>
      <c r="C7" s="24">
        <f>SUM(C8:C14)</f>
        <v>22922334.550000001</v>
      </c>
      <c r="D7" s="24">
        <f t="shared" ref="D7:E7" si="2">SUM(D8:D14)</f>
        <v>0</v>
      </c>
      <c r="E7" s="28">
        <f t="shared" si="2"/>
        <v>22922334.550000001</v>
      </c>
    </row>
    <row r="8" spans="1:5" ht="15" x14ac:dyDescent="0.2">
      <c r="A8" s="7">
        <v>111005</v>
      </c>
      <c r="B8" s="3" t="s">
        <v>11</v>
      </c>
      <c r="C8" s="25">
        <v>13804877.550000001</v>
      </c>
      <c r="D8" s="25">
        <v>0</v>
      </c>
      <c r="E8" s="29">
        <f t="shared" ref="E8:E14" si="3">SUM(C8:D8)</f>
        <v>13804877.550000001</v>
      </c>
    </row>
    <row r="9" spans="1:5" ht="15" x14ac:dyDescent="0.2">
      <c r="A9" s="7">
        <v>111006</v>
      </c>
      <c r="B9" s="3" t="s">
        <v>12</v>
      </c>
      <c r="C9" s="25">
        <v>9117457</v>
      </c>
      <c r="D9" s="25">
        <v>0</v>
      </c>
      <c r="E9" s="29">
        <f t="shared" si="3"/>
        <v>9117457</v>
      </c>
    </row>
    <row r="10" spans="1:5" ht="15" x14ac:dyDescent="0.2">
      <c r="A10" s="7">
        <v>111009</v>
      </c>
      <c r="B10" s="3" t="s">
        <v>13</v>
      </c>
      <c r="C10" s="25">
        <v>0</v>
      </c>
      <c r="D10" s="25">
        <v>0</v>
      </c>
      <c r="E10" s="18">
        <f t="shared" si="3"/>
        <v>0</v>
      </c>
    </row>
    <row r="11" spans="1:5" ht="15" x14ac:dyDescent="0.2">
      <c r="A11" s="7">
        <v>111010</v>
      </c>
      <c r="B11" s="3" t="s">
        <v>14</v>
      </c>
      <c r="C11" s="25">
        <v>0</v>
      </c>
      <c r="D11" s="25">
        <v>0</v>
      </c>
      <c r="E11" s="18">
        <f t="shared" si="3"/>
        <v>0</v>
      </c>
    </row>
    <row r="12" spans="1:5" ht="15" x14ac:dyDescent="0.2">
      <c r="A12" s="7">
        <v>111011</v>
      </c>
      <c r="B12" s="3" t="s">
        <v>15</v>
      </c>
      <c r="C12" s="25">
        <v>0</v>
      </c>
      <c r="D12" s="25">
        <v>0</v>
      </c>
      <c r="E12" s="18">
        <f t="shared" si="3"/>
        <v>0</v>
      </c>
    </row>
    <row r="13" spans="1:5" ht="15" x14ac:dyDescent="0.2">
      <c r="A13" s="7">
        <v>111012</v>
      </c>
      <c r="B13" s="3" t="s">
        <v>16</v>
      </c>
      <c r="C13" s="25">
        <v>0</v>
      </c>
      <c r="D13" s="25">
        <v>0</v>
      </c>
      <c r="E13" s="18">
        <f t="shared" si="3"/>
        <v>0</v>
      </c>
    </row>
    <row r="14" spans="1:5" ht="15" x14ac:dyDescent="0.2">
      <c r="A14" s="7">
        <v>111090</v>
      </c>
      <c r="B14" s="16" t="s">
        <v>17</v>
      </c>
      <c r="C14" s="25">
        <v>0</v>
      </c>
      <c r="D14" s="25">
        <v>0</v>
      </c>
      <c r="E14" s="29">
        <f t="shared" si="3"/>
        <v>0</v>
      </c>
    </row>
    <row r="15" spans="1:5" ht="15" x14ac:dyDescent="0.2">
      <c r="A15" s="6">
        <v>1120</v>
      </c>
      <c r="B15" s="2" t="s">
        <v>18</v>
      </c>
      <c r="C15" s="24">
        <f>SUM(C16:C18)</f>
        <v>0</v>
      </c>
      <c r="D15" s="24">
        <f t="shared" ref="D15:E15" si="4">SUM(D16:D18)</f>
        <v>0</v>
      </c>
      <c r="E15" s="17">
        <f t="shared" si="4"/>
        <v>0</v>
      </c>
    </row>
    <row r="16" spans="1:5" ht="15" x14ac:dyDescent="0.2">
      <c r="A16" s="7">
        <v>112005</v>
      </c>
      <c r="B16" s="3" t="s">
        <v>11</v>
      </c>
      <c r="C16" s="25">
        <v>0</v>
      </c>
      <c r="D16" s="25">
        <v>0</v>
      </c>
      <c r="E16" s="18">
        <f t="shared" ref="E16:E18" si="5">SUM(C16:D16)</f>
        <v>0</v>
      </c>
    </row>
    <row r="17" spans="1:5" ht="15" x14ac:dyDescent="0.2">
      <c r="A17" s="7">
        <v>112006</v>
      </c>
      <c r="B17" s="3" t="s">
        <v>12</v>
      </c>
      <c r="C17" s="25">
        <v>0</v>
      </c>
      <c r="D17" s="25">
        <v>0</v>
      </c>
      <c r="E17" s="18">
        <f t="shared" si="5"/>
        <v>0</v>
      </c>
    </row>
    <row r="18" spans="1:5" ht="15" x14ac:dyDescent="0.2">
      <c r="A18" s="7">
        <v>112090</v>
      </c>
      <c r="B18" s="3" t="s">
        <v>19</v>
      </c>
      <c r="C18" s="25">
        <v>0</v>
      </c>
      <c r="D18" s="25">
        <v>0</v>
      </c>
      <c r="E18" s="18">
        <f t="shared" si="5"/>
        <v>0</v>
      </c>
    </row>
    <row r="19" spans="1:5" ht="15" x14ac:dyDescent="0.2">
      <c r="A19" s="6">
        <v>1132</v>
      </c>
      <c r="B19" s="2" t="s">
        <v>20</v>
      </c>
      <c r="C19" s="24">
        <f>SUM(C20:C22)</f>
        <v>0</v>
      </c>
      <c r="D19" s="24">
        <f t="shared" ref="D19:E19" si="6">SUM(D20:D22)</f>
        <v>0</v>
      </c>
      <c r="E19" s="17">
        <f t="shared" si="6"/>
        <v>0</v>
      </c>
    </row>
    <row r="20" spans="1:5" ht="15" x14ac:dyDescent="0.2">
      <c r="A20" s="7">
        <v>113205</v>
      </c>
      <c r="B20" s="3" t="s">
        <v>21</v>
      </c>
      <c r="C20" s="25">
        <v>0</v>
      </c>
      <c r="D20" s="25">
        <v>0</v>
      </c>
      <c r="E20" s="18">
        <f t="shared" ref="E20:E22" si="7">SUM(C20:D20)</f>
        <v>0</v>
      </c>
    </row>
    <row r="21" spans="1:5" ht="15" x14ac:dyDescent="0.2">
      <c r="A21" s="7">
        <v>113210</v>
      </c>
      <c r="B21" s="3" t="s">
        <v>22</v>
      </c>
      <c r="C21" s="25">
        <v>0</v>
      </c>
      <c r="D21" s="25">
        <v>0</v>
      </c>
      <c r="E21" s="18">
        <f t="shared" si="7"/>
        <v>0</v>
      </c>
    </row>
    <row r="22" spans="1:5" ht="15" x14ac:dyDescent="0.2">
      <c r="A22" s="7">
        <v>113220</v>
      </c>
      <c r="B22" s="3" t="s">
        <v>23</v>
      </c>
      <c r="C22" s="25">
        <v>0</v>
      </c>
      <c r="D22" s="25">
        <v>0</v>
      </c>
      <c r="E22" s="18">
        <f t="shared" si="7"/>
        <v>0</v>
      </c>
    </row>
    <row r="23" spans="1:5" ht="15" x14ac:dyDescent="0.2">
      <c r="A23" s="6">
        <v>1133</v>
      </c>
      <c r="B23" s="2" t="s">
        <v>24</v>
      </c>
      <c r="C23" s="24">
        <f>SUM(C24:C31)</f>
        <v>0</v>
      </c>
      <c r="D23" s="24">
        <f t="shared" ref="D23:E23" si="8">SUM(D24:D31)</f>
        <v>0</v>
      </c>
      <c r="E23" s="17">
        <f t="shared" si="8"/>
        <v>0</v>
      </c>
    </row>
    <row r="24" spans="1:5" ht="15" x14ac:dyDescent="0.2">
      <c r="A24" s="7">
        <v>113301</v>
      </c>
      <c r="B24" s="3" t="s">
        <v>25</v>
      </c>
      <c r="C24" s="25">
        <v>0</v>
      </c>
      <c r="D24" s="25">
        <v>0</v>
      </c>
      <c r="E24" s="18">
        <f t="shared" ref="E24:E31" si="9">SUM(C24:D24)</f>
        <v>0</v>
      </c>
    </row>
    <row r="25" spans="1:5" ht="15" x14ac:dyDescent="0.2">
      <c r="A25" s="7">
        <v>113302</v>
      </c>
      <c r="B25" s="3" t="s">
        <v>26</v>
      </c>
      <c r="C25" s="25">
        <v>0</v>
      </c>
      <c r="D25" s="25">
        <v>0</v>
      </c>
      <c r="E25" s="18">
        <f t="shared" si="9"/>
        <v>0</v>
      </c>
    </row>
    <row r="26" spans="1:5" ht="15" x14ac:dyDescent="0.2">
      <c r="A26" s="7">
        <v>113303</v>
      </c>
      <c r="B26" s="3" t="s">
        <v>27</v>
      </c>
      <c r="C26" s="25">
        <v>0</v>
      </c>
      <c r="D26" s="25">
        <v>0</v>
      </c>
      <c r="E26" s="18">
        <f t="shared" si="9"/>
        <v>0</v>
      </c>
    </row>
    <row r="27" spans="1:5" ht="15" x14ac:dyDescent="0.2">
      <c r="A27" s="7">
        <v>113304</v>
      </c>
      <c r="B27" s="3" t="s">
        <v>28</v>
      </c>
      <c r="C27" s="25">
        <v>0</v>
      </c>
      <c r="D27" s="25">
        <v>0</v>
      </c>
      <c r="E27" s="18">
        <f t="shared" si="9"/>
        <v>0</v>
      </c>
    </row>
    <row r="28" spans="1:5" ht="15" x14ac:dyDescent="0.2">
      <c r="A28" s="7">
        <v>113305</v>
      </c>
      <c r="B28" s="3" t="s">
        <v>29</v>
      </c>
      <c r="C28" s="25">
        <v>0</v>
      </c>
      <c r="D28" s="25">
        <v>0</v>
      </c>
      <c r="E28" s="18">
        <f t="shared" si="9"/>
        <v>0</v>
      </c>
    </row>
    <row r="29" spans="1:5" ht="15" x14ac:dyDescent="0.2">
      <c r="A29" s="7">
        <v>113306</v>
      </c>
      <c r="B29" s="3" t="s">
        <v>30</v>
      </c>
      <c r="C29" s="25">
        <v>0</v>
      </c>
      <c r="D29" s="25">
        <v>0</v>
      </c>
      <c r="E29" s="18">
        <f t="shared" si="9"/>
        <v>0</v>
      </c>
    </row>
    <row r="30" spans="1:5" ht="15" x14ac:dyDescent="0.2">
      <c r="A30" s="7">
        <v>113307</v>
      </c>
      <c r="B30" s="3" t="s">
        <v>31</v>
      </c>
      <c r="C30" s="25">
        <v>0</v>
      </c>
      <c r="D30" s="25">
        <v>0</v>
      </c>
      <c r="E30" s="18">
        <f t="shared" si="9"/>
        <v>0</v>
      </c>
    </row>
    <row r="31" spans="1:5" ht="15" x14ac:dyDescent="0.2">
      <c r="A31" s="7">
        <v>113390</v>
      </c>
      <c r="B31" s="3" t="s">
        <v>32</v>
      </c>
      <c r="C31" s="25">
        <v>0</v>
      </c>
      <c r="D31" s="25">
        <v>0</v>
      </c>
      <c r="E31" s="18">
        <f t="shared" si="9"/>
        <v>0</v>
      </c>
    </row>
    <row r="32" spans="1:5" ht="15" x14ac:dyDescent="0.2">
      <c r="A32" s="6">
        <v>12</v>
      </c>
      <c r="B32" s="2" t="s">
        <v>33</v>
      </c>
      <c r="C32" s="24">
        <f>SUM(C33,C40,C45,C65,C74,C88,C107,C113,C119,C125,C136,C147,C158,C169,C173,C176)</f>
        <v>0</v>
      </c>
      <c r="D32" s="24">
        <f>SUM(D33,D40,D45,D65,D74,D88,D107,D113,D119,D125,D136,D147,D158,D169,D173,D176)</f>
        <v>0</v>
      </c>
      <c r="E32" s="17">
        <f>SUM(E33,E40,E45,E65,E74,E88,E107,E113,E119,E125,E136,E147,E158,E169,E173,E176)</f>
        <v>0</v>
      </c>
    </row>
    <row r="33" spans="1:5" ht="15" x14ac:dyDescent="0.2">
      <c r="A33" s="6">
        <v>1216</v>
      </c>
      <c r="B33" s="2" t="s">
        <v>34</v>
      </c>
      <c r="C33" s="24">
        <f>SUM(C34:C39)</f>
        <v>0</v>
      </c>
      <c r="D33" s="24">
        <f t="shared" ref="D33:E33" si="10">SUM(D34:D39)</f>
        <v>0</v>
      </c>
      <c r="E33" s="17">
        <f t="shared" si="10"/>
        <v>0</v>
      </c>
    </row>
    <row r="34" spans="1:5" ht="15" x14ac:dyDescent="0.2">
      <c r="A34" s="7">
        <v>121601</v>
      </c>
      <c r="B34" s="3" t="s">
        <v>35</v>
      </c>
      <c r="C34" s="25">
        <v>0</v>
      </c>
      <c r="D34" s="25">
        <v>0</v>
      </c>
      <c r="E34" s="18">
        <f t="shared" ref="E34:E39" si="11">SUM(C34:D34)</f>
        <v>0</v>
      </c>
    </row>
    <row r="35" spans="1:5" ht="15" x14ac:dyDescent="0.2">
      <c r="A35" s="7">
        <v>121602</v>
      </c>
      <c r="B35" s="3" t="s">
        <v>36</v>
      </c>
      <c r="C35" s="25">
        <v>0</v>
      </c>
      <c r="D35" s="25">
        <v>0</v>
      </c>
      <c r="E35" s="18">
        <f t="shared" si="11"/>
        <v>0</v>
      </c>
    </row>
    <row r="36" spans="1:5" ht="15" x14ac:dyDescent="0.2">
      <c r="A36" s="7">
        <v>121603</v>
      </c>
      <c r="B36" s="3" t="s">
        <v>37</v>
      </c>
      <c r="C36" s="25">
        <v>0</v>
      </c>
      <c r="D36" s="25">
        <v>0</v>
      </c>
      <c r="E36" s="18">
        <f t="shared" si="11"/>
        <v>0</v>
      </c>
    </row>
    <row r="37" spans="1:5" ht="15" x14ac:dyDescent="0.2">
      <c r="A37" s="7">
        <v>121604</v>
      </c>
      <c r="B37" s="3" t="s">
        <v>38</v>
      </c>
      <c r="C37" s="25">
        <v>0</v>
      </c>
      <c r="D37" s="25">
        <v>0</v>
      </c>
      <c r="E37" s="18">
        <f t="shared" si="11"/>
        <v>0</v>
      </c>
    </row>
    <row r="38" spans="1:5" ht="15" x14ac:dyDescent="0.2">
      <c r="A38" s="7">
        <v>121605</v>
      </c>
      <c r="B38" s="3" t="s">
        <v>39</v>
      </c>
      <c r="C38" s="25">
        <v>0</v>
      </c>
      <c r="D38" s="25">
        <v>0</v>
      </c>
      <c r="E38" s="18">
        <f t="shared" si="11"/>
        <v>0</v>
      </c>
    </row>
    <row r="39" spans="1:5" ht="15" x14ac:dyDescent="0.2">
      <c r="A39" s="7">
        <v>121606</v>
      </c>
      <c r="B39" s="3" t="s">
        <v>40</v>
      </c>
      <c r="C39" s="25">
        <v>0</v>
      </c>
      <c r="D39" s="25">
        <v>0</v>
      </c>
      <c r="E39" s="18">
        <f t="shared" si="11"/>
        <v>0</v>
      </c>
    </row>
    <row r="40" spans="1:5" ht="15" x14ac:dyDescent="0.2">
      <c r="A40" s="6">
        <v>1220</v>
      </c>
      <c r="B40" s="2" t="s">
        <v>41</v>
      </c>
      <c r="C40" s="24">
        <f>SUM(C41:C44)</f>
        <v>0</v>
      </c>
      <c r="D40" s="24">
        <f t="shared" ref="D40:E40" si="12">SUM(D41:D44)</f>
        <v>0</v>
      </c>
      <c r="E40" s="17">
        <f t="shared" si="12"/>
        <v>0</v>
      </c>
    </row>
    <row r="41" spans="1:5" ht="15" x14ac:dyDescent="0.2">
      <c r="A41" s="7">
        <v>122015</v>
      </c>
      <c r="B41" s="3" t="s">
        <v>42</v>
      </c>
      <c r="C41" s="25">
        <v>0</v>
      </c>
      <c r="D41" s="25">
        <v>0</v>
      </c>
      <c r="E41" s="18">
        <f t="shared" ref="E41:E44" si="13">SUM(C41:D41)</f>
        <v>0</v>
      </c>
    </row>
    <row r="42" spans="1:5" ht="15" x14ac:dyDescent="0.2">
      <c r="A42" s="7">
        <v>122016</v>
      </c>
      <c r="B42" s="3" t="s">
        <v>43</v>
      </c>
      <c r="C42" s="25">
        <v>0</v>
      </c>
      <c r="D42" s="25">
        <v>0</v>
      </c>
      <c r="E42" s="18">
        <f t="shared" si="13"/>
        <v>0</v>
      </c>
    </row>
    <row r="43" spans="1:5" ht="15" x14ac:dyDescent="0.2">
      <c r="A43" s="7">
        <v>122017</v>
      </c>
      <c r="B43" s="3" t="s">
        <v>44</v>
      </c>
      <c r="C43" s="25">
        <v>0</v>
      </c>
      <c r="D43" s="25">
        <v>0</v>
      </c>
      <c r="E43" s="18">
        <f t="shared" si="13"/>
        <v>0</v>
      </c>
    </row>
    <row r="44" spans="1:5" ht="15" x14ac:dyDescent="0.2">
      <c r="A44" s="7">
        <v>122018</v>
      </c>
      <c r="B44" s="3" t="s">
        <v>45</v>
      </c>
      <c r="C44" s="25">
        <v>0</v>
      </c>
      <c r="D44" s="25">
        <v>0</v>
      </c>
      <c r="E44" s="18">
        <f t="shared" si="13"/>
        <v>0</v>
      </c>
    </row>
    <row r="45" spans="1:5" ht="15" x14ac:dyDescent="0.2">
      <c r="A45" s="6">
        <v>1221</v>
      </c>
      <c r="B45" s="2" t="s">
        <v>46</v>
      </c>
      <c r="C45" s="24">
        <f>SUM(C46:C64)</f>
        <v>0</v>
      </c>
      <c r="D45" s="24">
        <f t="shared" ref="D45:E45" si="14">SUM(D46:D64)</f>
        <v>0</v>
      </c>
      <c r="E45" s="17">
        <f t="shared" si="14"/>
        <v>0</v>
      </c>
    </row>
    <row r="46" spans="1:5" ht="15" x14ac:dyDescent="0.2">
      <c r="A46" s="7">
        <v>122101</v>
      </c>
      <c r="B46" s="3" t="s">
        <v>47</v>
      </c>
      <c r="C46" s="25">
        <v>0</v>
      </c>
      <c r="D46" s="25">
        <v>0</v>
      </c>
      <c r="E46" s="18">
        <f t="shared" ref="E46:E64" si="15">SUM(C46:D46)</f>
        <v>0</v>
      </c>
    </row>
    <row r="47" spans="1:5" ht="15" x14ac:dyDescent="0.2">
      <c r="A47" s="7">
        <v>122102</v>
      </c>
      <c r="B47" s="3" t="s">
        <v>48</v>
      </c>
      <c r="C47" s="25">
        <v>0</v>
      </c>
      <c r="D47" s="25">
        <v>0</v>
      </c>
      <c r="E47" s="18">
        <f t="shared" si="15"/>
        <v>0</v>
      </c>
    </row>
    <row r="48" spans="1:5" ht="15" x14ac:dyDescent="0.2">
      <c r="A48" s="7">
        <v>122103</v>
      </c>
      <c r="B48" s="3" t="s">
        <v>49</v>
      </c>
      <c r="C48" s="25">
        <v>0</v>
      </c>
      <c r="D48" s="25">
        <v>0</v>
      </c>
      <c r="E48" s="18">
        <f t="shared" si="15"/>
        <v>0</v>
      </c>
    </row>
    <row r="49" spans="1:5" ht="15" x14ac:dyDescent="0.2">
      <c r="A49" s="7">
        <v>122104</v>
      </c>
      <c r="B49" s="3" t="s">
        <v>50</v>
      </c>
      <c r="C49" s="25">
        <v>0</v>
      </c>
      <c r="D49" s="25">
        <v>0</v>
      </c>
      <c r="E49" s="18">
        <f t="shared" si="15"/>
        <v>0</v>
      </c>
    </row>
    <row r="50" spans="1:5" ht="15" x14ac:dyDescent="0.2">
      <c r="A50" s="7">
        <v>122105</v>
      </c>
      <c r="B50" s="3" t="s">
        <v>51</v>
      </c>
      <c r="C50" s="25">
        <v>0</v>
      </c>
      <c r="D50" s="25">
        <v>0</v>
      </c>
      <c r="E50" s="18">
        <f t="shared" si="15"/>
        <v>0</v>
      </c>
    </row>
    <row r="51" spans="1:5" ht="15" x14ac:dyDescent="0.2">
      <c r="A51" s="7">
        <v>122106</v>
      </c>
      <c r="B51" s="3" t="s">
        <v>52</v>
      </c>
      <c r="C51" s="25">
        <v>0</v>
      </c>
      <c r="D51" s="25">
        <v>0</v>
      </c>
      <c r="E51" s="18">
        <f t="shared" si="15"/>
        <v>0</v>
      </c>
    </row>
    <row r="52" spans="1:5" ht="15" x14ac:dyDescent="0.2">
      <c r="A52" s="7">
        <v>122107</v>
      </c>
      <c r="B52" s="3" t="s">
        <v>53</v>
      </c>
      <c r="C52" s="25">
        <v>0</v>
      </c>
      <c r="D52" s="25">
        <v>0</v>
      </c>
      <c r="E52" s="18">
        <f t="shared" si="15"/>
        <v>0</v>
      </c>
    </row>
    <row r="53" spans="1:5" ht="15" x14ac:dyDescent="0.2">
      <c r="A53" s="7">
        <v>122108</v>
      </c>
      <c r="B53" s="3" t="s">
        <v>54</v>
      </c>
      <c r="C53" s="25">
        <v>0</v>
      </c>
      <c r="D53" s="25">
        <v>0</v>
      </c>
      <c r="E53" s="18">
        <f t="shared" si="15"/>
        <v>0</v>
      </c>
    </row>
    <row r="54" spans="1:5" ht="15" x14ac:dyDescent="0.2">
      <c r="A54" s="7">
        <v>122109</v>
      </c>
      <c r="B54" s="3" t="s">
        <v>55</v>
      </c>
      <c r="C54" s="25">
        <v>0</v>
      </c>
      <c r="D54" s="25">
        <v>0</v>
      </c>
      <c r="E54" s="18">
        <f t="shared" si="15"/>
        <v>0</v>
      </c>
    </row>
    <row r="55" spans="1:5" ht="15" x14ac:dyDescent="0.2">
      <c r="A55" s="7">
        <v>122110</v>
      </c>
      <c r="B55" s="3" t="s">
        <v>56</v>
      </c>
      <c r="C55" s="25">
        <v>0</v>
      </c>
      <c r="D55" s="25">
        <v>0</v>
      </c>
      <c r="E55" s="18">
        <f t="shared" si="15"/>
        <v>0</v>
      </c>
    </row>
    <row r="56" spans="1:5" ht="15" x14ac:dyDescent="0.2">
      <c r="A56" s="7">
        <v>122111</v>
      </c>
      <c r="B56" s="3" t="s">
        <v>57</v>
      </c>
      <c r="C56" s="25">
        <v>0</v>
      </c>
      <c r="D56" s="25">
        <v>0</v>
      </c>
      <c r="E56" s="18">
        <f t="shared" si="15"/>
        <v>0</v>
      </c>
    </row>
    <row r="57" spans="1:5" ht="15" x14ac:dyDescent="0.2">
      <c r="A57" s="7">
        <v>122112</v>
      </c>
      <c r="B57" s="3" t="s">
        <v>58</v>
      </c>
      <c r="C57" s="25">
        <v>0</v>
      </c>
      <c r="D57" s="25">
        <v>0</v>
      </c>
      <c r="E57" s="18">
        <f t="shared" si="15"/>
        <v>0</v>
      </c>
    </row>
    <row r="58" spans="1:5" ht="15" x14ac:dyDescent="0.2">
      <c r="A58" s="7">
        <v>122113</v>
      </c>
      <c r="B58" s="3" t="s">
        <v>59</v>
      </c>
      <c r="C58" s="25">
        <v>0</v>
      </c>
      <c r="D58" s="25">
        <v>0</v>
      </c>
      <c r="E58" s="18">
        <f t="shared" si="15"/>
        <v>0</v>
      </c>
    </row>
    <row r="59" spans="1:5" ht="15" x14ac:dyDescent="0.2">
      <c r="A59" s="7">
        <v>122114</v>
      </c>
      <c r="B59" s="3" t="s">
        <v>60</v>
      </c>
      <c r="C59" s="25">
        <v>0</v>
      </c>
      <c r="D59" s="25">
        <v>0</v>
      </c>
      <c r="E59" s="18">
        <f t="shared" si="15"/>
        <v>0</v>
      </c>
    </row>
    <row r="60" spans="1:5" ht="15" x14ac:dyDescent="0.2">
      <c r="A60" s="7">
        <v>122115</v>
      </c>
      <c r="B60" s="3" t="s">
        <v>61</v>
      </c>
      <c r="C60" s="25">
        <v>0</v>
      </c>
      <c r="D60" s="25">
        <v>0</v>
      </c>
      <c r="E60" s="18">
        <f t="shared" si="15"/>
        <v>0</v>
      </c>
    </row>
    <row r="61" spans="1:5" ht="15" x14ac:dyDescent="0.2">
      <c r="A61" s="7">
        <v>122116</v>
      </c>
      <c r="B61" s="3" t="s">
        <v>62</v>
      </c>
      <c r="C61" s="25">
        <v>0</v>
      </c>
      <c r="D61" s="25">
        <v>0</v>
      </c>
      <c r="E61" s="18">
        <f t="shared" si="15"/>
        <v>0</v>
      </c>
    </row>
    <row r="62" spans="1:5" ht="15" x14ac:dyDescent="0.2">
      <c r="A62" s="7">
        <v>122117</v>
      </c>
      <c r="B62" s="3" t="s">
        <v>63</v>
      </c>
      <c r="C62" s="25">
        <v>0</v>
      </c>
      <c r="D62" s="25">
        <v>0</v>
      </c>
      <c r="E62" s="18">
        <f t="shared" si="15"/>
        <v>0</v>
      </c>
    </row>
    <row r="63" spans="1:5" ht="15" x14ac:dyDescent="0.2">
      <c r="A63" s="7">
        <v>122119</v>
      </c>
      <c r="B63" s="3" t="s">
        <v>64</v>
      </c>
      <c r="C63" s="25">
        <v>0</v>
      </c>
      <c r="D63" s="25">
        <v>0</v>
      </c>
      <c r="E63" s="18">
        <f t="shared" si="15"/>
        <v>0</v>
      </c>
    </row>
    <row r="64" spans="1:5" ht="15" x14ac:dyDescent="0.2">
      <c r="A64" s="7">
        <v>122190</v>
      </c>
      <c r="B64" s="3" t="s">
        <v>65</v>
      </c>
      <c r="C64" s="25">
        <v>0</v>
      </c>
      <c r="D64" s="25">
        <v>0</v>
      </c>
      <c r="E64" s="18">
        <f t="shared" si="15"/>
        <v>0</v>
      </c>
    </row>
    <row r="65" spans="1:5" ht="15" x14ac:dyDescent="0.2">
      <c r="A65" s="6">
        <v>1222</v>
      </c>
      <c r="B65" s="2" t="s">
        <v>66</v>
      </c>
      <c r="C65" s="24">
        <f>SUM(C66:C73)</f>
        <v>0</v>
      </c>
      <c r="D65" s="24">
        <f t="shared" ref="D65:E65" si="16">SUM(D66:D73)</f>
        <v>0</v>
      </c>
      <c r="E65" s="17">
        <f t="shared" si="16"/>
        <v>0</v>
      </c>
    </row>
    <row r="66" spans="1:5" ht="15" x14ac:dyDescent="0.2">
      <c r="A66" s="7">
        <v>122201</v>
      </c>
      <c r="B66" s="3" t="s">
        <v>67</v>
      </c>
      <c r="C66" s="25">
        <v>0</v>
      </c>
      <c r="D66" s="25">
        <v>0</v>
      </c>
      <c r="E66" s="18">
        <f t="shared" ref="E66:E73" si="17">SUM(C66:D66)</f>
        <v>0</v>
      </c>
    </row>
    <row r="67" spans="1:5" ht="15" x14ac:dyDescent="0.2">
      <c r="A67" s="7">
        <v>122202</v>
      </c>
      <c r="B67" s="3" t="s">
        <v>68</v>
      </c>
      <c r="C67" s="25">
        <v>0</v>
      </c>
      <c r="D67" s="25">
        <v>0</v>
      </c>
      <c r="E67" s="18">
        <f t="shared" si="17"/>
        <v>0</v>
      </c>
    </row>
    <row r="68" spans="1:5" ht="15" x14ac:dyDescent="0.2">
      <c r="A68" s="7">
        <v>122203</v>
      </c>
      <c r="B68" s="3" t="s">
        <v>69</v>
      </c>
      <c r="C68" s="25">
        <v>0</v>
      </c>
      <c r="D68" s="25">
        <v>0</v>
      </c>
      <c r="E68" s="18">
        <f t="shared" si="17"/>
        <v>0</v>
      </c>
    </row>
    <row r="69" spans="1:5" ht="15" x14ac:dyDescent="0.2">
      <c r="A69" s="7">
        <v>122204</v>
      </c>
      <c r="B69" s="3" t="s">
        <v>70</v>
      </c>
      <c r="C69" s="25">
        <v>0</v>
      </c>
      <c r="D69" s="25">
        <v>0</v>
      </c>
      <c r="E69" s="18">
        <f t="shared" si="17"/>
        <v>0</v>
      </c>
    </row>
    <row r="70" spans="1:5" ht="15" x14ac:dyDescent="0.2">
      <c r="A70" s="7">
        <v>122205</v>
      </c>
      <c r="B70" s="3" t="s">
        <v>71</v>
      </c>
      <c r="C70" s="25">
        <v>0</v>
      </c>
      <c r="D70" s="25">
        <v>0</v>
      </c>
      <c r="E70" s="18">
        <f t="shared" si="17"/>
        <v>0</v>
      </c>
    </row>
    <row r="71" spans="1:5" ht="15" x14ac:dyDescent="0.2">
      <c r="A71" s="7">
        <v>122206</v>
      </c>
      <c r="B71" s="3" t="s">
        <v>72</v>
      </c>
      <c r="C71" s="25">
        <v>0</v>
      </c>
      <c r="D71" s="25">
        <v>0</v>
      </c>
      <c r="E71" s="18">
        <f t="shared" si="17"/>
        <v>0</v>
      </c>
    </row>
    <row r="72" spans="1:5" ht="15" x14ac:dyDescent="0.2">
      <c r="A72" s="7">
        <v>122218</v>
      </c>
      <c r="B72" s="3" t="s">
        <v>62</v>
      </c>
      <c r="C72" s="25">
        <v>0</v>
      </c>
      <c r="D72" s="25">
        <v>0</v>
      </c>
      <c r="E72" s="18">
        <f t="shared" si="17"/>
        <v>0</v>
      </c>
    </row>
    <row r="73" spans="1:5" ht="15" x14ac:dyDescent="0.2">
      <c r="A73" s="7">
        <v>122290</v>
      </c>
      <c r="B73" s="3" t="s">
        <v>73</v>
      </c>
      <c r="C73" s="25">
        <v>0</v>
      </c>
      <c r="D73" s="25">
        <v>0</v>
      </c>
      <c r="E73" s="18">
        <f t="shared" si="17"/>
        <v>0</v>
      </c>
    </row>
    <row r="74" spans="1:5" ht="15" x14ac:dyDescent="0.2">
      <c r="A74" s="6">
        <v>1223</v>
      </c>
      <c r="B74" s="2" t="s">
        <v>74</v>
      </c>
      <c r="C74" s="24">
        <f>SUM(C75:C87)</f>
        <v>0</v>
      </c>
      <c r="D74" s="24">
        <f t="shared" ref="D74:E74" si="18">SUM(D75:D87)</f>
        <v>0</v>
      </c>
      <c r="E74" s="17">
        <f t="shared" si="18"/>
        <v>0</v>
      </c>
    </row>
    <row r="75" spans="1:5" ht="15" x14ac:dyDescent="0.2">
      <c r="A75" s="7">
        <v>122301</v>
      </c>
      <c r="B75" s="3" t="s">
        <v>47</v>
      </c>
      <c r="C75" s="25">
        <v>0</v>
      </c>
      <c r="D75" s="25">
        <v>0</v>
      </c>
      <c r="E75" s="18">
        <f t="shared" ref="E75:E87" si="19">SUM(C75:D75)</f>
        <v>0</v>
      </c>
    </row>
    <row r="76" spans="1:5" ht="15" x14ac:dyDescent="0.2">
      <c r="A76" s="7">
        <v>122302</v>
      </c>
      <c r="B76" s="3" t="s">
        <v>48</v>
      </c>
      <c r="C76" s="25">
        <v>0</v>
      </c>
      <c r="D76" s="25">
        <v>0</v>
      </c>
      <c r="E76" s="18">
        <f t="shared" si="19"/>
        <v>0</v>
      </c>
    </row>
    <row r="77" spans="1:5" ht="15" x14ac:dyDescent="0.2">
      <c r="A77" s="7">
        <v>122303</v>
      </c>
      <c r="B77" s="3" t="s">
        <v>49</v>
      </c>
      <c r="C77" s="25">
        <v>0</v>
      </c>
      <c r="D77" s="25">
        <v>0</v>
      </c>
      <c r="E77" s="18">
        <f t="shared" si="19"/>
        <v>0</v>
      </c>
    </row>
    <row r="78" spans="1:5" ht="15" x14ac:dyDescent="0.2">
      <c r="A78" s="7">
        <v>122304</v>
      </c>
      <c r="B78" s="3" t="s">
        <v>50</v>
      </c>
      <c r="C78" s="25">
        <v>0</v>
      </c>
      <c r="D78" s="25">
        <v>0</v>
      </c>
      <c r="E78" s="18">
        <f t="shared" si="19"/>
        <v>0</v>
      </c>
    </row>
    <row r="79" spans="1:5" ht="15" x14ac:dyDescent="0.2">
      <c r="A79" s="7">
        <v>122305</v>
      </c>
      <c r="B79" s="3" t="s">
        <v>51</v>
      </c>
      <c r="C79" s="25">
        <v>0</v>
      </c>
      <c r="D79" s="25">
        <v>0</v>
      </c>
      <c r="E79" s="18">
        <f t="shared" si="19"/>
        <v>0</v>
      </c>
    </row>
    <row r="80" spans="1:5" ht="15" x14ac:dyDescent="0.2">
      <c r="A80" s="7">
        <v>122306</v>
      </c>
      <c r="B80" s="3" t="s">
        <v>52</v>
      </c>
      <c r="C80" s="25">
        <v>0</v>
      </c>
      <c r="D80" s="25">
        <v>0</v>
      </c>
      <c r="E80" s="18">
        <f t="shared" si="19"/>
        <v>0</v>
      </c>
    </row>
    <row r="81" spans="1:5" ht="15" x14ac:dyDescent="0.2">
      <c r="A81" s="7">
        <v>122307</v>
      </c>
      <c r="B81" s="3" t="s">
        <v>75</v>
      </c>
      <c r="C81" s="25">
        <v>0</v>
      </c>
      <c r="D81" s="25">
        <v>0</v>
      </c>
      <c r="E81" s="18">
        <f t="shared" si="19"/>
        <v>0</v>
      </c>
    </row>
    <row r="82" spans="1:5" ht="15" x14ac:dyDescent="0.2">
      <c r="A82" s="7">
        <v>122308</v>
      </c>
      <c r="B82" s="3" t="s">
        <v>54</v>
      </c>
      <c r="C82" s="25">
        <v>0</v>
      </c>
      <c r="D82" s="25">
        <v>0</v>
      </c>
      <c r="E82" s="18">
        <f t="shared" si="19"/>
        <v>0</v>
      </c>
    </row>
    <row r="83" spans="1:5" ht="15" x14ac:dyDescent="0.2">
      <c r="A83" s="7">
        <v>122310</v>
      </c>
      <c r="B83" s="3" t="s">
        <v>58</v>
      </c>
      <c r="C83" s="25">
        <v>0</v>
      </c>
      <c r="D83" s="25">
        <v>0</v>
      </c>
      <c r="E83" s="18">
        <f t="shared" si="19"/>
        <v>0</v>
      </c>
    </row>
    <row r="84" spans="1:5" ht="15" x14ac:dyDescent="0.2">
      <c r="A84" s="7">
        <v>122311</v>
      </c>
      <c r="B84" s="3" t="s">
        <v>64</v>
      </c>
      <c r="C84" s="25">
        <v>0</v>
      </c>
      <c r="D84" s="25">
        <v>0</v>
      </c>
      <c r="E84" s="18">
        <f t="shared" si="19"/>
        <v>0</v>
      </c>
    </row>
    <row r="85" spans="1:5" ht="15" x14ac:dyDescent="0.2">
      <c r="A85" s="7">
        <v>122312</v>
      </c>
      <c r="B85" s="3" t="s">
        <v>57</v>
      </c>
      <c r="C85" s="25">
        <v>0</v>
      </c>
      <c r="D85" s="25">
        <v>0</v>
      </c>
      <c r="E85" s="18">
        <f t="shared" si="19"/>
        <v>0</v>
      </c>
    </row>
    <row r="86" spans="1:5" ht="15" x14ac:dyDescent="0.2">
      <c r="A86" s="7">
        <v>122313</v>
      </c>
      <c r="B86" s="3" t="s">
        <v>56</v>
      </c>
      <c r="C86" s="25">
        <v>0</v>
      </c>
      <c r="D86" s="25">
        <v>0</v>
      </c>
      <c r="E86" s="18">
        <f t="shared" si="19"/>
        <v>0</v>
      </c>
    </row>
    <row r="87" spans="1:5" ht="15" x14ac:dyDescent="0.2">
      <c r="A87" s="7">
        <v>122390</v>
      </c>
      <c r="B87" s="3" t="s">
        <v>76</v>
      </c>
      <c r="C87" s="25">
        <v>0</v>
      </c>
      <c r="D87" s="25">
        <v>0</v>
      </c>
      <c r="E87" s="18">
        <f t="shared" si="19"/>
        <v>0</v>
      </c>
    </row>
    <row r="88" spans="1:5" ht="15" x14ac:dyDescent="0.2">
      <c r="A88" s="6">
        <v>1224</v>
      </c>
      <c r="B88" s="2" t="s">
        <v>77</v>
      </c>
      <c r="C88" s="24">
        <f>SUM(C89:C106)</f>
        <v>0</v>
      </c>
      <c r="D88" s="24">
        <f t="shared" ref="D88:E88" si="20">SUM(D89:D106)</f>
        <v>0</v>
      </c>
      <c r="E88" s="17">
        <f t="shared" si="20"/>
        <v>0</v>
      </c>
    </row>
    <row r="89" spans="1:5" ht="15" x14ac:dyDescent="0.2">
      <c r="A89" s="7">
        <v>122403</v>
      </c>
      <c r="B89" s="3" t="s">
        <v>49</v>
      </c>
      <c r="C89" s="25">
        <v>0</v>
      </c>
      <c r="D89" s="25">
        <v>0</v>
      </c>
      <c r="E89" s="18">
        <f t="shared" ref="E89:E106" si="21">SUM(C89:D89)</f>
        <v>0</v>
      </c>
    </row>
    <row r="90" spans="1:5" ht="15" x14ac:dyDescent="0.2">
      <c r="A90" s="7">
        <v>122404</v>
      </c>
      <c r="B90" s="3" t="s">
        <v>50</v>
      </c>
      <c r="C90" s="25">
        <v>0</v>
      </c>
      <c r="D90" s="25">
        <v>0</v>
      </c>
      <c r="E90" s="18">
        <f t="shared" si="21"/>
        <v>0</v>
      </c>
    </row>
    <row r="91" spans="1:5" ht="15" x14ac:dyDescent="0.2">
      <c r="A91" s="7">
        <v>122405</v>
      </c>
      <c r="B91" s="3" t="s">
        <v>51</v>
      </c>
      <c r="C91" s="25">
        <v>0</v>
      </c>
      <c r="D91" s="25">
        <v>0</v>
      </c>
      <c r="E91" s="18">
        <f t="shared" si="21"/>
        <v>0</v>
      </c>
    </row>
    <row r="92" spans="1:5" ht="15" x14ac:dyDescent="0.2">
      <c r="A92" s="7">
        <v>122406</v>
      </c>
      <c r="B92" s="3" t="s">
        <v>52</v>
      </c>
      <c r="C92" s="25">
        <v>0</v>
      </c>
      <c r="D92" s="25">
        <v>0</v>
      </c>
      <c r="E92" s="18">
        <f t="shared" si="21"/>
        <v>0</v>
      </c>
    </row>
    <row r="93" spans="1:5" ht="15" x14ac:dyDescent="0.2">
      <c r="A93" s="7">
        <v>122407</v>
      </c>
      <c r="B93" s="3" t="s">
        <v>75</v>
      </c>
      <c r="C93" s="25">
        <v>0</v>
      </c>
      <c r="D93" s="25">
        <v>0</v>
      </c>
      <c r="E93" s="18">
        <f t="shared" si="21"/>
        <v>0</v>
      </c>
    </row>
    <row r="94" spans="1:5" ht="15" x14ac:dyDescent="0.2">
      <c r="A94" s="7">
        <v>122408</v>
      </c>
      <c r="B94" s="3" t="s">
        <v>54</v>
      </c>
      <c r="C94" s="25">
        <v>0</v>
      </c>
      <c r="D94" s="25">
        <v>0</v>
      </c>
      <c r="E94" s="18">
        <f t="shared" si="21"/>
        <v>0</v>
      </c>
    </row>
    <row r="95" spans="1:5" ht="15" x14ac:dyDescent="0.2">
      <c r="A95" s="7">
        <v>122409</v>
      </c>
      <c r="B95" s="3" t="s">
        <v>55</v>
      </c>
      <c r="C95" s="25">
        <v>0</v>
      </c>
      <c r="D95" s="25">
        <v>0</v>
      </c>
      <c r="E95" s="18">
        <f t="shared" si="21"/>
        <v>0</v>
      </c>
    </row>
    <row r="96" spans="1:5" ht="15" x14ac:dyDescent="0.2">
      <c r="A96" s="7">
        <v>122410</v>
      </c>
      <c r="B96" s="3" t="s">
        <v>56</v>
      </c>
      <c r="C96" s="25">
        <v>0</v>
      </c>
      <c r="D96" s="25">
        <v>0</v>
      </c>
      <c r="E96" s="18">
        <f t="shared" si="21"/>
        <v>0</v>
      </c>
    </row>
    <row r="97" spans="1:5" ht="15" x14ac:dyDescent="0.2">
      <c r="A97" s="7">
        <v>122411</v>
      </c>
      <c r="B97" s="3" t="s">
        <v>57</v>
      </c>
      <c r="C97" s="25">
        <v>0</v>
      </c>
      <c r="D97" s="25">
        <v>0</v>
      </c>
      <c r="E97" s="18">
        <f t="shared" si="21"/>
        <v>0</v>
      </c>
    </row>
    <row r="98" spans="1:5" ht="15" x14ac:dyDescent="0.2">
      <c r="A98" s="7">
        <v>122412</v>
      </c>
      <c r="B98" s="3" t="s">
        <v>58</v>
      </c>
      <c r="C98" s="25">
        <v>0</v>
      </c>
      <c r="D98" s="25">
        <v>0</v>
      </c>
      <c r="E98" s="18">
        <f t="shared" si="21"/>
        <v>0</v>
      </c>
    </row>
    <row r="99" spans="1:5" ht="15" x14ac:dyDescent="0.2">
      <c r="A99" s="7">
        <v>122413</v>
      </c>
      <c r="B99" s="3" t="s">
        <v>59</v>
      </c>
      <c r="C99" s="25">
        <v>0</v>
      </c>
      <c r="D99" s="25">
        <v>0</v>
      </c>
      <c r="E99" s="18">
        <f t="shared" si="21"/>
        <v>0</v>
      </c>
    </row>
    <row r="100" spans="1:5" ht="15" x14ac:dyDescent="0.2">
      <c r="A100" s="7">
        <v>122414</v>
      </c>
      <c r="B100" s="3" t="s">
        <v>60</v>
      </c>
      <c r="C100" s="25">
        <v>0</v>
      </c>
      <c r="D100" s="25">
        <v>0</v>
      </c>
      <c r="E100" s="18">
        <f t="shared" si="21"/>
        <v>0</v>
      </c>
    </row>
    <row r="101" spans="1:5" ht="15" x14ac:dyDescent="0.2">
      <c r="A101" s="7">
        <v>122415</v>
      </c>
      <c r="B101" s="3" t="s">
        <v>61</v>
      </c>
      <c r="C101" s="25">
        <v>0</v>
      </c>
      <c r="D101" s="25">
        <v>0</v>
      </c>
      <c r="E101" s="18">
        <f t="shared" si="21"/>
        <v>0</v>
      </c>
    </row>
    <row r="102" spans="1:5" ht="15" x14ac:dyDescent="0.2">
      <c r="A102" s="7">
        <v>122416</v>
      </c>
      <c r="B102" s="3" t="s">
        <v>62</v>
      </c>
      <c r="C102" s="25">
        <v>0</v>
      </c>
      <c r="D102" s="25">
        <v>0</v>
      </c>
      <c r="E102" s="18">
        <f t="shared" si="21"/>
        <v>0</v>
      </c>
    </row>
    <row r="103" spans="1:5" ht="15" x14ac:dyDescent="0.2">
      <c r="A103" s="7">
        <v>122417</v>
      </c>
      <c r="B103" s="3" t="s">
        <v>63</v>
      </c>
      <c r="C103" s="25">
        <v>0</v>
      </c>
      <c r="D103" s="25">
        <v>0</v>
      </c>
      <c r="E103" s="18">
        <f t="shared" si="21"/>
        <v>0</v>
      </c>
    </row>
    <row r="104" spans="1:5" ht="15" x14ac:dyDescent="0.2">
      <c r="A104" s="7">
        <v>122418</v>
      </c>
      <c r="B104" s="3" t="s">
        <v>64</v>
      </c>
      <c r="C104" s="25">
        <v>0</v>
      </c>
      <c r="D104" s="25">
        <v>0</v>
      </c>
      <c r="E104" s="18">
        <f t="shared" si="21"/>
        <v>0</v>
      </c>
    </row>
    <row r="105" spans="1:5" ht="15" x14ac:dyDescent="0.2">
      <c r="A105" s="7">
        <v>122419</v>
      </c>
      <c r="B105" s="3" t="s">
        <v>78</v>
      </c>
      <c r="C105" s="25">
        <v>0</v>
      </c>
      <c r="D105" s="25">
        <v>0</v>
      </c>
      <c r="E105" s="18">
        <f t="shared" si="21"/>
        <v>0</v>
      </c>
    </row>
    <row r="106" spans="1:5" ht="15" x14ac:dyDescent="0.2">
      <c r="A106" s="7">
        <v>122490</v>
      </c>
      <c r="B106" s="3" t="s">
        <v>79</v>
      </c>
      <c r="C106" s="25">
        <v>0</v>
      </c>
      <c r="D106" s="25">
        <v>0</v>
      </c>
      <c r="E106" s="18">
        <f t="shared" si="21"/>
        <v>0</v>
      </c>
    </row>
    <row r="107" spans="1:5" ht="15" x14ac:dyDescent="0.2">
      <c r="A107" s="6">
        <v>1227</v>
      </c>
      <c r="B107" s="2" t="s">
        <v>80</v>
      </c>
      <c r="C107" s="24">
        <f>SUM(C108:C112)</f>
        <v>0</v>
      </c>
      <c r="D107" s="24">
        <f t="shared" ref="D107:E107" si="22">SUM(D108:D112)</f>
        <v>0</v>
      </c>
      <c r="E107" s="17">
        <f t="shared" si="22"/>
        <v>0</v>
      </c>
    </row>
    <row r="108" spans="1:5" ht="15" x14ac:dyDescent="0.2">
      <c r="A108" s="7">
        <v>122701</v>
      </c>
      <c r="B108" s="3" t="s">
        <v>38</v>
      </c>
      <c r="C108" s="25">
        <v>0</v>
      </c>
      <c r="D108" s="25">
        <v>0</v>
      </c>
      <c r="E108" s="18">
        <f t="shared" ref="E108:E112" si="23">SUM(C108:D108)</f>
        <v>0</v>
      </c>
    </row>
    <row r="109" spans="1:5" ht="15" x14ac:dyDescent="0.2">
      <c r="A109" s="7">
        <v>122702</v>
      </c>
      <c r="B109" s="3" t="s">
        <v>39</v>
      </c>
      <c r="C109" s="25">
        <v>0</v>
      </c>
      <c r="D109" s="25">
        <v>0</v>
      </c>
      <c r="E109" s="18">
        <f t="shared" si="23"/>
        <v>0</v>
      </c>
    </row>
    <row r="110" spans="1:5" ht="15" x14ac:dyDescent="0.2">
      <c r="A110" s="7">
        <v>122703</v>
      </c>
      <c r="B110" s="3" t="s">
        <v>35</v>
      </c>
      <c r="C110" s="25">
        <v>0</v>
      </c>
      <c r="D110" s="25">
        <v>0</v>
      </c>
      <c r="E110" s="18">
        <f t="shared" si="23"/>
        <v>0</v>
      </c>
    </row>
    <row r="111" spans="1:5" ht="15" x14ac:dyDescent="0.2">
      <c r="A111" s="7">
        <v>122704</v>
      </c>
      <c r="B111" s="3" t="s">
        <v>36</v>
      </c>
      <c r="C111" s="25">
        <v>0</v>
      </c>
      <c r="D111" s="25">
        <v>0</v>
      </c>
      <c r="E111" s="18">
        <f t="shared" si="23"/>
        <v>0</v>
      </c>
    </row>
    <row r="112" spans="1:5" ht="15" x14ac:dyDescent="0.2">
      <c r="A112" s="7">
        <v>122705</v>
      </c>
      <c r="B112" s="3" t="s">
        <v>37</v>
      </c>
      <c r="C112" s="25">
        <v>0</v>
      </c>
      <c r="D112" s="25">
        <v>0</v>
      </c>
      <c r="E112" s="18">
        <f t="shared" si="23"/>
        <v>0</v>
      </c>
    </row>
    <row r="113" spans="1:5" ht="15" x14ac:dyDescent="0.2">
      <c r="A113" s="6">
        <v>1230</v>
      </c>
      <c r="B113" s="2" t="s">
        <v>81</v>
      </c>
      <c r="C113" s="24">
        <f>SUM(C114:C118)</f>
        <v>0</v>
      </c>
      <c r="D113" s="24">
        <f t="shared" ref="D113:E113" si="24">SUM(D114:D118)</f>
        <v>0</v>
      </c>
      <c r="E113" s="17">
        <f t="shared" si="24"/>
        <v>0</v>
      </c>
    </row>
    <row r="114" spans="1:5" ht="15" x14ac:dyDescent="0.2">
      <c r="A114" s="7">
        <v>123001</v>
      </c>
      <c r="B114" s="3" t="s">
        <v>38</v>
      </c>
      <c r="C114" s="25">
        <v>0</v>
      </c>
      <c r="D114" s="25">
        <v>0</v>
      </c>
      <c r="E114" s="18">
        <f t="shared" ref="E114:E118" si="25">SUM(C114:D114)</f>
        <v>0</v>
      </c>
    </row>
    <row r="115" spans="1:5" ht="15" x14ac:dyDescent="0.2">
      <c r="A115" s="7">
        <v>123002</v>
      </c>
      <c r="B115" s="3" t="s">
        <v>39</v>
      </c>
      <c r="C115" s="25">
        <v>0</v>
      </c>
      <c r="D115" s="25">
        <v>0</v>
      </c>
      <c r="E115" s="18">
        <f t="shared" si="25"/>
        <v>0</v>
      </c>
    </row>
    <row r="116" spans="1:5" ht="15" x14ac:dyDescent="0.2">
      <c r="A116" s="7">
        <v>123003</v>
      </c>
      <c r="B116" s="3" t="s">
        <v>35</v>
      </c>
      <c r="C116" s="25">
        <v>0</v>
      </c>
      <c r="D116" s="25">
        <v>0</v>
      </c>
      <c r="E116" s="18">
        <f t="shared" si="25"/>
        <v>0</v>
      </c>
    </row>
    <row r="117" spans="1:5" ht="15" x14ac:dyDescent="0.2">
      <c r="A117" s="7">
        <v>123004</v>
      </c>
      <c r="B117" s="3" t="s">
        <v>36</v>
      </c>
      <c r="C117" s="25">
        <v>0</v>
      </c>
      <c r="D117" s="25">
        <v>0</v>
      </c>
      <c r="E117" s="18">
        <f t="shared" si="25"/>
        <v>0</v>
      </c>
    </row>
    <row r="118" spans="1:5" ht="15" x14ac:dyDescent="0.2">
      <c r="A118" s="7">
        <v>123005</v>
      </c>
      <c r="B118" s="3" t="s">
        <v>37</v>
      </c>
      <c r="C118" s="25">
        <v>0</v>
      </c>
      <c r="D118" s="25">
        <v>0</v>
      </c>
      <c r="E118" s="18">
        <f t="shared" si="25"/>
        <v>0</v>
      </c>
    </row>
    <row r="119" spans="1:5" ht="15" x14ac:dyDescent="0.2">
      <c r="A119" s="6">
        <v>1233</v>
      </c>
      <c r="B119" s="2" t="s">
        <v>82</v>
      </c>
      <c r="C119" s="24">
        <f>SUM(C120:C124)</f>
        <v>0</v>
      </c>
      <c r="D119" s="24">
        <f t="shared" ref="D119:E119" si="26">SUM(D120:D124)</f>
        <v>0</v>
      </c>
      <c r="E119" s="17">
        <f t="shared" si="26"/>
        <v>0</v>
      </c>
    </row>
    <row r="120" spans="1:5" ht="15" x14ac:dyDescent="0.2">
      <c r="A120" s="7">
        <v>123301</v>
      </c>
      <c r="B120" s="3" t="s">
        <v>38</v>
      </c>
      <c r="C120" s="25">
        <v>0</v>
      </c>
      <c r="D120" s="25">
        <v>0</v>
      </c>
      <c r="E120" s="18">
        <f t="shared" ref="E120:E124" si="27">SUM(C120:D120)</f>
        <v>0</v>
      </c>
    </row>
    <row r="121" spans="1:5" ht="15" x14ac:dyDescent="0.2">
      <c r="A121" s="7">
        <v>123302</v>
      </c>
      <c r="B121" s="3" t="s">
        <v>39</v>
      </c>
      <c r="C121" s="25">
        <v>0</v>
      </c>
      <c r="D121" s="25">
        <v>0</v>
      </c>
      <c r="E121" s="18">
        <f t="shared" si="27"/>
        <v>0</v>
      </c>
    </row>
    <row r="122" spans="1:5" ht="15" x14ac:dyDescent="0.2">
      <c r="A122" s="7">
        <v>123303</v>
      </c>
      <c r="B122" s="3" t="s">
        <v>35</v>
      </c>
      <c r="C122" s="25">
        <v>0</v>
      </c>
      <c r="D122" s="25">
        <v>0</v>
      </c>
      <c r="E122" s="18">
        <f t="shared" si="27"/>
        <v>0</v>
      </c>
    </row>
    <row r="123" spans="1:5" ht="15" x14ac:dyDescent="0.2">
      <c r="A123" s="7">
        <v>123304</v>
      </c>
      <c r="B123" s="3" t="s">
        <v>36</v>
      </c>
      <c r="C123" s="25">
        <v>0</v>
      </c>
      <c r="D123" s="25">
        <v>0</v>
      </c>
      <c r="E123" s="18">
        <f t="shared" si="27"/>
        <v>0</v>
      </c>
    </row>
    <row r="124" spans="1:5" ht="15" x14ac:dyDescent="0.2">
      <c r="A124" s="7">
        <v>123305</v>
      </c>
      <c r="B124" s="3" t="s">
        <v>37</v>
      </c>
      <c r="C124" s="25">
        <v>0</v>
      </c>
      <c r="D124" s="25">
        <v>0</v>
      </c>
      <c r="E124" s="18">
        <f t="shared" si="27"/>
        <v>0</v>
      </c>
    </row>
    <row r="125" spans="1:5" ht="15" x14ac:dyDescent="0.2">
      <c r="A125" s="6">
        <v>1234</v>
      </c>
      <c r="B125" s="2" t="s">
        <v>83</v>
      </c>
      <c r="C125" s="24">
        <f>SUM(C126:C135)</f>
        <v>0</v>
      </c>
      <c r="D125" s="24">
        <f t="shared" ref="D125:E125" si="28">SUM(D126:D135)</f>
        <v>0</v>
      </c>
      <c r="E125" s="17">
        <f t="shared" si="28"/>
        <v>0</v>
      </c>
    </row>
    <row r="126" spans="1:5" ht="15" x14ac:dyDescent="0.2">
      <c r="A126" s="7">
        <v>123401</v>
      </c>
      <c r="B126" s="3" t="s">
        <v>84</v>
      </c>
      <c r="C126" s="25">
        <v>0</v>
      </c>
      <c r="D126" s="25">
        <v>0</v>
      </c>
      <c r="E126" s="18">
        <f t="shared" ref="E126:E135" si="29">SUM(C126:D126)</f>
        <v>0</v>
      </c>
    </row>
    <row r="127" spans="1:5" ht="15" x14ac:dyDescent="0.2">
      <c r="A127" s="7">
        <v>123402</v>
      </c>
      <c r="B127" s="3" t="s">
        <v>85</v>
      </c>
      <c r="C127" s="25">
        <v>0</v>
      </c>
      <c r="D127" s="25">
        <v>0</v>
      </c>
      <c r="E127" s="18">
        <f t="shared" si="29"/>
        <v>0</v>
      </c>
    </row>
    <row r="128" spans="1:5" ht="15" x14ac:dyDescent="0.2">
      <c r="A128" s="7">
        <v>123403</v>
      </c>
      <c r="B128" s="3" t="s">
        <v>86</v>
      </c>
      <c r="C128" s="25">
        <v>0</v>
      </c>
      <c r="D128" s="25">
        <v>0</v>
      </c>
      <c r="E128" s="18">
        <f t="shared" si="29"/>
        <v>0</v>
      </c>
    </row>
    <row r="129" spans="1:5" ht="15" x14ac:dyDescent="0.2">
      <c r="A129" s="7">
        <v>123404</v>
      </c>
      <c r="B129" s="3" t="s">
        <v>87</v>
      </c>
      <c r="C129" s="25">
        <v>0</v>
      </c>
      <c r="D129" s="25">
        <v>0</v>
      </c>
      <c r="E129" s="18">
        <f t="shared" si="29"/>
        <v>0</v>
      </c>
    </row>
    <row r="130" spans="1:5" ht="15" x14ac:dyDescent="0.2">
      <c r="A130" s="7">
        <v>123405</v>
      </c>
      <c r="B130" s="3" t="s">
        <v>88</v>
      </c>
      <c r="C130" s="25">
        <v>0</v>
      </c>
      <c r="D130" s="25">
        <v>0</v>
      </c>
      <c r="E130" s="18">
        <f t="shared" si="29"/>
        <v>0</v>
      </c>
    </row>
    <row r="131" spans="1:5" ht="15" x14ac:dyDescent="0.2">
      <c r="A131" s="7">
        <v>123406</v>
      </c>
      <c r="B131" s="3" t="s">
        <v>89</v>
      </c>
      <c r="C131" s="25">
        <v>0</v>
      </c>
      <c r="D131" s="25">
        <v>0</v>
      </c>
      <c r="E131" s="18">
        <f t="shared" si="29"/>
        <v>0</v>
      </c>
    </row>
    <row r="132" spans="1:5" ht="15" x14ac:dyDescent="0.2">
      <c r="A132" s="7">
        <v>123407</v>
      </c>
      <c r="B132" s="3" t="s">
        <v>90</v>
      </c>
      <c r="C132" s="25">
        <v>0</v>
      </c>
      <c r="D132" s="25">
        <v>0</v>
      </c>
      <c r="E132" s="18">
        <f t="shared" si="29"/>
        <v>0</v>
      </c>
    </row>
    <row r="133" spans="1:5" ht="15" x14ac:dyDescent="0.2">
      <c r="A133" s="7">
        <v>123408</v>
      </c>
      <c r="B133" s="3" t="s">
        <v>91</v>
      </c>
      <c r="C133" s="25">
        <v>0</v>
      </c>
      <c r="D133" s="25">
        <v>0</v>
      </c>
      <c r="E133" s="18">
        <f t="shared" si="29"/>
        <v>0</v>
      </c>
    </row>
    <row r="134" spans="1:5" ht="15" x14ac:dyDescent="0.2">
      <c r="A134" s="7">
        <v>123409</v>
      </c>
      <c r="B134" s="3" t="s">
        <v>92</v>
      </c>
      <c r="C134" s="25">
        <v>0</v>
      </c>
      <c r="D134" s="25">
        <v>0</v>
      </c>
      <c r="E134" s="18">
        <f t="shared" si="29"/>
        <v>0</v>
      </c>
    </row>
    <row r="135" spans="1:5" ht="15" x14ac:dyDescent="0.2">
      <c r="A135" s="7">
        <v>123410</v>
      </c>
      <c r="B135" s="3" t="s">
        <v>93</v>
      </c>
      <c r="C135" s="25">
        <v>0</v>
      </c>
      <c r="D135" s="25">
        <v>0</v>
      </c>
      <c r="E135" s="18">
        <f t="shared" si="29"/>
        <v>0</v>
      </c>
    </row>
    <row r="136" spans="1:5" ht="15" x14ac:dyDescent="0.2">
      <c r="A136" s="6">
        <v>1235</v>
      </c>
      <c r="B136" s="2" t="s">
        <v>94</v>
      </c>
      <c r="C136" s="24">
        <f>SUM(C137:C146)</f>
        <v>0</v>
      </c>
      <c r="D136" s="24">
        <f t="shared" ref="D136:E136" si="30">SUM(D137:D146)</f>
        <v>0</v>
      </c>
      <c r="E136" s="17">
        <f t="shared" si="30"/>
        <v>0</v>
      </c>
    </row>
    <row r="137" spans="1:5" ht="15" x14ac:dyDescent="0.2">
      <c r="A137" s="7">
        <v>123501</v>
      </c>
      <c r="B137" s="3" t="s">
        <v>84</v>
      </c>
      <c r="C137" s="25">
        <v>0</v>
      </c>
      <c r="D137" s="25">
        <v>0</v>
      </c>
      <c r="E137" s="18">
        <f t="shared" ref="E137:E146" si="31">SUM(C137:D137)</f>
        <v>0</v>
      </c>
    </row>
    <row r="138" spans="1:5" ht="15" x14ac:dyDescent="0.2">
      <c r="A138" s="7">
        <v>123502</v>
      </c>
      <c r="B138" s="3" t="s">
        <v>85</v>
      </c>
      <c r="C138" s="25">
        <v>0</v>
      </c>
      <c r="D138" s="25">
        <v>0</v>
      </c>
      <c r="E138" s="18">
        <f t="shared" si="31"/>
        <v>0</v>
      </c>
    </row>
    <row r="139" spans="1:5" ht="15" x14ac:dyDescent="0.2">
      <c r="A139" s="7">
        <v>123503</v>
      </c>
      <c r="B139" s="3" t="s">
        <v>86</v>
      </c>
      <c r="C139" s="25">
        <v>0</v>
      </c>
      <c r="D139" s="25">
        <v>0</v>
      </c>
      <c r="E139" s="18">
        <f t="shared" si="31"/>
        <v>0</v>
      </c>
    </row>
    <row r="140" spans="1:5" ht="15" x14ac:dyDescent="0.2">
      <c r="A140" s="7">
        <v>123504</v>
      </c>
      <c r="B140" s="3" t="s">
        <v>87</v>
      </c>
      <c r="C140" s="25">
        <v>0</v>
      </c>
      <c r="D140" s="25">
        <v>0</v>
      </c>
      <c r="E140" s="18">
        <f t="shared" si="31"/>
        <v>0</v>
      </c>
    </row>
    <row r="141" spans="1:5" ht="15" x14ac:dyDescent="0.2">
      <c r="A141" s="7">
        <v>123505</v>
      </c>
      <c r="B141" s="3" t="s">
        <v>88</v>
      </c>
      <c r="C141" s="25">
        <v>0</v>
      </c>
      <c r="D141" s="25">
        <v>0</v>
      </c>
      <c r="E141" s="18">
        <f t="shared" si="31"/>
        <v>0</v>
      </c>
    </row>
    <row r="142" spans="1:5" ht="15" x14ac:dyDescent="0.2">
      <c r="A142" s="7">
        <v>123506</v>
      </c>
      <c r="B142" s="3" t="s">
        <v>89</v>
      </c>
      <c r="C142" s="25">
        <v>0</v>
      </c>
      <c r="D142" s="25">
        <v>0</v>
      </c>
      <c r="E142" s="18">
        <f t="shared" si="31"/>
        <v>0</v>
      </c>
    </row>
    <row r="143" spans="1:5" ht="15" x14ac:dyDescent="0.2">
      <c r="A143" s="7">
        <v>123507</v>
      </c>
      <c r="B143" s="3" t="s">
        <v>90</v>
      </c>
      <c r="C143" s="25">
        <v>0</v>
      </c>
      <c r="D143" s="25">
        <v>0</v>
      </c>
      <c r="E143" s="18">
        <f t="shared" si="31"/>
        <v>0</v>
      </c>
    </row>
    <row r="144" spans="1:5" ht="15" x14ac:dyDescent="0.2">
      <c r="A144" s="7">
        <v>123508</v>
      </c>
      <c r="B144" s="3" t="s">
        <v>91</v>
      </c>
      <c r="C144" s="25">
        <v>0</v>
      </c>
      <c r="D144" s="25">
        <v>0</v>
      </c>
      <c r="E144" s="18">
        <f t="shared" si="31"/>
        <v>0</v>
      </c>
    </row>
    <row r="145" spans="1:5" ht="15" x14ac:dyDescent="0.2">
      <c r="A145" s="7">
        <v>123509</v>
      </c>
      <c r="B145" s="3" t="s">
        <v>92</v>
      </c>
      <c r="C145" s="25">
        <v>0</v>
      </c>
      <c r="D145" s="25">
        <v>0</v>
      </c>
      <c r="E145" s="18">
        <f t="shared" si="31"/>
        <v>0</v>
      </c>
    </row>
    <row r="146" spans="1:5" ht="15" x14ac:dyDescent="0.2">
      <c r="A146" s="7">
        <v>123510</v>
      </c>
      <c r="B146" s="3" t="s">
        <v>93</v>
      </c>
      <c r="C146" s="25">
        <v>0</v>
      </c>
      <c r="D146" s="25">
        <v>0</v>
      </c>
      <c r="E146" s="18">
        <f t="shared" si="31"/>
        <v>0</v>
      </c>
    </row>
    <row r="147" spans="1:5" ht="15" x14ac:dyDescent="0.2">
      <c r="A147" s="6">
        <v>1236</v>
      </c>
      <c r="B147" s="2" t="s">
        <v>95</v>
      </c>
      <c r="C147" s="24">
        <f>SUM(C148:C157)</f>
        <v>0</v>
      </c>
      <c r="D147" s="24">
        <f t="shared" ref="D147:E147" si="32">SUM(D148:D157)</f>
        <v>0</v>
      </c>
      <c r="E147" s="17">
        <f t="shared" si="32"/>
        <v>0</v>
      </c>
    </row>
    <row r="148" spans="1:5" ht="15" x14ac:dyDescent="0.2">
      <c r="A148" s="7">
        <v>123601</v>
      </c>
      <c r="B148" s="3" t="s">
        <v>84</v>
      </c>
      <c r="C148" s="25">
        <v>0</v>
      </c>
      <c r="D148" s="25">
        <v>0</v>
      </c>
      <c r="E148" s="18">
        <f t="shared" ref="E148:E157" si="33">SUM(C148:D148)</f>
        <v>0</v>
      </c>
    </row>
    <row r="149" spans="1:5" ht="15" x14ac:dyDescent="0.2">
      <c r="A149" s="7">
        <v>123602</v>
      </c>
      <c r="B149" s="3" t="s">
        <v>85</v>
      </c>
      <c r="C149" s="25">
        <v>0</v>
      </c>
      <c r="D149" s="25">
        <v>0</v>
      </c>
      <c r="E149" s="18">
        <f t="shared" si="33"/>
        <v>0</v>
      </c>
    </row>
    <row r="150" spans="1:5" ht="15" x14ac:dyDescent="0.2">
      <c r="A150" s="7">
        <v>123603</v>
      </c>
      <c r="B150" s="3" t="s">
        <v>86</v>
      </c>
      <c r="C150" s="25">
        <v>0</v>
      </c>
      <c r="D150" s="25">
        <v>0</v>
      </c>
      <c r="E150" s="18">
        <f t="shared" si="33"/>
        <v>0</v>
      </c>
    </row>
    <row r="151" spans="1:5" ht="15" x14ac:dyDescent="0.2">
      <c r="A151" s="7">
        <v>123604</v>
      </c>
      <c r="B151" s="3" t="s">
        <v>87</v>
      </c>
      <c r="C151" s="25">
        <v>0</v>
      </c>
      <c r="D151" s="25">
        <v>0</v>
      </c>
      <c r="E151" s="18">
        <f t="shared" si="33"/>
        <v>0</v>
      </c>
    </row>
    <row r="152" spans="1:5" ht="15" x14ac:dyDescent="0.2">
      <c r="A152" s="7">
        <v>123605</v>
      </c>
      <c r="B152" s="3" t="s">
        <v>88</v>
      </c>
      <c r="C152" s="25">
        <v>0</v>
      </c>
      <c r="D152" s="25">
        <v>0</v>
      </c>
      <c r="E152" s="18">
        <f t="shared" si="33"/>
        <v>0</v>
      </c>
    </row>
    <row r="153" spans="1:5" ht="15" x14ac:dyDescent="0.2">
      <c r="A153" s="7">
        <v>123606</v>
      </c>
      <c r="B153" s="3" t="s">
        <v>96</v>
      </c>
      <c r="C153" s="25">
        <v>0</v>
      </c>
      <c r="D153" s="25">
        <v>0</v>
      </c>
      <c r="E153" s="18">
        <f t="shared" si="33"/>
        <v>0</v>
      </c>
    </row>
    <row r="154" spans="1:5" ht="15" x14ac:dyDescent="0.2">
      <c r="A154" s="7">
        <v>123607</v>
      </c>
      <c r="B154" s="3" t="s">
        <v>90</v>
      </c>
      <c r="C154" s="25">
        <v>0</v>
      </c>
      <c r="D154" s="25">
        <v>0</v>
      </c>
      <c r="E154" s="18">
        <f t="shared" si="33"/>
        <v>0</v>
      </c>
    </row>
    <row r="155" spans="1:5" ht="15" x14ac:dyDescent="0.2">
      <c r="A155" s="7">
        <v>123608</v>
      </c>
      <c r="B155" s="3" t="s">
        <v>91</v>
      </c>
      <c r="C155" s="25">
        <v>0</v>
      </c>
      <c r="D155" s="25">
        <v>0</v>
      </c>
      <c r="E155" s="18">
        <f t="shared" si="33"/>
        <v>0</v>
      </c>
    </row>
    <row r="156" spans="1:5" ht="15" x14ac:dyDescent="0.2">
      <c r="A156" s="7">
        <v>123609</v>
      </c>
      <c r="B156" s="3" t="s">
        <v>92</v>
      </c>
      <c r="C156" s="25">
        <v>0</v>
      </c>
      <c r="D156" s="25">
        <v>0</v>
      </c>
      <c r="E156" s="18">
        <f t="shared" si="33"/>
        <v>0</v>
      </c>
    </row>
    <row r="157" spans="1:5" ht="15" x14ac:dyDescent="0.2">
      <c r="A157" s="7">
        <v>123610</v>
      </c>
      <c r="B157" s="3" t="s">
        <v>93</v>
      </c>
      <c r="C157" s="25">
        <v>0</v>
      </c>
      <c r="D157" s="25">
        <v>0</v>
      </c>
      <c r="E157" s="18">
        <f t="shared" si="33"/>
        <v>0</v>
      </c>
    </row>
    <row r="158" spans="1:5" ht="15" x14ac:dyDescent="0.2">
      <c r="A158" s="6">
        <v>1237</v>
      </c>
      <c r="B158" s="2" t="s">
        <v>97</v>
      </c>
      <c r="C158" s="24">
        <f>SUM(C159:C168)</f>
        <v>0</v>
      </c>
      <c r="D158" s="24">
        <f t="shared" ref="D158:E158" si="34">SUM(D159:D168)</f>
        <v>0</v>
      </c>
      <c r="E158" s="17">
        <f t="shared" si="34"/>
        <v>0</v>
      </c>
    </row>
    <row r="159" spans="1:5" ht="15" x14ac:dyDescent="0.2">
      <c r="A159" s="7">
        <v>123701</v>
      </c>
      <c r="B159" s="3" t="s">
        <v>84</v>
      </c>
      <c r="C159" s="25">
        <v>0</v>
      </c>
      <c r="D159" s="25">
        <v>0</v>
      </c>
      <c r="E159" s="18">
        <f t="shared" ref="E159:E168" si="35">SUM(C159:D159)</f>
        <v>0</v>
      </c>
    </row>
    <row r="160" spans="1:5" ht="15" x14ac:dyDescent="0.2">
      <c r="A160" s="7">
        <v>123702</v>
      </c>
      <c r="B160" s="3" t="s">
        <v>85</v>
      </c>
      <c r="C160" s="25">
        <v>0</v>
      </c>
      <c r="D160" s="25">
        <v>0</v>
      </c>
      <c r="E160" s="18">
        <f t="shared" si="35"/>
        <v>0</v>
      </c>
    </row>
    <row r="161" spans="1:5" ht="15" x14ac:dyDescent="0.2">
      <c r="A161" s="7">
        <v>123703</v>
      </c>
      <c r="B161" s="3" t="s">
        <v>86</v>
      </c>
      <c r="C161" s="25">
        <v>0</v>
      </c>
      <c r="D161" s="25">
        <v>0</v>
      </c>
      <c r="E161" s="18">
        <f t="shared" si="35"/>
        <v>0</v>
      </c>
    </row>
    <row r="162" spans="1:5" ht="15" x14ac:dyDescent="0.2">
      <c r="A162" s="7">
        <v>123704</v>
      </c>
      <c r="B162" s="3" t="s">
        <v>87</v>
      </c>
      <c r="C162" s="25">
        <v>0</v>
      </c>
      <c r="D162" s="25">
        <v>0</v>
      </c>
      <c r="E162" s="18">
        <f t="shared" si="35"/>
        <v>0</v>
      </c>
    </row>
    <row r="163" spans="1:5" ht="15" x14ac:dyDescent="0.2">
      <c r="A163" s="7">
        <v>123705</v>
      </c>
      <c r="B163" s="3" t="s">
        <v>88</v>
      </c>
      <c r="C163" s="25">
        <v>0</v>
      </c>
      <c r="D163" s="25">
        <v>0</v>
      </c>
      <c r="E163" s="18">
        <f t="shared" si="35"/>
        <v>0</v>
      </c>
    </row>
    <row r="164" spans="1:5" ht="15" x14ac:dyDescent="0.2">
      <c r="A164" s="7">
        <v>123706</v>
      </c>
      <c r="B164" s="3" t="s">
        <v>89</v>
      </c>
      <c r="C164" s="25">
        <v>0</v>
      </c>
      <c r="D164" s="25">
        <v>0</v>
      </c>
      <c r="E164" s="18">
        <f t="shared" si="35"/>
        <v>0</v>
      </c>
    </row>
    <row r="165" spans="1:5" ht="15" x14ac:dyDescent="0.2">
      <c r="A165" s="7">
        <v>123707</v>
      </c>
      <c r="B165" s="3" t="s">
        <v>90</v>
      </c>
      <c r="C165" s="25">
        <v>0</v>
      </c>
      <c r="D165" s="25">
        <v>0</v>
      </c>
      <c r="E165" s="18">
        <f t="shared" si="35"/>
        <v>0</v>
      </c>
    </row>
    <row r="166" spans="1:5" ht="15" x14ac:dyDescent="0.2">
      <c r="A166" s="7">
        <v>123708</v>
      </c>
      <c r="B166" s="3" t="s">
        <v>91</v>
      </c>
      <c r="C166" s="25">
        <v>0</v>
      </c>
      <c r="D166" s="25">
        <v>0</v>
      </c>
      <c r="E166" s="18">
        <f t="shared" si="35"/>
        <v>0</v>
      </c>
    </row>
    <row r="167" spans="1:5" ht="15" x14ac:dyDescent="0.2">
      <c r="A167" s="7">
        <v>123709</v>
      </c>
      <c r="B167" s="3" t="s">
        <v>92</v>
      </c>
      <c r="C167" s="25">
        <v>0</v>
      </c>
      <c r="D167" s="25">
        <v>0</v>
      </c>
      <c r="E167" s="18">
        <f t="shared" si="35"/>
        <v>0</v>
      </c>
    </row>
    <row r="168" spans="1:5" ht="15" x14ac:dyDescent="0.2">
      <c r="A168" s="7">
        <v>123710</v>
      </c>
      <c r="B168" s="3" t="s">
        <v>93</v>
      </c>
      <c r="C168" s="25">
        <v>0</v>
      </c>
      <c r="D168" s="25">
        <v>0</v>
      </c>
      <c r="E168" s="18">
        <f t="shared" si="35"/>
        <v>0</v>
      </c>
    </row>
    <row r="169" spans="1:5" ht="15" x14ac:dyDescent="0.2">
      <c r="A169" s="6">
        <v>1238</v>
      </c>
      <c r="B169" s="2" t="s">
        <v>98</v>
      </c>
      <c r="C169" s="24">
        <f>SUM(C170:C172)</f>
        <v>0</v>
      </c>
      <c r="D169" s="24">
        <f t="shared" ref="D169:E169" si="36">SUM(D170:D172)</f>
        <v>0</v>
      </c>
      <c r="E169" s="17">
        <f t="shared" si="36"/>
        <v>0</v>
      </c>
    </row>
    <row r="170" spans="1:5" ht="15" x14ac:dyDescent="0.2">
      <c r="A170" s="7">
        <v>123801</v>
      </c>
      <c r="B170" s="4" t="s">
        <v>99</v>
      </c>
      <c r="C170" s="26">
        <v>0</v>
      </c>
      <c r="D170" s="26">
        <v>0</v>
      </c>
      <c r="E170" s="18">
        <f t="shared" ref="E170:E172" si="37">SUM(C170:D170)</f>
        <v>0</v>
      </c>
    </row>
    <row r="171" spans="1:5" ht="15" x14ac:dyDescent="0.2">
      <c r="A171" s="7">
        <v>123802</v>
      </c>
      <c r="B171" s="4" t="s">
        <v>100</v>
      </c>
      <c r="C171" s="26">
        <v>0</v>
      </c>
      <c r="D171" s="26">
        <v>0</v>
      </c>
      <c r="E171" s="18">
        <f t="shared" si="37"/>
        <v>0</v>
      </c>
    </row>
    <row r="172" spans="1:5" ht="15" x14ac:dyDescent="0.2">
      <c r="A172" s="7">
        <v>123803</v>
      </c>
      <c r="B172" s="3" t="s">
        <v>101</v>
      </c>
      <c r="C172" s="25">
        <v>0</v>
      </c>
      <c r="D172" s="25">
        <v>0</v>
      </c>
      <c r="E172" s="18">
        <f t="shared" si="37"/>
        <v>0</v>
      </c>
    </row>
    <row r="173" spans="1:5" ht="15" x14ac:dyDescent="0.2">
      <c r="A173" s="6">
        <v>1239</v>
      </c>
      <c r="B173" s="2" t="s">
        <v>102</v>
      </c>
      <c r="C173" s="24">
        <f>SUM(C174:C175)</f>
        <v>0</v>
      </c>
      <c r="D173" s="24">
        <f t="shared" ref="D173:E173" si="38">SUM(D174:D175)</f>
        <v>0</v>
      </c>
      <c r="E173" s="17">
        <f t="shared" si="38"/>
        <v>0</v>
      </c>
    </row>
    <row r="174" spans="1:5" ht="15" x14ac:dyDescent="0.2">
      <c r="A174" s="7">
        <v>123901</v>
      </c>
      <c r="B174" s="3" t="s">
        <v>103</v>
      </c>
      <c r="C174" s="25">
        <v>0</v>
      </c>
      <c r="D174" s="25">
        <v>0</v>
      </c>
      <c r="E174" s="18">
        <f t="shared" ref="E174:E175" si="39">SUM(C174:D174)</f>
        <v>0</v>
      </c>
    </row>
    <row r="175" spans="1:5" ht="15" x14ac:dyDescent="0.2">
      <c r="A175" s="7">
        <v>123902</v>
      </c>
      <c r="B175" s="3" t="s">
        <v>104</v>
      </c>
      <c r="C175" s="25">
        <v>0</v>
      </c>
      <c r="D175" s="25">
        <v>0</v>
      </c>
      <c r="E175" s="18">
        <f t="shared" si="39"/>
        <v>0</v>
      </c>
    </row>
    <row r="176" spans="1:5" ht="15" x14ac:dyDescent="0.2">
      <c r="A176" s="6">
        <v>1280</v>
      </c>
      <c r="B176" s="2" t="s">
        <v>105</v>
      </c>
      <c r="C176" s="24">
        <f>SUM(C177:C182)</f>
        <v>0</v>
      </c>
      <c r="D176" s="24">
        <f t="shared" ref="D176:E176" si="40">SUM(D177:D182)</f>
        <v>0</v>
      </c>
      <c r="E176" s="17">
        <f t="shared" si="40"/>
        <v>0</v>
      </c>
    </row>
    <row r="177" spans="1:5" ht="15" x14ac:dyDescent="0.2">
      <c r="A177" s="7">
        <v>128040</v>
      </c>
      <c r="B177" s="3" t="s">
        <v>43</v>
      </c>
      <c r="C177" s="25">
        <v>0</v>
      </c>
      <c r="D177" s="25">
        <v>0</v>
      </c>
      <c r="E177" s="18">
        <f t="shared" ref="E177:E182" si="41">SUM(C177:D177)</f>
        <v>0</v>
      </c>
    </row>
    <row r="178" spans="1:5" ht="15" x14ac:dyDescent="0.2">
      <c r="A178" s="7">
        <v>128041</v>
      </c>
      <c r="B178" s="3" t="s">
        <v>44</v>
      </c>
      <c r="C178" s="25">
        <v>0</v>
      </c>
      <c r="D178" s="25">
        <v>0</v>
      </c>
      <c r="E178" s="18">
        <f t="shared" si="41"/>
        <v>0</v>
      </c>
    </row>
    <row r="179" spans="1:5" ht="15" x14ac:dyDescent="0.2">
      <c r="A179" s="7">
        <v>128042</v>
      </c>
      <c r="B179" s="3" t="s">
        <v>45</v>
      </c>
      <c r="C179" s="25">
        <v>0</v>
      </c>
      <c r="D179" s="25">
        <v>0</v>
      </c>
      <c r="E179" s="18">
        <f t="shared" si="41"/>
        <v>0</v>
      </c>
    </row>
    <row r="180" spans="1:5" ht="15" x14ac:dyDescent="0.2">
      <c r="A180" s="7">
        <v>128044</v>
      </c>
      <c r="B180" s="3" t="s">
        <v>106</v>
      </c>
      <c r="C180" s="25">
        <v>0</v>
      </c>
      <c r="D180" s="25">
        <v>0</v>
      </c>
      <c r="E180" s="18">
        <f t="shared" si="41"/>
        <v>0</v>
      </c>
    </row>
    <row r="181" spans="1:5" ht="15" x14ac:dyDescent="0.2">
      <c r="A181" s="7">
        <v>128046</v>
      </c>
      <c r="B181" s="3" t="s">
        <v>107</v>
      </c>
      <c r="C181" s="25">
        <v>0</v>
      </c>
      <c r="D181" s="25">
        <v>0</v>
      </c>
      <c r="E181" s="18">
        <f t="shared" si="41"/>
        <v>0</v>
      </c>
    </row>
    <row r="182" spans="1:5" ht="15" x14ac:dyDescent="0.2">
      <c r="A182" s="7">
        <v>128048</v>
      </c>
      <c r="B182" s="3" t="s">
        <v>108</v>
      </c>
      <c r="C182" s="25">
        <v>0</v>
      </c>
      <c r="D182" s="25">
        <v>0</v>
      </c>
      <c r="E182" s="18">
        <f t="shared" si="41"/>
        <v>0</v>
      </c>
    </row>
    <row r="183" spans="1:5" ht="15" x14ac:dyDescent="0.2">
      <c r="A183" s="6">
        <v>13</v>
      </c>
      <c r="B183" s="2" t="s">
        <v>109</v>
      </c>
      <c r="C183" s="24">
        <f>SUM(C184,C189,C196,C225,C238,C271,C296,C300,C302,C334,C347,C360,C371)</f>
        <v>26547350</v>
      </c>
      <c r="D183" s="24">
        <f>SUM(D184,D189,D196,D225,D238,D271,D296,D300,D302,D334,D347,D360,D371)</f>
        <v>0</v>
      </c>
      <c r="E183" s="28">
        <f>SUM(E184,E189,E196,E225,E238,E271,E296,E300,E302,E334,E347,E360,E371)</f>
        <v>26547350</v>
      </c>
    </row>
    <row r="184" spans="1:5" ht="15" x14ac:dyDescent="0.2">
      <c r="A184" s="6">
        <v>1311</v>
      </c>
      <c r="B184" s="2" t="s">
        <v>110</v>
      </c>
      <c r="C184" s="24">
        <f>SUM(C185:C188)</f>
        <v>0</v>
      </c>
      <c r="D184" s="24">
        <f t="shared" ref="D184:E184" si="42">SUM(D185:D188)</f>
        <v>0</v>
      </c>
      <c r="E184" s="17">
        <f t="shared" si="42"/>
        <v>0</v>
      </c>
    </row>
    <row r="185" spans="1:5" ht="15" x14ac:dyDescent="0.2">
      <c r="A185" s="7">
        <v>131102</v>
      </c>
      <c r="B185" s="3" t="s">
        <v>111</v>
      </c>
      <c r="C185" s="25">
        <v>0</v>
      </c>
      <c r="D185" s="25">
        <v>0</v>
      </c>
      <c r="E185" s="18">
        <f t="shared" ref="E185:E188" si="43">SUM(C185:D185)</f>
        <v>0</v>
      </c>
    </row>
    <row r="186" spans="1:5" ht="15" x14ac:dyDescent="0.2">
      <c r="A186" s="7">
        <v>131104</v>
      </c>
      <c r="B186" s="3" t="s">
        <v>112</v>
      </c>
      <c r="C186" s="25">
        <v>0</v>
      </c>
      <c r="D186" s="25">
        <v>0</v>
      </c>
      <c r="E186" s="18">
        <f t="shared" si="43"/>
        <v>0</v>
      </c>
    </row>
    <row r="187" spans="1:5" ht="15" x14ac:dyDescent="0.2">
      <c r="A187" s="7">
        <v>131113</v>
      </c>
      <c r="B187" s="3" t="s">
        <v>113</v>
      </c>
      <c r="C187" s="25">
        <v>0</v>
      </c>
      <c r="D187" s="25">
        <v>0</v>
      </c>
      <c r="E187" s="18">
        <f t="shared" si="43"/>
        <v>0</v>
      </c>
    </row>
    <row r="188" spans="1:5" ht="15" x14ac:dyDescent="0.2">
      <c r="A188" s="7">
        <v>131117</v>
      </c>
      <c r="B188" s="3" t="s">
        <v>114</v>
      </c>
      <c r="C188" s="25">
        <v>0</v>
      </c>
      <c r="D188" s="25">
        <v>0</v>
      </c>
      <c r="E188" s="18">
        <f t="shared" si="43"/>
        <v>0</v>
      </c>
    </row>
    <row r="189" spans="1:5" ht="15" x14ac:dyDescent="0.2">
      <c r="A189" s="6">
        <v>1316</v>
      </c>
      <c r="B189" s="2" t="s">
        <v>115</v>
      </c>
      <c r="C189" s="24">
        <f>SUM(C190:C195)</f>
        <v>0</v>
      </c>
      <c r="D189" s="24">
        <f t="shared" ref="D189:E189" si="44">SUM(D190:D195)</f>
        <v>0</v>
      </c>
      <c r="E189" s="17">
        <f t="shared" si="44"/>
        <v>0</v>
      </c>
    </row>
    <row r="190" spans="1:5" ht="15" x14ac:dyDescent="0.2">
      <c r="A190" s="7">
        <v>131601</v>
      </c>
      <c r="B190" s="3" t="s">
        <v>116</v>
      </c>
      <c r="C190" s="25">
        <v>0</v>
      </c>
      <c r="D190" s="25">
        <v>0</v>
      </c>
      <c r="E190" s="18">
        <f t="shared" ref="E190:E195" si="45">SUM(C190:D190)</f>
        <v>0</v>
      </c>
    </row>
    <row r="191" spans="1:5" ht="15" x14ac:dyDescent="0.2">
      <c r="A191" s="7">
        <v>131602</v>
      </c>
      <c r="B191" s="3" t="s">
        <v>117</v>
      </c>
      <c r="C191" s="25">
        <v>0</v>
      </c>
      <c r="D191" s="25">
        <v>0</v>
      </c>
      <c r="E191" s="18">
        <f t="shared" si="45"/>
        <v>0</v>
      </c>
    </row>
    <row r="192" spans="1:5" ht="15" x14ac:dyDescent="0.2">
      <c r="A192" s="7">
        <v>131603</v>
      </c>
      <c r="B192" s="3" t="s">
        <v>118</v>
      </c>
      <c r="C192" s="25">
        <v>0</v>
      </c>
      <c r="D192" s="25">
        <v>0</v>
      </c>
      <c r="E192" s="18">
        <f t="shared" si="45"/>
        <v>0</v>
      </c>
    </row>
    <row r="193" spans="1:5" ht="15" x14ac:dyDescent="0.2">
      <c r="A193" s="7">
        <v>131604</v>
      </c>
      <c r="B193" s="3" t="s">
        <v>119</v>
      </c>
      <c r="C193" s="25">
        <v>0</v>
      </c>
      <c r="D193" s="25">
        <v>0</v>
      </c>
      <c r="E193" s="18">
        <f t="shared" si="45"/>
        <v>0</v>
      </c>
    </row>
    <row r="194" spans="1:5" ht="15" x14ac:dyDescent="0.2">
      <c r="A194" s="7">
        <v>131605</v>
      </c>
      <c r="B194" s="3" t="s">
        <v>120</v>
      </c>
      <c r="C194" s="25">
        <v>0</v>
      </c>
      <c r="D194" s="25">
        <v>0</v>
      </c>
      <c r="E194" s="18">
        <f t="shared" si="45"/>
        <v>0</v>
      </c>
    </row>
    <row r="195" spans="1:5" ht="15" x14ac:dyDescent="0.2">
      <c r="A195" s="7">
        <v>131606</v>
      </c>
      <c r="B195" s="3" t="s">
        <v>121</v>
      </c>
      <c r="C195" s="25">
        <v>0</v>
      </c>
      <c r="D195" s="25">
        <v>0</v>
      </c>
      <c r="E195" s="18">
        <f t="shared" si="45"/>
        <v>0</v>
      </c>
    </row>
    <row r="196" spans="1:5" ht="15" x14ac:dyDescent="0.2">
      <c r="A196" s="6">
        <v>1317</v>
      </c>
      <c r="B196" s="2" t="s">
        <v>122</v>
      </c>
      <c r="C196" s="24">
        <f>SUM(C197:C224)</f>
        <v>0</v>
      </c>
      <c r="D196" s="24">
        <f t="shared" ref="D196:E196" si="46">SUM(D197:D224)</f>
        <v>0</v>
      </c>
      <c r="E196" s="17">
        <f t="shared" si="46"/>
        <v>0</v>
      </c>
    </row>
    <row r="197" spans="1:5" ht="15" x14ac:dyDescent="0.2">
      <c r="A197" s="7">
        <v>131702</v>
      </c>
      <c r="B197" s="3" t="s">
        <v>123</v>
      </c>
      <c r="C197" s="25">
        <v>0</v>
      </c>
      <c r="D197" s="25">
        <v>0</v>
      </c>
      <c r="E197" s="18">
        <f t="shared" ref="E197:E224" si="47">SUM(C197:D197)</f>
        <v>0</v>
      </c>
    </row>
    <row r="198" spans="1:5" ht="15" x14ac:dyDescent="0.2">
      <c r="A198" s="7">
        <v>131703</v>
      </c>
      <c r="B198" s="3" t="s">
        <v>124</v>
      </c>
      <c r="C198" s="25">
        <v>0</v>
      </c>
      <c r="D198" s="25">
        <v>0</v>
      </c>
      <c r="E198" s="18">
        <f t="shared" si="47"/>
        <v>0</v>
      </c>
    </row>
    <row r="199" spans="1:5" ht="15" x14ac:dyDescent="0.2">
      <c r="A199" s="7">
        <v>131704</v>
      </c>
      <c r="B199" s="3" t="s">
        <v>125</v>
      </c>
      <c r="C199" s="25">
        <v>0</v>
      </c>
      <c r="D199" s="25">
        <v>0</v>
      </c>
      <c r="E199" s="18">
        <f t="shared" si="47"/>
        <v>0</v>
      </c>
    </row>
    <row r="200" spans="1:5" ht="15" x14ac:dyDescent="0.2">
      <c r="A200" s="7">
        <v>131705</v>
      </c>
      <c r="B200" s="3" t="s">
        <v>126</v>
      </c>
      <c r="C200" s="25">
        <v>0</v>
      </c>
      <c r="D200" s="25">
        <v>0</v>
      </c>
      <c r="E200" s="18">
        <f t="shared" si="47"/>
        <v>0</v>
      </c>
    </row>
    <row r="201" spans="1:5" ht="15" x14ac:dyDescent="0.2">
      <c r="A201" s="7">
        <v>131708</v>
      </c>
      <c r="B201" s="3" t="s">
        <v>127</v>
      </c>
      <c r="C201" s="25">
        <v>0</v>
      </c>
      <c r="D201" s="25">
        <v>0</v>
      </c>
      <c r="E201" s="18">
        <f t="shared" si="47"/>
        <v>0</v>
      </c>
    </row>
    <row r="202" spans="1:5" ht="15" x14ac:dyDescent="0.2">
      <c r="A202" s="7">
        <v>131710</v>
      </c>
      <c r="B202" s="3" t="s">
        <v>128</v>
      </c>
      <c r="C202" s="25">
        <v>0</v>
      </c>
      <c r="D202" s="25">
        <v>0</v>
      </c>
      <c r="E202" s="18">
        <f t="shared" si="47"/>
        <v>0</v>
      </c>
    </row>
    <row r="203" spans="1:5" ht="15" x14ac:dyDescent="0.2">
      <c r="A203" s="7">
        <v>131711</v>
      </c>
      <c r="B203" s="3" t="s">
        <v>129</v>
      </c>
      <c r="C203" s="25">
        <v>0</v>
      </c>
      <c r="D203" s="25">
        <v>0</v>
      </c>
      <c r="E203" s="18">
        <f t="shared" si="47"/>
        <v>0</v>
      </c>
    </row>
    <row r="204" spans="1:5" ht="15" x14ac:dyDescent="0.2">
      <c r="A204" s="7">
        <v>131712</v>
      </c>
      <c r="B204" s="3" t="s">
        <v>130</v>
      </c>
      <c r="C204" s="25">
        <v>0</v>
      </c>
      <c r="D204" s="25">
        <v>0</v>
      </c>
      <c r="E204" s="18">
        <f t="shared" si="47"/>
        <v>0</v>
      </c>
    </row>
    <row r="205" spans="1:5" ht="15" x14ac:dyDescent="0.2">
      <c r="A205" s="7">
        <v>131713</v>
      </c>
      <c r="B205" s="3" t="s">
        <v>131</v>
      </c>
      <c r="C205" s="25">
        <v>0</v>
      </c>
      <c r="D205" s="25">
        <v>0</v>
      </c>
      <c r="E205" s="18">
        <f t="shared" si="47"/>
        <v>0</v>
      </c>
    </row>
    <row r="206" spans="1:5" ht="15" x14ac:dyDescent="0.2">
      <c r="A206" s="7">
        <v>131714</v>
      </c>
      <c r="B206" s="3" t="s">
        <v>132</v>
      </c>
      <c r="C206" s="25">
        <v>0</v>
      </c>
      <c r="D206" s="25">
        <v>0</v>
      </c>
      <c r="E206" s="18">
        <f t="shared" si="47"/>
        <v>0</v>
      </c>
    </row>
    <row r="207" spans="1:5" ht="15" x14ac:dyDescent="0.2">
      <c r="A207" s="7">
        <v>131715</v>
      </c>
      <c r="B207" s="3" t="s">
        <v>133</v>
      </c>
      <c r="C207" s="25">
        <v>0</v>
      </c>
      <c r="D207" s="25">
        <v>0</v>
      </c>
      <c r="E207" s="18">
        <f t="shared" si="47"/>
        <v>0</v>
      </c>
    </row>
    <row r="208" spans="1:5" ht="15" x14ac:dyDescent="0.2">
      <c r="A208" s="7">
        <v>131716</v>
      </c>
      <c r="B208" s="3" t="s">
        <v>134</v>
      </c>
      <c r="C208" s="25">
        <v>0</v>
      </c>
      <c r="D208" s="25">
        <v>0</v>
      </c>
      <c r="E208" s="18">
        <f t="shared" si="47"/>
        <v>0</v>
      </c>
    </row>
    <row r="209" spans="1:5" ht="15" x14ac:dyDescent="0.2">
      <c r="A209" s="7">
        <v>131717</v>
      </c>
      <c r="B209" s="3" t="s">
        <v>135</v>
      </c>
      <c r="C209" s="25">
        <v>0</v>
      </c>
      <c r="D209" s="25">
        <v>0</v>
      </c>
      <c r="E209" s="18">
        <f t="shared" si="47"/>
        <v>0</v>
      </c>
    </row>
    <row r="210" spans="1:5" ht="15" x14ac:dyDescent="0.2">
      <c r="A210" s="7">
        <v>131718</v>
      </c>
      <c r="B210" s="3" t="s">
        <v>136</v>
      </c>
      <c r="C210" s="25">
        <v>0</v>
      </c>
      <c r="D210" s="25">
        <v>0</v>
      </c>
      <c r="E210" s="18">
        <f t="shared" si="47"/>
        <v>0</v>
      </c>
    </row>
    <row r="211" spans="1:5" ht="15" x14ac:dyDescent="0.2">
      <c r="A211" s="7">
        <v>131719</v>
      </c>
      <c r="B211" s="3" t="s">
        <v>137</v>
      </c>
      <c r="C211" s="25">
        <v>0</v>
      </c>
      <c r="D211" s="25">
        <v>0</v>
      </c>
      <c r="E211" s="18">
        <f t="shared" si="47"/>
        <v>0</v>
      </c>
    </row>
    <row r="212" spans="1:5" ht="15" x14ac:dyDescent="0.2">
      <c r="A212" s="7">
        <v>131720</v>
      </c>
      <c r="B212" s="3" t="s">
        <v>138</v>
      </c>
      <c r="C212" s="25">
        <v>0</v>
      </c>
      <c r="D212" s="25">
        <v>0</v>
      </c>
      <c r="E212" s="18">
        <f t="shared" si="47"/>
        <v>0</v>
      </c>
    </row>
    <row r="213" spans="1:5" ht="15" x14ac:dyDescent="0.2">
      <c r="A213" s="7">
        <v>131721</v>
      </c>
      <c r="B213" s="3" t="s">
        <v>139</v>
      </c>
      <c r="C213" s="25">
        <v>0</v>
      </c>
      <c r="D213" s="25">
        <v>0</v>
      </c>
      <c r="E213" s="18">
        <f t="shared" si="47"/>
        <v>0</v>
      </c>
    </row>
    <row r="214" spans="1:5" ht="15" x14ac:dyDescent="0.2">
      <c r="A214" s="7">
        <v>131722</v>
      </c>
      <c r="B214" s="3" t="s">
        <v>140</v>
      </c>
      <c r="C214" s="25">
        <v>0</v>
      </c>
      <c r="D214" s="25">
        <v>0</v>
      </c>
      <c r="E214" s="18">
        <f t="shared" si="47"/>
        <v>0</v>
      </c>
    </row>
    <row r="215" spans="1:5" ht="15" x14ac:dyDescent="0.2">
      <c r="A215" s="7">
        <v>131723</v>
      </c>
      <c r="B215" s="3" t="s">
        <v>141</v>
      </c>
      <c r="C215" s="25">
        <v>0</v>
      </c>
      <c r="D215" s="25">
        <v>0</v>
      </c>
      <c r="E215" s="18">
        <f t="shared" si="47"/>
        <v>0</v>
      </c>
    </row>
    <row r="216" spans="1:5" ht="15" x14ac:dyDescent="0.2">
      <c r="A216" s="7">
        <v>131724</v>
      </c>
      <c r="B216" s="3" t="s">
        <v>142</v>
      </c>
      <c r="C216" s="25">
        <v>0</v>
      </c>
      <c r="D216" s="25">
        <v>0</v>
      </c>
      <c r="E216" s="18">
        <f t="shared" si="47"/>
        <v>0</v>
      </c>
    </row>
    <row r="217" spans="1:5" ht="15" x14ac:dyDescent="0.2">
      <c r="A217" s="7">
        <v>131725</v>
      </c>
      <c r="B217" s="3" t="s">
        <v>143</v>
      </c>
      <c r="C217" s="25">
        <v>0</v>
      </c>
      <c r="D217" s="25">
        <v>0</v>
      </c>
      <c r="E217" s="18">
        <f t="shared" si="47"/>
        <v>0</v>
      </c>
    </row>
    <row r="218" spans="1:5" ht="15" x14ac:dyDescent="0.2">
      <c r="A218" s="7">
        <v>131726</v>
      </c>
      <c r="B218" s="3" t="s">
        <v>144</v>
      </c>
      <c r="C218" s="25">
        <v>0</v>
      </c>
      <c r="D218" s="25">
        <v>0</v>
      </c>
      <c r="E218" s="18">
        <f t="shared" si="47"/>
        <v>0</v>
      </c>
    </row>
    <row r="219" spans="1:5" ht="15" x14ac:dyDescent="0.2">
      <c r="A219" s="7">
        <v>131727</v>
      </c>
      <c r="B219" s="3" t="s">
        <v>145</v>
      </c>
      <c r="C219" s="25">
        <v>0</v>
      </c>
      <c r="D219" s="25">
        <v>0</v>
      </c>
      <c r="E219" s="18">
        <f t="shared" si="47"/>
        <v>0</v>
      </c>
    </row>
    <row r="220" spans="1:5" ht="15" x14ac:dyDescent="0.2">
      <c r="A220" s="7">
        <v>131728</v>
      </c>
      <c r="B220" s="3" t="s">
        <v>146</v>
      </c>
      <c r="C220" s="25">
        <v>0</v>
      </c>
      <c r="D220" s="25">
        <v>0</v>
      </c>
      <c r="E220" s="18">
        <f t="shared" si="47"/>
        <v>0</v>
      </c>
    </row>
    <row r="221" spans="1:5" ht="15" x14ac:dyDescent="0.2">
      <c r="A221" s="7">
        <v>131729</v>
      </c>
      <c r="B221" s="3" t="s">
        <v>147</v>
      </c>
      <c r="C221" s="25">
        <v>0</v>
      </c>
      <c r="D221" s="25">
        <v>0</v>
      </c>
      <c r="E221" s="18">
        <f t="shared" si="47"/>
        <v>0</v>
      </c>
    </row>
    <row r="222" spans="1:5" ht="15" x14ac:dyDescent="0.2">
      <c r="A222" s="7">
        <v>131730</v>
      </c>
      <c r="B222" s="3" t="s">
        <v>148</v>
      </c>
      <c r="C222" s="25">
        <v>0</v>
      </c>
      <c r="D222" s="25">
        <v>0</v>
      </c>
      <c r="E222" s="18">
        <f t="shared" si="47"/>
        <v>0</v>
      </c>
    </row>
    <row r="223" spans="1:5" ht="15" x14ac:dyDescent="0.2">
      <c r="A223" s="7">
        <v>131731</v>
      </c>
      <c r="B223" s="3" t="s">
        <v>149</v>
      </c>
      <c r="C223" s="25">
        <v>0</v>
      </c>
      <c r="D223" s="25">
        <v>0</v>
      </c>
      <c r="E223" s="18">
        <f t="shared" si="47"/>
        <v>0</v>
      </c>
    </row>
    <row r="224" spans="1:5" ht="15" x14ac:dyDescent="0.2">
      <c r="A224" s="7">
        <v>131790</v>
      </c>
      <c r="B224" s="3" t="s">
        <v>150</v>
      </c>
      <c r="C224" s="25">
        <v>0</v>
      </c>
      <c r="D224" s="25">
        <v>0</v>
      </c>
      <c r="E224" s="18">
        <f t="shared" si="47"/>
        <v>0</v>
      </c>
    </row>
    <row r="225" spans="1:5" ht="15" x14ac:dyDescent="0.2">
      <c r="A225" s="6">
        <v>1318</v>
      </c>
      <c r="B225" s="2" t="s">
        <v>151</v>
      </c>
      <c r="C225" s="24">
        <f>SUM(C226:C237)</f>
        <v>26547350</v>
      </c>
      <c r="D225" s="24">
        <f t="shared" ref="D225:E225" si="48">SUM(D226:D237)</f>
        <v>0</v>
      </c>
      <c r="E225" s="24">
        <f t="shared" si="48"/>
        <v>26547350</v>
      </c>
    </row>
    <row r="226" spans="1:5" ht="15" x14ac:dyDescent="0.2">
      <c r="A226" s="7">
        <v>131801</v>
      </c>
      <c r="B226" s="3" t="s">
        <v>152</v>
      </c>
      <c r="C226" s="25">
        <v>0</v>
      </c>
      <c r="D226" s="25">
        <v>0</v>
      </c>
      <c r="E226" s="18">
        <f t="shared" ref="E226:E237" si="49">SUM(C226:D226)</f>
        <v>0</v>
      </c>
    </row>
    <row r="227" spans="1:5" ht="15" x14ac:dyDescent="0.2">
      <c r="A227" s="7">
        <v>131802</v>
      </c>
      <c r="B227" s="3" t="s">
        <v>153</v>
      </c>
      <c r="C227" s="25">
        <v>13766128</v>
      </c>
      <c r="D227" s="25">
        <v>0</v>
      </c>
      <c r="E227" s="18">
        <f t="shared" si="49"/>
        <v>13766128</v>
      </c>
    </row>
    <row r="228" spans="1:5" ht="15" x14ac:dyDescent="0.2">
      <c r="A228" s="7">
        <v>131803</v>
      </c>
      <c r="B228" s="3" t="s">
        <v>154</v>
      </c>
      <c r="C228" s="25">
        <v>6884561</v>
      </c>
      <c r="D228" s="25">
        <v>0</v>
      </c>
      <c r="E228" s="29">
        <f t="shared" si="49"/>
        <v>6884561</v>
      </c>
    </row>
    <row r="229" spans="1:5" ht="15" x14ac:dyDescent="0.2">
      <c r="A229" s="7">
        <v>131804</v>
      </c>
      <c r="B229" s="3" t="s">
        <v>155</v>
      </c>
      <c r="C229" s="25">
        <v>5896661</v>
      </c>
      <c r="D229" s="25">
        <v>0</v>
      </c>
      <c r="E229" s="29">
        <f t="shared" si="49"/>
        <v>5896661</v>
      </c>
    </row>
    <row r="230" spans="1:5" ht="15" x14ac:dyDescent="0.2">
      <c r="A230" s="7">
        <v>131805</v>
      </c>
      <c r="B230" s="3" t="s">
        <v>156</v>
      </c>
      <c r="C230" s="25">
        <v>0</v>
      </c>
      <c r="D230" s="25">
        <v>0</v>
      </c>
      <c r="E230" s="18">
        <f t="shared" si="49"/>
        <v>0</v>
      </c>
    </row>
    <row r="231" spans="1:5" ht="15" x14ac:dyDescent="0.2">
      <c r="A231" s="7">
        <v>131806</v>
      </c>
      <c r="B231" s="3" t="s">
        <v>157</v>
      </c>
      <c r="C231" s="25">
        <v>0</v>
      </c>
      <c r="D231" s="25">
        <v>0</v>
      </c>
      <c r="E231" s="18">
        <f t="shared" si="49"/>
        <v>0</v>
      </c>
    </row>
    <row r="232" spans="1:5" ht="15" x14ac:dyDescent="0.2">
      <c r="A232" s="7">
        <v>131807</v>
      </c>
      <c r="B232" s="3" t="s">
        <v>158</v>
      </c>
      <c r="C232" s="25">
        <v>0</v>
      </c>
      <c r="D232" s="25">
        <v>0</v>
      </c>
      <c r="E232" s="18">
        <f t="shared" si="49"/>
        <v>0</v>
      </c>
    </row>
    <row r="233" spans="1:5" ht="15" x14ac:dyDescent="0.2">
      <c r="A233" s="7">
        <v>131808</v>
      </c>
      <c r="B233" s="3" t="s">
        <v>159</v>
      </c>
      <c r="C233" s="25">
        <v>0</v>
      </c>
      <c r="D233" s="25">
        <v>0</v>
      </c>
      <c r="E233" s="18">
        <f t="shared" si="49"/>
        <v>0</v>
      </c>
    </row>
    <row r="234" spans="1:5" ht="15" x14ac:dyDescent="0.2">
      <c r="A234" s="7">
        <v>131809</v>
      </c>
      <c r="B234" s="3" t="s">
        <v>160</v>
      </c>
      <c r="C234" s="25">
        <v>0</v>
      </c>
      <c r="D234" s="25">
        <v>0</v>
      </c>
      <c r="E234" s="18">
        <f t="shared" si="49"/>
        <v>0</v>
      </c>
    </row>
    <row r="235" spans="1:5" ht="15" x14ac:dyDescent="0.2">
      <c r="A235" s="7">
        <v>131810</v>
      </c>
      <c r="B235" s="3" t="s">
        <v>161</v>
      </c>
      <c r="C235" s="25">
        <v>0</v>
      </c>
      <c r="D235" s="25">
        <v>0</v>
      </c>
      <c r="E235" s="18">
        <f t="shared" si="49"/>
        <v>0</v>
      </c>
    </row>
    <row r="236" spans="1:5" ht="15" x14ac:dyDescent="0.2">
      <c r="A236" s="7">
        <v>131811</v>
      </c>
      <c r="B236" s="3" t="s">
        <v>162</v>
      </c>
      <c r="C236" s="25">
        <v>0</v>
      </c>
      <c r="D236" s="25">
        <v>0</v>
      </c>
      <c r="E236" s="18">
        <f t="shared" si="49"/>
        <v>0</v>
      </c>
    </row>
    <row r="237" spans="1:5" ht="15" x14ac:dyDescent="0.2">
      <c r="A237" s="7">
        <v>131812</v>
      </c>
      <c r="B237" s="3" t="s">
        <v>163</v>
      </c>
      <c r="C237" s="25">
        <v>0</v>
      </c>
      <c r="D237" s="25">
        <v>0</v>
      </c>
      <c r="E237" s="18">
        <f t="shared" si="49"/>
        <v>0</v>
      </c>
    </row>
    <row r="238" spans="1:5" ht="15" x14ac:dyDescent="0.2">
      <c r="A238" s="6">
        <v>1319</v>
      </c>
      <c r="B238" s="2" t="s">
        <v>164</v>
      </c>
      <c r="C238" s="24">
        <f>SUM(C239:C270)</f>
        <v>0</v>
      </c>
      <c r="D238" s="24">
        <f>SUM(D239:D270)</f>
        <v>0</v>
      </c>
      <c r="E238" s="17">
        <f>SUM(E239:E270)</f>
        <v>0</v>
      </c>
    </row>
    <row r="239" spans="1:5" ht="15" x14ac:dyDescent="0.2">
      <c r="A239" s="7">
        <v>131901</v>
      </c>
      <c r="B239" s="3" t="s">
        <v>165</v>
      </c>
      <c r="C239" s="25">
        <v>0</v>
      </c>
      <c r="D239" s="25">
        <v>0</v>
      </c>
      <c r="E239" s="18">
        <f t="shared" ref="E239:E301" si="50">SUM(C239:D239)</f>
        <v>0</v>
      </c>
    </row>
    <row r="240" spans="1:5" ht="15" x14ac:dyDescent="0.2">
      <c r="A240" s="7">
        <v>131902</v>
      </c>
      <c r="B240" s="3" t="s">
        <v>166</v>
      </c>
      <c r="C240" s="25">
        <v>0</v>
      </c>
      <c r="D240" s="25">
        <v>0</v>
      </c>
      <c r="E240" s="18">
        <f t="shared" si="50"/>
        <v>0</v>
      </c>
    </row>
    <row r="241" spans="1:5" ht="15" x14ac:dyDescent="0.2">
      <c r="A241" s="7">
        <v>131903</v>
      </c>
      <c r="B241" s="3" t="s">
        <v>167</v>
      </c>
      <c r="C241" s="25">
        <v>0</v>
      </c>
      <c r="D241" s="25">
        <v>0</v>
      </c>
      <c r="E241" s="18">
        <f t="shared" si="50"/>
        <v>0</v>
      </c>
    </row>
    <row r="242" spans="1:5" ht="15" x14ac:dyDescent="0.2">
      <c r="A242" s="7">
        <v>131904</v>
      </c>
      <c r="B242" s="3" t="s">
        <v>168</v>
      </c>
      <c r="C242" s="25">
        <v>0</v>
      </c>
      <c r="D242" s="25">
        <v>0</v>
      </c>
      <c r="E242" s="18">
        <f t="shared" si="50"/>
        <v>0</v>
      </c>
    </row>
    <row r="243" spans="1:5" ht="15" x14ac:dyDescent="0.2">
      <c r="A243" s="7">
        <v>131905</v>
      </c>
      <c r="B243" s="3" t="s">
        <v>169</v>
      </c>
      <c r="C243" s="25">
        <v>0</v>
      </c>
      <c r="D243" s="25">
        <v>0</v>
      </c>
      <c r="E243" s="18">
        <f t="shared" si="50"/>
        <v>0</v>
      </c>
    </row>
    <row r="244" spans="1:5" ht="15" x14ac:dyDescent="0.2">
      <c r="A244" s="7">
        <v>131906</v>
      </c>
      <c r="B244" s="3" t="s">
        <v>170</v>
      </c>
      <c r="C244" s="25">
        <v>0</v>
      </c>
      <c r="D244" s="25">
        <v>0</v>
      </c>
      <c r="E244" s="18">
        <f t="shared" si="50"/>
        <v>0</v>
      </c>
    </row>
    <row r="245" spans="1:5" ht="15" x14ac:dyDescent="0.2">
      <c r="A245" s="7">
        <v>131907</v>
      </c>
      <c r="B245" s="3" t="s">
        <v>171</v>
      </c>
      <c r="C245" s="25">
        <v>0</v>
      </c>
      <c r="D245" s="25">
        <v>0</v>
      </c>
      <c r="E245" s="18">
        <f t="shared" si="50"/>
        <v>0</v>
      </c>
    </row>
    <row r="246" spans="1:5" ht="15" x14ac:dyDescent="0.2">
      <c r="A246" s="7">
        <v>131908</v>
      </c>
      <c r="B246" s="3" t="s">
        <v>172</v>
      </c>
      <c r="C246" s="25">
        <v>0</v>
      </c>
      <c r="D246" s="25">
        <v>0</v>
      </c>
      <c r="E246" s="18">
        <f t="shared" si="50"/>
        <v>0</v>
      </c>
    </row>
    <row r="247" spans="1:5" ht="15" x14ac:dyDescent="0.2">
      <c r="A247" s="7">
        <v>131909</v>
      </c>
      <c r="B247" s="3" t="s">
        <v>173</v>
      </c>
      <c r="C247" s="25">
        <v>0</v>
      </c>
      <c r="D247" s="25">
        <v>0</v>
      </c>
      <c r="E247" s="18">
        <f t="shared" si="50"/>
        <v>0</v>
      </c>
    </row>
    <row r="248" spans="1:5" ht="15" x14ac:dyDescent="0.2">
      <c r="A248" s="7">
        <v>131910</v>
      </c>
      <c r="B248" s="3" t="s">
        <v>174</v>
      </c>
      <c r="C248" s="25">
        <v>0</v>
      </c>
      <c r="D248" s="25">
        <v>0</v>
      </c>
      <c r="E248" s="18">
        <f t="shared" si="50"/>
        <v>0</v>
      </c>
    </row>
    <row r="249" spans="1:5" ht="15" x14ac:dyDescent="0.2">
      <c r="A249" s="7">
        <v>131911</v>
      </c>
      <c r="B249" s="3" t="s">
        <v>175</v>
      </c>
      <c r="C249" s="25">
        <v>0</v>
      </c>
      <c r="D249" s="25">
        <v>0</v>
      </c>
      <c r="E249" s="18">
        <f t="shared" si="50"/>
        <v>0</v>
      </c>
    </row>
    <row r="250" spans="1:5" ht="15" x14ac:dyDescent="0.2">
      <c r="A250" s="7">
        <v>131912</v>
      </c>
      <c r="B250" s="3" t="s">
        <v>176</v>
      </c>
      <c r="C250" s="25">
        <v>0</v>
      </c>
      <c r="D250" s="25">
        <v>0</v>
      </c>
      <c r="E250" s="18">
        <f t="shared" si="50"/>
        <v>0</v>
      </c>
    </row>
    <row r="251" spans="1:5" ht="15" x14ac:dyDescent="0.2">
      <c r="A251" s="7">
        <v>131913</v>
      </c>
      <c r="B251" s="3" t="s">
        <v>177</v>
      </c>
      <c r="C251" s="25">
        <v>0</v>
      </c>
      <c r="D251" s="25">
        <v>0</v>
      </c>
      <c r="E251" s="18">
        <f t="shared" si="50"/>
        <v>0</v>
      </c>
    </row>
    <row r="252" spans="1:5" ht="15" x14ac:dyDescent="0.2">
      <c r="A252" s="7">
        <v>131914</v>
      </c>
      <c r="B252" s="3" t="s">
        <v>178</v>
      </c>
      <c r="C252" s="25">
        <v>0</v>
      </c>
      <c r="D252" s="25">
        <v>0</v>
      </c>
      <c r="E252" s="18">
        <f t="shared" si="50"/>
        <v>0</v>
      </c>
    </row>
    <row r="253" spans="1:5" ht="15" x14ac:dyDescent="0.2">
      <c r="A253" s="7">
        <v>131915</v>
      </c>
      <c r="B253" s="3" t="s">
        <v>179</v>
      </c>
      <c r="C253" s="25">
        <v>0</v>
      </c>
      <c r="D253" s="25">
        <v>0</v>
      </c>
      <c r="E253" s="18">
        <f t="shared" si="50"/>
        <v>0</v>
      </c>
    </row>
    <row r="254" spans="1:5" ht="15" x14ac:dyDescent="0.2">
      <c r="A254" s="7">
        <v>131916</v>
      </c>
      <c r="B254" s="3" t="s">
        <v>180</v>
      </c>
      <c r="C254" s="25">
        <v>0</v>
      </c>
      <c r="D254" s="25">
        <v>0</v>
      </c>
      <c r="E254" s="18">
        <f t="shared" si="50"/>
        <v>0</v>
      </c>
    </row>
    <row r="255" spans="1:5" ht="15" x14ac:dyDescent="0.2">
      <c r="A255" s="7">
        <v>131917</v>
      </c>
      <c r="B255" s="3" t="s">
        <v>181</v>
      </c>
      <c r="C255" s="25">
        <v>0</v>
      </c>
      <c r="D255" s="25">
        <v>0</v>
      </c>
      <c r="E255" s="18">
        <f t="shared" si="50"/>
        <v>0</v>
      </c>
    </row>
    <row r="256" spans="1:5" ht="15" x14ac:dyDescent="0.2">
      <c r="A256" s="7">
        <v>131918</v>
      </c>
      <c r="B256" s="4" t="s">
        <v>182</v>
      </c>
      <c r="C256" s="26">
        <v>0</v>
      </c>
      <c r="D256" s="26">
        <v>0</v>
      </c>
      <c r="E256" s="18">
        <f t="shared" si="50"/>
        <v>0</v>
      </c>
    </row>
    <row r="257" spans="1:5" ht="15" x14ac:dyDescent="0.2">
      <c r="A257" s="7">
        <v>131919</v>
      </c>
      <c r="B257" s="4" t="s">
        <v>183</v>
      </c>
      <c r="C257" s="26">
        <v>0</v>
      </c>
      <c r="D257" s="26">
        <v>0</v>
      </c>
      <c r="E257" s="18">
        <f t="shared" si="50"/>
        <v>0</v>
      </c>
    </row>
    <row r="258" spans="1:5" ht="15" x14ac:dyDescent="0.2">
      <c r="A258" s="7">
        <v>131920</v>
      </c>
      <c r="B258" s="4" t="s">
        <v>184</v>
      </c>
      <c r="C258" s="26">
        <v>0</v>
      </c>
      <c r="D258" s="26">
        <v>0</v>
      </c>
      <c r="E258" s="18">
        <f t="shared" si="50"/>
        <v>0</v>
      </c>
    </row>
    <row r="259" spans="1:5" ht="15" x14ac:dyDescent="0.2">
      <c r="A259" s="7">
        <v>131921</v>
      </c>
      <c r="B259" s="4" t="s">
        <v>185</v>
      </c>
      <c r="C259" s="26">
        <v>0</v>
      </c>
      <c r="D259" s="26">
        <v>0</v>
      </c>
      <c r="E259" s="18">
        <f t="shared" si="50"/>
        <v>0</v>
      </c>
    </row>
    <row r="260" spans="1:5" ht="15" x14ac:dyDescent="0.2">
      <c r="A260" s="7">
        <v>131922</v>
      </c>
      <c r="B260" s="3" t="s">
        <v>186</v>
      </c>
      <c r="C260" s="25">
        <v>0</v>
      </c>
      <c r="D260" s="25">
        <v>0</v>
      </c>
      <c r="E260" s="18">
        <f t="shared" si="50"/>
        <v>0</v>
      </c>
    </row>
    <row r="261" spans="1:5" ht="15" x14ac:dyDescent="0.2">
      <c r="A261" s="7">
        <v>131923</v>
      </c>
      <c r="B261" s="3" t="s">
        <v>187</v>
      </c>
      <c r="C261" s="25">
        <v>0</v>
      </c>
      <c r="D261" s="25">
        <v>0</v>
      </c>
      <c r="E261" s="18">
        <f t="shared" si="50"/>
        <v>0</v>
      </c>
    </row>
    <row r="262" spans="1:5" ht="15" x14ac:dyDescent="0.2">
      <c r="A262" s="7">
        <v>131924</v>
      </c>
      <c r="B262" s="3" t="s">
        <v>188</v>
      </c>
      <c r="C262" s="25">
        <v>0</v>
      </c>
      <c r="D262" s="25">
        <v>0</v>
      </c>
      <c r="E262" s="18">
        <f t="shared" si="50"/>
        <v>0</v>
      </c>
    </row>
    <row r="263" spans="1:5" ht="15" x14ac:dyDescent="0.2">
      <c r="A263" s="7">
        <v>131925</v>
      </c>
      <c r="B263" s="3" t="s">
        <v>189</v>
      </c>
      <c r="C263" s="25">
        <v>0</v>
      </c>
      <c r="D263" s="25">
        <v>0</v>
      </c>
      <c r="E263" s="18">
        <f t="shared" si="50"/>
        <v>0</v>
      </c>
    </row>
    <row r="264" spans="1:5" ht="15" x14ac:dyDescent="0.2">
      <c r="A264" s="7">
        <v>131926</v>
      </c>
      <c r="B264" s="16" t="s">
        <v>1686</v>
      </c>
      <c r="C264" s="25">
        <v>0</v>
      </c>
      <c r="D264" s="25">
        <v>0</v>
      </c>
      <c r="E264" s="18">
        <f t="shared" si="50"/>
        <v>0</v>
      </c>
    </row>
    <row r="265" spans="1:5" ht="15" x14ac:dyDescent="0.2">
      <c r="A265" s="7">
        <v>131927</v>
      </c>
      <c r="B265" s="3" t="s">
        <v>190</v>
      </c>
      <c r="C265" s="25">
        <v>0</v>
      </c>
      <c r="D265" s="25">
        <v>0</v>
      </c>
      <c r="E265" s="18">
        <f t="shared" si="50"/>
        <v>0</v>
      </c>
    </row>
    <row r="266" spans="1:5" ht="15" x14ac:dyDescent="0.2">
      <c r="A266" s="7">
        <v>131928</v>
      </c>
      <c r="B266" s="4" t="s">
        <v>191</v>
      </c>
      <c r="C266" s="26">
        <v>0</v>
      </c>
      <c r="D266" s="26">
        <v>0</v>
      </c>
      <c r="E266" s="18">
        <f t="shared" si="50"/>
        <v>0</v>
      </c>
    </row>
    <row r="267" spans="1:5" ht="15" x14ac:dyDescent="0.2">
      <c r="A267" s="7">
        <v>131929</v>
      </c>
      <c r="B267" s="3" t="s">
        <v>192</v>
      </c>
      <c r="C267" s="25">
        <v>0</v>
      </c>
      <c r="D267" s="25">
        <v>0</v>
      </c>
      <c r="E267" s="18">
        <f t="shared" si="50"/>
        <v>0</v>
      </c>
    </row>
    <row r="268" spans="1:5" ht="15" x14ac:dyDescent="0.2">
      <c r="A268" s="7">
        <v>131930</v>
      </c>
      <c r="B268" s="3" t="s">
        <v>193</v>
      </c>
      <c r="C268" s="25">
        <v>0</v>
      </c>
      <c r="D268" s="25">
        <v>0</v>
      </c>
      <c r="E268" s="18">
        <f t="shared" si="50"/>
        <v>0</v>
      </c>
    </row>
    <row r="269" spans="1:5" ht="15" x14ac:dyDescent="0.2">
      <c r="A269" s="7">
        <v>131980</v>
      </c>
      <c r="B269" s="3" t="s">
        <v>194</v>
      </c>
      <c r="C269" s="25">
        <v>0</v>
      </c>
      <c r="D269" s="25">
        <v>0</v>
      </c>
      <c r="E269" s="18">
        <f t="shared" si="50"/>
        <v>0</v>
      </c>
    </row>
    <row r="270" spans="1:5" ht="15" x14ac:dyDescent="0.2">
      <c r="A270" s="7">
        <v>131990</v>
      </c>
      <c r="B270" s="3" t="s">
        <v>195</v>
      </c>
      <c r="C270" s="25">
        <v>0</v>
      </c>
      <c r="D270" s="25">
        <v>0</v>
      </c>
      <c r="E270" s="18">
        <f t="shared" si="50"/>
        <v>0</v>
      </c>
    </row>
    <row r="271" spans="1:5" ht="15" x14ac:dyDescent="0.2">
      <c r="A271" s="6">
        <v>1322</v>
      </c>
      <c r="B271" s="2" t="s">
        <v>196</v>
      </c>
      <c r="C271" s="24">
        <f>SUM(C272:C295)</f>
        <v>0</v>
      </c>
      <c r="D271" s="24">
        <f t="shared" ref="D271:E271" si="51">SUM(D272:D295)</f>
        <v>0</v>
      </c>
      <c r="E271" s="17">
        <f t="shared" si="51"/>
        <v>0</v>
      </c>
    </row>
    <row r="272" spans="1:5" ht="15" x14ac:dyDescent="0.2">
      <c r="A272" s="7">
        <v>132201</v>
      </c>
      <c r="B272" s="3" t="s">
        <v>197</v>
      </c>
      <c r="C272" s="25">
        <v>0</v>
      </c>
      <c r="D272" s="25">
        <v>0</v>
      </c>
      <c r="E272" s="18">
        <f t="shared" si="50"/>
        <v>0</v>
      </c>
    </row>
    <row r="273" spans="1:5" ht="15" x14ac:dyDescent="0.2">
      <c r="A273" s="7">
        <v>132202</v>
      </c>
      <c r="B273" s="3" t="s">
        <v>198</v>
      </c>
      <c r="C273" s="25">
        <v>0</v>
      </c>
      <c r="D273" s="25">
        <v>0</v>
      </c>
      <c r="E273" s="18">
        <f t="shared" si="50"/>
        <v>0</v>
      </c>
    </row>
    <row r="274" spans="1:5" ht="15" x14ac:dyDescent="0.2">
      <c r="A274" s="7">
        <v>132203</v>
      </c>
      <c r="B274" s="3" t="s">
        <v>199</v>
      </c>
      <c r="C274" s="25">
        <v>0</v>
      </c>
      <c r="D274" s="25">
        <v>0</v>
      </c>
      <c r="E274" s="18">
        <f t="shared" si="50"/>
        <v>0</v>
      </c>
    </row>
    <row r="275" spans="1:5" ht="15" x14ac:dyDescent="0.2">
      <c r="A275" s="7">
        <v>132204</v>
      </c>
      <c r="B275" s="3" t="s">
        <v>200</v>
      </c>
      <c r="C275" s="25">
        <v>0</v>
      </c>
      <c r="D275" s="25">
        <v>0</v>
      </c>
      <c r="E275" s="18">
        <f t="shared" si="50"/>
        <v>0</v>
      </c>
    </row>
    <row r="276" spans="1:5" ht="15" x14ac:dyDescent="0.2">
      <c r="A276" s="7">
        <v>132205</v>
      </c>
      <c r="B276" s="3" t="s">
        <v>201</v>
      </c>
      <c r="C276" s="25">
        <v>0</v>
      </c>
      <c r="D276" s="25">
        <v>0</v>
      </c>
      <c r="E276" s="18">
        <f t="shared" si="50"/>
        <v>0</v>
      </c>
    </row>
    <row r="277" spans="1:5" ht="15" x14ac:dyDescent="0.2">
      <c r="A277" s="7">
        <v>132206</v>
      </c>
      <c r="B277" s="3" t="s">
        <v>202</v>
      </c>
      <c r="C277" s="25">
        <v>0</v>
      </c>
      <c r="D277" s="25">
        <v>0</v>
      </c>
      <c r="E277" s="18">
        <f t="shared" si="50"/>
        <v>0</v>
      </c>
    </row>
    <row r="278" spans="1:5" ht="15" x14ac:dyDescent="0.2">
      <c r="A278" s="7">
        <v>132207</v>
      </c>
      <c r="B278" s="3" t="s">
        <v>203</v>
      </c>
      <c r="C278" s="25">
        <v>0</v>
      </c>
      <c r="D278" s="25">
        <v>0</v>
      </c>
      <c r="E278" s="18">
        <f t="shared" si="50"/>
        <v>0</v>
      </c>
    </row>
    <row r="279" spans="1:5" ht="15" x14ac:dyDescent="0.2">
      <c r="A279" s="7">
        <v>132208</v>
      </c>
      <c r="B279" s="3" t="s">
        <v>204</v>
      </c>
      <c r="C279" s="25">
        <v>0</v>
      </c>
      <c r="D279" s="25">
        <v>0</v>
      </c>
      <c r="E279" s="18">
        <f t="shared" si="50"/>
        <v>0</v>
      </c>
    </row>
    <row r="280" spans="1:5" ht="15" x14ac:dyDescent="0.2">
      <c r="A280" s="7">
        <v>132209</v>
      </c>
      <c r="B280" s="3" t="s">
        <v>205</v>
      </c>
      <c r="C280" s="25">
        <v>0</v>
      </c>
      <c r="D280" s="25">
        <v>0</v>
      </c>
      <c r="E280" s="18">
        <f t="shared" si="50"/>
        <v>0</v>
      </c>
    </row>
    <row r="281" spans="1:5" ht="15" x14ac:dyDescent="0.2">
      <c r="A281" s="7">
        <v>132210</v>
      </c>
      <c r="B281" s="3" t="s">
        <v>206</v>
      </c>
      <c r="C281" s="25">
        <v>0</v>
      </c>
      <c r="D281" s="25">
        <v>0</v>
      </c>
      <c r="E281" s="18">
        <f t="shared" si="50"/>
        <v>0</v>
      </c>
    </row>
    <row r="282" spans="1:5" ht="15" x14ac:dyDescent="0.2">
      <c r="A282" s="7">
        <v>132211</v>
      </c>
      <c r="B282" s="3" t="s">
        <v>207</v>
      </c>
      <c r="C282" s="25">
        <v>0</v>
      </c>
      <c r="D282" s="25">
        <v>0</v>
      </c>
      <c r="E282" s="18">
        <f t="shared" si="50"/>
        <v>0</v>
      </c>
    </row>
    <row r="283" spans="1:5" ht="15" x14ac:dyDescent="0.2">
      <c r="A283" s="7">
        <v>132212</v>
      </c>
      <c r="B283" s="3" t="s">
        <v>208</v>
      </c>
      <c r="C283" s="25">
        <v>0</v>
      </c>
      <c r="D283" s="25">
        <v>0</v>
      </c>
      <c r="E283" s="18">
        <f t="shared" si="50"/>
        <v>0</v>
      </c>
    </row>
    <row r="284" spans="1:5" ht="15" x14ac:dyDescent="0.2">
      <c r="A284" s="7">
        <v>132213</v>
      </c>
      <c r="B284" s="3" t="s">
        <v>209</v>
      </c>
      <c r="C284" s="25">
        <v>0</v>
      </c>
      <c r="D284" s="25">
        <v>0</v>
      </c>
      <c r="E284" s="18">
        <f t="shared" si="50"/>
        <v>0</v>
      </c>
    </row>
    <row r="285" spans="1:5" ht="15" x14ac:dyDescent="0.2">
      <c r="A285" s="7">
        <v>132214</v>
      </c>
      <c r="B285" s="3" t="s">
        <v>210</v>
      </c>
      <c r="C285" s="25">
        <v>0</v>
      </c>
      <c r="D285" s="25">
        <v>0</v>
      </c>
      <c r="E285" s="18">
        <f t="shared" si="50"/>
        <v>0</v>
      </c>
    </row>
    <row r="286" spans="1:5" ht="15" x14ac:dyDescent="0.2">
      <c r="A286" s="7">
        <v>132215</v>
      </c>
      <c r="B286" s="3" t="s">
        <v>211</v>
      </c>
      <c r="C286" s="25">
        <v>0</v>
      </c>
      <c r="D286" s="25">
        <v>0</v>
      </c>
      <c r="E286" s="18">
        <f t="shared" si="50"/>
        <v>0</v>
      </c>
    </row>
    <row r="287" spans="1:5" ht="15" x14ac:dyDescent="0.2">
      <c r="A287" s="7">
        <v>132216</v>
      </c>
      <c r="B287" s="3" t="s">
        <v>212</v>
      </c>
      <c r="C287" s="25">
        <v>0</v>
      </c>
      <c r="D287" s="25">
        <v>0</v>
      </c>
      <c r="E287" s="18">
        <f t="shared" si="50"/>
        <v>0</v>
      </c>
    </row>
    <row r="288" spans="1:5" ht="15" x14ac:dyDescent="0.2">
      <c r="A288" s="7">
        <v>132217</v>
      </c>
      <c r="B288" s="3" t="s">
        <v>213</v>
      </c>
      <c r="C288" s="25">
        <v>0</v>
      </c>
      <c r="D288" s="25">
        <v>0</v>
      </c>
      <c r="E288" s="18">
        <f t="shared" si="50"/>
        <v>0</v>
      </c>
    </row>
    <row r="289" spans="1:5" ht="15" x14ac:dyDescent="0.2">
      <c r="A289" s="7">
        <v>132218</v>
      </c>
      <c r="B289" s="3" t="s">
        <v>214</v>
      </c>
      <c r="C289" s="25">
        <v>0</v>
      </c>
      <c r="D289" s="25">
        <v>0</v>
      </c>
      <c r="E289" s="18">
        <f t="shared" si="50"/>
        <v>0</v>
      </c>
    </row>
    <row r="290" spans="1:5" ht="15" x14ac:dyDescent="0.2">
      <c r="A290" s="7">
        <v>132219</v>
      </c>
      <c r="B290" s="3" t="s">
        <v>215</v>
      </c>
      <c r="C290" s="25">
        <v>0</v>
      </c>
      <c r="D290" s="25">
        <v>0</v>
      </c>
      <c r="E290" s="18">
        <f t="shared" si="50"/>
        <v>0</v>
      </c>
    </row>
    <row r="291" spans="1:5" ht="15" x14ac:dyDescent="0.2">
      <c r="A291" s="7">
        <v>132220</v>
      </c>
      <c r="B291" s="3" t="s">
        <v>216</v>
      </c>
      <c r="C291" s="25">
        <v>0</v>
      </c>
      <c r="D291" s="25">
        <v>0</v>
      </c>
      <c r="E291" s="18">
        <f t="shared" si="50"/>
        <v>0</v>
      </c>
    </row>
    <row r="292" spans="1:5" ht="15" x14ac:dyDescent="0.2">
      <c r="A292" s="7">
        <v>132222</v>
      </c>
      <c r="B292" s="3" t="s">
        <v>217</v>
      </c>
      <c r="C292" s="25">
        <v>0</v>
      </c>
      <c r="D292" s="25">
        <v>0</v>
      </c>
      <c r="E292" s="18">
        <f t="shared" si="50"/>
        <v>0</v>
      </c>
    </row>
    <row r="293" spans="1:5" ht="15" x14ac:dyDescent="0.2">
      <c r="A293" s="7">
        <v>132223</v>
      </c>
      <c r="B293" s="3" t="s">
        <v>218</v>
      </c>
      <c r="C293" s="25">
        <v>0</v>
      </c>
      <c r="D293" s="25">
        <v>0</v>
      </c>
      <c r="E293" s="18">
        <f t="shared" si="50"/>
        <v>0</v>
      </c>
    </row>
    <row r="294" spans="1:5" ht="15" x14ac:dyDescent="0.2">
      <c r="A294" s="7">
        <v>132281</v>
      </c>
      <c r="B294" s="3" t="s">
        <v>219</v>
      </c>
      <c r="C294" s="25">
        <v>0</v>
      </c>
      <c r="D294" s="25">
        <v>0</v>
      </c>
      <c r="E294" s="18">
        <f t="shared" si="50"/>
        <v>0</v>
      </c>
    </row>
    <row r="295" spans="1:5" ht="15" x14ac:dyDescent="0.2">
      <c r="A295" s="7">
        <v>132290</v>
      </c>
      <c r="B295" s="3" t="s">
        <v>220</v>
      </c>
      <c r="C295" s="25">
        <v>0</v>
      </c>
      <c r="D295" s="25">
        <v>0</v>
      </c>
      <c r="E295" s="18">
        <f t="shared" si="50"/>
        <v>0</v>
      </c>
    </row>
    <row r="296" spans="1:5" ht="15" x14ac:dyDescent="0.2">
      <c r="A296" s="6">
        <v>1324</v>
      </c>
      <c r="B296" s="2" t="s">
        <v>221</v>
      </c>
      <c r="C296" s="24">
        <f>SUM(C297:C299)</f>
        <v>0</v>
      </c>
      <c r="D296" s="24">
        <f t="shared" ref="D296:E296" si="52">SUM(D297:D299)</f>
        <v>0</v>
      </c>
      <c r="E296" s="17">
        <f t="shared" si="52"/>
        <v>0</v>
      </c>
    </row>
    <row r="297" spans="1:5" ht="15" x14ac:dyDescent="0.2">
      <c r="A297" s="7">
        <v>132415</v>
      </c>
      <c r="B297" s="3" t="s">
        <v>222</v>
      </c>
      <c r="C297" s="25">
        <v>0</v>
      </c>
      <c r="D297" s="25">
        <v>0</v>
      </c>
      <c r="E297" s="18">
        <f t="shared" si="50"/>
        <v>0</v>
      </c>
    </row>
    <row r="298" spans="1:5" ht="15" x14ac:dyDescent="0.2">
      <c r="A298" s="7">
        <v>132416</v>
      </c>
      <c r="B298" s="3" t="s">
        <v>223</v>
      </c>
      <c r="C298" s="25">
        <v>0</v>
      </c>
      <c r="D298" s="25">
        <v>0</v>
      </c>
      <c r="E298" s="18">
        <f t="shared" si="50"/>
        <v>0</v>
      </c>
    </row>
    <row r="299" spans="1:5" ht="15" x14ac:dyDescent="0.2">
      <c r="A299" s="7">
        <v>132495</v>
      </c>
      <c r="B299" s="3" t="s">
        <v>224</v>
      </c>
      <c r="C299" s="25">
        <v>0</v>
      </c>
      <c r="D299" s="25">
        <v>0</v>
      </c>
      <c r="E299" s="18">
        <f t="shared" si="50"/>
        <v>0</v>
      </c>
    </row>
    <row r="300" spans="1:5" ht="15" x14ac:dyDescent="0.2">
      <c r="A300" s="6">
        <v>1333</v>
      </c>
      <c r="B300" s="2" t="s">
        <v>225</v>
      </c>
      <c r="C300" s="24">
        <f>SUM(C301)</f>
        <v>0</v>
      </c>
      <c r="D300" s="24">
        <f t="shared" ref="D300:E300" si="53">SUM(D301)</f>
        <v>0</v>
      </c>
      <c r="E300" s="17">
        <f t="shared" si="53"/>
        <v>0</v>
      </c>
    </row>
    <row r="301" spans="1:5" ht="15" x14ac:dyDescent="0.2">
      <c r="A301" s="7">
        <v>133301</v>
      </c>
      <c r="B301" s="3" t="s">
        <v>226</v>
      </c>
      <c r="C301" s="25">
        <v>0</v>
      </c>
      <c r="D301" s="25">
        <v>0</v>
      </c>
      <c r="E301" s="18">
        <f t="shared" si="50"/>
        <v>0</v>
      </c>
    </row>
    <row r="302" spans="1:5" ht="15" x14ac:dyDescent="0.2">
      <c r="A302" s="6">
        <v>1384</v>
      </c>
      <c r="B302" s="2" t="s">
        <v>227</v>
      </c>
      <c r="C302" s="24">
        <f>SUM(C303:C333)</f>
        <v>0</v>
      </c>
      <c r="D302" s="24">
        <f t="shared" ref="D302:E302" si="54">SUM(D303:D333)</f>
        <v>0</v>
      </c>
      <c r="E302" s="28">
        <f t="shared" si="54"/>
        <v>0</v>
      </c>
    </row>
    <row r="303" spans="1:5" ht="15" x14ac:dyDescent="0.2">
      <c r="A303" s="7">
        <v>138401</v>
      </c>
      <c r="B303" s="3" t="s">
        <v>228</v>
      </c>
      <c r="C303" s="25">
        <v>0</v>
      </c>
      <c r="D303" s="25">
        <v>0</v>
      </c>
      <c r="E303" s="18">
        <f t="shared" ref="E303:E333" si="55">SUM(C303:D303)</f>
        <v>0</v>
      </c>
    </row>
    <row r="304" spans="1:5" ht="15" x14ac:dyDescent="0.2">
      <c r="A304" s="7">
        <v>138403</v>
      </c>
      <c r="B304" s="3" t="s">
        <v>229</v>
      </c>
      <c r="C304" s="25">
        <v>0</v>
      </c>
      <c r="D304" s="25">
        <v>0</v>
      </c>
      <c r="E304" s="18">
        <f t="shared" si="55"/>
        <v>0</v>
      </c>
    </row>
    <row r="305" spans="1:5" ht="15" x14ac:dyDescent="0.2">
      <c r="A305" s="7">
        <v>138404</v>
      </c>
      <c r="B305" s="3" t="s">
        <v>230</v>
      </c>
      <c r="C305" s="25">
        <v>0</v>
      </c>
      <c r="D305" s="25">
        <v>0</v>
      </c>
      <c r="E305" s="18">
        <f t="shared" si="55"/>
        <v>0</v>
      </c>
    </row>
    <row r="306" spans="1:5" ht="15" x14ac:dyDescent="0.2">
      <c r="A306" s="7">
        <v>138405</v>
      </c>
      <c r="B306" s="3" t="s">
        <v>231</v>
      </c>
      <c r="C306" s="25">
        <v>0</v>
      </c>
      <c r="D306" s="25">
        <v>0</v>
      </c>
      <c r="E306" s="18">
        <f t="shared" si="55"/>
        <v>0</v>
      </c>
    </row>
    <row r="307" spans="1:5" ht="15" x14ac:dyDescent="0.2">
      <c r="A307" s="7">
        <v>138406</v>
      </c>
      <c r="B307" s="3" t="s">
        <v>232</v>
      </c>
      <c r="C307" s="25">
        <v>0</v>
      </c>
      <c r="D307" s="25">
        <v>0</v>
      </c>
      <c r="E307" s="18">
        <f t="shared" si="55"/>
        <v>0</v>
      </c>
    </row>
    <row r="308" spans="1:5" ht="15" x14ac:dyDescent="0.2">
      <c r="A308" s="7">
        <v>138407</v>
      </c>
      <c r="B308" s="3" t="s">
        <v>233</v>
      </c>
      <c r="C308" s="25">
        <v>0</v>
      </c>
      <c r="D308" s="25">
        <v>0</v>
      </c>
      <c r="E308" s="18">
        <f t="shared" si="55"/>
        <v>0</v>
      </c>
    </row>
    <row r="309" spans="1:5" ht="15" x14ac:dyDescent="0.2">
      <c r="A309" s="7">
        <v>138408</v>
      </c>
      <c r="B309" s="3" t="s">
        <v>234</v>
      </c>
      <c r="C309" s="25">
        <v>0</v>
      </c>
      <c r="D309" s="25">
        <v>0</v>
      </c>
      <c r="E309" s="18">
        <f t="shared" si="55"/>
        <v>0</v>
      </c>
    </row>
    <row r="310" spans="1:5" ht="15" x14ac:dyDescent="0.2">
      <c r="A310" s="7">
        <v>138409</v>
      </c>
      <c r="B310" s="3" t="s">
        <v>235</v>
      </c>
      <c r="C310" s="25">
        <v>0</v>
      </c>
      <c r="D310" s="25">
        <v>0</v>
      </c>
      <c r="E310" s="18">
        <f t="shared" si="55"/>
        <v>0</v>
      </c>
    </row>
    <row r="311" spans="1:5" ht="15" x14ac:dyDescent="0.2">
      <c r="A311" s="7">
        <v>138410</v>
      </c>
      <c r="B311" s="3" t="s">
        <v>236</v>
      </c>
      <c r="C311" s="25">
        <v>0</v>
      </c>
      <c r="D311" s="25">
        <v>0</v>
      </c>
      <c r="E311" s="18">
        <f t="shared" si="55"/>
        <v>0</v>
      </c>
    </row>
    <row r="312" spans="1:5" ht="15" x14ac:dyDescent="0.2">
      <c r="A312" s="7">
        <v>138411</v>
      </c>
      <c r="B312" s="3" t="s">
        <v>237</v>
      </c>
      <c r="C312" s="25">
        <v>0</v>
      </c>
      <c r="D312" s="25">
        <v>0</v>
      </c>
      <c r="E312" s="18">
        <f t="shared" si="55"/>
        <v>0</v>
      </c>
    </row>
    <row r="313" spans="1:5" ht="15" x14ac:dyDescent="0.2">
      <c r="A313" s="7">
        <v>138412</v>
      </c>
      <c r="B313" s="3" t="s">
        <v>238</v>
      </c>
      <c r="C313" s="25">
        <v>0</v>
      </c>
      <c r="D313" s="25">
        <v>0</v>
      </c>
      <c r="E313" s="18">
        <f t="shared" si="55"/>
        <v>0</v>
      </c>
    </row>
    <row r="314" spans="1:5" ht="15" x14ac:dyDescent="0.2">
      <c r="A314" s="7">
        <v>138414</v>
      </c>
      <c r="B314" s="3" t="s">
        <v>239</v>
      </c>
      <c r="C314" s="25">
        <v>0</v>
      </c>
      <c r="D314" s="25">
        <v>0</v>
      </c>
      <c r="E314" s="18">
        <f t="shared" si="55"/>
        <v>0</v>
      </c>
    </row>
    <row r="315" spans="1:5" ht="15" x14ac:dyDescent="0.2">
      <c r="A315" s="7">
        <v>138416</v>
      </c>
      <c r="B315" s="3" t="s">
        <v>240</v>
      </c>
      <c r="C315" s="25">
        <v>0</v>
      </c>
      <c r="D315" s="25">
        <v>0</v>
      </c>
      <c r="E315" s="18">
        <f t="shared" si="55"/>
        <v>0</v>
      </c>
    </row>
    <row r="316" spans="1:5" ht="15" x14ac:dyDescent="0.2">
      <c r="A316" s="7">
        <v>138417</v>
      </c>
      <c r="B316" s="3" t="s">
        <v>241</v>
      </c>
      <c r="C316" s="25">
        <v>0</v>
      </c>
      <c r="D316" s="25">
        <v>0</v>
      </c>
      <c r="E316" s="18">
        <f t="shared" si="55"/>
        <v>0</v>
      </c>
    </row>
    <row r="317" spans="1:5" ht="15" x14ac:dyDescent="0.2">
      <c r="A317" s="7">
        <v>138420</v>
      </c>
      <c r="B317" s="3" t="s">
        <v>242</v>
      </c>
      <c r="C317" s="25">
        <v>0</v>
      </c>
      <c r="D317" s="25">
        <v>0</v>
      </c>
      <c r="E317" s="18">
        <f t="shared" si="55"/>
        <v>0</v>
      </c>
    </row>
    <row r="318" spans="1:5" ht="15" x14ac:dyDescent="0.2">
      <c r="A318" s="7">
        <v>138421</v>
      </c>
      <c r="B318" s="3" t="s">
        <v>243</v>
      </c>
      <c r="C318" s="25">
        <v>0</v>
      </c>
      <c r="D318" s="25">
        <v>0</v>
      </c>
      <c r="E318" s="18">
        <f t="shared" si="55"/>
        <v>0</v>
      </c>
    </row>
    <row r="319" spans="1:5" ht="15" x14ac:dyDescent="0.2">
      <c r="A319" s="7">
        <v>138422</v>
      </c>
      <c r="B319" s="3" t="s">
        <v>244</v>
      </c>
      <c r="C319" s="25">
        <v>0</v>
      </c>
      <c r="D319" s="25">
        <v>0</v>
      </c>
      <c r="E319" s="18">
        <f t="shared" si="55"/>
        <v>0</v>
      </c>
    </row>
    <row r="320" spans="1:5" ht="15" x14ac:dyDescent="0.2">
      <c r="A320" s="7">
        <v>138423</v>
      </c>
      <c r="B320" s="3" t="s">
        <v>245</v>
      </c>
      <c r="C320" s="25">
        <v>0</v>
      </c>
      <c r="D320" s="25">
        <v>0</v>
      </c>
      <c r="E320" s="18">
        <f t="shared" si="55"/>
        <v>0</v>
      </c>
    </row>
    <row r="321" spans="1:5" ht="15" x14ac:dyDescent="0.2">
      <c r="A321" s="7">
        <v>138424</v>
      </c>
      <c r="B321" s="3" t="s">
        <v>246</v>
      </c>
      <c r="C321" s="25">
        <v>0</v>
      </c>
      <c r="D321" s="25">
        <v>0</v>
      </c>
      <c r="E321" s="18">
        <f t="shared" si="55"/>
        <v>0</v>
      </c>
    </row>
    <row r="322" spans="1:5" ht="15" x14ac:dyDescent="0.2">
      <c r="A322" s="7">
        <v>138425</v>
      </c>
      <c r="B322" s="3" t="s">
        <v>247</v>
      </c>
      <c r="C322" s="25">
        <v>0</v>
      </c>
      <c r="D322" s="25">
        <v>0</v>
      </c>
      <c r="E322" s="18">
        <f t="shared" si="55"/>
        <v>0</v>
      </c>
    </row>
    <row r="323" spans="1:5" ht="15" x14ac:dyDescent="0.2">
      <c r="A323" s="7">
        <v>138426</v>
      </c>
      <c r="B323" s="3" t="s">
        <v>248</v>
      </c>
      <c r="C323" s="25">
        <v>0</v>
      </c>
      <c r="D323" s="25">
        <v>0</v>
      </c>
      <c r="E323" s="18">
        <f t="shared" si="55"/>
        <v>0</v>
      </c>
    </row>
    <row r="324" spans="1:5" ht="15" x14ac:dyDescent="0.2">
      <c r="A324" s="7">
        <v>138427</v>
      </c>
      <c r="B324" s="3" t="s">
        <v>249</v>
      </c>
      <c r="C324" s="25">
        <v>0</v>
      </c>
      <c r="D324" s="25">
        <v>0</v>
      </c>
      <c r="E324" s="18">
        <f t="shared" si="55"/>
        <v>0</v>
      </c>
    </row>
    <row r="325" spans="1:5" ht="15" x14ac:dyDescent="0.2">
      <c r="A325" s="7">
        <v>138431</v>
      </c>
      <c r="B325" s="3" t="s">
        <v>250</v>
      </c>
      <c r="C325" s="25">
        <v>0</v>
      </c>
      <c r="D325" s="25">
        <v>0</v>
      </c>
      <c r="E325" s="18">
        <f t="shared" si="55"/>
        <v>0</v>
      </c>
    </row>
    <row r="326" spans="1:5" ht="15" x14ac:dyDescent="0.2">
      <c r="A326" s="7">
        <v>138432</v>
      </c>
      <c r="B326" s="3" t="s">
        <v>251</v>
      </c>
      <c r="C326" s="25">
        <v>0</v>
      </c>
      <c r="D326" s="25">
        <v>0</v>
      </c>
      <c r="E326" s="18">
        <f t="shared" si="55"/>
        <v>0</v>
      </c>
    </row>
    <row r="327" spans="1:5" ht="15" x14ac:dyDescent="0.2">
      <c r="A327" s="7">
        <v>138435</v>
      </c>
      <c r="B327" s="3" t="s">
        <v>252</v>
      </c>
      <c r="C327" s="25">
        <v>0</v>
      </c>
      <c r="D327" s="25">
        <v>0</v>
      </c>
      <c r="E327" s="18">
        <f t="shared" si="55"/>
        <v>0</v>
      </c>
    </row>
    <row r="328" spans="1:5" ht="15" x14ac:dyDescent="0.2">
      <c r="A328" s="7">
        <v>138436</v>
      </c>
      <c r="B328" s="3" t="s">
        <v>253</v>
      </c>
      <c r="C328" s="25">
        <v>0</v>
      </c>
      <c r="D328" s="25">
        <v>0</v>
      </c>
      <c r="E328" s="18">
        <f t="shared" si="55"/>
        <v>0</v>
      </c>
    </row>
    <row r="329" spans="1:5" ht="15" x14ac:dyDescent="0.2">
      <c r="A329" s="7">
        <v>138437</v>
      </c>
      <c r="B329" s="3" t="s">
        <v>254</v>
      </c>
      <c r="C329" s="25">
        <v>0</v>
      </c>
      <c r="D329" s="25">
        <v>0</v>
      </c>
      <c r="E329" s="18">
        <f t="shared" si="55"/>
        <v>0</v>
      </c>
    </row>
    <row r="330" spans="1:5" ht="15" x14ac:dyDescent="0.2">
      <c r="A330" s="7">
        <v>138438</v>
      </c>
      <c r="B330" s="3" t="s">
        <v>255</v>
      </c>
      <c r="C330" s="25">
        <v>0</v>
      </c>
      <c r="D330" s="25">
        <v>0</v>
      </c>
      <c r="E330" s="18">
        <f t="shared" si="55"/>
        <v>0</v>
      </c>
    </row>
    <row r="331" spans="1:5" ht="15" x14ac:dyDescent="0.2">
      <c r="A331" s="7">
        <v>138439</v>
      </c>
      <c r="B331" s="3" t="s">
        <v>256</v>
      </c>
      <c r="C331" s="25">
        <v>0</v>
      </c>
      <c r="D331" s="25">
        <v>0</v>
      </c>
      <c r="E331" s="18">
        <f t="shared" si="55"/>
        <v>0</v>
      </c>
    </row>
    <row r="332" spans="1:5" ht="15" x14ac:dyDescent="0.2">
      <c r="A332" s="7">
        <v>138445</v>
      </c>
      <c r="B332" s="3" t="s">
        <v>257</v>
      </c>
      <c r="C332" s="25">
        <v>0</v>
      </c>
      <c r="D332" s="25">
        <v>0</v>
      </c>
      <c r="E332" s="18">
        <f t="shared" si="55"/>
        <v>0</v>
      </c>
    </row>
    <row r="333" spans="1:5" ht="15" x14ac:dyDescent="0.2">
      <c r="A333" s="7">
        <v>138490</v>
      </c>
      <c r="B333" s="3" t="s">
        <v>258</v>
      </c>
      <c r="C333" s="25">
        <v>0</v>
      </c>
      <c r="D333" s="25">
        <v>0</v>
      </c>
      <c r="E333" s="29">
        <f t="shared" si="55"/>
        <v>0</v>
      </c>
    </row>
    <row r="334" spans="1:5" ht="15" x14ac:dyDescent="0.2">
      <c r="A334" s="6">
        <v>1385</v>
      </c>
      <c r="B334" s="2" t="s">
        <v>259</v>
      </c>
      <c r="C334" s="24">
        <f>SUM(C335:C346)</f>
        <v>0</v>
      </c>
      <c r="D334" s="24">
        <f t="shared" ref="D334:E334" si="56">SUM(D335:D346)</f>
        <v>0</v>
      </c>
      <c r="E334" s="28">
        <f t="shared" si="56"/>
        <v>0</v>
      </c>
    </row>
    <row r="335" spans="1:5" ht="15" x14ac:dyDescent="0.2">
      <c r="A335" s="7">
        <v>138501</v>
      </c>
      <c r="B335" s="3" t="s">
        <v>260</v>
      </c>
      <c r="C335" s="25">
        <v>0</v>
      </c>
      <c r="D335" s="25">
        <v>0</v>
      </c>
      <c r="E335" s="18">
        <f t="shared" ref="E335:E346" si="57">SUM(C335:D335)</f>
        <v>0</v>
      </c>
    </row>
    <row r="336" spans="1:5" ht="15" x14ac:dyDescent="0.2">
      <c r="A336" s="7">
        <v>138502</v>
      </c>
      <c r="B336" s="3" t="s">
        <v>261</v>
      </c>
      <c r="C336" s="25">
        <v>0</v>
      </c>
      <c r="D336" s="25">
        <v>0</v>
      </c>
      <c r="E336" s="18">
        <f t="shared" si="57"/>
        <v>0</v>
      </c>
    </row>
    <row r="337" spans="1:5" ht="15" x14ac:dyDescent="0.2">
      <c r="A337" s="7">
        <v>138503</v>
      </c>
      <c r="B337" s="3" t="s">
        <v>152</v>
      </c>
      <c r="C337" s="25">
        <v>0</v>
      </c>
      <c r="D337" s="25">
        <v>0</v>
      </c>
      <c r="E337" s="18">
        <f t="shared" si="57"/>
        <v>0</v>
      </c>
    </row>
    <row r="338" spans="1:5" ht="15" x14ac:dyDescent="0.2">
      <c r="A338" s="7">
        <v>138504</v>
      </c>
      <c r="B338" s="3" t="s">
        <v>153</v>
      </c>
      <c r="C338" s="25">
        <v>0</v>
      </c>
      <c r="D338" s="25">
        <v>0</v>
      </c>
      <c r="E338" s="18">
        <f t="shared" si="57"/>
        <v>0</v>
      </c>
    </row>
    <row r="339" spans="1:5" ht="15" x14ac:dyDescent="0.2">
      <c r="A339" s="7">
        <v>138505</v>
      </c>
      <c r="B339" s="3" t="s">
        <v>154</v>
      </c>
      <c r="C339" s="25">
        <v>0</v>
      </c>
      <c r="D339" s="25">
        <v>0</v>
      </c>
      <c r="E339" s="18">
        <f t="shared" si="57"/>
        <v>0</v>
      </c>
    </row>
    <row r="340" spans="1:5" ht="15" x14ac:dyDescent="0.2">
      <c r="A340" s="7">
        <v>138506</v>
      </c>
      <c r="B340" s="3" t="s">
        <v>155</v>
      </c>
      <c r="C340" s="25">
        <v>0</v>
      </c>
      <c r="D340" s="25">
        <v>0</v>
      </c>
      <c r="E340" s="18">
        <f t="shared" si="57"/>
        <v>0</v>
      </c>
    </row>
    <row r="341" spans="1:5" ht="15" x14ac:dyDescent="0.2">
      <c r="A341" s="7">
        <v>138507</v>
      </c>
      <c r="B341" s="3" t="s">
        <v>156</v>
      </c>
      <c r="C341" s="25">
        <v>0</v>
      </c>
      <c r="D341" s="25">
        <v>0</v>
      </c>
      <c r="E341" s="18">
        <f t="shared" si="57"/>
        <v>0</v>
      </c>
    </row>
    <row r="342" spans="1:5" ht="15" x14ac:dyDescent="0.2">
      <c r="A342" s="7">
        <v>138508</v>
      </c>
      <c r="B342" s="3" t="s">
        <v>157</v>
      </c>
      <c r="C342" s="25">
        <v>0</v>
      </c>
      <c r="D342" s="25">
        <v>0</v>
      </c>
      <c r="E342" s="18">
        <f t="shared" si="57"/>
        <v>0</v>
      </c>
    </row>
    <row r="343" spans="1:5" ht="15" x14ac:dyDescent="0.2">
      <c r="A343" s="7">
        <v>138509</v>
      </c>
      <c r="B343" s="3" t="s">
        <v>262</v>
      </c>
      <c r="C343" s="25">
        <v>0</v>
      </c>
      <c r="D343" s="25">
        <v>0</v>
      </c>
      <c r="E343" s="18">
        <f t="shared" si="57"/>
        <v>0</v>
      </c>
    </row>
    <row r="344" spans="1:5" ht="15" x14ac:dyDescent="0.2">
      <c r="A344" s="7">
        <v>138510</v>
      </c>
      <c r="B344" s="3" t="s">
        <v>263</v>
      </c>
      <c r="C344" s="25">
        <v>0</v>
      </c>
      <c r="D344" s="25">
        <v>0</v>
      </c>
      <c r="E344" s="18">
        <f t="shared" si="57"/>
        <v>0</v>
      </c>
    </row>
    <row r="345" spans="1:5" ht="15" x14ac:dyDescent="0.2">
      <c r="A345" s="7">
        <v>138515</v>
      </c>
      <c r="B345" s="3" t="s">
        <v>264</v>
      </c>
      <c r="C345" s="25">
        <v>0</v>
      </c>
      <c r="D345" s="25">
        <v>0</v>
      </c>
      <c r="E345" s="29">
        <f t="shared" si="57"/>
        <v>0</v>
      </c>
    </row>
    <row r="346" spans="1:5" ht="15" x14ac:dyDescent="0.2">
      <c r="A346" s="7">
        <v>138590</v>
      </c>
      <c r="B346" s="3" t="s">
        <v>265</v>
      </c>
      <c r="C346" s="25">
        <v>0</v>
      </c>
      <c r="D346" s="25">
        <v>0</v>
      </c>
      <c r="E346" s="18">
        <f t="shared" si="57"/>
        <v>0</v>
      </c>
    </row>
    <row r="347" spans="1:5" ht="15" x14ac:dyDescent="0.2">
      <c r="A347" s="6">
        <v>1386</v>
      </c>
      <c r="B347" s="2" t="s">
        <v>266</v>
      </c>
      <c r="C347" s="24">
        <f>SUM(C348:C359)</f>
        <v>0</v>
      </c>
      <c r="D347" s="24">
        <f t="shared" ref="D347:E347" si="58">SUM(D348:D359)</f>
        <v>0</v>
      </c>
      <c r="E347" s="28">
        <f t="shared" si="58"/>
        <v>0</v>
      </c>
    </row>
    <row r="348" spans="1:5" ht="15" x14ac:dyDescent="0.2">
      <c r="A348" s="7">
        <v>138601</v>
      </c>
      <c r="B348" s="3" t="s">
        <v>260</v>
      </c>
      <c r="C348" s="25">
        <v>0</v>
      </c>
      <c r="D348" s="25">
        <v>0</v>
      </c>
      <c r="E348" s="18">
        <f t="shared" ref="E348:E359" si="59">SUM(C348:D348)</f>
        <v>0</v>
      </c>
    </row>
    <row r="349" spans="1:5" ht="15" x14ac:dyDescent="0.2">
      <c r="A349" s="7">
        <v>138602</v>
      </c>
      <c r="B349" s="3" t="s">
        <v>261</v>
      </c>
      <c r="C349" s="25">
        <v>0</v>
      </c>
      <c r="D349" s="25">
        <v>0</v>
      </c>
      <c r="E349" s="18">
        <f t="shared" si="59"/>
        <v>0</v>
      </c>
    </row>
    <row r="350" spans="1:5" ht="15" x14ac:dyDescent="0.2">
      <c r="A350" s="7">
        <v>138603</v>
      </c>
      <c r="B350" s="3" t="s">
        <v>152</v>
      </c>
      <c r="C350" s="25">
        <v>0</v>
      </c>
      <c r="D350" s="25">
        <v>0</v>
      </c>
      <c r="E350" s="18">
        <f t="shared" si="59"/>
        <v>0</v>
      </c>
    </row>
    <row r="351" spans="1:5" ht="15" x14ac:dyDescent="0.2">
      <c r="A351" s="7">
        <v>138604</v>
      </c>
      <c r="B351" s="3" t="s">
        <v>153</v>
      </c>
      <c r="C351" s="25">
        <v>0</v>
      </c>
      <c r="D351" s="25">
        <v>0</v>
      </c>
      <c r="E351" s="29">
        <f t="shared" si="59"/>
        <v>0</v>
      </c>
    </row>
    <row r="352" spans="1:5" ht="15" x14ac:dyDescent="0.2">
      <c r="A352" s="7">
        <v>138605</v>
      </c>
      <c r="B352" s="3" t="s">
        <v>154</v>
      </c>
      <c r="C352" s="25">
        <v>0</v>
      </c>
      <c r="D352" s="25">
        <v>0</v>
      </c>
      <c r="E352" s="29">
        <f t="shared" si="59"/>
        <v>0</v>
      </c>
    </row>
    <row r="353" spans="1:5" ht="15" x14ac:dyDescent="0.2">
      <c r="A353" s="7">
        <v>138606</v>
      </c>
      <c r="B353" s="3" t="s">
        <v>155</v>
      </c>
      <c r="C353" s="25">
        <v>0</v>
      </c>
      <c r="D353" s="25">
        <v>0</v>
      </c>
      <c r="E353" s="29">
        <f t="shared" si="59"/>
        <v>0</v>
      </c>
    </row>
    <row r="354" spans="1:5" ht="15" x14ac:dyDescent="0.2">
      <c r="A354" s="7">
        <v>138607</v>
      </c>
      <c r="B354" s="3" t="s">
        <v>156</v>
      </c>
      <c r="C354" s="25">
        <v>0</v>
      </c>
      <c r="D354" s="25">
        <v>0</v>
      </c>
      <c r="E354" s="18">
        <f t="shared" si="59"/>
        <v>0</v>
      </c>
    </row>
    <row r="355" spans="1:5" ht="15" x14ac:dyDescent="0.2">
      <c r="A355" s="7">
        <v>138608</v>
      </c>
      <c r="B355" s="3" t="s">
        <v>157</v>
      </c>
      <c r="C355" s="25">
        <v>0</v>
      </c>
      <c r="D355" s="25">
        <v>0</v>
      </c>
      <c r="E355" s="18">
        <f t="shared" si="59"/>
        <v>0</v>
      </c>
    </row>
    <row r="356" spans="1:5" ht="15" x14ac:dyDescent="0.2">
      <c r="A356" s="7">
        <v>138609</v>
      </c>
      <c r="B356" s="3" t="s">
        <v>262</v>
      </c>
      <c r="C356" s="25">
        <v>0</v>
      </c>
      <c r="D356" s="25">
        <v>0</v>
      </c>
      <c r="E356" s="18">
        <f t="shared" si="59"/>
        <v>0</v>
      </c>
    </row>
    <row r="357" spans="1:5" ht="15" x14ac:dyDescent="0.2">
      <c r="A357" s="7">
        <v>138610</v>
      </c>
      <c r="B357" s="3" t="s">
        <v>263</v>
      </c>
      <c r="C357" s="25">
        <v>0</v>
      </c>
      <c r="D357" s="25">
        <v>0</v>
      </c>
      <c r="E357" s="18">
        <f t="shared" si="59"/>
        <v>0</v>
      </c>
    </row>
    <row r="358" spans="1:5" ht="15" x14ac:dyDescent="0.2">
      <c r="A358" s="7">
        <v>138614</v>
      </c>
      <c r="B358" s="3" t="s">
        <v>267</v>
      </c>
      <c r="C358" s="25">
        <v>0</v>
      </c>
      <c r="D358" s="25">
        <v>0</v>
      </c>
      <c r="E358" s="18">
        <f t="shared" si="59"/>
        <v>0</v>
      </c>
    </row>
    <row r="359" spans="1:5" ht="15" x14ac:dyDescent="0.2">
      <c r="A359" s="7">
        <v>138690</v>
      </c>
      <c r="B359" s="3" t="s">
        <v>258</v>
      </c>
      <c r="C359" s="25">
        <v>0</v>
      </c>
      <c r="D359" s="25">
        <v>0</v>
      </c>
      <c r="E359" s="29">
        <f t="shared" si="59"/>
        <v>0</v>
      </c>
    </row>
    <row r="360" spans="1:5" ht="15" x14ac:dyDescent="0.2">
      <c r="A360" s="6">
        <v>1387</v>
      </c>
      <c r="B360" s="2" t="s">
        <v>268</v>
      </c>
      <c r="C360" s="24">
        <f>SUM(C361:C370)</f>
        <v>0</v>
      </c>
      <c r="D360" s="24">
        <f t="shared" ref="D360:E360" si="60">SUM(D361:D370)</f>
        <v>0</v>
      </c>
      <c r="E360" s="17">
        <f t="shared" si="60"/>
        <v>0</v>
      </c>
    </row>
    <row r="361" spans="1:5" ht="15" x14ac:dyDescent="0.2">
      <c r="A361" s="7">
        <v>138701</v>
      </c>
      <c r="B361" s="3" t="s">
        <v>260</v>
      </c>
      <c r="C361" s="25">
        <v>0</v>
      </c>
      <c r="D361" s="25">
        <v>0</v>
      </c>
      <c r="E361" s="18">
        <f t="shared" ref="E361:E370" si="61">SUM(C361:D361)</f>
        <v>0</v>
      </c>
    </row>
    <row r="362" spans="1:5" ht="15" x14ac:dyDescent="0.2">
      <c r="A362" s="7">
        <v>138702</v>
      </c>
      <c r="B362" s="3" t="s">
        <v>261</v>
      </c>
      <c r="C362" s="25">
        <v>0</v>
      </c>
      <c r="D362" s="25">
        <v>0</v>
      </c>
      <c r="E362" s="18">
        <f t="shared" si="61"/>
        <v>0</v>
      </c>
    </row>
    <row r="363" spans="1:5" ht="15" x14ac:dyDescent="0.2">
      <c r="A363" s="7">
        <v>138703</v>
      </c>
      <c r="B363" s="3" t="s">
        <v>152</v>
      </c>
      <c r="C363" s="25">
        <v>0</v>
      </c>
      <c r="D363" s="25">
        <v>0</v>
      </c>
      <c r="E363" s="18">
        <f t="shared" si="61"/>
        <v>0</v>
      </c>
    </row>
    <row r="364" spans="1:5" ht="15" x14ac:dyDescent="0.2">
      <c r="A364" s="7">
        <v>138704</v>
      </c>
      <c r="B364" s="3" t="s">
        <v>153</v>
      </c>
      <c r="C364" s="25">
        <v>0</v>
      </c>
      <c r="D364" s="25">
        <v>0</v>
      </c>
      <c r="E364" s="18">
        <f t="shared" si="61"/>
        <v>0</v>
      </c>
    </row>
    <row r="365" spans="1:5" ht="15" x14ac:dyDescent="0.2">
      <c r="A365" s="7">
        <v>138705</v>
      </c>
      <c r="B365" s="3" t="s">
        <v>154</v>
      </c>
      <c r="C365" s="25">
        <v>0</v>
      </c>
      <c r="D365" s="25">
        <v>0</v>
      </c>
      <c r="E365" s="18">
        <f t="shared" si="61"/>
        <v>0</v>
      </c>
    </row>
    <row r="366" spans="1:5" ht="15" x14ac:dyDescent="0.2">
      <c r="A366" s="7">
        <v>138706</v>
      </c>
      <c r="B366" s="3" t="s">
        <v>155</v>
      </c>
      <c r="C366" s="25">
        <v>0</v>
      </c>
      <c r="D366" s="25">
        <v>0</v>
      </c>
      <c r="E366" s="18">
        <f t="shared" si="61"/>
        <v>0</v>
      </c>
    </row>
    <row r="367" spans="1:5" ht="15" x14ac:dyDescent="0.2">
      <c r="A367" s="7">
        <v>138707</v>
      </c>
      <c r="B367" s="3" t="s">
        <v>156</v>
      </c>
      <c r="C367" s="25">
        <v>0</v>
      </c>
      <c r="D367" s="25">
        <v>0</v>
      </c>
      <c r="E367" s="18">
        <f t="shared" si="61"/>
        <v>0</v>
      </c>
    </row>
    <row r="368" spans="1:5" ht="15" x14ac:dyDescent="0.2">
      <c r="A368" s="7">
        <v>138708</v>
      </c>
      <c r="B368" s="3" t="s">
        <v>157</v>
      </c>
      <c r="C368" s="25">
        <v>0</v>
      </c>
      <c r="D368" s="25">
        <v>0</v>
      </c>
      <c r="E368" s="18">
        <f t="shared" si="61"/>
        <v>0</v>
      </c>
    </row>
    <row r="369" spans="1:5" ht="15" x14ac:dyDescent="0.2">
      <c r="A369" s="7">
        <v>138709</v>
      </c>
      <c r="B369" s="3" t="s">
        <v>262</v>
      </c>
      <c r="C369" s="25">
        <v>0</v>
      </c>
      <c r="D369" s="25">
        <v>0</v>
      </c>
      <c r="E369" s="18">
        <f t="shared" si="61"/>
        <v>0</v>
      </c>
    </row>
    <row r="370" spans="1:5" ht="15" x14ac:dyDescent="0.2">
      <c r="A370" s="7">
        <v>138790</v>
      </c>
      <c r="B370" s="3" t="s">
        <v>269</v>
      </c>
      <c r="C370" s="25">
        <v>0</v>
      </c>
      <c r="D370" s="25">
        <v>0</v>
      </c>
      <c r="E370" s="18">
        <f t="shared" si="61"/>
        <v>0</v>
      </c>
    </row>
    <row r="371" spans="1:5" ht="15" x14ac:dyDescent="0.2">
      <c r="A371" s="6">
        <v>1388</v>
      </c>
      <c r="B371" s="2" t="s">
        <v>270</v>
      </c>
      <c r="C371" s="24">
        <f>SUM(C372:C381)</f>
        <v>0</v>
      </c>
      <c r="D371" s="24">
        <f t="shared" ref="D371:E371" si="62">SUM(D372:D381)</f>
        <v>0</v>
      </c>
      <c r="E371" s="17">
        <f t="shared" si="62"/>
        <v>0</v>
      </c>
    </row>
    <row r="372" spans="1:5" ht="15" x14ac:dyDescent="0.2">
      <c r="A372" s="7">
        <v>138801</v>
      </c>
      <c r="B372" s="3" t="s">
        <v>260</v>
      </c>
      <c r="C372" s="25">
        <v>0</v>
      </c>
      <c r="D372" s="25">
        <v>0</v>
      </c>
      <c r="E372" s="18">
        <f t="shared" ref="E372:E381" si="63">SUM(C372:D372)</f>
        <v>0</v>
      </c>
    </row>
    <row r="373" spans="1:5" ht="15" x14ac:dyDescent="0.2">
      <c r="A373" s="7">
        <v>138802</v>
      </c>
      <c r="B373" s="3" t="s">
        <v>261</v>
      </c>
      <c r="C373" s="25">
        <v>0</v>
      </c>
      <c r="D373" s="25">
        <v>0</v>
      </c>
      <c r="E373" s="18">
        <f t="shared" si="63"/>
        <v>0</v>
      </c>
    </row>
    <row r="374" spans="1:5" ht="15" x14ac:dyDescent="0.2">
      <c r="A374" s="7">
        <v>138803</v>
      </c>
      <c r="B374" s="3" t="s">
        <v>152</v>
      </c>
      <c r="C374" s="25">
        <v>0</v>
      </c>
      <c r="D374" s="25">
        <v>0</v>
      </c>
      <c r="E374" s="18">
        <f t="shared" si="63"/>
        <v>0</v>
      </c>
    </row>
    <row r="375" spans="1:5" ht="15" x14ac:dyDescent="0.2">
      <c r="A375" s="7">
        <v>138804</v>
      </c>
      <c r="B375" s="3" t="s">
        <v>153</v>
      </c>
      <c r="C375" s="25">
        <v>0</v>
      </c>
      <c r="D375" s="25">
        <v>0</v>
      </c>
      <c r="E375" s="18">
        <f t="shared" si="63"/>
        <v>0</v>
      </c>
    </row>
    <row r="376" spans="1:5" ht="15" x14ac:dyDescent="0.2">
      <c r="A376" s="7">
        <v>138805</v>
      </c>
      <c r="B376" s="3" t="s">
        <v>154</v>
      </c>
      <c r="C376" s="25">
        <v>0</v>
      </c>
      <c r="D376" s="25">
        <v>0</v>
      </c>
      <c r="E376" s="18">
        <f t="shared" si="63"/>
        <v>0</v>
      </c>
    </row>
    <row r="377" spans="1:5" ht="15" x14ac:dyDescent="0.2">
      <c r="A377" s="7">
        <v>138806</v>
      </c>
      <c r="B377" s="3" t="s">
        <v>155</v>
      </c>
      <c r="C377" s="25">
        <v>0</v>
      </c>
      <c r="D377" s="25">
        <v>0</v>
      </c>
      <c r="E377" s="18">
        <f t="shared" si="63"/>
        <v>0</v>
      </c>
    </row>
    <row r="378" spans="1:5" ht="15" x14ac:dyDescent="0.2">
      <c r="A378" s="7">
        <v>138807</v>
      </c>
      <c r="B378" s="3" t="s">
        <v>156</v>
      </c>
      <c r="C378" s="25">
        <v>0</v>
      </c>
      <c r="D378" s="25">
        <v>0</v>
      </c>
      <c r="E378" s="18">
        <f t="shared" si="63"/>
        <v>0</v>
      </c>
    </row>
    <row r="379" spans="1:5" ht="15" x14ac:dyDescent="0.2">
      <c r="A379" s="7">
        <v>138808</v>
      </c>
      <c r="B379" s="3" t="s">
        <v>157</v>
      </c>
      <c r="C379" s="25">
        <v>0</v>
      </c>
      <c r="D379" s="25">
        <v>0</v>
      </c>
      <c r="E379" s="18">
        <f t="shared" si="63"/>
        <v>0</v>
      </c>
    </row>
    <row r="380" spans="1:5" ht="15" x14ac:dyDescent="0.2">
      <c r="A380" s="7">
        <v>138809</v>
      </c>
      <c r="B380" s="3" t="s">
        <v>262</v>
      </c>
      <c r="C380" s="25">
        <v>0</v>
      </c>
      <c r="D380" s="25">
        <v>0</v>
      </c>
      <c r="E380" s="18">
        <f t="shared" si="63"/>
        <v>0</v>
      </c>
    </row>
    <row r="381" spans="1:5" ht="15" x14ac:dyDescent="0.2">
      <c r="A381" s="7">
        <v>138890</v>
      </c>
      <c r="B381" s="3" t="s">
        <v>269</v>
      </c>
      <c r="C381" s="25">
        <v>0</v>
      </c>
      <c r="D381" s="25">
        <v>0</v>
      </c>
      <c r="E381" s="18">
        <f t="shared" si="63"/>
        <v>0</v>
      </c>
    </row>
    <row r="382" spans="1:5" ht="15" x14ac:dyDescent="0.2">
      <c r="A382" s="6">
        <v>14</v>
      </c>
      <c r="B382" s="2" t="s">
        <v>271</v>
      </c>
      <c r="C382" s="24">
        <f>SUM(C383,C397,C399,C401)</f>
        <v>0</v>
      </c>
      <c r="D382" s="24">
        <f>SUM(D383,D397,D399,D401)</f>
        <v>0</v>
      </c>
      <c r="E382" s="17">
        <f>SUM(E383,E397,E399,E401)</f>
        <v>0</v>
      </c>
    </row>
    <row r="383" spans="1:5" ht="15" x14ac:dyDescent="0.2">
      <c r="A383" s="6">
        <v>1415</v>
      </c>
      <c r="B383" s="2" t="s">
        <v>272</v>
      </c>
      <c r="C383" s="24">
        <f>SUM(C384:C396)</f>
        <v>0</v>
      </c>
      <c r="D383" s="24">
        <f t="shared" ref="D383:E383" si="64">SUM(D384:D396)</f>
        <v>0</v>
      </c>
      <c r="E383" s="17">
        <f t="shared" si="64"/>
        <v>0</v>
      </c>
    </row>
    <row r="384" spans="1:5" ht="15" x14ac:dyDescent="0.2">
      <c r="A384" s="7">
        <v>141507</v>
      </c>
      <c r="B384" s="3" t="s">
        <v>273</v>
      </c>
      <c r="C384" s="25">
        <v>0</v>
      </c>
      <c r="D384" s="25">
        <v>0</v>
      </c>
      <c r="E384" s="18">
        <f t="shared" ref="E384:E396" si="65">SUM(C384:D384)</f>
        <v>0</v>
      </c>
    </row>
    <row r="385" spans="1:5" ht="15" x14ac:dyDescent="0.2">
      <c r="A385" s="7">
        <v>141509</v>
      </c>
      <c r="B385" s="3" t="s">
        <v>274</v>
      </c>
      <c r="C385" s="25">
        <v>0</v>
      </c>
      <c r="D385" s="25">
        <v>0</v>
      </c>
      <c r="E385" s="18">
        <f t="shared" si="65"/>
        <v>0</v>
      </c>
    </row>
    <row r="386" spans="1:5" ht="15" x14ac:dyDescent="0.2">
      <c r="A386" s="7">
        <v>141510</v>
      </c>
      <c r="B386" s="3" t="s">
        <v>275</v>
      </c>
      <c r="C386" s="25">
        <v>0</v>
      </c>
      <c r="D386" s="25">
        <v>0</v>
      </c>
      <c r="E386" s="18">
        <f t="shared" si="65"/>
        <v>0</v>
      </c>
    </row>
    <row r="387" spans="1:5" ht="15" x14ac:dyDescent="0.2">
      <c r="A387" s="7">
        <v>141520</v>
      </c>
      <c r="B387" s="3" t="s">
        <v>276</v>
      </c>
      <c r="C387" s="25">
        <v>0</v>
      </c>
      <c r="D387" s="25">
        <v>0</v>
      </c>
      <c r="E387" s="18">
        <f t="shared" si="65"/>
        <v>0</v>
      </c>
    </row>
    <row r="388" spans="1:5" ht="15" x14ac:dyDescent="0.2">
      <c r="A388" s="7">
        <v>141521</v>
      </c>
      <c r="B388" s="3" t="s">
        <v>277</v>
      </c>
      <c r="C388" s="25">
        <v>0</v>
      </c>
      <c r="D388" s="25">
        <v>0</v>
      </c>
      <c r="E388" s="18">
        <f t="shared" si="65"/>
        <v>0</v>
      </c>
    </row>
    <row r="389" spans="1:5" ht="15" x14ac:dyDescent="0.2">
      <c r="A389" s="7">
        <v>141522</v>
      </c>
      <c r="B389" s="3" t="s">
        <v>278</v>
      </c>
      <c r="C389" s="25">
        <v>0</v>
      </c>
      <c r="D389" s="25">
        <v>0</v>
      </c>
      <c r="E389" s="18">
        <f t="shared" si="65"/>
        <v>0</v>
      </c>
    </row>
    <row r="390" spans="1:5" ht="15" x14ac:dyDescent="0.2">
      <c r="A390" s="7">
        <v>141523</v>
      </c>
      <c r="B390" s="3" t="s">
        <v>279</v>
      </c>
      <c r="C390" s="25">
        <v>0</v>
      </c>
      <c r="D390" s="25">
        <v>0</v>
      </c>
      <c r="E390" s="18">
        <f t="shared" si="65"/>
        <v>0</v>
      </c>
    </row>
    <row r="391" spans="1:5" ht="15" x14ac:dyDescent="0.2">
      <c r="A391" s="7">
        <v>141524</v>
      </c>
      <c r="B391" s="3" t="s">
        <v>280</v>
      </c>
      <c r="C391" s="25">
        <v>0</v>
      </c>
      <c r="D391" s="25">
        <v>0</v>
      </c>
      <c r="E391" s="18">
        <f t="shared" si="65"/>
        <v>0</v>
      </c>
    </row>
    <row r="392" spans="1:5" ht="15" x14ac:dyDescent="0.2">
      <c r="A392" s="7">
        <v>141525</v>
      </c>
      <c r="B392" s="3" t="s">
        <v>281</v>
      </c>
      <c r="C392" s="25">
        <v>0</v>
      </c>
      <c r="D392" s="25">
        <v>0</v>
      </c>
      <c r="E392" s="18">
        <f t="shared" si="65"/>
        <v>0</v>
      </c>
    </row>
    <row r="393" spans="1:5" ht="15" x14ac:dyDescent="0.2">
      <c r="A393" s="7">
        <v>141526</v>
      </c>
      <c r="B393" s="3" t="s">
        <v>282</v>
      </c>
      <c r="C393" s="25">
        <v>0</v>
      </c>
      <c r="D393" s="25">
        <v>0</v>
      </c>
      <c r="E393" s="18">
        <f t="shared" si="65"/>
        <v>0</v>
      </c>
    </row>
    <row r="394" spans="1:5" ht="15" x14ac:dyDescent="0.2">
      <c r="A394" s="7">
        <v>141529</v>
      </c>
      <c r="B394" s="3" t="s">
        <v>283</v>
      </c>
      <c r="C394" s="25">
        <v>0</v>
      </c>
      <c r="D394" s="25">
        <v>0</v>
      </c>
      <c r="E394" s="18">
        <f t="shared" si="65"/>
        <v>0</v>
      </c>
    </row>
    <row r="395" spans="1:5" ht="15" x14ac:dyDescent="0.2">
      <c r="A395" s="7">
        <v>141530</v>
      </c>
      <c r="B395" s="3" t="s">
        <v>284</v>
      </c>
      <c r="C395" s="25">
        <v>0</v>
      </c>
      <c r="D395" s="25">
        <v>0</v>
      </c>
      <c r="E395" s="18">
        <f t="shared" si="65"/>
        <v>0</v>
      </c>
    </row>
    <row r="396" spans="1:5" ht="15" x14ac:dyDescent="0.2">
      <c r="A396" s="7">
        <v>141590</v>
      </c>
      <c r="B396" s="3" t="s">
        <v>285</v>
      </c>
      <c r="C396" s="25">
        <v>0</v>
      </c>
      <c r="D396" s="25">
        <v>0</v>
      </c>
      <c r="E396" s="18">
        <f t="shared" si="65"/>
        <v>0</v>
      </c>
    </row>
    <row r="397" spans="1:5" ht="15" x14ac:dyDescent="0.2">
      <c r="A397" s="6">
        <v>1427</v>
      </c>
      <c r="B397" s="2" t="s">
        <v>286</v>
      </c>
      <c r="C397" s="24">
        <f>SUM(C398)</f>
        <v>0</v>
      </c>
      <c r="D397" s="24">
        <f t="shared" ref="D397:E397" si="66">SUM(D398)</f>
        <v>0</v>
      </c>
      <c r="E397" s="17">
        <f t="shared" si="66"/>
        <v>0</v>
      </c>
    </row>
    <row r="398" spans="1:5" ht="15" x14ac:dyDescent="0.2">
      <c r="A398" s="7">
        <v>142707</v>
      </c>
      <c r="B398" s="3" t="s">
        <v>287</v>
      </c>
      <c r="C398" s="25">
        <v>0</v>
      </c>
      <c r="D398" s="25">
        <v>0</v>
      </c>
      <c r="E398" s="18">
        <f t="shared" ref="E398" si="67">SUM(C398:D398)</f>
        <v>0</v>
      </c>
    </row>
    <row r="399" spans="1:5" ht="15" x14ac:dyDescent="0.2">
      <c r="A399" s="6">
        <v>1477</v>
      </c>
      <c r="B399" s="2" t="s">
        <v>288</v>
      </c>
      <c r="C399" s="24">
        <f>SUM(C400)</f>
        <v>0</v>
      </c>
      <c r="D399" s="24">
        <f t="shared" ref="D399:E399" si="68">SUM(D400)</f>
        <v>0</v>
      </c>
      <c r="E399" s="17">
        <f t="shared" si="68"/>
        <v>0</v>
      </c>
    </row>
    <row r="400" spans="1:5" ht="15" x14ac:dyDescent="0.2">
      <c r="A400" s="7">
        <v>147701</v>
      </c>
      <c r="B400" s="3" t="s">
        <v>289</v>
      </c>
      <c r="C400" s="25">
        <v>0</v>
      </c>
      <c r="D400" s="25">
        <v>0</v>
      </c>
      <c r="E400" s="18">
        <f t="shared" ref="E400" si="69">SUM(C400:D400)</f>
        <v>0</v>
      </c>
    </row>
    <row r="401" spans="1:5" ht="15" x14ac:dyDescent="0.2">
      <c r="A401" s="6">
        <v>1480</v>
      </c>
      <c r="B401" s="2" t="s">
        <v>290</v>
      </c>
      <c r="C401" s="24">
        <f>SUM(C402)</f>
        <v>0</v>
      </c>
      <c r="D401" s="24">
        <f t="shared" ref="D401:E401" si="70">SUM(D402)</f>
        <v>0</v>
      </c>
      <c r="E401" s="17">
        <f t="shared" si="70"/>
        <v>0</v>
      </c>
    </row>
    <row r="402" spans="1:5" ht="15" x14ac:dyDescent="0.2">
      <c r="A402" s="7">
        <v>148003</v>
      </c>
      <c r="B402" s="3" t="s">
        <v>289</v>
      </c>
      <c r="C402" s="25">
        <v>0</v>
      </c>
      <c r="D402" s="25">
        <v>0</v>
      </c>
      <c r="E402" s="18">
        <f t="shared" ref="E402" si="71">SUM(C402:D402)</f>
        <v>0</v>
      </c>
    </row>
    <row r="403" spans="1:5" ht="15" x14ac:dyDescent="0.2">
      <c r="A403" s="6">
        <v>15</v>
      </c>
      <c r="B403" s="2" t="s">
        <v>291</v>
      </c>
      <c r="C403" s="24">
        <f>SUM(C404,C419,C444,C448,C450,C474,C489,C512,C534)</f>
        <v>0</v>
      </c>
      <c r="D403" s="24">
        <f>SUM(D404,D419,D444,D448,D450,D474,D489,D512,D534)</f>
        <v>0</v>
      </c>
      <c r="E403" s="28">
        <f>SUM(E404,E419,E444,E448,E450,E474,E489,E512,E534)</f>
        <v>0</v>
      </c>
    </row>
    <row r="404" spans="1:5" ht="15" x14ac:dyDescent="0.2">
      <c r="A404" s="6">
        <v>1505</v>
      </c>
      <c r="B404" s="2" t="s">
        <v>292</v>
      </c>
      <c r="C404" s="24">
        <f>SUM(C405:C418)</f>
        <v>0</v>
      </c>
      <c r="D404" s="24">
        <f t="shared" ref="D404:E404" si="72">SUM(D405:D418)</f>
        <v>0</v>
      </c>
      <c r="E404" s="17">
        <f t="shared" si="72"/>
        <v>0</v>
      </c>
    </row>
    <row r="405" spans="1:5" ht="15" x14ac:dyDescent="0.2">
      <c r="A405" s="7">
        <v>150502</v>
      </c>
      <c r="B405" s="3" t="s">
        <v>120</v>
      </c>
      <c r="C405" s="25">
        <v>0</v>
      </c>
      <c r="D405" s="25">
        <v>0</v>
      </c>
      <c r="E405" s="18">
        <f t="shared" ref="E405:E418" si="73">SUM(C405:D405)</f>
        <v>0</v>
      </c>
    </row>
    <row r="406" spans="1:5" ht="15" x14ac:dyDescent="0.2">
      <c r="A406" s="7">
        <v>150506</v>
      </c>
      <c r="B406" s="3" t="s">
        <v>293</v>
      </c>
      <c r="C406" s="25">
        <v>0</v>
      </c>
      <c r="D406" s="25">
        <v>0</v>
      </c>
      <c r="E406" s="18">
        <f t="shared" si="73"/>
        <v>0</v>
      </c>
    </row>
    <row r="407" spans="1:5" ht="15" x14ac:dyDescent="0.2">
      <c r="A407" s="7">
        <v>150507</v>
      </c>
      <c r="B407" s="3" t="s">
        <v>294</v>
      </c>
      <c r="C407" s="25">
        <v>0</v>
      </c>
      <c r="D407" s="25">
        <v>0</v>
      </c>
      <c r="E407" s="18">
        <f t="shared" si="73"/>
        <v>0</v>
      </c>
    </row>
    <row r="408" spans="1:5" ht="15" x14ac:dyDescent="0.2">
      <c r="A408" s="7">
        <v>150511</v>
      </c>
      <c r="B408" s="3" t="s">
        <v>295</v>
      </c>
      <c r="C408" s="25">
        <v>0</v>
      </c>
      <c r="D408" s="25">
        <v>0</v>
      </c>
      <c r="E408" s="18">
        <f t="shared" si="73"/>
        <v>0</v>
      </c>
    </row>
    <row r="409" spans="1:5" ht="15" x14ac:dyDescent="0.2">
      <c r="A409" s="7">
        <v>150517</v>
      </c>
      <c r="B409" s="3" t="s">
        <v>296</v>
      </c>
      <c r="C409" s="25">
        <v>0</v>
      </c>
      <c r="D409" s="25">
        <v>0</v>
      </c>
      <c r="E409" s="18">
        <f t="shared" si="73"/>
        <v>0</v>
      </c>
    </row>
    <row r="410" spans="1:5" ht="15" x14ac:dyDescent="0.2">
      <c r="A410" s="7">
        <v>150518</v>
      </c>
      <c r="B410" s="3" t="s">
        <v>297</v>
      </c>
      <c r="C410" s="25">
        <v>0</v>
      </c>
      <c r="D410" s="25">
        <v>0</v>
      </c>
      <c r="E410" s="18">
        <f t="shared" si="73"/>
        <v>0</v>
      </c>
    </row>
    <row r="411" spans="1:5" ht="15" x14ac:dyDescent="0.2">
      <c r="A411" s="7">
        <v>150519</v>
      </c>
      <c r="B411" s="3" t="s">
        <v>298</v>
      </c>
      <c r="C411" s="25">
        <v>0</v>
      </c>
      <c r="D411" s="25">
        <v>0</v>
      </c>
      <c r="E411" s="18">
        <f t="shared" si="73"/>
        <v>0</v>
      </c>
    </row>
    <row r="412" spans="1:5" ht="15" x14ac:dyDescent="0.2">
      <c r="A412" s="7">
        <v>150520</v>
      </c>
      <c r="B412" s="3" t="s">
        <v>299</v>
      </c>
      <c r="C412" s="25">
        <v>0</v>
      </c>
      <c r="D412" s="25">
        <v>0</v>
      </c>
      <c r="E412" s="18">
        <f t="shared" si="73"/>
        <v>0</v>
      </c>
    </row>
    <row r="413" spans="1:5" ht="15" x14ac:dyDescent="0.2">
      <c r="A413" s="7">
        <v>150521</v>
      </c>
      <c r="B413" s="3" t="s">
        <v>300</v>
      </c>
      <c r="C413" s="25">
        <v>0</v>
      </c>
      <c r="D413" s="25">
        <v>0</v>
      </c>
      <c r="E413" s="18">
        <f t="shared" si="73"/>
        <v>0</v>
      </c>
    </row>
    <row r="414" spans="1:5" ht="15" x14ac:dyDescent="0.2">
      <c r="A414" s="7">
        <v>150535</v>
      </c>
      <c r="B414" s="3" t="s">
        <v>301</v>
      </c>
      <c r="C414" s="25">
        <v>0</v>
      </c>
      <c r="D414" s="25">
        <v>0</v>
      </c>
      <c r="E414" s="18">
        <f t="shared" si="73"/>
        <v>0</v>
      </c>
    </row>
    <row r="415" spans="1:5" ht="15" x14ac:dyDescent="0.2">
      <c r="A415" s="7">
        <v>150536</v>
      </c>
      <c r="B415" s="3" t="s">
        <v>302</v>
      </c>
      <c r="C415" s="25">
        <v>0</v>
      </c>
      <c r="D415" s="25">
        <v>0</v>
      </c>
      <c r="E415" s="18">
        <f t="shared" si="73"/>
        <v>0</v>
      </c>
    </row>
    <row r="416" spans="1:5" ht="15" x14ac:dyDescent="0.2">
      <c r="A416" s="7">
        <v>150541</v>
      </c>
      <c r="B416" s="3" t="s">
        <v>303</v>
      </c>
      <c r="C416" s="25">
        <v>0</v>
      </c>
      <c r="D416" s="25">
        <v>0</v>
      </c>
      <c r="E416" s="18">
        <f t="shared" si="73"/>
        <v>0</v>
      </c>
    </row>
    <row r="417" spans="1:5" ht="15" x14ac:dyDescent="0.2">
      <c r="A417" s="7">
        <v>150543</v>
      </c>
      <c r="B417" s="3" t="s">
        <v>116</v>
      </c>
      <c r="C417" s="25">
        <v>0</v>
      </c>
      <c r="D417" s="25">
        <v>0</v>
      </c>
      <c r="E417" s="18">
        <f t="shared" si="73"/>
        <v>0</v>
      </c>
    </row>
    <row r="418" spans="1:5" ht="15" x14ac:dyDescent="0.2">
      <c r="A418" s="7">
        <v>150590</v>
      </c>
      <c r="B418" s="3" t="s">
        <v>304</v>
      </c>
      <c r="C418" s="25">
        <v>0</v>
      </c>
      <c r="D418" s="25">
        <v>0</v>
      </c>
      <c r="E418" s="18">
        <f t="shared" si="73"/>
        <v>0</v>
      </c>
    </row>
    <row r="419" spans="1:5" ht="15" x14ac:dyDescent="0.2">
      <c r="A419" s="6">
        <v>1510</v>
      </c>
      <c r="B419" s="2" t="s">
        <v>305</v>
      </c>
      <c r="C419" s="24">
        <f>SUM(C420:C443)</f>
        <v>0</v>
      </c>
      <c r="D419" s="24">
        <f t="shared" ref="D419:E419" si="74">SUM(D420:D443)</f>
        <v>0</v>
      </c>
      <c r="E419" s="28">
        <f t="shared" si="74"/>
        <v>0</v>
      </c>
    </row>
    <row r="420" spans="1:5" ht="15" x14ac:dyDescent="0.2">
      <c r="A420" s="7">
        <v>151002</v>
      </c>
      <c r="B420" s="3" t="s">
        <v>306</v>
      </c>
      <c r="C420" s="25">
        <v>0</v>
      </c>
      <c r="D420" s="25">
        <v>0</v>
      </c>
      <c r="E420" s="18">
        <f t="shared" ref="E420:E443" si="75">SUM(C420:D420)</f>
        <v>0</v>
      </c>
    </row>
    <row r="421" spans="1:5" ht="15" x14ac:dyDescent="0.2">
      <c r="A421" s="7">
        <v>151003</v>
      </c>
      <c r="B421" s="3" t="s">
        <v>120</v>
      </c>
      <c r="C421" s="25">
        <v>0</v>
      </c>
      <c r="D421" s="25">
        <v>0</v>
      </c>
      <c r="E421" s="18">
        <f t="shared" si="75"/>
        <v>0</v>
      </c>
    </row>
    <row r="422" spans="1:5" ht="15" x14ac:dyDescent="0.2">
      <c r="A422" s="7">
        <v>151004</v>
      </c>
      <c r="B422" s="3" t="s">
        <v>293</v>
      </c>
      <c r="C422" s="25">
        <v>0</v>
      </c>
      <c r="D422" s="25">
        <v>0</v>
      </c>
      <c r="E422" s="18">
        <f t="shared" si="75"/>
        <v>0</v>
      </c>
    </row>
    <row r="423" spans="1:5" ht="15" x14ac:dyDescent="0.2">
      <c r="A423" s="7">
        <v>151009</v>
      </c>
      <c r="B423" s="3" t="s">
        <v>295</v>
      </c>
      <c r="C423" s="25">
        <v>0</v>
      </c>
      <c r="D423" s="25">
        <v>0</v>
      </c>
      <c r="E423" s="18">
        <f t="shared" si="75"/>
        <v>0</v>
      </c>
    </row>
    <row r="424" spans="1:5" ht="15" x14ac:dyDescent="0.2">
      <c r="A424" s="7">
        <v>151012</v>
      </c>
      <c r="B424" s="3" t="s">
        <v>307</v>
      </c>
      <c r="C424" s="25">
        <v>0</v>
      </c>
      <c r="D424" s="25">
        <v>0</v>
      </c>
      <c r="E424" s="18">
        <f t="shared" si="75"/>
        <v>0</v>
      </c>
    </row>
    <row r="425" spans="1:5" ht="15" x14ac:dyDescent="0.2">
      <c r="A425" s="7">
        <v>151013</v>
      </c>
      <c r="B425" s="3" t="s">
        <v>308</v>
      </c>
      <c r="C425" s="25">
        <v>0</v>
      </c>
      <c r="D425" s="25">
        <v>0</v>
      </c>
      <c r="E425" s="18">
        <f t="shared" si="75"/>
        <v>0</v>
      </c>
    </row>
    <row r="426" spans="1:5" ht="15" x14ac:dyDescent="0.2">
      <c r="A426" s="7">
        <v>151014</v>
      </c>
      <c r="B426" s="3" t="s">
        <v>309</v>
      </c>
      <c r="C426" s="25">
        <v>0</v>
      </c>
      <c r="D426" s="25">
        <v>0</v>
      </c>
      <c r="E426" s="18">
        <f t="shared" si="75"/>
        <v>0</v>
      </c>
    </row>
    <row r="427" spans="1:5" ht="15" x14ac:dyDescent="0.2">
      <c r="A427" s="7">
        <v>151015</v>
      </c>
      <c r="B427" s="3" t="s">
        <v>294</v>
      </c>
      <c r="C427" s="25">
        <v>0</v>
      </c>
      <c r="D427" s="25">
        <v>0</v>
      </c>
      <c r="E427" s="18">
        <f t="shared" si="75"/>
        <v>0</v>
      </c>
    </row>
    <row r="428" spans="1:5" ht="15" x14ac:dyDescent="0.2">
      <c r="A428" s="7">
        <v>151022</v>
      </c>
      <c r="B428" s="3" t="s">
        <v>297</v>
      </c>
      <c r="C428" s="25">
        <v>0</v>
      </c>
      <c r="D428" s="25">
        <v>0</v>
      </c>
      <c r="E428" s="18">
        <f t="shared" si="75"/>
        <v>0</v>
      </c>
    </row>
    <row r="429" spans="1:5" ht="15" x14ac:dyDescent="0.2">
      <c r="A429" s="7">
        <v>151023</v>
      </c>
      <c r="B429" s="3" t="s">
        <v>299</v>
      </c>
      <c r="C429" s="25">
        <v>0</v>
      </c>
      <c r="D429" s="25">
        <v>0</v>
      </c>
      <c r="E429" s="18">
        <f t="shared" si="75"/>
        <v>0</v>
      </c>
    </row>
    <row r="430" spans="1:5" ht="15" x14ac:dyDescent="0.2">
      <c r="A430" s="7">
        <v>151024</v>
      </c>
      <c r="B430" s="3" t="s">
        <v>310</v>
      </c>
      <c r="C430" s="25">
        <v>0</v>
      </c>
      <c r="D430" s="25">
        <v>0</v>
      </c>
      <c r="E430" s="18">
        <f t="shared" si="75"/>
        <v>0</v>
      </c>
    </row>
    <row r="431" spans="1:5" ht="15" x14ac:dyDescent="0.2">
      <c r="A431" s="7">
        <v>151030</v>
      </c>
      <c r="B431" s="3" t="s">
        <v>311</v>
      </c>
      <c r="C431" s="25">
        <v>0</v>
      </c>
      <c r="D431" s="25">
        <v>0</v>
      </c>
      <c r="E431" s="29">
        <f t="shared" si="75"/>
        <v>0</v>
      </c>
    </row>
    <row r="432" spans="1:5" ht="15" x14ac:dyDescent="0.2">
      <c r="A432" s="7">
        <v>151031</v>
      </c>
      <c r="B432" s="3" t="s">
        <v>312</v>
      </c>
      <c r="C432" s="25">
        <v>0</v>
      </c>
      <c r="D432" s="25">
        <v>0</v>
      </c>
      <c r="E432" s="18">
        <f t="shared" si="75"/>
        <v>0</v>
      </c>
    </row>
    <row r="433" spans="1:5" ht="15" x14ac:dyDescent="0.2">
      <c r="A433" s="7">
        <v>151032</v>
      </c>
      <c r="B433" s="3" t="s">
        <v>313</v>
      </c>
      <c r="C433" s="25">
        <v>0</v>
      </c>
      <c r="D433" s="25">
        <v>0</v>
      </c>
      <c r="E433" s="18">
        <f t="shared" si="75"/>
        <v>0</v>
      </c>
    </row>
    <row r="434" spans="1:5" ht="15" x14ac:dyDescent="0.2">
      <c r="A434" s="7">
        <v>151033</v>
      </c>
      <c r="B434" s="3" t="s">
        <v>314</v>
      </c>
      <c r="C434" s="25">
        <v>0</v>
      </c>
      <c r="D434" s="25">
        <v>0</v>
      </c>
      <c r="E434" s="18">
        <f t="shared" si="75"/>
        <v>0</v>
      </c>
    </row>
    <row r="435" spans="1:5" ht="15" x14ac:dyDescent="0.2">
      <c r="A435" s="7">
        <v>151035</v>
      </c>
      <c r="B435" s="3" t="s">
        <v>315</v>
      </c>
      <c r="C435" s="25">
        <v>0</v>
      </c>
      <c r="D435" s="25">
        <v>0</v>
      </c>
      <c r="E435" s="18">
        <f t="shared" si="75"/>
        <v>0</v>
      </c>
    </row>
    <row r="436" spans="1:5" ht="15" x14ac:dyDescent="0.2">
      <c r="A436" s="7">
        <v>151037</v>
      </c>
      <c r="B436" s="3" t="s">
        <v>316</v>
      </c>
      <c r="C436" s="25">
        <v>0</v>
      </c>
      <c r="D436" s="25">
        <v>0</v>
      </c>
      <c r="E436" s="18">
        <f t="shared" si="75"/>
        <v>0</v>
      </c>
    </row>
    <row r="437" spans="1:5" ht="15" x14ac:dyDescent="0.2">
      <c r="A437" s="7">
        <v>151039</v>
      </c>
      <c r="B437" s="3" t="s">
        <v>317</v>
      </c>
      <c r="C437" s="25">
        <v>0</v>
      </c>
      <c r="D437" s="25">
        <v>0</v>
      </c>
      <c r="E437" s="18">
        <f t="shared" si="75"/>
        <v>0</v>
      </c>
    </row>
    <row r="438" spans="1:5" ht="15" x14ac:dyDescent="0.2">
      <c r="A438" s="7">
        <v>151041</v>
      </c>
      <c r="B438" s="3" t="s">
        <v>318</v>
      </c>
      <c r="C438" s="25">
        <v>0</v>
      </c>
      <c r="D438" s="25">
        <v>0</v>
      </c>
      <c r="E438" s="18">
        <f t="shared" si="75"/>
        <v>0</v>
      </c>
    </row>
    <row r="439" spans="1:5" ht="15" x14ac:dyDescent="0.2">
      <c r="A439" s="7">
        <v>151042</v>
      </c>
      <c r="B439" s="3" t="s">
        <v>116</v>
      </c>
      <c r="C439" s="25">
        <v>0</v>
      </c>
      <c r="D439" s="25">
        <v>0</v>
      </c>
      <c r="E439" s="18">
        <f t="shared" si="75"/>
        <v>0</v>
      </c>
    </row>
    <row r="440" spans="1:5" ht="15" x14ac:dyDescent="0.2">
      <c r="A440" s="7">
        <v>151060</v>
      </c>
      <c r="B440" s="3" t="s">
        <v>296</v>
      </c>
      <c r="C440" s="25">
        <v>0</v>
      </c>
      <c r="D440" s="25">
        <v>0</v>
      </c>
      <c r="E440" s="18">
        <f t="shared" si="75"/>
        <v>0</v>
      </c>
    </row>
    <row r="441" spans="1:5" ht="15" x14ac:dyDescent="0.2">
      <c r="A441" s="7">
        <v>151061</v>
      </c>
      <c r="B441" s="3" t="s">
        <v>319</v>
      </c>
      <c r="C441" s="25">
        <v>0</v>
      </c>
      <c r="D441" s="25">
        <v>0</v>
      </c>
      <c r="E441" s="18">
        <f t="shared" si="75"/>
        <v>0</v>
      </c>
    </row>
    <row r="442" spans="1:5" ht="15" x14ac:dyDescent="0.2">
      <c r="A442" s="7">
        <v>151065</v>
      </c>
      <c r="B442" s="3" t="s">
        <v>320</v>
      </c>
      <c r="C442" s="25">
        <v>0</v>
      </c>
      <c r="D442" s="25">
        <v>0</v>
      </c>
      <c r="E442" s="18">
        <f t="shared" si="75"/>
        <v>0</v>
      </c>
    </row>
    <row r="443" spans="1:5" ht="15" x14ac:dyDescent="0.2">
      <c r="A443" s="7">
        <v>151090</v>
      </c>
      <c r="B443" s="3" t="s">
        <v>321</v>
      </c>
      <c r="C443" s="25">
        <v>0</v>
      </c>
      <c r="D443" s="25">
        <v>0</v>
      </c>
      <c r="E443" s="18">
        <f t="shared" si="75"/>
        <v>0</v>
      </c>
    </row>
    <row r="444" spans="1:5" ht="15" x14ac:dyDescent="0.2">
      <c r="A444" s="6">
        <v>1511</v>
      </c>
      <c r="B444" s="2" t="s">
        <v>322</v>
      </c>
      <c r="C444" s="24">
        <f>SUM(C445:C447)</f>
        <v>0</v>
      </c>
      <c r="D444" s="24">
        <f t="shared" ref="D444:E444" si="76">SUM(D445:D447)</f>
        <v>0</v>
      </c>
      <c r="E444" s="17">
        <f t="shared" si="76"/>
        <v>0</v>
      </c>
    </row>
    <row r="445" spans="1:5" ht="15" x14ac:dyDescent="0.2">
      <c r="A445" s="7">
        <v>151101</v>
      </c>
      <c r="B445" s="3" t="s">
        <v>323</v>
      </c>
      <c r="C445" s="25">
        <v>0</v>
      </c>
      <c r="D445" s="25">
        <v>0</v>
      </c>
      <c r="E445" s="18">
        <f t="shared" ref="E445:E447" si="77">SUM(C445:D445)</f>
        <v>0</v>
      </c>
    </row>
    <row r="446" spans="1:5" ht="15" x14ac:dyDescent="0.2">
      <c r="A446" s="7">
        <v>151102</v>
      </c>
      <c r="B446" s="3" t="s">
        <v>148</v>
      </c>
      <c r="C446" s="25">
        <v>0</v>
      </c>
      <c r="D446" s="25">
        <v>0</v>
      </c>
      <c r="E446" s="18">
        <f t="shared" si="77"/>
        <v>0</v>
      </c>
    </row>
    <row r="447" spans="1:5" ht="15" x14ac:dyDescent="0.2">
      <c r="A447" s="7">
        <v>151190</v>
      </c>
      <c r="B447" s="3" t="s">
        <v>324</v>
      </c>
      <c r="C447" s="25">
        <v>0</v>
      </c>
      <c r="D447" s="25">
        <v>0</v>
      </c>
      <c r="E447" s="18">
        <f t="shared" si="77"/>
        <v>0</v>
      </c>
    </row>
    <row r="448" spans="1:5" ht="15" x14ac:dyDescent="0.2">
      <c r="A448" s="6">
        <v>1512</v>
      </c>
      <c r="B448" s="2" t="s">
        <v>325</v>
      </c>
      <c r="C448" s="24">
        <f>SUM(C449)</f>
        <v>0</v>
      </c>
      <c r="D448" s="24">
        <f t="shared" ref="D448:E448" si="78">SUM(D449)</f>
        <v>0</v>
      </c>
      <c r="E448" s="17">
        <f t="shared" si="78"/>
        <v>0</v>
      </c>
    </row>
    <row r="449" spans="1:5" ht="15" x14ac:dyDescent="0.2">
      <c r="A449" s="7">
        <v>151201</v>
      </c>
      <c r="B449" s="3" t="s">
        <v>326</v>
      </c>
      <c r="C449" s="25">
        <v>0</v>
      </c>
      <c r="D449" s="25">
        <v>0</v>
      </c>
      <c r="E449" s="18">
        <f t="shared" ref="E449" si="79">SUM(C449:D449)</f>
        <v>0</v>
      </c>
    </row>
    <row r="450" spans="1:5" ht="15" x14ac:dyDescent="0.2">
      <c r="A450" s="6">
        <v>1514</v>
      </c>
      <c r="B450" s="2" t="s">
        <v>327</v>
      </c>
      <c r="C450" s="24">
        <f>SUM(C451:C473)</f>
        <v>0</v>
      </c>
      <c r="D450" s="24">
        <f t="shared" ref="D450:E450" si="80">SUM(D451:D473)</f>
        <v>0</v>
      </c>
      <c r="E450" s="28">
        <f t="shared" si="80"/>
        <v>0</v>
      </c>
    </row>
    <row r="451" spans="1:5" ht="15" x14ac:dyDescent="0.2">
      <c r="A451" s="7">
        <v>151401</v>
      </c>
      <c r="B451" s="3" t="s">
        <v>328</v>
      </c>
      <c r="C451" s="25">
        <v>0</v>
      </c>
      <c r="D451" s="25">
        <v>0</v>
      </c>
      <c r="E451" s="18">
        <f t="shared" ref="E451:E473" si="81">SUM(C451:D451)</f>
        <v>0</v>
      </c>
    </row>
    <row r="452" spans="1:5" ht="15" x14ac:dyDescent="0.2">
      <c r="A452" s="7">
        <v>151402</v>
      </c>
      <c r="B452" s="3" t="s">
        <v>329</v>
      </c>
      <c r="C452" s="25">
        <v>0</v>
      </c>
      <c r="D452" s="25">
        <v>0</v>
      </c>
      <c r="E452" s="18">
        <f t="shared" si="81"/>
        <v>0</v>
      </c>
    </row>
    <row r="453" spans="1:5" ht="15" x14ac:dyDescent="0.2">
      <c r="A453" s="7">
        <v>151403</v>
      </c>
      <c r="B453" s="3" t="s">
        <v>296</v>
      </c>
      <c r="C453" s="25">
        <v>0</v>
      </c>
      <c r="D453" s="25">
        <v>0</v>
      </c>
      <c r="E453" s="18">
        <f t="shared" si="81"/>
        <v>0</v>
      </c>
    </row>
    <row r="454" spans="1:5" ht="15" x14ac:dyDescent="0.2">
      <c r="A454" s="7">
        <v>151404</v>
      </c>
      <c r="B454" s="3" t="s">
        <v>319</v>
      </c>
      <c r="C454" s="25">
        <v>0</v>
      </c>
      <c r="D454" s="25">
        <v>0</v>
      </c>
      <c r="E454" s="18">
        <f t="shared" si="81"/>
        <v>0</v>
      </c>
    </row>
    <row r="455" spans="1:5" ht="15" x14ac:dyDescent="0.2">
      <c r="A455" s="7">
        <v>151405</v>
      </c>
      <c r="B455" s="3" t="s">
        <v>330</v>
      </c>
      <c r="C455" s="25">
        <v>0</v>
      </c>
      <c r="D455" s="25">
        <v>0</v>
      </c>
      <c r="E455" s="18">
        <f t="shared" si="81"/>
        <v>0</v>
      </c>
    </row>
    <row r="456" spans="1:5" ht="15" x14ac:dyDescent="0.2">
      <c r="A456" s="7">
        <v>151406</v>
      </c>
      <c r="B456" s="3" t="s">
        <v>331</v>
      </c>
      <c r="C456" s="25">
        <v>0</v>
      </c>
      <c r="D456" s="25">
        <v>0</v>
      </c>
      <c r="E456" s="18">
        <f t="shared" si="81"/>
        <v>0</v>
      </c>
    </row>
    <row r="457" spans="1:5" ht="15" x14ac:dyDescent="0.2">
      <c r="A457" s="7">
        <v>151407</v>
      </c>
      <c r="B457" s="3" t="s">
        <v>332</v>
      </c>
      <c r="C457" s="25">
        <v>0</v>
      </c>
      <c r="D457" s="25">
        <v>0</v>
      </c>
      <c r="E457" s="18">
        <f t="shared" si="81"/>
        <v>0</v>
      </c>
    </row>
    <row r="458" spans="1:5" ht="15" x14ac:dyDescent="0.2">
      <c r="A458" s="7">
        <v>151408</v>
      </c>
      <c r="B458" s="3" t="s">
        <v>320</v>
      </c>
      <c r="C458" s="25">
        <v>0</v>
      </c>
      <c r="D458" s="25">
        <v>0</v>
      </c>
      <c r="E458" s="18">
        <f t="shared" si="81"/>
        <v>0</v>
      </c>
    </row>
    <row r="459" spans="1:5" ht="15" x14ac:dyDescent="0.2">
      <c r="A459" s="7">
        <v>151409</v>
      </c>
      <c r="B459" s="3" t="s">
        <v>333</v>
      </c>
      <c r="C459" s="25">
        <v>0</v>
      </c>
      <c r="D459" s="25">
        <v>0</v>
      </c>
      <c r="E459" s="18">
        <f t="shared" si="81"/>
        <v>0</v>
      </c>
    </row>
    <row r="460" spans="1:5" ht="15" x14ac:dyDescent="0.2">
      <c r="A460" s="7">
        <v>151410</v>
      </c>
      <c r="B460" s="3" t="s">
        <v>334</v>
      </c>
      <c r="C460" s="25">
        <v>0</v>
      </c>
      <c r="D460" s="25">
        <v>0</v>
      </c>
      <c r="E460" s="18">
        <f t="shared" si="81"/>
        <v>0</v>
      </c>
    </row>
    <row r="461" spans="1:5" ht="15" x14ac:dyDescent="0.2">
      <c r="A461" s="7">
        <v>151411</v>
      </c>
      <c r="B461" s="3" t="s">
        <v>335</v>
      </c>
      <c r="C461" s="25">
        <v>0</v>
      </c>
      <c r="D461" s="25">
        <v>0</v>
      </c>
      <c r="E461" s="18">
        <f t="shared" si="81"/>
        <v>0</v>
      </c>
    </row>
    <row r="462" spans="1:5" ht="15" x14ac:dyDescent="0.2">
      <c r="A462" s="7">
        <v>151412</v>
      </c>
      <c r="B462" s="3" t="s">
        <v>336</v>
      </c>
      <c r="C462" s="25">
        <v>0</v>
      </c>
      <c r="D462" s="25">
        <v>0</v>
      </c>
      <c r="E462" s="18">
        <f t="shared" si="81"/>
        <v>0</v>
      </c>
    </row>
    <row r="463" spans="1:5" ht="15" x14ac:dyDescent="0.2">
      <c r="A463" s="7">
        <v>151413</v>
      </c>
      <c r="B463" s="3" t="s">
        <v>337</v>
      </c>
      <c r="C463" s="25">
        <v>0</v>
      </c>
      <c r="D463" s="25">
        <v>0</v>
      </c>
      <c r="E463" s="29">
        <f t="shared" si="81"/>
        <v>0</v>
      </c>
    </row>
    <row r="464" spans="1:5" ht="15" x14ac:dyDescent="0.2">
      <c r="A464" s="7">
        <v>151414</v>
      </c>
      <c r="B464" s="3" t="s">
        <v>338</v>
      </c>
      <c r="C464" s="25">
        <v>0</v>
      </c>
      <c r="D464" s="25">
        <v>0</v>
      </c>
      <c r="E464" s="18">
        <f t="shared" si="81"/>
        <v>0</v>
      </c>
    </row>
    <row r="465" spans="1:5" ht="15" x14ac:dyDescent="0.2">
      <c r="A465" s="7">
        <v>151415</v>
      </c>
      <c r="B465" s="3" t="s">
        <v>339</v>
      </c>
      <c r="C465" s="25">
        <v>0</v>
      </c>
      <c r="D465" s="25">
        <v>0</v>
      </c>
      <c r="E465" s="18">
        <f t="shared" si="81"/>
        <v>0</v>
      </c>
    </row>
    <row r="466" spans="1:5" ht="15" x14ac:dyDescent="0.2">
      <c r="A466" s="7">
        <v>151417</v>
      </c>
      <c r="B466" s="3" t="s">
        <v>340</v>
      </c>
      <c r="C466" s="25">
        <v>0</v>
      </c>
      <c r="D466" s="25">
        <v>0</v>
      </c>
      <c r="E466" s="18">
        <f t="shared" si="81"/>
        <v>0</v>
      </c>
    </row>
    <row r="467" spans="1:5" ht="15" x14ac:dyDescent="0.2">
      <c r="A467" s="7">
        <v>151418</v>
      </c>
      <c r="B467" s="3" t="s">
        <v>341</v>
      </c>
      <c r="C467" s="25">
        <v>0</v>
      </c>
      <c r="D467" s="25">
        <v>0</v>
      </c>
      <c r="E467" s="18">
        <f t="shared" si="81"/>
        <v>0</v>
      </c>
    </row>
    <row r="468" spans="1:5" ht="15" x14ac:dyDescent="0.2">
      <c r="A468" s="7">
        <v>151419</v>
      </c>
      <c r="B468" s="3" t="s">
        <v>342</v>
      </c>
      <c r="C468" s="25">
        <v>0</v>
      </c>
      <c r="D468" s="25">
        <v>0</v>
      </c>
      <c r="E468" s="18">
        <f t="shared" si="81"/>
        <v>0</v>
      </c>
    </row>
    <row r="469" spans="1:5" ht="15" x14ac:dyDescent="0.2">
      <c r="A469" s="7">
        <v>151421</v>
      </c>
      <c r="B469" s="3" t="s">
        <v>343</v>
      </c>
      <c r="C469" s="25">
        <v>0</v>
      </c>
      <c r="D469" s="25">
        <v>0</v>
      </c>
      <c r="E469" s="18">
        <f t="shared" si="81"/>
        <v>0</v>
      </c>
    </row>
    <row r="470" spans="1:5" ht="15" x14ac:dyDescent="0.2">
      <c r="A470" s="7">
        <v>151422</v>
      </c>
      <c r="B470" s="3" t="s">
        <v>344</v>
      </c>
      <c r="C470" s="25">
        <v>0</v>
      </c>
      <c r="D470" s="25">
        <v>0</v>
      </c>
      <c r="E470" s="18">
        <f t="shared" si="81"/>
        <v>0</v>
      </c>
    </row>
    <row r="471" spans="1:5" ht="15" x14ac:dyDescent="0.2">
      <c r="A471" s="7">
        <v>151423</v>
      </c>
      <c r="B471" s="3" t="s">
        <v>345</v>
      </c>
      <c r="C471" s="25">
        <v>0</v>
      </c>
      <c r="D471" s="25">
        <v>0</v>
      </c>
      <c r="E471" s="18">
        <f t="shared" si="81"/>
        <v>0</v>
      </c>
    </row>
    <row r="472" spans="1:5" ht="15" x14ac:dyDescent="0.2">
      <c r="A472" s="7">
        <v>151424</v>
      </c>
      <c r="B472" s="3" t="s">
        <v>346</v>
      </c>
      <c r="C472" s="25">
        <v>0</v>
      </c>
      <c r="D472" s="25">
        <v>0</v>
      </c>
      <c r="E472" s="18">
        <f t="shared" si="81"/>
        <v>0</v>
      </c>
    </row>
    <row r="473" spans="1:5" ht="15" x14ac:dyDescent="0.2">
      <c r="A473" s="7">
        <v>151490</v>
      </c>
      <c r="B473" s="3" t="s">
        <v>347</v>
      </c>
      <c r="C473" s="25">
        <v>0</v>
      </c>
      <c r="D473" s="25">
        <v>0</v>
      </c>
      <c r="E473" s="18">
        <f t="shared" si="81"/>
        <v>0</v>
      </c>
    </row>
    <row r="474" spans="1:5" ht="15" x14ac:dyDescent="0.2">
      <c r="A474" s="6">
        <v>1520</v>
      </c>
      <c r="B474" s="2" t="s">
        <v>348</v>
      </c>
      <c r="C474" s="24">
        <f>SUM(C475:C488)</f>
        <v>0</v>
      </c>
      <c r="D474" s="24">
        <f t="shared" ref="D474:E474" si="82">SUM(D475:D488)</f>
        <v>0</v>
      </c>
      <c r="E474" s="17">
        <f t="shared" si="82"/>
        <v>0</v>
      </c>
    </row>
    <row r="475" spans="1:5" ht="15" x14ac:dyDescent="0.2">
      <c r="A475" s="7">
        <v>152002</v>
      </c>
      <c r="B475" s="3" t="s">
        <v>120</v>
      </c>
      <c r="C475" s="25">
        <v>0</v>
      </c>
      <c r="D475" s="25">
        <v>0</v>
      </c>
      <c r="E475" s="18">
        <f t="shared" ref="E475:E488" si="83">SUM(C475:D475)</f>
        <v>0</v>
      </c>
    </row>
    <row r="476" spans="1:5" ht="15" x14ac:dyDescent="0.2">
      <c r="A476" s="7">
        <v>152007</v>
      </c>
      <c r="B476" s="3" t="s">
        <v>293</v>
      </c>
      <c r="C476" s="25">
        <v>0</v>
      </c>
      <c r="D476" s="25">
        <v>0</v>
      </c>
      <c r="E476" s="18">
        <f t="shared" si="83"/>
        <v>0</v>
      </c>
    </row>
    <row r="477" spans="1:5" ht="15" x14ac:dyDescent="0.2">
      <c r="A477" s="7">
        <v>152008</v>
      </c>
      <c r="B477" s="3" t="s">
        <v>296</v>
      </c>
      <c r="C477" s="25">
        <v>0</v>
      </c>
      <c r="D477" s="25">
        <v>0</v>
      </c>
      <c r="E477" s="18">
        <f t="shared" si="83"/>
        <v>0</v>
      </c>
    </row>
    <row r="478" spans="1:5" ht="15" x14ac:dyDescent="0.2">
      <c r="A478" s="7">
        <v>152009</v>
      </c>
      <c r="B478" s="3" t="s">
        <v>294</v>
      </c>
      <c r="C478" s="25">
        <v>0</v>
      </c>
      <c r="D478" s="25">
        <v>0</v>
      </c>
      <c r="E478" s="18">
        <f t="shared" si="83"/>
        <v>0</v>
      </c>
    </row>
    <row r="479" spans="1:5" ht="15" x14ac:dyDescent="0.2">
      <c r="A479" s="7">
        <v>152013</v>
      </c>
      <c r="B479" s="3" t="s">
        <v>295</v>
      </c>
      <c r="C479" s="25">
        <v>0</v>
      </c>
      <c r="D479" s="25">
        <v>0</v>
      </c>
      <c r="E479" s="18">
        <f t="shared" si="83"/>
        <v>0</v>
      </c>
    </row>
    <row r="480" spans="1:5" ht="15" x14ac:dyDescent="0.2">
      <c r="A480" s="7">
        <v>152018</v>
      </c>
      <c r="B480" s="3" t="s">
        <v>298</v>
      </c>
      <c r="C480" s="25">
        <v>0</v>
      </c>
      <c r="D480" s="25">
        <v>0</v>
      </c>
      <c r="E480" s="18">
        <f t="shared" si="83"/>
        <v>0</v>
      </c>
    </row>
    <row r="481" spans="1:5" ht="15" x14ac:dyDescent="0.2">
      <c r="A481" s="7">
        <v>152019</v>
      </c>
      <c r="B481" s="3" t="s">
        <v>299</v>
      </c>
      <c r="C481" s="25">
        <v>0</v>
      </c>
      <c r="D481" s="25">
        <v>0</v>
      </c>
      <c r="E481" s="18">
        <f t="shared" si="83"/>
        <v>0</v>
      </c>
    </row>
    <row r="482" spans="1:5" ht="15" x14ac:dyDescent="0.2">
      <c r="A482" s="7">
        <v>152020</v>
      </c>
      <c r="B482" s="3" t="s">
        <v>297</v>
      </c>
      <c r="C482" s="25">
        <v>0</v>
      </c>
      <c r="D482" s="25">
        <v>0</v>
      </c>
      <c r="E482" s="18">
        <f t="shared" si="83"/>
        <v>0</v>
      </c>
    </row>
    <row r="483" spans="1:5" ht="15" x14ac:dyDescent="0.2">
      <c r="A483" s="7">
        <v>152021</v>
      </c>
      <c r="B483" s="3" t="s">
        <v>300</v>
      </c>
      <c r="C483" s="25">
        <v>0</v>
      </c>
      <c r="D483" s="25">
        <v>0</v>
      </c>
      <c r="E483" s="18">
        <f t="shared" si="83"/>
        <v>0</v>
      </c>
    </row>
    <row r="484" spans="1:5" ht="15" x14ac:dyDescent="0.2">
      <c r="A484" s="7">
        <v>152025</v>
      </c>
      <c r="B484" s="3" t="s">
        <v>301</v>
      </c>
      <c r="C484" s="25">
        <v>0</v>
      </c>
      <c r="D484" s="25">
        <v>0</v>
      </c>
      <c r="E484" s="18">
        <f t="shared" si="83"/>
        <v>0</v>
      </c>
    </row>
    <row r="485" spans="1:5" ht="15" x14ac:dyDescent="0.2">
      <c r="A485" s="7">
        <v>152026</v>
      </c>
      <c r="B485" s="3" t="s">
        <v>302</v>
      </c>
      <c r="C485" s="25">
        <v>0</v>
      </c>
      <c r="D485" s="25">
        <v>0</v>
      </c>
      <c r="E485" s="18">
        <f t="shared" si="83"/>
        <v>0</v>
      </c>
    </row>
    <row r="486" spans="1:5" ht="15" x14ac:dyDescent="0.2">
      <c r="A486" s="7">
        <v>152032</v>
      </c>
      <c r="B486" s="3" t="s">
        <v>303</v>
      </c>
      <c r="C486" s="25">
        <v>0</v>
      </c>
      <c r="D486" s="25">
        <v>0</v>
      </c>
      <c r="E486" s="18">
        <f t="shared" si="83"/>
        <v>0</v>
      </c>
    </row>
    <row r="487" spans="1:5" ht="15" x14ac:dyDescent="0.2">
      <c r="A487" s="7">
        <v>152034</v>
      </c>
      <c r="B487" s="3" t="s">
        <v>116</v>
      </c>
      <c r="C487" s="25">
        <v>0</v>
      </c>
      <c r="D487" s="25">
        <v>0</v>
      </c>
      <c r="E487" s="18">
        <f t="shared" si="83"/>
        <v>0</v>
      </c>
    </row>
    <row r="488" spans="1:5" ht="15" x14ac:dyDescent="0.2">
      <c r="A488" s="7">
        <v>152090</v>
      </c>
      <c r="B488" s="3" t="s">
        <v>349</v>
      </c>
      <c r="C488" s="25">
        <v>0</v>
      </c>
      <c r="D488" s="25">
        <v>0</v>
      </c>
      <c r="E488" s="18">
        <f t="shared" si="83"/>
        <v>0</v>
      </c>
    </row>
    <row r="489" spans="1:5" ht="15" x14ac:dyDescent="0.2">
      <c r="A489" s="6">
        <v>1525</v>
      </c>
      <c r="B489" s="2" t="s">
        <v>350</v>
      </c>
      <c r="C489" s="24">
        <f>SUM(C490:C511)</f>
        <v>0</v>
      </c>
      <c r="D489" s="24">
        <f t="shared" ref="D489:E489" si="84">SUM(D490:D511)</f>
        <v>0</v>
      </c>
      <c r="E489" s="17">
        <f t="shared" si="84"/>
        <v>0</v>
      </c>
    </row>
    <row r="490" spans="1:5" ht="15" x14ac:dyDescent="0.2">
      <c r="A490" s="7">
        <v>152502</v>
      </c>
      <c r="B490" s="3" t="s">
        <v>326</v>
      </c>
      <c r="C490" s="25">
        <v>0</v>
      </c>
      <c r="D490" s="25">
        <v>0</v>
      </c>
      <c r="E490" s="18">
        <f t="shared" ref="E490:E511" si="85">SUM(C490:D490)</f>
        <v>0</v>
      </c>
    </row>
    <row r="491" spans="1:5" ht="15" x14ac:dyDescent="0.2">
      <c r="A491" s="7">
        <v>152505</v>
      </c>
      <c r="B491" s="3" t="s">
        <v>328</v>
      </c>
      <c r="C491" s="25">
        <v>0</v>
      </c>
      <c r="D491" s="25">
        <v>0</v>
      </c>
      <c r="E491" s="18">
        <f t="shared" si="85"/>
        <v>0</v>
      </c>
    </row>
    <row r="492" spans="1:5" ht="15" x14ac:dyDescent="0.2">
      <c r="A492" s="7">
        <v>152507</v>
      </c>
      <c r="B492" s="3" t="s">
        <v>296</v>
      </c>
      <c r="C492" s="25">
        <v>0</v>
      </c>
      <c r="D492" s="25">
        <v>0</v>
      </c>
      <c r="E492" s="18">
        <f t="shared" si="85"/>
        <v>0</v>
      </c>
    </row>
    <row r="493" spans="1:5" ht="15" x14ac:dyDescent="0.2">
      <c r="A493" s="7">
        <v>152508</v>
      </c>
      <c r="B493" s="3" t="s">
        <v>319</v>
      </c>
      <c r="C493" s="25">
        <v>0</v>
      </c>
      <c r="D493" s="25">
        <v>0</v>
      </c>
      <c r="E493" s="18">
        <f t="shared" si="85"/>
        <v>0</v>
      </c>
    </row>
    <row r="494" spans="1:5" ht="15" x14ac:dyDescent="0.2">
      <c r="A494" s="7">
        <v>152512</v>
      </c>
      <c r="B494" s="3" t="s">
        <v>320</v>
      </c>
      <c r="C494" s="25">
        <v>0</v>
      </c>
      <c r="D494" s="25">
        <v>0</v>
      </c>
      <c r="E494" s="18">
        <f t="shared" si="85"/>
        <v>0</v>
      </c>
    </row>
    <row r="495" spans="1:5" ht="15" x14ac:dyDescent="0.2">
      <c r="A495" s="7">
        <v>152519</v>
      </c>
      <c r="B495" s="3" t="s">
        <v>329</v>
      </c>
      <c r="C495" s="25">
        <v>0</v>
      </c>
      <c r="D495" s="25">
        <v>0</v>
      </c>
      <c r="E495" s="18">
        <f t="shared" si="85"/>
        <v>0</v>
      </c>
    </row>
    <row r="496" spans="1:5" ht="15" x14ac:dyDescent="0.2">
      <c r="A496" s="7">
        <v>152520</v>
      </c>
      <c r="B496" s="3" t="s">
        <v>293</v>
      </c>
      <c r="C496" s="25">
        <v>0</v>
      </c>
      <c r="D496" s="25">
        <v>0</v>
      </c>
      <c r="E496" s="18">
        <f t="shared" si="85"/>
        <v>0</v>
      </c>
    </row>
    <row r="497" spans="1:5" ht="15" x14ac:dyDescent="0.2">
      <c r="A497" s="7">
        <v>152521</v>
      </c>
      <c r="B497" s="3" t="s">
        <v>351</v>
      </c>
      <c r="C497" s="25">
        <v>0</v>
      </c>
      <c r="D497" s="25">
        <v>0</v>
      </c>
      <c r="E497" s="18">
        <f t="shared" si="85"/>
        <v>0</v>
      </c>
    </row>
    <row r="498" spans="1:5" ht="15" x14ac:dyDescent="0.2">
      <c r="A498" s="7">
        <v>152522</v>
      </c>
      <c r="B498" s="3" t="s">
        <v>116</v>
      </c>
      <c r="C498" s="25">
        <v>0</v>
      </c>
      <c r="D498" s="25">
        <v>0</v>
      </c>
      <c r="E498" s="18">
        <f t="shared" si="85"/>
        <v>0</v>
      </c>
    </row>
    <row r="499" spans="1:5" ht="15" x14ac:dyDescent="0.2">
      <c r="A499" s="7">
        <v>152525</v>
      </c>
      <c r="B499" s="3" t="s">
        <v>295</v>
      </c>
      <c r="C499" s="25">
        <v>0</v>
      </c>
      <c r="D499" s="25">
        <v>0</v>
      </c>
      <c r="E499" s="18">
        <f t="shared" si="85"/>
        <v>0</v>
      </c>
    </row>
    <row r="500" spans="1:5" ht="15" x14ac:dyDescent="0.2">
      <c r="A500" s="7">
        <v>152528</v>
      </c>
      <c r="B500" s="3" t="s">
        <v>308</v>
      </c>
      <c r="C500" s="25">
        <v>0</v>
      </c>
      <c r="D500" s="25">
        <v>0</v>
      </c>
      <c r="E500" s="18">
        <f t="shared" si="85"/>
        <v>0</v>
      </c>
    </row>
    <row r="501" spans="1:5" ht="15" x14ac:dyDescent="0.2">
      <c r="A501" s="7">
        <v>152529</v>
      </c>
      <c r="B501" s="3" t="s">
        <v>309</v>
      </c>
      <c r="C501" s="25">
        <v>0</v>
      </c>
      <c r="D501" s="25">
        <v>0</v>
      </c>
      <c r="E501" s="18">
        <f t="shared" si="85"/>
        <v>0</v>
      </c>
    </row>
    <row r="502" spans="1:5" ht="15" x14ac:dyDescent="0.2">
      <c r="A502" s="7">
        <v>152530</v>
      </c>
      <c r="B502" s="3" t="s">
        <v>307</v>
      </c>
      <c r="C502" s="25">
        <v>0</v>
      </c>
      <c r="D502" s="25">
        <v>0</v>
      </c>
      <c r="E502" s="18">
        <f t="shared" si="85"/>
        <v>0</v>
      </c>
    </row>
    <row r="503" spans="1:5" ht="15" x14ac:dyDescent="0.2">
      <c r="A503" s="7">
        <v>152531</v>
      </c>
      <c r="B503" s="3" t="s">
        <v>294</v>
      </c>
      <c r="C503" s="25">
        <v>0</v>
      </c>
      <c r="D503" s="25">
        <v>0</v>
      </c>
      <c r="E503" s="18">
        <f t="shared" si="85"/>
        <v>0</v>
      </c>
    </row>
    <row r="504" spans="1:5" ht="15" x14ac:dyDescent="0.2">
      <c r="A504" s="7">
        <v>152534</v>
      </c>
      <c r="B504" s="3" t="s">
        <v>299</v>
      </c>
      <c r="C504" s="25">
        <v>0</v>
      </c>
      <c r="D504" s="25">
        <v>0</v>
      </c>
      <c r="E504" s="18">
        <f t="shared" si="85"/>
        <v>0</v>
      </c>
    </row>
    <row r="505" spans="1:5" ht="15" x14ac:dyDescent="0.2">
      <c r="A505" s="7">
        <v>152535</v>
      </c>
      <c r="B505" s="3" t="s">
        <v>352</v>
      </c>
      <c r="C505" s="25">
        <v>0</v>
      </c>
      <c r="D505" s="25">
        <v>0</v>
      </c>
      <c r="E505" s="18">
        <f t="shared" si="85"/>
        <v>0</v>
      </c>
    </row>
    <row r="506" spans="1:5" ht="15" x14ac:dyDescent="0.2">
      <c r="A506" s="7">
        <v>152537</v>
      </c>
      <c r="B506" s="3" t="s">
        <v>353</v>
      </c>
      <c r="C506" s="25">
        <v>0</v>
      </c>
      <c r="D506" s="25">
        <v>0</v>
      </c>
      <c r="E506" s="18">
        <f t="shared" si="85"/>
        <v>0</v>
      </c>
    </row>
    <row r="507" spans="1:5" ht="15" x14ac:dyDescent="0.2">
      <c r="A507" s="7">
        <v>152543</v>
      </c>
      <c r="B507" s="3" t="s">
        <v>311</v>
      </c>
      <c r="C507" s="25">
        <v>0</v>
      </c>
      <c r="D507" s="25">
        <v>0</v>
      </c>
      <c r="E507" s="18">
        <f t="shared" si="85"/>
        <v>0</v>
      </c>
    </row>
    <row r="508" spans="1:5" ht="15" x14ac:dyDescent="0.2">
      <c r="A508" s="7">
        <v>152544</v>
      </c>
      <c r="B508" s="3" t="s">
        <v>312</v>
      </c>
      <c r="C508" s="25">
        <v>0</v>
      </c>
      <c r="D508" s="25">
        <v>0</v>
      </c>
      <c r="E508" s="18">
        <f t="shared" si="85"/>
        <v>0</v>
      </c>
    </row>
    <row r="509" spans="1:5" ht="15" x14ac:dyDescent="0.2">
      <c r="A509" s="7">
        <v>152545</v>
      </c>
      <c r="B509" s="3" t="s">
        <v>313</v>
      </c>
      <c r="C509" s="25">
        <v>0</v>
      </c>
      <c r="D509" s="25">
        <v>0</v>
      </c>
      <c r="E509" s="18">
        <f t="shared" si="85"/>
        <v>0</v>
      </c>
    </row>
    <row r="510" spans="1:5" ht="15" x14ac:dyDescent="0.2">
      <c r="A510" s="7">
        <v>152546</v>
      </c>
      <c r="B510" s="3" t="s">
        <v>120</v>
      </c>
      <c r="C510" s="25">
        <v>0</v>
      </c>
      <c r="D510" s="25">
        <v>0</v>
      </c>
      <c r="E510" s="18">
        <f t="shared" si="85"/>
        <v>0</v>
      </c>
    </row>
    <row r="511" spans="1:5" ht="15" x14ac:dyDescent="0.2">
      <c r="A511" s="7">
        <v>152590</v>
      </c>
      <c r="B511" s="3" t="s">
        <v>354</v>
      </c>
      <c r="C511" s="25">
        <v>0</v>
      </c>
      <c r="D511" s="25">
        <v>0</v>
      </c>
      <c r="E511" s="18">
        <f t="shared" si="85"/>
        <v>0</v>
      </c>
    </row>
    <row r="512" spans="1:5" ht="15" x14ac:dyDescent="0.2">
      <c r="A512" s="6">
        <v>1530</v>
      </c>
      <c r="B512" s="2" t="s">
        <v>355</v>
      </c>
      <c r="C512" s="24">
        <f>SUM(C513:C533)</f>
        <v>0</v>
      </c>
      <c r="D512" s="24">
        <f t="shared" ref="D512:E512" si="86">SUM(D513:D533)</f>
        <v>0</v>
      </c>
      <c r="E512" s="17">
        <f t="shared" si="86"/>
        <v>0</v>
      </c>
    </row>
    <row r="513" spans="1:5" ht="15" x14ac:dyDescent="0.2">
      <c r="A513" s="7">
        <v>153005</v>
      </c>
      <c r="B513" s="3" t="s">
        <v>293</v>
      </c>
      <c r="C513" s="25">
        <v>0</v>
      </c>
      <c r="D513" s="25">
        <v>0</v>
      </c>
      <c r="E513" s="18">
        <f t="shared" ref="E513:E533" si="87">SUM(C513:D513)</f>
        <v>0</v>
      </c>
    </row>
    <row r="514" spans="1:5" ht="15" x14ac:dyDescent="0.2">
      <c r="A514" s="7">
        <v>153006</v>
      </c>
      <c r="B514" s="3" t="s">
        <v>296</v>
      </c>
      <c r="C514" s="25">
        <v>0</v>
      </c>
      <c r="D514" s="25">
        <v>0</v>
      </c>
      <c r="E514" s="18">
        <f t="shared" si="87"/>
        <v>0</v>
      </c>
    </row>
    <row r="515" spans="1:5" ht="15" x14ac:dyDescent="0.2">
      <c r="A515" s="7">
        <v>153007</v>
      </c>
      <c r="B515" s="3" t="s">
        <v>326</v>
      </c>
      <c r="C515" s="25">
        <v>0</v>
      </c>
      <c r="D515" s="25">
        <v>0</v>
      </c>
      <c r="E515" s="18">
        <f t="shared" si="87"/>
        <v>0</v>
      </c>
    </row>
    <row r="516" spans="1:5" ht="15" x14ac:dyDescent="0.2">
      <c r="A516" s="7">
        <v>153008</v>
      </c>
      <c r="B516" s="3" t="s">
        <v>329</v>
      </c>
      <c r="C516" s="25">
        <v>0</v>
      </c>
      <c r="D516" s="25">
        <v>0</v>
      </c>
      <c r="E516" s="18">
        <f t="shared" si="87"/>
        <v>0</v>
      </c>
    </row>
    <row r="517" spans="1:5" ht="15" x14ac:dyDescent="0.2">
      <c r="A517" s="7">
        <v>153009</v>
      </c>
      <c r="B517" s="3" t="s">
        <v>353</v>
      </c>
      <c r="C517" s="25">
        <v>0</v>
      </c>
      <c r="D517" s="25">
        <v>0</v>
      </c>
      <c r="E517" s="18">
        <f t="shared" si="87"/>
        <v>0</v>
      </c>
    </row>
    <row r="518" spans="1:5" ht="15" x14ac:dyDescent="0.2">
      <c r="A518" s="7">
        <v>153010</v>
      </c>
      <c r="B518" s="3" t="s">
        <v>120</v>
      </c>
      <c r="C518" s="25">
        <v>0</v>
      </c>
      <c r="D518" s="25">
        <v>0</v>
      </c>
      <c r="E518" s="18">
        <f t="shared" si="87"/>
        <v>0</v>
      </c>
    </row>
    <row r="519" spans="1:5" ht="15" x14ac:dyDescent="0.2">
      <c r="A519" s="7">
        <v>153013</v>
      </c>
      <c r="B519" s="3" t="s">
        <v>309</v>
      </c>
      <c r="C519" s="25">
        <v>0</v>
      </c>
      <c r="D519" s="25">
        <v>0</v>
      </c>
      <c r="E519" s="18">
        <f t="shared" si="87"/>
        <v>0</v>
      </c>
    </row>
    <row r="520" spans="1:5" ht="15" x14ac:dyDescent="0.2">
      <c r="A520" s="7">
        <v>153014</v>
      </c>
      <c r="B520" s="3" t="s">
        <v>294</v>
      </c>
      <c r="C520" s="25">
        <v>0</v>
      </c>
      <c r="D520" s="25">
        <v>0</v>
      </c>
      <c r="E520" s="18">
        <f t="shared" si="87"/>
        <v>0</v>
      </c>
    </row>
    <row r="521" spans="1:5" ht="15" x14ac:dyDescent="0.2">
      <c r="A521" s="7">
        <v>153015</v>
      </c>
      <c r="B521" s="3" t="s">
        <v>116</v>
      </c>
      <c r="C521" s="25">
        <v>0</v>
      </c>
      <c r="D521" s="25">
        <v>0</v>
      </c>
      <c r="E521" s="18">
        <f t="shared" si="87"/>
        <v>0</v>
      </c>
    </row>
    <row r="522" spans="1:5" ht="15" x14ac:dyDescent="0.2">
      <c r="A522" s="7">
        <v>153018</v>
      </c>
      <c r="B522" s="3" t="s">
        <v>295</v>
      </c>
      <c r="C522" s="25">
        <v>0</v>
      </c>
      <c r="D522" s="25">
        <v>0</v>
      </c>
      <c r="E522" s="18">
        <f t="shared" si="87"/>
        <v>0</v>
      </c>
    </row>
    <row r="523" spans="1:5" ht="15" x14ac:dyDescent="0.2">
      <c r="A523" s="7">
        <v>153021</v>
      </c>
      <c r="B523" s="3" t="s">
        <v>356</v>
      </c>
      <c r="C523" s="25">
        <v>0</v>
      </c>
      <c r="D523" s="25">
        <v>0</v>
      </c>
      <c r="E523" s="18">
        <f t="shared" si="87"/>
        <v>0</v>
      </c>
    </row>
    <row r="524" spans="1:5" ht="15" x14ac:dyDescent="0.2">
      <c r="A524" s="7">
        <v>153023</v>
      </c>
      <c r="B524" s="3" t="s">
        <v>297</v>
      </c>
      <c r="C524" s="25">
        <v>0</v>
      </c>
      <c r="D524" s="25">
        <v>0</v>
      </c>
      <c r="E524" s="18">
        <f t="shared" si="87"/>
        <v>0</v>
      </c>
    </row>
    <row r="525" spans="1:5" ht="15" x14ac:dyDescent="0.2">
      <c r="A525" s="7">
        <v>153024</v>
      </c>
      <c r="B525" s="3" t="s">
        <v>298</v>
      </c>
      <c r="C525" s="25">
        <v>0</v>
      </c>
      <c r="D525" s="25">
        <v>0</v>
      </c>
      <c r="E525" s="18">
        <f t="shared" si="87"/>
        <v>0</v>
      </c>
    </row>
    <row r="526" spans="1:5" ht="15" x14ac:dyDescent="0.2">
      <c r="A526" s="7">
        <v>153028</v>
      </c>
      <c r="B526" s="3" t="s">
        <v>320</v>
      </c>
      <c r="C526" s="25">
        <v>0</v>
      </c>
      <c r="D526" s="25">
        <v>0</v>
      </c>
      <c r="E526" s="18">
        <f t="shared" si="87"/>
        <v>0</v>
      </c>
    </row>
    <row r="527" spans="1:5" ht="15" x14ac:dyDescent="0.2">
      <c r="A527" s="7">
        <v>153030</v>
      </c>
      <c r="B527" s="3" t="s">
        <v>328</v>
      </c>
      <c r="C527" s="25">
        <v>0</v>
      </c>
      <c r="D527" s="25">
        <v>0</v>
      </c>
      <c r="E527" s="18">
        <f t="shared" si="87"/>
        <v>0</v>
      </c>
    </row>
    <row r="528" spans="1:5" ht="15" x14ac:dyDescent="0.2">
      <c r="A528" s="7">
        <v>153031</v>
      </c>
      <c r="B528" s="3" t="s">
        <v>319</v>
      </c>
      <c r="C528" s="25">
        <v>0</v>
      </c>
      <c r="D528" s="25">
        <v>0</v>
      </c>
      <c r="E528" s="18">
        <f t="shared" si="87"/>
        <v>0</v>
      </c>
    </row>
    <row r="529" spans="1:5" ht="15" x14ac:dyDescent="0.2">
      <c r="A529" s="7">
        <v>153033</v>
      </c>
      <c r="B529" s="3" t="s">
        <v>351</v>
      </c>
      <c r="C529" s="25">
        <v>0</v>
      </c>
      <c r="D529" s="25">
        <v>0</v>
      </c>
      <c r="E529" s="18">
        <f t="shared" si="87"/>
        <v>0</v>
      </c>
    </row>
    <row r="530" spans="1:5" ht="15" x14ac:dyDescent="0.2">
      <c r="A530" s="7">
        <v>153034</v>
      </c>
      <c r="B530" s="3" t="s">
        <v>352</v>
      </c>
      <c r="C530" s="25">
        <v>0</v>
      </c>
      <c r="D530" s="25">
        <v>0</v>
      </c>
      <c r="E530" s="18">
        <f t="shared" si="87"/>
        <v>0</v>
      </c>
    </row>
    <row r="531" spans="1:5" ht="15" x14ac:dyDescent="0.2">
      <c r="A531" s="7">
        <v>153040</v>
      </c>
      <c r="B531" s="3" t="s">
        <v>311</v>
      </c>
      <c r="C531" s="25">
        <v>0</v>
      </c>
      <c r="D531" s="25">
        <v>0</v>
      </c>
      <c r="E531" s="18">
        <f t="shared" si="87"/>
        <v>0</v>
      </c>
    </row>
    <row r="532" spans="1:5" ht="15" x14ac:dyDescent="0.2">
      <c r="A532" s="7">
        <v>153042</v>
      </c>
      <c r="B532" s="3" t="s">
        <v>315</v>
      </c>
      <c r="C532" s="25">
        <v>0</v>
      </c>
      <c r="D532" s="25">
        <v>0</v>
      </c>
      <c r="E532" s="18">
        <f t="shared" si="87"/>
        <v>0</v>
      </c>
    </row>
    <row r="533" spans="1:5" ht="15" x14ac:dyDescent="0.2">
      <c r="A533" s="7">
        <v>153090</v>
      </c>
      <c r="B533" s="3" t="s">
        <v>357</v>
      </c>
      <c r="C533" s="25">
        <v>0</v>
      </c>
      <c r="D533" s="25">
        <v>0</v>
      </c>
      <c r="E533" s="18">
        <f t="shared" si="87"/>
        <v>0</v>
      </c>
    </row>
    <row r="534" spans="1:5" ht="15" x14ac:dyDescent="0.2">
      <c r="A534" s="6">
        <v>1580</v>
      </c>
      <c r="B534" s="2" t="s">
        <v>358</v>
      </c>
      <c r="C534" s="24">
        <f>SUM(C535:C542)</f>
        <v>0</v>
      </c>
      <c r="D534" s="24">
        <f t="shared" ref="D534:E534" si="88">SUM(D535:D542)</f>
        <v>0</v>
      </c>
      <c r="E534" s="17">
        <f t="shared" si="88"/>
        <v>0</v>
      </c>
    </row>
    <row r="535" spans="1:5" ht="15" x14ac:dyDescent="0.2">
      <c r="A535" s="7">
        <v>158001</v>
      </c>
      <c r="B535" s="3" t="s">
        <v>359</v>
      </c>
      <c r="C535" s="25">
        <v>0</v>
      </c>
      <c r="D535" s="25">
        <v>0</v>
      </c>
      <c r="E535" s="18">
        <f t="shared" ref="E535:E542" si="89">SUM(C535:D535)</f>
        <v>0</v>
      </c>
    </row>
    <row r="536" spans="1:5" ht="15" x14ac:dyDescent="0.2">
      <c r="A536" s="7">
        <v>158002</v>
      </c>
      <c r="B536" s="3" t="s">
        <v>360</v>
      </c>
      <c r="C536" s="25">
        <v>0</v>
      </c>
      <c r="D536" s="25">
        <v>0</v>
      </c>
      <c r="E536" s="18">
        <f t="shared" si="89"/>
        <v>0</v>
      </c>
    </row>
    <row r="537" spans="1:5" ht="15" x14ac:dyDescent="0.2">
      <c r="A537" s="7">
        <v>158004</v>
      </c>
      <c r="B537" s="3" t="s">
        <v>361</v>
      </c>
      <c r="C537" s="25">
        <v>0</v>
      </c>
      <c r="D537" s="25">
        <v>0</v>
      </c>
      <c r="E537" s="18">
        <f t="shared" si="89"/>
        <v>0</v>
      </c>
    </row>
    <row r="538" spans="1:5" ht="15" x14ac:dyDescent="0.2">
      <c r="A538" s="7">
        <v>158006</v>
      </c>
      <c r="B538" s="3" t="s">
        <v>326</v>
      </c>
      <c r="C538" s="25">
        <v>0</v>
      </c>
      <c r="D538" s="25">
        <v>0</v>
      </c>
      <c r="E538" s="18">
        <f t="shared" si="89"/>
        <v>0</v>
      </c>
    </row>
    <row r="539" spans="1:5" ht="15" x14ac:dyDescent="0.2">
      <c r="A539" s="7">
        <v>158010</v>
      </c>
      <c r="B539" s="3" t="s">
        <v>362</v>
      </c>
      <c r="C539" s="25">
        <v>0</v>
      </c>
      <c r="D539" s="25">
        <v>0</v>
      </c>
      <c r="E539" s="18">
        <f t="shared" si="89"/>
        <v>0</v>
      </c>
    </row>
    <row r="540" spans="1:5" ht="15" x14ac:dyDescent="0.2">
      <c r="A540" s="7">
        <v>158011</v>
      </c>
      <c r="B540" s="3" t="s">
        <v>363</v>
      </c>
      <c r="C540" s="25">
        <v>0</v>
      </c>
      <c r="D540" s="25">
        <v>0</v>
      </c>
      <c r="E540" s="18">
        <f t="shared" si="89"/>
        <v>0</v>
      </c>
    </row>
    <row r="541" spans="1:5" ht="15" x14ac:dyDescent="0.2">
      <c r="A541" s="7">
        <v>158012</v>
      </c>
      <c r="B541" s="3" t="s">
        <v>364</v>
      </c>
      <c r="C541" s="25">
        <v>0</v>
      </c>
      <c r="D541" s="25">
        <v>0</v>
      </c>
      <c r="E541" s="18">
        <f t="shared" si="89"/>
        <v>0</v>
      </c>
    </row>
    <row r="542" spans="1:5" ht="15" x14ac:dyDescent="0.2">
      <c r="A542" s="7">
        <v>158013</v>
      </c>
      <c r="B542" s="3" t="s">
        <v>365</v>
      </c>
      <c r="C542" s="25">
        <v>0</v>
      </c>
      <c r="D542" s="25">
        <v>0</v>
      </c>
      <c r="E542" s="18">
        <f t="shared" si="89"/>
        <v>0</v>
      </c>
    </row>
    <row r="543" spans="1:5" ht="15" x14ac:dyDescent="0.2">
      <c r="A543" s="6">
        <v>16</v>
      </c>
      <c r="B543" s="2" t="s">
        <v>366</v>
      </c>
      <c r="C543" s="24">
        <f>SUM(C544,C550,C558,C561,C566,C575,C587,C597,C607,C619,C646,C657,C672,C685,C703,C715,C721,C729,C739,C747,C755,C767,C785)</f>
        <v>0</v>
      </c>
      <c r="D543" s="24">
        <f>SUM(D544,D550,D558,D561,D566,D575,D587,D597,D607,D619,D646,D657,D672,D685,D703,D715,D721,D729,D739,D747,D755,D767,D785)</f>
        <v>16452010</v>
      </c>
      <c r="E543" s="28">
        <f>SUM(E544,E550,E558,E561,E566,E575,E587,E597,E607,E619,E646,E657,E672,E685,E703,E715,E721,E729,E739,E747,E755,E767,E785)</f>
        <v>16452010</v>
      </c>
    </row>
    <row r="544" spans="1:5" ht="15" x14ac:dyDescent="0.2">
      <c r="A544" s="6">
        <v>1605</v>
      </c>
      <c r="B544" s="2" t="s">
        <v>367</v>
      </c>
      <c r="C544" s="24">
        <f>SUM(C545:C549)</f>
        <v>0</v>
      </c>
      <c r="D544" s="24">
        <f t="shared" ref="D544:E544" si="90">SUM(D545:D549)</f>
        <v>0</v>
      </c>
      <c r="E544" s="17">
        <f t="shared" si="90"/>
        <v>0</v>
      </c>
    </row>
    <row r="545" spans="1:5" ht="15" x14ac:dyDescent="0.2">
      <c r="A545" s="7">
        <v>160501</v>
      </c>
      <c r="B545" s="3" t="s">
        <v>368</v>
      </c>
      <c r="C545" s="25">
        <v>0</v>
      </c>
      <c r="D545" s="25">
        <v>0</v>
      </c>
      <c r="E545" s="18">
        <f t="shared" ref="E545:E549" si="91">SUM(C545:D545)</f>
        <v>0</v>
      </c>
    </row>
    <row r="546" spans="1:5" ht="15" x14ac:dyDescent="0.2">
      <c r="A546" s="7">
        <v>160502</v>
      </c>
      <c r="B546" s="3" t="s">
        <v>369</v>
      </c>
      <c r="C546" s="25">
        <v>0</v>
      </c>
      <c r="D546" s="25">
        <v>0</v>
      </c>
      <c r="E546" s="18">
        <f t="shared" si="91"/>
        <v>0</v>
      </c>
    </row>
    <row r="547" spans="1:5" ht="15" x14ac:dyDescent="0.2">
      <c r="A547" s="7">
        <v>160503</v>
      </c>
      <c r="B547" s="3" t="s">
        <v>370</v>
      </c>
      <c r="C547" s="25">
        <v>0</v>
      </c>
      <c r="D547" s="25">
        <v>0</v>
      </c>
      <c r="E547" s="18">
        <f t="shared" si="91"/>
        <v>0</v>
      </c>
    </row>
    <row r="548" spans="1:5" ht="15" x14ac:dyDescent="0.2">
      <c r="A548" s="7">
        <v>160504</v>
      </c>
      <c r="B548" s="3" t="s">
        <v>371</v>
      </c>
      <c r="C548" s="25">
        <v>0</v>
      </c>
      <c r="D548" s="25">
        <v>0</v>
      </c>
      <c r="E548" s="18">
        <f t="shared" si="91"/>
        <v>0</v>
      </c>
    </row>
    <row r="549" spans="1:5" ht="15" x14ac:dyDescent="0.2">
      <c r="A549" s="7">
        <v>160505</v>
      </c>
      <c r="B549" s="3" t="s">
        <v>372</v>
      </c>
      <c r="C549" s="25">
        <v>0</v>
      </c>
      <c r="D549" s="25">
        <v>0</v>
      </c>
      <c r="E549" s="18">
        <f t="shared" si="91"/>
        <v>0</v>
      </c>
    </row>
    <row r="550" spans="1:5" ht="15" x14ac:dyDescent="0.2">
      <c r="A550" s="6">
        <v>1610</v>
      </c>
      <c r="B550" s="2" t="s">
        <v>373</v>
      </c>
      <c r="C550" s="24">
        <f>SUM(C551:C557)</f>
        <v>0</v>
      </c>
      <c r="D550" s="24">
        <f t="shared" ref="D550:E550" si="92">SUM(D551:D557)</f>
        <v>0</v>
      </c>
      <c r="E550" s="17">
        <f t="shared" si="92"/>
        <v>0</v>
      </c>
    </row>
    <row r="551" spans="1:5" ht="15" x14ac:dyDescent="0.2">
      <c r="A551" s="7">
        <v>161001</v>
      </c>
      <c r="B551" s="3" t="s">
        <v>374</v>
      </c>
      <c r="C551" s="25">
        <v>0</v>
      </c>
      <c r="D551" s="25">
        <v>0</v>
      </c>
      <c r="E551" s="18">
        <f t="shared" ref="E551:E557" si="93">SUM(C551:D551)</f>
        <v>0</v>
      </c>
    </row>
    <row r="552" spans="1:5" ht="15" x14ac:dyDescent="0.2">
      <c r="A552" s="7">
        <v>161002</v>
      </c>
      <c r="B552" s="3" t="s">
        <v>375</v>
      </c>
      <c r="C552" s="25">
        <v>0</v>
      </c>
      <c r="D552" s="25">
        <v>0</v>
      </c>
      <c r="E552" s="18">
        <f t="shared" si="93"/>
        <v>0</v>
      </c>
    </row>
    <row r="553" spans="1:5" ht="15" x14ac:dyDescent="0.2">
      <c r="A553" s="7">
        <v>161003</v>
      </c>
      <c r="B553" s="3" t="s">
        <v>376</v>
      </c>
      <c r="C553" s="25">
        <v>0</v>
      </c>
      <c r="D553" s="25">
        <v>0</v>
      </c>
      <c r="E553" s="18">
        <f t="shared" si="93"/>
        <v>0</v>
      </c>
    </row>
    <row r="554" spans="1:5" ht="15" x14ac:dyDescent="0.2">
      <c r="A554" s="7">
        <v>161004</v>
      </c>
      <c r="B554" s="3" t="s">
        <v>377</v>
      </c>
      <c r="C554" s="25">
        <v>0</v>
      </c>
      <c r="D554" s="25">
        <v>0</v>
      </c>
      <c r="E554" s="18">
        <f t="shared" si="93"/>
        <v>0</v>
      </c>
    </row>
    <row r="555" spans="1:5" ht="15" x14ac:dyDescent="0.2">
      <c r="A555" s="7">
        <v>161005</v>
      </c>
      <c r="B555" s="3" t="s">
        <v>378</v>
      </c>
      <c r="C555" s="25">
        <v>0</v>
      </c>
      <c r="D555" s="25">
        <v>0</v>
      </c>
      <c r="E555" s="18">
        <f t="shared" si="93"/>
        <v>0</v>
      </c>
    </row>
    <row r="556" spans="1:5" ht="15" x14ac:dyDescent="0.2">
      <c r="A556" s="7">
        <v>161006</v>
      </c>
      <c r="B556" s="3" t="s">
        <v>379</v>
      </c>
      <c r="C556" s="25">
        <v>0</v>
      </c>
      <c r="D556" s="25">
        <v>0</v>
      </c>
      <c r="E556" s="18">
        <f t="shared" si="93"/>
        <v>0</v>
      </c>
    </row>
    <row r="557" spans="1:5" ht="15" x14ac:dyDescent="0.2">
      <c r="A557" s="7">
        <v>161090</v>
      </c>
      <c r="B557" s="3" t="s">
        <v>380</v>
      </c>
      <c r="C557" s="25">
        <v>0</v>
      </c>
      <c r="D557" s="25">
        <v>0</v>
      </c>
      <c r="E557" s="18">
        <f t="shared" si="93"/>
        <v>0</v>
      </c>
    </row>
    <row r="558" spans="1:5" ht="15" x14ac:dyDescent="0.2">
      <c r="A558" s="6">
        <v>1612</v>
      </c>
      <c r="B558" s="2" t="s">
        <v>381</v>
      </c>
      <c r="C558" s="24">
        <f>SUM(C559:C560)</f>
        <v>0</v>
      </c>
      <c r="D558" s="24">
        <f t="shared" ref="D558:E558" si="94">SUM(D559:D560)</f>
        <v>0</v>
      </c>
      <c r="E558" s="17">
        <f t="shared" si="94"/>
        <v>0</v>
      </c>
    </row>
    <row r="559" spans="1:5" ht="15" x14ac:dyDescent="0.2">
      <c r="A559" s="7">
        <v>161201</v>
      </c>
      <c r="B559" s="3" t="s">
        <v>382</v>
      </c>
      <c r="C559" s="25">
        <v>0</v>
      </c>
      <c r="D559" s="25">
        <v>0</v>
      </c>
      <c r="E559" s="18">
        <f t="shared" ref="E559:E560" si="95">SUM(C559:D559)</f>
        <v>0</v>
      </c>
    </row>
    <row r="560" spans="1:5" ht="15" x14ac:dyDescent="0.2">
      <c r="A560" s="7">
        <v>161202</v>
      </c>
      <c r="B560" s="3" t="s">
        <v>383</v>
      </c>
      <c r="C560" s="25">
        <v>0</v>
      </c>
      <c r="D560" s="25">
        <v>0</v>
      </c>
      <c r="E560" s="18">
        <f t="shared" si="95"/>
        <v>0</v>
      </c>
    </row>
    <row r="561" spans="1:5" ht="15" x14ac:dyDescent="0.2">
      <c r="A561" s="6">
        <v>1615</v>
      </c>
      <c r="B561" s="2" t="s">
        <v>384</v>
      </c>
      <c r="C561" s="24">
        <f>SUM(C562:C565)</f>
        <v>0</v>
      </c>
      <c r="D561" s="24">
        <f t="shared" ref="D561:E561" si="96">SUM(D562:D565)</f>
        <v>0</v>
      </c>
      <c r="E561" s="17">
        <f t="shared" si="96"/>
        <v>0</v>
      </c>
    </row>
    <row r="562" spans="1:5" ht="15" x14ac:dyDescent="0.2">
      <c r="A562" s="7">
        <v>161501</v>
      </c>
      <c r="B562" s="3" t="s">
        <v>385</v>
      </c>
      <c r="C562" s="25">
        <v>0</v>
      </c>
      <c r="D562" s="25">
        <v>0</v>
      </c>
      <c r="E562" s="18">
        <f t="shared" ref="E562:E565" si="97">SUM(C562:D562)</f>
        <v>0</v>
      </c>
    </row>
    <row r="563" spans="1:5" ht="15" x14ac:dyDescent="0.2">
      <c r="A563" s="7">
        <v>161504</v>
      </c>
      <c r="B563" s="3" t="s">
        <v>386</v>
      </c>
      <c r="C563" s="25">
        <v>0</v>
      </c>
      <c r="D563" s="25">
        <v>0</v>
      </c>
      <c r="E563" s="18">
        <f t="shared" si="97"/>
        <v>0</v>
      </c>
    </row>
    <row r="564" spans="1:5" ht="15" x14ac:dyDescent="0.2">
      <c r="A564" s="7">
        <v>161505</v>
      </c>
      <c r="B564" s="3" t="s">
        <v>387</v>
      </c>
      <c r="C564" s="25">
        <v>0</v>
      </c>
      <c r="D564" s="25">
        <v>0</v>
      </c>
      <c r="E564" s="18">
        <f t="shared" si="97"/>
        <v>0</v>
      </c>
    </row>
    <row r="565" spans="1:5" ht="15" x14ac:dyDescent="0.2">
      <c r="A565" s="7">
        <v>161590</v>
      </c>
      <c r="B565" s="3" t="s">
        <v>388</v>
      </c>
      <c r="C565" s="25">
        <v>0</v>
      </c>
      <c r="D565" s="25">
        <v>0</v>
      </c>
      <c r="E565" s="18">
        <f t="shared" si="97"/>
        <v>0</v>
      </c>
    </row>
    <row r="566" spans="1:5" ht="15" x14ac:dyDescent="0.2">
      <c r="A566" s="6">
        <v>1620</v>
      </c>
      <c r="B566" s="2" t="s">
        <v>389</v>
      </c>
      <c r="C566" s="24">
        <f>SUM(C567:C574)</f>
        <v>0</v>
      </c>
      <c r="D566" s="24">
        <f t="shared" ref="D566:E566" si="98">SUM(D567:D574)</f>
        <v>0</v>
      </c>
      <c r="E566" s="17">
        <f t="shared" si="98"/>
        <v>0</v>
      </c>
    </row>
    <row r="567" spans="1:5" ht="15" x14ac:dyDescent="0.2">
      <c r="A567" s="7">
        <v>162001</v>
      </c>
      <c r="B567" s="3" t="s">
        <v>386</v>
      </c>
      <c r="C567" s="25">
        <v>0</v>
      </c>
      <c r="D567" s="25">
        <v>0</v>
      </c>
      <c r="E567" s="18">
        <f t="shared" ref="E567:E574" si="99">SUM(C567:D567)</f>
        <v>0</v>
      </c>
    </row>
    <row r="568" spans="1:5" ht="15" x14ac:dyDescent="0.2">
      <c r="A568" s="7">
        <v>162002</v>
      </c>
      <c r="B568" s="3" t="s">
        <v>387</v>
      </c>
      <c r="C568" s="25">
        <v>0</v>
      </c>
      <c r="D568" s="25">
        <v>0</v>
      </c>
      <c r="E568" s="18">
        <f t="shared" si="99"/>
        <v>0</v>
      </c>
    </row>
    <row r="569" spans="1:5" ht="15" x14ac:dyDescent="0.2">
      <c r="A569" s="7">
        <v>162003</v>
      </c>
      <c r="B569" s="3" t="s">
        <v>390</v>
      </c>
      <c r="C569" s="25">
        <v>0</v>
      </c>
      <c r="D569" s="25">
        <v>0</v>
      </c>
      <c r="E569" s="18">
        <f t="shared" si="99"/>
        <v>0</v>
      </c>
    </row>
    <row r="570" spans="1:5" ht="15" x14ac:dyDescent="0.2">
      <c r="A570" s="7">
        <v>162004</v>
      </c>
      <c r="B570" s="3" t="s">
        <v>391</v>
      </c>
      <c r="C570" s="25">
        <v>0</v>
      </c>
      <c r="D570" s="25">
        <v>0</v>
      </c>
      <c r="E570" s="18">
        <f t="shared" si="99"/>
        <v>0</v>
      </c>
    </row>
    <row r="571" spans="1:5" ht="15" x14ac:dyDescent="0.2">
      <c r="A571" s="7">
        <v>162005</v>
      </c>
      <c r="B571" s="3" t="s">
        <v>311</v>
      </c>
      <c r="C571" s="25">
        <v>0</v>
      </c>
      <c r="D571" s="25">
        <v>0</v>
      </c>
      <c r="E571" s="18">
        <f t="shared" si="99"/>
        <v>0</v>
      </c>
    </row>
    <row r="572" spans="1:5" ht="15" x14ac:dyDescent="0.2">
      <c r="A572" s="7">
        <v>162007</v>
      </c>
      <c r="B572" s="3" t="s">
        <v>392</v>
      </c>
      <c r="C572" s="25">
        <v>0</v>
      </c>
      <c r="D572" s="25">
        <v>0</v>
      </c>
      <c r="E572" s="18">
        <f t="shared" si="99"/>
        <v>0</v>
      </c>
    </row>
    <row r="573" spans="1:5" ht="15" x14ac:dyDescent="0.2">
      <c r="A573" s="7">
        <v>162008</v>
      </c>
      <c r="B573" s="3" t="s">
        <v>393</v>
      </c>
      <c r="C573" s="25">
        <v>0</v>
      </c>
      <c r="D573" s="25">
        <v>0</v>
      </c>
      <c r="E573" s="18">
        <f t="shared" si="99"/>
        <v>0</v>
      </c>
    </row>
    <row r="574" spans="1:5" ht="15" x14ac:dyDescent="0.2">
      <c r="A574" s="7">
        <v>162090</v>
      </c>
      <c r="B574" s="3" t="s">
        <v>394</v>
      </c>
      <c r="C574" s="25">
        <v>0</v>
      </c>
      <c r="D574" s="25">
        <v>0</v>
      </c>
      <c r="E574" s="18">
        <f t="shared" si="99"/>
        <v>0</v>
      </c>
    </row>
    <row r="575" spans="1:5" ht="15" x14ac:dyDescent="0.2">
      <c r="A575" s="6">
        <v>1625</v>
      </c>
      <c r="B575" s="2" t="s">
        <v>395</v>
      </c>
      <c r="C575" s="24">
        <f>SUM(C576:C586)</f>
        <v>0</v>
      </c>
      <c r="D575" s="24">
        <f t="shared" ref="D575:E575" si="100">SUM(D576:D586)</f>
        <v>0</v>
      </c>
      <c r="E575" s="17">
        <f t="shared" si="100"/>
        <v>0</v>
      </c>
    </row>
    <row r="576" spans="1:5" ht="15" x14ac:dyDescent="0.2">
      <c r="A576" s="7">
        <v>162501</v>
      </c>
      <c r="B576" s="3" t="s">
        <v>396</v>
      </c>
      <c r="C576" s="25">
        <v>0</v>
      </c>
      <c r="D576" s="25">
        <v>0</v>
      </c>
      <c r="E576" s="18">
        <f t="shared" ref="E576:E586" si="101">SUM(C576:D576)</f>
        <v>0</v>
      </c>
    </row>
    <row r="577" spans="1:5" ht="15" x14ac:dyDescent="0.2">
      <c r="A577" s="7">
        <v>162502</v>
      </c>
      <c r="B577" s="3" t="s">
        <v>387</v>
      </c>
      <c r="C577" s="25">
        <v>0</v>
      </c>
      <c r="D577" s="25">
        <v>0</v>
      </c>
      <c r="E577" s="18">
        <f t="shared" si="101"/>
        <v>0</v>
      </c>
    </row>
    <row r="578" spans="1:5" ht="15" x14ac:dyDescent="0.2">
      <c r="A578" s="7">
        <v>162503</v>
      </c>
      <c r="B578" s="3" t="s">
        <v>390</v>
      </c>
      <c r="C578" s="25">
        <v>0</v>
      </c>
      <c r="D578" s="25">
        <v>0</v>
      </c>
      <c r="E578" s="18">
        <f t="shared" si="101"/>
        <v>0</v>
      </c>
    </row>
    <row r="579" spans="1:5" ht="15" x14ac:dyDescent="0.2">
      <c r="A579" s="7">
        <v>162504</v>
      </c>
      <c r="B579" s="3" t="s">
        <v>391</v>
      </c>
      <c r="C579" s="25">
        <v>0</v>
      </c>
      <c r="D579" s="25">
        <v>0</v>
      </c>
      <c r="E579" s="18">
        <f t="shared" si="101"/>
        <v>0</v>
      </c>
    </row>
    <row r="580" spans="1:5" ht="15" x14ac:dyDescent="0.2">
      <c r="A580" s="7">
        <v>162505</v>
      </c>
      <c r="B580" s="3" t="s">
        <v>311</v>
      </c>
      <c r="C580" s="25">
        <v>0</v>
      </c>
      <c r="D580" s="25">
        <v>0</v>
      </c>
      <c r="E580" s="18">
        <f t="shared" si="101"/>
        <v>0</v>
      </c>
    </row>
    <row r="581" spans="1:5" ht="15" x14ac:dyDescent="0.2">
      <c r="A581" s="7">
        <v>162506</v>
      </c>
      <c r="B581" s="3" t="s">
        <v>393</v>
      </c>
      <c r="C581" s="25">
        <v>0</v>
      </c>
      <c r="D581" s="25">
        <v>0</v>
      </c>
      <c r="E581" s="18">
        <f t="shared" si="101"/>
        <v>0</v>
      </c>
    </row>
    <row r="582" spans="1:5" ht="15" x14ac:dyDescent="0.2">
      <c r="A582" s="7">
        <v>162507</v>
      </c>
      <c r="B582" s="3" t="s">
        <v>397</v>
      </c>
      <c r="C582" s="25">
        <v>0</v>
      </c>
      <c r="D582" s="25">
        <v>0</v>
      </c>
      <c r="E582" s="18">
        <f t="shared" si="101"/>
        <v>0</v>
      </c>
    </row>
    <row r="583" spans="1:5" ht="15" x14ac:dyDescent="0.2">
      <c r="A583" s="7">
        <v>162508</v>
      </c>
      <c r="B583" s="3" t="s">
        <v>392</v>
      </c>
      <c r="C583" s="25">
        <v>0</v>
      </c>
      <c r="D583" s="25">
        <v>0</v>
      </c>
      <c r="E583" s="18">
        <f t="shared" si="101"/>
        <v>0</v>
      </c>
    </row>
    <row r="584" spans="1:5" ht="15" x14ac:dyDescent="0.2">
      <c r="A584" s="7">
        <v>162511</v>
      </c>
      <c r="B584" s="3" t="s">
        <v>398</v>
      </c>
      <c r="C584" s="25">
        <v>0</v>
      </c>
      <c r="D584" s="25">
        <v>0</v>
      </c>
      <c r="E584" s="18">
        <f t="shared" si="101"/>
        <v>0</v>
      </c>
    </row>
    <row r="585" spans="1:5" ht="15" x14ac:dyDescent="0.2">
      <c r="A585" s="7">
        <v>162512</v>
      </c>
      <c r="B585" s="3" t="s">
        <v>399</v>
      </c>
      <c r="C585" s="25">
        <v>0</v>
      </c>
      <c r="D585" s="25">
        <v>0</v>
      </c>
      <c r="E585" s="18">
        <f t="shared" si="101"/>
        <v>0</v>
      </c>
    </row>
    <row r="586" spans="1:5" ht="15" x14ac:dyDescent="0.2">
      <c r="A586" s="7">
        <v>162590</v>
      </c>
      <c r="B586" s="3" t="s">
        <v>400</v>
      </c>
      <c r="C586" s="25">
        <v>0</v>
      </c>
      <c r="D586" s="25">
        <v>0</v>
      </c>
      <c r="E586" s="18">
        <f t="shared" si="101"/>
        <v>0</v>
      </c>
    </row>
    <row r="587" spans="1:5" ht="15" x14ac:dyDescent="0.2">
      <c r="A587" s="6">
        <v>1635</v>
      </c>
      <c r="B587" s="2" t="s">
        <v>401</v>
      </c>
      <c r="C587" s="24">
        <f>SUM(C588:C596)</f>
        <v>0</v>
      </c>
      <c r="D587" s="24">
        <f t="shared" ref="D587:E587" si="102">SUM(D588:D596)</f>
        <v>0</v>
      </c>
      <c r="E587" s="17">
        <f t="shared" si="102"/>
        <v>0</v>
      </c>
    </row>
    <row r="588" spans="1:5" ht="15" x14ac:dyDescent="0.2">
      <c r="A588" s="7">
        <v>163501</v>
      </c>
      <c r="B588" s="3" t="s">
        <v>390</v>
      </c>
      <c r="C588" s="25">
        <v>0</v>
      </c>
      <c r="D588" s="25">
        <v>0</v>
      </c>
      <c r="E588" s="18">
        <f t="shared" ref="E588:E596" si="103">SUM(C588:D588)</f>
        <v>0</v>
      </c>
    </row>
    <row r="589" spans="1:5" ht="15" x14ac:dyDescent="0.2">
      <c r="A589" s="7">
        <v>163502</v>
      </c>
      <c r="B589" s="3" t="s">
        <v>391</v>
      </c>
      <c r="C589" s="25">
        <v>0</v>
      </c>
      <c r="D589" s="25">
        <v>0</v>
      </c>
      <c r="E589" s="18">
        <f t="shared" si="103"/>
        <v>0</v>
      </c>
    </row>
    <row r="590" spans="1:5" ht="15" x14ac:dyDescent="0.2">
      <c r="A590" s="7">
        <v>163503</v>
      </c>
      <c r="B590" s="3" t="s">
        <v>397</v>
      </c>
      <c r="C590" s="25">
        <v>0</v>
      </c>
      <c r="D590" s="25">
        <v>0</v>
      </c>
      <c r="E590" s="18">
        <f t="shared" si="103"/>
        <v>0</v>
      </c>
    </row>
    <row r="591" spans="1:5" ht="15" x14ac:dyDescent="0.2">
      <c r="A591" s="7">
        <v>163504</v>
      </c>
      <c r="B591" s="3" t="s">
        <v>311</v>
      </c>
      <c r="C591" s="25">
        <v>0</v>
      </c>
      <c r="D591" s="25">
        <v>0</v>
      </c>
      <c r="E591" s="18">
        <f t="shared" si="103"/>
        <v>0</v>
      </c>
    </row>
    <row r="592" spans="1:5" ht="15" x14ac:dyDescent="0.2">
      <c r="A592" s="7">
        <v>163505</v>
      </c>
      <c r="B592" s="3" t="s">
        <v>393</v>
      </c>
      <c r="C592" s="25">
        <v>0</v>
      </c>
      <c r="D592" s="25">
        <v>0</v>
      </c>
      <c r="E592" s="18">
        <f t="shared" si="103"/>
        <v>0</v>
      </c>
    </row>
    <row r="593" spans="1:5" ht="15" x14ac:dyDescent="0.2">
      <c r="A593" s="7">
        <v>163507</v>
      </c>
      <c r="B593" s="3" t="s">
        <v>387</v>
      </c>
      <c r="C593" s="25">
        <v>0</v>
      </c>
      <c r="D593" s="25">
        <v>0</v>
      </c>
      <c r="E593" s="18">
        <f t="shared" si="103"/>
        <v>0</v>
      </c>
    </row>
    <row r="594" spans="1:5" ht="15" x14ac:dyDescent="0.2">
      <c r="A594" s="7">
        <v>163511</v>
      </c>
      <c r="B594" s="3" t="s">
        <v>392</v>
      </c>
      <c r="C594" s="25">
        <v>0</v>
      </c>
      <c r="D594" s="25">
        <v>0</v>
      </c>
      <c r="E594" s="18">
        <f t="shared" si="103"/>
        <v>0</v>
      </c>
    </row>
    <row r="595" spans="1:5" ht="15" x14ac:dyDescent="0.2">
      <c r="A595" s="7">
        <v>163512</v>
      </c>
      <c r="B595" s="3" t="s">
        <v>399</v>
      </c>
      <c r="C595" s="25">
        <v>0</v>
      </c>
      <c r="D595" s="25">
        <v>0</v>
      </c>
      <c r="E595" s="18">
        <f t="shared" si="103"/>
        <v>0</v>
      </c>
    </row>
    <row r="596" spans="1:5" ht="15" x14ac:dyDescent="0.2">
      <c r="A596" s="7">
        <v>163590</v>
      </c>
      <c r="B596" s="3" t="s">
        <v>402</v>
      </c>
      <c r="C596" s="25">
        <v>0</v>
      </c>
      <c r="D596" s="25">
        <v>0</v>
      </c>
      <c r="E596" s="18">
        <f t="shared" si="103"/>
        <v>0</v>
      </c>
    </row>
    <row r="597" spans="1:5" ht="15" x14ac:dyDescent="0.2">
      <c r="A597" s="6">
        <v>1636</v>
      </c>
      <c r="B597" s="2" t="s">
        <v>403</v>
      </c>
      <c r="C597" s="24">
        <f>SUM(C598:C606)</f>
        <v>0</v>
      </c>
      <c r="D597" s="24">
        <f t="shared" ref="D597:E597" si="104">SUM(D598:D606)</f>
        <v>0</v>
      </c>
      <c r="E597" s="17">
        <f t="shared" si="104"/>
        <v>0</v>
      </c>
    </row>
    <row r="598" spans="1:5" ht="15" x14ac:dyDescent="0.2">
      <c r="A598" s="7">
        <v>163601</v>
      </c>
      <c r="B598" s="3" t="s">
        <v>385</v>
      </c>
      <c r="C598" s="25">
        <v>0</v>
      </c>
      <c r="D598" s="25">
        <v>0</v>
      </c>
      <c r="E598" s="18">
        <f t="shared" ref="E598:E606" si="105">SUM(C598:D598)</f>
        <v>0</v>
      </c>
    </row>
    <row r="599" spans="1:5" ht="15" x14ac:dyDescent="0.2">
      <c r="A599" s="7">
        <v>163603</v>
      </c>
      <c r="B599" s="3" t="s">
        <v>386</v>
      </c>
      <c r="C599" s="25">
        <v>0</v>
      </c>
      <c r="D599" s="25">
        <v>0</v>
      </c>
      <c r="E599" s="18">
        <f t="shared" si="105"/>
        <v>0</v>
      </c>
    </row>
    <row r="600" spans="1:5" ht="15" x14ac:dyDescent="0.2">
      <c r="A600" s="7">
        <v>163604</v>
      </c>
      <c r="B600" s="3" t="s">
        <v>387</v>
      </c>
      <c r="C600" s="25">
        <v>0</v>
      </c>
      <c r="D600" s="25">
        <v>0</v>
      </c>
      <c r="E600" s="18">
        <f t="shared" si="105"/>
        <v>0</v>
      </c>
    </row>
    <row r="601" spans="1:5" ht="15" x14ac:dyDescent="0.2">
      <c r="A601" s="7">
        <v>163605</v>
      </c>
      <c r="B601" s="3" t="s">
        <v>390</v>
      </c>
      <c r="C601" s="25">
        <v>0</v>
      </c>
      <c r="D601" s="25">
        <v>0</v>
      </c>
      <c r="E601" s="18">
        <f t="shared" si="105"/>
        <v>0</v>
      </c>
    </row>
    <row r="602" spans="1:5" ht="15" x14ac:dyDescent="0.2">
      <c r="A602" s="7">
        <v>163606</v>
      </c>
      <c r="B602" s="3" t="s">
        <v>391</v>
      </c>
      <c r="C602" s="25">
        <v>0</v>
      </c>
      <c r="D602" s="25">
        <v>0</v>
      </c>
      <c r="E602" s="18">
        <f t="shared" si="105"/>
        <v>0</v>
      </c>
    </row>
    <row r="603" spans="1:5" ht="15" x14ac:dyDescent="0.2">
      <c r="A603" s="7">
        <v>163607</v>
      </c>
      <c r="B603" s="3" t="s">
        <v>397</v>
      </c>
      <c r="C603" s="25">
        <v>0</v>
      </c>
      <c r="D603" s="25">
        <v>0</v>
      </c>
      <c r="E603" s="18">
        <f t="shared" si="105"/>
        <v>0</v>
      </c>
    </row>
    <row r="604" spans="1:5" ht="15" x14ac:dyDescent="0.2">
      <c r="A604" s="7">
        <v>163608</v>
      </c>
      <c r="B604" s="3" t="s">
        <v>311</v>
      </c>
      <c r="C604" s="25">
        <v>0</v>
      </c>
      <c r="D604" s="25">
        <v>0</v>
      </c>
      <c r="E604" s="18">
        <f t="shared" si="105"/>
        <v>0</v>
      </c>
    </row>
    <row r="605" spans="1:5" ht="15" x14ac:dyDescent="0.2">
      <c r="A605" s="7">
        <v>163609</v>
      </c>
      <c r="B605" s="3" t="s">
        <v>393</v>
      </c>
      <c r="C605" s="25">
        <v>0</v>
      </c>
      <c r="D605" s="25">
        <v>0</v>
      </c>
      <c r="E605" s="18">
        <f t="shared" si="105"/>
        <v>0</v>
      </c>
    </row>
    <row r="606" spans="1:5" ht="15" x14ac:dyDescent="0.2">
      <c r="A606" s="7">
        <v>163610</v>
      </c>
      <c r="B606" s="3" t="s">
        <v>392</v>
      </c>
      <c r="C606" s="25">
        <v>0</v>
      </c>
      <c r="D606" s="25">
        <v>0</v>
      </c>
      <c r="E606" s="18">
        <f t="shared" si="105"/>
        <v>0</v>
      </c>
    </row>
    <row r="607" spans="1:5" ht="15" x14ac:dyDescent="0.2">
      <c r="A607" s="6">
        <v>1637</v>
      </c>
      <c r="B607" s="2" t="s">
        <v>404</v>
      </c>
      <c r="C607" s="24">
        <f>SUM(C608:C618)</f>
        <v>0</v>
      </c>
      <c r="D607" s="24">
        <f t="shared" ref="D607:E607" si="106">SUM(D608:D618)</f>
        <v>0</v>
      </c>
      <c r="E607" s="17">
        <f t="shared" si="106"/>
        <v>0</v>
      </c>
    </row>
    <row r="608" spans="1:5" ht="15" x14ac:dyDescent="0.2">
      <c r="A608" s="7">
        <v>163701</v>
      </c>
      <c r="B608" s="3" t="s">
        <v>306</v>
      </c>
      <c r="C608" s="25">
        <v>0</v>
      </c>
      <c r="D608" s="25">
        <v>0</v>
      </c>
      <c r="E608" s="18">
        <f t="shared" ref="E608:E618" si="107">SUM(C608:D608)</f>
        <v>0</v>
      </c>
    </row>
    <row r="609" spans="1:5" ht="15" x14ac:dyDescent="0.2">
      <c r="A609" s="7">
        <v>163702</v>
      </c>
      <c r="B609" s="3" t="s">
        <v>405</v>
      </c>
      <c r="C609" s="25">
        <v>0</v>
      </c>
      <c r="D609" s="25">
        <v>0</v>
      </c>
      <c r="E609" s="18">
        <f t="shared" si="107"/>
        <v>0</v>
      </c>
    </row>
    <row r="610" spans="1:5" ht="15" x14ac:dyDescent="0.2">
      <c r="A610" s="7">
        <v>163703</v>
      </c>
      <c r="B610" s="3" t="s">
        <v>385</v>
      </c>
      <c r="C610" s="25">
        <v>0</v>
      </c>
      <c r="D610" s="25">
        <v>0</v>
      </c>
      <c r="E610" s="18">
        <f t="shared" si="107"/>
        <v>0</v>
      </c>
    </row>
    <row r="611" spans="1:5" ht="15" x14ac:dyDescent="0.2">
      <c r="A611" s="7">
        <v>163705</v>
      </c>
      <c r="B611" s="3" t="s">
        <v>386</v>
      </c>
      <c r="C611" s="25">
        <v>0</v>
      </c>
      <c r="D611" s="25">
        <v>0</v>
      </c>
      <c r="E611" s="18">
        <f t="shared" si="107"/>
        <v>0</v>
      </c>
    </row>
    <row r="612" spans="1:5" ht="15" x14ac:dyDescent="0.2">
      <c r="A612" s="7">
        <v>163706</v>
      </c>
      <c r="B612" s="3" t="s">
        <v>387</v>
      </c>
      <c r="C612" s="25">
        <v>0</v>
      </c>
      <c r="D612" s="25">
        <v>0</v>
      </c>
      <c r="E612" s="18">
        <f t="shared" si="107"/>
        <v>0</v>
      </c>
    </row>
    <row r="613" spans="1:5" ht="15" x14ac:dyDescent="0.2">
      <c r="A613" s="7">
        <v>163707</v>
      </c>
      <c r="B613" s="3" t="s">
        <v>390</v>
      </c>
      <c r="C613" s="25">
        <v>0</v>
      </c>
      <c r="D613" s="25">
        <v>0</v>
      </c>
      <c r="E613" s="18">
        <f t="shared" si="107"/>
        <v>0</v>
      </c>
    </row>
    <row r="614" spans="1:5" ht="15" x14ac:dyDescent="0.2">
      <c r="A614" s="7">
        <v>163708</v>
      </c>
      <c r="B614" s="3" t="s">
        <v>391</v>
      </c>
      <c r="C614" s="25">
        <v>0</v>
      </c>
      <c r="D614" s="25">
        <v>0</v>
      </c>
      <c r="E614" s="18">
        <f t="shared" si="107"/>
        <v>0</v>
      </c>
    </row>
    <row r="615" spans="1:5" ht="15" x14ac:dyDescent="0.2">
      <c r="A615" s="7">
        <v>163709</v>
      </c>
      <c r="B615" s="3" t="s">
        <v>397</v>
      </c>
      <c r="C615" s="25">
        <v>0</v>
      </c>
      <c r="D615" s="25">
        <v>0</v>
      </c>
      <c r="E615" s="18">
        <f t="shared" si="107"/>
        <v>0</v>
      </c>
    </row>
    <row r="616" spans="1:5" ht="15" x14ac:dyDescent="0.2">
      <c r="A616" s="7">
        <v>163710</v>
      </c>
      <c r="B616" s="3" t="s">
        <v>311</v>
      </c>
      <c r="C616" s="25">
        <v>0</v>
      </c>
      <c r="D616" s="25">
        <v>0</v>
      </c>
      <c r="E616" s="18">
        <f t="shared" si="107"/>
        <v>0</v>
      </c>
    </row>
    <row r="617" spans="1:5" ht="15" x14ac:dyDescent="0.2">
      <c r="A617" s="7">
        <v>163711</v>
      </c>
      <c r="B617" s="3" t="s">
        <v>393</v>
      </c>
      <c r="C617" s="25">
        <v>0</v>
      </c>
      <c r="D617" s="25">
        <v>0</v>
      </c>
      <c r="E617" s="18">
        <f t="shared" si="107"/>
        <v>0</v>
      </c>
    </row>
    <row r="618" spans="1:5" ht="15" x14ac:dyDescent="0.2">
      <c r="A618" s="7">
        <v>163712</v>
      </c>
      <c r="B618" s="3" t="s">
        <v>392</v>
      </c>
      <c r="C618" s="25">
        <v>0</v>
      </c>
      <c r="D618" s="25">
        <v>0</v>
      </c>
      <c r="E618" s="18">
        <f t="shared" si="107"/>
        <v>0</v>
      </c>
    </row>
    <row r="619" spans="1:5" ht="15" x14ac:dyDescent="0.2">
      <c r="A619" s="6">
        <v>1640</v>
      </c>
      <c r="B619" s="2" t="s">
        <v>406</v>
      </c>
      <c r="C619" s="24">
        <f>SUM(C620:C645)</f>
        <v>0</v>
      </c>
      <c r="D619" s="24">
        <f t="shared" ref="D619:E619" si="108">SUM(D620:D645)</f>
        <v>0</v>
      </c>
      <c r="E619" s="28">
        <f t="shared" si="108"/>
        <v>0</v>
      </c>
    </row>
    <row r="620" spans="1:5" ht="15" x14ac:dyDescent="0.2">
      <c r="A620" s="7">
        <v>164001</v>
      </c>
      <c r="B620" s="3" t="s">
        <v>407</v>
      </c>
      <c r="C620" s="25">
        <v>0</v>
      </c>
      <c r="D620" s="25">
        <v>0</v>
      </c>
      <c r="E620" s="29">
        <f t="shared" ref="E620:E645" si="109">SUM(C620:D620)</f>
        <v>0</v>
      </c>
    </row>
    <row r="621" spans="1:5" ht="15" x14ac:dyDescent="0.2">
      <c r="A621" s="7">
        <v>164002</v>
      </c>
      <c r="B621" s="3" t="s">
        <v>408</v>
      </c>
      <c r="C621" s="25">
        <v>0</v>
      </c>
      <c r="D621" s="25">
        <v>0</v>
      </c>
      <c r="E621" s="18">
        <f t="shared" si="109"/>
        <v>0</v>
      </c>
    </row>
    <row r="622" spans="1:5" ht="15" x14ac:dyDescent="0.2">
      <c r="A622" s="7">
        <v>164003</v>
      </c>
      <c r="B622" s="3" t="s">
        <v>409</v>
      </c>
      <c r="C622" s="25">
        <v>0</v>
      </c>
      <c r="D622" s="25">
        <v>0</v>
      </c>
      <c r="E622" s="18">
        <f t="shared" si="109"/>
        <v>0</v>
      </c>
    </row>
    <row r="623" spans="1:5" ht="15" x14ac:dyDescent="0.2">
      <c r="A623" s="7">
        <v>164004</v>
      </c>
      <c r="B623" s="3" t="s">
        <v>410</v>
      </c>
      <c r="C623" s="25">
        <v>0</v>
      </c>
      <c r="D623" s="25">
        <v>0</v>
      </c>
      <c r="E623" s="18">
        <f t="shared" si="109"/>
        <v>0</v>
      </c>
    </row>
    <row r="624" spans="1:5" ht="15" x14ac:dyDescent="0.2">
      <c r="A624" s="7">
        <v>164005</v>
      </c>
      <c r="B624" s="3" t="s">
        <v>411</v>
      </c>
      <c r="C624" s="25">
        <v>0</v>
      </c>
      <c r="D624" s="25">
        <v>0</v>
      </c>
      <c r="E624" s="18">
        <f t="shared" si="109"/>
        <v>0</v>
      </c>
    </row>
    <row r="625" spans="1:5" ht="15" x14ac:dyDescent="0.2">
      <c r="A625" s="7">
        <v>164006</v>
      </c>
      <c r="B625" s="3" t="s">
        <v>412</v>
      </c>
      <c r="C625" s="25">
        <v>0</v>
      </c>
      <c r="D625" s="25">
        <v>0</v>
      </c>
      <c r="E625" s="18">
        <f t="shared" si="109"/>
        <v>0</v>
      </c>
    </row>
    <row r="626" spans="1:5" ht="15" x14ac:dyDescent="0.2">
      <c r="A626" s="7">
        <v>164007</v>
      </c>
      <c r="B626" s="3" t="s">
        <v>413</v>
      </c>
      <c r="C626" s="25">
        <v>0</v>
      </c>
      <c r="D626" s="25">
        <v>0</v>
      </c>
      <c r="E626" s="18">
        <f t="shared" si="109"/>
        <v>0</v>
      </c>
    </row>
    <row r="627" spans="1:5" ht="15" x14ac:dyDescent="0.2">
      <c r="A627" s="7">
        <v>164008</v>
      </c>
      <c r="B627" s="3" t="s">
        <v>414</v>
      </c>
      <c r="C627" s="25">
        <v>0</v>
      </c>
      <c r="D627" s="25">
        <v>0</v>
      </c>
      <c r="E627" s="18">
        <f t="shared" si="109"/>
        <v>0</v>
      </c>
    </row>
    <row r="628" spans="1:5" ht="15" x14ac:dyDescent="0.2">
      <c r="A628" s="7">
        <v>164009</v>
      </c>
      <c r="B628" s="3" t="s">
        <v>415</v>
      </c>
      <c r="C628" s="25">
        <v>0</v>
      </c>
      <c r="D628" s="25">
        <v>0</v>
      </c>
      <c r="E628" s="18">
        <f t="shared" si="109"/>
        <v>0</v>
      </c>
    </row>
    <row r="629" spans="1:5" ht="15" x14ac:dyDescent="0.2">
      <c r="A629" s="7">
        <v>164010</v>
      </c>
      <c r="B629" s="3" t="s">
        <v>416</v>
      </c>
      <c r="C629" s="25">
        <v>0</v>
      </c>
      <c r="D629" s="25">
        <v>0</v>
      </c>
      <c r="E629" s="18">
        <f t="shared" si="109"/>
        <v>0</v>
      </c>
    </row>
    <row r="630" spans="1:5" ht="15" x14ac:dyDescent="0.2">
      <c r="A630" s="7">
        <v>164011</v>
      </c>
      <c r="B630" s="3" t="s">
        <v>417</v>
      </c>
      <c r="C630" s="25">
        <v>0</v>
      </c>
      <c r="D630" s="25">
        <v>0</v>
      </c>
      <c r="E630" s="18">
        <f t="shared" si="109"/>
        <v>0</v>
      </c>
    </row>
    <row r="631" spans="1:5" ht="15" x14ac:dyDescent="0.2">
      <c r="A631" s="7">
        <v>164012</v>
      </c>
      <c r="B631" s="3" t="s">
        <v>418</v>
      </c>
      <c r="C631" s="25">
        <v>0</v>
      </c>
      <c r="D631" s="25">
        <v>0</v>
      </c>
      <c r="E631" s="18">
        <f t="shared" si="109"/>
        <v>0</v>
      </c>
    </row>
    <row r="632" spans="1:5" ht="15" x14ac:dyDescent="0.2">
      <c r="A632" s="7">
        <v>164013</v>
      </c>
      <c r="B632" s="3" t="s">
        <v>419</v>
      </c>
      <c r="C632" s="25">
        <v>0</v>
      </c>
      <c r="D632" s="25">
        <v>0</v>
      </c>
      <c r="E632" s="18">
        <f t="shared" si="109"/>
        <v>0</v>
      </c>
    </row>
    <row r="633" spans="1:5" ht="15" x14ac:dyDescent="0.2">
      <c r="A633" s="7">
        <v>164014</v>
      </c>
      <c r="B633" s="3" t="s">
        <v>420</v>
      </c>
      <c r="C633" s="25">
        <v>0</v>
      </c>
      <c r="D633" s="25">
        <v>0</v>
      </c>
      <c r="E633" s="18">
        <f t="shared" si="109"/>
        <v>0</v>
      </c>
    </row>
    <row r="634" spans="1:5" ht="15" x14ac:dyDescent="0.2">
      <c r="A634" s="7">
        <v>164015</v>
      </c>
      <c r="B634" s="3" t="s">
        <v>421</v>
      </c>
      <c r="C634" s="25">
        <v>0</v>
      </c>
      <c r="D634" s="25">
        <v>0</v>
      </c>
      <c r="E634" s="18">
        <f t="shared" si="109"/>
        <v>0</v>
      </c>
    </row>
    <row r="635" spans="1:5" ht="15" x14ac:dyDescent="0.2">
      <c r="A635" s="7">
        <v>164017</v>
      </c>
      <c r="B635" s="3" t="s">
        <v>422</v>
      </c>
      <c r="C635" s="25">
        <v>0</v>
      </c>
      <c r="D635" s="25">
        <v>0</v>
      </c>
      <c r="E635" s="18">
        <f t="shared" si="109"/>
        <v>0</v>
      </c>
    </row>
    <row r="636" spans="1:5" ht="15" x14ac:dyDescent="0.2">
      <c r="A636" s="7">
        <v>164018</v>
      </c>
      <c r="B636" s="3" t="s">
        <v>423</v>
      </c>
      <c r="C636" s="25">
        <v>0</v>
      </c>
      <c r="D636" s="25">
        <v>0</v>
      </c>
      <c r="E636" s="18">
        <f t="shared" si="109"/>
        <v>0</v>
      </c>
    </row>
    <row r="637" spans="1:5" ht="15" x14ac:dyDescent="0.2">
      <c r="A637" s="7">
        <v>164019</v>
      </c>
      <c r="B637" s="3" t="s">
        <v>424</v>
      </c>
      <c r="C637" s="25">
        <v>0</v>
      </c>
      <c r="D637" s="25">
        <v>0</v>
      </c>
      <c r="E637" s="18">
        <f t="shared" si="109"/>
        <v>0</v>
      </c>
    </row>
    <row r="638" spans="1:5" ht="15" x14ac:dyDescent="0.2">
      <c r="A638" s="7">
        <v>164020</v>
      </c>
      <c r="B638" s="3" t="s">
        <v>425</v>
      </c>
      <c r="C638" s="25">
        <v>0</v>
      </c>
      <c r="D638" s="25">
        <v>0</v>
      </c>
      <c r="E638" s="18">
        <f t="shared" si="109"/>
        <v>0</v>
      </c>
    </row>
    <row r="639" spans="1:5" ht="15" x14ac:dyDescent="0.2">
      <c r="A639" s="7">
        <v>164022</v>
      </c>
      <c r="B639" s="3" t="s">
        <v>426</v>
      </c>
      <c r="C639" s="25">
        <v>0</v>
      </c>
      <c r="D639" s="25">
        <v>0</v>
      </c>
      <c r="E639" s="18">
        <f t="shared" si="109"/>
        <v>0</v>
      </c>
    </row>
    <row r="640" spans="1:5" ht="15" x14ac:dyDescent="0.2">
      <c r="A640" s="7">
        <v>164023</v>
      </c>
      <c r="B640" s="3" t="s">
        <v>427</v>
      </c>
      <c r="C640" s="25">
        <v>0</v>
      </c>
      <c r="D640" s="25">
        <v>0</v>
      </c>
      <c r="E640" s="18">
        <f t="shared" si="109"/>
        <v>0</v>
      </c>
    </row>
    <row r="641" spans="1:5" ht="15" x14ac:dyDescent="0.2">
      <c r="A641" s="7">
        <v>164024</v>
      </c>
      <c r="B641" s="3" t="s">
        <v>428</v>
      </c>
      <c r="C641" s="25">
        <v>0</v>
      </c>
      <c r="D641" s="25">
        <v>0</v>
      </c>
      <c r="E641" s="18">
        <f t="shared" si="109"/>
        <v>0</v>
      </c>
    </row>
    <row r="642" spans="1:5" ht="15" x14ac:dyDescent="0.2">
      <c r="A642" s="7">
        <v>164025</v>
      </c>
      <c r="B642" s="3" t="s">
        <v>429</v>
      </c>
      <c r="C642" s="25">
        <v>0</v>
      </c>
      <c r="D642" s="25">
        <v>0</v>
      </c>
      <c r="E642" s="18">
        <f t="shared" si="109"/>
        <v>0</v>
      </c>
    </row>
    <row r="643" spans="1:5" ht="15" x14ac:dyDescent="0.2">
      <c r="A643" s="7">
        <v>164027</v>
      </c>
      <c r="B643" s="3" t="s">
        <v>430</v>
      </c>
      <c r="C643" s="25">
        <v>0</v>
      </c>
      <c r="D643" s="25">
        <v>0</v>
      </c>
      <c r="E643" s="18">
        <f t="shared" si="109"/>
        <v>0</v>
      </c>
    </row>
    <row r="644" spans="1:5" ht="15" x14ac:dyDescent="0.2">
      <c r="A644" s="7">
        <v>164028</v>
      </c>
      <c r="B644" s="3" t="s">
        <v>431</v>
      </c>
      <c r="C644" s="25">
        <v>0</v>
      </c>
      <c r="D644" s="25">
        <v>0</v>
      </c>
      <c r="E644" s="18">
        <f t="shared" si="109"/>
        <v>0</v>
      </c>
    </row>
    <row r="645" spans="1:5" ht="15" x14ac:dyDescent="0.2">
      <c r="A645" s="7">
        <v>164090</v>
      </c>
      <c r="B645" s="3" t="s">
        <v>432</v>
      </c>
      <c r="C645" s="25">
        <v>0</v>
      </c>
      <c r="D645" s="25">
        <v>0</v>
      </c>
      <c r="E645" s="18">
        <f t="shared" si="109"/>
        <v>0</v>
      </c>
    </row>
    <row r="646" spans="1:5" ht="15" x14ac:dyDescent="0.2">
      <c r="A646" s="6">
        <v>1642</v>
      </c>
      <c r="B646" s="2" t="s">
        <v>433</v>
      </c>
      <c r="C646" s="24">
        <f>SUM(C647:C656)</f>
        <v>0</v>
      </c>
      <c r="D646" s="24">
        <f t="shared" ref="D646:E646" si="110">SUM(D647:D656)</f>
        <v>0</v>
      </c>
      <c r="E646" s="17">
        <f t="shared" si="110"/>
        <v>0</v>
      </c>
    </row>
    <row r="647" spans="1:5" ht="15" x14ac:dyDescent="0.2">
      <c r="A647" s="7">
        <v>164201</v>
      </c>
      <c r="B647" s="3" t="s">
        <v>385</v>
      </c>
      <c r="C647" s="25">
        <v>0</v>
      </c>
      <c r="D647" s="25">
        <v>0</v>
      </c>
      <c r="E647" s="18">
        <f t="shared" ref="E647:E656" si="111">SUM(C647:D647)</f>
        <v>0</v>
      </c>
    </row>
    <row r="648" spans="1:5" ht="15" x14ac:dyDescent="0.2">
      <c r="A648" s="7">
        <v>164202</v>
      </c>
      <c r="B648" s="3" t="s">
        <v>386</v>
      </c>
      <c r="C648" s="25">
        <v>0</v>
      </c>
      <c r="D648" s="25">
        <v>0</v>
      </c>
      <c r="E648" s="18">
        <f t="shared" si="111"/>
        <v>0</v>
      </c>
    </row>
    <row r="649" spans="1:5" ht="15" x14ac:dyDescent="0.2">
      <c r="A649" s="7">
        <v>164203</v>
      </c>
      <c r="B649" s="3" t="s">
        <v>387</v>
      </c>
      <c r="C649" s="25">
        <v>0</v>
      </c>
      <c r="D649" s="25">
        <v>0</v>
      </c>
      <c r="E649" s="18">
        <f t="shared" si="111"/>
        <v>0</v>
      </c>
    </row>
    <row r="650" spans="1:5" ht="15" x14ac:dyDescent="0.2">
      <c r="A650" s="7">
        <v>164204</v>
      </c>
      <c r="B650" s="3" t="s">
        <v>390</v>
      </c>
      <c r="C650" s="25">
        <v>0</v>
      </c>
      <c r="D650" s="25">
        <v>0</v>
      </c>
      <c r="E650" s="18">
        <f t="shared" si="111"/>
        <v>0</v>
      </c>
    </row>
    <row r="651" spans="1:5" ht="15" x14ac:dyDescent="0.2">
      <c r="A651" s="7">
        <v>164205</v>
      </c>
      <c r="B651" s="3" t="s">
        <v>391</v>
      </c>
      <c r="C651" s="25">
        <v>0</v>
      </c>
      <c r="D651" s="25">
        <v>0</v>
      </c>
      <c r="E651" s="18">
        <f t="shared" si="111"/>
        <v>0</v>
      </c>
    </row>
    <row r="652" spans="1:5" ht="15" x14ac:dyDescent="0.2">
      <c r="A652" s="7">
        <v>164206</v>
      </c>
      <c r="B652" s="3" t="s">
        <v>397</v>
      </c>
      <c r="C652" s="25">
        <v>0</v>
      </c>
      <c r="D652" s="25">
        <v>0</v>
      </c>
      <c r="E652" s="18">
        <f t="shared" si="111"/>
        <v>0</v>
      </c>
    </row>
    <row r="653" spans="1:5" ht="15" x14ac:dyDescent="0.2">
      <c r="A653" s="7">
        <v>164207</v>
      </c>
      <c r="B653" s="3" t="s">
        <v>311</v>
      </c>
      <c r="C653" s="25">
        <v>0</v>
      </c>
      <c r="D653" s="25">
        <v>0</v>
      </c>
      <c r="E653" s="18">
        <f t="shared" si="111"/>
        <v>0</v>
      </c>
    </row>
    <row r="654" spans="1:5" ht="15" x14ac:dyDescent="0.2">
      <c r="A654" s="7">
        <v>164208</v>
      </c>
      <c r="B654" s="3" t="s">
        <v>393</v>
      </c>
      <c r="C654" s="25">
        <v>0</v>
      </c>
      <c r="D654" s="25">
        <v>0</v>
      </c>
      <c r="E654" s="18">
        <f t="shared" si="111"/>
        <v>0</v>
      </c>
    </row>
    <row r="655" spans="1:5" ht="15" x14ac:dyDescent="0.2">
      <c r="A655" s="7">
        <v>164209</v>
      </c>
      <c r="B655" s="3" t="s">
        <v>392</v>
      </c>
      <c r="C655" s="25">
        <v>0</v>
      </c>
      <c r="D655" s="25">
        <v>0</v>
      </c>
      <c r="E655" s="18">
        <f t="shared" si="111"/>
        <v>0</v>
      </c>
    </row>
    <row r="656" spans="1:5" ht="15" x14ac:dyDescent="0.2">
      <c r="A656" s="7">
        <v>164290</v>
      </c>
      <c r="B656" s="3" t="s">
        <v>434</v>
      </c>
      <c r="C656" s="25">
        <v>0</v>
      </c>
      <c r="D656" s="25">
        <v>0</v>
      </c>
      <c r="E656" s="18">
        <f t="shared" si="111"/>
        <v>0</v>
      </c>
    </row>
    <row r="657" spans="1:5" ht="15" x14ac:dyDescent="0.2">
      <c r="A657" s="6">
        <v>1645</v>
      </c>
      <c r="B657" s="2" t="s">
        <v>435</v>
      </c>
      <c r="C657" s="24">
        <f>SUM(C658:C671)</f>
        <v>0</v>
      </c>
      <c r="D657" s="24">
        <f t="shared" ref="D657:E657" si="112">SUM(D658:D671)</f>
        <v>0</v>
      </c>
      <c r="E657" s="28">
        <f t="shared" si="112"/>
        <v>0</v>
      </c>
    </row>
    <row r="658" spans="1:5" ht="15" x14ac:dyDescent="0.2">
      <c r="A658" s="7">
        <v>164501</v>
      </c>
      <c r="B658" s="3" t="s">
        <v>436</v>
      </c>
      <c r="C658" s="25">
        <v>0</v>
      </c>
      <c r="D658" s="25">
        <v>0</v>
      </c>
      <c r="E658" s="18">
        <f t="shared" ref="E658:E671" si="113">SUM(C658:D658)</f>
        <v>0</v>
      </c>
    </row>
    <row r="659" spans="1:5" ht="15" x14ac:dyDescent="0.2">
      <c r="A659" s="7">
        <v>164502</v>
      </c>
      <c r="B659" s="3" t="s">
        <v>437</v>
      </c>
      <c r="C659" s="25">
        <v>0</v>
      </c>
      <c r="D659" s="25">
        <v>0</v>
      </c>
      <c r="E659" s="29">
        <f t="shared" si="113"/>
        <v>0</v>
      </c>
    </row>
    <row r="660" spans="1:5" ht="15" x14ac:dyDescent="0.2">
      <c r="A660" s="7">
        <v>164503</v>
      </c>
      <c r="B660" s="3" t="s">
        <v>438</v>
      </c>
      <c r="C660" s="25">
        <v>0</v>
      </c>
      <c r="D660" s="25">
        <v>0</v>
      </c>
      <c r="E660" s="18">
        <f t="shared" si="113"/>
        <v>0</v>
      </c>
    </row>
    <row r="661" spans="1:5" ht="15" x14ac:dyDescent="0.2">
      <c r="A661" s="7">
        <v>164504</v>
      </c>
      <c r="B661" s="3" t="s">
        <v>439</v>
      </c>
      <c r="C661" s="25">
        <v>0</v>
      </c>
      <c r="D661" s="25">
        <v>0</v>
      </c>
      <c r="E661" s="18">
        <f t="shared" si="113"/>
        <v>0</v>
      </c>
    </row>
    <row r="662" spans="1:5" ht="15" x14ac:dyDescent="0.2">
      <c r="A662" s="7">
        <v>164505</v>
      </c>
      <c r="B662" s="3" t="s">
        <v>440</v>
      </c>
      <c r="C662" s="25">
        <v>0</v>
      </c>
      <c r="D662" s="25">
        <v>0</v>
      </c>
      <c r="E662" s="18">
        <f t="shared" si="113"/>
        <v>0</v>
      </c>
    </row>
    <row r="663" spans="1:5" ht="15" x14ac:dyDescent="0.2">
      <c r="A663" s="7">
        <v>164506</v>
      </c>
      <c r="B663" s="3" t="s">
        <v>441</v>
      </c>
      <c r="C663" s="25">
        <v>0</v>
      </c>
      <c r="D663" s="25">
        <v>0</v>
      </c>
      <c r="E663" s="18">
        <f t="shared" si="113"/>
        <v>0</v>
      </c>
    </row>
    <row r="664" spans="1:5" ht="15" x14ac:dyDescent="0.2">
      <c r="A664" s="7">
        <v>164507</v>
      </c>
      <c r="B664" s="3" t="s">
        <v>442</v>
      </c>
      <c r="C664" s="25">
        <v>0</v>
      </c>
      <c r="D664" s="25">
        <v>0</v>
      </c>
      <c r="E664" s="18">
        <f t="shared" si="113"/>
        <v>0</v>
      </c>
    </row>
    <row r="665" spans="1:5" ht="15" x14ac:dyDescent="0.2">
      <c r="A665" s="7">
        <v>164508</v>
      </c>
      <c r="B665" s="3" t="s">
        <v>443</v>
      </c>
      <c r="C665" s="25">
        <v>0</v>
      </c>
      <c r="D665" s="25">
        <v>0</v>
      </c>
      <c r="E665" s="18">
        <f t="shared" si="113"/>
        <v>0</v>
      </c>
    </row>
    <row r="666" spans="1:5" ht="15" x14ac:dyDescent="0.2">
      <c r="A666" s="7">
        <v>164512</v>
      </c>
      <c r="B666" s="3" t="s">
        <v>444</v>
      </c>
      <c r="C666" s="25">
        <v>0</v>
      </c>
      <c r="D666" s="25">
        <v>0</v>
      </c>
      <c r="E666" s="18">
        <f t="shared" si="113"/>
        <v>0</v>
      </c>
    </row>
    <row r="667" spans="1:5" ht="15" x14ac:dyDescent="0.2">
      <c r="A667" s="7">
        <v>164513</v>
      </c>
      <c r="B667" s="3" t="s">
        <v>445</v>
      </c>
      <c r="C667" s="25">
        <v>0</v>
      </c>
      <c r="D667" s="25">
        <v>0</v>
      </c>
      <c r="E667" s="29">
        <f t="shared" si="113"/>
        <v>0</v>
      </c>
    </row>
    <row r="668" spans="1:5" ht="15" x14ac:dyDescent="0.2">
      <c r="A668" s="7">
        <v>164514</v>
      </c>
      <c r="B668" s="3" t="s">
        <v>446</v>
      </c>
      <c r="C668" s="25">
        <v>0</v>
      </c>
      <c r="D668" s="25">
        <v>0</v>
      </c>
      <c r="E668" s="18">
        <f t="shared" si="113"/>
        <v>0</v>
      </c>
    </row>
    <row r="669" spans="1:5" ht="15" x14ac:dyDescent="0.2">
      <c r="A669" s="7">
        <v>164515</v>
      </c>
      <c r="B669" s="3" t="s">
        <v>447</v>
      </c>
      <c r="C669" s="25">
        <v>0</v>
      </c>
      <c r="D669" s="25">
        <v>0</v>
      </c>
      <c r="E669" s="18">
        <f t="shared" si="113"/>
        <v>0</v>
      </c>
    </row>
    <row r="670" spans="1:5" ht="15" x14ac:dyDescent="0.2">
      <c r="A670" s="7">
        <v>164516</v>
      </c>
      <c r="B670" s="3" t="s">
        <v>448</v>
      </c>
      <c r="C670" s="25">
        <v>0</v>
      </c>
      <c r="D670" s="25">
        <v>0</v>
      </c>
      <c r="E670" s="18">
        <f t="shared" si="113"/>
        <v>0</v>
      </c>
    </row>
    <row r="671" spans="1:5" ht="15" x14ac:dyDescent="0.2">
      <c r="A671" s="7">
        <v>164590</v>
      </c>
      <c r="B671" s="3" t="s">
        <v>449</v>
      </c>
      <c r="C671" s="25">
        <v>0</v>
      </c>
      <c r="D671" s="25">
        <v>0</v>
      </c>
      <c r="E671" s="18">
        <f t="shared" si="113"/>
        <v>0</v>
      </c>
    </row>
    <row r="672" spans="1:5" ht="15" x14ac:dyDescent="0.2">
      <c r="A672" s="6">
        <v>1650</v>
      </c>
      <c r="B672" s="2" t="s">
        <v>450</v>
      </c>
      <c r="C672" s="24">
        <f>SUM(C673:C684)</f>
        <v>0</v>
      </c>
      <c r="D672" s="24">
        <f t="shared" ref="D672:E672" si="114">SUM(D673:D684)</f>
        <v>0</v>
      </c>
      <c r="E672" s="17">
        <f t="shared" si="114"/>
        <v>0</v>
      </c>
    </row>
    <row r="673" spans="1:5" ht="15" x14ac:dyDescent="0.2">
      <c r="A673" s="7">
        <v>165002</v>
      </c>
      <c r="B673" s="3" t="s">
        <v>451</v>
      </c>
      <c r="C673" s="25">
        <v>0</v>
      </c>
      <c r="D673" s="25">
        <v>0</v>
      </c>
      <c r="E673" s="18">
        <f t="shared" ref="E673:E684" si="115">SUM(C673:D673)</f>
        <v>0</v>
      </c>
    </row>
    <row r="674" spans="1:5" ht="15" x14ac:dyDescent="0.2">
      <c r="A674" s="7">
        <v>165003</v>
      </c>
      <c r="B674" s="3" t="s">
        <v>452</v>
      </c>
      <c r="C674" s="25">
        <v>0</v>
      </c>
      <c r="D674" s="25">
        <v>0</v>
      </c>
      <c r="E674" s="18">
        <f t="shared" si="115"/>
        <v>0</v>
      </c>
    </row>
    <row r="675" spans="1:5" ht="15" x14ac:dyDescent="0.2">
      <c r="A675" s="7">
        <v>165004</v>
      </c>
      <c r="B675" s="3" t="s">
        <v>453</v>
      </c>
      <c r="C675" s="25">
        <v>0</v>
      </c>
      <c r="D675" s="25">
        <v>0</v>
      </c>
      <c r="E675" s="18">
        <f t="shared" si="115"/>
        <v>0</v>
      </c>
    </row>
    <row r="676" spans="1:5" ht="15" x14ac:dyDescent="0.2">
      <c r="A676" s="7">
        <v>165005</v>
      </c>
      <c r="B676" s="3" t="s">
        <v>454</v>
      </c>
      <c r="C676" s="25">
        <v>0</v>
      </c>
      <c r="D676" s="25">
        <v>0</v>
      </c>
      <c r="E676" s="18">
        <f t="shared" si="115"/>
        <v>0</v>
      </c>
    </row>
    <row r="677" spans="1:5" ht="15" x14ac:dyDescent="0.2">
      <c r="A677" s="7">
        <v>165006</v>
      </c>
      <c r="B677" s="3" t="s">
        <v>455</v>
      </c>
      <c r="C677" s="25">
        <v>0</v>
      </c>
      <c r="D677" s="25">
        <v>0</v>
      </c>
      <c r="E677" s="18">
        <f t="shared" si="115"/>
        <v>0</v>
      </c>
    </row>
    <row r="678" spans="1:5" ht="15" x14ac:dyDescent="0.2">
      <c r="A678" s="7">
        <v>165007</v>
      </c>
      <c r="B678" s="3" t="s">
        <v>456</v>
      </c>
      <c r="C678" s="25">
        <v>0</v>
      </c>
      <c r="D678" s="25">
        <v>0</v>
      </c>
      <c r="E678" s="18">
        <f t="shared" si="115"/>
        <v>0</v>
      </c>
    </row>
    <row r="679" spans="1:5" ht="15" x14ac:dyDescent="0.2">
      <c r="A679" s="7">
        <v>165008</v>
      </c>
      <c r="B679" s="3" t="s">
        <v>457</v>
      </c>
      <c r="C679" s="25">
        <v>0</v>
      </c>
      <c r="D679" s="25">
        <v>0</v>
      </c>
      <c r="E679" s="18">
        <f t="shared" si="115"/>
        <v>0</v>
      </c>
    </row>
    <row r="680" spans="1:5" ht="15" x14ac:dyDescent="0.2">
      <c r="A680" s="7">
        <v>165009</v>
      </c>
      <c r="B680" s="3" t="s">
        <v>458</v>
      </c>
      <c r="C680" s="25">
        <v>0</v>
      </c>
      <c r="D680" s="25">
        <v>0</v>
      </c>
      <c r="E680" s="18">
        <f t="shared" si="115"/>
        <v>0</v>
      </c>
    </row>
    <row r="681" spans="1:5" ht="15" x14ac:dyDescent="0.2">
      <c r="A681" s="7">
        <v>165010</v>
      </c>
      <c r="B681" s="3" t="s">
        <v>459</v>
      </c>
      <c r="C681" s="25">
        <v>0</v>
      </c>
      <c r="D681" s="25">
        <v>0</v>
      </c>
      <c r="E681" s="18">
        <f t="shared" si="115"/>
        <v>0</v>
      </c>
    </row>
    <row r="682" spans="1:5" ht="15" x14ac:dyDescent="0.2">
      <c r="A682" s="7">
        <v>165011</v>
      </c>
      <c r="B682" s="3" t="s">
        <v>460</v>
      </c>
      <c r="C682" s="25">
        <v>0</v>
      </c>
      <c r="D682" s="25">
        <v>0</v>
      </c>
      <c r="E682" s="18">
        <f t="shared" si="115"/>
        <v>0</v>
      </c>
    </row>
    <row r="683" spans="1:5" ht="15" x14ac:dyDescent="0.2">
      <c r="A683" s="7">
        <v>165012</v>
      </c>
      <c r="B683" s="3" t="s">
        <v>461</v>
      </c>
      <c r="C683" s="25">
        <v>0</v>
      </c>
      <c r="D683" s="25">
        <v>0</v>
      </c>
      <c r="E683" s="18">
        <f t="shared" si="115"/>
        <v>0</v>
      </c>
    </row>
    <row r="684" spans="1:5" ht="15" x14ac:dyDescent="0.2">
      <c r="A684" s="7">
        <v>165090</v>
      </c>
      <c r="B684" s="3" t="s">
        <v>462</v>
      </c>
      <c r="C684" s="25">
        <v>0</v>
      </c>
      <c r="D684" s="25">
        <v>0</v>
      </c>
      <c r="E684" s="18">
        <f t="shared" si="115"/>
        <v>0</v>
      </c>
    </row>
    <row r="685" spans="1:5" ht="15" x14ac:dyDescent="0.2">
      <c r="A685" s="6">
        <v>1655</v>
      </c>
      <c r="B685" s="2" t="s">
        <v>463</v>
      </c>
      <c r="C685" s="24">
        <f>SUM(C686:C702)</f>
        <v>0</v>
      </c>
      <c r="D685" s="24">
        <f t="shared" ref="D685:E685" si="116">SUM(D686:D702)</f>
        <v>7111570</v>
      </c>
      <c r="E685" s="28">
        <f t="shared" si="116"/>
        <v>7111570</v>
      </c>
    </row>
    <row r="686" spans="1:5" ht="15" x14ac:dyDescent="0.2">
      <c r="A686" s="7">
        <v>165501</v>
      </c>
      <c r="B686" s="3" t="s">
        <v>464</v>
      </c>
      <c r="C686" s="25">
        <v>0</v>
      </c>
      <c r="D686" s="25">
        <v>0</v>
      </c>
      <c r="E686" s="29">
        <f t="shared" ref="E686:E702" si="117">SUM(C686:D686)</f>
        <v>0</v>
      </c>
    </row>
    <row r="687" spans="1:5" ht="15" x14ac:dyDescent="0.2">
      <c r="A687" s="7">
        <v>165503</v>
      </c>
      <c r="B687" s="3" t="s">
        <v>465</v>
      </c>
      <c r="C687" s="25">
        <v>0</v>
      </c>
      <c r="D687" s="25">
        <v>0</v>
      </c>
      <c r="E687" s="18">
        <f t="shared" si="117"/>
        <v>0</v>
      </c>
    </row>
    <row r="688" spans="1:5" ht="15" x14ac:dyDescent="0.2">
      <c r="A688" s="7">
        <v>165504</v>
      </c>
      <c r="B688" s="3" t="s">
        <v>466</v>
      </c>
      <c r="C688" s="25">
        <v>0</v>
      </c>
      <c r="D688" s="25">
        <v>0</v>
      </c>
      <c r="E688" s="18">
        <f t="shared" si="117"/>
        <v>0</v>
      </c>
    </row>
    <row r="689" spans="1:5" ht="15" x14ac:dyDescent="0.2">
      <c r="A689" s="7">
        <v>165505</v>
      </c>
      <c r="B689" s="3" t="s">
        <v>467</v>
      </c>
      <c r="C689" s="25">
        <v>0</v>
      </c>
      <c r="D689" s="25">
        <v>0</v>
      </c>
      <c r="E689" s="18">
        <f t="shared" si="117"/>
        <v>0</v>
      </c>
    </row>
    <row r="690" spans="1:5" ht="15" x14ac:dyDescent="0.2">
      <c r="A690" s="7">
        <v>165506</v>
      </c>
      <c r="B690" s="3" t="s">
        <v>468</v>
      </c>
      <c r="C690" s="25">
        <v>0</v>
      </c>
      <c r="D690" s="25">
        <v>0</v>
      </c>
      <c r="E690" s="18">
        <f t="shared" si="117"/>
        <v>0</v>
      </c>
    </row>
    <row r="691" spans="1:5" ht="15" x14ac:dyDescent="0.2">
      <c r="A691" s="7">
        <v>165508</v>
      </c>
      <c r="B691" s="3" t="s">
        <v>469</v>
      </c>
      <c r="C691" s="25">
        <v>0</v>
      </c>
      <c r="D691" s="25">
        <v>0</v>
      </c>
      <c r="E691" s="18">
        <f t="shared" si="117"/>
        <v>0</v>
      </c>
    </row>
    <row r="692" spans="1:5" ht="15" x14ac:dyDescent="0.2">
      <c r="A692" s="7">
        <v>165509</v>
      </c>
      <c r="B692" s="3" t="s">
        <v>470</v>
      </c>
      <c r="C692" s="25">
        <v>0</v>
      </c>
      <c r="D692" s="25">
        <v>0</v>
      </c>
      <c r="E692" s="18">
        <f t="shared" si="117"/>
        <v>0</v>
      </c>
    </row>
    <row r="693" spans="1:5" ht="15" x14ac:dyDescent="0.2">
      <c r="A693" s="7">
        <v>165511</v>
      </c>
      <c r="B693" s="3" t="s">
        <v>471</v>
      </c>
      <c r="C693" s="25">
        <v>0</v>
      </c>
      <c r="D693" s="25">
        <v>0</v>
      </c>
      <c r="E693" s="29">
        <f t="shared" si="117"/>
        <v>0</v>
      </c>
    </row>
    <row r="694" spans="1:5" ht="15" x14ac:dyDescent="0.2">
      <c r="A694" s="7">
        <v>165512</v>
      </c>
      <c r="B694" s="3" t="s">
        <v>472</v>
      </c>
      <c r="C694" s="25">
        <v>0</v>
      </c>
      <c r="D694" s="25">
        <v>7111570</v>
      </c>
      <c r="E694" s="18">
        <f t="shared" si="117"/>
        <v>7111570</v>
      </c>
    </row>
    <row r="695" spans="1:5" ht="15" x14ac:dyDescent="0.2">
      <c r="A695" s="7">
        <v>165520</v>
      </c>
      <c r="B695" s="3" t="s">
        <v>473</v>
      </c>
      <c r="C695" s="25">
        <v>0</v>
      </c>
      <c r="D695" s="25">
        <v>0</v>
      </c>
      <c r="E695" s="18">
        <f t="shared" si="117"/>
        <v>0</v>
      </c>
    </row>
    <row r="696" spans="1:5" ht="15" x14ac:dyDescent="0.2">
      <c r="A696" s="7">
        <v>165521</v>
      </c>
      <c r="B696" s="3" t="s">
        <v>474</v>
      </c>
      <c r="C696" s="25">
        <v>0</v>
      </c>
      <c r="D696" s="25">
        <v>0</v>
      </c>
      <c r="E696" s="18">
        <f t="shared" si="117"/>
        <v>0</v>
      </c>
    </row>
    <row r="697" spans="1:5" ht="15" x14ac:dyDescent="0.2">
      <c r="A697" s="7">
        <v>165522</v>
      </c>
      <c r="B697" s="3" t="s">
        <v>475</v>
      </c>
      <c r="C697" s="25">
        <v>0</v>
      </c>
      <c r="D697" s="25">
        <v>0</v>
      </c>
      <c r="E697" s="18">
        <f t="shared" si="117"/>
        <v>0</v>
      </c>
    </row>
    <row r="698" spans="1:5" ht="15" x14ac:dyDescent="0.2">
      <c r="A698" s="7">
        <v>165523</v>
      </c>
      <c r="B698" s="3" t="s">
        <v>476</v>
      </c>
      <c r="C698" s="25">
        <v>0</v>
      </c>
      <c r="D698" s="25">
        <v>0</v>
      </c>
      <c r="E698" s="29">
        <f t="shared" si="117"/>
        <v>0</v>
      </c>
    </row>
    <row r="699" spans="1:5" ht="15" x14ac:dyDescent="0.2">
      <c r="A699" s="7">
        <v>165524</v>
      </c>
      <c r="B699" s="3" t="s">
        <v>477</v>
      </c>
      <c r="C699" s="25">
        <v>0</v>
      </c>
      <c r="D699" s="25">
        <v>0</v>
      </c>
      <c r="E699" s="18">
        <f t="shared" si="117"/>
        <v>0</v>
      </c>
    </row>
    <row r="700" spans="1:5" ht="15" x14ac:dyDescent="0.2">
      <c r="A700" s="7">
        <v>165525</v>
      </c>
      <c r="B700" s="3" t="s">
        <v>478</v>
      </c>
      <c r="C700" s="25">
        <v>0</v>
      </c>
      <c r="D700" s="25">
        <v>0</v>
      </c>
      <c r="E700" s="18">
        <f t="shared" si="117"/>
        <v>0</v>
      </c>
    </row>
    <row r="701" spans="1:5" ht="15" x14ac:dyDescent="0.2">
      <c r="A701" s="7">
        <v>165526</v>
      </c>
      <c r="B701" s="3" t="s">
        <v>479</v>
      </c>
      <c r="C701" s="25">
        <v>0</v>
      </c>
      <c r="D701" s="25">
        <v>0</v>
      </c>
      <c r="E701" s="18">
        <f t="shared" si="117"/>
        <v>0</v>
      </c>
    </row>
    <row r="702" spans="1:5" ht="15" x14ac:dyDescent="0.2">
      <c r="A702" s="7">
        <v>165590</v>
      </c>
      <c r="B702" s="3" t="s">
        <v>480</v>
      </c>
      <c r="C702" s="25">
        <v>0</v>
      </c>
      <c r="D702" s="25">
        <v>0</v>
      </c>
      <c r="E702" s="29">
        <f t="shared" si="117"/>
        <v>0</v>
      </c>
    </row>
    <row r="703" spans="1:5" ht="15" x14ac:dyDescent="0.2">
      <c r="A703" s="6">
        <v>1660</v>
      </c>
      <c r="B703" s="2" t="s">
        <v>481</v>
      </c>
      <c r="C703" s="24">
        <f>SUM(C704:C714)</f>
        <v>0</v>
      </c>
      <c r="D703" s="24">
        <f t="shared" ref="D703:E703" si="118">SUM(D704:D714)</f>
        <v>0</v>
      </c>
      <c r="E703" s="17">
        <f t="shared" si="118"/>
        <v>0</v>
      </c>
    </row>
    <row r="704" spans="1:5" ht="15" x14ac:dyDescent="0.2">
      <c r="A704" s="7">
        <v>166001</v>
      </c>
      <c r="B704" s="3" t="s">
        <v>482</v>
      </c>
      <c r="C704" s="25">
        <v>0</v>
      </c>
      <c r="D704" s="25">
        <v>0</v>
      </c>
      <c r="E704" s="18">
        <f t="shared" ref="E704:E714" si="119">SUM(C704:D704)</f>
        <v>0</v>
      </c>
    </row>
    <row r="705" spans="1:5" ht="15" x14ac:dyDescent="0.2">
      <c r="A705" s="7">
        <v>166002</v>
      </c>
      <c r="B705" s="3" t="s">
        <v>483</v>
      </c>
      <c r="C705" s="25">
        <v>0</v>
      </c>
      <c r="D705" s="25">
        <v>0</v>
      </c>
      <c r="E705" s="18">
        <f t="shared" si="119"/>
        <v>0</v>
      </c>
    </row>
    <row r="706" spans="1:5" ht="15" x14ac:dyDescent="0.2">
      <c r="A706" s="7">
        <v>166003</v>
      </c>
      <c r="B706" s="3" t="s">
        <v>484</v>
      </c>
      <c r="C706" s="25">
        <v>0</v>
      </c>
      <c r="D706" s="25">
        <v>0</v>
      </c>
      <c r="E706" s="18">
        <f t="shared" si="119"/>
        <v>0</v>
      </c>
    </row>
    <row r="707" spans="1:5" ht="15" x14ac:dyDescent="0.2">
      <c r="A707" s="7">
        <v>166005</v>
      </c>
      <c r="B707" s="3" t="s">
        <v>485</v>
      </c>
      <c r="C707" s="25">
        <v>0</v>
      </c>
      <c r="D707" s="25">
        <v>0</v>
      </c>
      <c r="E707" s="18">
        <f t="shared" si="119"/>
        <v>0</v>
      </c>
    </row>
    <row r="708" spans="1:5" ht="15" x14ac:dyDescent="0.2">
      <c r="A708" s="7">
        <v>166006</v>
      </c>
      <c r="B708" s="3" t="s">
        <v>486</v>
      </c>
      <c r="C708" s="25">
        <v>0</v>
      </c>
      <c r="D708" s="25">
        <v>0</v>
      </c>
      <c r="E708" s="18">
        <f t="shared" si="119"/>
        <v>0</v>
      </c>
    </row>
    <row r="709" spans="1:5" ht="15" x14ac:dyDescent="0.2">
      <c r="A709" s="7">
        <v>166007</v>
      </c>
      <c r="B709" s="3" t="s">
        <v>487</v>
      </c>
      <c r="C709" s="25">
        <v>0</v>
      </c>
      <c r="D709" s="25">
        <v>0</v>
      </c>
      <c r="E709" s="18">
        <f t="shared" si="119"/>
        <v>0</v>
      </c>
    </row>
    <row r="710" spans="1:5" ht="15" x14ac:dyDescent="0.2">
      <c r="A710" s="7">
        <v>166008</v>
      </c>
      <c r="B710" s="3" t="s">
        <v>488</v>
      </c>
      <c r="C710" s="25">
        <v>0</v>
      </c>
      <c r="D710" s="25">
        <v>0</v>
      </c>
      <c r="E710" s="18">
        <f t="shared" si="119"/>
        <v>0</v>
      </c>
    </row>
    <row r="711" spans="1:5" ht="15" x14ac:dyDescent="0.2">
      <c r="A711" s="7">
        <v>166009</v>
      </c>
      <c r="B711" s="3" t="s">
        <v>489</v>
      </c>
      <c r="C711" s="25">
        <v>0</v>
      </c>
      <c r="D711" s="25">
        <v>0</v>
      </c>
      <c r="E711" s="18">
        <f t="shared" si="119"/>
        <v>0</v>
      </c>
    </row>
    <row r="712" spans="1:5" ht="15" x14ac:dyDescent="0.2">
      <c r="A712" s="7">
        <v>166010</v>
      </c>
      <c r="B712" s="3" t="s">
        <v>490</v>
      </c>
      <c r="C712" s="25">
        <v>0</v>
      </c>
      <c r="D712" s="25">
        <v>0</v>
      </c>
      <c r="E712" s="18">
        <f t="shared" si="119"/>
        <v>0</v>
      </c>
    </row>
    <row r="713" spans="1:5" ht="15" x14ac:dyDescent="0.2">
      <c r="A713" s="7">
        <v>166011</v>
      </c>
      <c r="B713" s="3" t="s">
        <v>491</v>
      </c>
      <c r="C713" s="25">
        <v>0</v>
      </c>
      <c r="D713" s="25">
        <v>0</v>
      </c>
      <c r="E713" s="18">
        <f t="shared" si="119"/>
        <v>0</v>
      </c>
    </row>
    <row r="714" spans="1:5" ht="15" x14ac:dyDescent="0.2">
      <c r="A714" s="7">
        <v>166090</v>
      </c>
      <c r="B714" s="3" t="s">
        <v>492</v>
      </c>
      <c r="C714" s="25">
        <v>0</v>
      </c>
      <c r="D714" s="25">
        <v>0</v>
      </c>
      <c r="E714" s="18">
        <f t="shared" si="119"/>
        <v>0</v>
      </c>
    </row>
    <row r="715" spans="1:5" ht="15" x14ac:dyDescent="0.2">
      <c r="A715" s="6">
        <v>1665</v>
      </c>
      <c r="B715" s="2" t="s">
        <v>493</v>
      </c>
      <c r="C715" s="24">
        <f>SUM(C716:C720)</f>
        <v>0</v>
      </c>
      <c r="D715" s="24">
        <f t="shared" ref="D715:E715" si="120">SUM(D716:D720)</f>
        <v>9895900</v>
      </c>
      <c r="E715" s="28">
        <f t="shared" si="120"/>
        <v>9895900</v>
      </c>
    </row>
    <row r="716" spans="1:5" ht="15" x14ac:dyDescent="0.2">
      <c r="A716" s="7">
        <v>166501</v>
      </c>
      <c r="B716" s="3" t="s">
        <v>316</v>
      </c>
      <c r="C716" s="25">
        <v>0</v>
      </c>
      <c r="D716" s="25">
        <v>0</v>
      </c>
      <c r="E716" s="29">
        <f t="shared" ref="E716:E720" si="121">SUM(C716:D716)</f>
        <v>0</v>
      </c>
    </row>
    <row r="717" spans="1:5" ht="15" x14ac:dyDescent="0.2">
      <c r="A717" s="7">
        <v>166502</v>
      </c>
      <c r="B717" s="3" t="s">
        <v>494</v>
      </c>
      <c r="C717" s="25">
        <v>0</v>
      </c>
      <c r="D717" s="25">
        <v>0</v>
      </c>
      <c r="E717" s="29">
        <f t="shared" si="121"/>
        <v>0</v>
      </c>
    </row>
    <row r="718" spans="1:5" ht="15" x14ac:dyDescent="0.2">
      <c r="A718" s="7">
        <v>166504</v>
      </c>
      <c r="B718" s="3" t="s">
        <v>495</v>
      </c>
      <c r="C718" s="25">
        <v>0</v>
      </c>
      <c r="D718" s="25">
        <v>0</v>
      </c>
      <c r="E718" s="18">
        <f t="shared" si="121"/>
        <v>0</v>
      </c>
    </row>
    <row r="719" spans="1:5" ht="15" x14ac:dyDescent="0.2">
      <c r="A719" s="7">
        <v>166505</v>
      </c>
      <c r="B719" s="3" t="s">
        <v>496</v>
      </c>
      <c r="C719" s="25">
        <v>0</v>
      </c>
      <c r="D719" s="25">
        <v>0</v>
      </c>
      <c r="E719" s="18">
        <f t="shared" si="121"/>
        <v>0</v>
      </c>
    </row>
    <row r="720" spans="1:5" ht="15" x14ac:dyDescent="0.2">
      <c r="A720" s="7">
        <v>166590</v>
      </c>
      <c r="B720" s="3" t="s">
        <v>497</v>
      </c>
      <c r="C720" s="25">
        <v>0</v>
      </c>
      <c r="D720" s="25">
        <v>9895900</v>
      </c>
      <c r="E720" s="18">
        <f t="shared" si="121"/>
        <v>9895900</v>
      </c>
    </row>
    <row r="721" spans="1:5" ht="15" x14ac:dyDescent="0.2">
      <c r="A721" s="6">
        <v>1670</v>
      </c>
      <c r="B721" s="2" t="s">
        <v>498</v>
      </c>
      <c r="C721" s="24">
        <f>SUM(C722:C728)</f>
        <v>0</v>
      </c>
      <c r="D721" s="24">
        <f t="shared" ref="D721:E721" si="122">SUM(D722:D728)</f>
        <v>1531000</v>
      </c>
      <c r="E721" s="28">
        <f t="shared" si="122"/>
        <v>1531000</v>
      </c>
    </row>
    <row r="722" spans="1:5" ht="15" x14ac:dyDescent="0.2">
      <c r="A722" s="7">
        <v>167001</v>
      </c>
      <c r="B722" s="3" t="s">
        <v>499</v>
      </c>
      <c r="C722" s="25">
        <v>0</v>
      </c>
      <c r="D722" s="25">
        <v>0</v>
      </c>
      <c r="E722" s="18">
        <f t="shared" ref="E722:E728" si="123">SUM(C722:D722)</f>
        <v>0</v>
      </c>
    </row>
    <row r="723" spans="1:5" ht="15" x14ac:dyDescent="0.2">
      <c r="A723" s="7">
        <v>167002</v>
      </c>
      <c r="B723" s="3" t="s">
        <v>500</v>
      </c>
      <c r="C723" s="25">
        <v>0</v>
      </c>
      <c r="D723" s="25">
        <v>1531000</v>
      </c>
      <c r="E723" s="29">
        <f t="shared" si="123"/>
        <v>1531000</v>
      </c>
    </row>
    <row r="724" spans="1:5" ht="15" x14ac:dyDescent="0.2">
      <c r="A724" s="7">
        <v>167004</v>
      </c>
      <c r="B724" s="3" t="s">
        <v>501</v>
      </c>
      <c r="C724" s="25">
        <v>0</v>
      </c>
      <c r="D724" s="25">
        <v>0</v>
      </c>
      <c r="E724" s="18">
        <f t="shared" si="123"/>
        <v>0</v>
      </c>
    </row>
    <row r="725" spans="1:5" ht="15" x14ac:dyDescent="0.2">
      <c r="A725" s="7">
        <v>167005</v>
      </c>
      <c r="B725" s="3" t="s">
        <v>502</v>
      </c>
      <c r="C725" s="25">
        <v>0</v>
      </c>
      <c r="D725" s="25">
        <v>0</v>
      </c>
      <c r="E725" s="18">
        <f t="shared" si="123"/>
        <v>0</v>
      </c>
    </row>
    <row r="726" spans="1:5" ht="15" x14ac:dyDescent="0.2">
      <c r="A726" s="7">
        <v>167006</v>
      </c>
      <c r="B726" s="3" t="s">
        <v>503</v>
      </c>
      <c r="C726" s="25">
        <v>0</v>
      </c>
      <c r="D726" s="25">
        <v>0</v>
      </c>
      <c r="E726" s="18">
        <f t="shared" si="123"/>
        <v>0</v>
      </c>
    </row>
    <row r="727" spans="1:5" ht="15" x14ac:dyDescent="0.2">
      <c r="A727" s="7">
        <v>167007</v>
      </c>
      <c r="B727" s="3" t="s">
        <v>504</v>
      </c>
      <c r="C727" s="25">
        <v>0</v>
      </c>
      <c r="D727" s="25">
        <v>0</v>
      </c>
      <c r="E727" s="18">
        <f t="shared" si="123"/>
        <v>0</v>
      </c>
    </row>
    <row r="728" spans="1:5" ht="15" x14ac:dyDescent="0.2">
      <c r="A728" s="7">
        <v>167090</v>
      </c>
      <c r="B728" s="3" t="s">
        <v>505</v>
      </c>
      <c r="C728" s="25">
        <v>0</v>
      </c>
      <c r="D728" s="25">
        <v>0</v>
      </c>
      <c r="E728" s="18">
        <f t="shared" si="123"/>
        <v>0</v>
      </c>
    </row>
    <row r="729" spans="1:5" ht="15" x14ac:dyDescent="0.2">
      <c r="A729" s="6">
        <v>1675</v>
      </c>
      <c r="B729" s="2" t="s">
        <v>506</v>
      </c>
      <c r="C729" s="24">
        <f>SUM(C730:C738)</f>
        <v>0</v>
      </c>
      <c r="D729" s="24">
        <f t="shared" ref="D729:E729" si="124">SUM(D730:D738)</f>
        <v>0</v>
      </c>
      <c r="E729" s="28">
        <f t="shared" si="124"/>
        <v>0</v>
      </c>
    </row>
    <row r="730" spans="1:5" ht="15" x14ac:dyDescent="0.2">
      <c r="A730" s="7">
        <v>167501</v>
      </c>
      <c r="B730" s="3" t="s">
        <v>507</v>
      </c>
      <c r="C730" s="25">
        <v>0</v>
      </c>
      <c r="D730" s="25">
        <v>0</v>
      </c>
      <c r="E730" s="18">
        <f t="shared" ref="E730:E793" si="125">SUM(C730:D730)</f>
        <v>0</v>
      </c>
    </row>
    <row r="731" spans="1:5" ht="15" x14ac:dyDescent="0.2">
      <c r="A731" s="7">
        <v>167502</v>
      </c>
      <c r="B731" s="3" t="s">
        <v>508</v>
      </c>
      <c r="C731" s="25">
        <v>0</v>
      </c>
      <c r="D731" s="25">
        <v>0</v>
      </c>
      <c r="E731" s="29">
        <f t="shared" si="125"/>
        <v>0</v>
      </c>
    </row>
    <row r="732" spans="1:5" ht="15" x14ac:dyDescent="0.2">
      <c r="A732" s="7">
        <v>167503</v>
      </c>
      <c r="B732" s="3" t="s">
        <v>509</v>
      </c>
      <c r="C732" s="25">
        <v>0</v>
      </c>
      <c r="D732" s="25">
        <v>0</v>
      </c>
      <c r="E732" s="18">
        <f t="shared" si="125"/>
        <v>0</v>
      </c>
    </row>
    <row r="733" spans="1:5" ht="15" x14ac:dyDescent="0.2">
      <c r="A733" s="7">
        <v>167504</v>
      </c>
      <c r="B733" s="3" t="s">
        <v>510</v>
      </c>
      <c r="C733" s="25">
        <v>0</v>
      </c>
      <c r="D733" s="25">
        <v>0</v>
      </c>
      <c r="E733" s="18">
        <f t="shared" si="125"/>
        <v>0</v>
      </c>
    </row>
    <row r="734" spans="1:5" ht="15" x14ac:dyDescent="0.2">
      <c r="A734" s="7">
        <v>167505</v>
      </c>
      <c r="B734" s="3" t="s">
        <v>511</v>
      </c>
      <c r="C734" s="25">
        <v>0</v>
      </c>
      <c r="D734" s="25">
        <v>0</v>
      </c>
      <c r="E734" s="18">
        <f t="shared" si="125"/>
        <v>0</v>
      </c>
    </row>
    <row r="735" spans="1:5" ht="15" x14ac:dyDescent="0.2">
      <c r="A735" s="7">
        <v>167506</v>
      </c>
      <c r="B735" s="3" t="s">
        <v>512</v>
      </c>
      <c r="C735" s="25">
        <v>0</v>
      </c>
      <c r="D735" s="25">
        <v>0</v>
      </c>
      <c r="E735" s="18">
        <f t="shared" si="125"/>
        <v>0</v>
      </c>
    </row>
    <row r="736" spans="1:5" ht="15" x14ac:dyDescent="0.2">
      <c r="A736" s="7">
        <v>167507</v>
      </c>
      <c r="B736" s="3" t="s">
        <v>513</v>
      </c>
      <c r="C736" s="25">
        <v>0</v>
      </c>
      <c r="D736" s="25">
        <v>0</v>
      </c>
      <c r="E736" s="18">
        <f t="shared" si="125"/>
        <v>0</v>
      </c>
    </row>
    <row r="737" spans="1:5" ht="15" x14ac:dyDescent="0.2">
      <c r="A737" s="7">
        <v>167508</v>
      </c>
      <c r="B737" s="3" t="s">
        <v>514</v>
      </c>
      <c r="C737" s="25">
        <v>0</v>
      </c>
      <c r="D737" s="25">
        <v>0</v>
      </c>
      <c r="E737" s="18">
        <f t="shared" si="125"/>
        <v>0</v>
      </c>
    </row>
    <row r="738" spans="1:5" ht="15" x14ac:dyDescent="0.2">
      <c r="A738" s="7">
        <v>167590</v>
      </c>
      <c r="B738" s="3" t="s">
        <v>515</v>
      </c>
      <c r="C738" s="25">
        <v>0</v>
      </c>
      <c r="D738" s="25">
        <v>0</v>
      </c>
      <c r="E738" s="18">
        <f t="shared" si="125"/>
        <v>0</v>
      </c>
    </row>
    <row r="739" spans="1:5" ht="15" x14ac:dyDescent="0.2">
      <c r="A739" s="6">
        <v>1680</v>
      </c>
      <c r="B739" s="2" t="s">
        <v>516</v>
      </c>
      <c r="C739" s="24">
        <f>SUM(C740:C746)</f>
        <v>0</v>
      </c>
      <c r="D739" s="24">
        <f t="shared" ref="D739:E739" si="126">SUM(D740:D746)</f>
        <v>0</v>
      </c>
      <c r="E739" s="28">
        <f t="shared" si="126"/>
        <v>0</v>
      </c>
    </row>
    <row r="740" spans="1:5" ht="15" x14ac:dyDescent="0.2">
      <c r="A740" s="7">
        <v>168001</v>
      </c>
      <c r="B740" s="3" t="s">
        <v>517</v>
      </c>
      <c r="C740" s="25">
        <v>0</v>
      </c>
      <c r="D740" s="25">
        <v>0</v>
      </c>
      <c r="E740" s="18">
        <f t="shared" si="125"/>
        <v>0</v>
      </c>
    </row>
    <row r="741" spans="1:5" ht="15" x14ac:dyDescent="0.2">
      <c r="A741" s="7">
        <v>168002</v>
      </c>
      <c r="B741" s="3" t="s">
        <v>518</v>
      </c>
      <c r="C741" s="25">
        <v>0</v>
      </c>
      <c r="D741" s="25">
        <v>0</v>
      </c>
      <c r="E741" s="18">
        <f t="shared" si="125"/>
        <v>0</v>
      </c>
    </row>
    <row r="742" spans="1:5" ht="15" x14ac:dyDescent="0.2">
      <c r="A742" s="7">
        <v>168003</v>
      </c>
      <c r="B742" s="3" t="s">
        <v>519</v>
      </c>
      <c r="C742" s="25">
        <v>0</v>
      </c>
      <c r="D742" s="25">
        <v>0</v>
      </c>
      <c r="E742" s="18">
        <f t="shared" si="125"/>
        <v>0</v>
      </c>
    </row>
    <row r="743" spans="1:5" ht="15" x14ac:dyDescent="0.2">
      <c r="A743" s="7">
        <v>168004</v>
      </c>
      <c r="B743" s="3" t="s">
        <v>520</v>
      </c>
      <c r="C743" s="25">
        <v>0</v>
      </c>
      <c r="D743" s="25">
        <v>0</v>
      </c>
      <c r="E743" s="18">
        <f t="shared" si="125"/>
        <v>0</v>
      </c>
    </row>
    <row r="744" spans="1:5" ht="15" x14ac:dyDescent="0.2">
      <c r="A744" s="7">
        <v>168005</v>
      </c>
      <c r="B744" s="3" t="s">
        <v>521</v>
      </c>
      <c r="C744" s="25">
        <v>0</v>
      </c>
      <c r="D744" s="25">
        <v>0</v>
      </c>
      <c r="E744" s="18">
        <f t="shared" si="125"/>
        <v>0</v>
      </c>
    </row>
    <row r="745" spans="1:5" ht="15" x14ac:dyDescent="0.2">
      <c r="A745" s="7">
        <v>168006</v>
      </c>
      <c r="B745" s="3" t="s">
        <v>522</v>
      </c>
      <c r="C745" s="25">
        <v>0</v>
      </c>
      <c r="D745" s="25">
        <v>0</v>
      </c>
      <c r="E745" s="18">
        <f t="shared" si="125"/>
        <v>0</v>
      </c>
    </row>
    <row r="746" spans="1:5" ht="15" x14ac:dyDescent="0.2">
      <c r="A746" s="7">
        <v>168090</v>
      </c>
      <c r="B746" s="3" t="s">
        <v>523</v>
      </c>
      <c r="C746" s="25">
        <v>0</v>
      </c>
      <c r="D746" s="25">
        <v>0</v>
      </c>
      <c r="E746" s="29">
        <f t="shared" si="125"/>
        <v>0</v>
      </c>
    </row>
    <row r="747" spans="1:5" ht="15" x14ac:dyDescent="0.2">
      <c r="A747" s="6">
        <v>1681</v>
      </c>
      <c r="B747" s="2" t="s">
        <v>524</v>
      </c>
      <c r="C747" s="24">
        <f>SUM(C748:C754)</f>
        <v>0</v>
      </c>
      <c r="D747" s="24">
        <f t="shared" ref="D747:E747" si="127">SUM(D748:D754)</f>
        <v>0</v>
      </c>
      <c r="E747" s="17">
        <f t="shared" si="127"/>
        <v>0</v>
      </c>
    </row>
    <row r="748" spans="1:5" ht="15" x14ac:dyDescent="0.2">
      <c r="A748" s="7">
        <v>168101</v>
      </c>
      <c r="B748" s="3" t="s">
        <v>525</v>
      </c>
      <c r="C748" s="25">
        <v>0</v>
      </c>
      <c r="D748" s="25">
        <v>0</v>
      </c>
      <c r="E748" s="18">
        <f t="shared" si="125"/>
        <v>0</v>
      </c>
    </row>
    <row r="749" spans="1:5" ht="15" x14ac:dyDescent="0.2">
      <c r="A749" s="7">
        <v>168103</v>
      </c>
      <c r="B749" s="3" t="s">
        <v>526</v>
      </c>
      <c r="C749" s="25">
        <v>0</v>
      </c>
      <c r="D749" s="25">
        <v>0</v>
      </c>
      <c r="E749" s="18">
        <f t="shared" si="125"/>
        <v>0</v>
      </c>
    </row>
    <row r="750" spans="1:5" ht="15" x14ac:dyDescent="0.2">
      <c r="A750" s="7">
        <v>168104</v>
      </c>
      <c r="B750" s="3" t="s">
        <v>527</v>
      </c>
      <c r="C750" s="25">
        <v>0</v>
      </c>
      <c r="D750" s="25">
        <v>0</v>
      </c>
      <c r="E750" s="18">
        <f t="shared" si="125"/>
        <v>0</v>
      </c>
    </row>
    <row r="751" spans="1:5" ht="15" x14ac:dyDescent="0.2">
      <c r="A751" s="7">
        <v>168105</v>
      </c>
      <c r="B751" s="3" t="s">
        <v>528</v>
      </c>
      <c r="C751" s="25">
        <v>0</v>
      </c>
      <c r="D751" s="25">
        <v>0</v>
      </c>
      <c r="E751" s="18">
        <f t="shared" si="125"/>
        <v>0</v>
      </c>
    </row>
    <row r="752" spans="1:5" ht="15" x14ac:dyDescent="0.2">
      <c r="A752" s="7">
        <v>168106</v>
      </c>
      <c r="B752" s="3" t="s">
        <v>529</v>
      </c>
      <c r="C752" s="25">
        <v>0</v>
      </c>
      <c r="D752" s="25">
        <v>0</v>
      </c>
      <c r="E752" s="18">
        <f t="shared" si="125"/>
        <v>0</v>
      </c>
    </row>
    <row r="753" spans="1:5" ht="15" x14ac:dyDescent="0.2">
      <c r="A753" s="7">
        <v>168107</v>
      </c>
      <c r="B753" s="3" t="s">
        <v>530</v>
      </c>
      <c r="C753" s="25">
        <v>0</v>
      </c>
      <c r="D753" s="25">
        <v>0</v>
      </c>
      <c r="E753" s="18">
        <f t="shared" si="125"/>
        <v>0</v>
      </c>
    </row>
    <row r="754" spans="1:5" ht="15" x14ac:dyDescent="0.2">
      <c r="A754" s="7">
        <v>168190</v>
      </c>
      <c r="B754" s="3" t="s">
        <v>531</v>
      </c>
      <c r="C754" s="25">
        <v>0</v>
      </c>
      <c r="D754" s="25">
        <v>0</v>
      </c>
      <c r="E754" s="18">
        <f t="shared" si="125"/>
        <v>0</v>
      </c>
    </row>
    <row r="755" spans="1:5" ht="15" x14ac:dyDescent="0.2">
      <c r="A755" s="6">
        <v>1683</v>
      </c>
      <c r="B755" s="2" t="s">
        <v>532</v>
      </c>
      <c r="C755" s="24">
        <f>SUM(C756:C766)</f>
        <v>0</v>
      </c>
      <c r="D755" s="24">
        <f t="shared" ref="D755:E755" si="128">SUM(D756:D766)</f>
        <v>0</v>
      </c>
      <c r="E755" s="17">
        <f t="shared" si="128"/>
        <v>0</v>
      </c>
    </row>
    <row r="756" spans="1:5" ht="15" x14ac:dyDescent="0.2">
      <c r="A756" s="7">
        <v>168301</v>
      </c>
      <c r="B756" s="3" t="s">
        <v>306</v>
      </c>
      <c r="C756" s="25">
        <v>0</v>
      </c>
      <c r="D756" s="25">
        <v>0</v>
      </c>
      <c r="E756" s="18">
        <f t="shared" si="125"/>
        <v>0</v>
      </c>
    </row>
    <row r="757" spans="1:5" ht="15" x14ac:dyDescent="0.2">
      <c r="A757" s="7">
        <v>168302</v>
      </c>
      <c r="B757" s="3" t="s">
        <v>385</v>
      </c>
      <c r="C757" s="25">
        <v>0</v>
      </c>
      <c r="D757" s="25">
        <v>0</v>
      </c>
      <c r="E757" s="18">
        <f t="shared" si="125"/>
        <v>0</v>
      </c>
    </row>
    <row r="758" spans="1:5" ht="15" x14ac:dyDescent="0.2">
      <c r="A758" s="7">
        <v>168303</v>
      </c>
      <c r="B758" s="3" t="s">
        <v>386</v>
      </c>
      <c r="C758" s="25">
        <v>0</v>
      </c>
      <c r="D758" s="25">
        <v>0</v>
      </c>
      <c r="E758" s="18">
        <f t="shared" si="125"/>
        <v>0</v>
      </c>
    </row>
    <row r="759" spans="1:5" ht="15" x14ac:dyDescent="0.2">
      <c r="A759" s="7">
        <v>168304</v>
      </c>
      <c r="B759" s="3" t="s">
        <v>387</v>
      </c>
      <c r="C759" s="25">
        <v>0</v>
      </c>
      <c r="D759" s="25">
        <v>0</v>
      </c>
      <c r="E759" s="18">
        <f t="shared" si="125"/>
        <v>0</v>
      </c>
    </row>
    <row r="760" spans="1:5" ht="15" x14ac:dyDescent="0.2">
      <c r="A760" s="7">
        <v>168305</v>
      </c>
      <c r="B760" s="3" t="s">
        <v>533</v>
      </c>
      <c r="C760" s="25">
        <v>0</v>
      </c>
      <c r="D760" s="25">
        <v>0</v>
      </c>
      <c r="E760" s="18">
        <f t="shared" si="125"/>
        <v>0</v>
      </c>
    </row>
    <row r="761" spans="1:5" ht="15" x14ac:dyDescent="0.2">
      <c r="A761" s="7">
        <v>168306</v>
      </c>
      <c r="B761" s="3" t="s">
        <v>391</v>
      </c>
      <c r="C761" s="25">
        <v>0</v>
      </c>
      <c r="D761" s="25">
        <v>0</v>
      </c>
      <c r="E761" s="18">
        <f t="shared" si="125"/>
        <v>0</v>
      </c>
    </row>
    <row r="762" spans="1:5" ht="15" x14ac:dyDescent="0.2">
      <c r="A762" s="7">
        <v>168307</v>
      </c>
      <c r="B762" s="3" t="s">
        <v>397</v>
      </c>
      <c r="C762" s="25">
        <v>0</v>
      </c>
      <c r="D762" s="25">
        <v>0</v>
      </c>
      <c r="E762" s="18">
        <f t="shared" si="125"/>
        <v>0</v>
      </c>
    </row>
    <row r="763" spans="1:5" ht="15" x14ac:dyDescent="0.2">
      <c r="A763" s="7">
        <v>168308</v>
      </c>
      <c r="B763" s="3" t="s">
        <v>311</v>
      </c>
      <c r="C763" s="25">
        <v>0</v>
      </c>
      <c r="D763" s="25">
        <v>0</v>
      </c>
      <c r="E763" s="18">
        <f t="shared" si="125"/>
        <v>0</v>
      </c>
    </row>
    <row r="764" spans="1:5" ht="15" x14ac:dyDescent="0.2">
      <c r="A764" s="7">
        <v>168309</v>
      </c>
      <c r="B764" s="3" t="s">
        <v>393</v>
      </c>
      <c r="C764" s="25">
        <v>0</v>
      </c>
      <c r="D764" s="25">
        <v>0</v>
      </c>
      <c r="E764" s="18">
        <f t="shared" si="125"/>
        <v>0</v>
      </c>
    </row>
    <row r="765" spans="1:5" ht="15" x14ac:dyDescent="0.2">
      <c r="A765" s="7">
        <v>168310</v>
      </c>
      <c r="B765" s="3" t="s">
        <v>405</v>
      </c>
      <c r="C765" s="25">
        <v>0</v>
      </c>
      <c r="D765" s="25">
        <v>0</v>
      </c>
      <c r="E765" s="18">
        <f t="shared" si="125"/>
        <v>0</v>
      </c>
    </row>
    <row r="766" spans="1:5" ht="15" x14ac:dyDescent="0.2">
      <c r="A766" s="7">
        <v>168390</v>
      </c>
      <c r="B766" s="3" t="s">
        <v>534</v>
      </c>
      <c r="C766" s="25">
        <v>0</v>
      </c>
      <c r="D766" s="25">
        <v>0</v>
      </c>
      <c r="E766" s="18">
        <f t="shared" si="125"/>
        <v>0</v>
      </c>
    </row>
    <row r="767" spans="1:5" ht="15" x14ac:dyDescent="0.2">
      <c r="A767" s="6">
        <v>1685</v>
      </c>
      <c r="B767" s="2" t="s">
        <v>535</v>
      </c>
      <c r="C767" s="24">
        <f>SUM(C768:C784)</f>
        <v>0</v>
      </c>
      <c r="D767" s="24">
        <f t="shared" ref="D767:E767" si="129">SUM(D768:D784)</f>
        <v>-2086460</v>
      </c>
      <c r="E767" s="28">
        <f t="shared" si="129"/>
        <v>-2086460</v>
      </c>
    </row>
    <row r="768" spans="1:5" ht="15" x14ac:dyDescent="0.2">
      <c r="A768" s="7">
        <v>168501</v>
      </c>
      <c r="B768" s="3" t="s">
        <v>385</v>
      </c>
      <c r="C768" s="25">
        <v>0</v>
      </c>
      <c r="D768" s="25">
        <v>0</v>
      </c>
      <c r="E768" s="18">
        <f t="shared" si="125"/>
        <v>0</v>
      </c>
    </row>
    <row r="769" spans="1:5" ht="15" x14ac:dyDescent="0.2">
      <c r="A769" s="7">
        <v>168502</v>
      </c>
      <c r="B769" s="3" t="s">
        <v>386</v>
      </c>
      <c r="C769" s="25">
        <v>0</v>
      </c>
      <c r="D769" s="25">
        <v>0</v>
      </c>
      <c r="E769" s="29">
        <f t="shared" si="125"/>
        <v>0</v>
      </c>
    </row>
    <row r="770" spans="1:5" ht="15" x14ac:dyDescent="0.2">
      <c r="A770" s="7">
        <v>168503</v>
      </c>
      <c r="B770" s="3" t="s">
        <v>387</v>
      </c>
      <c r="C770" s="25">
        <v>0</v>
      </c>
      <c r="D770" s="25">
        <v>0</v>
      </c>
      <c r="E770" s="18">
        <f t="shared" si="125"/>
        <v>0</v>
      </c>
    </row>
    <row r="771" spans="1:5" ht="15" x14ac:dyDescent="0.2">
      <c r="A771" s="7">
        <v>168504</v>
      </c>
      <c r="B771" s="3" t="s">
        <v>390</v>
      </c>
      <c r="C771" s="25">
        <v>0</v>
      </c>
      <c r="D771" s="25">
        <v>-917860</v>
      </c>
      <c r="E771" s="29">
        <f t="shared" si="125"/>
        <v>-917860</v>
      </c>
    </row>
    <row r="772" spans="1:5" ht="15" x14ac:dyDescent="0.2">
      <c r="A772" s="7">
        <v>168505</v>
      </c>
      <c r="B772" s="3" t="s">
        <v>391</v>
      </c>
      <c r="C772" s="25">
        <v>0</v>
      </c>
      <c r="D772" s="25">
        <v>0</v>
      </c>
      <c r="E772" s="18">
        <f t="shared" si="125"/>
        <v>0</v>
      </c>
    </row>
    <row r="773" spans="1:5" ht="15" x14ac:dyDescent="0.2">
      <c r="A773" s="7">
        <v>168506</v>
      </c>
      <c r="B773" s="3" t="s">
        <v>397</v>
      </c>
      <c r="C773" s="25">
        <v>0</v>
      </c>
      <c r="D773" s="25">
        <v>-250000</v>
      </c>
      <c r="E773" s="29">
        <f t="shared" si="125"/>
        <v>-250000</v>
      </c>
    </row>
    <row r="774" spans="1:5" ht="15" x14ac:dyDescent="0.2">
      <c r="A774" s="7">
        <v>168507</v>
      </c>
      <c r="B774" s="3" t="s">
        <v>311</v>
      </c>
      <c r="C774" s="25">
        <v>0</v>
      </c>
      <c r="D774" s="25">
        <v>-918600</v>
      </c>
      <c r="E774" s="29">
        <f t="shared" si="125"/>
        <v>-918600</v>
      </c>
    </row>
    <row r="775" spans="1:5" ht="15" x14ac:dyDescent="0.2">
      <c r="A775" s="7">
        <v>168508</v>
      </c>
      <c r="B775" s="3" t="s">
        <v>393</v>
      </c>
      <c r="C775" s="25">
        <v>0</v>
      </c>
      <c r="D775" s="25">
        <v>0</v>
      </c>
      <c r="E775" s="29">
        <f t="shared" si="125"/>
        <v>0</v>
      </c>
    </row>
    <row r="776" spans="1:5" ht="15" x14ac:dyDescent="0.25">
      <c r="A776" s="7">
        <v>168509</v>
      </c>
      <c r="B776" s="3" t="s">
        <v>392</v>
      </c>
      <c r="C776" s="30">
        <v>0</v>
      </c>
      <c r="D776" s="25">
        <v>0</v>
      </c>
      <c r="E776" s="29">
        <f t="shared" si="125"/>
        <v>0</v>
      </c>
    </row>
    <row r="777" spans="1:5" ht="15" x14ac:dyDescent="0.2">
      <c r="A777" s="7">
        <v>168510</v>
      </c>
      <c r="B777" s="3" t="s">
        <v>398</v>
      </c>
      <c r="C777" s="25">
        <v>0</v>
      </c>
      <c r="D777" s="25">
        <v>0</v>
      </c>
      <c r="E777" s="18">
        <f t="shared" si="125"/>
        <v>0</v>
      </c>
    </row>
    <row r="778" spans="1:5" ht="15" x14ac:dyDescent="0.2">
      <c r="A778" s="7">
        <v>168511</v>
      </c>
      <c r="B778" s="3" t="s">
        <v>536</v>
      </c>
      <c r="C778" s="25">
        <v>0</v>
      </c>
      <c r="D778" s="25">
        <v>0</v>
      </c>
      <c r="E778" s="18">
        <f t="shared" si="125"/>
        <v>0</v>
      </c>
    </row>
    <row r="779" spans="1:5" ht="15" x14ac:dyDescent="0.2">
      <c r="A779" s="7">
        <v>168512</v>
      </c>
      <c r="B779" s="3" t="s">
        <v>537</v>
      </c>
      <c r="C779" s="25">
        <v>0</v>
      </c>
      <c r="D779" s="25">
        <v>0</v>
      </c>
      <c r="E779" s="18">
        <f t="shared" si="125"/>
        <v>0</v>
      </c>
    </row>
    <row r="780" spans="1:5" ht="15" x14ac:dyDescent="0.2">
      <c r="A780" s="7">
        <v>168513</v>
      </c>
      <c r="B780" s="3" t="s">
        <v>538</v>
      </c>
      <c r="C780" s="25">
        <v>0</v>
      </c>
      <c r="D780" s="25">
        <v>0</v>
      </c>
      <c r="E780" s="18">
        <f t="shared" si="125"/>
        <v>0</v>
      </c>
    </row>
    <row r="781" spans="1:5" ht="15" x14ac:dyDescent="0.2">
      <c r="A781" s="7">
        <v>168514</v>
      </c>
      <c r="B781" s="3" t="s">
        <v>539</v>
      </c>
      <c r="C781" s="25">
        <v>0</v>
      </c>
      <c r="D781" s="25">
        <v>0</v>
      </c>
      <c r="E781" s="18">
        <f t="shared" si="125"/>
        <v>0</v>
      </c>
    </row>
    <row r="782" spans="1:5" ht="15" x14ac:dyDescent="0.2">
      <c r="A782" s="7">
        <v>168515</v>
      </c>
      <c r="B782" s="3" t="s">
        <v>540</v>
      </c>
      <c r="C782" s="25">
        <v>0</v>
      </c>
      <c r="D782" s="25">
        <v>0</v>
      </c>
      <c r="E782" s="18">
        <f t="shared" si="125"/>
        <v>0</v>
      </c>
    </row>
    <row r="783" spans="1:5" ht="15" x14ac:dyDescent="0.2">
      <c r="A783" s="7">
        <v>168516</v>
      </c>
      <c r="B783" s="3" t="s">
        <v>541</v>
      </c>
      <c r="C783" s="25">
        <v>0</v>
      </c>
      <c r="D783" s="25">
        <v>0</v>
      </c>
      <c r="E783" s="18">
        <f t="shared" si="125"/>
        <v>0</v>
      </c>
    </row>
    <row r="784" spans="1:5" ht="15" x14ac:dyDescent="0.2">
      <c r="A784" s="7">
        <v>168517</v>
      </c>
      <c r="B784" s="3" t="s">
        <v>542</v>
      </c>
      <c r="C784" s="25">
        <v>0</v>
      </c>
      <c r="D784" s="25">
        <v>0</v>
      </c>
      <c r="E784" s="18">
        <f t="shared" si="125"/>
        <v>0</v>
      </c>
    </row>
    <row r="785" spans="1:5" ht="15" x14ac:dyDescent="0.2">
      <c r="A785" s="6">
        <v>1695</v>
      </c>
      <c r="B785" s="2" t="s">
        <v>543</v>
      </c>
      <c r="C785" s="24">
        <f>SUM(C786:C806)</f>
        <v>0</v>
      </c>
      <c r="D785" s="24">
        <f t="shared" ref="D785:E785" si="130">SUM(D786:D806)</f>
        <v>0</v>
      </c>
      <c r="E785" s="17">
        <f t="shared" si="130"/>
        <v>0</v>
      </c>
    </row>
    <row r="786" spans="1:5" ht="15" x14ac:dyDescent="0.2">
      <c r="A786" s="7">
        <v>169501</v>
      </c>
      <c r="B786" s="3" t="s">
        <v>306</v>
      </c>
      <c r="C786" s="25">
        <v>0</v>
      </c>
      <c r="D786" s="25">
        <v>0</v>
      </c>
      <c r="E786" s="18">
        <f t="shared" si="125"/>
        <v>0</v>
      </c>
    </row>
    <row r="787" spans="1:5" ht="15" x14ac:dyDescent="0.2">
      <c r="A787" s="7">
        <v>169502</v>
      </c>
      <c r="B787" s="3" t="s">
        <v>398</v>
      </c>
      <c r="C787" s="25">
        <v>0</v>
      </c>
      <c r="D787" s="25">
        <v>0</v>
      </c>
      <c r="E787" s="18">
        <f t="shared" si="125"/>
        <v>0</v>
      </c>
    </row>
    <row r="788" spans="1:5" ht="15" x14ac:dyDescent="0.2">
      <c r="A788" s="7">
        <v>169503</v>
      </c>
      <c r="B788" s="3" t="s">
        <v>405</v>
      </c>
      <c r="C788" s="25">
        <v>0</v>
      </c>
      <c r="D788" s="25">
        <v>0</v>
      </c>
      <c r="E788" s="18">
        <f t="shared" si="125"/>
        <v>0</v>
      </c>
    </row>
    <row r="789" spans="1:5" ht="15" x14ac:dyDescent="0.2">
      <c r="A789" s="7">
        <v>169504</v>
      </c>
      <c r="B789" s="3" t="s">
        <v>544</v>
      </c>
      <c r="C789" s="25">
        <v>0</v>
      </c>
      <c r="D789" s="25">
        <v>0</v>
      </c>
      <c r="E789" s="18">
        <f t="shared" si="125"/>
        <v>0</v>
      </c>
    </row>
    <row r="790" spans="1:5" ht="15" x14ac:dyDescent="0.2">
      <c r="A790" s="7">
        <v>169505</v>
      </c>
      <c r="B790" s="3" t="s">
        <v>385</v>
      </c>
      <c r="C790" s="25">
        <v>0</v>
      </c>
      <c r="D790" s="25">
        <v>0</v>
      </c>
      <c r="E790" s="18">
        <f t="shared" si="125"/>
        <v>0</v>
      </c>
    </row>
    <row r="791" spans="1:5" ht="15" x14ac:dyDescent="0.2">
      <c r="A791" s="7">
        <v>169506</v>
      </c>
      <c r="B791" s="3" t="s">
        <v>386</v>
      </c>
      <c r="C791" s="25">
        <v>0</v>
      </c>
      <c r="D791" s="25">
        <v>0</v>
      </c>
      <c r="E791" s="18">
        <f t="shared" si="125"/>
        <v>0</v>
      </c>
    </row>
    <row r="792" spans="1:5" ht="15" x14ac:dyDescent="0.2">
      <c r="A792" s="7">
        <v>169507</v>
      </c>
      <c r="B792" s="3" t="s">
        <v>387</v>
      </c>
      <c r="C792" s="25">
        <v>0</v>
      </c>
      <c r="D792" s="25">
        <v>0</v>
      </c>
      <c r="E792" s="18">
        <f t="shared" si="125"/>
        <v>0</v>
      </c>
    </row>
    <row r="793" spans="1:5" ht="15" x14ac:dyDescent="0.2">
      <c r="A793" s="7">
        <v>169508</v>
      </c>
      <c r="B793" s="3" t="s">
        <v>390</v>
      </c>
      <c r="C793" s="25">
        <v>0</v>
      </c>
      <c r="D793" s="25">
        <v>0</v>
      </c>
      <c r="E793" s="18">
        <f t="shared" si="125"/>
        <v>0</v>
      </c>
    </row>
    <row r="794" spans="1:5" ht="15" x14ac:dyDescent="0.2">
      <c r="A794" s="7">
        <v>169509</v>
      </c>
      <c r="B794" s="3" t="s">
        <v>391</v>
      </c>
      <c r="C794" s="25">
        <v>0</v>
      </c>
      <c r="D794" s="25">
        <v>0</v>
      </c>
      <c r="E794" s="18">
        <f t="shared" ref="E794:E806" si="131">SUM(C794:D794)</f>
        <v>0</v>
      </c>
    </row>
    <row r="795" spans="1:5" ht="15" x14ac:dyDescent="0.2">
      <c r="A795" s="7">
        <v>169510</v>
      </c>
      <c r="B795" s="3" t="s">
        <v>397</v>
      </c>
      <c r="C795" s="25">
        <v>0</v>
      </c>
      <c r="D795" s="25">
        <v>0</v>
      </c>
      <c r="E795" s="18">
        <f t="shared" si="131"/>
        <v>0</v>
      </c>
    </row>
    <row r="796" spans="1:5" ht="15" x14ac:dyDescent="0.2">
      <c r="A796" s="7">
        <v>169511</v>
      </c>
      <c r="B796" s="3" t="s">
        <v>311</v>
      </c>
      <c r="C796" s="25">
        <v>0</v>
      </c>
      <c r="D796" s="25">
        <v>0</v>
      </c>
      <c r="E796" s="18">
        <f t="shared" si="131"/>
        <v>0</v>
      </c>
    </row>
    <row r="797" spans="1:5" ht="15" x14ac:dyDescent="0.2">
      <c r="A797" s="7">
        <v>169512</v>
      </c>
      <c r="B797" s="3" t="s">
        <v>545</v>
      </c>
      <c r="C797" s="25">
        <v>0</v>
      </c>
      <c r="D797" s="25">
        <v>0</v>
      </c>
      <c r="E797" s="18">
        <f t="shared" si="131"/>
        <v>0</v>
      </c>
    </row>
    <row r="798" spans="1:5" ht="15" x14ac:dyDescent="0.2">
      <c r="A798" s="7">
        <v>169513</v>
      </c>
      <c r="B798" s="3" t="s">
        <v>392</v>
      </c>
      <c r="C798" s="25">
        <v>0</v>
      </c>
      <c r="D798" s="25">
        <v>0</v>
      </c>
      <c r="E798" s="18">
        <f t="shared" si="131"/>
        <v>0</v>
      </c>
    </row>
    <row r="799" spans="1:5" ht="15" x14ac:dyDescent="0.2">
      <c r="A799" s="7">
        <v>169514</v>
      </c>
      <c r="B799" s="3" t="s">
        <v>536</v>
      </c>
      <c r="C799" s="25">
        <v>0</v>
      </c>
      <c r="D799" s="25">
        <v>0</v>
      </c>
      <c r="E799" s="18">
        <f t="shared" si="131"/>
        <v>0</v>
      </c>
    </row>
    <row r="800" spans="1:5" ht="15" x14ac:dyDescent="0.2">
      <c r="A800" s="7">
        <v>169515</v>
      </c>
      <c r="B800" s="3" t="s">
        <v>333</v>
      </c>
      <c r="C800" s="25">
        <v>0</v>
      </c>
      <c r="D800" s="25">
        <v>0</v>
      </c>
      <c r="E800" s="18">
        <f t="shared" si="131"/>
        <v>0</v>
      </c>
    </row>
    <row r="801" spans="1:5" ht="15" x14ac:dyDescent="0.2">
      <c r="A801" s="7">
        <v>169520</v>
      </c>
      <c r="B801" s="3" t="s">
        <v>546</v>
      </c>
      <c r="C801" s="25">
        <v>0</v>
      </c>
      <c r="D801" s="25">
        <v>0</v>
      </c>
      <c r="E801" s="18">
        <f t="shared" si="131"/>
        <v>0</v>
      </c>
    </row>
    <row r="802" spans="1:5" ht="15" x14ac:dyDescent="0.2">
      <c r="A802" s="7">
        <v>169521</v>
      </c>
      <c r="B802" s="3" t="s">
        <v>537</v>
      </c>
      <c r="C802" s="25">
        <v>0</v>
      </c>
      <c r="D802" s="25">
        <v>0</v>
      </c>
      <c r="E802" s="18">
        <f t="shared" si="131"/>
        <v>0</v>
      </c>
    </row>
    <row r="803" spans="1:5" ht="15" x14ac:dyDescent="0.2">
      <c r="A803" s="7">
        <v>169522</v>
      </c>
      <c r="B803" s="3" t="s">
        <v>541</v>
      </c>
      <c r="C803" s="25">
        <v>0</v>
      </c>
      <c r="D803" s="25">
        <v>0</v>
      </c>
      <c r="E803" s="18">
        <f t="shared" si="131"/>
        <v>0</v>
      </c>
    </row>
    <row r="804" spans="1:5" ht="15" x14ac:dyDescent="0.2">
      <c r="A804" s="7">
        <v>169523</v>
      </c>
      <c r="B804" s="3" t="s">
        <v>538</v>
      </c>
      <c r="C804" s="25">
        <v>0</v>
      </c>
      <c r="D804" s="25">
        <v>0</v>
      </c>
      <c r="E804" s="18">
        <f t="shared" si="131"/>
        <v>0</v>
      </c>
    </row>
    <row r="805" spans="1:5" ht="15" x14ac:dyDescent="0.2">
      <c r="A805" s="7">
        <v>169524</v>
      </c>
      <c r="B805" s="3" t="s">
        <v>539</v>
      </c>
      <c r="C805" s="25">
        <v>0</v>
      </c>
      <c r="D805" s="25">
        <v>0</v>
      </c>
      <c r="E805" s="18">
        <f t="shared" si="131"/>
        <v>0</v>
      </c>
    </row>
    <row r="806" spans="1:5" ht="15" x14ac:dyDescent="0.2">
      <c r="A806" s="7">
        <v>169525</v>
      </c>
      <c r="B806" s="3" t="s">
        <v>540</v>
      </c>
      <c r="C806" s="25">
        <v>0</v>
      </c>
      <c r="D806" s="25">
        <v>0</v>
      </c>
      <c r="E806" s="18">
        <f t="shared" si="131"/>
        <v>0</v>
      </c>
    </row>
    <row r="807" spans="1:5" ht="15" x14ac:dyDescent="0.2">
      <c r="A807" s="6">
        <v>19</v>
      </c>
      <c r="B807" s="2" t="s">
        <v>547</v>
      </c>
      <c r="C807" s="24">
        <f>SUM(C808,C817,C825,C836,C853,C859,C870,C875,C885,C887,C892,C895,C900,C911,C920,C931,C936,C941,C946,C951,C956,C975,C979,C981)</f>
        <v>0</v>
      </c>
      <c r="D807" s="24">
        <f>SUM(D808,D817,D825,D836,D853,D859,D870,D875,D885,D887,D892,D895,D900,D911,D920,D931,D936,D941,D946,D951,D956,D975,D979,D981)</f>
        <v>0</v>
      </c>
      <c r="E807" s="28">
        <f>SUM(E808,E817,E825,E836,E853,E859,E870,E875,E885,E887,E892,E895,E900,E911,E920,E931,E936,E941,E946,E951,E956,E975,E979,E981)</f>
        <v>0</v>
      </c>
    </row>
    <row r="808" spans="1:5" ht="15" x14ac:dyDescent="0.2">
      <c r="A808" s="6">
        <v>1902</v>
      </c>
      <c r="B808" s="2" t="s">
        <v>548</v>
      </c>
      <c r="C808" s="24">
        <f>SUM(C809:C816)</f>
        <v>0</v>
      </c>
      <c r="D808" s="24">
        <f t="shared" ref="D808:E808" si="132">SUM(D809:D816)</f>
        <v>0</v>
      </c>
      <c r="E808" s="17">
        <f t="shared" si="132"/>
        <v>0</v>
      </c>
    </row>
    <row r="809" spans="1:5" ht="15" x14ac:dyDescent="0.2">
      <c r="A809" s="7">
        <v>190201</v>
      </c>
      <c r="B809" s="3" t="s">
        <v>549</v>
      </c>
      <c r="C809" s="25">
        <v>0</v>
      </c>
      <c r="D809" s="25">
        <v>0</v>
      </c>
      <c r="E809" s="18">
        <f t="shared" ref="E809:E816" si="133">SUM(C809:D809)</f>
        <v>0</v>
      </c>
    </row>
    <row r="810" spans="1:5" ht="15" x14ac:dyDescent="0.2">
      <c r="A810" s="7">
        <v>190202</v>
      </c>
      <c r="B810" s="3" t="s">
        <v>550</v>
      </c>
      <c r="C810" s="25">
        <v>0</v>
      </c>
      <c r="D810" s="25">
        <v>0</v>
      </c>
      <c r="E810" s="18">
        <f t="shared" si="133"/>
        <v>0</v>
      </c>
    </row>
    <row r="811" spans="1:5" ht="15" x14ac:dyDescent="0.2">
      <c r="A811" s="7">
        <v>190203</v>
      </c>
      <c r="B811" s="3" t="s">
        <v>551</v>
      </c>
      <c r="C811" s="25">
        <v>0</v>
      </c>
      <c r="D811" s="25">
        <v>0</v>
      </c>
      <c r="E811" s="18">
        <f t="shared" si="133"/>
        <v>0</v>
      </c>
    </row>
    <row r="812" spans="1:5" ht="15" x14ac:dyDescent="0.2">
      <c r="A812" s="7">
        <v>190204</v>
      </c>
      <c r="B812" s="3" t="s">
        <v>552</v>
      </c>
      <c r="C812" s="25">
        <v>0</v>
      </c>
      <c r="D812" s="25">
        <v>0</v>
      </c>
      <c r="E812" s="18">
        <f t="shared" si="133"/>
        <v>0</v>
      </c>
    </row>
    <row r="813" spans="1:5" ht="15" x14ac:dyDescent="0.2">
      <c r="A813" s="7">
        <v>190205</v>
      </c>
      <c r="B813" s="3" t="s">
        <v>553</v>
      </c>
      <c r="C813" s="25">
        <v>0</v>
      </c>
      <c r="D813" s="25">
        <v>0</v>
      </c>
      <c r="E813" s="18">
        <f t="shared" si="133"/>
        <v>0</v>
      </c>
    </row>
    <row r="814" spans="1:5" ht="15" x14ac:dyDescent="0.2">
      <c r="A814" s="7">
        <v>190206</v>
      </c>
      <c r="B814" s="3" t="s">
        <v>554</v>
      </c>
      <c r="C814" s="25">
        <v>0</v>
      </c>
      <c r="D814" s="25">
        <v>0</v>
      </c>
      <c r="E814" s="18">
        <f t="shared" si="133"/>
        <v>0</v>
      </c>
    </row>
    <row r="815" spans="1:5" ht="15" x14ac:dyDescent="0.2">
      <c r="A815" s="7">
        <v>190207</v>
      </c>
      <c r="B815" s="3" t="s">
        <v>555</v>
      </c>
      <c r="C815" s="25">
        <v>0</v>
      </c>
      <c r="D815" s="25">
        <v>0</v>
      </c>
      <c r="E815" s="18">
        <f t="shared" si="133"/>
        <v>0</v>
      </c>
    </row>
    <row r="816" spans="1:5" ht="15" x14ac:dyDescent="0.2">
      <c r="A816" s="7">
        <v>190208</v>
      </c>
      <c r="B816" s="3" t="s">
        <v>556</v>
      </c>
      <c r="C816" s="25">
        <v>0</v>
      </c>
      <c r="D816" s="25">
        <v>0</v>
      </c>
      <c r="E816" s="18">
        <f t="shared" si="133"/>
        <v>0</v>
      </c>
    </row>
    <row r="817" spans="1:5" ht="15" x14ac:dyDescent="0.2">
      <c r="A817" s="6">
        <v>1903</v>
      </c>
      <c r="B817" s="2" t="s">
        <v>557</v>
      </c>
      <c r="C817" s="24">
        <f>SUM(C818:C824)</f>
        <v>0</v>
      </c>
      <c r="D817" s="24">
        <f t="shared" ref="D817:E817" si="134">SUM(D818:D824)</f>
        <v>0</v>
      </c>
      <c r="E817" s="17">
        <f t="shared" si="134"/>
        <v>0</v>
      </c>
    </row>
    <row r="818" spans="1:5" ht="15" x14ac:dyDescent="0.2">
      <c r="A818" s="7">
        <v>190301</v>
      </c>
      <c r="B818" s="3" t="s">
        <v>549</v>
      </c>
      <c r="C818" s="25">
        <v>0</v>
      </c>
      <c r="D818" s="25">
        <v>0</v>
      </c>
      <c r="E818" s="18">
        <f t="shared" ref="E818:E824" si="135">SUM(C818:D818)</f>
        <v>0</v>
      </c>
    </row>
    <row r="819" spans="1:5" ht="15" x14ac:dyDescent="0.2">
      <c r="A819" s="7">
        <v>190302</v>
      </c>
      <c r="B819" s="3" t="s">
        <v>550</v>
      </c>
      <c r="C819" s="25">
        <v>0</v>
      </c>
      <c r="D819" s="25">
        <v>0</v>
      </c>
      <c r="E819" s="18">
        <f t="shared" si="135"/>
        <v>0</v>
      </c>
    </row>
    <row r="820" spans="1:5" ht="15" x14ac:dyDescent="0.2">
      <c r="A820" s="7">
        <v>190303</v>
      </c>
      <c r="B820" s="3" t="s">
        <v>551</v>
      </c>
      <c r="C820" s="25">
        <v>0</v>
      </c>
      <c r="D820" s="25">
        <v>0</v>
      </c>
      <c r="E820" s="18">
        <f t="shared" si="135"/>
        <v>0</v>
      </c>
    </row>
    <row r="821" spans="1:5" ht="15" x14ac:dyDescent="0.2">
      <c r="A821" s="7">
        <v>190304</v>
      </c>
      <c r="B821" s="3" t="s">
        <v>552</v>
      </c>
      <c r="C821" s="25">
        <v>0</v>
      </c>
      <c r="D821" s="25">
        <v>0</v>
      </c>
      <c r="E821" s="18">
        <f t="shared" si="135"/>
        <v>0</v>
      </c>
    </row>
    <row r="822" spans="1:5" ht="15" x14ac:dyDescent="0.2">
      <c r="A822" s="7">
        <v>190305</v>
      </c>
      <c r="B822" s="3" t="s">
        <v>553</v>
      </c>
      <c r="C822" s="25">
        <v>0</v>
      </c>
      <c r="D822" s="25">
        <v>0</v>
      </c>
      <c r="E822" s="18">
        <f t="shared" si="135"/>
        <v>0</v>
      </c>
    </row>
    <row r="823" spans="1:5" ht="15" x14ac:dyDescent="0.2">
      <c r="A823" s="7">
        <v>190306</v>
      </c>
      <c r="B823" s="3" t="s">
        <v>554</v>
      </c>
      <c r="C823" s="25">
        <v>0</v>
      </c>
      <c r="D823" s="25">
        <v>0</v>
      </c>
      <c r="E823" s="18">
        <f t="shared" si="135"/>
        <v>0</v>
      </c>
    </row>
    <row r="824" spans="1:5" ht="15" x14ac:dyDescent="0.2">
      <c r="A824" s="7">
        <v>190307</v>
      </c>
      <c r="B824" s="3" t="s">
        <v>555</v>
      </c>
      <c r="C824" s="25">
        <v>0</v>
      </c>
      <c r="D824" s="25">
        <v>0</v>
      </c>
      <c r="E824" s="18">
        <f t="shared" si="135"/>
        <v>0</v>
      </c>
    </row>
    <row r="825" spans="1:5" ht="15" x14ac:dyDescent="0.2">
      <c r="A825" s="6">
        <v>1904</v>
      </c>
      <c r="B825" s="2" t="s">
        <v>558</v>
      </c>
      <c r="C825" s="24">
        <f>SUM(C826:C835)</f>
        <v>0</v>
      </c>
      <c r="D825" s="24">
        <f t="shared" ref="D825:E825" si="136">SUM(D826:D835)</f>
        <v>0</v>
      </c>
      <c r="E825" s="17">
        <f t="shared" si="136"/>
        <v>0</v>
      </c>
    </row>
    <row r="826" spans="1:5" ht="15" x14ac:dyDescent="0.2">
      <c r="A826" s="7">
        <v>190401</v>
      </c>
      <c r="B826" s="3" t="s">
        <v>549</v>
      </c>
      <c r="C826" s="25">
        <v>0</v>
      </c>
      <c r="D826" s="25">
        <v>0</v>
      </c>
      <c r="E826" s="18">
        <f t="shared" ref="E826:E835" si="137">SUM(C826:D826)</f>
        <v>0</v>
      </c>
    </row>
    <row r="827" spans="1:5" ht="15" x14ac:dyDescent="0.2">
      <c r="A827" s="7">
        <v>190402</v>
      </c>
      <c r="B827" s="3" t="s">
        <v>550</v>
      </c>
      <c r="C827" s="25">
        <v>0</v>
      </c>
      <c r="D827" s="25">
        <v>0</v>
      </c>
      <c r="E827" s="18">
        <f t="shared" si="137"/>
        <v>0</v>
      </c>
    </row>
    <row r="828" spans="1:5" ht="15" x14ac:dyDescent="0.2">
      <c r="A828" s="7">
        <v>190403</v>
      </c>
      <c r="B828" s="3" t="s">
        <v>551</v>
      </c>
      <c r="C828" s="25">
        <v>0</v>
      </c>
      <c r="D828" s="25">
        <v>0</v>
      </c>
      <c r="E828" s="18">
        <f t="shared" si="137"/>
        <v>0</v>
      </c>
    </row>
    <row r="829" spans="1:5" ht="15" x14ac:dyDescent="0.2">
      <c r="A829" s="7">
        <v>190404</v>
      </c>
      <c r="B829" s="3" t="s">
        <v>552</v>
      </c>
      <c r="C829" s="25">
        <v>0</v>
      </c>
      <c r="D829" s="25">
        <v>0</v>
      </c>
      <c r="E829" s="18">
        <f t="shared" si="137"/>
        <v>0</v>
      </c>
    </row>
    <row r="830" spans="1:5" ht="15" x14ac:dyDescent="0.2">
      <c r="A830" s="7">
        <v>190405</v>
      </c>
      <c r="B830" s="3" t="s">
        <v>553</v>
      </c>
      <c r="C830" s="25">
        <v>0</v>
      </c>
      <c r="D830" s="25">
        <v>0</v>
      </c>
      <c r="E830" s="18">
        <f t="shared" si="137"/>
        <v>0</v>
      </c>
    </row>
    <row r="831" spans="1:5" ht="15" x14ac:dyDescent="0.2">
      <c r="A831" s="7">
        <v>190406</v>
      </c>
      <c r="B831" s="3" t="s">
        <v>554</v>
      </c>
      <c r="C831" s="25">
        <v>0</v>
      </c>
      <c r="D831" s="25">
        <v>0</v>
      </c>
      <c r="E831" s="18">
        <f t="shared" si="137"/>
        <v>0</v>
      </c>
    </row>
    <row r="832" spans="1:5" ht="15" x14ac:dyDescent="0.2">
      <c r="A832" s="7">
        <v>190407</v>
      </c>
      <c r="B832" s="3" t="s">
        <v>555</v>
      </c>
      <c r="C832" s="25">
        <v>0</v>
      </c>
      <c r="D832" s="25">
        <v>0</v>
      </c>
      <c r="E832" s="18">
        <f t="shared" si="137"/>
        <v>0</v>
      </c>
    </row>
    <row r="833" spans="1:5" ht="15" x14ac:dyDescent="0.2">
      <c r="A833" s="7">
        <v>190408</v>
      </c>
      <c r="B833" s="3" t="s">
        <v>559</v>
      </c>
      <c r="C833" s="25">
        <v>0</v>
      </c>
      <c r="D833" s="25">
        <v>0</v>
      </c>
      <c r="E833" s="18">
        <f t="shared" si="137"/>
        <v>0</v>
      </c>
    </row>
    <row r="834" spans="1:5" ht="15" x14ac:dyDescent="0.2">
      <c r="A834" s="7">
        <v>190409</v>
      </c>
      <c r="B834" s="3" t="s">
        <v>560</v>
      </c>
      <c r="C834" s="25">
        <v>0</v>
      </c>
      <c r="D834" s="25">
        <v>0</v>
      </c>
      <c r="E834" s="18">
        <f t="shared" si="137"/>
        <v>0</v>
      </c>
    </row>
    <row r="835" spans="1:5" ht="15" x14ac:dyDescent="0.2">
      <c r="A835" s="7">
        <v>190410</v>
      </c>
      <c r="B835" s="3" t="s">
        <v>556</v>
      </c>
      <c r="C835" s="25">
        <v>0</v>
      </c>
      <c r="D835" s="25">
        <v>0</v>
      </c>
      <c r="E835" s="18">
        <f t="shared" si="137"/>
        <v>0</v>
      </c>
    </row>
    <row r="836" spans="1:5" ht="15" x14ac:dyDescent="0.2">
      <c r="A836" s="6">
        <v>1905</v>
      </c>
      <c r="B836" s="2" t="s">
        <v>561</v>
      </c>
      <c r="C836" s="24">
        <f>SUM(C837:C852)</f>
        <v>0</v>
      </c>
      <c r="D836" s="24">
        <f t="shared" ref="D836:E836" si="138">SUM(D837:D852)</f>
        <v>0</v>
      </c>
      <c r="E836" s="17">
        <f t="shared" si="138"/>
        <v>0</v>
      </c>
    </row>
    <row r="837" spans="1:5" ht="15" x14ac:dyDescent="0.2">
      <c r="A837" s="7">
        <v>190501</v>
      </c>
      <c r="B837" s="3" t="s">
        <v>562</v>
      </c>
      <c r="C837" s="25">
        <v>0</v>
      </c>
      <c r="D837" s="25">
        <v>0</v>
      </c>
      <c r="E837" s="18">
        <f t="shared" ref="E837:E852" si="139">SUM(C837:D837)</f>
        <v>0</v>
      </c>
    </row>
    <row r="838" spans="1:5" ht="15" x14ac:dyDescent="0.2">
      <c r="A838" s="7">
        <v>190502</v>
      </c>
      <c r="B838" s="3" t="s">
        <v>563</v>
      </c>
      <c r="C838" s="25">
        <v>0</v>
      </c>
      <c r="D838" s="25">
        <v>0</v>
      </c>
      <c r="E838" s="18">
        <f t="shared" si="139"/>
        <v>0</v>
      </c>
    </row>
    <row r="839" spans="1:5" ht="15" x14ac:dyDescent="0.2">
      <c r="A839" s="7">
        <v>190503</v>
      </c>
      <c r="B839" s="3" t="s">
        <v>231</v>
      </c>
      <c r="C839" s="25">
        <v>0</v>
      </c>
      <c r="D839" s="25">
        <v>0</v>
      </c>
      <c r="E839" s="18">
        <f t="shared" si="139"/>
        <v>0</v>
      </c>
    </row>
    <row r="840" spans="1:5" ht="15" x14ac:dyDescent="0.2">
      <c r="A840" s="7">
        <v>190504</v>
      </c>
      <c r="B840" s="3" t="s">
        <v>256</v>
      </c>
      <c r="C840" s="25">
        <v>0</v>
      </c>
      <c r="D840" s="25">
        <v>0</v>
      </c>
      <c r="E840" s="18">
        <f t="shared" si="139"/>
        <v>0</v>
      </c>
    </row>
    <row r="841" spans="1:5" ht="15" x14ac:dyDescent="0.2">
      <c r="A841" s="7">
        <v>190505</v>
      </c>
      <c r="B841" s="3" t="s">
        <v>564</v>
      </c>
      <c r="C841" s="25">
        <v>0</v>
      </c>
      <c r="D841" s="25">
        <v>0</v>
      </c>
      <c r="E841" s="18">
        <f t="shared" si="139"/>
        <v>0</v>
      </c>
    </row>
    <row r="842" spans="1:5" ht="15" x14ac:dyDescent="0.2">
      <c r="A842" s="7">
        <v>190506</v>
      </c>
      <c r="B842" s="3" t="s">
        <v>242</v>
      </c>
      <c r="C842" s="25">
        <v>0</v>
      </c>
      <c r="D842" s="25">
        <v>0</v>
      </c>
      <c r="E842" s="18">
        <f t="shared" si="139"/>
        <v>0</v>
      </c>
    </row>
    <row r="843" spans="1:5" ht="15" x14ac:dyDescent="0.2">
      <c r="A843" s="7">
        <v>190508</v>
      </c>
      <c r="B843" s="3" t="s">
        <v>565</v>
      </c>
      <c r="C843" s="25">
        <v>0</v>
      </c>
      <c r="D843" s="25">
        <v>0</v>
      </c>
      <c r="E843" s="18">
        <f t="shared" si="139"/>
        <v>0</v>
      </c>
    </row>
    <row r="844" spans="1:5" ht="15" x14ac:dyDescent="0.2">
      <c r="A844" s="7">
        <v>190509</v>
      </c>
      <c r="B844" s="3" t="s">
        <v>566</v>
      </c>
      <c r="C844" s="25">
        <v>0</v>
      </c>
      <c r="D844" s="25">
        <v>0</v>
      </c>
      <c r="E844" s="18">
        <f t="shared" si="139"/>
        <v>0</v>
      </c>
    </row>
    <row r="845" spans="1:5" ht="15" x14ac:dyDescent="0.2">
      <c r="A845" s="7">
        <v>190510</v>
      </c>
      <c r="B845" s="3" t="s">
        <v>567</v>
      </c>
      <c r="C845" s="25">
        <v>0</v>
      </c>
      <c r="D845" s="25">
        <v>0</v>
      </c>
      <c r="E845" s="18">
        <f t="shared" si="139"/>
        <v>0</v>
      </c>
    </row>
    <row r="846" spans="1:5" ht="15" x14ac:dyDescent="0.2">
      <c r="A846" s="7">
        <v>190511</v>
      </c>
      <c r="B846" s="3" t="s">
        <v>568</v>
      </c>
      <c r="C846" s="25">
        <v>0</v>
      </c>
      <c r="D846" s="25">
        <v>0</v>
      </c>
      <c r="E846" s="18">
        <f t="shared" si="139"/>
        <v>0</v>
      </c>
    </row>
    <row r="847" spans="1:5" ht="15" x14ac:dyDescent="0.2">
      <c r="A847" s="7">
        <v>190512</v>
      </c>
      <c r="B847" s="3" t="s">
        <v>569</v>
      </c>
      <c r="C847" s="25">
        <v>0</v>
      </c>
      <c r="D847" s="25">
        <v>0</v>
      </c>
      <c r="E847" s="18">
        <f t="shared" si="139"/>
        <v>0</v>
      </c>
    </row>
    <row r="848" spans="1:5" ht="15" x14ac:dyDescent="0.2">
      <c r="A848" s="7">
        <v>190513</v>
      </c>
      <c r="B848" s="3" t="s">
        <v>570</v>
      </c>
      <c r="C848" s="25">
        <v>0</v>
      </c>
      <c r="D848" s="25">
        <v>0</v>
      </c>
      <c r="E848" s="18">
        <f t="shared" si="139"/>
        <v>0</v>
      </c>
    </row>
    <row r="849" spans="1:5" ht="15" x14ac:dyDescent="0.2">
      <c r="A849" s="7">
        <v>190514</v>
      </c>
      <c r="B849" s="3" t="s">
        <v>571</v>
      </c>
      <c r="C849" s="25">
        <v>0</v>
      </c>
      <c r="D849" s="25">
        <v>0</v>
      </c>
      <c r="E849" s="18">
        <f t="shared" si="139"/>
        <v>0</v>
      </c>
    </row>
    <row r="850" spans="1:5" ht="15" x14ac:dyDescent="0.2">
      <c r="A850" s="7">
        <v>190515</v>
      </c>
      <c r="B850" s="3" t="s">
        <v>572</v>
      </c>
      <c r="C850" s="25">
        <v>0</v>
      </c>
      <c r="D850" s="25">
        <v>0</v>
      </c>
      <c r="E850" s="18">
        <f t="shared" si="139"/>
        <v>0</v>
      </c>
    </row>
    <row r="851" spans="1:5" ht="15" x14ac:dyDescent="0.2">
      <c r="A851" s="7">
        <v>190516</v>
      </c>
      <c r="B851" s="3" t="s">
        <v>573</v>
      </c>
      <c r="C851" s="25">
        <v>0</v>
      </c>
      <c r="D851" s="25">
        <v>0</v>
      </c>
      <c r="E851" s="18">
        <f t="shared" si="139"/>
        <v>0</v>
      </c>
    </row>
    <row r="852" spans="1:5" ht="15" x14ac:dyDescent="0.2">
      <c r="A852" s="7">
        <v>190590</v>
      </c>
      <c r="B852" s="3" t="s">
        <v>574</v>
      </c>
      <c r="C852" s="25">
        <v>0</v>
      </c>
      <c r="D852" s="25">
        <v>0</v>
      </c>
      <c r="E852" s="18">
        <f t="shared" si="139"/>
        <v>0</v>
      </c>
    </row>
    <row r="853" spans="1:5" ht="15" x14ac:dyDescent="0.2">
      <c r="A853" s="6">
        <v>1906</v>
      </c>
      <c r="B853" s="2" t="s">
        <v>575</v>
      </c>
      <c r="C853" s="24">
        <f>SUM(C854:C858)</f>
        <v>0</v>
      </c>
      <c r="D853" s="24">
        <f t="shared" ref="D853:E853" si="140">SUM(D854:D858)</f>
        <v>0</v>
      </c>
      <c r="E853" s="17">
        <f t="shared" si="140"/>
        <v>0</v>
      </c>
    </row>
    <row r="854" spans="1:5" ht="15" x14ac:dyDescent="0.2">
      <c r="A854" s="7">
        <v>190601</v>
      </c>
      <c r="B854" s="3" t="s">
        <v>576</v>
      </c>
      <c r="C854" s="25">
        <v>0</v>
      </c>
      <c r="D854" s="25">
        <v>0</v>
      </c>
      <c r="E854" s="18">
        <f t="shared" ref="E854:E858" si="141">SUM(C854:D854)</f>
        <v>0</v>
      </c>
    </row>
    <row r="855" spans="1:5" ht="15" x14ac:dyDescent="0.2">
      <c r="A855" s="7">
        <v>190602</v>
      </c>
      <c r="B855" s="3" t="s">
        <v>577</v>
      </c>
      <c r="C855" s="25">
        <v>0</v>
      </c>
      <c r="D855" s="25">
        <v>0</v>
      </c>
      <c r="E855" s="18">
        <f t="shared" si="141"/>
        <v>0</v>
      </c>
    </row>
    <row r="856" spans="1:5" ht="15" x14ac:dyDescent="0.2">
      <c r="A856" s="7">
        <v>190603</v>
      </c>
      <c r="B856" s="3" t="s">
        <v>578</v>
      </c>
      <c r="C856" s="25">
        <v>0</v>
      </c>
      <c r="D856" s="25">
        <v>0</v>
      </c>
      <c r="E856" s="18">
        <f t="shared" si="141"/>
        <v>0</v>
      </c>
    </row>
    <row r="857" spans="1:5" ht="15" x14ac:dyDescent="0.2">
      <c r="A857" s="7">
        <v>190604</v>
      </c>
      <c r="B857" s="3" t="s">
        <v>579</v>
      </c>
      <c r="C857" s="25">
        <v>0</v>
      </c>
      <c r="D857" s="25">
        <v>0</v>
      </c>
      <c r="E857" s="18">
        <f t="shared" si="141"/>
        <v>0</v>
      </c>
    </row>
    <row r="858" spans="1:5" ht="15" x14ac:dyDescent="0.2">
      <c r="A858" s="7">
        <v>190690</v>
      </c>
      <c r="B858" s="3" t="s">
        <v>580</v>
      </c>
      <c r="C858" s="25">
        <v>0</v>
      </c>
      <c r="D858" s="25">
        <v>0</v>
      </c>
      <c r="E858" s="18">
        <f t="shared" si="141"/>
        <v>0</v>
      </c>
    </row>
    <row r="859" spans="1:5" ht="15" x14ac:dyDescent="0.2">
      <c r="A859" s="6">
        <v>1907</v>
      </c>
      <c r="B859" s="2" t="s">
        <v>581</v>
      </c>
      <c r="C859" s="24">
        <f>SUM(C860:C869)</f>
        <v>0</v>
      </c>
      <c r="D859" s="24">
        <f t="shared" ref="D859:E859" si="142">SUM(D860:D869)</f>
        <v>0</v>
      </c>
      <c r="E859" s="17">
        <f t="shared" si="142"/>
        <v>0</v>
      </c>
    </row>
    <row r="860" spans="1:5" ht="15" x14ac:dyDescent="0.2">
      <c r="A860" s="7">
        <v>190701</v>
      </c>
      <c r="B860" s="3" t="s">
        <v>582</v>
      </c>
      <c r="C860" s="25">
        <v>0</v>
      </c>
      <c r="D860" s="25">
        <v>0</v>
      </c>
      <c r="E860" s="18">
        <f t="shared" ref="E860:E869" si="143">SUM(C860:D860)</f>
        <v>0</v>
      </c>
    </row>
    <row r="861" spans="1:5" ht="15" x14ac:dyDescent="0.2">
      <c r="A861" s="7">
        <v>190702</v>
      </c>
      <c r="B861" s="3" t="s">
        <v>583</v>
      </c>
      <c r="C861" s="25">
        <v>0</v>
      </c>
      <c r="D861" s="25">
        <v>0</v>
      </c>
      <c r="E861" s="18">
        <f t="shared" si="143"/>
        <v>0</v>
      </c>
    </row>
    <row r="862" spans="1:5" ht="15" x14ac:dyDescent="0.2">
      <c r="A862" s="7">
        <v>190703</v>
      </c>
      <c r="B862" s="3" t="s">
        <v>584</v>
      </c>
      <c r="C862" s="25">
        <v>0</v>
      </c>
      <c r="D862" s="25">
        <v>0</v>
      </c>
      <c r="E862" s="18">
        <f t="shared" si="143"/>
        <v>0</v>
      </c>
    </row>
    <row r="863" spans="1:5" ht="15" x14ac:dyDescent="0.2">
      <c r="A863" s="7">
        <v>190704</v>
      </c>
      <c r="B863" s="3" t="s">
        <v>585</v>
      </c>
      <c r="C863" s="25">
        <v>0</v>
      </c>
      <c r="D863" s="25">
        <v>0</v>
      </c>
      <c r="E863" s="18">
        <f t="shared" si="143"/>
        <v>0</v>
      </c>
    </row>
    <row r="864" spans="1:5" ht="15" x14ac:dyDescent="0.2">
      <c r="A864" s="7">
        <v>190705</v>
      </c>
      <c r="B864" s="3" t="s">
        <v>586</v>
      </c>
      <c r="C864" s="25">
        <v>0</v>
      </c>
      <c r="D864" s="25">
        <v>0</v>
      </c>
      <c r="E864" s="18">
        <f t="shared" si="143"/>
        <v>0</v>
      </c>
    </row>
    <row r="865" spans="1:5" ht="15" x14ac:dyDescent="0.2">
      <c r="A865" s="7">
        <v>190706</v>
      </c>
      <c r="B865" s="3" t="s">
        <v>587</v>
      </c>
      <c r="C865" s="25">
        <v>0</v>
      </c>
      <c r="D865" s="25">
        <v>0</v>
      </c>
      <c r="E865" s="18">
        <f t="shared" si="143"/>
        <v>0</v>
      </c>
    </row>
    <row r="866" spans="1:5" ht="15" x14ac:dyDescent="0.2">
      <c r="A866" s="7">
        <v>190708</v>
      </c>
      <c r="B866" s="3" t="s">
        <v>588</v>
      </c>
      <c r="C866" s="25">
        <v>0</v>
      </c>
      <c r="D866" s="25">
        <v>0</v>
      </c>
      <c r="E866" s="18">
        <f t="shared" si="143"/>
        <v>0</v>
      </c>
    </row>
    <row r="867" spans="1:5" ht="15" x14ac:dyDescent="0.2">
      <c r="A867" s="7">
        <v>190709</v>
      </c>
      <c r="B867" s="3" t="s">
        <v>589</v>
      </c>
      <c r="C867" s="25">
        <v>0</v>
      </c>
      <c r="D867" s="25">
        <v>0</v>
      </c>
      <c r="E867" s="18">
        <f t="shared" si="143"/>
        <v>0</v>
      </c>
    </row>
    <row r="868" spans="1:5" ht="15" x14ac:dyDescent="0.2">
      <c r="A868" s="7">
        <v>190711</v>
      </c>
      <c r="B868" s="3" t="s">
        <v>590</v>
      </c>
      <c r="C868" s="25">
        <v>0</v>
      </c>
      <c r="D868" s="25">
        <v>0</v>
      </c>
      <c r="E868" s="18">
        <f t="shared" si="143"/>
        <v>0</v>
      </c>
    </row>
    <row r="869" spans="1:5" ht="15" x14ac:dyDescent="0.2">
      <c r="A869" s="7">
        <v>190790</v>
      </c>
      <c r="B869" s="3" t="s">
        <v>591</v>
      </c>
      <c r="C869" s="25">
        <v>0</v>
      </c>
      <c r="D869" s="25">
        <v>0</v>
      </c>
      <c r="E869" s="18">
        <f t="shared" si="143"/>
        <v>0</v>
      </c>
    </row>
    <row r="870" spans="1:5" ht="15" x14ac:dyDescent="0.2">
      <c r="A870" s="6">
        <v>1908</v>
      </c>
      <c r="B870" s="2" t="s">
        <v>592</v>
      </c>
      <c r="C870" s="24">
        <f>SUM(C871:C874)</f>
        <v>0</v>
      </c>
      <c r="D870" s="24">
        <f t="shared" ref="D870:E870" si="144">SUM(D871:D874)</f>
        <v>0</v>
      </c>
      <c r="E870" s="17">
        <f t="shared" si="144"/>
        <v>0</v>
      </c>
    </row>
    <row r="871" spans="1:5" ht="15" x14ac:dyDescent="0.2">
      <c r="A871" s="7">
        <v>190801</v>
      </c>
      <c r="B871" s="3" t="s">
        <v>593</v>
      </c>
      <c r="C871" s="25">
        <v>0</v>
      </c>
      <c r="D871" s="25">
        <v>0</v>
      </c>
      <c r="E871" s="18">
        <f t="shared" ref="E871:E874" si="145">SUM(C871:D871)</f>
        <v>0</v>
      </c>
    </row>
    <row r="872" spans="1:5" ht="15" x14ac:dyDescent="0.2">
      <c r="A872" s="7">
        <v>190802</v>
      </c>
      <c r="B872" s="3" t="s">
        <v>594</v>
      </c>
      <c r="C872" s="25">
        <v>0</v>
      </c>
      <c r="D872" s="25">
        <v>0</v>
      </c>
      <c r="E872" s="18">
        <f t="shared" si="145"/>
        <v>0</v>
      </c>
    </row>
    <row r="873" spans="1:5" ht="15" x14ac:dyDescent="0.2">
      <c r="A873" s="7">
        <v>190803</v>
      </c>
      <c r="B873" s="3" t="s">
        <v>595</v>
      </c>
      <c r="C873" s="25">
        <v>0</v>
      </c>
      <c r="D873" s="25">
        <v>0</v>
      </c>
      <c r="E873" s="18">
        <f t="shared" si="145"/>
        <v>0</v>
      </c>
    </row>
    <row r="874" spans="1:5" ht="15" x14ac:dyDescent="0.2">
      <c r="A874" s="7">
        <v>190804</v>
      </c>
      <c r="B874" s="3" t="s">
        <v>596</v>
      </c>
      <c r="C874" s="25">
        <v>0</v>
      </c>
      <c r="D874" s="25">
        <v>0</v>
      </c>
      <c r="E874" s="18">
        <f t="shared" si="145"/>
        <v>0</v>
      </c>
    </row>
    <row r="875" spans="1:5" ht="15" x14ac:dyDescent="0.2">
      <c r="A875" s="6">
        <v>1909</v>
      </c>
      <c r="B875" s="2" t="s">
        <v>597</v>
      </c>
      <c r="C875" s="24">
        <f>SUM(C876:C884)</f>
        <v>0</v>
      </c>
      <c r="D875" s="24">
        <f t="shared" ref="D875:E875" si="146">SUM(D876:D884)</f>
        <v>0</v>
      </c>
      <c r="E875" s="17">
        <f t="shared" si="146"/>
        <v>0</v>
      </c>
    </row>
    <row r="876" spans="1:5" ht="15" x14ac:dyDescent="0.2">
      <c r="A876" s="7">
        <v>190901</v>
      </c>
      <c r="B876" s="3" t="s">
        <v>598</v>
      </c>
      <c r="C876" s="25">
        <v>0</v>
      </c>
      <c r="D876" s="25">
        <v>0</v>
      </c>
      <c r="E876" s="18">
        <f t="shared" ref="E876:E884" si="147">SUM(C876:D876)</f>
        <v>0</v>
      </c>
    </row>
    <row r="877" spans="1:5" ht="15" x14ac:dyDescent="0.2">
      <c r="A877" s="7">
        <v>190902</v>
      </c>
      <c r="B877" s="3" t="s">
        <v>599</v>
      </c>
      <c r="C877" s="25">
        <v>0</v>
      </c>
      <c r="D877" s="25">
        <v>0</v>
      </c>
      <c r="E877" s="18">
        <f t="shared" si="147"/>
        <v>0</v>
      </c>
    </row>
    <row r="878" spans="1:5" ht="15" x14ac:dyDescent="0.2">
      <c r="A878" s="7">
        <v>190903</v>
      </c>
      <c r="B878" s="3" t="s">
        <v>600</v>
      </c>
      <c r="C878" s="25">
        <v>0</v>
      </c>
      <c r="D878" s="25">
        <v>0</v>
      </c>
      <c r="E878" s="18">
        <f t="shared" si="147"/>
        <v>0</v>
      </c>
    </row>
    <row r="879" spans="1:5" ht="15" x14ac:dyDescent="0.2">
      <c r="A879" s="7">
        <v>190904</v>
      </c>
      <c r="B879" s="3" t="s">
        <v>601</v>
      </c>
      <c r="C879" s="25">
        <v>0</v>
      </c>
      <c r="D879" s="25">
        <v>0</v>
      </c>
      <c r="E879" s="18">
        <f t="shared" si="147"/>
        <v>0</v>
      </c>
    </row>
    <row r="880" spans="1:5" ht="15" x14ac:dyDescent="0.2">
      <c r="A880" s="7">
        <v>190905</v>
      </c>
      <c r="B880" s="3" t="s">
        <v>602</v>
      </c>
      <c r="C880" s="25">
        <v>0</v>
      </c>
      <c r="D880" s="25">
        <v>0</v>
      </c>
      <c r="E880" s="18">
        <f t="shared" si="147"/>
        <v>0</v>
      </c>
    </row>
    <row r="881" spans="1:5" ht="15" x14ac:dyDescent="0.2">
      <c r="A881" s="7">
        <v>190906</v>
      </c>
      <c r="B881" s="3" t="s">
        <v>603</v>
      </c>
      <c r="C881" s="25">
        <v>0</v>
      </c>
      <c r="D881" s="25">
        <v>0</v>
      </c>
      <c r="E881" s="18">
        <f t="shared" si="147"/>
        <v>0</v>
      </c>
    </row>
    <row r="882" spans="1:5" ht="15" x14ac:dyDescent="0.2">
      <c r="A882" s="7">
        <v>190907</v>
      </c>
      <c r="B882" s="3" t="s">
        <v>604</v>
      </c>
      <c r="C882" s="25">
        <v>0</v>
      </c>
      <c r="D882" s="25">
        <v>0</v>
      </c>
      <c r="E882" s="18">
        <f t="shared" si="147"/>
        <v>0</v>
      </c>
    </row>
    <row r="883" spans="1:5" ht="15" x14ac:dyDescent="0.2">
      <c r="A883" s="7">
        <v>190911</v>
      </c>
      <c r="B883" s="3" t="s">
        <v>605</v>
      </c>
      <c r="C883" s="25">
        <v>0</v>
      </c>
      <c r="D883" s="25">
        <v>0</v>
      </c>
      <c r="E883" s="18">
        <f t="shared" si="147"/>
        <v>0</v>
      </c>
    </row>
    <row r="884" spans="1:5" ht="15" x14ac:dyDescent="0.2">
      <c r="A884" s="7">
        <v>190990</v>
      </c>
      <c r="B884" s="3" t="s">
        <v>606</v>
      </c>
      <c r="C884" s="25">
        <v>0</v>
      </c>
      <c r="D884" s="25">
        <v>0</v>
      </c>
      <c r="E884" s="18">
        <f t="shared" si="147"/>
        <v>0</v>
      </c>
    </row>
    <row r="885" spans="1:5" ht="15" x14ac:dyDescent="0.2">
      <c r="A885" s="6">
        <v>1926</v>
      </c>
      <c r="B885" s="2" t="s">
        <v>607</v>
      </c>
      <c r="C885" s="24">
        <f>SUM(C886)</f>
        <v>0</v>
      </c>
      <c r="D885" s="24">
        <f t="shared" ref="D885:E885" si="148">SUM(D886)</f>
        <v>0</v>
      </c>
      <c r="E885" s="17">
        <f t="shared" si="148"/>
        <v>0</v>
      </c>
    </row>
    <row r="886" spans="1:5" ht="15" x14ac:dyDescent="0.2">
      <c r="A886" s="7">
        <v>192603</v>
      </c>
      <c r="B886" s="3" t="s">
        <v>608</v>
      </c>
      <c r="C886" s="25">
        <v>0</v>
      </c>
      <c r="D886" s="25">
        <v>0</v>
      </c>
      <c r="E886" s="18">
        <f t="shared" ref="E886" si="149">SUM(C886:D886)</f>
        <v>0</v>
      </c>
    </row>
    <row r="887" spans="1:5" ht="15" x14ac:dyDescent="0.2">
      <c r="A887" s="6">
        <v>1951</v>
      </c>
      <c r="B887" s="2" t="s">
        <v>609</v>
      </c>
      <c r="C887" s="24">
        <f>SUM(C888:C891)</f>
        <v>0</v>
      </c>
      <c r="D887" s="24">
        <f t="shared" ref="D887:E887" si="150">SUM(D888:D891)</f>
        <v>0</v>
      </c>
      <c r="E887" s="17">
        <f t="shared" si="150"/>
        <v>0</v>
      </c>
    </row>
    <row r="888" spans="1:5" ht="15" x14ac:dyDescent="0.2">
      <c r="A888" s="7">
        <v>195101</v>
      </c>
      <c r="B888" s="3" t="s">
        <v>306</v>
      </c>
      <c r="C888" s="25">
        <v>0</v>
      </c>
      <c r="D888" s="25">
        <v>0</v>
      </c>
      <c r="E888" s="18">
        <f t="shared" ref="E888:E891" si="151">SUM(C888:D888)</f>
        <v>0</v>
      </c>
    </row>
    <row r="889" spans="1:5" ht="15" x14ac:dyDescent="0.2">
      <c r="A889" s="7">
        <v>195102</v>
      </c>
      <c r="B889" s="3" t="s">
        <v>385</v>
      </c>
      <c r="C889" s="25">
        <v>0</v>
      </c>
      <c r="D889" s="25">
        <v>0</v>
      </c>
      <c r="E889" s="18">
        <f t="shared" si="151"/>
        <v>0</v>
      </c>
    </row>
    <row r="890" spans="1:5" ht="15" x14ac:dyDescent="0.2">
      <c r="A890" s="7">
        <v>195103</v>
      </c>
      <c r="B890" s="3" t="s">
        <v>610</v>
      </c>
      <c r="C890" s="25">
        <v>0</v>
      </c>
      <c r="D890" s="25">
        <v>0</v>
      </c>
      <c r="E890" s="18">
        <f t="shared" si="151"/>
        <v>0</v>
      </c>
    </row>
    <row r="891" spans="1:5" ht="15" x14ac:dyDescent="0.2">
      <c r="A891" s="7">
        <v>195104</v>
      </c>
      <c r="B891" s="3" t="s">
        <v>611</v>
      </c>
      <c r="C891" s="25">
        <v>0</v>
      </c>
      <c r="D891" s="25">
        <v>0</v>
      </c>
      <c r="E891" s="18">
        <f t="shared" si="151"/>
        <v>0</v>
      </c>
    </row>
    <row r="892" spans="1:5" ht="15" x14ac:dyDescent="0.2">
      <c r="A892" s="6">
        <v>1952</v>
      </c>
      <c r="B892" s="2" t="s">
        <v>612</v>
      </c>
      <c r="C892" s="24">
        <f>SUM(C893:C894)</f>
        <v>0</v>
      </c>
      <c r="D892" s="24">
        <f t="shared" ref="D892:E892" si="152">SUM(D893:D894)</f>
        <v>0</v>
      </c>
      <c r="E892" s="17">
        <f t="shared" si="152"/>
        <v>0</v>
      </c>
    </row>
    <row r="893" spans="1:5" ht="15" x14ac:dyDescent="0.2">
      <c r="A893" s="7">
        <v>195201</v>
      </c>
      <c r="B893" s="3" t="s">
        <v>385</v>
      </c>
      <c r="C893" s="25">
        <v>0</v>
      </c>
      <c r="D893" s="25">
        <v>0</v>
      </c>
      <c r="E893" s="18">
        <f t="shared" ref="E893:E894" si="153">SUM(C893:D893)</f>
        <v>0</v>
      </c>
    </row>
    <row r="894" spans="1:5" ht="15" x14ac:dyDescent="0.2">
      <c r="A894" s="7">
        <v>195202</v>
      </c>
      <c r="B894" s="3" t="s">
        <v>611</v>
      </c>
      <c r="C894" s="25">
        <v>0</v>
      </c>
      <c r="D894" s="25">
        <v>0</v>
      </c>
      <c r="E894" s="18">
        <f t="shared" si="153"/>
        <v>0</v>
      </c>
    </row>
    <row r="895" spans="1:5" ht="15" x14ac:dyDescent="0.2">
      <c r="A895" s="6">
        <v>1953</v>
      </c>
      <c r="B895" s="2" t="s">
        <v>613</v>
      </c>
      <c r="C895" s="24">
        <f>SUM(C896:C899)</f>
        <v>0</v>
      </c>
      <c r="D895" s="24">
        <f t="shared" ref="D895:E895" si="154">SUM(D896:D899)</f>
        <v>0</v>
      </c>
      <c r="E895" s="17">
        <f t="shared" si="154"/>
        <v>0</v>
      </c>
    </row>
    <row r="896" spans="1:5" ht="15" x14ac:dyDescent="0.2">
      <c r="A896" s="7">
        <v>195301</v>
      </c>
      <c r="B896" s="3" t="s">
        <v>306</v>
      </c>
      <c r="C896" s="25">
        <v>0</v>
      </c>
      <c r="D896" s="25">
        <v>0</v>
      </c>
      <c r="E896" s="18">
        <f t="shared" ref="E896:E899" si="155">SUM(C896:D896)</f>
        <v>0</v>
      </c>
    </row>
    <row r="897" spans="1:5" ht="15" x14ac:dyDescent="0.2">
      <c r="A897" s="7">
        <v>195302</v>
      </c>
      <c r="B897" s="3" t="s">
        <v>385</v>
      </c>
      <c r="C897" s="25">
        <v>0</v>
      </c>
      <c r="D897" s="25">
        <v>0</v>
      </c>
      <c r="E897" s="18">
        <f t="shared" si="155"/>
        <v>0</v>
      </c>
    </row>
    <row r="898" spans="1:5" ht="15" x14ac:dyDescent="0.2">
      <c r="A898" s="7">
        <v>195303</v>
      </c>
      <c r="B898" s="3" t="s">
        <v>610</v>
      </c>
      <c r="C898" s="25">
        <v>0</v>
      </c>
      <c r="D898" s="25">
        <v>0</v>
      </c>
      <c r="E898" s="18">
        <f t="shared" si="155"/>
        <v>0</v>
      </c>
    </row>
    <row r="899" spans="1:5" ht="15" x14ac:dyDescent="0.2">
      <c r="A899" s="7">
        <v>195304</v>
      </c>
      <c r="B899" s="3" t="s">
        <v>611</v>
      </c>
      <c r="C899" s="25">
        <v>0</v>
      </c>
      <c r="D899" s="25">
        <v>0</v>
      </c>
      <c r="E899" s="18">
        <f t="shared" si="155"/>
        <v>0</v>
      </c>
    </row>
    <row r="900" spans="1:5" ht="15" x14ac:dyDescent="0.2">
      <c r="A900" s="6">
        <v>1970</v>
      </c>
      <c r="B900" s="2" t="s">
        <v>614</v>
      </c>
      <c r="C900" s="24">
        <f>SUM(C901:C910)</f>
        <v>0</v>
      </c>
      <c r="D900" s="24">
        <f t="shared" ref="D900:E900" si="156">SUM(D901:D910)</f>
        <v>0</v>
      </c>
      <c r="E900" s="28">
        <f t="shared" si="156"/>
        <v>0</v>
      </c>
    </row>
    <row r="901" spans="1:5" ht="15" x14ac:dyDescent="0.2">
      <c r="A901" s="7">
        <v>197001</v>
      </c>
      <c r="B901" s="3" t="s">
        <v>615</v>
      </c>
      <c r="C901" s="25">
        <v>0</v>
      </c>
      <c r="D901" s="25">
        <v>0</v>
      </c>
      <c r="E901" s="18">
        <f t="shared" ref="E901:E910" si="157">SUM(C901:D901)</f>
        <v>0</v>
      </c>
    </row>
    <row r="902" spans="1:5" ht="15" x14ac:dyDescent="0.2">
      <c r="A902" s="7">
        <v>197002</v>
      </c>
      <c r="B902" s="3" t="s">
        <v>616</v>
      </c>
      <c r="C902" s="25">
        <v>0</v>
      </c>
      <c r="D902" s="25">
        <v>0</v>
      </c>
      <c r="E902" s="18">
        <f t="shared" si="157"/>
        <v>0</v>
      </c>
    </row>
    <row r="903" spans="1:5" ht="15" x14ac:dyDescent="0.2">
      <c r="A903" s="7">
        <v>197003</v>
      </c>
      <c r="B903" s="3" t="s">
        <v>617</v>
      </c>
      <c r="C903" s="25">
        <v>0</v>
      </c>
      <c r="D903" s="25">
        <v>0</v>
      </c>
      <c r="E903" s="18">
        <f t="shared" si="157"/>
        <v>0</v>
      </c>
    </row>
    <row r="904" spans="1:5" ht="15" x14ac:dyDescent="0.2">
      <c r="A904" s="7">
        <v>197004</v>
      </c>
      <c r="B904" s="3" t="s">
        <v>618</v>
      </c>
      <c r="C904" s="25">
        <v>0</v>
      </c>
      <c r="D904" s="25">
        <v>0</v>
      </c>
      <c r="E904" s="18">
        <f t="shared" si="157"/>
        <v>0</v>
      </c>
    </row>
    <row r="905" spans="1:5" ht="15" x14ac:dyDescent="0.2">
      <c r="A905" s="7">
        <v>197005</v>
      </c>
      <c r="B905" s="3" t="s">
        <v>619</v>
      </c>
      <c r="C905" s="25">
        <v>0</v>
      </c>
      <c r="D905" s="25">
        <v>0</v>
      </c>
      <c r="E905" s="18">
        <f t="shared" si="157"/>
        <v>0</v>
      </c>
    </row>
    <row r="906" spans="1:5" ht="15" x14ac:dyDescent="0.2">
      <c r="A906" s="7">
        <v>197007</v>
      </c>
      <c r="B906" s="3" t="s">
        <v>620</v>
      </c>
      <c r="C906" s="25">
        <v>0</v>
      </c>
      <c r="D906" s="25">
        <v>0</v>
      </c>
      <c r="E906" s="18">
        <f t="shared" si="157"/>
        <v>0</v>
      </c>
    </row>
    <row r="907" spans="1:5" ht="15" x14ac:dyDescent="0.2">
      <c r="A907" s="7">
        <v>197008</v>
      </c>
      <c r="B907" s="3" t="s">
        <v>621</v>
      </c>
      <c r="C907" s="25">
        <v>0</v>
      </c>
      <c r="D907" s="25">
        <v>0</v>
      </c>
      <c r="E907" s="29">
        <f t="shared" si="157"/>
        <v>0</v>
      </c>
    </row>
    <row r="908" spans="1:5" ht="15" x14ac:dyDescent="0.2">
      <c r="A908" s="7">
        <v>197010</v>
      </c>
      <c r="B908" s="3" t="s">
        <v>622</v>
      </c>
      <c r="C908" s="25">
        <v>0</v>
      </c>
      <c r="D908" s="25">
        <v>0</v>
      </c>
      <c r="E908" s="18">
        <f t="shared" si="157"/>
        <v>0</v>
      </c>
    </row>
    <row r="909" spans="1:5" ht="15" x14ac:dyDescent="0.2">
      <c r="A909" s="7">
        <v>197012</v>
      </c>
      <c r="B909" s="3" t="s">
        <v>623</v>
      </c>
      <c r="C909" s="25">
        <v>0</v>
      </c>
      <c r="D909" s="25">
        <v>0</v>
      </c>
      <c r="E909" s="18">
        <f t="shared" si="157"/>
        <v>0</v>
      </c>
    </row>
    <row r="910" spans="1:5" ht="15" x14ac:dyDescent="0.2">
      <c r="A910" s="7">
        <v>197090</v>
      </c>
      <c r="B910" s="3" t="s">
        <v>624</v>
      </c>
      <c r="C910" s="25">
        <v>0</v>
      </c>
      <c r="D910" s="25">
        <v>0</v>
      </c>
      <c r="E910" s="18">
        <f t="shared" si="157"/>
        <v>0</v>
      </c>
    </row>
    <row r="911" spans="1:5" ht="15" x14ac:dyDescent="0.2">
      <c r="A911" s="6">
        <v>1975</v>
      </c>
      <c r="B911" s="2" t="s">
        <v>625</v>
      </c>
      <c r="C911" s="24">
        <f>SUM(C912:C919)</f>
        <v>0</v>
      </c>
      <c r="D911" s="24">
        <f t="shared" ref="D911:E911" si="158">SUM(D912:D919)</f>
        <v>0</v>
      </c>
      <c r="E911" s="28">
        <f t="shared" si="158"/>
        <v>0</v>
      </c>
    </row>
    <row r="912" spans="1:5" ht="15" x14ac:dyDescent="0.2">
      <c r="A912" s="7">
        <v>197502</v>
      </c>
      <c r="B912" s="3" t="s">
        <v>616</v>
      </c>
      <c r="C912" s="25">
        <v>0</v>
      </c>
      <c r="D912" s="25">
        <v>0</v>
      </c>
      <c r="E912" s="18">
        <f t="shared" ref="E912:E919" si="159">SUM(C912:D912)</f>
        <v>0</v>
      </c>
    </row>
    <row r="913" spans="1:5" ht="15" x14ac:dyDescent="0.2">
      <c r="A913" s="7">
        <v>197503</v>
      </c>
      <c r="B913" s="3" t="s">
        <v>617</v>
      </c>
      <c r="C913" s="25">
        <v>0</v>
      </c>
      <c r="D913" s="25">
        <v>0</v>
      </c>
      <c r="E913" s="18">
        <f t="shared" si="159"/>
        <v>0</v>
      </c>
    </row>
    <row r="914" spans="1:5" ht="15" x14ac:dyDescent="0.2">
      <c r="A914" s="7">
        <v>197504</v>
      </c>
      <c r="B914" s="3" t="s">
        <v>618</v>
      </c>
      <c r="C914" s="25">
        <v>0</v>
      </c>
      <c r="D914" s="25">
        <v>0</v>
      </c>
      <c r="E914" s="18">
        <f t="shared" si="159"/>
        <v>0</v>
      </c>
    </row>
    <row r="915" spans="1:5" ht="15" x14ac:dyDescent="0.2">
      <c r="A915" s="7">
        <v>197505</v>
      </c>
      <c r="B915" s="3" t="s">
        <v>619</v>
      </c>
      <c r="C915" s="25">
        <v>0</v>
      </c>
      <c r="D915" s="25">
        <v>0</v>
      </c>
      <c r="E915" s="18">
        <f t="shared" si="159"/>
        <v>0</v>
      </c>
    </row>
    <row r="916" spans="1:5" ht="15" x14ac:dyDescent="0.2">
      <c r="A916" s="7">
        <v>197507</v>
      </c>
      <c r="B916" s="3" t="s">
        <v>620</v>
      </c>
      <c r="C916" s="25">
        <v>0</v>
      </c>
      <c r="D916" s="25">
        <v>0</v>
      </c>
      <c r="E916" s="18">
        <f t="shared" si="159"/>
        <v>0</v>
      </c>
    </row>
    <row r="917" spans="1:5" ht="15" x14ac:dyDescent="0.2">
      <c r="A917" s="7">
        <v>197508</v>
      </c>
      <c r="B917" s="3" t="s">
        <v>621</v>
      </c>
      <c r="C917" s="25">
        <v>0</v>
      </c>
      <c r="D917" s="25">
        <v>0</v>
      </c>
      <c r="E917" s="29">
        <f t="shared" si="159"/>
        <v>0</v>
      </c>
    </row>
    <row r="918" spans="1:5" ht="15" x14ac:dyDescent="0.2">
      <c r="A918" s="7">
        <v>197511</v>
      </c>
      <c r="B918" s="3" t="s">
        <v>623</v>
      </c>
      <c r="C918" s="25">
        <v>0</v>
      </c>
      <c r="D918" s="25">
        <v>0</v>
      </c>
      <c r="E918" s="18">
        <f t="shared" si="159"/>
        <v>0</v>
      </c>
    </row>
    <row r="919" spans="1:5" ht="15" x14ac:dyDescent="0.2">
      <c r="A919" s="7">
        <v>197590</v>
      </c>
      <c r="B919" s="3" t="s">
        <v>624</v>
      </c>
      <c r="C919" s="25">
        <v>0</v>
      </c>
      <c r="D919" s="25">
        <v>0</v>
      </c>
      <c r="E919" s="18">
        <f t="shared" si="159"/>
        <v>0</v>
      </c>
    </row>
    <row r="920" spans="1:5" ht="15" x14ac:dyDescent="0.2">
      <c r="A920" s="6">
        <v>1976</v>
      </c>
      <c r="B920" s="2" t="s">
        <v>626</v>
      </c>
      <c r="C920" s="24">
        <f>SUM(C921:C930)</f>
        <v>0</v>
      </c>
      <c r="D920" s="24">
        <f t="shared" ref="D920:E920" si="160">SUM(D921:D930)</f>
        <v>0</v>
      </c>
      <c r="E920" s="28">
        <f t="shared" si="160"/>
        <v>0</v>
      </c>
    </row>
    <row r="921" spans="1:5" ht="15" x14ac:dyDescent="0.2">
      <c r="A921" s="7">
        <v>197601</v>
      </c>
      <c r="B921" s="3" t="s">
        <v>615</v>
      </c>
      <c r="C921" s="25">
        <v>0</v>
      </c>
      <c r="D921" s="25">
        <v>0</v>
      </c>
      <c r="E921" s="18">
        <f t="shared" ref="E921:E930" si="161">SUM(C921:D921)</f>
        <v>0</v>
      </c>
    </row>
    <row r="922" spans="1:5" ht="15" x14ac:dyDescent="0.2">
      <c r="A922" s="7">
        <v>197602</v>
      </c>
      <c r="B922" s="3" t="s">
        <v>616</v>
      </c>
      <c r="C922" s="25">
        <v>0</v>
      </c>
      <c r="D922" s="25">
        <v>0</v>
      </c>
      <c r="E922" s="18">
        <f t="shared" si="161"/>
        <v>0</v>
      </c>
    </row>
    <row r="923" spans="1:5" ht="15" x14ac:dyDescent="0.2">
      <c r="A923" s="7">
        <v>197603</v>
      </c>
      <c r="B923" s="3" t="s">
        <v>617</v>
      </c>
      <c r="C923" s="25">
        <v>0</v>
      </c>
      <c r="D923" s="25">
        <v>0</v>
      </c>
      <c r="E923" s="18">
        <f t="shared" si="161"/>
        <v>0</v>
      </c>
    </row>
    <row r="924" spans="1:5" ht="15" x14ac:dyDescent="0.2">
      <c r="A924" s="7">
        <v>197604</v>
      </c>
      <c r="B924" s="3" t="s">
        <v>618</v>
      </c>
      <c r="C924" s="25">
        <v>0</v>
      </c>
      <c r="D924" s="25">
        <v>0</v>
      </c>
      <c r="E924" s="18">
        <f t="shared" si="161"/>
        <v>0</v>
      </c>
    </row>
    <row r="925" spans="1:5" ht="15" x14ac:dyDescent="0.2">
      <c r="A925" s="7">
        <v>197605</v>
      </c>
      <c r="B925" s="3" t="s">
        <v>619</v>
      </c>
      <c r="C925" s="25">
        <v>0</v>
      </c>
      <c r="D925" s="25">
        <v>0</v>
      </c>
      <c r="E925" s="18">
        <f t="shared" si="161"/>
        <v>0</v>
      </c>
    </row>
    <row r="926" spans="1:5" ht="15" x14ac:dyDescent="0.2">
      <c r="A926" s="7">
        <v>197606</v>
      </c>
      <c r="B926" s="3" t="s">
        <v>620</v>
      </c>
      <c r="C926" s="25">
        <v>0</v>
      </c>
      <c r="D926" s="25">
        <v>0</v>
      </c>
      <c r="E926" s="18">
        <f t="shared" si="161"/>
        <v>0</v>
      </c>
    </row>
    <row r="927" spans="1:5" ht="15" x14ac:dyDescent="0.2">
      <c r="A927" s="7">
        <v>197607</v>
      </c>
      <c r="B927" s="3" t="s">
        <v>621</v>
      </c>
      <c r="C927" s="25">
        <v>0</v>
      </c>
      <c r="D927" s="25">
        <v>0</v>
      </c>
      <c r="E927" s="29">
        <f t="shared" si="161"/>
        <v>0</v>
      </c>
    </row>
    <row r="928" spans="1:5" ht="15" x14ac:dyDescent="0.2">
      <c r="A928" s="7">
        <v>197609</v>
      </c>
      <c r="B928" s="3" t="s">
        <v>622</v>
      </c>
      <c r="C928" s="25">
        <v>0</v>
      </c>
      <c r="D928" s="25">
        <v>0</v>
      </c>
      <c r="E928" s="18">
        <f t="shared" si="161"/>
        <v>0</v>
      </c>
    </row>
    <row r="929" spans="1:5" ht="15" x14ac:dyDescent="0.2">
      <c r="A929" s="7">
        <v>197611</v>
      </c>
      <c r="B929" s="3" t="s">
        <v>623</v>
      </c>
      <c r="C929" s="25">
        <v>0</v>
      </c>
      <c r="D929" s="25">
        <v>0</v>
      </c>
      <c r="E929" s="18">
        <f t="shared" si="161"/>
        <v>0</v>
      </c>
    </row>
    <row r="930" spans="1:5" ht="15" x14ac:dyDescent="0.2">
      <c r="A930" s="7">
        <v>197690</v>
      </c>
      <c r="B930" s="3" t="s">
        <v>624</v>
      </c>
      <c r="C930" s="25">
        <v>0</v>
      </c>
      <c r="D930" s="25">
        <v>0</v>
      </c>
      <c r="E930" s="18">
        <f t="shared" si="161"/>
        <v>0</v>
      </c>
    </row>
    <row r="931" spans="1:5" ht="15" x14ac:dyDescent="0.2">
      <c r="A931" s="6">
        <v>1980</v>
      </c>
      <c r="B931" s="2" t="s">
        <v>627</v>
      </c>
      <c r="C931" s="24">
        <f>SUM(C932:C935)</f>
        <v>0</v>
      </c>
      <c r="D931" s="24">
        <f t="shared" ref="D931:E931" si="162">SUM(D932:D935)</f>
        <v>0</v>
      </c>
      <c r="E931" s="17">
        <f t="shared" si="162"/>
        <v>0</v>
      </c>
    </row>
    <row r="932" spans="1:5" ht="15" x14ac:dyDescent="0.2">
      <c r="A932" s="7">
        <v>198001</v>
      </c>
      <c r="B932" s="3" t="s">
        <v>628</v>
      </c>
      <c r="C932" s="25">
        <v>0</v>
      </c>
      <c r="D932" s="25">
        <v>0</v>
      </c>
      <c r="E932" s="18">
        <f t="shared" ref="E932:E935" si="163">SUM(C932:D932)</f>
        <v>0</v>
      </c>
    </row>
    <row r="933" spans="1:5" ht="15" x14ac:dyDescent="0.2">
      <c r="A933" s="7">
        <v>198002</v>
      </c>
      <c r="B933" s="3" t="s">
        <v>629</v>
      </c>
      <c r="C933" s="25">
        <v>0</v>
      </c>
      <c r="D933" s="25">
        <v>0</v>
      </c>
      <c r="E933" s="18">
        <f t="shared" si="163"/>
        <v>0</v>
      </c>
    </row>
    <row r="934" spans="1:5" ht="15" x14ac:dyDescent="0.2">
      <c r="A934" s="7">
        <v>198003</v>
      </c>
      <c r="B934" s="3" t="s">
        <v>630</v>
      </c>
      <c r="C934" s="25">
        <v>0</v>
      </c>
      <c r="D934" s="25">
        <v>0</v>
      </c>
      <c r="E934" s="18">
        <f t="shared" si="163"/>
        <v>0</v>
      </c>
    </row>
    <row r="935" spans="1:5" ht="15" x14ac:dyDescent="0.2">
      <c r="A935" s="7">
        <v>198004</v>
      </c>
      <c r="B935" s="3" t="s">
        <v>631</v>
      </c>
      <c r="C935" s="25">
        <v>0</v>
      </c>
      <c r="D935" s="25">
        <v>0</v>
      </c>
      <c r="E935" s="18">
        <f t="shared" si="163"/>
        <v>0</v>
      </c>
    </row>
    <row r="936" spans="1:5" ht="15" x14ac:dyDescent="0.2">
      <c r="A936" s="6">
        <v>1981</v>
      </c>
      <c r="B936" s="2" t="s">
        <v>632</v>
      </c>
      <c r="C936" s="24">
        <f>SUM(C937:C940)</f>
        <v>0</v>
      </c>
      <c r="D936" s="24">
        <f t="shared" ref="D936:E936" si="164">SUM(D937:D940)</f>
        <v>0</v>
      </c>
      <c r="E936" s="17">
        <f t="shared" si="164"/>
        <v>0</v>
      </c>
    </row>
    <row r="937" spans="1:5" ht="15" x14ac:dyDescent="0.2">
      <c r="A937" s="7">
        <v>198101</v>
      </c>
      <c r="B937" s="3" t="s">
        <v>628</v>
      </c>
      <c r="C937" s="25">
        <v>0</v>
      </c>
      <c r="D937" s="25">
        <v>0</v>
      </c>
      <c r="E937" s="18">
        <f t="shared" ref="E937:E940" si="165">SUM(C937:D937)</f>
        <v>0</v>
      </c>
    </row>
    <row r="938" spans="1:5" ht="15" x14ac:dyDescent="0.2">
      <c r="A938" s="7">
        <v>198102</v>
      </c>
      <c r="B938" s="3" t="s">
        <v>629</v>
      </c>
      <c r="C938" s="25">
        <v>0</v>
      </c>
      <c r="D938" s="25">
        <v>0</v>
      </c>
      <c r="E938" s="18">
        <f t="shared" si="165"/>
        <v>0</v>
      </c>
    </row>
    <row r="939" spans="1:5" ht="15" x14ac:dyDescent="0.2">
      <c r="A939" s="7">
        <v>198103</v>
      </c>
      <c r="B939" s="3" t="s">
        <v>630</v>
      </c>
      <c r="C939" s="25">
        <v>0</v>
      </c>
      <c r="D939" s="25">
        <v>0</v>
      </c>
      <c r="E939" s="18">
        <f t="shared" si="165"/>
        <v>0</v>
      </c>
    </row>
    <row r="940" spans="1:5" ht="15" x14ac:dyDescent="0.2">
      <c r="A940" s="7">
        <v>198104</v>
      </c>
      <c r="B940" s="3" t="s">
        <v>631</v>
      </c>
      <c r="C940" s="25">
        <v>0</v>
      </c>
      <c r="D940" s="25">
        <v>0</v>
      </c>
      <c r="E940" s="18">
        <f t="shared" si="165"/>
        <v>0</v>
      </c>
    </row>
    <row r="941" spans="1:5" ht="15" x14ac:dyDescent="0.2">
      <c r="A941" s="6">
        <v>1982</v>
      </c>
      <c r="B941" s="2" t="s">
        <v>633</v>
      </c>
      <c r="C941" s="24">
        <f>SUM(C942:C945)</f>
        <v>0</v>
      </c>
      <c r="D941" s="24">
        <f t="shared" ref="D941:E941" si="166">SUM(D942:D945)</f>
        <v>0</v>
      </c>
      <c r="E941" s="17">
        <f t="shared" si="166"/>
        <v>0</v>
      </c>
    </row>
    <row r="942" spans="1:5" ht="15" x14ac:dyDescent="0.2">
      <c r="A942" s="7">
        <v>198201</v>
      </c>
      <c r="B942" s="3" t="s">
        <v>628</v>
      </c>
      <c r="C942" s="25">
        <v>0</v>
      </c>
      <c r="D942" s="25">
        <v>0</v>
      </c>
      <c r="E942" s="18">
        <f t="shared" ref="E942:E945" si="167">SUM(C942:D942)</f>
        <v>0</v>
      </c>
    </row>
    <row r="943" spans="1:5" ht="15" x14ac:dyDescent="0.2">
      <c r="A943" s="7">
        <v>198202</v>
      </c>
      <c r="B943" s="3" t="s">
        <v>629</v>
      </c>
      <c r="C943" s="25">
        <v>0</v>
      </c>
      <c r="D943" s="25">
        <v>0</v>
      </c>
      <c r="E943" s="18">
        <f t="shared" si="167"/>
        <v>0</v>
      </c>
    </row>
    <row r="944" spans="1:5" ht="15" x14ac:dyDescent="0.2">
      <c r="A944" s="7">
        <v>198203</v>
      </c>
      <c r="B944" s="3" t="s">
        <v>630</v>
      </c>
      <c r="C944" s="25">
        <v>0</v>
      </c>
      <c r="D944" s="25">
        <v>0</v>
      </c>
      <c r="E944" s="18">
        <f t="shared" si="167"/>
        <v>0</v>
      </c>
    </row>
    <row r="945" spans="1:5" ht="15" x14ac:dyDescent="0.2">
      <c r="A945" s="7">
        <v>198204</v>
      </c>
      <c r="B945" s="3" t="s">
        <v>631</v>
      </c>
      <c r="C945" s="25">
        <v>0</v>
      </c>
      <c r="D945" s="25">
        <v>0</v>
      </c>
      <c r="E945" s="18">
        <f t="shared" si="167"/>
        <v>0</v>
      </c>
    </row>
    <row r="946" spans="1:5" ht="15" x14ac:dyDescent="0.2">
      <c r="A946" s="6">
        <v>1983</v>
      </c>
      <c r="B946" s="2" t="s">
        <v>634</v>
      </c>
      <c r="C946" s="24">
        <f>SUM(C947:C950)</f>
        <v>0</v>
      </c>
      <c r="D946" s="24">
        <f t="shared" ref="D946:E946" si="168">SUM(D947:D950)</f>
        <v>0</v>
      </c>
      <c r="E946" s="17">
        <f t="shared" si="168"/>
        <v>0</v>
      </c>
    </row>
    <row r="947" spans="1:5" ht="15" x14ac:dyDescent="0.2">
      <c r="A947" s="7">
        <v>198301</v>
      </c>
      <c r="B947" s="3" t="s">
        <v>628</v>
      </c>
      <c r="C947" s="25">
        <v>0</v>
      </c>
      <c r="D947" s="25">
        <v>0</v>
      </c>
      <c r="E947" s="18">
        <f t="shared" ref="E947:E950" si="169">SUM(C947:D947)</f>
        <v>0</v>
      </c>
    </row>
    <row r="948" spans="1:5" ht="15" x14ac:dyDescent="0.2">
      <c r="A948" s="7">
        <v>198302</v>
      </c>
      <c r="B948" s="3" t="s">
        <v>629</v>
      </c>
      <c r="C948" s="25">
        <v>0</v>
      </c>
      <c r="D948" s="25">
        <v>0</v>
      </c>
      <c r="E948" s="18">
        <f t="shared" si="169"/>
        <v>0</v>
      </c>
    </row>
    <row r="949" spans="1:5" ht="15" x14ac:dyDescent="0.2">
      <c r="A949" s="7">
        <v>198303</v>
      </c>
      <c r="B949" s="3" t="s">
        <v>630</v>
      </c>
      <c r="C949" s="25">
        <v>0</v>
      </c>
      <c r="D949" s="25">
        <v>0</v>
      </c>
      <c r="E949" s="18">
        <f t="shared" si="169"/>
        <v>0</v>
      </c>
    </row>
    <row r="950" spans="1:5" ht="15" x14ac:dyDescent="0.2">
      <c r="A950" s="7">
        <v>198304</v>
      </c>
      <c r="B950" s="3" t="s">
        <v>631</v>
      </c>
      <c r="C950" s="25">
        <v>0</v>
      </c>
      <c r="D950" s="25">
        <v>0</v>
      </c>
      <c r="E950" s="18">
        <f t="shared" si="169"/>
        <v>0</v>
      </c>
    </row>
    <row r="951" spans="1:5" ht="15" x14ac:dyDescent="0.2">
      <c r="A951" s="6">
        <v>1984</v>
      </c>
      <c r="B951" s="2" t="s">
        <v>635</v>
      </c>
      <c r="C951" s="24">
        <f>SUM(C952:C955)</f>
        <v>0</v>
      </c>
      <c r="D951" s="24">
        <f t="shared" ref="D951:E951" si="170">SUM(D952:D955)</f>
        <v>0</v>
      </c>
      <c r="E951" s="17">
        <f t="shared" si="170"/>
        <v>0</v>
      </c>
    </row>
    <row r="952" spans="1:5" ht="15" x14ac:dyDescent="0.2">
      <c r="A952" s="7">
        <v>198401</v>
      </c>
      <c r="B952" s="3" t="s">
        <v>628</v>
      </c>
      <c r="C952" s="25">
        <v>0</v>
      </c>
      <c r="D952" s="25">
        <v>0</v>
      </c>
      <c r="E952" s="18">
        <f t="shared" ref="E952:E955" si="171">SUM(C952:D952)</f>
        <v>0</v>
      </c>
    </row>
    <row r="953" spans="1:5" ht="15" x14ac:dyDescent="0.2">
      <c r="A953" s="7">
        <v>198402</v>
      </c>
      <c r="B953" s="3" t="s">
        <v>629</v>
      </c>
      <c r="C953" s="25">
        <v>0</v>
      </c>
      <c r="D953" s="25">
        <v>0</v>
      </c>
      <c r="E953" s="18">
        <f t="shared" si="171"/>
        <v>0</v>
      </c>
    </row>
    <row r="954" spans="1:5" ht="15" x14ac:dyDescent="0.2">
      <c r="A954" s="7">
        <v>198403</v>
      </c>
      <c r="B954" s="3" t="s">
        <v>630</v>
      </c>
      <c r="C954" s="25">
        <v>0</v>
      </c>
      <c r="D954" s="25">
        <v>0</v>
      </c>
      <c r="E954" s="18">
        <f t="shared" si="171"/>
        <v>0</v>
      </c>
    </row>
    <row r="955" spans="1:5" ht="15" x14ac:dyDescent="0.2">
      <c r="A955" s="7">
        <v>198404</v>
      </c>
      <c r="B955" s="3" t="s">
        <v>631</v>
      </c>
      <c r="C955" s="25">
        <v>0</v>
      </c>
      <c r="D955" s="25">
        <v>0</v>
      </c>
      <c r="E955" s="18">
        <f t="shared" si="171"/>
        <v>0</v>
      </c>
    </row>
    <row r="956" spans="1:5" ht="15" x14ac:dyDescent="0.2">
      <c r="A956" s="6">
        <v>1985</v>
      </c>
      <c r="B956" s="2" t="s">
        <v>636</v>
      </c>
      <c r="C956" s="24">
        <f>SUM(C957:C974)</f>
        <v>0</v>
      </c>
      <c r="D956" s="24">
        <f t="shared" ref="D956:E956" si="172">SUM(D957:D974)</f>
        <v>0</v>
      </c>
      <c r="E956" s="17">
        <f t="shared" si="172"/>
        <v>0</v>
      </c>
    </row>
    <row r="957" spans="1:5" ht="15" x14ac:dyDescent="0.2">
      <c r="A957" s="7">
        <v>198501</v>
      </c>
      <c r="B957" s="3" t="s">
        <v>549</v>
      </c>
      <c r="C957" s="25">
        <v>0</v>
      </c>
      <c r="D957" s="25">
        <v>0</v>
      </c>
      <c r="E957" s="18">
        <f t="shared" ref="E957:E974" si="173">SUM(C957:D957)</f>
        <v>0</v>
      </c>
    </row>
    <row r="958" spans="1:5" ht="15" x14ac:dyDescent="0.2">
      <c r="A958" s="7">
        <v>198502</v>
      </c>
      <c r="B958" s="3" t="s">
        <v>637</v>
      </c>
      <c r="C958" s="25">
        <v>0</v>
      </c>
      <c r="D958" s="25">
        <v>0</v>
      </c>
      <c r="E958" s="18">
        <f t="shared" si="173"/>
        <v>0</v>
      </c>
    </row>
    <row r="959" spans="1:5" ht="15" x14ac:dyDescent="0.2">
      <c r="A959" s="7">
        <v>198503</v>
      </c>
      <c r="B959" s="3" t="s">
        <v>226</v>
      </c>
      <c r="C959" s="25">
        <v>0</v>
      </c>
      <c r="D959" s="25">
        <v>0</v>
      </c>
      <c r="E959" s="18">
        <f t="shared" si="173"/>
        <v>0</v>
      </c>
    </row>
    <row r="960" spans="1:5" ht="15" x14ac:dyDescent="0.2">
      <c r="A960" s="7">
        <v>198504</v>
      </c>
      <c r="B960" s="3" t="s">
        <v>287</v>
      </c>
      <c r="C960" s="25">
        <v>0</v>
      </c>
      <c r="D960" s="25">
        <v>0</v>
      </c>
      <c r="E960" s="18">
        <f t="shared" si="173"/>
        <v>0</v>
      </c>
    </row>
    <row r="961" spans="1:5" ht="15" x14ac:dyDescent="0.2">
      <c r="A961" s="7">
        <v>198505</v>
      </c>
      <c r="B961" s="3" t="s">
        <v>638</v>
      </c>
      <c r="C961" s="25">
        <v>0</v>
      </c>
      <c r="D961" s="25">
        <v>0</v>
      </c>
      <c r="E961" s="18">
        <f t="shared" si="173"/>
        <v>0</v>
      </c>
    </row>
    <row r="962" spans="1:5" ht="15" x14ac:dyDescent="0.2">
      <c r="A962" s="7">
        <v>198506</v>
      </c>
      <c r="B962" s="3" t="s">
        <v>553</v>
      </c>
      <c r="C962" s="25">
        <v>0</v>
      </c>
      <c r="D962" s="25">
        <v>0</v>
      </c>
      <c r="E962" s="18">
        <f t="shared" si="173"/>
        <v>0</v>
      </c>
    </row>
    <row r="963" spans="1:5" ht="15" x14ac:dyDescent="0.2">
      <c r="A963" s="7">
        <v>198507</v>
      </c>
      <c r="B963" s="3" t="s">
        <v>639</v>
      </c>
      <c r="C963" s="25">
        <v>0</v>
      </c>
      <c r="D963" s="25">
        <v>0</v>
      </c>
      <c r="E963" s="18">
        <f t="shared" si="173"/>
        <v>0</v>
      </c>
    </row>
    <row r="964" spans="1:5" ht="15" x14ac:dyDescent="0.2">
      <c r="A964" s="7">
        <v>198508</v>
      </c>
      <c r="B964" s="3" t="s">
        <v>554</v>
      </c>
      <c r="C964" s="25">
        <v>0</v>
      </c>
      <c r="D964" s="25">
        <v>0</v>
      </c>
      <c r="E964" s="18">
        <f t="shared" si="173"/>
        <v>0</v>
      </c>
    </row>
    <row r="965" spans="1:5" ht="15" x14ac:dyDescent="0.2">
      <c r="A965" s="7">
        <v>198509</v>
      </c>
      <c r="B965" s="3" t="s">
        <v>640</v>
      </c>
      <c r="C965" s="25">
        <v>0</v>
      </c>
      <c r="D965" s="25">
        <v>0</v>
      </c>
      <c r="E965" s="18">
        <f t="shared" si="173"/>
        <v>0</v>
      </c>
    </row>
    <row r="966" spans="1:5" ht="15" x14ac:dyDescent="0.2">
      <c r="A966" s="7">
        <v>198510</v>
      </c>
      <c r="B966" s="3" t="s">
        <v>555</v>
      </c>
      <c r="C966" s="25">
        <v>0</v>
      </c>
      <c r="D966" s="25">
        <v>0</v>
      </c>
      <c r="E966" s="18">
        <f t="shared" si="173"/>
        <v>0</v>
      </c>
    </row>
    <row r="967" spans="1:5" ht="15" x14ac:dyDescent="0.2">
      <c r="A967" s="7">
        <v>198511</v>
      </c>
      <c r="B967" s="3" t="s">
        <v>641</v>
      </c>
      <c r="C967" s="25">
        <v>0</v>
      </c>
      <c r="D967" s="25">
        <v>0</v>
      </c>
      <c r="E967" s="18">
        <f t="shared" si="173"/>
        <v>0</v>
      </c>
    </row>
    <row r="968" spans="1:5" ht="15" x14ac:dyDescent="0.2">
      <c r="A968" s="7">
        <v>198512</v>
      </c>
      <c r="B968" s="3" t="s">
        <v>642</v>
      </c>
      <c r="C968" s="25">
        <v>0</v>
      </c>
      <c r="D968" s="25">
        <v>0</v>
      </c>
      <c r="E968" s="18">
        <f t="shared" si="173"/>
        <v>0</v>
      </c>
    </row>
    <row r="969" spans="1:5" ht="15" x14ac:dyDescent="0.2">
      <c r="A969" s="7">
        <v>198513</v>
      </c>
      <c r="B969" s="3" t="s">
        <v>643</v>
      </c>
      <c r="C969" s="25">
        <v>0</v>
      </c>
      <c r="D969" s="25">
        <v>0</v>
      </c>
      <c r="E969" s="18">
        <f t="shared" si="173"/>
        <v>0</v>
      </c>
    </row>
    <row r="970" spans="1:5" ht="15" x14ac:dyDescent="0.2">
      <c r="A970" s="7">
        <v>198514</v>
      </c>
      <c r="B970" s="3" t="s">
        <v>644</v>
      </c>
      <c r="C970" s="25">
        <v>0</v>
      </c>
      <c r="D970" s="25">
        <v>0</v>
      </c>
      <c r="E970" s="18">
        <f t="shared" si="173"/>
        <v>0</v>
      </c>
    </row>
    <row r="971" spans="1:5" ht="15" x14ac:dyDescent="0.2">
      <c r="A971" s="7">
        <v>198515</v>
      </c>
      <c r="B971" s="3" t="s">
        <v>645</v>
      </c>
      <c r="C971" s="25">
        <v>0</v>
      </c>
      <c r="D971" s="25">
        <v>0</v>
      </c>
      <c r="E971" s="18">
        <f t="shared" si="173"/>
        <v>0</v>
      </c>
    </row>
    <row r="972" spans="1:5" ht="15" x14ac:dyDescent="0.2">
      <c r="A972" s="7">
        <v>198516</v>
      </c>
      <c r="B972" s="3" t="s">
        <v>646</v>
      </c>
      <c r="C972" s="25">
        <v>0</v>
      </c>
      <c r="D972" s="25">
        <v>0</v>
      </c>
      <c r="E972" s="18">
        <f t="shared" si="173"/>
        <v>0</v>
      </c>
    </row>
    <row r="973" spans="1:5" ht="15" x14ac:dyDescent="0.2">
      <c r="A973" s="7">
        <v>198517</v>
      </c>
      <c r="B973" s="3" t="s">
        <v>647</v>
      </c>
      <c r="C973" s="25">
        <v>0</v>
      </c>
      <c r="D973" s="25">
        <v>0</v>
      </c>
      <c r="E973" s="18">
        <f t="shared" si="173"/>
        <v>0</v>
      </c>
    </row>
    <row r="974" spans="1:5" ht="15" x14ac:dyDescent="0.2">
      <c r="A974" s="7">
        <v>198518</v>
      </c>
      <c r="B974" s="3" t="s">
        <v>648</v>
      </c>
      <c r="C974" s="25">
        <v>0</v>
      </c>
      <c r="D974" s="25">
        <v>0</v>
      </c>
      <c r="E974" s="18">
        <f t="shared" si="173"/>
        <v>0</v>
      </c>
    </row>
    <row r="975" spans="1:5" ht="15" x14ac:dyDescent="0.2">
      <c r="A975" s="6">
        <v>1986</v>
      </c>
      <c r="B975" s="2" t="s">
        <v>649</v>
      </c>
      <c r="C975" s="24">
        <f>SUM(C976:C978)</f>
        <v>0</v>
      </c>
      <c r="D975" s="24">
        <f t="shared" ref="D975:E975" si="174">SUM(D976:D978)</f>
        <v>0</v>
      </c>
      <c r="E975" s="17">
        <f t="shared" si="174"/>
        <v>0</v>
      </c>
    </row>
    <row r="976" spans="1:5" ht="15" x14ac:dyDescent="0.2">
      <c r="A976" s="7">
        <v>198603</v>
      </c>
      <c r="B976" s="3" t="s">
        <v>650</v>
      </c>
      <c r="C976" s="25">
        <v>0</v>
      </c>
      <c r="D976" s="25">
        <v>0</v>
      </c>
      <c r="E976" s="18">
        <f t="shared" ref="E976:E978" si="175">SUM(C976:D976)</f>
        <v>0</v>
      </c>
    </row>
    <row r="977" spans="1:5" ht="15" x14ac:dyDescent="0.2">
      <c r="A977" s="7">
        <v>198605</v>
      </c>
      <c r="B977" s="3" t="s">
        <v>651</v>
      </c>
      <c r="C977" s="25">
        <v>0</v>
      </c>
      <c r="D977" s="25">
        <v>0</v>
      </c>
      <c r="E977" s="18">
        <f t="shared" si="175"/>
        <v>0</v>
      </c>
    </row>
    <row r="978" spans="1:5" ht="15" x14ac:dyDescent="0.2">
      <c r="A978" s="7">
        <v>198606</v>
      </c>
      <c r="B978" s="3" t="s">
        <v>652</v>
      </c>
      <c r="C978" s="25">
        <v>0</v>
      </c>
      <c r="D978" s="25">
        <v>0</v>
      </c>
      <c r="E978" s="18">
        <f t="shared" si="175"/>
        <v>0</v>
      </c>
    </row>
    <row r="979" spans="1:5" ht="15" x14ac:dyDescent="0.2">
      <c r="A979" s="6">
        <v>1989</v>
      </c>
      <c r="B979" s="2" t="s">
        <v>653</v>
      </c>
      <c r="C979" s="24">
        <f>SUM(C980)</f>
        <v>0</v>
      </c>
      <c r="D979" s="24">
        <f t="shared" ref="D979:E979" si="176">SUM(D980)</f>
        <v>0</v>
      </c>
      <c r="E979" s="17">
        <f t="shared" si="176"/>
        <v>0</v>
      </c>
    </row>
    <row r="980" spans="1:5" ht="15" x14ac:dyDescent="0.2">
      <c r="A980" s="7">
        <v>198901</v>
      </c>
      <c r="B980" s="4" t="s">
        <v>654</v>
      </c>
      <c r="C980" s="26">
        <v>0</v>
      </c>
      <c r="D980" s="26">
        <v>0</v>
      </c>
      <c r="E980" s="18">
        <f t="shared" ref="E980" si="177">SUM(C980:D980)</f>
        <v>0</v>
      </c>
    </row>
    <row r="981" spans="1:5" ht="15" x14ac:dyDescent="0.2">
      <c r="A981" s="6">
        <v>1990</v>
      </c>
      <c r="B981" s="15" t="s">
        <v>655</v>
      </c>
      <c r="C981" s="24">
        <f>SUM(C982:C983)</f>
        <v>0</v>
      </c>
      <c r="D981" s="24">
        <f t="shared" ref="D981:E981" si="178">SUM(D982:D983)</f>
        <v>0</v>
      </c>
      <c r="E981" s="17">
        <f t="shared" si="178"/>
        <v>0</v>
      </c>
    </row>
    <row r="982" spans="1:5" ht="15" x14ac:dyDescent="0.2">
      <c r="A982" s="7">
        <v>199001</v>
      </c>
      <c r="B982" s="3" t="s">
        <v>656</v>
      </c>
      <c r="C982" s="25">
        <v>0</v>
      </c>
      <c r="D982" s="25">
        <v>0</v>
      </c>
      <c r="E982" s="18">
        <f t="shared" ref="E982:E983" si="179">SUM(C982:D982)</f>
        <v>0</v>
      </c>
    </row>
    <row r="983" spans="1:5" ht="15" x14ac:dyDescent="0.2">
      <c r="A983" s="7">
        <v>199002</v>
      </c>
      <c r="B983" s="3" t="s">
        <v>657</v>
      </c>
      <c r="C983" s="25">
        <v>0</v>
      </c>
      <c r="D983" s="25">
        <v>0</v>
      </c>
      <c r="E983" s="18">
        <f t="shared" si="179"/>
        <v>0</v>
      </c>
    </row>
    <row r="984" spans="1:5" ht="15" x14ac:dyDescent="0.2">
      <c r="A984" s="6">
        <v>2</v>
      </c>
      <c r="B984" s="2" t="s">
        <v>658</v>
      </c>
      <c r="C984" s="24">
        <f>SUM(C985,C994,C1003,C1047,C1232,C1284,C1336,C1360)</f>
        <v>904954759</v>
      </c>
      <c r="D984" s="24">
        <f>SUM(D985,D994,D1003,D1047,D1232,D1284,D1336,D1360)</f>
        <v>0</v>
      </c>
      <c r="E984" s="28">
        <f>SUM(E985,E994,E1003,E1047,E1232,E1284,E1336,E1360)</f>
        <v>904954759</v>
      </c>
    </row>
    <row r="985" spans="1:5" ht="15" x14ac:dyDescent="0.2">
      <c r="A985" s="6">
        <v>21</v>
      </c>
      <c r="B985" s="2" t="s">
        <v>659</v>
      </c>
      <c r="C985" s="24">
        <f>SUM(C986)</f>
        <v>0</v>
      </c>
      <c r="D985" s="24">
        <f>SUM(D986)</f>
        <v>0</v>
      </c>
      <c r="E985" s="17">
        <f>SUM(E986)</f>
        <v>0</v>
      </c>
    </row>
    <row r="986" spans="1:5" ht="15" x14ac:dyDescent="0.2">
      <c r="A986" s="6">
        <v>2110</v>
      </c>
      <c r="B986" s="2" t="s">
        <v>660</v>
      </c>
      <c r="C986" s="24">
        <f>SUM(C987:C993)</f>
        <v>0</v>
      </c>
      <c r="D986" s="24">
        <f t="shared" ref="D986:E986" si="180">SUM(D987:D993)</f>
        <v>0</v>
      </c>
      <c r="E986" s="17">
        <f t="shared" si="180"/>
        <v>0</v>
      </c>
    </row>
    <row r="987" spans="1:5" ht="15" x14ac:dyDescent="0.2">
      <c r="A987" s="7">
        <v>211001</v>
      </c>
      <c r="B987" s="3" t="s">
        <v>661</v>
      </c>
      <c r="C987" s="25">
        <v>0</v>
      </c>
      <c r="D987" s="25">
        <v>0</v>
      </c>
      <c r="E987" s="18">
        <f t="shared" ref="E987:E993" si="181">SUM(C987:D987)</f>
        <v>0</v>
      </c>
    </row>
    <row r="988" spans="1:5" ht="15" x14ac:dyDescent="0.2">
      <c r="A988" s="7">
        <v>211002</v>
      </c>
      <c r="B988" s="3" t="s">
        <v>13</v>
      </c>
      <c r="C988" s="25">
        <v>0</v>
      </c>
      <c r="D988" s="25">
        <v>0</v>
      </c>
      <c r="E988" s="18">
        <f t="shared" si="181"/>
        <v>0</v>
      </c>
    </row>
    <row r="989" spans="1:5" ht="15" x14ac:dyDescent="0.2">
      <c r="A989" s="7">
        <v>211003</v>
      </c>
      <c r="B989" s="3" t="s">
        <v>48</v>
      </c>
      <c r="C989" s="25">
        <v>0</v>
      </c>
      <c r="D989" s="25">
        <v>0</v>
      </c>
      <c r="E989" s="18">
        <f t="shared" si="181"/>
        <v>0</v>
      </c>
    </row>
    <row r="990" spans="1:5" ht="15" x14ac:dyDescent="0.2">
      <c r="A990" s="7">
        <v>211005</v>
      </c>
      <c r="B990" s="3" t="s">
        <v>662</v>
      </c>
      <c r="C990" s="25">
        <v>0</v>
      </c>
      <c r="D990" s="25">
        <v>0</v>
      </c>
      <c r="E990" s="18">
        <f t="shared" si="181"/>
        <v>0</v>
      </c>
    </row>
    <row r="991" spans="1:5" ht="15" x14ac:dyDescent="0.2">
      <c r="A991" s="7">
        <v>211007</v>
      </c>
      <c r="B991" s="3" t="s">
        <v>663</v>
      </c>
      <c r="C991" s="25">
        <v>0</v>
      </c>
      <c r="D991" s="25">
        <v>0</v>
      </c>
      <c r="E991" s="18">
        <f t="shared" si="181"/>
        <v>0</v>
      </c>
    </row>
    <row r="992" spans="1:5" ht="15" x14ac:dyDescent="0.2">
      <c r="A992" s="7">
        <v>211011</v>
      </c>
      <c r="B992" s="3" t="s">
        <v>664</v>
      </c>
      <c r="C992" s="25">
        <v>0</v>
      </c>
      <c r="D992" s="25">
        <v>0</v>
      </c>
      <c r="E992" s="18">
        <f t="shared" si="181"/>
        <v>0</v>
      </c>
    </row>
    <row r="993" spans="1:5" ht="15" x14ac:dyDescent="0.2">
      <c r="A993" s="7">
        <v>211090</v>
      </c>
      <c r="B993" s="3" t="s">
        <v>665</v>
      </c>
      <c r="C993" s="25">
        <v>0</v>
      </c>
      <c r="D993" s="25">
        <v>0</v>
      </c>
      <c r="E993" s="18">
        <f t="shared" si="181"/>
        <v>0</v>
      </c>
    </row>
    <row r="994" spans="1:5" ht="15" x14ac:dyDescent="0.2">
      <c r="A994" s="6">
        <v>22</v>
      </c>
      <c r="B994" s="2" t="s">
        <v>666</v>
      </c>
      <c r="C994" s="24">
        <f>SUM(C995,C997,C999,C1001)</f>
        <v>0</v>
      </c>
      <c r="D994" s="24">
        <f>SUM(D995,D997,D999,D1001)</f>
        <v>0</v>
      </c>
      <c r="E994" s="17">
        <f>SUM(E995,E997,E999,E1001)</f>
        <v>0</v>
      </c>
    </row>
    <row r="995" spans="1:5" ht="15" x14ac:dyDescent="0.2">
      <c r="A995" s="6">
        <v>2222</v>
      </c>
      <c r="B995" s="2" t="s">
        <v>667</v>
      </c>
      <c r="C995" s="24">
        <f>SUM(C996)</f>
        <v>0</v>
      </c>
      <c r="D995" s="24">
        <f t="shared" ref="D995:E995" si="182">SUM(D996)</f>
        <v>0</v>
      </c>
      <c r="E995" s="17">
        <f t="shared" si="182"/>
        <v>0</v>
      </c>
    </row>
    <row r="996" spans="1:5" ht="15" x14ac:dyDescent="0.2">
      <c r="A996" s="7">
        <v>222201</v>
      </c>
      <c r="B996" s="3" t="s">
        <v>668</v>
      </c>
      <c r="C996" s="25">
        <v>0</v>
      </c>
      <c r="D996" s="25">
        <v>0</v>
      </c>
      <c r="E996" s="18">
        <f t="shared" ref="E996" si="183">SUM(C996:D996)</f>
        <v>0</v>
      </c>
    </row>
    <row r="997" spans="1:5" ht="15" x14ac:dyDescent="0.2">
      <c r="A997" s="6">
        <v>2223</v>
      </c>
      <c r="B997" s="2" t="s">
        <v>669</v>
      </c>
      <c r="C997" s="24">
        <f>SUM(C998)</f>
        <v>0</v>
      </c>
      <c r="D997" s="24">
        <f t="shared" ref="D997:E997" si="184">SUM(D998)</f>
        <v>0</v>
      </c>
      <c r="E997" s="17">
        <f t="shared" si="184"/>
        <v>0</v>
      </c>
    </row>
    <row r="998" spans="1:5" ht="15" x14ac:dyDescent="0.2">
      <c r="A998" s="7">
        <v>222390</v>
      </c>
      <c r="B998" s="3" t="s">
        <v>670</v>
      </c>
      <c r="C998" s="25">
        <v>0</v>
      </c>
      <c r="D998" s="25">
        <v>0</v>
      </c>
      <c r="E998" s="18">
        <f t="shared" ref="E998" si="185">SUM(C998:D998)</f>
        <v>0</v>
      </c>
    </row>
    <row r="999" spans="1:5" ht="15" x14ac:dyDescent="0.2">
      <c r="A999" s="6">
        <v>2224</v>
      </c>
      <c r="B999" s="2" t="s">
        <v>671</v>
      </c>
      <c r="C999" s="24">
        <f>SUM(C1000)</f>
        <v>0</v>
      </c>
      <c r="D999" s="24">
        <f t="shared" ref="D999:E999" si="186">SUM(D1000)</f>
        <v>0</v>
      </c>
      <c r="E999" s="17">
        <f t="shared" si="186"/>
        <v>0</v>
      </c>
    </row>
    <row r="1000" spans="1:5" ht="15" x14ac:dyDescent="0.2">
      <c r="A1000" s="7">
        <v>222401</v>
      </c>
      <c r="B1000" s="3" t="s">
        <v>668</v>
      </c>
      <c r="C1000" s="25">
        <v>0</v>
      </c>
      <c r="D1000" s="25">
        <v>0</v>
      </c>
      <c r="E1000" s="18">
        <f t="shared" ref="E1000" si="187">SUM(C1000:D1000)</f>
        <v>0</v>
      </c>
    </row>
    <row r="1001" spans="1:5" ht="15" x14ac:dyDescent="0.2">
      <c r="A1001" s="6">
        <v>2225</v>
      </c>
      <c r="B1001" s="2" t="s">
        <v>672</v>
      </c>
      <c r="C1001" s="24">
        <f>SUM(C1002)</f>
        <v>0</v>
      </c>
      <c r="D1001" s="24">
        <f t="shared" ref="D1001:E1001" si="188">SUM(D1002)</f>
        <v>0</v>
      </c>
      <c r="E1001" s="17">
        <f t="shared" si="188"/>
        <v>0</v>
      </c>
    </row>
    <row r="1002" spans="1:5" ht="15" x14ac:dyDescent="0.2">
      <c r="A1002" s="7">
        <v>222590</v>
      </c>
      <c r="B1002" s="3" t="s">
        <v>670</v>
      </c>
      <c r="C1002" s="25">
        <v>0</v>
      </c>
      <c r="D1002" s="25">
        <v>0</v>
      </c>
      <c r="E1002" s="18">
        <f t="shared" ref="E1002" si="189">SUM(C1002:D1002)</f>
        <v>0</v>
      </c>
    </row>
    <row r="1003" spans="1:5" ht="15" x14ac:dyDescent="0.2">
      <c r="A1003" s="6">
        <v>23</v>
      </c>
      <c r="B1003" s="2" t="s">
        <v>673</v>
      </c>
      <c r="C1003" s="24">
        <f>SUM(C1004,C1020,C1035,C1041)</f>
        <v>0</v>
      </c>
      <c r="D1003" s="24">
        <f>SUM(D1004,D1020,D1035,D1041)</f>
        <v>0</v>
      </c>
      <c r="E1003" s="17">
        <f>SUM(E1004,E1020,E1035,E1041)</f>
        <v>0</v>
      </c>
    </row>
    <row r="1004" spans="1:5" ht="15" x14ac:dyDescent="0.2">
      <c r="A1004" s="6">
        <v>2313</v>
      </c>
      <c r="B1004" s="2" t="s">
        <v>667</v>
      </c>
      <c r="C1004" s="24">
        <f>SUM(C1005:C1019)</f>
        <v>0</v>
      </c>
      <c r="D1004" s="24">
        <f t="shared" ref="D1004:E1004" si="190">SUM(D1005:D1019)</f>
        <v>0</v>
      </c>
      <c r="E1004" s="17">
        <f t="shared" si="190"/>
        <v>0</v>
      </c>
    </row>
    <row r="1005" spans="1:5" ht="15" x14ac:dyDescent="0.2">
      <c r="A1005" s="7">
        <v>231301</v>
      </c>
      <c r="B1005" s="3" t="s">
        <v>674</v>
      </c>
      <c r="C1005" s="25">
        <v>0</v>
      </c>
      <c r="D1005" s="25">
        <v>0</v>
      </c>
      <c r="E1005" s="18">
        <f t="shared" ref="E1005:E1019" si="191">SUM(C1005:D1005)</f>
        <v>0</v>
      </c>
    </row>
    <row r="1006" spans="1:5" ht="15" x14ac:dyDescent="0.2">
      <c r="A1006" s="7">
        <v>231302</v>
      </c>
      <c r="B1006" s="3" t="s">
        <v>675</v>
      </c>
      <c r="C1006" s="25">
        <v>0</v>
      </c>
      <c r="D1006" s="25">
        <v>0</v>
      </c>
      <c r="E1006" s="18">
        <f t="shared" si="191"/>
        <v>0</v>
      </c>
    </row>
    <row r="1007" spans="1:5" ht="15" x14ac:dyDescent="0.2">
      <c r="A1007" s="7">
        <v>231303</v>
      </c>
      <c r="B1007" s="3" t="s">
        <v>676</v>
      </c>
      <c r="C1007" s="25">
        <v>0</v>
      </c>
      <c r="D1007" s="25">
        <v>0</v>
      </c>
      <c r="E1007" s="18">
        <f t="shared" si="191"/>
        <v>0</v>
      </c>
    </row>
    <row r="1008" spans="1:5" ht="15" x14ac:dyDescent="0.2">
      <c r="A1008" s="7">
        <v>231304</v>
      </c>
      <c r="B1008" s="3" t="s">
        <v>677</v>
      </c>
      <c r="C1008" s="25">
        <v>0</v>
      </c>
      <c r="D1008" s="25">
        <v>0</v>
      </c>
      <c r="E1008" s="18">
        <f t="shared" si="191"/>
        <v>0</v>
      </c>
    </row>
    <row r="1009" spans="1:5" ht="15" x14ac:dyDescent="0.2">
      <c r="A1009" s="7">
        <v>231307</v>
      </c>
      <c r="B1009" s="3" t="s">
        <v>678</v>
      </c>
      <c r="C1009" s="25">
        <v>0</v>
      </c>
      <c r="D1009" s="25">
        <v>0</v>
      </c>
      <c r="E1009" s="18">
        <f t="shared" si="191"/>
        <v>0</v>
      </c>
    </row>
    <row r="1010" spans="1:5" ht="15" x14ac:dyDescent="0.2">
      <c r="A1010" s="7">
        <v>231309</v>
      </c>
      <c r="B1010" s="3" t="s">
        <v>679</v>
      </c>
      <c r="C1010" s="25">
        <v>0</v>
      </c>
      <c r="D1010" s="25">
        <v>0</v>
      </c>
      <c r="E1010" s="18">
        <f t="shared" si="191"/>
        <v>0</v>
      </c>
    </row>
    <row r="1011" spans="1:5" ht="15" x14ac:dyDescent="0.2">
      <c r="A1011" s="7">
        <v>231310</v>
      </c>
      <c r="B1011" s="3" t="s">
        <v>680</v>
      </c>
      <c r="C1011" s="25">
        <v>0</v>
      </c>
      <c r="D1011" s="25">
        <v>0</v>
      </c>
      <c r="E1011" s="18">
        <f t="shared" si="191"/>
        <v>0</v>
      </c>
    </row>
    <row r="1012" spans="1:5" ht="15" x14ac:dyDescent="0.2">
      <c r="A1012" s="7">
        <v>231311</v>
      </c>
      <c r="B1012" s="3" t="s">
        <v>681</v>
      </c>
      <c r="C1012" s="25">
        <v>0</v>
      </c>
      <c r="D1012" s="25">
        <v>0</v>
      </c>
      <c r="E1012" s="18">
        <f t="shared" si="191"/>
        <v>0</v>
      </c>
    </row>
    <row r="1013" spans="1:5" ht="15" x14ac:dyDescent="0.2">
      <c r="A1013" s="7">
        <v>231312</v>
      </c>
      <c r="B1013" s="3" t="s">
        <v>682</v>
      </c>
      <c r="C1013" s="25">
        <v>0</v>
      </c>
      <c r="D1013" s="25">
        <v>0</v>
      </c>
      <c r="E1013" s="18">
        <f t="shared" si="191"/>
        <v>0</v>
      </c>
    </row>
    <row r="1014" spans="1:5" ht="15" x14ac:dyDescent="0.2">
      <c r="A1014" s="7">
        <v>231313</v>
      </c>
      <c r="B1014" s="3" t="s">
        <v>683</v>
      </c>
      <c r="C1014" s="25">
        <v>0</v>
      </c>
      <c r="D1014" s="25">
        <v>0</v>
      </c>
      <c r="E1014" s="18">
        <f t="shared" si="191"/>
        <v>0</v>
      </c>
    </row>
    <row r="1015" spans="1:5" ht="15" x14ac:dyDescent="0.2">
      <c r="A1015" s="7">
        <v>231314</v>
      </c>
      <c r="B1015" s="3" t="s">
        <v>684</v>
      </c>
      <c r="C1015" s="25">
        <v>0</v>
      </c>
      <c r="D1015" s="25">
        <v>0</v>
      </c>
      <c r="E1015" s="18">
        <f t="shared" si="191"/>
        <v>0</v>
      </c>
    </row>
    <row r="1016" spans="1:5" ht="15" x14ac:dyDescent="0.2">
      <c r="A1016" s="7">
        <v>231315</v>
      </c>
      <c r="B1016" s="3" t="s">
        <v>283</v>
      </c>
      <c r="C1016" s="25">
        <v>0</v>
      </c>
      <c r="D1016" s="25">
        <v>0</v>
      </c>
      <c r="E1016" s="18">
        <f t="shared" si="191"/>
        <v>0</v>
      </c>
    </row>
    <row r="1017" spans="1:5" ht="15" x14ac:dyDescent="0.2">
      <c r="A1017" s="7">
        <v>231316</v>
      </c>
      <c r="B1017" s="3" t="s">
        <v>685</v>
      </c>
      <c r="C1017" s="25">
        <v>0</v>
      </c>
      <c r="D1017" s="25">
        <v>0</v>
      </c>
      <c r="E1017" s="18">
        <f t="shared" si="191"/>
        <v>0</v>
      </c>
    </row>
    <row r="1018" spans="1:5" ht="15" x14ac:dyDescent="0.2">
      <c r="A1018" s="7">
        <v>231317</v>
      </c>
      <c r="B1018" s="3" t="s">
        <v>686</v>
      </c>
      <c r="C1018" s="25">
        <v>0</v>
      </c>
      <c r="D1018" s="25">
        <v>0</v>
      </c>
      <c r="E1018" s="18">
        <f t="shared" si="191"/>
        <v>0</v>
      </c>
    </row>
    <row r="1019" spans="1:5" ht="15" x14ac:dyDescent="0.2">
      <c r="A1019" s="7">
        <v>231390</v>
      </c>
      <c r="B1019" s="3" t="s">
        <v>687</v>
      </c>
      <c r="C1019" s="25">
        <v>0</v>
      </c>
      <c r="D1019" s="25">
        <v>0</v>
      </c>
      <c r="E1019" s="18">
        <f t="shared" si="191"/>
        <v>0</v>
      </c>
    </row>
    <row r="1020" spans="1:5" ht="15" x14ac:dyDescent="0.2">
      <c r="A1020" s="6">
        <v>2314</v>
      </c>
      <c r="B1020" s="2" t="s">
        <v>669</v>
      </c>
      <c r="C1020" s="24">
        <f>SUM(C1021:C1034)</f>
        <v>0</v>
      </c>
      <c r="D1020" s="24">
        <f t="shared" ref="D1020:E1020" si="192">SUM(D1021:D1034)</f>
        <v>0</v>
      </c>
      <c r="E1020" s="17">
        <f t="shared" si="192"/>
        <v>0</v>
      </c>
    </row>
    <row r="1021" spans="1:5" ht="15" x14ac:dyDescent="0.2">
      <c r="A1021" s="7">
        <v>231401</v>
      </c>
      <c r="B1021" s="3" t="s">
        <v>674</v>
      </c>
      <c r="C1021" s="25">
        <v>0</v>
      </c>
      <c r="D1021" s="25">
        <v>0</v>
      </c>
      <c r="E1021" s="18">
        <f t="shared" ref="E1021:E1034" si="193">SUM(C1021:D1021)</f>
        <v>0</v>
      </c>
    </row>
    <row r="1022" spans="1:5" ht="15" x14ac:dyDescent="0.2">
      <c r="A1022" s="7">
        <v>231402</v>
      </c>
      <c r="B1022" s="3" t="s">
        <v>675</v>
      </c>
      <c r="C1022" s="25">
        <v>0</v>
      </c>
      <c r="D1022" s="25">
        <v>0</v>
      </c>
      <c r="E1022" s="18">
        <f t="shared" si="193"/>
        <v>0</v>
      </c>
    </row>
    <row r="1023" spans="1:5" ht="15" x14ac:dyDescent="0.2">
      <c r="A1023" s="7">
        <v>231403</v>
      </c>
      <c r="B1023" s="3" t="s">
        <v>676</v>
      </c>
      <c r="C1023" s="25">
        <v>0</v>
      </c>
      <c r="D1023" s="25">
        <v>0</v>
      </c>
      <c r="E1023" s="18">
        <f t="shared" si="193"/>
        <v>0</v>
      </c>
    </row>
    <row r="1024" spans="1:5" ht="15" x14ac:dyDescent="0.2">
      <c r="A1024" s="7">
        <v>231405</v>
      </c>
      <c r="B1024" s="3" t="s">
        <v>680</v>
      </c>
      <c r="C1024" s="25">
        <v>0</v>
      </c>
      <c r="D1024" s="25">
        <v>0</v>
      </c>
      <c r="E1024" s="18">
        <f t="shared" si="193"/>
        <v>0</v>
      </c>
    </row>
    <row r="1025" spans="1:5" ht="15" x14ac:dyDescent="0.2">
      <c r="A1025" s="7">
        <v>231406</v>
      </c>
      <c r="B1025" s="3" t="s">
        <v>681</v>
      </c>
      <c r="C1025" s="25">
        <v>0</v>
      </c>
      <c r="D1025" s="25">
        <v>0</v>
      </c>
      <c r="E1025" s="18">
        <f t="shared" si="193"/>
        <v>0</v>
      </c>
    </row>
    <row r="1026" spans="1:5" ht="15" x14ac:dyDescent="0.2">
      <c r="A1026" s="7">
        <v>231407</v>
      </c>
      <c r="B1026" s="3" t="s">
        <v>682</v>
      </c>
      <c r="C1026" s="25">
        <v>0</v>
      </c>
      <c r="D1026" s="25">
        <v>0</v>
      </c>
      <c r="E1026" s="18">
        <f t="shared" si="193"/>
        <v>0</v>
      </c>
    </row>
    <row r="1027" spans="1:5" ht="15" x14ac:dyDescent="0.2">
      <c r="A1027" s="7">
        <v>231408</v>
      </c>
      <c r="B1027" s="3" t="s">
        <v>683</v>
      </c>
      <c r="C1027" s="25">
        <v>0</v>
      </c>
      <c r="D1027" s="25">
        <v>0</v>
      </c>
      <c r="E1027" s="18">
        <f t="shared" si="193"/>
        <v>0</v>
      </c>
    </row>
    <row r="1028" spans="1:5" ht="15" x14ac:dyDescent="0.2">
      <c r="A1028" s="7">
        <v>231409</v>
      </c>
      <c r="B1028" s="3" t="s">
        <v>684</v>
      </c>
      <c r="C1028" s="25">
        <v>0</v>
      </c>
      <c r="D1028" s="25">
        <v>0</v>
      </c>
      <c r="E1028" s="18">
        <f t="shared" si="193"/>
        <v>0</v>
      </c>
    </row>
    <row r="1029" spans="1:5" ht="15" x14ac:dyDescent="0.2">
      <c r="A1029" s="7">
        <v>231410</v>
      </c>
      <c r="B1029" s="3" t="s">
        <v>283</v>
      </c>
      <c r="C1029" s="25">
        <v>0</v>
      </c>
      <c r="D1029" s="25">
        <v>0</v>
      </c>
      <c r="E1029" s="18">
        <f t="shared" si="193"/>
        <v>0</v>
      </c>
    </row>
    <row r="1030" spans="1:5" ht="15" x14ac:dyDescent="0.2">
      <c r="A1030" s="7">
        <v>231411</v>
      </c>
      <c r="B1030" s="3" t="s">
        <v>685</v>
      </c>
      <c r="C1030" s="25">
        <v>0</v>
      </c>
      <c r="D1030" s="25">
        <v>0</v>
      </c>
      <c r="E1030" s="18">
        <f t="shared" si="193"/>
        <v>0</v>
      </c>
    </row>
    <row r="1031" spans="1:5" ht="15" x14ac:dyDescent="0.2">
      <c r="A1031" s="7">
        <v>231412</v>
      </c>
      <c r="B1031" s="3" t="s">
        <v>686</v>
      </c>
      <c r="C1031" s="25">
        <v>0</v>
      </c>
      <c r="D1031" s="25">
        <v>0</v>
      </c>
      <c r="E1031" s="18">
        <f t="shared" si="193"/>
        <v>0</v>
      </c>
    </row>
    <row r="1032" spans="1:5" ht="15" x14ac:dyDescent="0.2">
      <c r="A1032" s="7">
        <v>231413</v>
      </c>
      <c r="B1032" s="3" t="s">
        <v>688</v>
      </c>
      <c r="C1032" s="25">
        <v>0</v>
      </c>
      <c r="D1032" s="25">
        <v>0</v>
      </c>
      <c r="E1032" s="18">
        <f t="shared" si="193"/>
        <v>0</v>
      </c>
    </row>
    <row r="1033" spans="1:5" ht="15" x14ac:dyDescent="0.2">
      <c r="A1033" s="7">
        <v>231414</v>
      </c>
      <c r="B1033" s="3" t="s">
        <v>689</v>
      </c>
      <c r="C1033" s="25">
        <v>0</v>
      </c>
      <c r="D1033" s="25">
        <v>0</v>
      </c>
      <c r="E1033" s="18">
        <f t="shared" si="193"/>
        <v>0</v>
      </c>
    </row>
    <row r="1034" spans="1:5" ht="15" x14ac:dyDescent="0.2">
      <c r="A1034" s="7">
        <v>231490</v>
      </c>
      <c r="B1034" s="3" t="s">
        <v>687</v>
      </c>
      <c r="C1034" s="25">
        <v>0</v>
      </c>
      <c r="D1034" s="25">
        <v>0</v>
      </c>
      <c r="E1034" s="18">
        <f t="shared" si="193"/>
        <v>0</v>
      </c>
    </row>
    <row r="1035" spans="1:5" ht="15" x14ac:dyDescent="0.2">
      <c r="A1035" s="6">
        <v>2316</v>
      </c>
      <c r="B1035" s="2" t="s">
        <v>671</v>
      </c>
      <c r="C1035" s="24">
        <f>SUM(C1036:C1040)</f>
        <v>0</v>
      </c>
      <c r="D1035" s="24">
        <f t="shared" ref="D1035:E1035" si="194">SUM(D1036:D1040)</f>
        <v>0</v>
      </c>
      <c r="E1035" s="17">
        <f t="shared" si="194"/>
        <v>0</v>
      </c>
    </row>
    <row r="1036" spans="1:5" ht="15" x14ac:dyDescent="0.2">
      <c r="A1036" s="7">
        <v>231601</v>
      </c>
      <c r="B1036" s="3" t="s">
        <v>674</v>
      </c>
      <c r="C1036" s="25">
        <v>0</v>
      </c>
      <c r="D1036" s="25">
        <v>0</v>
      </c>
      <c r="E1036" s="18">
        <f t="shared" ref="E1036:E1040" si="195">SUM(C1036:D1036)</f>
        <v>0</v>
      </c>
    </row>
    <row r="1037" spans="1:5" ht="15" x14ac:dyDescent="0.2">
      <c r="A1037" s="7">
        <v>231603</v>
      </c>
      <c r="B1037" s="3" t="s">
        <v>675</v>
      </c>
      <c r="C1037" s="25">
        <v>0</v>
      </c>
      <c r="D1037" s="25">
        <v>0</v>
      </c>
      <c r="E1037" s="18">
        <f t="shared" si="195"/>
        <v>0</v>
      </c>
    </row>
    <row r="1038" spans="1:5" ht="15" x14ac:dyDescent="0.2">
      <c r="A1038" s="7">
        <v>231605</v>
      </c>
      <c r="B1038" s="3" t="s">
        <v>680</v>
      </c>
      <c r="C1038" s="25">
        <v>0</v>
      </c>
      <c r="D1038" s="25">
        <v>0</v>
      </c>
      <c r="E1038" s="18">
        <f t="shared" si="195"/>
        <v>0</v>
      </c>
    </row>
    <row r="1039" spans="1:5" ht="15" x14ac:dyDescent="0.2">
      <c r="A1039" s="7">
        <v>231607</v>
      </c>
      <c r="B1039" s="3" t="s">
        <v>283</v>
      </c>
      <c r="C1039" s="25">
        <v>0</v>
      </c>
      <c r="D1039" s="25">
        <v>0</v>
      </c>
      <c r="E1039" s="18">
        <f t="shared" si="195"/>
        <v>0</v>
      </c>
    </row>
    <row r="1040" spans="1:5" ht="15" x14ac:dyDescent="0.2">
      <c r="A1040" s="7">
        <v>231690</v>
      </c>
      <c r="B1040" s="3" t="s">
        <v>687</v>
      </c>
      <c r="C1040" s="25">
        <v>0</v>
      </c>
      <c r="D1040" s="25">
        <v>0</v>
      </c>
      <c r="E1040" s="18">
        <f t="shared" si="195"/>
        <v>0</v>
      </c>
    </row>
    <row r="1041" spans="1:5" ht="15" x14ac:dyDescent="0.2">
      <c r="A1041" s="6">
        <v>2317</v>
      </c>
      <c r="B1041" s="2" t="s">
        <v>672</v>
      </c>
      <c r="C1041" s="24">
        <f>SUM(C1042:C1046)</f>
        <v>0</v>
      </c>
      <c r="D1041" s="24">
        <f t="shared" ref="D1041:E1041" si="196">SUM(D1042:D1046)</f>
        <v>0</v>
      </c>
      <c r="E1041" s="17">
        <f t="shared" si="196"/>
        <v>0</v>
      </c>
    </row>
    <row r="1042" spans="1:5" ht="15" x14ac:dyDescent="0.2">
      <c r="A1042" s="7">
        <v>231701</v>
      </c>
      <c r="B1042" s="3" t="s">
        <v>674</v>
      </c>
      <c r="C1042" s="25">
        <v>0</v>
      </c>
      <c r="D1042" s="25">
        <v>0</v>
      </c>
      <c r="E1042" s="18">
        <f t="shared" ref="E1042:E1046" si="197">SUM(C1042:D1042)</f>
        <v>0</v>
      </c>
    </row>
    <row r="1043" spans="1:5" ht="15" x14ac:dyDescent="0.2">
      <c r="A1043" s="7">
        <v>231703</v>
      </c>
      <c r="B1043" s="3" t="s">
        <v>675</v>
      </c>
      <c r="C1043" s="25">
        <v>0</v>
      </c>
      <c r="D1043" s="25">
        <v>0</v>
      </c>
      <c r="E1043" s="18">
        <f t="shared" si="197"/>
        <v>0</v>
      </c>
    </row>
    <row r="1044" spans="1:5" ht="15" x14ac:dyDescent="0.2">
      <c r="A1044" s="7">
        <v>231705</v>
      </c>
      <c r="B1044" s="3" t="s">
        <v>680</v>
      </c>
      <c r="C1044" s="25">
        <v>0</v>
      </c>
      <c r="D1044" s="25">
        <v>0</v>
      </c>
      <c r="E1044" s="18">
        <f t="shared" si="197"/>
        <v>0</v>
      </c>
    </row>
    <row r="1045" spans="1:5" ht="15" x14ac:dyDescent="0.2">
      <c r="A1045" s="7">
        <v>231706</v>
      </c>
      <c r="B1045" s="3" t="s">
        <v>283</v>
      </c>
      <c r="C1045" s="25">
        <v>0</v>
      </c>
      <c r="D1045" s="25">
        <v>0</v>
      </c>
      <c r="E1045" s="18">
        <f t="shared" si="197"/>
        <v>0</v>
      </c>
    </row>
    <row r="1046" spans="1:5" ht="15" x14ac:dyDescent="0.2">
      <c r="A1046" s="7">
        <v>231790</v>
      </c>
      <c r="B1046" s="3" t="s">
        <v>687</v>
      </c>
      <c r="C1046" s="25">
        <v>0</v>
      </c>
      <c r="D1046" s="25">
        <v>0</v>
      </c>
      <c r="E1046" s="18">
        <f t="shared" si="197"/>
        <v>0</v>
      </c>
    </row>
    <row r="1047" spans="1:5" ht="15" x14ac:dyDescent="0.2">
      <c r="A1047" s="6">
        <v>24</v>
      </c>
      <c r="B1047" s="2" t="s">
        <v>690</v>
      </c>
      <c r="C1047" s="24">
        <f>SUM(C1048,C1051,C1055,C1058,C1073,C1087,C1110,C1140,C1151,C1155,C1161,C1168,C1188,C1225)</f>
        <v>904954759</v>
      </c>
      <c r="D1047" s="24">
        <f>SUM(D1048,D1051,D1055,D1058,D1073,D1087,D1110,D1140,D1151,D1155,D1161,D1168,D1188,D1225)</f>
        <v>0</v>
      </c>
      <c r="E1047" s="28">
        <f>SUM(E1048,E1051,E1055,E1058,E1073,E1087,E1110,E1140,E1151,E1155,E1161,E1168,E1188,E1225)</f>
        <v>904954759</v>
      </c>
    </row>
    <row r="1048" spans="1:5" ht="15" x14ac:dyDescent="0.2">
      <c r="A1048" s="6">
        <v>2401</v>
      </c>
      <c r="B1048" s="2" t="s">
        <v>691</v>
      </c>
      <c r="C1048" s="24">
        <f>SUM(C1049:C1050)</f>
        <v>3174810</v>
      </c>
      <c r="D1048" s="24">
        <f t="shared" ref="D1048:E1048" si="198">SUM(D1049:D1050)</f>
        <v>0</v>
      </c>
      <c r="E1048" s="28">
        <f t="shared" si="198"/>
        <v>3174810</v>
      </c>
    </row>
    <row r="1049" spans="1:5" ht="15" x14ac:dyDescent="0.2">
      <c r="A1049" s="7">
        <v>240101</v>
      </c>
      <c r="B1049" s="3" t="s">
        <v>571</v>
      </c>
      <c r="C1049" s="25">
        <v>3174810</v>
      </c>
      <c r="D1049" s="25">
        <v>0</v>
      </c>
      <c r="E1049" s="29">
        <f t="shared" ref="E1049:E1050" si="199">SUM(C1049:D1049)</f>
        <v>3174810</v>
      </c>
    </row>
    <row r="1050" spans="1:5" ht="15" x14ac:dyDescent="0.2">
      <c r="A1050" s="7">
        <v>240102</v>
      </c>
      <c r="B1050" s="3" t="s">
        <v>692</v>
      </c>
      <c r="C1050" s="25">
        <v>0</v>
      </c>
      <c r="D1050" s="25">
        <v>0</v>
      </c>
      <c r="E1050" s="29">
        <f t="shared" si="199"/>
        <v>0</v>
      </c>
    </row>
    <row r="1051" spans="1:5" ht="15" x14ac:dyDescent="0.2">
      <c r="A1051" s="6">
        <v>2402</v>
      </c>
      <c r="B1051" s="2" t="s">
        <v>693</v>
      </c>
      <c r="C1051" s="24">
        <f>SUM(C1052:C1054)</f>
        <v>0</v>
      </c>
      <c r="D1051" s="24">
        <f t="shared" ref="D1051:E1051" si="200">SUM(D1052:D1054)</f>
        <v>0</v>
      </c>
      <c r="E1051" s="17">
        <f t="shared" si="200"/>
        <v>0</v>
      </c>
    </row>
    <row r="1052" spans="1:5" ht="15" x14ac:dyDescent="0.2">
      <c r="A1052" s="7">
        <v>240204</v>
      </c>
      <c r="B1052" s="3" t="s">
        <v>222</v>
      </c>
      <c r="C1052" s="25">
        <v>0</v>
      </c>
      <c r="D1052" s="25">
        <v>0</v>
      </c>
      <c r="E1052" s="18">
        <f t="shared" ref="E1052:E1054" si="201">SUM(C1052:D1052)</f>
        <v>0</v>
      </c>
    </row>
    <row r="1053" spans="1:5" ht="15" x14ac:dyDescent="0.2">
      <c r="A1053" s="7">
        <v>240205</v>
      </c>
      <c r="B1053" s="3" t="s">
        <v>694</v>
      </c>
      <c r="C1053" s="25">
        <v>0</v>
      </c>
      <c r="D1053" s="25">
        <v>0</v>
      </c>
      <c r="E1053" s="18">
        <f t="shared" si="201"/>
        <v>0</v>
      </c>
    </row>
    <row r="1054" spans="1:5" ht="15" x14ac:dyDescent="0.2">
      <c r="A1054" s="7">
        <v>240290</v>
      </c>
      <c r="B1054" s="3" t="s">
        <v>224</v>
      </c>
      <c r="C1054" s="25">
        <v>0</v>
      </c>
      <c r="D1054" s="25">
        <v>0</v>
      </c>
      <c r="E1054" s="18">
        <f t="shared" si="201"/>
        <v>0</v>
      </c>
    </row>
    <row r="1055" spans="1:5" ht="15" x14ac:dyDescent="0.2">
      <c r="A1055" s="6">
        <v>2406</v>
      </c>
      <c r="B1055" s="2" t="s">
        <v>695</v>
      </c>
      <c r="C1055" s="24">
        <f>SUM(C1056:C1057)</f>
        <v>0</v>
      </c>
      <c r="D1055" s="24">
        <f t="shared" ref="D1055:E1055" si="202">SUM(D1056:D1057)</f>
        <v>0</v>
      </c>
      <c r="E1055" s="17">
        <f t="shared" si="202"/>
        <v>0</v>
      </c>
    </row>
    <row r="1056" spans="1:5" ht="15" x14ac:dyDescent="0.2">
      <c r="A1056" s="7">
        <v>240601</v>
      </c>
      <c r="B1056" s="3" t="s">
        <v>571</v>
      </c>
      <c r="C1056" s="25">
        <v>0</v>
      </c>
      <c r="D1056" s="25">
        <v>0</v>
      </c>
      <c r="E1056" s="18">
        <f t="shared" ref="E1056:E1057" si="203">SUM(C1056:D1056)</f>
        <v>0</v>
      </c>
    </row>
    <row r="1057" spans="1:5" ht="15" x14ac:dyDescent="0.2">
      <c r="A1057" s="7">
        <v>240607</v>
      </c>
      <c r="B1057" s="3" t="s">
        <v>692</v>
      </c>
      <c r="C1057" s="25">
        <v>0</v>
      </c>
      <c r="D1057" s="25">
        <v>0</v>
      </c>
      <c r="E1057" s="18">
        <f t="shared" si="203"/>
        <v>0</v>
      </c>
    </row>
    <row r="1058" spans="1:5" ht="15" x14ac:dyDescent="0.2">
      <c r="A1058" s="6">
        <v>2407</v>
      </c>
      <c r="B1058" s="2" t="s">
        <v>696</v>
      </c>
      <c r="C1058" s="24">
        <f>SUM(C1059:C1072)</f>
        <v>0</v>
      </c>
      <c r="D1058" s="24">
        <f t="shared" ref="D1058:E1058" si="204">SUM(D1059:D1072)</f>
        <v>0</v>
      </c>
      <c r="E1058" s="28">
        <f t="shared" si="204"/>
        <v>0</v>
      </c>
    </row>
    <row r="1059" spans="1:5" ht="15" x14ac:dyDescent="0.2">
      <c r="A1059" s="7">
        <v>240704</v>
      </c>
      <c r="B1059" s="3" t="s">
        <v>697</v>
      </c>
      <c r="C1059" s="25">
        <v>0</v>
      </c>
      <c r="D1059" s="25">
        <v>0</v>
      </c>
      <c r="E1059" s="18">
        <f t="shared" ref="E1059:E1072" si="205">SUM(C1059:D1059)</f>
        <v>0</v>
      </c>
    </row>
    <row r="1060" spans="1:5" ht="15" x14ac:dyDescent="0.2">
      <c r="A1060" s="7">
        <v>240706</v>
      </c>
      <c r="B1060" s="3" t="s">
        <v>698</v>
      </c>
      <c r="C1060" s="25">
        <v>0</v>
      </c>
      <c r="D1060" s="25">
        <v>0</v>
      </c>
      <c r="E1060" s="18">
        <f t="shared" si="205"/>
        <v>0</v>
      </c>
    </row>
    <row r="1061" spans="1:5" ht="15" x14ac:dyDescent="0.2">
      <c r="A1061" s="7">
        <v>240710</v>
      </c>
      <c r="B1061" s="3" t="s">
        <v>699</v>
      </c>
      <c r="C1061" s="25">
        <v>0</v>
      </c>
      <c r="D1061" s="25">
        <v>0</v>
      </c>
      <c r="E1061" s="18">
        <f t="shared" si="205"/>
        <v>0</v>
      </c>
    </row>
    <row r="1062" spans="1:5" ht="15" x14ac:dyDescent="0.2">
      <c r="A1062" s="7">
        <v>240713</v>
      </c>
      <c r="B1062" s="3" t="s">
        <v>700</v>
      </c>
      <c r="C1062" s="25">
        <v>0</v>
      </c>
      <c r="D1062" s="25">
        <v>0</v>
      </c>
      <c r="E1062" s="18">
        <f t="shared" si="205"/>
        <v>0</v>
      </c>
    </row>
    <row r="1063" spans="1:5" ht="15" x14ac:dyDescent="0.2">
      <c r="A1063" s="7">
        <v>240717</v>
      </c>
      <c r="B1063" s="3" t="s">
        <v>701</v>
      </c>
      <c r="C1063" s="25">
        <v>0</v>
      </c>
      <c r="D1063" s="25">
        <v>0</v>
      </c>
      <c r="E1063" s="18">
        <f t="shared" si="205"/>
        <v>0</v>
      </c>
    </row>
    <row r="1064" spans="1:5" ht="15" x14ac:dyDescent="0.2">
      <c r="A1064" s="7">
        <v>240720</v>
      </c>
      <c r="B1064" s="3" t="s">
        <v>702</v>
      </c>
      <c r="C1064" s="25">
        <v>0</v>
      </c>
      <c r="D1064" s="25">
        <v>0</v>
      </c>
      <c r="E1064" s="18">
        <f t="shared" si="205"/>
        <v>0</v>
      </c>
    </row>
    <row r="1065" spans="1:5" ht="15" x14ac:dyDescent="0.2">
      <c r="A1065" s="7">
        <v>240721</v>
      </c>
      <c r="B1065" s="3" t="s">
        <v>703</v>
      </c>
      <c r="C1065" s="25">
        <v>0</v>
      </c>
      <c r="D1065" s="25">
        <v>0</v>
      </c>
      <c r="E1065" s="18">
        <f t="shared" si="205"/>
        <v>0</v>
      </c>
    </row>
    <row r="1066" spans="1:5" ht="15" x14ac:dyDescent="0.2">
      <c r="A1066" s="7">
        <v>240722</v>
      </c>
      <c r="B1066" s="3" t="s">
        <v>113</v>
      </c>
      <c r="C1066" s="25">
        <v>0</v>
      </c>
      <c r="D1066" s="25">
        <v>0</v>
      </c>
      <c r="E1066" s="29">
        <f t="shared" si="205"/>
        <v>0</v>
      </c>
    </row>
    <row r="1067" spans="1:5" ht="15" x14ac:dyDescent="0.2">
      <c r="A1067" s="7">
        <v>240723</v>
      </c>
      <c r="B1067" s="3" t="s">
        <v>704</v>
      </c>
      <c r="C1067" s="25">
        <v>0</v>
      </c>
      <c r="D1067" s="25">
        <v>0</v>
      </c>
      <c r="E1067" s="18">
        <f t="shared" si="205"/>
        <v>0</v>
      </c>
    </row>
    <row r="1068" spans="1:5" ht="15" x14ac:dyDescent="0.2">
      <c r="A1068" s="7">
        <v>240724</v>
      </c>
      <c r="B1068" s="3" t="s">
        <v>705</v>
      </c>
      <c r="C1068" s="25">
        <v>0</v>
      </c>
      <c r="D1068" s="25">
        <v>0</v>
      </c>
      <c r="E1068" s="18">
        <f t="shared" si="205"/>
        <v>0</v>
      </c>
    </row>
    <row r="1069" spans="1:5" ht="15" x14ac:dyDescent="0.2">
      <c r="A1069" s="7">
        <v>240725</v>
      </c>
      <c r="B1069" s="3" t="s">
        <v>706</v>
      </c>
      <c r="C1069" s="25">
        <v>0</v>
      </c>
      <c r="D1069" s="25">
        <v>0</v>
      </c>
      <c r="E1069" s="18">
        <f t="shared" si="205"/>
        <v>0</v>
      </c>
    </row>
    <row r="1070" spans="1:5" ht="15" x14ac:dyDescent="0.2">
      <c r="A1070" s="7">
        <v>240726</v>
      </c>
      <c r="B1070" s="3" t="s">
        <v>707</v>
      </c>
      <c r="C1070" s="25">
        <v>0</v>
      </c>
      <c r="D1070" s="25">
        <v>0</v>
      </c>
      <c r="E1070" s="18">
        <f t="shared" si="205"/>
        <v>0</v>
      </c>
    </row>
    <row r="1071" spans="1:5" ht="15" x14ac:dyDescent="0.2">
      <c r="A1071" s="7">
        <v>240727</v>
      </c>
      <c r="B1071" s="3" t="s">
        <v>708</v>
      </c>
      <c r="C1071" s="25">
        <v>0</v>
      </c>
      <c r="D1071" s="25">
        <v>0</v>
      </c>
      <c r="E1071" s="18">
        <f t="shared" si="205"/>
        <v>0</v>
      </c>
    </row>
    <row r="1072" spans="1:5" ht="15" x14ac:dyDescent="0.2">
      <c r="A1072" s="7">
        <v>240790</v>
      </c>
      <c r="B1072" s="3" t="s">
        <v>709</v>
      </c>
      <c r="C1072" s="25">
        <v>0</v>
      </c>
      <c r="D1072" s="25">
        <v>0</v>
      </c>
      <c r="E1072" s="29">
        <f t="shared" si="205"/>
        <v>0</v>
      </c>
    </row>
    <row r="1073" spans="1:5" ht="15" x14ac:dyDescent="0.2">
      <c r="A1073" s="6">
        <v>2424</v>
      </c>
      <c r="B1073" s="2" t="s">
        <v>710</v>
      </c>
      <c r="C1073" s="24">
        <f>SUM(C1074:C1086)</f>
        <v>0</v>
      </c>
      <c r="D1073" s="24">
        <f t="shared" ref="D1073:E1073" si="206">SUM(D1074:D1086)</f>
        <v>0</v>
      </c>
      <c r="E1073" s="28">
        <f t="shared" si="206"/>
        <v>0</v>
      </c>
    </row>
    <row r="1074" spans="1:5" ht="15" x14ac:dyDescent="0.2">
      <c r="A1074" s="7">
        <v>242401</v>
      </c>
      <c r="B1074" s="3" t="s">
        <v>711</v>
      </c>
      <c r="C1074" s="25">
        <v>0</v>
      </c>
      <c r="D1074" s="25">
        <v>0</v>
      </c>
      <c r="E1074" s="29">
        <f t="shared" ref="E1074:E1086" si="207">SUM(C1074:D1074)</f>
        <v>0</v>
      </c>
    </row>
    <row r="1075" spans="1:5" ht="15" x14ac:dyDescent="0.2">
      <c r="A1075" s="7">
        <v>242402</v>
      </c>
      <c r="B1075" s="3" t="s">
        <v>712</v>
      </c>
      <c r="C1075" s="25">
        <v>0</v>
      </c>
      <c r="D1075" s="25">
        <v>0</v>
      </c>
      <c r="E1075" s="29">
        <f t="shared" si="207"/>
        <v>0</v>
      </c>
    </row>
    <row r="1076" spans="1:5" ht="15" x14ac:dyDescent="0.2">
      <c r="A1076" s="7">
        <v>242404</v>
      </c>
      <c r="B1076" s="3" t="s">
        <v>713</v>
      </c>
      <c r="C1076" s="25">
        <v>0</v>
      </c>
      <c r="D1076" s="25">
        <v>0</v>
      </c>
      <c r="E1076" s="29">
        <f t="shared" si="207"/>
        <v>0</v>
      </c>
    </row>
    <row r="1077" spans="1:5" ht="15" x14ac:dyDescent="0.2">
      <c r="A1077" s="7">
        <v>242405</v>
      </c>
      <c r="B1077" s="3" t="s">
        <v>714</v>
      </c>
      <c r="C1077" s="25">
        <v>0</v>
      </c>
      <c r="D1077" s="25">
        <v>0</v>
      </c>
      <c r="E1077" s="18">
        <f t="shared" si="207"/>
        <v>0</v>
      </c>
    </row>
    <row r="1078" spans="1:5" ht="15" x14ac:dyDescent="0.2">
      <c r="A1078" s="7">
        <v>242406</v>
      </c>
      <c r="B1078" s="3" t="s">
        <v>715</v>
      </c>
      <c r="C1078" s="25">
        <v>0</v>
      </c>
      <c r="D1078" s="25">
        <v>0</v>
      </c>
      <c r="E1078" s="18">
        <f t="shared" si="207"/>
        <v>0</v>
      </c>
    </row>
    <row r="1079" spans="1:5" ht="15" x14ac:dyDescent="0.2">
      <c r="A1079" s="7">
        <v>242407</v>
      </c>
      <c r="B1079" s="3" t="s">
        <v>716</v>
      </c>
      <c r="C1079" s="25">
        <v>0</v>
      </c>
      <c r="D1079" s="25">
        <v>0</v>
      </c>
      <c r="E1079" s="18">
        <f t="shared" si="207"/>
        <v>0</v>
      </c>
    </row>
    <row r="1080" spans="1:5" ht="15" x14ac:dyDescent="0.2">
      <c r="A1080" s="7">
        <v>242408</v>
      </c>
      <c r="B1080" s="3" t="s">
        <v>717</v>
      </c>
      <c r="C1080" s="25">
        <v>0</v>
      </c>
      <c r="D1080" s="25">
        <v>0</v>
      </c>
      <c r="E1080" s="18">
        <f t="shared" si="207"/>
        <v>0</v>
      </c>
    </row>
    <row r="1081" spans="1:5" ht="15" x14ac:dyDescent="0.2">
      <c r="A1081" s="7">
        <v>242409</v>
      </c>
      <c r="B1081" s="3" t="s">
        <v>238</v>
      </c>
      <c r="C1081" s="25">
        <v>0</v>
      </c>
      <c r="D1081" s="25">
        <v>0</v>
      </c>
      <c r="E1081" s="18">
        <f t="shared" si="207"/>
        <v>0</v>
      </c>
    </row>
    <row r="1082" spans="1:5" ht="15" x14ac:dyDescent="0.2">
      <c r="A1082" s="7">
        <v>242410</v>
      </c>
      <c r="B1082" s="3" t="s">
        <v>718</v>
      </c>
      <c r="C1082" s="25">
        <v>0</v>
      </c>
      <c r="D1082" s="25">
        <v>0</v>
      </c>
      <c r="E1082" s="29">
        <f t="shared" si="207"/>
        <v>0</v>
      </c>
    </row>
    <row r="1083" spans="1:5" ht="15" x14ac:dyDescent="0.2">
      <c r="A1083" s="7">
        <v>242411</v>
      </c>
      <c r="B1083" s="3" t="s">
        <v>719</v>
      </c>
      <c r="C1083" s="25">
        <v>0</v>
      </c>
      <c r="D1083" s="25">
        <v>0</v>
      </c>
      <c r="E1083" s="29">
        <f t="shared" si="207"/>
        <v>0</v>
      </c>
    </row>
    <row r="1084" spans="1:5" ht="15" x14ac:dyDescent="0.2">
      <c r="A1084" s="7">
        <v>242412</v>
      </c>
      <c r="B1084" s="3" t="s">
        <v>562</v>
      </c>
      <c r="C1084" s="25">
        <v>0</v>
      </c>
      <c r="D1084" s="25">
        <v>0</v>
      </c>
      <c r="E1084" s="18">
        <f t="shared" si="207"/>
        <v>0</v>
      </c>
    </row>
    <row r="1085" spans="1:5" ht="15" x14ac:dyDescent="0.2">
      <c r="A1085" s="7">
        <v>242413</v>
      </c>
      <c r="B1085" s="3" t="s">
        <v>720</v>
      </c>
      <c r="C1085" s="25">
        <v>0</v>
      </c>
      <c r="D1085" s="25">
        <v>0</v>
      </c>
      <c r="E1085" s="18">
        <f t="shared" si="207"/>
        <v>0</v>
      </c>
    </row>
    <row r="1086" spans="1:5" ht="15" x14ac:dyDescent="0.2">
      <c r="A1086" s="7">
        <v>242490</v>
      </c>
      <c r="B1086" s="3" t="s">
        <v>721</v>
      </c>
      <c r="C1086" s="25">
        <v>0</v>
      </c>
      <c r="D1086" s="25">
        <v>0</v>
      </c>
      <c r="E1086" s="29">
        <f t="shared" si="207"/>
        <v>0</v>
      </c>
    </row>
    <row r="1087" spans="1:5" ht="15" x14ac:dyDescent="0.2">
      <c r="A1087" s="6">
        <v>2436</v>
      </c>
      <c r="B1087" s="2" t="s">
        <v>722</v>
      </c>
      <c r="C1087" s="24">
        <f>SUM(C1088:C1109)</f>
        <v>1515142</v>
      </c>
      <c r="D1087" s="24">
        <f t="shared" ref="D1087:E1087" si="208">SUM(D1088:D1109)</f>
        <v>0</v>
      </c>
      <c r="E1087" s="28">
        <f t="shared" si="208"/>
        <v>1515142</v>
      </c>
    </row>
    <row r="1088" spans="1:5" ht="15" x14ac:dyDescent="0.2">
      <c r="A1088" s="7">
        <v>243602</v>
      </c>
      <c r="B1088" s="3" t="s">
        <v>723</v>
      </c>
      <c r="C1088" s="25">
        <v>0</v>
      </c>
      <c r="D1088" s="25">
        <v>0</v>
      </c>
      <c r="E1088" s="18">
        <f t="shared" ref="E1088:E1109" si="209">SUM(C1088:D1088)</f>
        <v>0</v>
      </c>
    </row>
    <row r="1089" spans="1:5" ht="15" x14ac:dyDescent="0.2">
      <c r="A1089" s="7">
        <v>243603</v>
      </c>
      <c r="B1089" s="3" t="s">
        <v>242</v>
      </c>
      <c r="C1089" s="25">
        <v>0</v>
      </c>
      <c r="D1089" s="25">
        <v>0</v>
      </c>
      <c r="E1089" s="29">
        <f t="shared" si="209"/>
        <v>0</v>
      </c>
    </row>
    <row r="1090" spans="1:5" ht="15" x14ac:dyDescent="0.2">
      <c r="A1090" s="7">
        <v>243604</v>
      </c>
      <c r="B1090" s="3" t="s">
        <v>231</v>
      </c>
      <c r="C1090" s="25">
        <v>0</v>
      </c>
      <c r="D1090" s="25">
        <v>0</v>
      </c>
      <c r="E1090" s="18">
        <f t="shared" si="209"/>
        <v>0</v>
      </c>
    </row>
    <row r="1091" spans="1:5" ht="15" x14ac:dyDescent="0.2">
      <c r="A1091" s="7">
        <v>243605</v>
      </c>
      <c r="B1091" s="3" t="s">
        <v>724</v>
      </c>
      <c r="C1091" s="25">
        <v>1103690</v>
      </c>
      <c r="D1091" s="25">
        <v>0</v>
      </c>
      <c r="E1091" s="29">
        <f t="shared" si="209"/>
        <v>1103690</v>
      </c>
    </row>
    <row r="1092" spans="1:5" ht="15" x14ac:dyDescent="0.2">
      <c r="A1092" s="7">
        <v>243606</v>
      </c>
      <c r="B1092" s="3" t="s">
        <v>725</v>
      </c>
      <c r="C1092" s="25">
        <v>0</v>
      </c>
      <c r="D1092" s="25">
        <v>0</v>
      </c>
      <c r="E1092" s="18">
        <f t="shared" si="209"/>
        <v>0</v>
      </c>
    </row>
    <row r="1093" spans="1:5" ht="15" x14ac:dyDescent="0.2">
      <c r="A1093" s="7">
        <v>243607</v>
      </c>
      <c r="B1093" s="3" t="s">
        <v>726</v>
      </c>
      <c r="C1093" s="25">
        <v>0</v>
      </c>
      <c r="D1093" s="25">
        <v>0</v>
      </c>
      <c r="E1093" s="18">
        <f t="shared" si="209"/>
        <v>0</v>
      </c>
    </row>
    <row r="1094" spans="1:5" ht="15" x14ac:dyDescent="0.2">
      <c r="A1094" s="7">
        <v>243608</v>
      </c>
      <c r="B1094" s="3" t="s">
        <v>727</v>
      </c>
      <c r="C1094" s="25">
        <v>280067</v>
      </c>
      <c r="D1094" s="25">
        <v>0</v>
      </c>
      <c r="E1094" s="29">
        <f t="shared" si="209"/>
        <v>280067</v>
      </c>
    </row>
    <row r="1095" spans="1:5" ht="15" x14ac:dyDescent="0.2">
      <c r="A1095" s="7">
        <v>243609</v>
      </c>
      <c r="B1095" s="3" t="s">
        <v>728</v>
      </c>
      <c r="C1095" s="25">
        <v>0</v>
      </c>
      <c r="D1095" s="25">
        <v>0</v>
      </c>
      <c r="E1095" s="18">
        <f t="shared" si="209"/>
        <v>0</v>
      </c>
    </row>
    <row r="1096" spans="1:5" ht="15" x14ac:dyDescent="0.2">
      <c r="A1096" s="7">
        <v>243610</v>
      </c>
      <c r="B1096" s="3" t="s">
        <v>729</v>
      </c>
      <c r="C1096" s="25">
        <v>0</v>
      </c>
      <c r="D1096" s="25">
        <v>0</v>
      </c>
      <c r="E1096" s="18">
        <f t="shared" si="209"/>
        <v>0</v>
      </c>
    </row>
    <row r="1097" spans="1:5" ht="15" x14ac:dyDescent="0.2">
      <c r="A1097" s="7">
        <v>243611</v>
      </c>
      <c r="B1097" s="3" t="s">
        <v>730</v>
      </c>
      <c r="C1097" s="25">
        <v>0</v>
      </c>
      <c r="D1097" s="25">
        <v>0</v>
      </c>
      <c r="E1097" s="18">
        <f t="shared" si="209"/>
        <v>0</v>
      </c>
    </row>
    <row r="1098" spans="1:5" ht="15" x14ac:dyDescent="0.2">
      <c r="A1098" s="7">
        <v>243612</v>
      </c>
      <c r="B1098" s="3" t="s">
        <v>731</v>
      </c>
      <c r="C1098" s="25">
        <v>0</v>
      </c>
      <c r="D1098" s="25">
        <v>0</v>
      </c>
      <c r="E1098" s="18">
        <f t="shared" si="209"/>
        <v>0</v>
      </c>
    </row>
    <row r="1099" spans="1:5" ht="15" x14ac:dyDescent="0.2">
      <c r="A1099" s="7">
        <v>243613</v>
      </c>
      <c r="B1099" s="3" t="s">
        <v>732</v>
      </c>
      <c r="C1099" s="25">
        <v>0</v>
      </c>
      <c r="D1099" s="25">
        <v>0</v>
      </c>
      <c r="E1099" s="18">
        <f t="shared" si="209"/>
        <v>0</v>
      </c>
    </row>
    <row r="1100" spans="1:5" ht="15" x14ac:dyDescent="0.2">
      <c r="A1100" s="7">
        <v>243614</v>
      </c>
      <c r="B1100" s="3" t="s">
        <v>733</v>
      </c>
      <c r="C1100" s="25">
        <v>0</v>
      </c>
      <c r="D1100" s="25">
        <v>0</v>
      </c>
      <c r="E1100" s="18">
        <f t="shared" si="209"/>
        <v>0</v>
      </c>
    </row>
    <row r="1101" spans="1:5" ht="15" x14ac:dyDescent="0.2">
      <c r="A1101" s="7">
        <v>243615</v>
      </c>
      <c r="B1101" s="3" t="s">
        <v>734</v>
      </c>
      <c r="C1101" s="25">
        <v>0</v>
      </c>
      <c r="D1101" s="25">
        <v>0</v>
      </c>
      <c r="E1101" s="18">
        <f t="shared" si="209"/>
        <v>0</v>
      </c>
    </row>
    <row r="1102" spans="1:5" ht="15" x14ac:dyDescent="0.2">
      <c r="A1102" s="7">
        <v>243619</v>
      </c>
      <c r="B1102" s="3" t="s">
        <v>735</v>
      </c>
      <c r="C1102" s="25">
        <v>0</v>
      </c>
      <c r="D1102" s="25">
        <v>0</v>
      </c>
      <c r="E1102" s="18">
        <f t="shared" si="209"/>
        <v>0</v>
      </c>
    </row>
    <row r="1103" spans="1:5" ht="15" x14ac:dyDescent="0.2">
      <c r="A1103" s="7">
        <v>243625</v>
      </c>
      <c r="B1103" s="3" t="s">
        <v>736</v>
      </c>
      <c r="C1103" s="25">
        <v>131385</v>
      </c>
      <c r="D1103" s="25">
        <v>0</v>
      </c>
      <c r="E1103" s="29">
        <f t="shared" si="209"/>
        <v>131385</v>
      </c>
    </row>
    <row r="1104" spans="1:5" ht="15" x14ac:dyDescent="0.2">
      <c r="A1104" s="7">
        <v>243626</v>
      </c>
      <c r="B1104" s="3" t="s">
        <v>254</v>
      </c>
      <c r="C1104" s="25">
        <v>0</v>
      </c>
      <c r="D1104" s="25">
        <v>0</v>
      </c>
      <c r="E1104" s="18">
        <f t="shared" si="209"/>
        <v>0</v>
      </c>
    </row>
    <row r="1105" spans="1:5" ht="15" x14ac:dyDescent="0.2">
      <c r="A1105" s="7">
        <v>243627</v>
      </c>
      <c r="B1105" s="3" t="s">
        <v>737</v>
      </c>
      <c r="C1105" s="25">
        <v>0</v>
      </c>
      <c r="D1105" s="25">
        <v>0</v>
      </c>
      <c r="E1105" s="18">
        <f t="shared" si="209"/>
        <v>0</v>
      </c>
    </row>
    <row r="1106" spans="1:5" ht="15" x14ac:dyDescent="0.2">
      <c r="A1106" s="7">
        <v>243628</v>
      </c>
      <c r="B1106" s="3" t="s">
        <v>738</v>
      </c>
      <c r="C1106" s="25">
        <v>0</v>
      </c>
      <c r="D1106" s="25">
        <v>0</v>
      </c>
      <c r="E1106" s="18">
        <f t="shared" si="209"/>
        <v>0</v>
      </c>
    </row>
    <row r="1107" spans="1:5" ht="15" x14ac:dyDescent="0.2">
      <c r="A1107" s="7">
        <v>243690</v>
      </c>
      <c r="B1107" s="3" t="s">
        <v>739</v>
      </c>
      <c r="C1107" s="25">
        <v>0</v>
      </c>
      <c r="D1107" s="25">
        <v>0</v>
      </c>
      <c r="E1107" s="29">
        <f t="shared" si="209"/>
        <v>0</v>
      </c>
    </row>
    <row r="1108" spans="1:5" ht="15" x14ac:dyDescent="0.2">
      <c r="A1108" s="7">
        <v>243695</v>
      </c>
      <c r="B1108" s="3" t="s">
        <v>740</v>
      </c>
      <c r="C1108" s="25">
        <v>0</v>
      </c>
      <c r="D1108" s="25">
        <v>0</v>
      </c>
      <c r="E1108" s="18">
        <f t="shared" si="209"/>
        <v>0</v>
      </c>
    </row>
    <row r="1109" spans="1:5" ht="15" x14ac:dyDescent="0.2">
      <c r="A1109" s="7">
        <v>243698</v>
      </c>
      <c r="B1109" s="3" t="s">
        <v>741</v>
      </c>
      <c r="C1109" s="25">
        <v>0</v>
      </c>
      <c r="D1109" s="25">
        <v>0</v>
      </c>
      <c r="E1109" s="18">
        <f t="shared" si="209"/>
        <v>0</v>
      </c>
    </row>
    <row r="1110" spans="1:5" ht="15" x14ac:dyDescent="0.2">
      <c r="A1110" s="6">
        <v>2440</v>
      </c>
      <c r="B1110" s="2" t="s">
        <v>742</v>
      </c>
      <c r="C1110" s="24">
        <f>SUM(C1111:C1139)</f>
        <v>900174807</v>
      </c>
      <c r="D1110" s="24">
        <f t="shared" ref="D1110:E1110" si="210">SUM(D1111:D1139)</f>
        <v>0</v>
      </c>
      <c r="E1110" s="17">
        <f t="shared" si="210"/>
        <v>900174807</v>
      </c>
    </row>
    <row r="1111" spans="1:5" ht="15" x14ac:dyDescent="0.2">
      <c r="A1111" s="7">
        <v>244001</v>
      </c>
      <c r="B1111" s="3" t="s">
        <v>743</v>
      </c>
      <c r="C1111" s="25">
        <v>0</v>
      </c>
      <c r="D1111" s="25">
        <v>0</v>
      </c>
      <c r="E1111" s="18">
        <f t="shared" ref="E1111:E1139" si="211">SUM(C1111:D1111)</f>
        <v>0</v>
      </c>
    </row>
    <row r="1112" spans="1:5" ht="15" x14ac:dyDescent="0.2">
      <c r="A1112" s="7">
        <v>244003</v>
      </c>
      <c r="B1112" s="3" t="s">
        <v>744</v>
      </c>
      <c r="C1112" s="25">
        <v>0</v>
      </c>
      <c r="D1112" s="25">
        <v>0</v>
      </c>
      <c r="E1112" s="18">
        <f t="shared" si="211"/>
        <v>0</v>
      </c>
    </row>
    <row r="1113" spans="1:5" ht="15" x14ac:dyDescent="0.2">
      <c r="A1113" s="7">
        <v>244004</v>
      </c>
      <c r="B1113" s="3" t="s">
        <v>745</v>
      </c>
      <c r="C1113" s="25">
        <v>0</v>
      </c>
      <c r="D1113" s="25">
        <v>0</v>
      </c>
      <c r="E1113" s="18">
        <f t="shared" si="211"/>
        <v>0</v>
      </c>
    </row>
    <row r="1114" spans="1:5" ht="15" x14ac:dyDescent="0.2">
      <c r="A1114" s="7">
        <v>244007</v>
      </c>
      <c r="B1114" s="3" t="s">
        <v>746</v>
      </c>
      <c r="C1114" s="25">
        <v>0</v>
      </c>
      <c r="D1114" s="25">
        <v>0</v>
      </c>
      <c r="E1114" s="18">
        <f t="shared" si="211"/>
        <v>0</v>
      </c>
    </row>
    <row r="1115" spans="1:5" ht="15" x14ac:dyDescent="0.2">
      <c r="A1115" s="7">
        <v>244009</v>
      </c>
      <c r="B1115" s="3" t="s">
        <v>747</v>
      </c>
      <c r="C1115" s="25">
        <v>0</v>
      </c>
      <c r="D1115" s="25">
        <v>0</v>
      </c>
      <c r="E1115" s="18">
        <f t="shared" si="211"/>
        <v>0</v>
      </c>
    </row>
    <row r="1116" spans="1:5" ht="15" x14ac:dyDescent="0.2">
      <c r="A1116" s="7">
        <v>244010</v>
      </c>
      <c r="B1116" s="3" t="s">
        <v>748</v>
      </c>
      <c r="C1116" s="25">
        <v>0</v>
      </c>
      <c r="D1116" s="25">
        <v>0</v>
      </c>
      <c r="E1116" s="18">
        <f t="shared" si="211"/>
        <v>0</v>
      </c>
    </row>
    <row r="1117" spans="1:5" ht="15" x14ac:dyDescent="0.2">
      <c r="A1117" s="7">
        <v>244011</v>
      </c>
      <c r="B1117" s="3" t="s">
        <v>749</v>
      </c>
      <c r="C1117" s="25">
        <v>0</v>
      </c>
      <c r="D1117" s="25">
        <v>0</v>
      </c>
      <c r="E1117" s="18">
        <f t="shared" si="211"/>
        <v>0</v>
      </c>
    </row>
    <row r="1118" spans="1:5" ht="15" x14ac:dyDescent="0.2">
      <c r="A1118" s="7">
        <v>244014</v>
      </c>
      <c r="B1118" s="3" t="s">
        <v>750</v>
      </c>
      <c r="C1118" s="25">
        <v>0</v>
      </c>
      <c r="D1118" s="25">
        <v>0</v>
      </c>
      <c r="E1118" s="18">
        <f t="shared" si="211"/>
        <v>0</v>
      </c>
    </row>
    <row r="1119" spans="1:5" ht="15" x14ac:dyDescent="0.2">
      <c r="A1119" s="7">
        <v>244016</v>
      </c>
      <c r="B1119" s="3" t="s">
        <v>751</v>
      </c>
      <c r="C1119" s="25">
        <v>0</v>
      </c>
      <c r="D1119" s="25">
        <v>0</v>
      </c>
      <c r="E1119" s="18">
        <f t="shared" si="211"/>
        <v>0</v>
      </c>
    </row>
    <row r="1120" spans="1:5" ht="15" x14ac:dyDescent="0.2">
      <c r="A1120" s="7">
        <v>244017</v>
      </c>
      <c r="B1120" s="3" t="s">
        <v>252</v>
      </c>
      <c r="C1120" s="25">
        <v>0</v>
      </c>
      <c r="D1120" s="25">
        <v>0</v>
      </c>
      <c r="E1120" s="18">
        <f t="shared" si="211"/>
        <v>0</v>
      </c>
    </row>
    <row r="1121" spans="1:5" ht="15" x14ac:dyDescent="0.2">
      <c r="A1121" s="7">
        <v>244019</v>
      </c>
      <c r="B1121" s="3" t="s">
        <v>741</v>
      </c>
      <c r="C1121" s="25">
        <v>0</v>
      </c>
      <c r="D1121" s="25">
        <v>0</v>
      </c>
      <c r="E1121" s="18">
        <f t="shared" si="211"/>
        <v>0</v>
      </c>
    </row>
    <row r="1122" spans="1:5" ht="15" x14ac:dyDescent="0.2">
      <c r="A1122" s="7">
        <v>244020</v>
      </c>
      <c r="B1122" s="3" t="s">
        <v>752</v>
      </c>
      <c r="C1122" s="25">
        <v>0</v>
      </c>
      <c r="D1122" s="25">
        <v>0</v>
      </c>
      <c r="E1122" s="18">
        <f t="shared" si="211"/>
        <v>0</v>
      </c>
    </row>
    <row r="1123" spans="1:5" ht="15" x14ac:dyDescent="0.2">
      <c r="A1123" s="7">
        <v>244021</v>
      </c>
      <c r="B1123" s="3" t="s">
        <v>753</v>
      </c>
      <c r="C1123" s="25">
        <v>0</v>
      </c>
      <c r="D1123" s="25">
        <v>0</v>
      </c>
      <c r="E1123" s="18">
        <f t="shared" si="211"/>
        <v>0</v>
      </c>
    </row>
    <row r="1124" spans="1:5" ht="15" x14ac:dyDescent="0.2">
      <c r="A1124" s="7">
        <v>244022</v>
      </c>
      <c r="B1124" s="3" t="s">
        <v>754</v>
      </c>
      <c r="C1124" s="25">
        <v>0</v>
      </c>
      <c r="D1124" s="25">
        <v>0</v>
      </c>
      <c r="E1124" s="18">
        <f t="shared" si="211"/>
        <v>0</v>
      </c>
    </row>
    <row r="1125" spans="1:5" ht="15" x14ac:dyDescent="0.2">
      <c r="A1125" s="7">
        <v>244023</v>
      </c>
      <c r="B1125" s="3" t="s">
        <v>755</v>
      </c>
      <c r="C1125" s="25">
        <v>0</v>
      </c>
      <c r="D1125" s="25">
        <v>0</v>
      </c>
      <c r="E1125" s="18">
        <f t="shared" si="211"/>
        <v>0</v>
      </c>
    </row>
    <row r="1126" spans="1:5" ht="15" x14ac:dyDescent="0.2">
      <c r="A1126" s="7">
        <v>244024</v>
      </c>
      <c r="B1126" s="3" t="s">
        <v>756</v>
      </c>
      <c r="C1126" s="25">
        <v>0</v>
      </c>
      <c r="D1126" s="25">
        <v>0</v>
      </c>
      <c r="E1126" s="18">
        <f t="shared" si="211"/>
        <v>0</v>
      </c>
    </row>
    <row r="1127" spans="1:5" ht="15" x14ac:dyDescent="0.2">
      <c r="A1127" s="7">
        <v>244027</v>
      </c>
      <c r="B1127" s="3" t="s">
        <v>757</v>
      </c>
      <c r="C1127" s="25">
        <v>0</v>
      </c>
      <c r="D1127" s="25">
        <v>0</v>
      </c>
      <c r="E1127" s="18">
        <f t="shared" si="211"/>
        <v>0</v>
      </c>
    </row>
    <row r="1128" spans="1:5" ht="15" x14ac:dyDescent="0.2">
      <c r="A1128" s="7">
        <v>244029</v>
      </c>
      <c r="B1128" s="3" t="s">
        <v>758</v>
      </c>
      <c r="C1128" s="25">
        <v>0</v>
      </c>
      <c r="D1128" s="25">
        <v>0</v>
      </c>
      <c r="E1128" s="18">
        <f t="shared" si="211"/>
        <v>0</v>
      </c>
    </row>
    <row r="1129" spans="1:5" ht="15" x14ac:dyDescent="0.2">
      <c r="A1129" s="7">
        <v>244031</v>
      </c>
      <c r="B1129" s="3" t="s">
        <v>759</v>
      </c>
      <c r="C1129" s="25">
        <v>0</v>
      </c>
      <c r="D1129" s="25">
        <v>0</v>
      </c>
      <c r="E1129" s="18">
        <f t="shared" si="211"/>
        <v>0</v>
      </c>
    </row>
    <row r="1130" spans="1:5" ht="15" x14ac:dyDescent="0.2">
      <c r="A1130" s="7">
        <v>244032</v>
      </c>
      <c r="B1130" s="3" t="s">
        <v>760</v>
      </c>
      <c r="C1130" s="25">
        <v>0</v>
      </c>
      <c r="D1130" s="25">
        <v>0</v>
      </c>
      <c r="E1130" s="18">
        <f t="shared" si="211"/>
        <v>0</v>
      </c>
    </row>
    <row r="1131" spans="1:5" ht="15" x14ac:dyDescent="0.2">
      <c r="A1131" s="7">
        <v>244034</v>
      </c>
      <c r="B1131" s="3" t="s">
        <v>761</v>
      </c>
      <c r="C1131" s="25">
        <v>0</v>
      </c>
      <c r="D1131" s="25">
        <v>0</v>
      </c>
      <c r="E1131" s="18">
        <f t="shared" si="211"/>
        <v>0</v>
      </c>
    </row>
    <row r="1132" spans="1:5" ht="15" x14ac:dyDescent="0.2">
      <c r="A1132" s="7">
        <v>244035</v>
      </c>
      <c r="B1132" s="3" t="s">
        <v>113</v>
      </c>
      <c r="C1132" s="25">
        <v>0</v>
      </c>
      <c r="D1132" s="25">
        <v>0</v>
      </c>
      <c r="E1132" s="18">
        <f t="shared" si="211"/>
        <v>0</v>
      </c>
    </row>
    <row r="1133" spans="1:5" ht="15" x14ac:dyDescent="0.2">
      <c r="A1133" s="7">
        <v>244036</v>
      </c>
      <c r="B1133" s="3" t="s">
        <v>762</v>
      </c>
      <c r="C1133" s="25">
        <v>0</v>
      </c>
      <c r="D1133" s="25">
        <v>0</v>
      </c>
      <c r="E1133" s="18">
        <f t="shared" si="211"/>
        <v>0</v>
      </c>
    </row>
    <row r="1134" spans="1:5" ht="15" x14ac:dyDescent="0.2">
      <c r="A1134" s="7">
        <v>244037</v>
      </c>
      <c r="B1134" s="3" t="s">
        <v>763</v>
      </c>
      <c r="C1134" s="25">
        <v>0</v>
      </c>
      <c r="D1134" s="25">
        <v>0</v>
      </c>
      <c r="E1134" s="18">
        <f t="shared" si="211"/>
        <v>0</v>
      </c>
    </row>
    <row r="1135" spans="1:5" ht="15" x14ac:dyDescent="0.2">
      <c r="A1135" s="7">
        <v>244075</v>
      </c>
      <c r="B1135" s="3" t="s">
        <v>764</v>
      </c>
      <c r="C1135" s="25">
        <v>0</v>
      </c>
      <c r="D1135" s="25">
        <v>0</v>
      </c>
      <c r="E1135" s="18">
        <f t="shared" si="211"/>
        <v>0</v>
      </c>
    </row>
    <row r="1136" spans="1:5" ht="15" x14ac:dyDescent="0.2">
      <c r="A1136" s="7">
        <v>244080</v>
      </c>
      <c r="B1136" s="3" t="s">
        <v>765</v>
      </c>
      <c r="C1136" s="25">
        <v>0</v>
      </c>
      <c r="D1136" s="25">
        <v>0</v>
      </c>
      <c r="E1136" s="18">
        <f t="shared" si="211"/>
        <v>0</v>
      </c>
    </row>
    <row r="1137" spans="1:5" ht="15" x14ac:dyDescent="0.2">
      <c r="A1137" s="7">
        <v>244085</v>
      </c>
      <c r="B1137" s="3" t="s">
        <v>766</v>
      </c>
      <c r="C1137" s="25">
        <v>0</v>
      </c>
      <c r="D1137" s="25">
        <v>0</v>
      </c>
      <c r="E1137" s="18">
        <f t="shared" si="211"/>
        <v>0</v>
      </c>
    </row>
    <row r="1138" spans="1:5" ht="15" x14ac:dyDescent="0.2">
      <c r="A1138" s="7">
        <v>244090</v>
      </c>
      <c r="B1138" s="3" t="s">
        <v>767</v>
      </c>
      <c r="C1138" s="25">
        <v>0</v>
      </c>
      <c r="D1138" s="25">
        <v>0</v>
      </c>
      <c r="E1138" s="18">
        <f t="shared" si="211"/>
        <v>0</v>
      </c>
    </row>
    <row r="1139" spans="1:5" ht="15" x14ac:dyDescent="0.2">
      <c r="A1139" s="7">
        <v>244091</v>
      </c>
      <c r="B1139" s="3" t="s">
        <v>768</v>
      </c>
      <c r="C1139" s="25">
        <v>900174807</v>
      </c>
      <c r="D1139" s="25">
        <v>0</v>
      </c>
      <c r="E1139" s="18">
        <f t="shared" si="211"/>
        <v>900174807</v>
      </c>
    </row>
    <row r="1140" spans="1:5" ht="15" x14ac:dyDescent="0.2">
      <c r="A1140" s="6">
        <v>2445</v>
      </c>
      <c r="B1140" s="2" t="s">
        <v>769</v>
      </c>
      <c r="C1140" s="24">
        <f>SUM(C1141:C1150)</f>
        <v>0</v>
      </c>
      <c r="D1140" s="24">
        <f t="shared" ref="D1140:E1140" si="212">SUM(D1141:D1150)</f>
        <v>0</v>
      </c>
      <c r="E1140" s="17">
        <f t="shared" si="212"/>
        <v>0</v>
      </c>
    </row>
    <row r="1141" spans="1:5" ht="15" x14ac:dyDescent="0.2">
      <c r="A1141" s="7">
        <v>244501</v>
      </c>
      <c r="B1141" s="3" t="s">
        <v>260</v>
      </c>
      <c r="C1141" s="25">
        <v>0</v>
      </c>
      <c r="D1141" s="25">
        <v>0</v>
      </c>
      <c r="E1141" s="18">
        <f t="shared" ref="E1141:E1150" si="213">SUM(C1141:D1141)</f>
        <v>0</v>
      </c>
    </row>
    <row r="1142" spans="1:5" ht="15" x14ac:dyDescent="0.2">
      <c r="A1142" s="7">
        <v>244502</v>
      </c>
      <c r="B1142" s="3" t="s">
        <v>770</v>
      </c>
      <c r="C1142" s="25">
        <v>0</v>
      </c>
      <c r="D1142" s="25">
        <v>0</v>
      </c>
      <c r="E1142" s="18">
        <f t="shared" si="213"/>
        <v>0</v>
      </c>
    </row>
    <row r="1143" spans="1:5" ht="15" x14ac:dyDescent="0.2">
      <c r="A1143" s="7">
        <v>244503</v>
      </c>
      <c r="B1143" s="3" t="s">
        <v>771</v>
      </c>
      <c r="C1143" s="25">
        <v>0</v>
      </c>
      <c r="D1143" s="25">
        <v>0</v>
      </c>
      <c r="E1143" s="18">
        <f t="shared" si="213"/>
        <v>0</v>
      </c>
    </row>
    <row r="1144" spans="1:5" ht="15" x14ac:dyDescent="0.2">
      <c r="A1144" s="7">
        <v>244504</v>
      </c>
      <c r="B1144" s="3" t="s">
        <v>772</v>
      </c>
      <c r="C1144" s="25">
        <v>0</v>
      </c>
      <c r="D1144" s="25">
        <v>0</v>
      </c>
      <c r="E1144" s="18">
        <f t="shared" si="213"/>
        <v>0</v>
      </c>
    </row>
    <row r="1145" spans="1:5" ht="15" x14ac:dyDescent="0.2">
      <c r="A1145" s="7">
        <v>244505</v>
      </c>
      <c r="B1145" s="3" t="s">
        <v>773</v>
      </c>
      <c r="C1145" s="25">
        <v>0</v>
      </c>
      <c r="D1145" s="25">
        <v>0</v>
      </c>
      <c r="E1145" s="18">
        <f t="shared" si="213"/>
        <v>0</v>
      </c>
    </row>
    <row r="1146" spans="1:5" ht="15" x14ac:dyDescent="0.2">
      <c r="A1146" s="7">
        <v>244506</v>
      </c>
      <c r="B1146" s="3" t="s">
        <v>774</v>
      </c>
      <c r="C1146" s="25">
        <v>0</v>
      </c>
      <c r="D1146" s="25">
        <v>0</v>
      </c>
      <c r="E1146" s="18">
        <f t="shared" si="213"/>
        <v>0</v>
      </c>
    </row>
    <row r="1147" spans="1:5" ht="15" x14ac:dyDescent="0.2">
      <c r="A1147" s="7">
        <v>244507</v>
      </c>
      <c r="B1147" s="3" t="s">
        <v>775</v>
      </c>
      <c r="C1147" s="25">
        <v>0</v>
      </c>
      <c r="D1147" s="25">
        <v>0</v>
      </c>
      <c r="E1147" s="18">
        <f t="shared" si="213"/>
        <v>0</v>
      </c>
    </row>
    <row r="1148" spans="1:5" ht="15" x14ac:dyDescent="0.2">
      <c r="A1148" s="7">
        <v>244508</v>
      </c>
      <c r="B1148" s="3" t="s">
        <v>776</v>
      </c>
      <c r="C1148" s="25">
        <v>0</v>
      </c>
      <c r="D1148" s="25">
        <v>0</v>
      </c>
      <c r="E1148" s="18">
        <f t="shared" si="213"/>
        <v>0</v>
      </c>
    </row>
    <row r="1149" spans="1:5" ht="15" x14ac:dyDescent="0.2">
      <c r="A1149" s="7">
        <v>244575</v>
      </c>
      <c r="B1149" s="3" t="s">
        <v>777</v>
      </c>
      <c r="C1149" s="25">
        <v>0</v>
      </c>
      <c r="D1149" s="25">
        <v>0</v>
      </c>
      <c r="E1149" s="18">
        <f t="shared" si="213"/>
        <v>0</v>
      </c>
    </row>
    <row r="1150" spans="1:5" ht="15" x14ac:dyDescent="0.2">
      <c r="A1150" s="7">
        <v>244580</v>
      </c>
      <c r="B1150" s="3" t="s">
        <v>778</v>
      </c>
      <c r="C1150" s="25">
        <v>0</v>
      </c>
      <c r="D1150" s="25">
        <v>0</v>
      </c>
      <c r="E1150" s="18">
        <f t="shared" si="213"/>
        <v>0</v>
      </c>
    </row>
    <row r="1151" spans="1:5" ht="15" x14ac:dyDescent="0.2">
      <c r="A1151" s="6">
        <v>2460</v>
      </c>
      <c r="B1151" s="2" t="s">
        <v>779</v>
      </c>
      <c r="C1151" s="24">
        <f>SUM(C1152:C1154)</f>
        <v>0</v>
      </c>
      <c r="D1151" s="24">
        <f t="shared" ref="D1151:E1151" si="214">SUM(D1152:D1154)</f>
        <v>0</v>
      </c>
      <c r="E1151" s="17">
        <f t="shared" si="214"/>
        <v>0</v>
      </c>
    </row>
    <row r="1152" spans="1:5" ht="15" x14ac:dyDescent="0.2">
      <c r="A1152" s="7">
        <v>246002</v>
      </c>
      <c r="B1152" s="3" t="s">
        <v>780</v>
      </c>
      <c r="C1152" s="25">
        <v>0</v>
      </c>
      <c r="D1152" s="25">
        <v>0</v>
      </c>
      <c r="E1152" s="18">
        <f t="shared" ref="E1152:E1154" si="215">SUM(C1152:D1152)</f>
        <v>0</v>
      </c>
    </row>
    <row r="1153" spans="1:5" ht="15" x14ac:dyDescent="0.2">
      <c r="A1153" s="7">
        <v>246003</v>
      </c>
      <c r="B1153" s="3" t="s">
        <v>781</v>
      </c>
      <c r="C1153" s="25">
        <v>0</v>
      </c>
      <c r="D1153" s="25">
        <v>0</v>
      </c>
      <c r="E1153" s="18">
        <f t="shared" si="215"/>
        <v>0</v>
      </c>
    </row>
    <row r="1154" spans="1:5" ht="15" x14ac:dyDescent="0.2">
      <c r="A1154" s="7">
        <v>246090</v>
      </c>
      <c r="B1154" s="3" t="s">
        <v>782</v>
      </c>
      <c r="C1154" s="25">
        <v>0</v>
      </c>
      <c r="D1154" s="25">
        <v>0</v>
      </c>
      <c r="E1154" s="18">
        <f t="shared" si="215"/>
        <v>0</v>
      </c>
    </row>
    <row r="1155" spans="1:5" ht="15" x14ac:dyDescent="0.2">
      <c r="A1155" s="6">
        <v>2465</v>
      </c>
      <c r="B1155" s="2" t="s">
        <v>783</v>
      </c>
      <c r="C1155" s="24">
        <f>SUM(C1156:C1160)</f>
        <v>0</v>
      </c>
      <c r="D1155" s="24">
        <f t="shared" ref="D1155:E1155" si="216">SUM(D1156:D1160)</f>
        <v>0</v>
      </c>
      <c r="E1155" s="17">
        <f t="shared" si="216"/>
        <v>0</v>
      </c>
    </row>
    <row r="1156" spans="1:5" ht="15" x14ac:dyDescent="0.2">
      <c r="A1156" s="7">
        <v>246501</v>
      </c>
      <c r="B1156" s="3" t="s">
        <v>784</v>
      </c>
      <c r="C1156" s="25">
        <v>0</v>
      </c>
      <c r="D1156" s="25">
        <v>0</v>
      </c>
      <c r="E1156" s="18">
        <f t="shared" ref="E1156:E1160" si="217">SUM(C1156:D1156)</f>
        <v>0</v>
      </c>
    </row>
    <row r="1157" spans="1:5" ht="15" x14ac:dyDescent="0.2">
      <c r="A1157" s="7">
        <v>246502</v>
      </c>
      <c r="B1157" s="3" t="s">
        <v>785</v>
      </c>
      <c r="C1157" s="25">
        <v>0</v>
      </c>
      <c r="D1157" s="25">
        <v>0</v>
      </c>
      <c r="E1157" s="18">
        <f t="shared" si="217"/>
        <v>0</v>
      </c>
    </row>
    <row r="1158" spans="1:5" ht="15" x14ac:dyDescent="0.2">
      <c r="A1158" s="7">
        <v>246503</v>
      </c>
      <c r="B1158" s="3" t="s">
        <v>786</v>
      </c>
      <c r="C1158" s="25">
        <v>0</v>
      </c>
      <c r="D1158" s="25">
        <v>0</v>
      </c>
      <c r="E1158" s="18">
        <f t="shared" si="217"/>
        <v>0</v>
      </c>
    </row>
    <row r="1159" spans="1:5" ht="15" x14ac:dyDescent="0.2">
      <c r="A1159" s="7">
        <v>246550</v>
      </c>
      <c r="B1159" s="3" t="s">
        <v>787</v>
      </c>
      <c r="C1159" s="25">
        <v>0</v>
      </c>
      <c r="D1159" s="25">
        <v>0</v>
      </c>
      <c r="E1159" s="18">
        <f t="shared" si="217"/>
        <v>0</v>
      </c>
    </row>
    <row r="1160" spans="1:5" ht="15" x14ac:dyDescent="0.2">
      <c r="A1160" s="7">
        <v>246590</v>
      </c>
      <c r="B1160" s="3" t="s">
        <v>788</v>
      </c>
      <c r="C1160" s="25">
        <v>0</v>
      </c>
      <c r="D1160" s="25">
        <v>0</v>
      </c>
      <c r="E1160" s="18">
        <f t="shared" si="217"/>
        <v>0</v>
      </c>
    </row>
    <row r="1161" spans="1:5" ht="15" x14ac:dyDescent="0.2">
      <c r="A1161" s="6">
        <v>2475</v>
      </c>
      <c r="B1161" s="2" t="s">
        <v>789</v>
      </c>
      <c r="C1161" s="24">
        <f>SUM(C1162:C1167)</f>
        <v>0</v>
      </c>
      <c r="D1161" s="24">
        <f t="shared" ref="D1161:E1161" si="218">SUM(D1162:D1167)</f>
        <v>0</v>
      </c>
      <c r="E1161" s="17">
        <f t="shared" si="218"/>
        <v>0</v>
      </c>
    </row>
    <row r="1162" spans="1:5" ht="15" x14ac:dyDescent="0.2">
      <c r="A1162" s="7">
        <v>247501</v>
      </c>
      <c r="B1162" s="3" t="s">
        <v>790</v>
      </c>
      <c r="C1162" s="25">
        <v>0</v>
      </c>
      <c r="D1162" s="25">
        <v>0</v>
      </c>
      <c r="E1162" s="18">
        <f t="shared" ref="E1162:E1167" si="219">SUM(C1162:D1162)</f>
        <v>0</v>
      </c>
    </row>
    <row r="1163" spans="1:5" ht="15" x14ac:dyDescent="0.2">
      <c r="A1163" s="7">
        <v>247507</v>
      </c>
      <c r="B1163" s="3" t="s">
        <v>791</v>
      </c>
      <c r="C1163" s="25">
        <v>0</v>
      </c>
      <c r="D1163" s="25">
        <v>0</v>
      </c>
      <c r="E1163" s="18">
        <f t="shared" si="219"/>
        <v>0</v>
      </c>
    </row>
    <row r="1164" spans="1:5" ht="15" x14ac:dyDescent="0.2">
      <c r="A1164" s="7">
        <v>247508</v>
      </c>
      <c r="B1164" s="3" t="s">
        <v>792</v>
      </c>
      <c r="C1164" s="25">
        <v>0</v>
      </c>
      <c r="D1164" s="25">
        <v>0</v>
      </c>
      <c r="E1164" s="18">
        <f t="shared" si="219"/>
        <v>0</v>
      </c>
    </row>
    <row r="1165" spans="1:5" ht="15" x14ac:dyDescent="0.2">
      <c r="A1165" s="7">
        <v>247509</v>
      </c>
      <c r="B1165" s="3" t="s">
        <v>252</v>
      </c>
      <c r="C1165" s="25">
        <v>0</v>
      </c>
      <c r="D1165" s="25">
        <v>0</v>
      </c>
      <c r="E1165" s="18">
        <f t="shared" si="219"/>
        <v>0</v>
      </c>
    </row>
    <row r="1166" spans="1:5" ht="15" x14ac:dyDescent="0.2">
      <c r="A1166" s="7">
        <v>247510</v>
      </c>
      <c r="B1166" s="3" t="s">
        <v>793</v>
      </c>
      <c r="C1166" s="25">
        <v>0</v>
      </c>
      <c r="D1166" s="25">
        <v>0</v>
      </c>
      <c r="E1166" s="18">
        <f t="shared" si="219"/>
        <v>0</v>
      </c>
    </row>
    <row r="1167" spans="1:5" ht="15" x14ac:dyDescent="0.2">
      <c r="A1167" s="7">
        <v>247590</v>
      </c>
      <c r="B1167" s="3" t="s">
        <v>794</v>
      </c>
      <c r="C1167" s="25">
        <v>0</v>
      </c>
      <c r="D1167" s="25">
        <v>0</v>
      </c>
      <c r="E1167" s="18">
        <f t="shared" si="219"/>
        <v>0</v>
      </c>
    </row>
    <row r="1168" spans="1:5" ht="15" x14ac:dyDescent="0.2">
      <c r="A1168" s="6">
        <v>2481</v>
      </c>
      <c r="B1168" s="2" t="s">
        <v>795</v>
      </c>
      <c r="C1168" s="24">
        <f>SUM(C1169:C1187)</f>
        <v>0</v>
      </c>
      <c r="D1168" s="24">
        <f t="shared" ref="D1168:E1168" si="220">SUM(D1169:D1187)</f>
        <v>0</v>
      </c>
      <c r="E1168" s="17">
        <f t="shared" si="220"/>
        <v>0</v>
      </c>
    </row>
    <row r="1169" spans="1:5" ht="15" x14ac:dyDescent="0.2">
      <c r="A1169" s="7">
        <v>248101</v>
      </c>
      <c r="B1169" s="3" t="s">
        <v>796</v>
      </c>
      <c r="C1169" s="25">
        <v>0</v>
      </c>
      <c r="D1169" s="25">
        <v>0</v>
      </c>
      <c r="E1169" s="18">
        <f t="shared" ref="E1169:E1187" si="221">SUM(C1169:D1169)</f>
        <v>0</v>
      </c>
    </row>
    <row r="1170" spans="1:5" ht="15" x14ac:dyDescent="0.2">
      <c r="A1170" s="7">
        <v>248102</v>
      </c>
      <c r="B1170" s="3" t="s">
        <v>797</v>
      </c>
      <c r="C1170" s="25">
        <v>0</v>
      </c>
      <c r="D1170" s="25">
        <v>0</v>
      </c>
      <c r="E1170" s="18">
        <f t="shared" si="221"/>
        <v>0</v>
      </c>
    </row>
    <row r="1171" spans="1:5" ht="15" x14ac:dyDescent="0.2">
      <c r="A1171" s="7">
        <v>248103</v>
      </c>
      <c r="B1171" s="3" t="s">
        <v>798</v>
      </c>
      <c r="C1171" s="25">
        <v>0</v>
      </c>
      <c r="D1171" s="25">
        <v>0</v>
      </c>
      <c r="E1171" s="18">
        <f t="shared" si="221"/>
        <v>0</v>
      </c>
    </row>
    <row r="1172" spans="1:5" ht="15" x14ac:dyDescent="0.2">
      <c r="A1172" s="7">
        <v>248104</v>
      </c>
      <c r="B1172" s="3" t="s">
        <v>799</v>
      </c>
      <c r="C1172" s="25">
        <v>0</v>
      </c>
      <c r="D1172" s="25">
        <v>0</v>
      </c>
      <c r="E1172" s="18">
        <f t="shared" si="221"/>
        <v>0</v>
      </c>
    </row>
    <row r="1173" spans="1:5" ht="15" x14ac:dyDescent="0.2">
      <c r="A1173" s="7">
        <v>248105</v>
      </c>
      <c r="B1173" s="3" t="s">
        <v>800</v>
      </c>
      <c r="C1173" s="25">
        <v>0</v>
      </c>
      <c r="D1173" s="25">
        <v>0</v>
      </c>
      <c r="E1173" s="18">
        <f t="shared" si="221"/>
        <v>0</v>
      </c>
    </row>
    <row r="1174" spans="1:5" ht="15" x14ac:dyDescent="0.2">
      <c r="A1174" s="7">
        <v>248106</v>
      </c>
      <c r="B1174" s="3" t="s">
        <v>801</v>
      </c>
      <c r="C1174" s="25">
        <v>0</v>
      </c>
      <c r="D1174" s="25">
        <v>0</v>
      </c>
      <c r="E1174" s="18">
        <f t="shared" si="221"/>
        <v>0</v>
      </c>
    </row>
    <row r="1175" spans="1:5" ht="15" x14ac:dyDescent="0.2">
      <c r="A1175" s="7">
        <v>248107</v>
      </c>
      <c r="B1175" s="3" t="s">
        <v>802</v>
      </c>
      <c r="C1175" s="25">
        <v>0</v>
      </c>
      <c r="D1175" s="25">
        <v>0</v>
      </c>
      <c r="E1175" s="18">
        <f t="shared" si="221"/>
        <v>0</v>
      </c>
    </row>
    <row r="1176" spans="1:5" ht="15" x14ac:dyDescent="0.2">
      <c r="A1176" s="7">
        <v>248108</v>
      </c>
      <c r="B1176" s="3" t="s">
        <v>803</v>
      </c>
      <c r="C1176" s="25">
        <v>0</v>
      </c>
      <c r="D1176" s="25">
        <v>0</v>
      </c>
      <c r="E1176" s="18">
        <f t="shared" si="221"/>
        <v>0</v>
      </c>
    </row>
    <row r="1177" spans="1:5" ht="15" x14ac:dyDescent="0.2">
      <c r="A1177" s="7">
        <v>248109</v>
      </c>
      <c r="B1177" s="3" t="s">
        <v>804</v>
      </c>
      <c r="C1177" s="25">
        <v>0</v>
      </c>
      <c r="D1177" s="25">
        <v>0</v>
      </c>
      <c r="E1177" s="18">
        <f t="shared" si="221"/>
        <v>0</v>
      </c>
    </row>
    <row r="1178" spans="1:5" ht="15" x14ac:dyDescent="0.2">
      <c r="A1178" s="7">
        <v>248110</v>
      </c>
      <c r="B1178" s="3" t="s">
        <v>805</v>
      </c>
      <c r="C1178" s="25">
        <v>0</v>
      </c>
      <c r="D1178" s="25">
        <v>0</v>
      </c>
      <c r="E1178" s="18">
        <f t="shared" si="221"/>
        <v>0</v>
      </c>
    </row>
    <row r="1179" spans="1:5" ht="15" x14ac:dyDescent="0.2">
      <c r="A1179" s="7">
        <v>248111</v>
      </c>
      <c r="B1179" s="3" t="s">
        <v>806</v>
      </c>
      <c r="C1179" s="25">
        <v>0</v>
      </c>
      <c r="D1179" s="25">
        <v>0</v>
      </c>
      <c r="E1179" s="18">
        <f t="shared" si="221"/>
        <v>0</v>
      </c>
    </row>
    <row r="1180" spans="1:5" ht="15" x14ac:dyDescent="0.2">
      <c r="A1180" s="7">
        <v>248112</v>
      </c>
      <c r="B1180" s="3" t="s">
        <v>807</v>
      </c>
      <c r="C1180" s="25">
        <v>0</v>
      </c>
      <c r="D1180" s="25">
        <v>0</v>
      </c>
      <c r="E1180" s="18">
        <f t="shared" si="221"/>
        <v>0</v>
      </c>
    </row>
    <row r="1181" spans="1:5" ht="15" x14ac:dyDescent="0.2">
      <c r="A1181" s="7">
        <v>248113</v>
      </c>
      <c r="B1181" s="3" t="s">
        <v>808</v>
      </c>
      <c r="C1181" s="25">
        <v>0</v>
      </c>
      <c r="D1181" s="25">
        <v>0</v>
      </c>
      <c r="E1181" s="18">
        <f t="shared" si="221"/>
        <v>0</v>
      </c>
    </row>
    <row r="1182" spans="1:5" ht="15" x14ac:dyDescent="0.2">
      <c r="A1182" s="7">
        <v>248114</v>
      </c>
      <c r="B1182" s="3" t="s">
        <v>809</v>
      </c>
      <c r="C1182" s="25">
        <v>0</v>
      </c>
      <c r="D1182" s="25">
        <v>0</v>
      </c>
      <c r="E1182" s="18">
        <f t="shared" si="221"/>
        <v>0</v>
      </c>
    </row>
    <row r="1183" spans="1:5" ht="15" x14ac:dyDescent="0.2">
      <c r="A1183" s="7">
        <v>248115</v>
      </c>
      <c r="B1183" s="3" t="s">
        <v>810</v>
      </c>
      <c r="C1183" s="25">
        <v>0</v>
      </c>
      <c r="D1183" s="25">
        <v>0</v>
      </c>
      <c r="E1183" s="18">
        <f t="shared" si="221"/>
        <v>0</v>
      </c>
    </row>
    <row r="1184" spans="1:5" ht="15" x14ac:dyDescent="0.2">
      <c r="A1184" s="7">
        <v>248116</v>
      </c>
      <c r="B1184" s="3" t="s">
        <v>811</v>
      </c>
      <c r="C1184" s="25">
        <v>0</v>
      </c>
      <c r="D1184" s="25">
        <v>0</v>
      </c>
      <c r="E1184" s="18">
        <f t="shared" si="221"/>
        <v>0</v>
      </c>
    </row>
    <row r="1185" spans="1:5" ht="15" x14ac:dyDescent="0.2">
      <c r="A1185" s="7">
        <v>248117</v>
      </c>
      <c r="B1185" s="3" t="s">
        <v>812</v>
      </c>
      <c r="C1185" s="25">
        <v>0</v>
      </c>
      <c r="D1185" s="25">
        <v>0</v>
      </c>
      <c r="E1185" s="18">
        <f t="shared" si="221"/>
        <v>0</v>
      </c>
    </row>
    <row r="1186" spans="1:5" ht="15" x14ac:dyDescent="0.2">
      <c r="A1186" s="7">
        <v>248118</v>
      </c>
      <c r="B1186" s="3" t="s">
        <v>813</v>
      </c>
      <c r="C1186" s="25">
        <v>0</v>
      </c>
      <c r="D1186" s="25">
        <v>0</v>
      </c>
      <c r="E1186" s="18">
        <f t="shared" si="221"/>
        <v>0</v>
      </c>
    </row>
    <row r="1187" spans="1:5" ht="15" x14ac:dyDescent="0.2">
      <c r="A1187" s="7">
        <v>248190</v>
      </c>
      <c r="B1187" s="3" t="s">
        <v>814</v>
      </c>
      <c r="C1187" s="25">
        <v>0</v>
      </c>
      <c r="D1187" s="25">
        <v>0</v>
      </c>
      <c r="E1187" s="18">
        <f t="shared" si="221"/>
        <v>0</v>
      </c>
    </row>
    <row r="1188" spans="1:5" ht="15" x14ac:dyDescent="0.2">
      <c r="A1188" s="6">
        <v>2490</v>
      </c>
      <c r="B1188" s="2" t="s">
        <v>815</v>
      </c>
      <c r="C1188" s="24">
        <f>SUM(C1189:C1224)</f>
        <v>90000</v>
      </c>
      <c r="D1188" s="24">
        <f t="shared" ref="D1188:E1188" si="222">SUM(D1189:D1224)</f>
        <v>0</v>
      </c>
      <c r="E1188" s="28">
        <f t="shared" si="222"/>
        <v>90000</v>
      </c>
    </row>
    <row r="1189" spans="1:5" ht="15" x14ac:dyDescent="0.2">
      <c r="A1189" s="7">
        <v>249007</v>
      </c>
      <c r="B1189" s="3" t="s">
        <v>816</v>
      </c>
      <c r="C1189" s="25">
        <v>0</v>
      </c>
      <c r="D1189" s="25">
        <v>0</v>
      </c>
      <c r="E1189" s="18">
        <f t="shared" ref="E1189:E1224" si="223">SUM(C1189:D1189)</f>
        <v>0</v>
      </c>
    </row>
    <row r="1190" spans="1:5" ht="15" x14ac:dyDescent="0.2">
      <c r="A1190" s="7">
        <v>249011</v>
      </c>
      <c r="B1190" s="3" t="s">
        <v>817</v>
      </c>
      <c r="C1190" s="25">
        <v>0</v>
      </c>
      <c r="D1190" s="25">
        <v>0</v>
      </c>
      <c r="E1190" s="18">
        <f t="shared" si="223"/>
        <v>0</v>
      </c>
    </row>
    <row r="1191" spans="1:5" ht="15" x14ac:dyDescent="0.2">
      <c r="A1191" s="7">
        <v>249013</v>
      </c>
      <c r="B1191" s="3" t="s">
        <v>818</v>
      </c>
      <c r="C1191" s="25">
        <v>0</v>
      </c>
      <c r="D1191" s="25">
        <v>0</v>
      </c>
      <c r="E1191" s="18">
        <f t="shared" si="223"/>
        <v>0</v>
      </c>
    </row>
    <row r="1192" spans="1:5" ht="15" x14ac:dyDescent="0.2">
      <c r="A1192" s="7">
        <v>249015</v>
      </c>
      <c r="B1192" s="3" t="s">
        <v>819</v>
      </c>
      <c r="C1192" s="25">
        <v>0</v>
      </c>
      <c r="D1192" s="25">
        <v>0</v>
      </c>
      <c r="E1192" s="18">
        <f t="shared" si="223"/>
        <v>0</v>
      </c>
    </row>
    <row r="1193" spans="1:5" ht="15" x14ac:dyDescent="0.2">
      <c r="A1193" s="7">
        <v>249019</v>
      </c>
      <c r="B1193" s="3" t="s">
        <v>820</v>
      </c>
      <c r="C1193" s="25">
        <v>0</v>
      </c>
      <c r="D1193" s="25">
        <v>0</v>
      </c>
      <c r="E1193" s="18">
        <f t="shared" si="223"/>
        <v>0</v>
      </c>
    </row>
    <row r="1194" spans="1:5" ht="15" x14ac:dyDescent="0.2">
      <c r="A1194" s="7">
        <v>249025</v>
      </c>
      <c r="B1194" s="3" t="s">
        <v>821</v>
      </c>
      <c r="C1194" s="25">
        <v>0</v>
      </c>
      <c r="D1194" s="25">
        <v>0</v>
      </c>
      <c r="E1194" s="18">
        <f t="shared" si="223"/>
        <v>0</v>
      </c>
    </row>
    <row r="1195" spans="1:5" ht="15" x14ac:dyDescent="0.2">
      <c r="A1195" s="7">
        <v>249026</v>
      </c>
      <c r="B1195" s="3" t="s">
        <v>822</v>
      </c>
      <c r="C1195" s="25">
        <v>0</v>
      </c>
      <c r="D1195" s="25">
        <v>0</v>
      </c>
      <c r="E1195" s="18">
        <f t="shared" si="223"/>
        <v>0</v>
      </c>
    </row>
    <row r="1196" spans="1:5" ht="15" x14ac:dyDescent="0.2">
      <c r="A1196" s="7">
        <v>249027</v>
      </c>
      <c r="B1196" s="3" t="s">
        <v>823</v>
      </c>
      <c r="C1196" s="25">
        <v>0</v>
      </c>
      <c r="D1196" s="25">
        <v>0</v>
      </c>
      <c r="E1196" s="29">
        <f t="shared" si="223"/>
        <v>0</v>
      </c>
    </row>
    <row r="1197" spans="1:5" ht="15" x14ac:dyDescent="0.2">
      <c r="A1197" s="7">
        <v>249028</v>
      </c>
      <c r="B1197" s="3" t="s">
        <v>562</v>
      </c>
      <c r="C1197" s="25">
        <v>0</v>
      </c>
      <c r="D1197" s="25">
        <v>0</v>
      </c>
      <c r="E1197" s="18">
        <f t="shared" si="223"/>
        <v>0</v>
      </c>
    </row>
    <row r="1198" spans="1:5" ht="15" x14ac:dyDescent="0.2">
      <c r="A1198" s="7">
        <v>249029</v>
      </c>
      <c r="B1198" s="3" t="s">
        <v>824</v>
      </c>
      <c r="C1198" s="25">
        <v>0</v>
      </c>
      <c r="D1198" s="25">
        <v>0</v>
      </c>
      <c r="E1198" s="18">
        <f t="shared" si="223"/>
        <v>0</v>
      </c>
    </row>
    <row r="1199" spans="1:5" ht="15" x14ac:dyDescent="0.2">
      <c r="A1199" s="7">
        <v>249031</v>
      </c>
      <c r="B1199" s="3" t="s">
        <v>825</v>
      </c>
      <c r="C1199" s="25">
        <v>0</v>
      </c>
      <c r="D1199" s="25">
        <v>0</v>
      </c>
      <c r="E1199" s="18">
        <f t="shared" si="223"/>
        <v>0</v>
      </c>
    </row>
    <row r="1200" spans="1:5" ht="15" x14ac:dyDescent="0.2">
      <c r="A1200" s="7">
        <v>249032</v>
      </c>
      <c r="B1200" s="3" t="s">
        <v>826</v>
      </c>
      <c r="C1200" s="25">
        <v>0</v>
      </c>
      <c r="D1200" s="25">
        <v>0</v>
      </c>
      <c r="E1200" s="18">
        <f t="shared" si="223"/>
        <v>0</v>
      </c>
    </row>
    <row r="1201" spans="1:5" ht="15" x14ac:dyDescent="0.2">
      <c r="A1201" s="7">
        <v>249033</v>
      </c>
      <c r="B1201" s="3" t="s">
        <v>827</v>
      </c>
      <c r="C1201" s="25">
        <v>0</v>
      </c>
      <c r="D1201" s="25">
        <v>0</v>
      </c>
      <c r="E1201" s="18">
        <f t="shared" si="223"/>
        <v>0</v>
      </c>
    </row>
    <row r="1202" spans="1:5" ht="15" x14ac:dyDescent="0.2">
      <c r="A1202" s="7">
        <v>249034</v>
      </c>
      <c r="B1202" s="3" t="s">
        <v>828</v>
      </c>
      <c r="C1202" s="25">
        <v>0</v>
      </c>
      <c r="D1202" s="25">
        <v>0</v>
      </c>
      <c r="E1202" s="29">
        <f t="shared" si="223"/>
        <v>0</v>
      </c>
    </row>
    <row r="1203" spans="1:5" ht="15" x14ac:dyDescent="0.2">
      <c r="A1203" s="7">
        <v>249035</v>
      </c>
      <c r="B1203" s="3" t="s">
        <v>829</v>
      </c>
      <c r="C1203" s="25">
        <v>0</v>
      </c>
      <c r="D1203" s="25">
        <v>0</v>
      </c>
      <c r="E1203" s="18">
        <f t="shared" si="223"/>
        <v>0</v>
      </c>
    </row>
    <row r="1204" spans="1:5" ht="15" x14ac:dyDescent="0.2">
      <c r="A1204" s="7">
        <v>249036</v>
      </c>
      <c r="B1204" s="3" t="s">
        <v>830</v>
      </c>
      <c r="C1204" s="25">
        <v>0</v>
      </c>
      <c r="D1204" s="25">
        <v>0</v>
      </c>
      <c r="E1204" s="18">
        <f t="shared" si="223"/>
        <v>0</v>
      </c>
    </row>
    <row r="1205" spans="1:5" ht="15" x14ac:dyDescent="0.2">
      <c r="A1205" s="7">
        <v>249040</v>
      </c>
      <c r="B1205" s="3" t="s">
        <v>831</v>
      </c>
      <c r="C1205" s="25">
        <v>0</v>
      </c>
      <c r="D1205" s="25">
        <v>0</v>
      </c>
      <c r="E1205" s="18">
        <f t="shared" si="223"/>
        <v>0</v>
      </c>
    </row>
    <row r="1206" spans="1:5" ht="15" x14ac:dyDescent="0.2">
      <c r="A1206" s="7">
        <v>249042</v>
      </c>
      <c r="B1206" s="3" t="s">
        <v>832</v>
      </c>
      <c r="C1206" s="25">
        <v>0</v>
      </c>
      <c r="D1206" s="25">
        <v>0</v>
      </c>
      <c r="E1206" s="18">
        <f t="shared" si="223"/>
        <v>0</v>
      </c>
    </row>
    <row r="1207" spans="1:5" ht="15" x14ac:dyDescent="0.2">
      <c r="A1207" s="7">
        <v>249044</v>
      </c>
      <c r="B1207" s="3" t="s">
        <v>252</v>
      </c>
      <c r="C1207" s="25">
        <v>0</v>
      </c>
      <c r="D1207" s="25">
        <v>0</v>
      </c>
      <c r="E1207" s="18">
        <f t="shared" si="223"/>
        <v>0</v>
      </c>
    </row>
    <row r="1208" spans="1:5" ht="15" x14ac:dyDescent="0.2">
      <c r="A1208" s="7">
        <v>249045</v>
      </c>
      <c r="B1208" s="3" t="s">
        <v>833</v>
      </c>
      <c r="C1208" s="25">
        <v>0</v>
      </c>
      <c r="D1208" s="25">
        <v>0</v>
      </c>
      <c r="E1208" s="18">
        <f t="shared" si="223"/>
        <v>0</v>
      </c>
    </row>
    <row r="1209" spans="1:5" ht="15" x14ac:dyDescent="0.2">
      <c r="A1209" s="7">
        <v>249046</v>
      </c>
      <c r="B1209" s="3" t="s">
        <v>126</v>
      </c>
      <c r="C1209" s="25">
        <v>0</v>
      </c>
      <c r="D1209" s="25">
        <v>0</v>
      </c>
      <c r="E1209" s="18">
        <f t="shared" si="223"/>
        <v>0</v>
      </c>
    </row>
    <row r="1210" spans="1:5" ht="15" x14ac:dyDescent="0.2">
      <c r="A1210" s="7">
        <v>249047</v>
      </c>
      <c r="B1210" s="3" t="s">
        <v>834</v>
      </c>
      <c r="C1210" s="25">
        <v>0</v>
      </c>
      <c r="D1210" s="25">
        <v>0</v>
      </c>
      <c r="E1210" s="18">
        <f t="shared" si="223"/>
        <v>0</v>
      </c>
    </row>
    <row r="1211" spans="1:5" ht="15" x14ac:dyDescent="0.2">
      <c r="A1211" s="7">
        <v>249048</v>
      </c>
      <c r="B1211" s="3" t="s">
        <v>835</v>
      </c>
      <c r="C1211" s="25">
        <v>0</v>
      </c>
      <c r="D1211" s="25">
        <v>0</v>
      </c>
      <c r="E1211" s="18">
        <f t="shared" si="223"/>
        <v>0</v>
      </c>
    </row>
    <row r="1212" spans="1:5" ht="15" x14ac:dyDescent="0.2">
      <c r="A1212" s="7">
        <v>249049</v>
      </c>
      <c r="B1212" s="3" t="s">
        <v>836</v>
      </c>
      <c r="C1212" s="25">
        <v>0</v>
      </c>
      <c r="D1212" s="25">
        <v>0</v>
      </c>
      <c r="E1212" s="18">
        <f t="shared" si="223"/>
        <v>0</v>
      </c>
    </row>
    <row r="1213" spans="1:5" ht="15" x14ac:dyDescent="0.2">
      <c r="A1213" s="7">
        <v>249050</v>
      </c>
      <c r="B1213" s="3" t="s">
        <v>837</v>
      </c>
      <c r="C1213" s="25">
        <v>0</v>
      </c>
      <c r="D1213" s="25">
        <v>0</v>
      </c>
      <c r="E1213" s="29">
        <f t="shared" si="223"/>
        <v>0</v>
      </c>
    </row>
    <row r="1214" spans="1:5" ht="15" x14ac:dyDescent="0.2">
      <c r="A1214" s="7">
        <v>249051</v>
      </c>
      <c r="B1214" s="3" t="s">
        <v>838</v>
      </c>
      <c r="C1214" s="25">
        <v>0</v>
      </c>
      <c r="D1214" s="25">
        <v>0</v>
      </c>
      <c r="E1214" s="18">
        <f t="shared" si="223"/>
        <v>0</v>
      </c>
    </row>
    <row r="1215" spans="1:5" ht="15" x14ac:dyDescent="0.2">
      <c r="A1215" s="7">
        <v>249053</v>
      </c>
      <c r="B1215" s="3" t="s">
        <v>231</v>
      </c>
      <c r="C1215" s="25">
        <v>0</v>
      </c>
      <c r="D1215" s="25">
        <v>0</v>
      </c>
      <c r="E1215" s="18">
        <f t="shared" si="223"/>
        <v>0</v>
      </c>
    </row>
    <row r="1216" spans="1:5" ht="15" x14ac:dyDescent="0.2">
      <c r="A1216" s="7">
        <v>249054</v>
      </c>
      <c r="B1216" s="3" t="s">
        <v>242</v>
      </c>
      <c r="C1216" s="25">
        <v>0</v>
      </c>
      <c r="D1216" s="25">
        <v>0</v>
      </c>
      <c r="E1216" s="18">
        <f t="shared" si="223"/>
        <v>0</v>
      </c>
    </row>
    <row r="1217" spans="1:5" ht="15" x14ac:dyDescent="0.2">
      <c r="A1217" s="7">
        <v>249055</v>
      </c>
      <c r="B1217" s="3" t="s">
        <v>724</v>
      </c>
      <c r="C1217" s="25">
        <v>0</v>
      </c>
      <c r="D1217" s="25">
        <v>0</v>
      </c>
      <c r="E1217" s="29">
        <f t="shared" si="223"/>
        <v>0</v>
      </c>
    </row>
    <row r="1218" spans="1:5" ht="15" x14ac:dyDescent="0.2">
      <c r="A1218" s="7">
        <v>249056</v>
      </c>
      <c r="B1218" s="3" t="s">
        <v>723</v>
      </c>
      <c r="C1218" s="25">
        <v>0</v>
      </c>
      <c r="D1218" s="25">
        <v>0</v>
      </c>
      <c r="E1218" s="18">
        <f t="shared" si="223"/>
        <v>0</v>
      </c>
    </row>
    <row r="1219" spans="1:5" ht="15" x14ac:dyDescent="0.2">
      <c r="A1219" s="7">
        <v>249057</v>
      </c>
      <c r="B1219" s="3" t="s">
        <v>839</v>
      </c>
      <c r="C1219" s="25">
        <v>0</v>
      </c>
      <c r="D1219" s="25">
        <v>0</v>
      </c>
      <c r="E1219" s="18">
        <f t="shared" si="223"/>
        <v>0</v>
      </c>
    </row>
    <row r="1220" spans="1:5" ht="15" x14ac:dyDescent="0.2">
      <c r="A1220" s="7">
        <v>249058</v>
      </c>
      <c r="B1220" s="3" t="s">
        <v>256</v>
      </c>
      <c r="C1220" s="25">
        <v>0</v>
      </c>
      <c r="D1220" s="25">
        <v>0</v>
      </c>
      <c r="E1220" s="18">
        <f t="shared" si="223"/>
        <v>0</v>
      </c>
    </row>
    <row r="1221" spans="1:5" ht="15" x14ac:dyDescent="0.2">
      <c r="A1221" s="7">
        <v>249060</v>
      </c>
      <c r="B1221" s="3" t="s">
        <v>840</v>
      </c>
      <c r="C1221" s="25">
        <v>0</v>
      </c>
      <c r="D1221" s="25">
        <v>0</v>
      </c>
      <c r="E1221" s="18">
        <f t="shared" si="223"/>
        <v>0</v>
      </c>
    </row>
    <row r="1222" spans="1:5" ht="15" x14ac:dyDescent="0.2">
      <c r="A1222" s="7">
        <v>249061</v>
      </c>
      <c r="B1222" s="3" t="s">
        <v>841</v>
      </c>
      <c r="C1222" s="25">
        <v>0</v>
      </c>
      <c r="D1222" s="25">
        <v>0</v>
      </c>
      <c r="E1222" s="18">
        <f t="shared" si="223"/>
        <v>0</v>
      </c>
    </row>
    <row r="1223" spans="1:5" ht="15" x14ac:dyDescent="0.2">
      <c r="A1223" s="7">
        <v>249062</v>
      </c>
      <c r="B1223" s="3" t="s">
        <v>842</v>
      </c>
      <c r="C1223" s="25">
        <v>0</v>
      </c>
      <c r="D1223" s="25">
        <v>0</v>
      </c>
      <c r="E1223" s="18">
        <f t="shared" si="223"/>
        <v>0</v>
      </c>
    </row>
    <row r="1224" spans="1:5" ht="15" x14ac:dyDescent="0.2">
      <c r="A1224" s="7">
        <v>249090</v>
      </c>
      <c r="B1224" s="3" t="s">
        <v>843</v>
      </c>
      <c r="C1224" s="25">
        <v>90000</v>
      </c>
      <c r="D1224" s="25">
        <v>0</v>
      </c>
      <c r="E1224" s="18">
        <f t="shared" si="223"/>
        <v>90000</v>
      </c>
    </row>
    <row r="1225" spans="1:5" ht="15" x14ac:dyDescent="0.2">
      <c r="A1225" s="6">
        <v>2495</v>
      </c>
      <c r="B1225" s="2" t="s">
        <v>844</v>
      </c>
      <c r="C1225" s="24">
        <f>SUM(C1226:C1231)</f>
        <v>0</v>
      </c>
      <c r="D1225" s="24">
        <f t="shared" ref="D1225:E1225" si="224">SUM(D1226:D1231)</f>
        <v>0</v>
      </c>
      <c r="E1225" s="17">
        <f t="shared" si="224"/>
        <v>0</v>
      </c>
    </row>
    <row r="1226" spans="1:5" ht="15" x14ac:dyDescent="0.2">
      <c r="A1226" s="7">
        <v>249501</v>
      </c>
      <c r="B1226" s="3" t="s">
        <v>845</v>
      </c>
      <c r="C1226" s="25">
        <v>0</v>
      </c>
      <c r="D1226" s="25">
        <v>0</v>
      </c>
      <c r="E1226" s="18">
        <f t="shared" ref="E1226:E1231" si="225">SUM(C1226:D1226)</f>
        <v>0</v>
      </c>
    </row>
    <row r="1227" spans="1:5" ht="15" x14ac:dyDescent="0.2">
      <c r="A1227" s="7">
        <v>249502</v>
      </c>
      <c r="B1227" s="3" t="s">
        <v>846</v>
      </c>
      <c r="C1227" s="25">
        <v>0</v>
      </c>
      <c r="D1227" s="25">
        <v>0</v>
      </c>
      <c r="E1227" s="18">
        <f t="shared" si="225"/>
        <v>0</v>
      </c>
    </row>
    <row r="1228" spans="1:5" ht="15" x14ac:dyDescent="0.2">
      <c r="A1228" s="7">
        <v>249505</v>
      </c>
      <c r="B1228" s="3" t="s">
        <v>847</v>
      </c>
      <c r="C1228" s="25">
        <v>0</v>
      </c>
      <c r="D1228" s="25">
        <v>0</v>
      </c>
      <c r="E1228" s="18">
        <f t="shared" si="225"/>
        <v>0</v>
      </c>
    </row>
    <row r="1229" spans="1:5" ht="15" x14ac:dyDescent="0.2">
      <c r="A1229" s="7">
        <v>249506</v>
      </c>
      <c r="B1229" s="3" t="s">
        <v>848</v>
      </c>
      <c r="C1229" s="25">
        <v>0</v>
      </c>
      <c r="D1229" s="25">
        <v>0</v>
      </c>
      <c r="E1229" s="18">
        <f t="shared" si="225"/>
        <v>0</v>
      </c>
    </row>
    <row r="1230" spans="1:5" ht="15" x14ac:dyDescent="0.2">
      <c r="A1230" s="7">
        <v>249507</v>
      </c>
      <c r="B1230" s="3" t="s">
        <v>849</v>
      </c>
      <c r="C1230" s="25">
        <v>0</v>
      </c>
      <c r="D1230" s="25">
        <v>0</v>
      </c>
      <c r="E1230" s="18">
        <f t="shared" si="225"/>
        <v>0</v>
      </c>
    </row>
    <row r="1231" spans="1:5" ht="15" x14ac:dyDescent="0.2">
      <c r="A1231" s="7">
        <v>249590</v>
      </c>
      <c r="B1231" s="3" t="s">
        <v>850</v>
      </c>
      <c r="C1231" s="25">
        <v>0</v>
      </c>
      <c r="D1231" s="25">
        <v>0</v>
      </c>
      <c r="E1231" s="18">
        <f t="shared" si="225"/>
        <v>0</v>
      </c>
    </row>
    <row r="1232" spans="1:5" ht="15" x14ac:dyDescent="0.2">
      <c r="A1232" s="6">
        <v>25</v>
      </c>
      <c r="B1232" s="2" t="s">
        <v>851</v>
      </c>
      <c r="C1232" s="24">
        <f>SUM(C1233,C1261,C1267,C1271,C1281)</f>
        <v>0</v>
      </c>
      <c r="D1232" s="24">
        <f>SUM(D1233,D1261,D1267,D1271,D1281)</f>
        <v>0</v>
      </c>
      <c r="E1232" s="28">
        <f>SUM(E1233,E1261,E1267,E1271,E1281)</f>
        <v>0</v>
      </c>
    </row>
    <row r="1233" spans="1:5" ht="15" x14ac:dyDescent="0.2">
      <c r="A1233" s="6">
        <v>2511</v>
      </c>
      <c r="B1233" s="2" t="s">
        <v>852</v>
      </c>
      <c r="C1233" s="24">
        <f>SUM(C1234:C1260)</f>
        <v>0</v>
      </c>
      <c r="D1233" s="24">
        <f t="shared" ref="D1233:E1233" si="226">SUM(D1234:D1260)</f>
        <v>0</v>
      </c>
      <c r="E1233" s="28">
        <f t="shared" si="226"/>
        <v>0</v>
      </c>
    </row>
    <row r="1234" spans="1:5" ht="15" x14ac:dyDescent="0.2">
      <c r="A1234" s="7">
        <v>251101</v>
      </c>
      <c r="B1234" s="3" t="s">
        <v>853</v>
      </c>
      <c r="C1234" s="25">
        <v>0</v>
      </c>
      <c r="D1234" s="25">
        <v>0</v>
      </c>
      <c r="E1234" s="29">
        <f t="shared" ref="E1234:E1260" si="227">SUM(C1234:D1234)</f>
        <v>0</v>
      </c>
    </row>
    <row r="1235" spans="1:5" ht="15" x14ac:dyDescent="0.2">
      <c r="A1235" s="7">
        <v>251102</v>
      </c>
      <c r="B1235" s="3" t="s">
        <v>854</v>
      </c>
      <c r="C1235" s="25">
        <v>0</v>
      </c>
      <c r="D1235" s="25">
        <v>0</v>
      </c>
      <c r="E1235" s="29">
        <f t="shared" si="227"/>
        <v>0</v>
      </c>
    </row>
    <row r="1236" spans="1:5" ht="15" x14ac:dyDescent="0.2">
      <c r="A1236" s="7">
        <v>251103</v>
      </c>
      <c r="B1236" s="3" t="s">
        <v>855</v>
      </c>
      <c r="C1236" s="25">
        <v>0</v>
      </c>
      <c r="D1236" s="25">
        <v>0</v>
      </c>
      <c r="E1236" s="18">
        <f t="shared" si="227"/>
        <v>0</v>
      </c>
    </row>
    <row r="1237" spans="1:5" ht="15" x14ac:dyDescent="0.2">
      <c r="A1237" s="7">
        <v>251104</v>
      </c>
      <c r="B1237" s="3" t="s">
        <v>856</v>
      </c>
      <c r="C1237" s="25">
        <v>0</v>
      </c>
      <c r="D1237" s="25">
        <v>0</v>
      </c>
      <c r="E1237" s="29">
        <f t="shared" si="227"/>
        <v>0</v>
      </c>
    </row>
    <row r="1238" spans="1:5" ht="15" x14ac:dyDescent="0.2">
      <c r="A1238" s="7">
        <v>251105</v>
      </c>
      <c r="B1238" s="3" t="s">
        <v>857</v>
      </c>
      <c r="C1238" s="25">
        <v>0</v>
      </c>
      <c r="D1238" s="25">
        <v>0</v>
      </c>
      <c r="E1238" s="18">
        <f t="shared" si="227"/>
        <v>0</v>
      </c>
    </row>
    <row r="1239" spans="1:5" ht="15" x14ac:dyDescent="0.2">
      <c r="A1239" s="7">
        <v>251106</v>
      </c>
      <c r="B1239" s="3" t="s">
        <v>858</v>
      </c>
      <c r="C1239" s="25">
        <v>0</v>
      </c>
      <c r="D1239" s="25">
        <v>0</v>
      </c>
      <c r="E1239" s="18">
        <f t="shared" si="227"/>
        <v>0</v>
      </c>
    </row>
    <row r="1240" spans="1:5" ht="15" x14ac:dyDescent="0.2">
      <c r="A1240" s="7">
        <v>251107</v>
      </c>
      <c r="B1240" s="3" t="s">
        <v>859</v>
      </c>
      <c r="C1240" s="25">
        <v>0</v>
      </c>
      <c r="D1240" s="25">
        <v>0</v>
      </c>
      <c r="E1240" s="29">
        <f t="shared" si="227"/>
        <v>0</v>
      </c>
    </row>
    <row r="1241" spans="1:5" ht="15" x14ac:dyDescent="0.2">
      <c r="A1241" s="7">
        <v>251108</v>
      </c>
      <c r="B1241" s="3" t="s">
        <v>620</v>
      </c>
      <c r="C1241" s="25">
        <v>0</v>
      </c>
      <c r="D1241" s="25">
        <v>0</v>
      </c>
      <c r="E1241" s="29">
        <f t="shared" si="227"/>
        <v>0</v>
      </c>
    </row>
    <row r="1242" spans="1:5" ht="15" x14ac:dyDescent="0.2">
      <c r="A1242" s="7">
        <v>251109</v>
      </c>
      <c r="B1242" s="3" t="s">
        <v>860</v>
      </c>
      <c r="C1242" s="25">
        <v>0</v>
      </c>
      <c r="D1242" s="25">
        <v>0</v>
      </c>
      <c r="E1242" s="29">
        <f t="shared" si="227"/>
        <v>0</v>
      </c>
    </row>
    <row r="1243" spans="1:5" ht="15" x14ac:dyDescent="0.2">
      <c r="A1243" s="7">
        <v>251110</v>
      </c>
      <c r="B1243" s="3" t="s">
        <v>861</v>
      </c>
      <c r="C1243" s="25">
        <v>0</v>
      </c>
      <c r="D1243" s="25">
        <v>0</v>
      </c>
      <c r="E1243" s="18">
        <f t="shared" si="227"/>
        <v>0</v>
      </c>
    </row>
    <row r="1244" spans="1:5" ht="15" x14ac:dyDescent="0.2">
      <c r="A1244" s="7">
        <v>251111</v>
      </c>
      <c r="B1244" s="3" t="s">
        <v>862</v>
      </c>
      <c r="C1244" s="25">
        <v>0</v>
      </c>
      <c r="D1244" s="25">
        <v>0</v>
      </c>
      <c r="E1244" s="29">
        <f t="shared" si="227"/>
        <v>0</v>
      </c>
    </row>
    <row r="1245" spans="1:5" ht="15" x14ac:dyDescent="0.2">
      <c r="A1245" s="7">
        <v>251112</v>
      </c>
      <c r="B1245" s="3" t="s">
        <v>863</v>
      </c>
      <c r="C1245" s="25">
        <v>0</v>
      </c>
      <c r="D1245" s="25">
        <v>0</v>
      </c>
      <c r="E1245" s="18">
        <f t="shared" si="227"/>
        <v>0</v>
      </c>
    </row>
    <row r="1246" spans="1:5" ht="15" x14ac:dyDescent="0.2">
      <c r="A1246" s="7">
        <v>251113</v>
      </c>
      <c r="B1246" s="3" t="s">
        <v>864</v>
      </c>
      <c r="C1246" s="25">
        <v>0</v>
      </c>
      <c r="D1246" s="25">
        <v>0</v>
      </c>
      <c r="E1246" s="18">
        <f t="shared" si="227"/>
        <v>0</v>
      </c>
    </row>
    <row r="1247" spans="1:5" ht="15" x14ac:dyDescent="0.2">
      <c r="A1247" s="7">
        <v>251115</v>
      </c>
      <c r="B1247" s="3" t="s">
        <v>865</v>
      </c>
      <c r="C1247" s="25">
        <v>0</v>
      </c>
      <c r="D1247" s="25">
        <v>0</v>
      </c>
      <c r="E1247" s="18">
        <f t="shared" si="227"/>
        <v>0</v>
      </c>
    </row>
    <row r="1248" spans="1:5" ht="15" x14ac:dyDescent="0.2">
      <c r="A1248" s="7">
        <v>251116</v>
      </c>
      <c r="B1248" s="3" t="s">
        <v>866</v>
      </c>
      <c r="C1248" s="25">
        <v>0</v>
      </c>
      <c r="D1248" s="25">
        <v>0</v>
      </c>
      <c r="E1248" s="18">
        <f t="shared" si="227"/>
        <v>0</v>
      </c>
    </row>
    <row r="1249" spans="1:5" ht="15" x14ac:dyDescent="0.2">
      <c r="A1249" s="7">
        <v>251117</v>
      </c>
      <c r="B1249" s="3" t="s">
        <v>867</v>
      </c>
      <c r="C1249" s="25">
        <v>0</v>
      </c>
      <c r="D1249" s="25">
        <v>0</v>
      </c>
      <c r="E1249" s="18">
        <f t="shared" si="227"/>
        <v>0</v>
      </c>
    </row>
    <row r="1250" spans="1:5" ht="15" x14ac:dyDescent="0.2">
      <c r="A1250" s="7">
        <v>251118</v>
      </c>
      <c r="B1250" s="3" t="s">
        <v>868</v>
      </c>
      <c r="C1250" s="25">
        <v>0</v>
      </c>
      <c r="D1250" s="25">
        <v>0</v>
      </c>
      <c r="E1250" s="18">
        <f t="shared" si="227"/>
        <v>0</v>
      </c>
    </row>
    <row r="1251" spans="1:5" ht="15" x14ac:dyDescent="0.2">
      <c r="A1251" s="7">
        <v>251119</v>
      </c>
      <c r="B1251" s="3" t="s">
        <v>869</v>
      </c>
      <c r="C1251" s="25">
        <v>0</v>
      </c>
      <c r="D1251" s="25">
        <v>0</v>
      </c>
      <c r="E1251" s="18">
        <f t="shared" si="227"/>
        <v>0</v>
      </c>
    </row>
    <row r="1252" spans="1:5" ht="15" x14ac:dyDescent="0.2">
      <c r="A1252" s="7">
        <v>251120</v>
      </c>
      <c r="B1252" s="3" t="s">
        <v>231</v>
      </c>
      <c r="C1252" s="25">
        <v>0</v>
      </c>
      <c r="D1252" s="25">
        <v>0</v>
      </c>
      <c r="E1252" s="18">
        <f t="shared" si="227"/>
        <v>0</v>
      </c>
    </row>
    <row r="1253" spans="1:5" ht="15" x14ac:dyDescent="0.2">
      <c r="A1253" s="7">
        <v>251121</v>
      </c>
      <c r="B1253" s="3" t="s">
        <v>870</v>
      </c>
      <c r="C1253" s="25">
        <v>0</v>
      </c>
      <c r="D1253" s="25">
        <v>0</v>
      </c>
      <c r="E1253" s="18">
        <f t="shared" si="227"/>
        <v>0</v>
      </c>
    </row>
    <row r="1254" spans="1:5" ht="15" x14ac:dyDescent="0.2">
      <c r="A1254" s="7">
        <v>251122</v>
      </c>
      <c r="B1254" s="3" t="s">
        <v>871</v>
      </c>
      <c r="C1254" s="25">
        <v>0</v>
      </c>
      <c r="D1254" s="25">
        <v>0</v>
      </c>
      <c r="E1254" s="29">
        <f t="shared" si="227"/>
        <v>0</v>
      </c>
    </row>
    <row r="1255" spans="1:5" ht="15" x14ac:dyDescent="0.2">
      <c r="A1255" s="7">
        <v>251123</v>
      </c>
      <c r="B1255" s="3" t="s">
        <v>872</v>
      </c>
      <c r="C1255" s="25">
        <v>0</v>
      </c>
      <c r="D1255" s="25">
        <v>0</v>
      </c>
      <c r="E1255" s="29">
        <f t="shared" si="227"/>
        <v>0</v>
      </c>
    </row>
    <row r="1256" spans="1:5" ht="15" x14ac:dyDescent="0.2">
      <c r="A1256" s="7">
        <v>251124</v>
      </c>
      <c r="B1256" s="3" t="s">
        <v>873</v>
      </c>
      <c r="C1256" s="25">
        <v>0</v>
      </c>
      <c r="D1256" s="25">
        <v>0</v>
      </c>
      <c r="E1256" s="29">
        <f t="shared" si="227"/>
        <v>0</v>
      </c>
    </row>
    <row r="1257" spans="1:5" ht="15" x14ac:dyDescent="0.2">
      <c r="A1257" s="7">
        <v>251125</v>
      </c>
      <c r="B1257" s="3" t="s">
        <v>216</v>
      </c>
      <c r="C1257" s="25">
        <v>0</v>
      </c>
      <c r="D1257" s="25">
        <v>0</v>
      </c>
      <c r="E1257" s="18">
        <f t="shared" si="227"/>
        <v>0</v>
      </c>
    </row>
    <row r="1258" spans="1:5" ht="15" x14ac:dyDescent="0.2">
      <c r="A1258" s="7">
        <v>251126</v>
      </c>
      <c r="B1258" s="3" t="s">
        <v>874</v>
      </c>
      <c r="C1258" s="25">
        <v>0</v>
      </c>
      <c r="D1258" s="25">
        <v>0</v>
      </c>
      <c r="E1258" s="18">
        <f t="shared" si="227"/>
        <v>0</v>
      </c>
    </row>
    <row r="1259" spans="1:5" ht="15" x14ac:dyDescent="0.2">
      <c r="A1259" s="7">
        <v>251127</v>
      </c>
      <c r="B1259" s="3" t="s">
        <v>875</v>
      </c>
      <c r="C1259" s="25">
        <v>0</v>
      </c>
      <c r="D1259" s="25">
        <v>0</v>
      </c>
      <c r="E1259" s="18">
        <f t="shared" si="227"/>
        <v>0</v>
      </c>
    </row>
    <row r="1260" spans="1:5" ht="15" x14ac:dyDescent="0.2">
      <c r="A1260" s="7">
        <v>251190</v>
      </c>
      <c r="B1260" s="3" t="s">
        <v>876</v>
      </c>
      <c r="C1260" s="25">
        <v>0</v>
      </c>
      <c r="D1260" s="25">
        <v>0</v>
      </c>
      <c r="E1260" s="29">
        <f t="shared" si="227"/>
        <v>0</v>
      </c>
    </row>
    <row r="1261" spans="1:5" ht="15" x14ac:dyDescent="0.2">
      <c r="A1261" s="6">
        <v>2512</v>
      </c>
      <c r="B1261" s="2" t="s">
        <v>877</v>
      </c>
      <c r="C1261" s="24">
        <f>SUM(C1262:C1266)</f>
        <v>0</v>
      </c>
      <c r="D1261" s="24">
        <f t="shared" ref="D1261:E1261" si="228">SUM(D1262:D1266)</f>
        <v>0</v>
      </c>
      <c r="E1261" s="28">
        <f t="shared" si="228"/>
        <v>0</v>
      </c>
    </row>
    <row r="1262" spans="1:5" ht="15" x14ac:dyDescent="0.2">
      <c r="A1262" s="7">
        <v>251201</v>
      </c>
      <c r="B1262" s="3" t="s">
        <v>860</v>
      </c>
      <c r="C1262" s="25">
        <v>0</v>
      </c>
      <c r="D1262" s="25">
        <v>0</v>
      </c>
      <c r="E1262" s="18">
        <f t="shared" ref="E1262:E1266" si="229">SUM(C1262:D1262)</f>
        <v>0</v>
      </c>
    </row>
    <row r="1263" spans="1:5" ht="15" x14ac:dyDescent="0.2">
      <c r="A1263" s="7">
        <v>251202</v>
      </c>
      <c r="B1263" s="3" t="s">
        <v>878</v>
      </c>
      <c r="C1263" s="25">
        <v>0</v>
      </c>
      <c r="D1263" s="25">
        <v>0</v>
      </c>
      <c r="E1263" s="18">
        <f t="shared" si="229"/>
        <v>0</v>
      </c>
    </row>
    <row r="1264" spans="1:5" ht="15" x14ac:dyDescent="0.2">
      <c r="A1264" s="7">
        <v>251203</v>
      </c>
      <c r="B1264" s="3" t="s">
        <v>865</v>
      </c>
      <c r="C1264" s="25">
        <v>0</v>
      </c>
      <c r="D1264" s="25">
        <v>0</v>
      </c>
      <c r="E1264" s="18">
        <f t="shared" si="229"/>
        <v>0</v>
      </c>
    </row>
    <row r="1265" spans="1:5" ht="15" x14ac:dyDescent="0.2">
      <c r="A1265" s="7">
        <v>251204</v>
      </c>
      <c r="B1265" s="3" t="s">
        <v>879</v>
      </c>
      <c r="C1265" s="25">
        <v>0</v>
      </c>
      <c r="D1265" s="25">
        <v>0</v>
      </c>
      <c r="E1265" s="18">
        <f t="shared" si="229"/>
        <v>0</v>
      </c>
    </row>
    <row r="1266" spans="1:5" ht="15" x14ac:dyDescent="0.2">
      <c r="A1266" s="7">
        <v>251290</v>
      </c>
      <c r="B1266" s="3" t="s">
        <v>880</v>
      </c>
      <c r="C1266" s="25">
        <v>0</v>
      </c>
      <c r="D1266" s="25">
        <v>0</v>
      </c>
      <c r="E1266" s="29">
        <f t="shared" si="229"/>
        <v>0</v>
      </c>
    </row>
    <row r="1267" spans="1:5" ht="15" x14ac:dyDescent="0.2">
      <c r="A1267" s="6">
        <v>2513</v>
      </c>
      <c r="B1267" s="2" t="s">
        <v>881</v>
      </c>
      <c r="C1267" s="24">
        <f>SUM(C1268:C1270)</f>
        <v>0</v>
      </c>
      <c r="D1267" s="24">
        <f t="shared" ref="D1267:E1267" si="230">SUM(D1268:D1270)</f>
        <v>0</v>
      </c>
      <c r="E1267" s="17">
        <f t="shared" si="230"/>
        <v>0</v>
      </c>
    </row>
    <row r="1268" spans="1:5" ht="15" x14ac:dyDescent="0.2">
      <c r="A1268" s="7">
        <v>251301</v>
      </c>
      <c r="B1268" s="3" t="s">
        <v>243</v>
      </c>
      <c r="C1268" s="25">
        <v>0</v>
      </c>
      <c r="D1268" s="25">
        <v>0</v>
      </c>
      <c r="E1268" s="18">
        <f t="shared" ref="E1268:E1270" si="231">SUM(C1268:D1268)</f>
        <v>0</v>
      </c>
    </row>
    <row r="1269" spans="1:5" ht="15" x14ac:dyDescent="0.2">
      <c r="A1269" s="7">
        <v>251302</v>
      </c>
      <c r="B1269" s="3" t="s">
        <v>865</v>
      </c>
      <c r="C1269" s="25">
        <v>0</v>
      </c>
      <c r="D1269" s="25">
        <v>0</v>
      </c>
      <c r="E1269" s="18">
        <f t="shared" si="231"/>
        <v>0</v>
      </c>
    </row>
    <row r="1270" spans="1:5" ht="15" x14ac:dyDescent="0.2">
      <c r="A1270" s="7">
        <v>251390</v>
      </c>
      <c r="B1270" s="3" t="s">
        <v>882</v>
      </c>
      <c r="C1270" s="25">
        <v>0</v>
      </c>
      <c r="D1270" s="25">
        <v>0</v>
      </c>
      <c r="E1270" s="18">
        <f t="shared" si="231"/>
        <v>0</v>
      </c>
    </row>
    <row r="1271" spans="1:5" ht="15" x14ac:dyDescent="0.2">
      <c r="A1271" s="6">
        <v>2514</v>
      </c>
      <c r="B1271" s="2" t="s">
        <v>883</v>
      </c>
      <c r="C1271" s="24">
        <f>SUM(C1272:C1280)</f>
        <v>0</v>
      </c>
      <c r="D1271" s="24">
        <f t="shared" ref="D1271:E1271" si="232">SUM(D1272:D1280)</f>
        <v>0</v>
      </c>
      <c r="E1271" s="17">
        <f t="shared" si="232"/>
        <v>0</v>
      </c>
    </row>
    <row r="1272" spans="1:5" ht="15" x14ac:dyDescent="0.2">
      <c r="A1272" s="7">
        <v>251401</v>
      </c>
      <c r="B1272" s="3" t="s">
        <v>884</v>
      </c>
      <c r="C1272" s="25">
        <v>0</v>
      </c>
      <c r="D1272" s="25">
        <v>0</v>
      </c>
      <c r="E1272" s="18">
        <f t="shared" ref="E1272:E1280" si="233">SUM(C1272:D1272)</f>
        <v>0</v>
      </c>
    </row>
    <row r="1273" spans="1:5" ht="15" x14ac:dyDescent="0.2">
      <c r="A1273" s="7">
        <v>251402</v>
      </c>
      <c r="B1273" s="3" t="s">
        <v>885</v>
      </c>
      <c r="C1273" s="25">
        <v>0</v>
      </c>
      <c r="D1273" s="25">
        <v>0</v>
      </c>
      <c r="E1273" s="18">
        <f t="shared" si="233"/>
        <v>0</v>
      </c>
    </row>
    <row r="1274" spans="1:5" ht="15" x14ac:dyDescent="0.2">
      <c r="A1274" s="7">
        <v>251403</v>
      </c>
      <c r="B1274" s="3" t="s">
        <v>886</v>
      </c>
      <c r="C1274" s="25">
        <v>0</v>
      </c>
      <c r="D1274" s="25">
        <v>0</v>
      </c>
      <c r="E1274" s="18">
        <f t="shared" si="233"/>
        <v>0</v>
      </c>
    </row>
    <row r="1275" spans="1:5" ht="15" x14ac:dyDescent="0.2">
      <c r="A1275" s="7">
        <v>251404</v>
      </c>
      <c r="B1275" s="3" t="s">
        <v>887</v>
      </c>
      <c r="C1275" s="25">
        <v>0</v>
      </c>
      <c r="D1275" s="25">
        <v>0</v>
      </c>
      <c r="E1275" s="18">
        <f t="shared" si="233"/>
        <v>0</v>
      </c>
    </row>
    <row r="1276" spans="1:5" ht="15" x14ac:dyDescent="0.2">
      <c r="A1276" s="7">
        <v>251405</v>
      </c>
      <c r="B1276" s="3" t="s">
        <v>234</v>
      </c>
      <c r="C1276" s="25">
        <v>0</v>
      </c>
      <c r="D1276" s="25">
        <v>0</v>
      </c>
      <c r="E1276" s="18">
        <f t="shared" si="233"/>
        <v>0</v>
      </c>
    </row>
    <row r="1277" spans="1:5" ht="15" x14ac:dyDescent="0.2">
      <c r="A1277" s="7">
        <v>251410</v>
      </c>
      <c r="B1277" s="3" t="s">
        <v>888</v>
      </c>
      <c r="C1277" s="25">
        <v>0</v>
      </c>
      <c r="D1277" s="25">
        <v>0</v>
      </c>
      <c r="E1277" s="18">
        <f t="shared" si="233"/>
        <v>0</v>
      </c>
    </row>
    <row r="1278" spans="1:5" ht="15" x14ac:dyDescent="0.2">
      <c r="A1278" s="7">
        <v>251412</v>
      </c>
      <c r="B1278" s="3" t="s">
        <v>889</v>
      </c>
      <c r="C1278" s="25">
        <v>0</v>
      </c>
      <c r="D1278" s="25">
        <v>0</v>
      </c>
      <c r="E1278" s="18">
        <f t="shared" si="233"/>
        <v>0</v>
      </c>
    </row>
    <row r="1279" spans="1:5" ht="15" x14ac:dyDescent="0.2">
      <c r="A1279" s="7">
        <v>251414</v>
      </c>
      <c r="B1279" s="3" t="s">
        <v>890</v>
      </c>
      <c r="C1279" s="25">
        <v>0</v>
      </c>
      <c r="D1279" s="25">
        <v>0</v>
      </c>
      <c r="E1279" s="18">
        <f t="shared" si="233"/>
        <v>0</v>
      </c>
    </row>
    <row r="1280" spans="1:5" ht="15" x14ac:dyDescent="0.2">
      <c r="A1280" s="7">
        <v>251415</v>
      </c>
      <c r="B1280" s="3" t="s">
        <v>891</v>
      </c>
      <c r="C1280" s="25">
        <v>0</v>
      </c>
      <c r="D1280" s="25">
        <v>0</v>
      </c>
      <c r="E1280" s="18">
        <f t="shared" si="233"/>
        <v>0</v>
      </c>
    </row>
    <row r="1281" spans="1:5" ht="15" x14ac:dyDescent="0.2">
      <c r="A1281" s="6">
        <v>2515</v>
      </c>
      <c r="B1281" s="2" t="s">
        <v>892</v>
      </c>
      <c r="C1281" s="24">
        <f>SUM(C1282:C1283)</f>
        <v>0</v>
      </c>
      <c r="D1281" s="24">
        <f t="shared" ref="D1281:E1281" si="234">SUM(D1282:D1283)</f>
        <v>0</v>
      </c>
      <c r="E1281" s="17">
        <f t="shared" si="234"/>
        <v>0</v>
      </c>
    </row>
    <row r="1282" spans="1:5" ht="15" x14ac:dyDescent="0.2">
      <c r="A1282" s="7">
        <v>251501</v>
      </c>
      <c r="B1282" s="3" t="s">
        <v>893</v>
      </c>
      <c r="C1282" s="25">
        <v>0</v>
      </c>
      <c r="D1282" s="25">
        <v>0</v>
      </c>
      <c r="E1282" s="18">
        <f t="shared" ref="E1282:E1283" si="235">SUM(C1282:D1282)</f>
        <v>0</v>
      </c>
    </row>
    <row r="1283" spans="1:5" ht="15" x14ac:dyDescent="0.2">
      <c r="A1283" s="7">
        <v>251502</v>
      </c>
      <c r="B1283" s="3" t="s">
        <v>894</v>
      </c>
      <c r="C1283" s="25">
        <v>0</v>
      </c>
      <c r="D1283" s="25">
        <v>0</v>
      </c>
      <c r="E1283" s="18">
        <f t="shared" si="235"/>
        <v>0</v>
      </c>
    </row>
    <row r="1284" spans="1:5" ht="15" x14ac:dyDescent="0.2">
      <c r="A1284" s="6">
        <v>26</v>
      </c>
      <c r="B1284" s="2" t="s">
        <v>895</v>
      </c>
      <c r="C1284" s="24">
        <f>SUM(C1285,C1296,C1307,C1318,C1329,C1333)</f>
        <v>0</v>
      </c>
      <c r="D1284" s="24">
        <f>SUM(D1285,D1296,D1307,D1318,D1329,D1333)</f>
        <v>0</v>
      </c>
      <c r="E1284" s="17">
        <f>SUM(E1285,E1296,E1307,E1318,E1329,E1333)</f>
        <v>0</v>
      </c>
    </row>
    <row r="1285" spans="1:5" ht="15" x14ac:dyDescent="0.2">
      <c r="A1285" s="6">
        <v>2601</v>
      </c>
      <c r="B1285" s="2" t="s">
        <v>83</v>
      </c>
      <c r="C1285" s="24">
        <f>SUM(C1286:C1295)</f>
        <v>0</v>
      </c>
      <c r="D1285" s="24">
        <f t="shared" ref="D1285:E1285" si="236">SUM(D1286:D1295)</f>
        <v>0</v>
      </c>
      <c r="E1285" s="17">
        <f t="shared" si="236"/>
        <v>0</v>
      </c>
    </row>
    <row r="1286" spans="1:5" ht="15" x14ac:dyDescent="0.2">
      <c r="A1286" s="7">
        <v>260101</v>
      </c>
      <c r="B1286" s="3" t="s">
        <v>896</v>
      </c>
      <c r="C1286" s="25">
        <v>0</v>
      </c>
      <c r="D1286" s="25">
        <v>0</v>
      </c>
      <c r="E1286" s="18">
        <f t="shared" ref="E1286:E1295" si="237">SUM(C1286:D1286)</f>
        <v>0</v>
      </c>
    </row>
    <row r="1287" spans="1:5" ht="15" x14ac:dyDescent="0.2">
      <c r="A1287" s="7">
        <v>260102</v>
      </c>
      <c r="B1287" s="3" t="s">
        <v>897</v>
      </c>
      <c r="C1287" s="25">
        <v>0</v>
      </c>
      <c r="D1287" s="25">
        <v>0</v>
      </c>
      <c r="E1287" s="18">
        <f t="shared" si="237"/>
        <v>0</v>
      </c>
    </row>
    <row r="1288" spans="1:5" ht="15" x14ac:dyDescent="0.2">
      <c r="A1288" s="7">
        <v>260103</v>
      </c>
      <c r="B1288" s="3" t="s">
        <v>898</v>
      </c>
      <c r="C1288" s="25">
        <v>0</v>
      </c>
      <c r="D1288" s="25">
        <v>0</v>
      </c>
      <c r="E1288" s="18">
        <f t="shared" si="237"/>
        <v>0</v>
      </c>
    </row>
    <row r="1289" spans="1:5" ht="15" x14ac:dyDescent="0.2">
      <c r="A1289" s="7">
        <v>260104</v>
      </c>
      <c r="B1289" s="3" t="s">
        <v>899</v>
      </c>
      <c r="C1289" s="25">
        <v>0</v>
      </c>
      <c r="D1289" s="25">
        <v>0</v>
      </c>
      <c r="E1289" s="18">
        <f t="shared" si="237"/>
        <v>0</v>
      </c>
    </row>
    <row r="1290" spans="1:5" ht="15" x14ac:dyDescent="0.2">
      <c r="A1290" s="7">
        <v>260105</v>
      </c>
      <c r="B1290" s="3" t="s">
        <v>900</v>
      </c>
      <c r="C1290" s="25">
        <v>0</v>
      </c>
      <c r="D1290" s="25">
        <v>0</v>
      </c>
      <c r="E1290" s="18">
        <f t="shared" si="237"/>
        <v>0</v>
      </c>
    </row>
    <row r="1291" spans="1:5" ht="15" x14ac:dyDescent="0.2">
      <c r="A1291" s="7">
        <v>260106</v>
      </c>
      <c r="B1291" s="3" t="s">
        <v>901</v>
      </c>
      <c r="C1291" s="25">
        <v>0</v>
      </c>
      <c r="D1291" s="25">
        <v>0</v>
      </c>
      <c r="E1291" s="18">
        <f t="shared" si="237"/>
        <v>0</v>
      </c>
    </row>
    <row r="1292" spans="1:5" ht="15" x14ac:dyDescent="0.2">
      <c r="A1292" s="7">
        <v>260107</v>
      </c>
      <c r="B1292" s="3" t="s">
        <v>902</v>
      </c>
      <c r="C1292" s="25">
        <v>0</v>
      </c>
      <c r="D1292" s="25">
        <v>0</v>
      </c>
      <c r="E1292" s="18">
        <f t="shared" si="237"/>
        <v>0</v>
      </c>
    </row>
    <row r="1293" spans="1:5" ht="15" x14ac:dyDescent="0.2">
      <c r="A1293" s="7">
        <v>260108</v>
      </c>
      <c r="B1293" s="3" t="s">
        <v>903</v>
      </c>
      <c r="C1293" s="25">
        <v>0</v>
      </c>
      <c r="D1293" s="25">
        <v>0</v>
      </c>
      <c r="E1293" s="18">
        <f t="shared" si="237"/>
        <v>0</v>
      </c>
    </row>
    <row r="1294" spans="1:5" ht="15" x14ac:dyDescent="0.2">
      <c r="A1294" s="7">
        <v>260109</v>
      </c>
      <c r="B1294" s="3" t="s">
        <v>904</v>
      </c>
      <c r="C1294" s="25">
        <v>0</v>
      </c>
      <c r="D1294" s="25">
        <v>0</v>
      </c>
      <c r="E1294" s="18">
        <f t="shared" si="237"/>
        <v>0</v>
      </c>
    </row>
    <row r="1295" spans="1:5" ht="15" x14ac:dyDescent="0.2">
      <c r="A1295" s="7">
        <v>260111</v>
      </c>
      <c r="B1295" s="3" t="s">
        <v>905</v>
      </c>
      <c r="C1295" s="25">
        <v>0</v>
      </c>
      <c r="D1295" s="25">
        <v>0</v>
      </c>
      <c r="E1295" s="18">
        <f t="shared" si="237"/>
        <v>0</v>
      </c>
    </row>
    <row r="1296" spans="1:5" ht="15" x14ac:dyDescent="0.2">
      <c r="A1296" s="6">
        <v>2602</v>
      </c>
      <c r="B1296" s="2" t="s">
        <v>94</v>
      </c>
      <c r="C1296" s="24">
        <f>SUM(C1297:C1306)</f>
        <v>0</v>
      </c>
      <c r="D1296" s="24">
        <f t="shared" ref="D1296:E1296" si="238">SUM(D1297:D1306)</f>
        <v>0</v>
      </c>
      <c r="E1296" s="17">
        <f t="shared" si="238"/>
        <v>0</v>
      </c>
    </row>
    <row r="1297" spans="1:5" ht="15" x14ac:dyDescent="0.2">
      <c r="A1297" s="7">
        <v>260201</v>
      </c>
      <c r="B1297" s="3" t="s">
        <v>896</v>
      </c>
      <c r="C1297" s="25">
        <v>0</v>
      </c>
      <c r="D1297" s="25">
        <v>0</v>
      </c>
      <c r="E1297" s="18">
        <f t="shared" ref="E1297:E1306" si="239">SUM(C1297:D1297)</f>
        <v>0</v>
      </c>
    </row>
    <row r="1298" spans="1:5" ht="15" x14ac:dyDescent="0.2">
      <c r="A1298" s="7">
        <v>260202</v>
      </c>
      <c r="B1298" s="3" t="s">
        <v>897</v>
      </c>
      <c r="C1298" s="25">
        <v>0</v>
      </c>
      <c r="D1298" s="25">
        <v>0</v>
      </c>
      <c r="E1298" s="18">
        <f t="shared" si="239"/>
        <v>0</v>
      </c>
    </row>
    <row r="1299" spans="1:5" ht="15" x14ac:dyDescent="0.2">
      <c r="A1299" s="7">
        <v>260203</v>
      </c>
      <c r="B1299" s="3" t="s">
        <v>898</v>
      </c>
      <c r="C1299" s="25">
        <v>0</v>
      </c>
      <c r="D1299" s="25">
        <v>0</v>
      </c>
      <c r="E1299" s="18">
        <f t="shared" si="239"/>
        <v>0</v>
      </c>
    </row>
    <row r="1300" spans="1:5" ht="15" x14ac:dyDescent="0.2">
      <c r="A1300" s="7">
        <v>260204</v>
      </c>
      <c r="B1300" s="3" t="s">
        <v>899</v>
      </c>
      <c r="C1300" s="25">
        <v>0</v>
      </c>
      <c r="D1300" s="25">
        <v>0</v>
      </c>
      <c r="E1300" s="18">
        <f t="shared" si="239"/>
        <v>0</v>
      </c>
    </row>
    <row r="1301" spans="1:5" ht="15" x14ac:dyDescent="0.2">
      <c r="A1301" s="7">
        <v>260205</v>
      </c>
      <c r="B1301" s="3" t="s">
        <v>900</v>
      </c>
      <c r="C1301" s="25">
        <v>0</v>
      </c>
      <c r="D1301" s="25">
        <v>0</v>
      </c>
      <c r="E1301" s="18">
        <f t="shared" si="239"/>
        <v>0</v>
      </c>
    </row>
    <row r="1302" spans="1:5" ht="15" x14ac:dyDescent="0.2">
      <c r="A1302" s="7">
        <v>260206</v>
      </c>
      <c r="B1302" s="3" t="s">
        <v>901</v>
      </c>
      <c r="C1302" s="25">
        <v>0</v>
      </c>
      <c r="D1302" s="25">
        <v>0</v>
      </c>
      <c r="E1302" s="18">
        <f t="shared" si="239"/>
        <v>0</v>
      </c>
    </row>
    <row r="1303" spans="1:5" ht="15" x14ac:dyDescent="0.2">
      <c r="A1303" s="7">
        <v>260207</v>
      </c>
      <c r="B1303" s="3" t="s">
        <v>902</v>
      </c>
      <c r="C1303" s="25">
        <v>0</v>
      </c>
      <c r="D1303" s="25">
        <v>0</v>
      </c>
      <c r="E1303" s="18">
        <f t="shared" si="239"/>
        <v>0</v>
      </c>
    </row>
    <row r="1304" spans="1:5" ht="15" x14ac:dyDescent="0.2">
      <c r="A1304" s="7">
        <v>260208</v>
      </c>
      <c r="B1304" s="3" t="s">
        <v>903</v>
      </c>
      <c r="C1304" s="25">
        <v>0</v>
      </c>
      <c r="D1304" s="25">
        <v>0</v>
      </c>
      <c r="E1304" s="18">
        <f t="shared" si="239"/>
        <v>0</v>
      </c>
    </row>
    <row r="1305" spans="1:5" ht="15" x14ac:dyDescent="0.2">
      <c r="A1305" s="7">
        <v>260209</v>
      </c>
      <c r="B1305" s="3" t="s">
        <v>904</v>
      </c>
      <c r="C1305" s="25">
        <v>0</v>
      </c>
      <c r="D1305" s="25">
        <v>0</v>
      </c>
      <c r="E1305" s="18">
        <f t="shared" si="239"/>
        <v>0</v>
      </c>
    </row>
    <row r="1306" spans="1:5" ht="15" x14ac:dyDescent="0.2">
      <c r="A1306" s="7">
        <v>260211</v>
      </c>
      <c r="B1306" s="3" t="s">
        <v>905</v>
      </c>
      <c r="C1306" s="25">
        <v>0</v>
      </c>
      <c r="D1306" s="25">
        <v>0</v>
      </c>
      <c r="E1306" s="18">
        <f t="shared" si="239"/>
        <v>0</v>
      </c>
    </row>
    <row r="1307" spans="1:5" ht="15" x14ac:dyDescent="0.2">
      <c r="A1307" s="6">
        <v>2603</v>
      </c>
      <c r="B1307" s="2" t="s">
        <v>95</v>
      </c>
      <c r="C1307" s="24">
        <f>SUM(C1308:C1317)</f>
        <v>0</v>
      </c>
      <c r="D1307" s="24">
        <f t="shared" ref="D1307:E1307" si="240">SUM(D1308:D1317)</f>
        <v>0</v>
      </c>
      <c r="E1307" s="17">
        <f t="shared" si="240"/>
        <v>0</v>
      </c>
    </row>
    <row r="1308" spans="1:5" ht="15" x14ac:dyDescent="0.2">
      <c r="A1308" s="7">
        <v>260301</v>
      </c>
      <c r="B1308" s="3" t="s">
        <v>896</v>
      </c>
      <c r="C1308" s="25">
        <v>0</v>
      </c>
      <c r="D1308" s="25">
        <v>0</v>
      </c>
      <c r="E1308" s="18">
        <f t="shared" ref="E1308:E1317" si="241">SUM(C1308:D1308)</f>
        <v>0</v>
      </c>
    </row>
    <row r="1309" spans="1:5" ht="15" x14ac:dyDescent="0.2">
      <c r="A1309" s="7">
        <v>260302</v>
      </c>
      <c r="B1309" s="3" t="s">
        <v>897</v>
      </c>
      <c r="C1309" s="25">
        <v>0</v>
      </c>
      <c r="D1309" s="25">
        <v>0</v>
      </c>
      <c r="E1309" s="18">
        <f t="shared" si="241"/>
        <v>0</v>
      </c>
    </row>
    <row r="1310" spans="1:5" ht="15" x14ac:dyDescent="0.2">
      <c r="A1310" s="7">
        <v>260303</v>
      </c>
      <c r="B1310" s="3" t="s">
        <v>898</v>
      </c>
      <c r="C1310" s="25">
        <v>0</v>
      </c>
      <c r="D1310" s="25">
        <v>0</v>
      </c>
      <c r="E1310" s="18">
        <f t="shared" si="241"/>
        <v>0</v>
      </c>
    </row>
    <row r="1311" spans="1:5" ht="15" x14ac:dyDescent="0.2">
      <c r="A1311" s="7">
        <v>260304</v>
      </c>
      <c r="B1311" s="3" t="s">
        <v>899</v>
      </c>
      <c r="C1311" s="25">
        <v>0</v>
      </c>
      <c r="D1311" s="25">
        <v>0</v>
      </c>
      <c r="E1311" s="18">
        <f t="shared" si="241"/>
        <v>0</v>
      </c>
    </row>
    <row r="1312" spans="1:5" ht="15" x14ac:dyDescent="0.2">
      <c r="A1312" s="7">
        <v>260305</v>
      </c>
      <c r="B1312" s="3" t="s">
        <v>900</v>
      </c>
      <c r="C1312" s="25">
        <v>0</v>
      </c>
      <c r="D1312" s="25">
        <v>0</v>
      </c>
      <c r="E1312" s="18">
        <f t="shared" si="241"/>
        <v>0</v>
      </c>
    </row>
    <row r="1313" spans="1:5" ht="15" x14ac:dyDescent="0.2">
      <c r="A1313" s="7">
        <v>260306</v>
      </c>
      <c r="B1313" s="3" t="s">
        <v>901</v>
      </c>
      <c r="C1313" s="25">
        <v>0</v>
      </c>
      <c r="D1313" s="25">
        <v>0</v>
      </c>
      <c r="E1313" s="18">
        <f t="shared" si="241"/>
        <v>0</v>
      </c>
    </row>
    <row r="1314" spans="1:5" ht="15" x14ac:dyDescent="0.2">
      <c r="A1314" s="7">
        <v>260307</v>
      </c>
      <c r="B1314" s="3" t="s">
        <v>902</v>
      </c>
      <c r="C1314" s="25">
        <v>0</v>
      </c>
      <c r="D1314" s="25">
        <v>0</v>
      </c>
      <c r="E1314" s="18">
        <f t="shared" si="241"/>
        <v>0</v>
      </c>
    </row>
    <row r="1315" spans="1:5" ht="15" x14ac:dyDescent="0.2">
      <c r="A1315" s="7">
        <v>260308</v>
      </c>
      <c r="B1315" s="3" t="s">
        <v>903</v>
      </c>
      <c r="C1315" s="25">
        <v>0</v>
      </c>
      <c r="D1315" s="25">
        <v>0</v>
      </c>
      <c r="E1315" s="18">
        <f t="shared" si="241"/>
        <v>0</v>
      </c>
    </row>
    <row r="1316" spans="1:5" ht="15" x14ac:dyDescent="0.2">
      <c r="A1316" s="7">
        <v>260309</v>
      </c>
      <c r="B1316" s="3" t="s">
        <v>904</v>
      </c>
      <c r="C1316" s="25">
        <v>0</v>
      </c>
      <c r="D1316" s="25">
        <v>0</v>
      </c>
      <c r="E1316" s="18">
        <f t="shared" si="241"/>
        <v>0</v>
      </c>
    </row>
    <row r="1317" spans="1:5" ht="15" x14ac:dyDescent="0.2">
      <c r="A1317" s="7">
        <v>260311</v>
      </c>
      <c r="B1317" s="3" t="s">
        <v>905</v>
      </c>
      <c r="C1317" s="25">
        <v>0</v>
      </c>
      <c r="D1317" s="25">
        <v>0</v>
      </c>
      <c r="E1317" s="18">
        <f t="shared" si="241"/>
        <v>0</v>
      </c>
    </row>
    <row r="1318" spans="1:5" ht="15" x14ac:dyDescent="0.2">
      <c r="A1318" s="6">
        <v>2604</v>
      </c>
      <c r="B1318" s="4" t="s">
        <v>906</v>
      </c>
      <c r="C1318" s="24">
        <f>SUM(C1319:C1328)</f>
        <v>0</v>
      </c>
      <c r="D1318" s="24">
        <f t="shared" ref="D1318:E1318" si="242">SUM(D1319:D1328)</f>
        <v>0</v>
      </c>
      <c r="E1318" s="17">
        <f t="shared" si="242"/>
        <v>0</v>
      </c>
    </row>
    <row r="1319" spans="1:5" ht="15" x14ac:dyDescent="0.2">
      <c r="A1319" s="7">
        <v>260401</v>
      </c>
      <c r="B1319" s="3" t="s">
        <v>896</v>
      </c>
      <c r="C1319" s="25">
        <v>0</v>
      </c>
      <c r="D1319" s="25">
        <v>0</v>
      </c>
      <c r="E1319" s="18">
        <f t="shared" ref="E1319:E1328" si="243">SUM(C1319:D1319)</f>
        <v>0</v>
      </c>
    </row>
    <row r="1320" spans="1:5" ht="15" x14ac:dyDescent="0.2">
      <c r="A1320" s="7">
        <v>260402</v>
      </c>
      <c r="B1320" s="3" t="s">
        <v>897</v>
      </c>
      <c r="C1320" s="25">
        <v>0</v>
      </c>
      <c r="D1320" s="25">
        <v>0</v>
      </c>
      <c r="E1320" s="18">
        <f t="shared" si="243"/>
        <v>0</v>
      </c>
    </row>
    <row r="1321" spans="1:5" ht="15" x14ac:dyDescent="0.2">
      <c r="A1321" s="7">
        <v>260403</v>
      </c>
      <c r="B1321" s="3" t="s">
        <v>898</v>
      </c>
      <c r="C1321" s="25">
        <v>0</v>
      </c>
      <c r="D1321" s="25">
        <v>0</v>
      </c>
      <c r="E1321" s="18">
        <f t="shared" si="243"/>
        <v>0</v>
      </c>
    </row>
    <row r="1322" spans="1:5" ht="15" x14ac:dyDescent="0.2">
      <c r="A1322" s="7">
        <v>260404</v>
      </c>
      <c r="B1322" s="3" t="s">
        <v>899</v>
      </c>
      <c r="C1322" s="25">
        <v>0</v>
      </c>
      <c r="D1322" s="25">
        <v>0</v>
      </c>
      <c r="E1322" s="18">
        <f t="shared" si="243"/>
        <v>0</v>
      </c>
    </row>
    <row r="1323" spans="1:5" ht="15" x14ac:dyDescent="0.2">
      <c r="A1323" s="7">
        <v>260405</v>
      </c>
      <c r="B1323" s="3" t="s">
        <v>900</v>
      </c>
      <c r="C1323" s="25">
        <v>0</v>
      </c>
      <c r="D1323" s="25">
        <v>0</v>
      </c>
      <c r="E1323" s="18">
        <f t="shared" si="243"/>
        <v>0</v>
      </c>
    </row>
    <row r="1324" spans="1:5" ht="15" x14ac:dyDescent="0.2">
      <c r="A1324" s="7">
        <v>260406</v>
      </c>
      <c r="B1324" s="3" t="s">
        <v>901</v>
      </c>
      <c r="C1324" s="25">
        <v>0</v>
      </c>
      <c r="D1324" s="25">
        <v>0</v>
      </c>
      <c r="E1324" s="18">
        <f t="shared" si="243"/>
        <v>0</v>
      </c>
    </row>
    <row r="1325" spans="1:5" ht="15" x14ac:dyDescent="0.2">
      <c r="A1325" s="7">
        <v>260407</v>
      </c>
      <c r="B1325" s="3" t="s">
        <v>902</v>
      </c>
      <c r="C1325" s="25">
        <v>0</v>
      </c>
      <c r="D1325" s="25">
        <v>0</v>
      </c>
      <c r="E1325" s="18">
        <f t="shared" si="243"/>
        <v>0</v>
      </c>
    </row>
    <row r="1326" spans="1:5" ht="15" x14ac:dyDescent="0.2">
      <c r="A1326" s="7">
        <v>260408</v>
      </c>
      <c r="B1326" s="3" t="s">
        <v>903</v>
      </c>
      <c r="C1326" s="25">
        <v>0</v>
      </c>
      <c r="D1326" s="25">
        <v>0</v>
      </c>
      <c r="E1326" s="18">
        <f t="shared" si="243"/>
        <v>0</v>
      </c>
    </row>
    <row r="1327" spans="1:5" ht="15" x14ac:dyDescent="0.2">
      <c r="A1327" s="7">
        <v>260409</v>
      </c>
      <c r="B1327" s="3" t="s">
        <v>904</v>
      </c>
      <c r="C1327" s="25">
        <v>0</v>
      </c>
      <c r="D1327" s="25">
        <v>0</v>
      </c>
      <c r="E1327" s="18">
        <f t="shared" si="243"/>
        <v>0</v>
      </c>
    </row>
    <row r="1328" spans="1:5" ht="15" x14ac:dyDescent="0.2">
      <c r="A1328" s="7">
        <v>260411</v>
      </c>
      <c r="B1328" s="3" t="s">
        <v>905</v>
      </c>
      <c r="C1328" s="25">
        <v>0</v>
      </c>
      <c r="D1328" s="25">
        <v>0</v>
      </c>
      <c r="E1328" s="18">
        <f t="shared" si="243"/>
        <v>0</v>
      </c>
    </row>
    <row r="1329" spans="1:5" ht="15" x14ac:dyDescent="0.2">
      <c r="A1329" s="6">
        <v>2605</v>
      </c>
      <c r="B1329" s="2" t="s">
        <v>907</v>
      </c>
      <c r="C1329" s="24">
        <f>SUM(C1330:C1332)</f>
        <v>0</v>
      </c>
      <c r="D1329" s="24">
        <f t="shared" ref="D1329:E1329" si="244">SUM(D1330:D1332)</f>
        <v>0</v>
      </c>
      <c r="E1329" s="17">
        <f t="shared" si="244"/>
        <v>0</v>
      </c>
    </row>
    <row r="1330" spans="1:5" ht="15" x14ac:dyDescent="0.2">
      <c r="A1330" s="7">
        <v>260501</v>
      </c>
      <c r="B1330" s="4" t="s">
        <v>99</v>
      </c>
      <c r="C1330" s="26">
        <v>0</v>
      </c>
      <c r="D1330" s="26">
        <v>0</v>
      </c>
      <c r="E1330" s="18">
        <f t="shared" ref="E1330:E1332" si="245">SUM(C1330:D1330)</f>
        <v>0</v>
      </c>
    </row>
    <row r="1331" spans="1:5" ht="15" x14ac:dyDescent="0.2">
      <c r="A1331" s="7">
        <v>260502</v>
      </c>
      <c r="B1331" s="4" t="s">
        <v>100</v>
      </c>
      <c r="C1331" s="26">
        <v>0</v>
      </c>
      <c r="D1331" s="26">
        <v>0</v>
      </c>
      <c r="E1331" s="18">
        <f t="shared" si="245"/>
        <v>0</v>
      </c>
    </row>
    <row r="1332" spans="1:5" ht="15" x14ac:dyDescent="0.2">
      <c r="A1332" s="7">
        <v>260503</v>
      </c>
      <c r="B1332" s="4" t="s">
        <v>908</v>
      </c>
      <c r="C1332" s="26">
        <v>0</v>
      </c>
      <c r="D1332" s="26">
        <v>0</v>
      </c>
      <c r="E1332" s="18">
        <f t="shared" si="245"/>
        <v>0</v>
      </c>
    </row>
    <row r="1333" spans="1:5" ht="15" x14ac:dyDescent="0.2">
      <c r="A1333" s="6">
        <v>2606</v>
      </c>
      <c r="B1333" s="2" t="s">
        <v>909</v>
      </c>
      <c r="C1333" s="24">
        <f>SUM(C1334:C1335)</f>
        <v>0</v>
      </c>
      <c r="D1333" s="24">
        <f t="shared" ref="D1333:E1333" si="246">SUM(D1334:D1335)</f>
        <v>0</v>
      </c>
      <c r="E1333" s="17">
        <f t="shared" si="246"/>
        <v>0</v>
      </c>
    </row>
    <row r="1334" spans="1:5" ht="15" x14ac:dyDescent="0.2">
      <c r="A1334" s="7">
        <v>260601</v>
      </c>
      <c r="B1334" s="3" t="s">
        <v>103</v>
      </c>
      <c r="C1334" s="25">
        <v>0</v>
      </c>
      <c r="D1334" s="25">
        <v>0</v>
      </c>
      <c r="E1334" s="18">
        <f t="shared" ref="E1334:E1335" si="247">SUM(C1334:D1334)</f>
        <v>0</v>
      </c>
    </row>
    <row r="1335" spans="1:5" ht="15" x14ac:dyDescent="0.2">
      <c r="A1335" s="7">
        <v>260602</v>
      </c>
      <c r="B1335" s="3" t="s">
        <v>104</v>
      </c>
      <c r="C1335" s="25">
        <v>0</v>
      </c>
      <c r="D1335" s="25">
        <v>0</v>
      </c>
      <c r="E1335" s="18">
        <f t="shared" si="247"/>
        <v>0</v>
      </c>
    </row>
    <row r="1336" spans="1:5" ht="15" x14ac:dyDescent="0.2">
      <c r="A1336" s="6">
        <v>27</v>
      </c>
      <c r="B1336" s="2" t="s">
        <v>910</v>
      </c>
      <c r="C1336" s="24">
        <f>SUM(C1337,C1344,C1347)</f>
        <v>0</v>
      </c>
      <c r="D1336" s="24">
        <f>SUM(D1337,D1344,D1347)</f>
        <v>0</v>
      </c>
      <c r="E1336" s="28">
        <f>SUM(E1337,E1344,E1347)</f>
        <v>0</v>
      </c>
    </row>
    <row r="1337" spans="1:5" ht="15" x14ac:dyDescent="0.2">
      <c r="A1337" s="6">
        <v>2701</v>
      </c>
      <c r="B1337" s="2" t="s">
        <v>911</v>
      </c>
      <c r="C1337" s="24">
        <f>SUM(C1338:C1343)</f>
        <v>0</v>
      </c>
      <c r="D1337" s="24">
        <f t="shared" ref="D1337:E1337" si="248">SUM(D1338:D1343)</f>
        <v>0</v>
      </c>
      <c r="E1337" s="28">
        <f t="shared" si="248"/>
        <v>0</v>
      </c>
    </row>
    <row r="1338" spans="1:5" ht="15" x14ac:dyDescent="0.2">
      <c r="A1338" s="7">
        <v>270101</v>
      </c>
      <c r="B1338" s="3" t="s">
        <v>912</v>
      </c>
      <c r="C1338" s="25">
        <v>0</v>
      </c>
      <c r="D1338" s="25">
        <v>0</v>
      </c>
      <c r="E1338" s="18">
        <f t="shared" ref="E1338:E1343" si="249">SUM(C1338:D1338)</f>
        <v>0</v>
      </c>
    </row>
    <row r="1339" spans="1:5" ht="15" x14ac:dyDescent="0.2">
      <c r="A1339" s="7">
        <v>270102</v>
      </c>
      <c r="B1339" s="3" t="s">
        <v>913</v>
      </c>
      <c r="C1339" s="25">
        <v>0</v>
      </c>
      <c r="D1339" s="25">
        <v>0</v>
      </c>
      <c r="E1339" s="18">
        <f t="shared" si="249"/>
        <v>0</v>
      </c>
    </row>
    <row r="1340" spans="1:5" ht="15" x14ac:dyDescent="0.2">
      <c r="A1340" s="7">
        <v>270103</v>
      </c>
      <c r="B1340" s="3" t="s">
        <v>914</v>
      </c>
      <c r="C1340" s="25">
        <v>0</v>
      </c>
      <c r="D1340" s="25">
        <v>0</v>
      </c>
      <c r="E1340" s="18">
        <f t="shared" si="249"/>
        <v>0</v>
      </c>
    </row>
    <row r="1341" spans="1:5" ht="15" x14ac:dyDescent="0.2">
      <c r="A1341" s="7">
        <v>270104</v>
      </c>
      <c r="B1341" s="3" t="s">
        <v>915</v>
      </c>
      <c r="C1341" s="25">
        <v>0</v>
      </c>
      <c r="D1341" s="25">
        <v>0</v>
      </c>
      <c r="E1341" s="18">
        <f t="shared" si="249"/>
        <v>0</v>
      </c>
    </row>
    <row r="1342" spans="1:5" ht="15" x14ac:dyDescent="0.2">
      <c r="A1342" s="7">
        <v>270105</v>
      </c>
      <c r="B1342" s="3" t="s">
        <v>916</v>
      </c>
      <c r="C1342" s="25">
        <v>0</v>
      </c>
      <c r="D1342" s="25">
        <v>0</v>
      </c>
      <c r="E1342" s="18">
        <f t="shared" si="249"/>
        <v>0</v>
      </c>
    </row>
    <row r="1343" spans="1:5" ht="15" x14ac:dyDescent="0.2">
      <c r="A1343" s="7">
        <v>270190</v>
      </c>
      <c r="B1343" s="3" t="s">
        <v>917</v>
      </c>
      <c r="C1343" s="25">
        <v>0</v>
      </c>
      <c r="D1343" s="25">
        <v>0</v>
      </c>
      <c r="E1343" s="29">
        <f t="shared" si="249"/>
        <v>0</v>
      </c>
    </row>
    <row r="1344" spans="1:5" ht="15" x14ac:dyDescent="0.2">
      <c r="A1344" s="6">
        <v>2707</v>
      </c>
      <c r="B1344" s="2" t="s">
        <v>918</v>
      </c>
      <c r="C1344" s="24">
        <f>SUM(C1345:C1346)</f>
        <v>0</v>
      </c>
      <c r="D1344" s="24">
        <f t="shared" ref="D1344:E1344" si="250">SUM(D1345:D1346)</f>
        <v>0</v>
      </c>
      <c r="E1344" s="17">
        <f t="shared" si="250"/>
        <v>0</v>
      </c>
    </row>
    <row r="1345" spans="1:5" ht="15" x14ac:dyDescent="0.2">
      <c r="A1345" s="7">
        <v>270701</v>
      </c>
      <c r="B1345" s="3" t="s">
        <v>919</v>
      </c>
      <c r="C1345" s="25">
        <v>0</v>
      </c>
      <c r="D1345" s="25">
        <v>0</v>
      </c>
      <c r="E1345" s="18">
        <f t="shared" ref="E1345:E1346" si="251">SUM(C1345:D1345)</f>
        <v>0</v>
      </c>
    </row>
    <row r="1346" spans="1:5" ht="15" x14ac:dyDescent="0.2">
      <c r="A1346" s="7">
        <v>270702</v>
      </c>
      <c r="B1346" s="3" t="s">
        <v>820</v>
      </c>
      <c r="C1346" s="25">
        <v>0</v>
      </c>
      <c r="D1346" s="25">
        <v>0</v>
      </c>
      <c r="E1346" s="18">
        <f t="shared" si="251"/>
        <v>0</v>
      </c>
    </row>
    <row r="1347" spans="1:5" ht="15" x14ac:dyDescent="0.2">
      <c r="A1347" s="6">
        <v>2790</v>
      </c>
      <c r="B1347" s="2" t="s">
        <v>920</v>
      </c>
      <c r="C1347" s="24">
        <f>SUM(C1348:C1359)</f>
        <v>0</v>
      </c>
      <c r="D1347" s="24">
        <f t="shared" ref="D1347:E1347" si="252">SUM(D1348:D1359)</f>
        <v>0</v>
      </c>
      <c r="E1347" s="17">
        <f t="shared" si="252"/>
        <v>0</v>
      </c>
    </row>
    <row r="1348" spans="1:5" ht="15" x14ac:dyDescent="0.2">
      <c r="A1348" s="7">
        <v>279015</v>
      </c>
      <c r="B1348" s="3" t="s">
        <v>921</v>
      </c>
      <c r="C1348" s="25">
        <v>0</v>
      </c>
      <c r="D1348" s="25">
        <v>0</v>
      </c>
      <c r="E1348" s="18">
        <f t="shared" ref="E1348:E1359" si="253">SUM(C1348:D1348)</f>
        <v>0</v>
      </c>
    </row>
    <row r="1349" spans="1:5" ht="15" x14ac:dyDescent="0.2">
      <c r="A1349" s="7">
        <v>279016</v>
      </c>
      <c r="B1349" s="3" t="s">
        <v>922</v>
      </c>
      <c r="C1349" s="25">
        <v>0</v>
      </c>
      <c r="D1349" s="25">
        <v>0</v>
      </c>
      <c r="E1349" s="18">
        <f t="shared" si="253"/>
        <v>0</v>
      </c>
    </row>
    <row r="1350" spans="1:5" ht="15" x14ac:dyDescent="0.2">
      <c r="A1350" s="7">
        <v>279017</v>
      </c>
      <c r="B1350" s="3" t="s">
        <v>923</v>
      </c>
      <c r="C1350" s="25">
        <v>0</v>
      </c>
      <c r="D1350" s="25">
        <v>0</v>
      </c>
      <c r="E1350" s="18">
        <f t="shared" si="253"/>
        <v>0</v>
      </c>
    </row>
    <row r="1351" spans="1:5" ht="15" x14ac:dyDescent="0.2">
      <c r="A1351" s="7">
        <v>279018</v>
      </c>
      <c r="B1351" s="3" t="s">
        <v>924</v>
      </c>
      <c r="C1351" s="25">
        <v>0</v>
      </c>
      <c r="D1351" s="25">
        <v>0</v>
      </c>
      <c r="E1351" s="18">
        <f t="shared" si="253"/>
        <v>0</v>
      </c>
    </row>
    <row r="1352" spans="1:5" ht="15" x14ac:dyDescent="0.2">
      <c r="A1352" s="7">
        <v>279019</v>
      </c>
      <c r="B1352" s="3" t="s">
        <v>925</v>
      </c>
      <c r="C1352" s="25">
        <v>0</v>
      </c>
      <c r="D1352" s="25">
        <v>0</v>
      </c>
      <c r="E1352" s="18">
        <f t="shared" si="253"/>
        <v>0</v>
      </c>
    </row>
    <row r="1353" spans="1:5" ht="15" x14ac:dyDescent="0.2">
      <c r="A1353" s="7">
        <v>279020</v>
      </c>
      <c r="B1353" s="3" t="s">
        <v>926</v>
      </c>
      <c r="C1353" s="25">
        <v>0</v>
      </c>
      <c r="D1353" s="25">
        <v>0</v>
      </c>
      <c r="E1353" s="18">
        <f t="shared" si="253"/>
        <v>0</v>
      </c>
    </row>
    <row r="1354" spans="1:5" ht="15" x14ac:dyDescent="0.2">
      <c r="A1354" s="7">
        <v>279021</v>
      </c>
      <c r="B1354" s="3" t="s">
        <v>927</v>
      </c>
      <c r="C1354" s="25">
        <v>0</v>
      </c>
      <c r="D1354" s="25">
        <v>0</v>
      </c>
      <c r="E1354" s="18">
        <f t="shared" si="253"/>
        <v>0</v>
      </c>
    </row>
    <row r="1355" spans="1:5" ht="15" x14ac:dyDescent="0.2">
      <c r="A1355" s="7">
        <v>279022</v>
      </c>
      <c r="B1355" s="3" t="s">
        <v>928</v>
      </c>
      <c r="C1355" s="25">
        <v>0</v>
      </c>
      <c r="D1355" s="25">
        <v>0</v>
      </c>
      <c r="E1355" s="18">
        <f t="shared" si="253"/>
        <v>0</v>
      </c>
    </row>
    <row r="1356" spans="1:5" ht="15" x14ac:dyDescent="0.2">
      <c r="A1356" s="7">
        <v>279023</v>
      </c>
      <c r="B1356" s="3" t="s">
        <v>929</v>
      </c>
      <c r="C1356" s="25">
        <v>0</v>
      </c>
      <c r="D1356" s="25">
        <v>0</v>
      </c>
      <c r="E1356" s="18">
        <f t="shared" si="253"/>
        <v>0</v>
      </c>
    </row>
    <row r="1357" spans="1:5" ht="15" x14ac:dyDescent="0.2">
      <c r="A1357" s="7">
        <v>279024</v>
      </c>
      <c r="B1357" s="3" t="s">
        <v>930</v>
      </c>
      <c r="C1357" s="25">
        <v>0</v>
      </c>
      <c r="D1357" s="25">
        <v>0</v>
      </c>
      <c r="E1357" s="18">
        <f t="shared" si="253"/>
        <v>0</v>
      </c>
    </row>
    <row r="1358" spans="1:5" ht="15" x14ac:dyDescent="0.2">
      <c r="A1358" s="7">
        <v>279025</v>
      </c>
      <c r="B1358" s="3" t="s">
        <v>931</v>
      </c>
      <c r="C1358" s="25">
        <v>0</v>
      </c>
      <c r="D1358" s="25">
        <v>0</v>
      </c>
      <c r="E1358" s="18">
        <f t="shared" si="253"/>
        <v>0</v>
      </c>
    </row>
    <row r="1359" spans="1:5" ht="15" x14ac:dyDescent="0.2">
      <c r="A1359" s="7">
        <v>279090</v>
      </c>
      <c r="B1359" s="3" t="s">
        <v>932</v>
      </c>
      <c r="C1359" s="25">
        <v>0</v>
      </c>
      <c r="D1359" s="25">
        <v>0</v>
      </c>
      <c r="E1359" s="18">
        <f t="shared" si="253"/>
        <v>0</v>
      </c>
    </row>
    <row r="1360" spans="1:5" ht="15" x14ac:dyDescent="0.2">
      <c r="A1360" s="6">
        <v>29</v>
      </c>
      <c r="B1360" s="2" t="s">
        <v>933</v>
      </c>
      <c r="C1360" s="24">
        <f>SUM(C1361,C1366,C1368,C1375,C1391,C1410,C1412)</f>
        <v>0</v>
      </c>
      <c r="D1360" s="24">
        <f>SUM(D1361,D1366,D1368,D1375,D1391,D1410,D1412)</f>
        <v>0</v>
      </c>
      <c r="E1360" s="28">
        <f>SUM(E1361,E1366,E1368,E1375,E1391,E1410,E1412)</f>
        <v>0</v>
      </c>
    </row>
    <row r="1361" spans="1:5" ht="15" x14ac:dyDescent="0.2">
      <c r="A1361" s="6">
        <v>2901</v>
      </c>
      <c r="B1361" s="2" t="s">
        <v>934</v>
      </c>
      <c r="C1361" s="24">
        <f>SUM(C1362:C1365)</f>
        <v>0</v>
      </c>
      <c r="D1361" s="24">
        <f t="shared" ref="D1361:E1361" si="254">SUM(D1362:D1365)</f>
        <v>0</v>
      </c>
      <c r="E1361" s="28">
        <f t="shared" si="254"/>
        <v>0</v>
      </c>
    </row>
    <row r="1362" spans="1:5" ht="15" x14ac:dyDescent="0.2">
      <c r="A1362" s="7">
        <v>290101</v>
      </c>
      <c r="B1362" s="3" t="s">
        <v>935</v>
      </c>
      <c r="C1362" s="25">
        <v>0</v>
      </c>
      <c r="D1362" s="25">
        <v>0</v>
      </c>
      <c r="E1362" s="18">
        <f t="shared" ref="E1362:E1365" si="255">SUM(C1362:D1362)</f>
        <v>0</v>
      </c>
    </row>
    <row r="1363" spans="1:5" ht="15" x14ac:dyDescent="0.2">
      <c r="A1363" s="7">
        <v>290102</v>
      </c>
      <c r="B1363" s="3" t="s">
        <v>576</v>
      </c>
      <c r="C1363" s="25">
        <v>0</v>
      </c>
      <c r="D1363" s="25">
        <v>0</v>
      </c>
      <c r="E1363" s="18">
        <f t="shared" si="255"/>
        <v>0</v>
      </c>
    </row>
    <row r="1364" spans="1:5" ht="15" x14ac:dyDescent="0.2">
      <c r="A1364" s="7">
        <v>290103</v>
      </c>
      <c r="B1364" s="3" t="s">
        <v>936</v>
      </c>
      <c r="C1364" s="25">
        <v>0</v>
      </c>
      <c r="D1364" s="25">
        <v>0</v>
      </c>
      <c r="E1364" s="18">
        <f t="shared" si="255"/>
        <v>0</v>
      </c>
    </row>
    <row r="1365" spans="1:5" ht="15" x14ac:dyDescent="0.2">
      <c r="A1365" s="7">
        <v>290190</v>
      </c>
      <c r="B1365" s="3" t="s">
        <v>580</v>
      </c>
      <c r="C1365" s="25">
        <v>0</v>
      </c>
      <c r="D1365" s="25">
        <v>0</v>
      </c>
      <c r="E1365" s="29">
        <f t="shared" si="255"/>
        <v>0</v>
      </c>
    </row>
    <row r="1366" spans="1:5" ht="15" x14ac:dyDescent="0.2">
      <c r="A1366" s="6">
        <v>2902</v>
      </c>
      <c r="B1366" s="2" t="s">
        <v>937</v>
      </c>
      <c r="C1366" s="24">
        <f>SUM(C1367)</f>
        <v>0</v>
      </c>
      <c r="D1366" s="24">
        <f t="shared" ref="D1366:E1366" si="256">SUM(D1367)</f>
        <v>0</v>
      </c>
      <c r="E1366" s="17">
        <f t="shared" si="256"/>
        <v>0</v>
      </c>
    </row>
    <row r="1367" spans="1:5" ht="15" x14ac:dyDescent="0.2">
      <c r="A1367" s="7">
        <v>290201</v>
      </c>
      <c r="B1367" s="3" t="s">
        <v>593</v>
      </c>
      <c r="C1367" s="25">
        <v>0</v>
      </c>
      <c r="D1367" s="25">
        <v>0</v>
      </c>
      <c r="E1367" s="18">
        <f t="shared" ref="E1367" si="257">SUM(C1367:D1367)</f>
        <v>0</v>
      </c>
    </row>
    <row r="1368" spans="1:5" ht="15" x14ac:dyDescent="0.2">
      <c r="A1368" s="6">
        <v>2903</v>
      </c>
      <c r="B1368" s="2" t="s">
        <v>938</v>
      </c>
      <c r="C1368" s="24">
        <f>SUM(C1369:C1374)</f>
        <v>0</v>
      </c>
      <c r="D1368" s="24">
        <f t="shared" ref="D1368:E1368" si="258">SUM(D1369:D1374)</f>
        <v>0</v>
      </c>
      <c r="E1368" s="17">
        <f t="shared" si="258"/>
        <v>0</v>
      </c>
    </row>
    <row r="1369" spans="1:5" ht="15" x14ac:dyDescent="0.2">
      <c r="A1369" s="7">
        <v>290301</v>
      </c>
      <c r="B1369" s="3" t="s">
        <v>598</v>
      </c>
      <c r="C1369" s="25">
        <v>0</v>
      </c>
      <c r="D1369" s="25">
        <v>0</v>
      </c>
      <c r="E1369" s="18">
        <f t="shared" ref="E1369:E1374" si="259">SUM(C1369:D1369)</f>
        <v>0</v>
      </c>
    </row>
    <row r="1370" spans="1:5" ht="15" x14ac:dyDescent="0.2">
      <c r="A1370" s="7">
        <v>290302</v>
      </c>
      <c r="B1370" s="3" t="s">
        <v>599</v>
      </c>
      <c r="C1370" s="25">
        <v>0</v>
      </c>
      <c r="D1370" s="25">
        <v>0</v>
      </c>
      <c r="E1370" s="18">
        <f t="shared" si="259"/>
        <v>0</v>
      </c>
    </row>
    <row r="1371" spans="1:5" ht="15" x14ac:dyDescent="0.2">
      <c r="A1371" s="7">
        <v>290303</v>
      </c>
      <c r="B1371" s="3" t="s">
        <v>600</v>
      </c>
      <c r="C1371" s="25">
        <v>0</v>
      </c>
      <c r="D1371" s="25">
        <v>0</v>
      </c>
      <c r="E1371" s="18">
        <f t="shared" si="259"/>
        <v>0</v>
      </c>
    </row>
    <row r="1372" spans="1:5" ht="15" x14ac:dyDescent="0.2">
      <c r="A1372" s="7">
        <v>290304</v>
      </c>
      <c r="B1372" s="3" t="s">
        <v>601</v>
      </c>
      <c r="C1372" s="25">
        <v>0</v>
      </c>
      <c r="D1372" s="25">
        <v>0</v>
      </c>
      <c r="E1372" s="18">
        <f t="shared" si="259"/>
        <v>0</v>
      </c>
    </row>
    <row r="1373" spans="1:5" ht="15" x14ac:dyDescent="0.2">
      <c r="A1373" s="7">
        <v>290305</v>
      </c>
      <c r="B1373" s="3" t="s">
        <v>638</v>
      </c>
      <c r="C1373" s="25">
        <v>0</v>
      </c>
      <c r="D1373" s="25">
        <v>0</v>
      </c>
      <c r="E1373" s="18">
        <f t="shared" si="259"/>
        <v>0</v>
      </c>
    </row>
    <row r="1374" spans="1:5" ht="15" x14ac:dyDescent="0.2">
      <c r="A1374" s="7">
        <v>290390</v>
      </c>
      <c r="B1374" s="3" t="s">
        <v>19</v>
      </c>
      <c r="C1374" s="25">
        <v>0</v>
      </c>
      <c r="D1374" s="25">
        <v>0</v>
      </c>
      <c r="E1374" s="18">
        <f t="shared" si="259"/>
        <v>0</v>
      </c>
    </row>
    <row r="1375" spans="1:5" ht="15" x14ac:dyDescent="0.2">
      <c r="A1375" s="6">
        <v>2910</v>
      </c>
      <c r="B1375" s="2" t="s">
        <v>939</v>
      </c>
      <c r="C1375" s="24">
        <f>SUM(C1376:C1390)</f>
        <v>0</v>
      </c>
      <c r="D1375" s="24">
        <f t="shared" ref="D1375:E1375" si="260">SUM(D1376:D1390)</f>
        <v>0</v>
      </c>
      <c r="E1375" s="17">
        <f t="shared" si="260"/>
        <v>0</v>
      </c>
    </row>
    <row r="1376" spans="1:5" ht="15" x14ac:dyDescent="0.2">
      <c r="A1376" s="7">
        <v>291001</v>
      </c>
      <c r="B1376" s="3" t="s">
        <v>563</v>
      </c>
      <c r="C1376" s="25">
        <v>0</v>
      </c>
      <c r="D1376" s="25">
        <v>0</v>
      </c>
      <c r="E1376" s="18">
        <f t="shared" ref="E1376:E1390" si="261">SUM(C1376:D1376)</f>
        <v>0</v>
      </c>
    </row>
    <row r="1377" spans="1:5" ht="15" x14ac:dyDescent="0.2">
      <c r="A1377" s="7">
        <v>291002</v>
      </c>
      <c r="B1377" s="3" t="s">
        <v>231</v>
      </c>
      <c r="C1377" s="25">
        <v>0</v>
      </c>
      <c r="D1377" s="25">
        <v>0</v>
      </c>
      <c r="E1377" s="18">
        <f t="shared" si="261"/>
        <v>0</v>
      </c>
    </row>
    <row r="1378" spans="1:5" ht="15" x14ac:dyDescent="0.2">
      <c r="A1378" s="7">
        <v>291005</v>
      </c>
      <c r="B1378" s="3" t="s">
        <v>256</v>
      </c>
      <c r="C1378" s="25">
        <v>0</v>
      </c>
      <c r="D1378" s="25">
        <v>0</v>
      </c>
      <c r="E1378" s="18">
        <f t="shared" si="261"/>
        <v>0</v>
      </c>
    </row>
    <row r="1379" spans="1:5" ht="15" x14ac:dyDescent="0.2">
      <c r="A1379" s="7">
        <v>291006</v>
      </c>
      <c r="B1379" s="3" t="s">
        <v>242</v>
      </c>
      <c r="C1379" s="25">
        <v>0</v>
      </c>
      <c r="D1379" s="25">
        <v>0</v>
      </c>
      <c r="E1379" s="18">
        <f t="shared" si="261"/>
        <v>0</v>
      </c>
    </row>
    <row r="1380" spans="1:5" ht="15" x14ac:dyDescent="0.2">
      <c r="A1380" s="7">
        <v>291007</v>
      </c>
      <c r="B1380" s="3" t="s">
        <v>940</v>
      </c>
      <c r="C1380" s="25">
        <v>0</v>
      </c>
      <c r="D1380" s="25">
        <v>0</v>
      </c>
      <c r="E1380" s="18">
        <f t="shared" si="261"/>
        <v>0</v>
      </c>
    </row>
    <row r="1381" spans="1:5" ht="15" x14ac:dyDescent="0.2">
      <c r="A1381" s="7">
        <v>291013</v>
      </c>
      <c r="B1381" s="3" t="s">
        <v>755</v>
      </c>
      <c r="C1381" s="25">
        <v>0</v>
      </c>
      <c r="D1381" s="25">
        <v>0</v>
      </c>
      <c r="E1381" s="18">
        <f t="shared" si="261"/>
        <v>0</v>
      </c>
    </row>
    <row r="1382" spans="1:5" ht="15" x14ac:dyDescent="0.2">
      <c r="A1382" s="7">
        <v>291017</v>
      </c>
      <c r="B1382" s="3" t="s">
        <v>941</v>
      </c>
      <c r="C1382" s="25">
        <v>0</v>
      </c>
      <c r="D1382" s="25">
        <v>0</v>
      </c>
      <c r="E1382" s="18">
        <f t="shared" si="261"/>
        <v>0</v>
      </c>
    </row>
    <row r="1383" spans="1:5" ht="15" x14ac:dyDescent="0.2">
      <c r="A1383" s="7">
        <v>291018</v>
      </c>
      <c r="B1383" s="3" t="s">
        <v>942</v>
      </c>
      <c r="C1383" s="25">
        <v>0</v>
      </c>
      <c r="D1383" s="25">
        <v>0</v>
      </c>
      <c r="E1383" s="18">
        <f t="shared" si="261"/>
        <v>0</v>
      </c>
    </row>
    <row r="1384" spans="1:5" ht="15" x14ac:dyDescent="0.2">
      <c r="A1384" s="7">
        <v>291019</v>
      </c>
      <c r="B1384" s="3" t="s">
        <v>943</v>
      </c>
      <c r="C1384" s="25">
        <v>0</v>
      </c>
      <c r="D1384" s="25">
        <v>0</v>
      </c>
      <c r="E1384" s="18">
        <f t="shared" si="261"/>
        <v>0</v>
      </c>
    </row>
    <row r="1385" spans="1:5" ht="15" x14ac:dyDescent="0.2">
      <c r="A1385" s="7">
        <v>291020</v>
      </c>
      <c r="B1385" s="3" t="s">
        <v>944</v>
      </c>
      <c r="C1385" s="25">
        <v>0</v>
      </c>
      <c r="D1385" s="25">
        <v>0</v>
      </c>
      <c r="E1385" s="18">
        <f t="shared" si="261"/>
        <v>0</v>
      </c>
    </row>
    <row r="1386" spans="1:5" ht="15" x14ac:dyDescent="0.2">
      <c r="A1386" s="7">
        <v>291021</v>
      </c>
      <c r="B1386" s="3" t="s">
        <v>945</v>
      </c>
      <c r="C1386" s="25">
        <v>0</v>
      </c>
      <c r="D1386" s="25">
        <v>0</v>
      </c>
      <c r="E1386" s="18">
        <f t="shared" si="261"/>
        <v>0</v>
      </c>
    </row>
    <row r="1387" spans="1:5" ht="15" x14ac:dyDescent="0.2">
      <c r="A1387" s="7">
        <v>291022</v>
      </c>
      <c r="B1387" s="3" t="s">
        <v>946</v>
      </c>
      <c r="C1387" s="25">
        <v>0</v>
      </c>
      <c r="D1387" s="25">
        <v>0</v>
      </c>
      <c r="E1387" s="18">
        <f t="shared" si="261"/>
        <v>0</v>
      </c>
    </row>
    <row r="1388" spans="1:5" ht="15" x14ac:dyDescent="0.2">
      <c r="A1388" s="7">
        <v>291023</v>
      </c>
      <c r="B1388" s="3" t="s">
        <v>947</v>
      </c>
      <c r="C1388" s="25">
        <v>0</v>
      </c>
      <c r="D1388" s="25">
        <v>0</v>
      </c>
      <c r="E1388" s="18">
        <f t="shared" si="261"/>
        <v>0</v>
      </c>
    </row>
    <row r="1389" spans="1:5" ht="15" x14ac:dyDescent="0.2">
      <c r="A1389" s="7">
        <v>291025</v>
      </c>
      <c r="B1389" s="3" t="s">
        <v>254</v>
      </c>
      <c r="C1389" s="25">
        <v>0</v>
      </c>
      <c r="D1389" s="25">
        <v>0</v>
      </c>
      <c r="E1389" s="18">
        <f t="shared" si="261"/>
        <v>0</v>
      </c>
    </row>
    <row r="1390" spans="1:5" ht="15" x14ac:dyDescent="0.2">
      <c r="A1390" s="7">
        <v>291090</v>
      </c>
      <c r="B1390" s="3" t="s">
        <v>948</v>
      </c>
      <c r="C1390" s="25">
        <v>0</v>
      </c>
      <c r="D1390" s="25">
        <v>0</v>
      </c>
      <c r="E1390" s="18">
        <f t="shared" si="261"/>
        <v>0</v>
      </c>
    </row>
    <row r="1391" spans="1:5" ht="15" x14ac:dyDescent="0.2">
      <c r="A1391" s="6">
        <v>2918</v>
      </c>
      <c r="B1391" s="2" t="s">
        <v>949</v>
      </c>
      <c r="C1391" s="24">
        <f>SUM(C1392:C1409)</f>
        <v>0</v>
      </c>
      <c r="D1391" s="24">
        <f t="shared" ref="D1391:E1391" si="262">SUM(D1392:D1409)</f>
        <v>0</v>
      </c>
      <c r="E1391" s="17">
        <f t="shared" si="262"/>
        <v>0</v>
      </c>
    </row>
    <row r="1392" spans="1:5" ht="15" x14ac:dyDescent="0.2">
      <c r="A1392" s="7">
        <v>291801</v>
      </c>
      <c r="B1392" s="3" t="s">
        <v>549</v>
      </c>
      <c r="C1392" s="25">
        <v>0</v>
      </c>
      <c r="D1392" s="25">
        <v>0</v>
      </c>
      <c r="E1392" s="18">
        <f t="shared" ref="E1392:E1409" si="263">SUM(C1392:D1392)</f>
        <v>0</v>
      </c>
    </row>
    <row r="1393" spans="1:5" ht="15" x14ac:dyDescent="0.2">
      <c r="A1393" s="7">
        <v>291802</v>
      </c>
      <c r="B1393" s="3" t="s">
        <v>637</v>
      </c>
      <c r="C1393" s="25">
        <v>0</v>
      </c>
      <c r="D1393" s="25">
        <v>0</v>
      </c>
      <c r="E1393" s="18">
        <f t="shared" si="263"/>
        <v>0</v>
      </c>
    </row>
    <row r="1394" spans="1:5" ht="15" x14ac:dyDescent="0.2">
      <c r="A1394" s="7">
        <v>291803</v>
      </c>
      <c r="B1394" s="3" t="s">
        <v>226</v>
      </c>
      <c r="C1394" s="25">
        <v>0</v>
      </c>
      <c r="D1394" s="25">
        <v>0</v>
      </c>
      <c r="E1394" s="18">
        <f t="shared" si="263"/>
        <v>0</v>
      </c>
    </row>
    <row r="1395" spans="1:5" ht="15" x14ac:dyDescent="0.2">
      <c r="A1395" s="7">
        <v>291804</v>
      </c>
      <c r="B1395" s="3" t="s">
        <v>287</v>
      </c>
      <c r="C1395" s="25">
        <v>0</v>
      </c>
      <c r="D1395" s="25">
        <v>0</v>
      </c>
      <c r="E1395" s="18">
        <f t="shared" si="263"/>
        <v>0</v>
      </c>
    </row>
    <row r="1396" spans="1:5" ht="15" x14ac:dyDescent="0.2">
      <c r="A1396" s="7">
        <v>291805</v>
      </c>
      <c r="B1396" s="3" t="s">
        <v>638</v>
      </c>
      <c r="C1396" s="25">
        <v>0</v>
      </c>
      <c r="D1396" s="25">
        <v>0</v>
      </c>
      <c r="E1396" s="18">
        <f t="shared" si="263"/>
        <v>0</v>
      </c>
    </row>
    <row r="1397" spans="1:5" ht="15" x14ac:dyDescent="0.2">
      <c r="A1397" s="7">
        <v>291806</v>
      </c>
      <c r="B1397" s="3" t="s">
        <v>553</v>
      </c>
      <c r="C1397" s="25">
        <v>0</v>
      </c>
      <c r="D1397" s="25">
        <v>0</v>
      </c>
      <c r="E1397" s="18">
        <f t="shared" si="263"/>
        <v>0</v>
      </c>
    </row>
    <row r="1398" spans="1:5" ht="15" x14ac:dyDescent="0.2">
      <c r="A1398" s="7">
        <v>291807</v>
      </c>
      <c r="B1398" s="3" t="s">
        <v>639</v>
      </c>
      <c r="C1398" s="25">
        <v>0</v>
      </c>
      <c r="D1398" s="25">
        <v>0</v>
      </c>
      <c r="E1398" s="18">
        <f t="shared" si="263"/>
        <v>0</v>
      </c>
    </row>
    <row r="1399" spans="1:5" ht="15" x14ac:dyDescent="0.2">
      <c r="A1399" s="7">
        <v>291808</v>
      </c>
      <c r="B1399" s="3" t="s">
        <v>554</v>
      </c>
      <c r="C1399" s="25">
        <v>0</v>
      </c>
      <c r="D1399" s="25">
        <v>0</v>
      </c>
      <c r="E1399" s="18">
        <f t="shared" si="263"/>
        <v>0</v>
      </c>
    </row>
    <row r="1400" spans="1:5" ht="15" x14ac:dyDescent="0.2">
      <c r="A1400" s="7">
        <v>291809</v>
      </c>
      <c r="B1400" s="3" t="s">
        <v>640</v>
      </c>
      <c r="C1400" s="25">
        <v>0</v>
      </c>
      <c r="D1400" s="25">
        <v>0</v>
      </c>
      <c r="E1400" s="18">
        <f t="shared" si="263"/>
        <v>0</v>
      </c>
    </row>
    <row r="1401" spans="1:5" ht="15" x14ac:dyDescent="0.2">
      <c r="A1401" s="7">
        <v>291810</v>
      </c>
      <c r="B1401" s="3" t="s">
        <v>555</v>
      </c>
      <c r="C1401" s="25">
        <v>0</v>
      </c>
      <c r="D1401" s="25">
        <v>0</v>
      </c>
      <c r="E1401" s="18">
        <f t="shared" si="263"/>
        <v>0</v>
      </c>
    </row>
    <row r="1402" spans="1:5" ht="15" x14ac:dyDescent="0.2">
      <c r="A1402" s="7">
        <v>291811</v>
      </c>
      <c r="B1402" s="3" t="s">
        <v>641</v>
      </c>
      <c r="C1402" s="25">
        <v>0</v>
      </c>
      <c r="D1402" s="25">
        <v>0</v>
      </c>
      <c r="E1402" s="18">
        <f t="shared" si="263"/>
        <v>0</v>
      </c>
    </row>
    <row r="1403" spans="1:5" ht="15" x14ac:dyDescent="0.2">
      <c r="A1403" s="7">
        <v>291812</v>
      </c>
      <c r="B1403" s="3" t="s">
        <v>642</v>
      </c>
      <c r="C1403" s="25">
        <v>0</v>
      </c>
      <c r="D1403" s="25">
        <v>0</v>
      </c>
      <c r="E1403" s="18">
        <f t="shared" si="263"/>
        <v>0</v>
      </c>
    </row>
    <row r="1404" spans="1:5" ht="15" x14ac:dyDescent="0.2">
      <c r="A1404" s="7">
        <v>291813</v>
      </c>
      <c r="B1404" s="3" t="s">
        <v>643</v>
      </c>
      <c r="C1404" s="25">
        <v>0</v>
      </c>
      <c r="D1404" s="25">
        <v>0</v>
      </c>
      <c r="E1404" s="18">
        <f t="shared" si="263"/>
        <v>0</v>
      </c>
    </row>
    <row r="1405" spans="1:5" ht="15" x14ac:dyDescent="0.2">
      <c r="A1405" s="7">
        <v>291814</v>
      </c>
      <c r="B1405" s="3" t="s">
        <v>644</v>
      </c>
      <c r="C1405" s="25">
        <v>0</v>
      </c>
      <c r="D1405" s="25">
        <v>0</v>
      </c>
      <c r="E1405" s="18">
        <f t="shared" si="263"/>
        <v>0</v>
      </c>
    </row>
    <row r="1406" spans="1:5" ht="15" x14ac:dyDescent="0.2">
      <c r="A1406" s="7">
        <v>291815</v>
      </c>
      <c r="B1406" s="3" t="s">
        <v>645</v>
      </c>
      <c r="C1406" s="25">
        <v>0</v>
      </c>
      <c r="D1406" s="25">
        <v>0</v>
      </c>
      <c r="E1406" s="18">
        <f t="shared" si="263"/>
        <v>0</v>
      </c>
    </row>
    <row r="1407" spans="1:5" ht="15" x14ac:dyDescent="0.2">
      <c r="A1407" s="7">
        <v>291816</v>
      </c>
      <c r="B1407" s="3" t="s">
        <v>646</v>
      </c>
      <c r="C1407" s="25">
        <v>0</v>
      </c>
      <c r="D1407" s="25">
        <v>0</v>
      </c>
      <c r="E1407" s="18">
        <f t="shared" si="263"/>
        <v>0</v>
      </c>
    </row>
    <row r="1408" spans="1:5" ht="15" x14ac:dyDescent="0.2">
      <c r="A1408" s="7">
        <v>291817</v>
      </c>
      <c r="B1408" s="3" t="s">
        <v>647</v>
      </c>
      <c r="C1408" s="25">
        <v>0</v>
      </c>
      <c r="D1408" s="25">
        <v>0</v>
      </c>
      <c r="E1408" s="18">
        <f t="shared" si="263"/>
        <v>0</v>
      </c>
    </row>
    <row r="1409" spans="1:5" ht="15" x14ac:dyDescent="0.2">
      <c r="A1409" s="7">
        <v>291818</v>
      </c>
      <c r="B1409" s="3" t="s">
        <v>648</v>
      </c>
      <c r="C1409" s="25">
        <v>0</v>
      </c>
      <c r="D1409" s="25">
        <v>0</v>
      </c>
      <c r="E1409" s="18">
        <f t="shared" si="263"/>
        <v>0</v>
      </c>
    </row>
    <row r="1410" spans="1:5" ht="15" x14ac:dyDescent="0.2">
      <c r="A1410" s="6">
        <v>2919</v>
      </c>
      <c r="B1410" s="2" t="s">
        <v>950</v>
      </c>
      <c r="C1410" s="24">
        <f>SUM(C1411)</f>
        <v>0</v>
      </c>
      <c r="D1410" s="24">
        <f t="shared" ref="D1410:E1410" si="264">SUM(D1411)</f>
        <v>0</v>
      </c>
      <c r="E1410" s="17">
        <f t="shared" si="264"/>
        <v>0</v>
      </c>
    </row>
    <row r="1411" spans="1:5" ht="15" x14ac:dyDescent="0.2">
      <c r="A1411" s="7">
        <v>291901</v>
      </c>
      <c r="B1411" s="3" t="s">
        <v>951</v>
      </c>
      <c r="C1411" s="25">
        <v>0</v>
      </c>
      <c r="D1411" s="25">
        <v>0</v>
      </c>
      <c r="E1411" s="18">
        <f t="shared" ref="E1411" si="265">SUM(C1411:D1411)</f>
        <v>0</v>
      </c>
    </row>
    <row r="1412" spans="1:5" ht="15" x14ac:dyDescent="0.2">
      <c r="A1412" s="6">
        <v>2990</v>
      </c>
      <c r="B1412" s="2" t="s">
        <v>952</v>
      </c>
      <c r="C1412" s="24">
        <f>SUM(C1413:C1416)</f>
        <v>0</v>
      </c>
      <c r="D1412" s="24">
        <f t="shared" ref="D1412:E1412" si="266">SUM(D1413:D1416)</f>
        <v>0</v>
      </c>
      <c r="E1412" s="17">
        <f t="shared" si="266"/>
        <v>0</v>
      </c>
    </row>
    <row r="1413" spans="1:5" ht="15" x14ac:dyDescent="0.2">
      <c r="A1413" s="7">
        <v>299001</v>
      </c>
      <c r="B1413" s="3" t="s">
        <v>953</v>
      </c>
      <c r="C1413" s="25">
        <v>0</v>
      </c>
      <c r="D1413" s="25">
        <v>0</v>
      </c>
      <c r="E1413" s="18">
        <f t="shared" ref="E1413:E1416" si="267">SUM(C1413:D1413)</f>
        <v>0</v>
      </c>
    </row>
    <row r="1414" spans="1:5" ht="15" x14ac:dyDescent="0.2">
      <c r="A1414" s="7">
        <v>299003</v>
      </c>
      <c r="B1414" s="3" t="s">
        <v>954</v>
      </c>
      <c r="C1414" s="25">
        <v>0</v>
      </c>
      <c r="D1414" s="25">
        <v>0</v>
      </c>
      <c r="E1414" s="18">
        <f t="shared" si="267"/>
        <v>0</v>
      </c>
    </row>
    <row r="1415" spans="1:5" ht="15" x14ac:dyDescent="0.2">
      <c r="A1415" s="7">
        <v>299004</v>
      </c>
      <c r="B1415" s="3" t="s">
        <v>955</v>
      </c>
      <c r="C1415" s="25">
        <v>0</v>
      </c>
      <c r="D1415" s="25">
        <v>0</v>
      </c>
      <c r="E1415" s="18">
        <f t="shared" si="267"/>
        <v>0</v>
      </c>
    </row>
    <row r="1416" spans="1:5" ht="15" x14ac:dyDescent="0.2">
      <c r="A1416" s="7">
        <v>299090</v>
      </c>
      <c r="B1416" s="3" t="s">
        <v>956</v>
      </c>
      <c r="C1416" s="25">
        <v>0</v>
      </c>
      <c r="D1416" s="25">
        <v>0</v>
      </c>
      <c r="E1416" s="18">
        <f t="shared" si="267"/>
        <v>0</v>
      </c>
    </row>
    <row r="1417" spans="1:5" ht="15" x14ac:dyDescent="0.2">
      <c r="A1417" s="6">
        <v>3</v>
      </c>
      <c r="B1417" s="2" t="s">
        <v>957</v>
      </c>
      <c r="C1417" s="24">
        <f>SUM(C1418)</f>
        <v>-839033064.45000005</v>
      </c>
      <c r="D1417" s="24">
        <f>SUM(D1418)</f>
        <v>0</v>
      </c>
      <c r="E1417" s="28">
        <f>SUM(E1418)</f>
        <v>-839033064.45000005</v>
      </c>
    </row>
    <row r="1418" spans="1:5" ht="15" x14ac:dyDescent="0.2">
      <c r="A1418" s="6">
        <v>32</v>
      </c>
      <c r="B1418" s="2" t="s">
        <v>958</v>
      </c>
      <c r="C1418" s="24">
        <f>SUM(C1419,C1421,C1425,C1427,C1432,C1442,C1445,C1448,C1451,C1460,C1462,C1464,C1470,C1476,C1482,C1485)</f>
        <v>-839033064.45000005</v>
      </c>
      <c r="D1418" s="24">
        <f>SUM(D1419,D1421,D1425,D1427,D1432,D1442,D1445,D1448,D1451,D1460,D1462,D1464,D1470,D1476,D1482,D1485)</f>
        <v>0</v>
      </c>
      <c r="E1418" s="28">
        <f>SUM(E1419,E1421,E1425,E1427,E1432,E1442,E1445,E1448,E1451,E1460,E1462,E1464,E1470,E1476,E1482,E1485)</f>
        <v>-839033064.45000005</v>
      </c>
    </row>
    <row r="1419" spans="1:5" ht="15" x14ac:dyDescent="0.2">
      <c r="A1419" s="6">
        <v>3203</v>
      </c>
      <c r="B1419" s="2" t="s">
        <v>959</v>
      </c>
      <c r="C1419" s="24">
        <f>SUM(C1420)</f>
        <v>0</v>
      </c>
      <c r="D1419" s="24">
        <f t="shared" ref="D1419:E1419" si="268">SUM(D1420)</f>
        <v>0</v>
      </c>
      <c r="E1419" s="17">
        <f t="shared" si="268"/>
        <v>0</v>
      </c>
    </row>
    <row r="1420" spans="1:5" ht="15" x14ac:dyDescent="0.2">
      <c r="A1420" s="7">
        <v>320301</v>
      </c>
      <c r="B1420" s="3" t="s">
        <v>61</v>
      </c>
      <c r="C1420" s="25">
        <v>0</v>
      </c>
      <c r="D1420" s="25">
        <v>0</v>
      </c>
      <c r="E1420" s="18">
        <f t="shared" ref="E1420" si="269">SUM(C1420:D1420)</f>
        <v>0</v>
      </c>
    </row>
    <row r="1421" spans="1:5" ht="15" x14ac:dyDescent="0.2">
      <c r="A1421" s="6">
        <v>3204</v>
      </c>
      <c r="B1421" s="2" t="s">
        <v>960</v>
      </c>
      <c r="C1421" s="24">
        <f>SUM(C1422:C1424)</f>
        <v>0</v>
      </c>
      <c r="D1421" s="24">
        <f t="shared" ref="D1421:E1421" si="270">SUM(D1422:D1424)</f>
        <v>0</v>
      </c>
      <c r="E1421" s="17">
        <f t="shared" si="270"/>
        <v>0</v>
      </c>
    </row>
    <row r="1422" spans="1:5" ht="15" x14ac:dyDescent="0.2">
      <c r="A1422" s="7">
        <v>320401</v>
      </c>
      <c r="B1422" s="3" t="s">
        <v>961</v>
      </c>
      <c r="C1422" s="25">
        <v>0</v>
      </c>
      <c r="D1422" s="25">
        <v>0</v>
      </c>
      <c r="E1422" s="18">
        <f t="shared" ref="E1422:E1424" si="271">SUM(C1422:D1422)</f>
        <v>0</v>
      </c>
    </row>
    <row r="1423" spans="1:5" ht="15" x14ac:dyDescent="0.2">
      <c r="A1423" s="7">
        <v>320402</v>
      </c>
      <c r="B1423" s="3" t="s">
        <v>962</v>
      </c>
      <c r="C1423" s="25">
        <v>0</v>
      </c>
      <c r="D1423" s="25">
        <v>0</v>
      </c>
      <c r="E1423" s="18">
        <f t="shared" si="271"/>
        <v>0</v>
      </c>
    </row>
    <row r="1424" spans="1:5" ht="15" x14ac:dyDescent="0.2">
      <c r="A1424" s="7">
        <v>320403</v>
      </c>
      <c r="B1424" s="3" t="s">
        <v>963</v>
      </c>
      <c r="C1424" s="25">
        <v>0</v>
      </c>
      <c r="D1424" s="25">
        <v>0</v>
      </c>
      <c r="E1424" s="18">
        <f t="shared" si="271"/>
        <v>0</v>
      </c>
    </row>
    <row r="1425" spans="1:5" ht="15" x14ac:dyDescent="0.2">
      <c r="A1425" s="6">
        <v>3208</v>
      </c>
      <c r="B1425" s="2" t="s">
        <v>964</v>
      </c>
      <c r="C1425" s="24">
        <f>SUM(C1426)</f>
        <v>0</v>
      </c>
      <c r="D1425" s="24">
        <f t="shared" ref="D1425:E1425" si="272">SUM(D1426)</f>
        <v>0</v>
      </c>
      <c r="E1425" s="28">
        <f t="shared" si="272"/>
        <v>0</v>
      </c>
    </row>
    <row r="1426" spans="1:5" ht="15" x14ac:dyDescent="0.2">
      <c r="A1426" s="7">
        <v>320801</v>
      </c>
      <c r="B1426" s="3" t="s">
        <v>965</v>
      </c>
      <c r="C1426" s="25">
        <v>0</v>
      </c>
      <c r="D1426" s="25">
        <v>0</v>
      </c>
      <c r="E1426" s="29">
        <f t="shared" ref="E1426" si="273">SUM(C1426:D1426)</f>
        <v>0</v>
      </c>
    </row>
    <row r="1427" spans="1:5" ht="15" x14ac:dyDescent="0.2">
      <c r="A1427" s="6">
        <v>3210</v>
      </c>
      <c r="B1427" s="2" t="s">
        <v>966</v>
      </c>
      <c r="C1427" s="24">
        <f>SUM(C1428:C1431)</f>
        <v>0</v>
      </c>
      <c r="D1427" s="24">
        <f t="shared" ref="D1427:E1427" si="274">SUM(D1428:D1431)</f>
        <v>0</v>
      </c>
      <c r="E1427" s="17">
        <f t="shared" si="274"/>
        <v>0</v>
      </c>
    </row>
    <row r="1428" spans="1:5" ht="15" x14ac:dyDescent="0.2">
      <c r="A1428" s="7">
        <v>321001</v>
      </c>
      <c r="B1428" s="3" t="s">
        <v>967</v>
      </c>
      <c r="C1428" s="25">
        <v>0</v>
      </c>
      <c r="D1428" s="25">
        <v>0</v>
      </c>
      <c r="E1428" s="18">
        <f t="shared" ref="E1428:E1431" si="275">SUM(C1428:D1428)</f>
        <v>0</v>
      </c>
    </row>
    <row r="1429" spans="1:5" ht="15" x14ac:dyDescent="0.2">
      <c r="A1429" s="7">
        <v>321002</v>
      </c>
      <c r="B1429" s="3" t="s">
        <v>968</v>
      </c>
      <c r="C1429" s="25">
        <v>0</v>
      </c>
      <c r="D1429" s="25">
        <v>0</v>
      </c>
      <c r="E1429" s="18">
        <f t="shared" si="275"/>
        <v>0</v>
      </c>
    </row>
    <row r="1430" spans="1:5" ht="15" x14ac:dyDescent="0.2">
      <c r="A1430" s="7">
        <v>321003</v>
      </c>
      <c r="B1430" s="3" t="s">
        <v>969</v>
      </c>
      <c r="C1430" s="25">
        <v>0</v>
      </c>
      <c r="D1430" s="25">
        <v>0</v>
      </c>
      <c r="E1430" s="18">
        <f t="shared" si="275"/>
        <v>0</v>
      </c>
    </row>
    <row r="1431" spans="1:5" ht="15" x14ac:dyDescent="0.2">
      <c r="A1431" s="7">
        <v>321004</v>
      </c>
      <c r="B1431" s="3" t="s">
        <v>970</v>
      </c>
      <c r="C1431" s="25">
        <v>0</v>
      </c>
      <c r="D1431" s="25">
        <v>0</v>
      </c>
      <c r="E1431" s="18">
        <f t="shared" si="275"/>
        <v>0</v>
      </c>
    </row>
    <row r="1432" spans="1:5" ht="15" x14ac:dyDescent="0.2">
      <c r="A1432" s="6">
        <v>3215</v>
      </c>
      <c r="B1432" s="2" t="s">
        <v>971</v>
      </c>
      <c r="C1432" s="24">
        <f>SUM(C1433:C1441)</f>
        <v>0</v>
      </c>
      <c r="D1432" s="24">
        <f t="shared" ref="D1432:E1432" si="276">SUM(D1433:D1441)</f>
        <v>0</v>
      </c>
      <c r="E1432" s="17">
        <f t="shared" si="276"/>
        <v>0</v>
      </c>
    </row>
    <row r="1433" spans="1:5" ht="15" x14ac:dyDescent="0.2">
      <c r="A1433" s="7">
        <v>321501</v>
      </c>
      <c r="B1433" s="3" t="s">
        <v>972</v>
      </c>
      <c r="C1433" s="25">
        <v>0</v>
      </c>
      <c r="D1433" s="25">
        <v>0</v>
      </c>
      <c r="E1433" s="18">
        <f t="shared" ref="E1433:E1441" si="277">SUM(C1433:D1433)</f>
        <v>0</v>
      </c>
    </row>
    <row r="1434" spans="1:5" ht="15" x14ac:dyDescent="0.2">
      <c r="A1434" s="7">
        <v>321502</v>
      </c>
      <c r="B1434" s="3" t="s">
        <v>973</v>
      </c>
      <c r="C1434" s="25">
        <v>0</v>
      </c>
      <c r="D1434" s="25">
        <v>0</v>
      </c>
      <c r="E1434" s="18">
        <f t="shared" si="277"/>
        <v>0</v>
      </c>
    </row>
    <row r="1435" spans="1:5" ht="15" x14ac:dyDescent="0.2">
      <c r="A1435" s="7">
        <v>321503</v>
      </c>
      <c r="B1435" s="3" t="s">
        <v>974</v>
      </c>
      <c r="C1435" s="25">
        <v>0</v>
      </c>
      <c r="D1435" s="25">
        <v>0</v>
      </c>
      <c r="E1435" s="18">
        <f t="shared" si="277"/>
        <v>0</v>
      </c>
    </row>
    <row r="1436" spans="1:5" ht="15" x14ac:dyDescent="0.2">
      <c r="A1436" s="7">
        <v>321504</v>
      </c>
      <c r="B1436" s="3" t="s">
        <v>975</v>
      </c>
      <c r="C1436" s="25">
        <v>0</v>
      </c>
      <c r="D1436" s="25">
        <v>0</v>
      </c>
      <c r="E1436" s="18">
        <f t="shared" si="277"/>
        <v>0</v>
      </c>
    </row>
    <row r="1437" spans="1:5" ht="15" x14ac:dyDescent="0.2">
      <c r="A1437" s="7">
        <v>321505</v>
      </c>
      <c r="B1437" s="3" t="s">
        <v>976</v>
      </c>
      <c r="C1437" s="25">
        <v>0</v>
      </c>
      <c r="D1437" s="25">
        <v>0</v>
      </c>
      <c r="E1437" s="18">
        <f t="shared" si="277"/>
        <v>0</v>
      </c>
    </row>
    <row r="1438" spans="1:5" ht="15" x14ac:dyDescent="0.2">
      <c r="A1438" s="7">
        <v>321507</v>
      </c>
      <c r="B1438" s="3" t="s">
        <v>977</v>
      </c>
      <c r="C1438" s="25">
        <v>0</v>
      </c>
      <c r="D1438" s="25">
        <v>0</v>
      </c>
      <c r="E1438" s="18">
        <f t="shared" si="277"/>
        <v>0</v>
      </c>
    </row>
    <row r="1439" spans="1:5" ht="15" x14ac:dyDescent="0.2">
      <c r="A1439" s="7">
        <v>321508</v>
      </c>
      <c r="B1439" s="3" t="s">
        <v>978</v>
      </c>
      <c r="C1439" s="25">
        <v>0</v>
      </c>
      <c r="D1439" s="25">
        <v>0</v>
      </c>
      <c r="E1439" s="18">
        <f t="shared" si="277"/>
        <v>0</v>
      </c>
    </row>
    <row r="1440" spans="1:5" ht="15" x14ac:dyDescent="0.2">
      <c r="A1440" s="7">
        <v>321511</v>
      </c>
      <c r="B1440" s="3" t="s">
        <v>979</v>
      </c>
      <c r="C1440" s="25">
        <v>0</v>
      </c>
      <c r="D1440" s="25">
        <v>0</v>
      </c>
      <c r="E1440" s="18">
        <f t="shared" si="277"/>
        <v>0</v>
      </c>
    </row>
    <row r="1441" spans="1:5" ht="15" x14ac:dyDescent="0.2">
      <c r="A1441" s="7">
        <v>321590</v>
      </c>
      <c r="B1441" s="3" t="s">
        <v>980</v>
      </c>
      <c r="C1441" s="25">
        <v>0</v>
      </c>
      <c r="D1441" s="25">
        <v>0</v>
      </c>
      <c r="E1441" s="18">
        <f t="shared" si="277"/>
        <v>0</v>
      </c>
    </row>
    <row r="1442" spans="1:5" ht="15" x14ac:dyDescent="0.2">
      <c r="A1442" s="6">
        <v>3220</v>
      </c>
      <c r="B1442" s="2" t="s">
        <v>981</v>
      </c>
      <c r="C1442" s="24">
        <f>SUM(C1443:C1444)</f>
        <v>0</v>
      </c>
      <c r="D1442" s="24">
        <f t="shared" ref="D1442:E1442" si="278">SUM(D1443:D1444)</f>
        <v>0</v>
      </c>
      <c r="E1442" s="17">
        <f t="shared" si="278"/>
        <v>0</v>
      </c>
    </row>
    <row r="1443" spans="1:5" ht="15" x14ac:dyDescent="0.2">
      <c r="A1443" s="7">
        <v>322001</v>
      </c>
      <c r="B1443" s="3" t="s">
        <v>982</v>
      </c>
      <c r="C1443" s="25">
        <v>0</v>
      </c>
      <c r="D1443" s="25">
        <v>0</v>
      </c>
      <c r="E1443" s="18">
        <f t="shared" ref="E1443:E1444" si="279">SUM(C1443:D1443)</f>
        <v>0</v>
      </c>
    </row>
    <row r="1444" spans="1:5" ht="15" x14ac:dyDescent="0.2">
      <c r="A1444" s="7">
        <v>322002</v>
      </c>
      <c r="B1444" s="3" t="s">
        <v>983</v>
      </c>
      <c r="C1444" s="25">
        <v>0</v>
      </c>
      <c r="D1444" s="25">
        <v>0</v>
      </c>
      <c r="E1444" s="18">
        <f t="shared" si="279"/>
        <v>0</v>
      </c>
    </row>
    <row r="1445" spans="1:5" ht="15" x14ac:dyDescent="0.2">
      <c r="A1445" s="6">
        <v>3225</v>
      </c>
      <c r="B1445" s="2" t="s">
        <v>984</v>
      </c>
      <c r="C1445" s="24">
        <f>SUM(C1446:C1447)</f>
        <v>0</v>
      </c>
      <c r="D1445" s="24">
        <f t="shared" ref="D1445:E1445" si="280">SUM(D1446:D1447)</f>
        <v>0</v>
      </c>
      <c r="E1445" s="17">
        <f t="shared" si="280"/>
        <v>0</v>
      </c>
    </row>
    <row r="1446" spans="1:5" ht="15" x14ac:dyDescent="0.2">
      <c r="A1446" s="7">
        <v>322501</v>
      </c>
      <c r="B1446" s="3" t="s">
        <v>985</v>
      </c>
      <c r="C1446" s="25">
        <v>0</v>
      </c>
      <c r="D1446" s="25">
        <v>0</v>
      </c>
      <c r="E1446" s="18">
        <v>0</v>
      </c>
    </row>
    <row r="1447" spans="1:5" ht="15" x14ac:dyDescent="0.2">
      <c r="A1447" s="7">
        <v>322502</v>
      </c>
      <c r="B1447" s="3" t="s">
        <v>986</v>
      </c>
      <c r="C1447" s="25">
        <v>0</v>
      </c>
      <c r="D1447" s="25">
        <v>0</v>
      </c>
      <c r="E1447" s="18">
        <v>0</v>
      </c>
    </row>
    <row r="1448" spans="1:5" ht="15" x14ac:dyDescent="0.2">
      <c r="A1448" s="6">
        <v>3230</v>
      </c>
      <c r="B1448" s="2" t="s">
        <v>987</v>
      </c>
      <c r="C1448" s="24">
        <f>SUM(C1449:C1450)</f>
        <v>-839033064.45000005</v>
      </c>
      <c r="D1448" s="24">
        <f t="shared" ref="D1448:E1448" si="281">SUM(D1449:D1450)</f>
        <v>0</v>
      </c>
      <c r="E1448" s="28">
        <f t="shared" si="281"/>
        <v>-839033064.45000005</v>
      </c>
    </row>
    <row r="1449" spans="1:5" ht="15" x14ac:dyDescent="0.2">
      <c r="A1449" s="7">
        <v>323001</v>
      </c>
      <c r="B1449" s="3" t="s">
        <v>988</v>
      </c>
      <c r="C1449" s="25">
        <v>0</v>
      </c>
      <c r="D1449" s="25">
        <v>0</v>
      </c>
      <c r="E1449" s="29">
        <f t="shared" ref="E1449:E1450" si="282">SUM(C1449:D1449)</f>
        <v>0</v>
      </c>
    </row>
    <row r="1450" spans="1:5" ht="15" x14ac:dyDescent="0.2">
      <c r="A1450" s="7">
        <v>323002</v>
      </c>
      <c r="B1450" s="3" t="s">
        <v>989</v>
      </c>
      <c r="C1450" s="25">
        <v>-839033064.45000005</v>
      </c>
      <c r="D1450" s="25">
        <v>0</v>
      </c>
      <c r="E1450" s="29">
        <f t="shared" si="282"/>
        <v>-839033064.45000005</v>
      </c>
    </row>
    <row r="1451" spans="1:5" ht="15" x14ac:dyDescent="0.2">
      <c r="A1451" s="6">
        <v>3271</v>
      </c>
      <c r="B1451" s="2" t="s">
        <v>990</v>
      </c>
      <c r="C1451" s="24">
        <f>SUM(C1452:C1459)</f>
        <v>0</v>
      </c>
      <c r="D1451" s="24">
        <f t="shared" ref="D1451:E1451" si="283">SUM(D1452:D1459)</f>
        <v>0</v>
      </c>
      <c r="E1451" s="17">
        <f t="shared" si="283"/>
        <v>0</v>
      </c>
    </row>
    <row r="1452" spans="1:5" ht="15" x14ac:dyDescent="0.2">
      <c r="A1452" s="7">
        <v>327101</v>
      </c>
      <c r="B1452" s="3" t="s">
        <v>67</v>
      </c>
      <c r="C1452" s="25">
        <v>0</v>
      </c>
      <c r="D1452" s="25">
        <v>0</v>
      </c>
      <c r="E1452" s="18">
        <f t="shared" ref="E1452:E1459" si="284">SUM(C1452:D1452)</f>
        <v>0</v>
      </c>
    </row>
    <row r="1453" spans="1:5" ht="15" x14ac:dyDescent="0.2">
      <c r="A1453" s="7">
        <v>327102</v>
      </c>
      <c r="B1453" s="3" t="s">
        <v>68</v>
      </c>
      <c r="C1453" s="25">
        <v>0</v>
      </c>
      <c r="D1453" s="25">
        <v>0</v>
      </c>
      <c r="E1453" s="18">
        <f t="shared" si="284"/>
        <v>0</v>
      </c>
    </row>
    <row r="1454" spans="1:5" ht="15" x14ac:dyDescent="0.2">
      <c r="A1454" s="7">
        <v>327103</v>
      </c>
      <c r="B1454" s="3" t="s">
        <v>69</v>
      </c>
      <c r="C1454" s="25">
        <v>0</v>
      </c>
      <c r="D1454" s="25">
        <v>0</v>
      </c>
      <c r="E1454" s="18">
        <f t="shared" si="284"/>
        <v>0</v>
      </c>
    </row>
    <row r="1455" spans="1:5" ht="15" x14ac:dyDescent="0.2">
      <c r="A1455" s="7">
        <v>327104</v>
      </c>
      <c r="B1455" s="3" t="s">
        <v>70</v>
      </c>
      <c r="C1455" s="25">
        <v>0</v>
      </c>
      <c r="D1455" s="25">
        <v>0</v>
      </c>
      <c r="E1455" s="18">
        <f t="shared" si="284"/>
        <v>0</v>
      </c>
    </row>
    <row r="1456" spans="1:5" ht="15" x14ac:dyDescent="0.2">
      <c r="A1456" s="7">
        <v>327105</v>
      </c>
      <c r="B1456" s="3" t="s">
        <v>71</v>
      </c>
      <c r="C1456" s="25">
        <v>0</v>
      </c>
      <c r="D1456" s="25">
        <v>0</v>
      </c>
      <c r="E1456" s="18">
        <f t="shared" si="284"/>
        <v>0</v>
      </c>
    </row>
    <row r="1457" spans="1:5" ht="15" x14ac:dyDescent="0.2">
      <c r="A1457" s="7">
        <v>327106</v>
      </c>
      <c r="B1457" s="3" t="s">
        <v>72</v>
      </c>
      <c r="C1457" s="25">
        <v>0</v>
      </c>
      <c r="D1457" s="25">
        <v>0</v>
      </c>
      <c r="E1457" s="18">
        <f t="shared" si="284"/>
        <v>0</v>
      </c>
    </row>
    <row r="1458" spans="1:5" ht="15" x14ac:dyDescent="0.2">
      <c r="A1458" s="7">
        <v>327118</v>
      </c>
      <c r="B1458" s="3" t="s">
        <v>62</v>
      </c>
      <c r="C1458" s="25">
        <v>0</v>
      </c>
      <c r="D1458" s="25">
        <v>0</v>
      </c>
      <c r="E1458" s="18">
        <f t="shared" si="284"/>
        <v>0</v>
      </c>
    </row>
    <row r="1459" spans="1:5" ht="15" x14ac:dyDescent="0.2">
      <c r="A1459" s="7">
        <v>327190</v>
      </c>
      <c r="B1459" s="3" t="s">
        <v>991</v>
      </c>
      <c r="C1459" s="25">
        <v>0</v>
      </c>
      <c r="D1459" s="25">
        <v>0</v>
      </c>
      <c r="E1459" s="18">
        <f t="shared" si="284"/>
        <v>0</v>
      </c>
    </row>
    <row r="1460" spans="1:5" ht="15" x14ac:dyDescent="0.2">
      <c r="A1460" s="6">
        <v>3272</v>
      </c>
      <c r="B1460" s="2" t="s">
        <v>992</v>
      </c>
      <c r="C1460" s="24">
        <f>SUM(C1461)</f>
        <v>0</v>
      </c>
      <c r="D1460" s="24">
        <f t="shared" ref="D1460:E1460" si="285">SUM(D1461)</f>
        <v>0</v>
      </c>
      <c r="E1460" s="17">
        <f t="shared" si="285"/>
        <v>0</v>
      </c>
    </row>
    <row r="1461" spans="1:5" ht="15" x14ac:dyDescent="0.2">
      <c r="A1461" s="7">
        <v>327201</v>
      </c>
      <c r="B1461" s="3" t="s">
        <v>993</v>
      </c>
      <c r="C1461" s="25">
        <v>0</v>
      </c>
      <c r="D1461" s="25">
        <v>0</v>
      </c>
      <c r="E1461" s="18">
        <f t="shared" ref="E1461" si="286">SUM(C1461:D1461)</f>
        <v>0</v>
      </c>
    </row>
    <row r="1462" spans="1:5" ht="15" x14ac:dyDescent="0.2">
      <c r="A1462" s="6">
        <v>3273</v>
      </c>
      <c r="B1462" s="2" t="s">
        <v>994</v>
      </c>
      <c r="C1462" s="24">
        <f>SUM(C1463)</f>
        <v>0</v>
      </c>
      <c r="D1462" s="24">
        <f t="shared" ref="D1462:E1462" si="287">SUM(D1463)</f>
        <v>0</v>
      </c>
      <c r="E1462" s="17">
        <f t="shared" si="287"/>
        <v>0</v>
      </c>
    </row>
    <row r="1463" spans="1:5" ht="15" x14ac:dyDescent="0.2">
      <c r="A1463" s="7">
        <v>327301</v>
      </c>
      <c r="B1463" s="3" t="s">
        <v>995</v>
      </c>
      <c r="C1463" s="25">
        <v>0</v>
      </c>
      <c r="D1463" s="25">
        <v>0</v>
      </c>
      <c r="E1463" s="18">
        <f t="shared" ref="E1463" si="288">SUM(C1463:D1463)</f>
        <v>0</v>
      </c>
    </row>
    <row r="1464" spans="1:5" ht="15" x14ac:dyDescent="0.2">
      <c r="A1464" s="6">
        <v>3274</v>
      </c>
      <c r="B1464" s="2" t="s">
        <v>996</v>
      </c>
      <c r="C1464" s="24">
        <f>SUM(C1465:C1469)</f>
        <v>0</v>
      </c>
      <c r="D1464" s="24">
        <f t="shared" ref="D1464:E1464" si="289">SUM(D1465:D1469)</f>
        <v>0</v>
      </c>
      <c r="E1464" s="17">
        <f t="shared" si="289"/>
        <v>0</v>
      </c>
    </row>
    <row r="1465" spans="1:5" ht="15" x14ac:dyDescent="0.2">
      <c r="A1465" s="7">
        <v>327401</v>
      </c>
      <c r="B1465" s="3" t="s">
        <v>997</v>
      </c>
      <c r="C1465" s="25">
        <v>0</v>
      </c>
      <c r="D1465" s="25">
        <v>0</v>
      </c>
      <c r="E1465" s="18">
        <f t="shared" ref="E1465:E1469" si="290">SUM(C1465:D1465)</f>
        <v>0</v>
      </c>
    </row>
    <row r="1466" spans="1:5" ht="15" x14ac:dyDescent="0.2">
      <c r="A1466" s="7">
        <v>327402</v>
      </c>
      <c r="B1466" s="3" t="s">
        <v>998</v>
      </c>
      <c r="C1466" s="25">
        <v>0</v>
      </c>
      <c r="D1466" s="25">
        <v>0</v>
      </c>
      <c r="E1466" s="18">
        <f t="shared" si="290"/>
        <v>0</v>
      </c>
    </row>
    <row r="1467" spans="1:5" ht="15" x14ac:dyDescent="0.2">
      <c r="A1467" s="7">
        <v>327403</v>
      </c>
      <c r="B1467" s="3" t="s">
        <v>999</v>
      </c>
      <c r="C1467" s="25">
        <v>0</v>
      </c>
      <c r="D1467" s="25">
        <v>0</v>
      </c>
      <c r="E1467" s="18">
        <f t="shared" si="290"/>
        <v>0</v>
      </c>
    </row>
    <row r="1468" spans="1:5" ht="15" x14ac:dyDescent="0.2">
      <c r="A1468" s="7">
        <v>327404</v>
      </c>
      <c r="B1468" s="3" t="s">
        <v>1000</v>
      </c>
      <c r="C1468" s="25">
        <v>0</v>
      </c>
      <c r="D1468" s="25">
        <v>0</v>
      </c>
      <c r="E1468" s="18">
        <f t="shared" si="290"/>
        <v>0</v>
      </c>
    </row>
    <row r="1469" spans="1:5" ht="15" x14ac:dyDescent="0.2">
      <c r="A1469" s="7">
        <v>327405</v>
      </c>
      <c r="B1469" s="3" t="s">
        <v>1001</v>
      </c>
      <c r="C1469" s="25">
        <v>0</v>
      </c>
      <c r="D1469" s="25">
        <v>0</v>
      </c>
      <c r="E1469" s="18">
        <f t="shared" si="290"/>
        <v>0</v>
      </c>
    </row>
    <row r="1470" spans="1:5" ht="15" x14ac:dyDescent="0.2">
      <c r="A1470" s="6">
        <v>3275</v>
      </c>
      <c r="B1470" s="2" t="s">
        <v>1002</v>
      </c>
      <c r="C1470" s="24">
        <f>SUM(C1471:C1475)</f>
        <v>0</v>
      </c>
      <c r="D1470" s="24">
        <f t="shared" ref="D1470:E1470" si="291">SUM(D1471:D1475)</f>
        <v>0</v>
      </c>
      <c r="E1470" s="17">
        <f t="shared" si="291"/>
        <v>0</v>
      </c>
    </row>
    <row r="1471" spans="1:5" ht="15" x14ac:dyDescent="0.2">
      <c r="A1471" s="7">
        <v>327501</v>
      </c>
      <c r="B1471" s="3" t="s">
        <v>997</v>
      </c>
      <c r="C1471" s="25">
        <v>0</v>
      </c>
      <c r="D1471" s="25">
        <v>0</v>
      </c>
      <c r="E1471" s="18">
        <f t="shared" ref="E1471:E1475" si="292">SUM(C1471:D1471)</f>
        <v>0</v>
      </c>
    </row>
    <row r="1472" spans="1:5" ht="15" x14ac:dyDescent="0.2">
      <c r="A1472" s="7">
        <v>327502</v>
      </c>
      <c r="B1472" s="3" t="s">
        <v>998</v>
      </c>
      <c r="C1472" s="25">
        <v>0</v>
      </c>
      <c r="D1472" s="25">
        <v>0</v>
      </c>
      <c r="E1472" s="18">
        <f t="shared" si="292"/>
        <v>0</v>
      </c>
    </row>
    <row r="1473" spans="1:5" ht="15" x14ac:dyDescent="0.2">
      <c r="A1473" s="7">
        <v>327503</v>
      </c>
      <c r="B1473" s="3" t="s">
        <v>999</v>
      </c>
      <c r="C1473" s="25">
        <v>0</v>
      </c>
      <c r="D1473" s="25">
        <v>0</v>
      </c>
      <c r="E1473" s="18">
        <f t="shared" si="292"/>
        <v>0</v>
      </c>
    </row>
    <row r="1474" spans="1:5" ht="15" x14ac:dyDescent="0.2">
      <c r="A1474" s="7">
        <v>327504</v>
      </c>
      <c r="B1474" s="3" t="s">
        <v>1000</v>
      </c>
      <c r="C1474" s="25">
        <v>0</v>
      </c>
      <c r="D1474" s="25">
        <v>0</v>
      </c>
      <c r="E1474" s="18">
        <f t="shared" si="292"/>
        <v>0</v>
      </c>
    </row>
    <row r="1475" spans="1:5" ht="15" x14ac:dyDescent="0.2">
      <c r="A1475" s="7">
        <v>327505</v>
      </c>
      <c r="B1475" s="3" t="s">
        <v>1001</v>
      </c>
      <c r="C1475" s="25">
        <v>0</v>
      </c>
      <c r="D1475" s="25">
        <v>0</v>
      </c>
      <c r="E1475" s="18">
        <f t="shared" si="292"/>
        <v>0</v>
      </c>
    </row>
    <row r="1476" spans="1:5" ht="15" x14ac:dyDescent="0.2">
      <c r="A1476" s="6">
        <v>3276</v>
      </c>
      <c r="B1476" s="2" t="s">
        <v>1003</v>
      </c>
      <c r="C1476" s="24">
        <f>SUM(C1477:C1481)</f>
        <v>0</v>
      </c>
      <c r="D1476" s="24">
        <f t="shared" ref="D1476:E1476" si="293">SUM(D1477:D1481)</f>
        <v>0</v>
      </c>
      <c r="E1476" s="17">
        <f t="shared" si="293"/>
        <v>0</v>
      </c>
    </row>
    <row r="1477" spans="1:5" ht="15" x14ac:dyDescent="0.2">
      <c r="A1477" s="7">
        <v>327601</v>
      </c>
      <c r="B1477" s="3" t="s">
        <v>997</v>
      </c>
      <c r="C1477" s="25">
        <v>0</v>
      </c>
      <c r="D1477" s="25">
        <v>0</v>
      </c>
      <c r="E1477" s="18">
        <f t="shared" ref="E1477:E1481" si="294">SUM(C1477:D1477)</f>
        <v>0</v>
      </c>
    </row>
    <row r="1478" spans="1:5" ht="15" x14ac:dyDescent="0.2">
      <c r="A1478" s="7">
        <v>327602</v>
      </c>
      <c r="B1478" s="3" t="s">
        <v>998</v>
      </c>
      <c r="C1478" s="25">
        <v>0</v>
      </c>
      <c r="D1478" s="25">
        <v>0</v>
      </c>
      <c r="E1478" s="18">
        <f t="shared" si="294"/>
        <v>0</v>
      </c>
    </row>
    <row r="1479" spans="1:5" ht="15" x14ac:dyDescent="0.2">
      <c r="A1479" s="7">
        <v>327603</v>
      </c>
      <c r="B1479" s="3" t="s">
        <v>999</v>
      </c>
      <c r="C1479" s="25">
        <v>0</v>
      </c>
      <c r="D1479" s="25">
        <v>0</v>
      </c>
      <c r="E1479" s="18">
        <f t="shared" si="294"/>
        <v>0</v>
      </c>
    </row>
    <row r="1480" spans="1:5" ht="15" x14ac:dyDescent="0.2">
      <c r="A1480" s="7">
        <v>327604</v>
      </c>
      <c r="B1480" s="3" t="s">
        <v>1000</v>
      </c>
      <c r="C1480" s="25">
        <v>0</v>
      </c>
      <c r="D1480" s="25">
        <v>0</v>
      </c>
      <c r="E1480" s="18">
        <f t="shared" si="294"/>
        <v>0</v>
      </c>
    </row>
    <row r="1481" spans="1:5" ht="15" x14ac:dyDescent="0.2">
      <c r="A1481" s="7">
        <v>327605</v>
      </c>
      <c r="B1481" s="3" t="s">
        <v>1001</v>
      </c>
      <c r="C1481" s="25">
        <v>0</v>
      </c>
      <c r="D1481" s="25">
        <v>0</v>
      </c>
      <c r="E1481" s="18">
        <f t="shared" si="294"/>
        <v>0</v>
      </c>
    </row>
    <row r="1482" spans="1:5" ht="15" x14ac:dyDescent="0.2">
      <c r="A1482" s="6">
        <v>3280</v>
      </c>
      <c r="B1482" s="2" t="s">
        <v>1004</v>
      </c>
      <c r="C1482" s="24">
        <f>SUM(C1483:C1484)</f>
        <v>0</v>
      </c>
      <c r="D1482" s="24">
        <f t="shared" ref="D1482:E1482" si="295">SUM(D1483:D1484)</f>
        <v>0</v>
      </c>
      <c r="E1482" s="17">
        <f t="shared" si="295"/>
        <v>0</v>
      </c>
    </row>
    <row r="1483" spans="1:5" ht="15" x14ac:dyDescent="0.2">
      <c r="A1483" s="7">
        <v>328001</v>
      </c>
      <c r="B1483" s="3" t="s">
        <v>1005</v>
      </c>
      <c r="C1483" s="25">
        <v>0</v>
      </c>
      <c r="D1483" s="25">
        <v>0</v>
      </c>
      <c r="E1483" s="18">
        <f t="shared" ref="E1483:E1484" si="296">SUM(C1483:D1483)</f>
        <v>0</v>
      </c>
    </row>
    <row r="1484" spans="1:5" ht="15" x14ac:dyDescent="0.2">
      <c r="A1484" s="7">
        <v>328003</v>
      </c>
      <c r="B1484" s="3" t="s">
        <v>1006</v>
      </c>
      <c r="C1484" s="25">
        <v>0</v>
      </c>
      <c r="D1484" s="25">
        <v>0</v>
      </c>
      <c r="E1484" s="18">
        <f t="shared" si="296"/>
        <v>0</v>
      </c>
    </row>
    <row r="1485" spans="1:5" ht="15" x14ac:dyDescent="0.2">
      <c r="A1485" s="6">
        <v>3281</v>
      </c>
      <c r="B1485" s="2" t="s">
        <v>1007</v>
      </c>
      <c r="C1485" s="24">
        <f>SUM(C1486)</f>
        <v>0</v>
      </c>
      <c r="D1485" s="24">
        <f t="shared" ref="D1485:E1485" si="297">SUM(D1486)</f>
        <v>0</v>
      </c>
      <c r="E1485" s="17">
        <f t="shared" si="297"/>
        <v>0</v>
      </c>
    </row>
    <row r="1486" spans="1:5" ht="15" x14ac:dyDescent="0.2">
      <c r="A1486" s="7">
        <v>328101</v>
      </c>
      <c r="B1486" s="3" t="s">
        <v>1008</v>
      </c>
      <c r="C1486" s="25">
        <v>0</v>
      </c>
      <c r="D1486" s="25">
        <v>0</v>
      </c>
      <c r="E1486" s="18">
        <f t="shared" ref="E1486" si="298">SUM(C1486:D1486)</f>
        <v>0</v>
      </c>
    </row>
    <row r="1487" spans="1:5" ht="15" x14ac:dyDescent="0.2">
      <c r="A1487" s="6">
        <v>4</v>
      </c>
      <c r="B1487" s="2" t="s">
        <v>1009</v>
      </c>
      <c r="C1487" s="24">
        <f>SUM(C1488,C1496,C1558,C1727,C1737)</f>
        <v>384363903</v>
      </c>
      <c r="D1487" s="24">
        <f>SUM(D1488,D1496,D1558,D1727,D1737)</f>
        <v>0</v>
      </c>
      <c r="E1487" s="28">
        <f>SUM(E1488,E1496,E1558,E1727,E1737)</f>
        <v>384363903</v>
      </c>
    </row>
    <row r="1488" spans="1:5" ht="15" x14ac:dyDescent="0.2">
      <c r="A1488" s="6">
        <v>41</v>
      </c>
      <c r="B1488" s="2" t="s">
        <v>1010</v>
      </c>
      <c r="C1488" s="24">
        <f>SUM(C1489,C1494)</f>
        <v>0</v>
      </c>
      <c r="D1488" s="24">
        <f>SUM(D1489,D1494)</f>
        <v>0</v>
      </c>
      <c r="E1488" s="17">
        <f>SUM(E1489,E1494)</f>
        <v>0</v>
      </c>
    </row>
    <row r="1489" spans="1:5" ht="15" x14ac:dyDescent="0.2">
      <c r="A1489" s="6">
        <v>4110</v>
      </c>
      <c r="B1489" s="2" t="s">
        <v>110</v>
      </c>
      <c r="C1489" s="24">
        <f>SUM(C1490:C1493)</f>
        <v>0</v>
      </c>
      <c r="D1489" s="24">
        <f t="shared" ref="D1489:E1489" si="299">SUM(D1490:D1493)</f>
        <v>0</v>
      </c>
      <c r="E1489" s="17">
        <f t="shared" si="299"/>
        <v>0</v>
      </c>
    </row>
    <row r="1490" spans="1:5" ht="15" x14ac:dyDescent="0.2">
      <c r="A1490" s="7">
        <v>411002</v>
      </c>
      <c r="B1490" s="3" t="s">
        <v>111</v>
      </c>
      <c r="C1490" s="25">
        <v>0</v>
      </c>
      <c r="D1490" s="25">
        <v>0</v>
      </c>
      <c r="E1490" s="18">
        <f t="shared" ref="E1490:E1493" si="300">SUM(C1490:D1490)</f>
        <v>0</v>
      </c>
    </row>
    <row r="1491" spans="1:5" ht="15" x14ac:dyDescent="0.2">
      <c r="A1491" s="7">
        <v>411004</v>
      </c>
      <c r="B1491" s="3" t="s">
        <v>112</v>
      </c>
      <c r="C1491" s="25">
        <v>0</v>
      </c>
      <c r="D1491" s="25">
        <v>0</v>
      </c>
      <c r="E1491" s="18">
        <f t="shared" si="300"/>
        <v>0</v>
      </c>
    </row>
    <row r="1492" spans="1:5" ht="15" x14ac:dyDescent="0.2">
      <c r="A1492" s="7">
        <v>411027</v>
      </c>
      <c r="B1492" s="3" t="s">
        <v>113</v>
      </c>
      <c r="C1492" s="25">
        <v>0</v>
      </c>
      <c r="D1492" s="25">
        <v>0</v>
      </c>
      <c r="E1492" s="18">
        <f t="shared" si="300"/>
        <v>0</v>
      </c>
    </row>
    <row r="1493" spans="1:5" ht="15" x14ac:dyDescent="0.2">
      <c r="A1493" s="7">
        <v>411045</v>
      </c>
      <c r="B1493" s="3" t="s">
        <v>114</v>
      </c>
      <c r="C1493" s="25">
        <v>0</v>
      </c>
      <c r="D1493" s="25">
        <v>0</v>
      </c>
      <c r="E1493" s="18">
        <f t="shared" si="300"/>
        <v>0</v>
      </c>
    </row>
    <row r="1494" spans="1:5" ht="15" x14ac:dyDescent="0.2">
      <c r="A1494" s="6">
        <v>4195</v>
      </c>
      <c r="B1494" s="2" t="s">
        <v>1011</v>
      </c>
      <c r="C1494" s="24">
        <f>SUM(C1495)</f>
        <v>0</v>
      </c>
      <c r="D1494" s="24">
        <f t="shared" ref="D1494:E1494" si="301">SUM(D1495)</f>
        <v>0</v>
      </c>
      <c r="E1494" s="17">
        <f t="shared" si="301"/>
        <v>0</v>
      </c>
    </row>
    <row r="1495" spans="1:5" ht="15" x14ac:dyDescent="0.2">
      <c r="A1495" s="7">
        <v>419502</v>
      </c>
      <c r="B1495" s="3" t="s">
        <v>267</v>
      </c>
      <c r="C1495" s="25">
        <v>0</v>
      </c>
      <c r="D1495" s="25">
        <v>0</v>
      </c>
      <c r="E1495" s="18">
        <f t="shared" ref="E1495" si="302">SUM(C1495:D1495)</f>
        <v>0</v>
      </c>
    </row>
    <row r="1496" spans="1:5" ht="15" x14ac:dyDescent="0.2">
      <c r="A1496" s="6">
        <v>42</v>
      </c>
      <c r="B1496" s="2" t="s">
        <v>115</v>
      </c>
      <c r="C1496" s="24">
        <f>SUM(C1497,C1505,C1507,C1510,C1522,C1525,C1551)</f>
        <v>0</v>
      </c>
      <c r="D1496" s="24">
        <f>SUM(D1497,D1505,D1507,D1510,D1522,D1525,D1551)</f>
        <v>0</v>
      </c>
      <c r="E1496" s="17">
        <f>SUM(E1497,E1505,E1507,E1510,E1522,E1525,E1551)</f>
        <v>0</v>
      </c>
    </row>
    <row r="1497" spans="1:5" ht="15" x14ac:dyDescent="0.2">
      <c r="A1497" s="6">
        <v>4201</v>
      </c>
      <c r="B1497" s="2" t="s">
        <v>1012</v>
      </c>
      <c r="C1497" s="24">
        <f>SUM(C1498:C1504)</f>
        <v>0</v>
      </c>
      <c r="D1497" s="24">
        <f t="shared" ref="D1497:E1497" si="303">SUM(D1498:D1504)</f>
        <v>0</v>
      </c>
      <c r="E1497" s="17">
        <f t="shared" si="303"/>
        <v>0</v>
      </c>
    </row>
    <row r="1498" spans="1:5" ht="15" x14ac:dyDescent="0.2">
      <c r="A1498" s="7">
        <v>420101</v>
      </c>
      <c r="B1498" s="3" t="s">
        <v>1013</v>
      </c>
      <c r="C1498" s="25">
        <v>0</v>
      </c>
      <c r="D1498" s="25">
        <v>0</v>
      </c>
      <c r="E1498" s="18">
        <f t="shared" ref="E1498:E1504" si="304">SUM(C1498:D1498)</f>
        <v>0</v>
      </c>
    </row>
    <row r="1499" spans="1:5" ht="15" x14ac:dyDescent="0.2">
      <c r="A1499" s="7">
        <v>420102</v>
      </c>
      <c r="B1499" s="3" t="s">
        <v>1014</v>
      </c>
      <c r="C1499" s="25">
        <v>0</v>
      </c>
      <c r="D1499" s="25">
        <v>0</v>
      </c>
      <c r="E1499" s="18">
        <f t="shared" si="304"/>
        <v>0</v>
      </c>
    </row>
    <row r="1500" spans="1:5" ht="15" x14ac:dyDescent="0.2">
      <c r="A1500" s="7">
        <v>420103</v>
      </c>
      <c r="B1500" s="3" t="s">
        <v>1015</v>
      </c>
      <c r="C1500" s="25">
        <v>0</v>
      </c>
      <c r="D1500" s="25">
        <v>0</v>
      </c>
      <c r="E1500" s="18">
        <f t="shared" si="304"/>
        <v>0</v>
      </c>
    </row>
    <row r="1501" spans="1:5" ht="15" x14ac:dyDescent="0.2">
      <c r="A1501" s="7">
        <v>420104</v>
      </c>
      <c r="B1501" s="3" t="s">
        <v>307</v>
      </c>
      <c r="C1501" s="25">
        <v>0</v>
      </c>
      <c r="D1501" s="25">
        <v>0</v>
      </c>
      <c r="E1501" s="18">
        <f t="shared" si="304"/>
        <v>0</v>
      </c>
    </row>
    <row r="1502" spans="1:5" ht="15" x14ac:dyDescent="0.2">
      <c r="A1502" s="7">
        <v>420105</v>
      </c>
      <c r="B1502" s="3" t="s">
        <v>1016</v>
      </c>
      <c r="C1502" s="25">
        <v>0</v>
      </c>
      <c r="D1502" s="25">
        <v>0</v>
      </c>
      <c r="E1502" s="18">
        <f t="shared" si="304"/>
        <v>0</v>
      </c>
    </row>
    <row r="1503" spans="1:5" ht="15" x14ac:dyDescent="0.2">
      <c r="A1503" s="7">
        <v>420106</v>
      </c>
      <c r="B1503" s="3" t="s">
        <v>1017</v>
      </c>
      <c r="C1503" s="25">
        <v>0</v>
      </c>
      <c r="D1503" s="25">
        <v>0</v>
      </c>
      <c r="E1503" s="18">
        <f t="shared" si="304"/>
        <v>0</v>
      </c>
    </row>
    <row r="1504" spans="1:5" ht="15" x14ac:dyDescent="0.2">
      <c r="A1504" s="7">
        <v>420190</v>
      </c>
      <c r="B1504" s="3" t="s">
        <v>1018</v>
      </c>
      <c r="C1504" s="25">
        <v>0</v>
      </c>
      <c r="D1504" s="25">
        <v>0</v>
      </c>
      <c r="E1504" s="18">
        <f t="shared" si="304"/>
        <v>0</v>
      </c>
    </row>
    <row r="1505" spans="1:5" ht="15" x14ac:dyDescent="0.2">
      <c r="A1505" s="6">
        <v>4202</v>
      </c>
      <c r="B1505" s="2" t="s">
        <v>1019</v>
      </c>
      <c r="C1505" s="24">
        <f>SUM(C1506)</f>
        <v>0</v>
      </c>
      <c r="D1505" s="24">
        <f t="shared" ref="D1505:E1505" si="305">SUM(D1506)</f>
        <v>0</v>
      </c>
      <c r="E1505" s="17">
        <f t="shared" si="305"/>
        <v>0</v>
      </c>
    </row>
    <row r="1506" spans="1:5" ht="15" x14ac:dyDescent="0.2">
      <c r="A1506" s="7">
        <v>420290</v>
      </c>
      <c r="B1506" s="3" t="s">
        <v>1020</v>
      </c>
      <c r="C1506" s="25">
        <v>0</v>
      </c>
      <c r="D1506" s="25">
        <v>0</v>
      </c>
      <c r="E1506" s="18">
        <f t="shared" ref="E1506:E1557" si="306">SUM(C1506:D1506)</f>
        <v>0</v>
      </c>
    </row>
    <row r="1507" spans="1:5" ht="15" x14ac:dyDescent="0.2">
      <c r="A1507" s="6">
        <v>4203</v>
      </c>
      <c r="B1507" s="2" t="s">
        <v>1021</v>
      </c>
      <c r="C1507" s="24">
        <f>SUM(C1508:C1509)</f>
        <v>0</v>
      </c>
      <c r="D1507" s="24">
        <f t="shared" ref="D1507:E1507" si="307">SUM(D1508:D1509)</f>
        <v>0</v>
      </c>
      <c r="E1507" s="17">
        <f t="shared" si="307"/>
        <v>0</v>
      </c>
    </row>
    <row r="1508" spans="1:5" ht="15" x14ac:dyDescent="0.2">
      <c r="A1508" s="7">
        <v>420301</v>
      </c>
      <c r="B1508" s="3" t="s">
        <v>294</v>
      </c>
      <c r="C1508" s="25">
        <v>0</v>
      </c>
      <c r="D1508" s="25">
        <v>0</v>
      </c>
      <c r="E1508" s="18">
        <f t="shared" si="306"/>
        <v>0</v>
      </c>
    </row>
    <row r="1509" spans="1:5" ht="15" x14ac:dyDescent="0.2">
      <c r="A1509" s="7">
        <v>420302</v>
      </c>
      <c r="B1509" s="3" t="s">
        <v>298</v>
      </c>
      <c r="C1509" s="25">
        <v>0</v>
      </c>
      <c r="D1509" s="25">
        <v>0</v>
      </c>
      <c r="E1509" s="18">
        <f t="shared" si="306"/>
        <v>0</v>
      </c>
    </row>
    <row r="1510" spans="1:5" ht="15" x14ac:dyDescent="0.2">
      <c r="A1510" s="6">
        <v>4204</v>
      </c>
      <c r="B1510" s="2" t="s">
        <v>1022</v>
      </c>
      <c r="C1510" s="24">
        <f>SUM(C1511:C1521)</f>
        <v>0</v>
      </c>
      <c r="D1510" s="24">
        <f t="shared" ref="D1510:E1510" si="308">SUM(D1511:D1521)</f>
        <v>0</v>
      </c>
      <c r="E1510" s="17">
        <f t="shared" si="308"/>
        <v>0</v>
      </c>
    </row>
    <row r="1511" spans="1:5" ht="15" x14ac:dyDescent="0.2">
      <c r="A1511" s="7">
        <v>420401</v>
      </c>
      <c r="B1511" s="3" t="s">
        <v>293</v>
      </c>
      <c r="C1511" s="25">
        <v>0</v>
      </c>
      <c r="D1511" s="25">
        <v>0</v>
      </c>
      <c r="E1511" s="18">
        <f t="shared" si="306"/>
        <v>0</v>
      </c>
    </row>
    <row r="1512" spans="1:5" ht="15" x14ac:dyDescent="0.2">
      <c r="A1512" s="7">
        <v>420405</v>
      </c>
      <c r="B1512" s="3" t="s">
        <v>295</v>
      </c>
      <c r="C1512" s="25">
        <v>0</v>
      </c>
      <c r="D1512" s="25">
        <v>0</v>
      </c>
      <c r="E1512" s="18">
        <f t="shared" si="306"/>
        <v>0</v>
      </c>
    </row>
    <row r="1513" spans="1:5" ht="15" x14ac:dyDescent="0.2">
      <c r="A1513" s="7">
        <v>420406</v>
      </c>
      <c r="B1513" s="3" t="s">
        <v>296</v>
      </c>
      <c r="C1513" s="25">
        <v>0</v>
      </c>
      <c r="D1513" s="25">
        <v>0</v>
      </c>
      <c r="E1513" s="18">
        <f t="shared" si="306"/>
        <v>0</v>
      </c>
    </row>
    <row r="1514" spans="1:5" ht="15" x14ac:dyDescent="0.2">
      <c r="A1514" s="7">
        <v>420407</v>
      </c>
      <c r="B1514" s="3" t="s">
        <v>300</v>
      </c>
      <c r="C1514" s="25">
        <v>0</v>
      </c>
      <c r="D1514" s="25">
        <v>0</v>
      </c>
      <c r="E1514" s="18">
        <f t="shared" si="306"/>
        <v>0</v>
      </c>
    </row>
    <row r="1515" spans="1:5" ht="15" x14ac:dyDescent="0.2">
      <c r="A1515" s="7">
        <v>420409</v>
      </c>
      <c r="B1515" s="3" t="s">
        <v>297</v>
      </c>
      <c r="C1515" s="25">
        <v>0</v>
      </c>
      <c r="D1515" s="25">
        <v>0</v>
      </c>
      <c r="E1515" s="18">
        <f t="shared" si="306"/>
        <v>0</v>
      </c>
    </row>
    <row r="1516" spans="1:5" ht="15" x14ac:dyDescent="0.2">
      <c r="A1516" s="7">
        <v>420410</v>
      </c>
      <c r="B1516" s="3" t="s">
        <v>301</v>
      </c>
      <c r="C1516" s="25">
        <v>0</v>
      </c>
      <c r="D1516" s="25">
        <v>0</v>
      </c>
      <c r="E1516" s="18">
        <f t="shared" si="306"/>
        <v>0</v>
      </c>
    </row>
    <row r="1517" spans="1:5" ht="15" x14ac:dyDescent="0.2">
      <c r="A1517" s="7">
        <v>420411</v>
      </c>
      <c r="B1517" s="3" t="s">
        <v>299</v>
      </c>
      <c r="C1517" s="25">
        <v>0</v>
      </c>
      <c r="D1517" s="25">
        <v>0</v>
      </c>
      <c r="E1517" s="18">
        <f t="shared" si="306"/>
        <v>0</v>
      </c>
    </row>
    <row r="1518" spans="1:5" ht="15" x14ac:dyDescent="0.2">
      <c r="A1518" s="7">
        <v>420412</v>
      </c>
      <c r="B1518" s="3" t="s">
        <v>302</v>
      </c>
      <c r="C1518" s="25">
        <v>0</v>
      </c>
      <c r="D1518" s="25">
        <v>0</v>
      </c>
      <c r="E1518" s="18">
        <f t="shared" si="306"/>
        <v>0</v>
      </c>
    </row>
    <row r="1519" spans="1:5" ht="15" x14ac:dyDescent="0.2">
      <c r="A1519" s="7">
        <v>420415</v>
      </c>
      <c r="B1519" s="3" t="s">
        <v>303</v>
      </c>
      <c r="C1519" s="25">
        <v>0</v>
      </c>
      <c r="D1519" s="25">
        <v>0</v>
      </c>
      <c r="E1519" s="18">
        <f t="shared" si="306"/>
        <v>0</v>
      </c>
    </row>
    <row r="1520" spans="1:5" ht="15" x14ac:dyDescent="0.2">
      <c r="A1520" s="7">
        <v>420416</v>
      </c>
      <c r="B1520" s="3" t="s">
        <v>116</v>
      </c>
      <c r="C1520" s="25">
        <v>0</v>
      </c>
      <c r="D1520" s="25">
        <v>0</v>
      </c>
      <c r="E1520" s="18">
        <f t="shared" si="306"/>
        <v>0</v>
      </c>
    </row>
    <row r="1521" spans="1:5" ht="15" x14ac:dyDescent="0.2">
      <c r="A1521" s="7">
        <v>420490</v>
      </c>
      <c r="B1521" s="3" t="s">
        <v>1023</v>
      </c>
      <c r="C1521" s="25">
        <v>0</v>
      </c>
      <c r="D1521" s="25">
        <v>0</v>
      </c>
      <c r="E1521" s="18">
        <f t="shared" si="306"/>
        <v>0</v>
      </c>
    </row>
    <row r="1522" spans="1:5" ht="15" x14ac:dyDescent="0.2">
      <c r="A1522" s="6">
        <v>4206</v>
      </c>
      <c r="B1522" s="2" t="s">
        <v>1024</v>
      </c>
      <c r="C1522" s="24">
        <f>SUM(C1523:C1524)</f>
        <v>0</v>
      </c>
      <c r="D1522" s="24">
        <f t="shared" ref="D1522:E1522" si="309">SUM(D1523:D1524)</f>
        <v>0</v>
      </c>
      <c r="E1522" s="17">
        <f t="shared" si="309"/>
        <v>0</v>
      </c>
    </row>
    <row r="1523" spans="1:5" ht="15" x14ac:dyDescent="0.2">
      <c r="A1523" s="7">
        <v>420604</v>
      </c>
      <c r="B1523" s="3" t="s">
        <v>385</v>
      </c>
      <c r="C1523" s="25">
        <v>0</v>
      </c>
      <c r="D1523" s="25">
        <v>0</v>
      </c>
      <c r="E1523" s="18">
        <f t="shared" si="306"/>
        <v>0</v>
      </c>
    </row>
    <row r="1524" spans="1:5" ht="15" x14ac:dyDescent="0.2">
      <c r="A1524" s="7">
        <v>420690</v>
      </c>
      <c r="B1524" s="3" t="s">
        <v>1025</v>
      </c>
      <c r="C1524" s="25">
        <v>0</v>
      </c>
      <c r="D1524" s="25">
        <v>0</v>
      </c>
      <c r="E1524" s="18">
        <f t="shared" si="306"/>
        <v>0</v>
      </c>
    </row>
    <row r="1525" spans="1:5" ht="15" x14ac:dyDescent="0.2">
      <c r="A1525" s="6">
        <v>4210</v>
      </c>
      <c r="B1525" s="2" t="s">
        <v>1026</v>
      </c>
      <c r="C1525" s="24">
        <f>SUM(C1526:C1550)</f>
        <v>0</v>
      </c>
      <c r="D1525" s="24">
        <f t="shared" ref="D1525:E1525" si="310">SUM(D1526:D1550)</f>
        <v>0</v>
      </c>
      <c r="E1525" s="17">
        <f t="shared" si="310"/>
        <v>0</v>
      </c>
    </row>
    <row r="1526" spans="1:5" ht="15" x14ac:dyDescent="0.2">
      <c r="A1526" s="7">
        <v>421002</v>
      </c>
      <c r="B1526" s="3" t="s">
        <v>306</v>
      </c>
      <c r="C1526" s="25">
        <v>0</v>
      </c>
      <c r="D1526" s="25">
        <v>0</v>
      </c>
      <c r="E1526" s="18">
        <f t="shared" si="306"/>
        <v>0</v>
      </c>
    </row>
    <row r="1527" spans="1:5" ht="15" x14ac:dyDescent="0.2">
      <c r="A1527" s="7">
        <v>421003</v>
      </c>
      <c r="B1527" s="3" t="s">
        <v>120</v>
      </c>
      <c r="C1527" s="25">
        <v>0</v>
      </c>
      <c r="D1527" s="25">
        <v>0</v>
      </c>
      <c r="E1527" s="18">
        <f t="shared" si="306"/>
        <v>0</v>
      </c>
    </row>
    <row r="1528" spans="1:5" ht="15" x14ac:dyDescent="0.2">
      <c r="A1528" s="7">
        <v>421004</v>
      </c>
      <c r="B1528" s="3" t="s">
        <v>293</v>
      </c>
      <c r="C1528" s="25">
        <v>0</v>
      </c>
      <c r="D1528" s="25">
        <v>0</v>
      </c>
      <c r="E1528" s="18">
        <f t="shared" si="306"/>
        <v>0</v>
      </c>
    </row>
    <row r="1529" spans="1:5" ht="15" x14ac:dyDescent="0.2">
      <c r="A1529" s="7">
        <v>421011</v>
      </c>
      <c r="B1529" s="3" t="s">
        <v>295</v>
      </c>
      <c r="C1529" s="25">
        <v>0</v>
      </c>
      <c r="D1529" s="25">
        <v>0</v>
      </c>
      <c r="E1529" s="18">
        <f t="shared" si="306"/>
        <v>0</v>
      </c>
    </row>
    <row r="1530" spans="1:5" ht="15" x14ac:dyDescent="0.2">
      <c r="A1530" s="7">
        <v>421012</v>
      </c>
      <c r="B1530" s="3" t="s">
        <v>307</v>
      </c>
      <c r="C1530" s="25">
        <v>0</v>
      </c>
      <c r="D1530" s="25">
        <v>0</v>
      </c>
      <c r="E1530" s="18">
        <f t="shared" si="306"/>
        <v>0</v>
      </c>
    </row>
    <row r="1531" spans="1:5" ht="15" x14ac:dyDescent="0.2">
      <c r="A1531" s="7">
        <v>421013</v>
      </c>
      <c r="B1531" s="3" t="s">
        <v>308</v>
      </c>
      <c r="C1531" s="25">
        <v>0</v>
      </c>
      <c r="D1531" s="25">
        <v>0</v>
      </c>
      <c r="E1531" s="18">
        <f t="shared" si="306"/>
        <v>0</v>
      </c>
    </row>
    <row r="1532" spans="1:5" ht="15" x14ac:dyDescent="0.2">
      <c r="A1532" s="7">
        <v>421014</v>
      </c>
      <c r="B1532" s="3" t="s">
        <v>309</v>
      </c>
      <c r="C1532" s="25">
        <v>0</v>
      </c>
      <c r="D1532" s="25">
        <v>0</v>
      </c>
      <c r="E1532" s="18">
        <f t="shared" si="306"/>
        <v>0</v>
      </c>
    </row>
    <row r="1533" spans="1:5" ht="15" x14ac:dyDescent="0.2">
      <c r="A1533" s="7">
        <v>421015</v>
      </c>
      <c r="B1533" s="3" t="s">
        <v>294</v>
      </c>
      <c r="C1533" s="25">
        <v>0</v>
      </c>
      <c r="D1533" s="25">
        <v>0</v>
      </c>
      <c r="E1533" s="18">
        <f t="shared" si="306"/>
        <v>0</v>
      </c>
    </row>
    <row r="1534" spans="1:5" ht="15" x14ac:dyDescent="0.2">
      <c r="A1534" s="7">
        <v>421016</v>
      </c>
      <c r="B1534" s="3" t="s">
        <v>297</v>
      </c>
      <c r="C1534" s="25">
        <v>0</v>
      </c>
      <c r="D1534" s="25">
        <v>0</v>
      </c>
      <c r="E1534" s="18">
        <f t="shared" si="306"/>
        <v>0</v>
      </c>
    </row>
    <row r="1535" spans="1:5" ht="15" x14ac:dyDescent="0.2">
      <c r="A1535" s="7">
        <v>421017</v>
      </c>
      <c r="B1535" s="3" t="s">
        <v>299</v>
      </c>
      <c r="C1535" s="25">
        <v>0</v>
      </c>
      <c r="D1535" s="25">
        <v>0</v>
      </c>
      <c r="E1535" s="18">
        <f t="shared" si="306"/>
        <v>0</v>
      </c>
    </row>
    <row r="1536" spans="1:5" ht="15" x14ac:dyDescent="0.2">
      <c r="A1536" s="7">
        <v>421018</v>
      </c>
      <c r="B1536" s="3" t="s">
        <v>310</v>
      </c>
      <c r="C1536" s="25">
        <v>0</v>
      </c>
      <c r="D1536" s="25">
        <v>0</v>
      </c>
      <c r="E1536" s="18">
        <f t="shared" si="306"/>
        <v>0</v>
      </c>
    </row>
    <row r="1537" spans="1:5" ht="15" x14ac:dyDescent="0.2">
      <c r="A1537" s="7">
        <v>421026</v>
      </c>
      <c r="B1537" s="3" t="s">
        <v>311</v>
      </c>
      <c r="C1537" s="25">
        <v>0</v>
      </c>
      <c r="D1537" s="25">
        <v>0</v>
      </c>
      <c r="E1537" s="18">
        <f t="shared" si="306"/>
        <v>0</v>
      </c>
    </row>
    <row r="1538" spans="1:5" ht="15" x14ac:dyDescent="0.2">
      <c r="A1538" s="7">
        <v>421027</v>
      </c>
      <c r="B1538" s="3" t="s">
        <v>312</v>
      </c>
      <c r="C1538" s="25">
        <v>0</v>
      </c>
      <c r="D1538" s="25">
        <v>0</v>
      </c>
      <c r="E1538" s="18">
        <f t="shared" si="306"/>
        <v>0</v>
      </c>
    </row>
    <row r="1539" spans="1:5" ht="15" x14ac:dyDescent="0.2">
      <c r="A1539" s="7">
        <v>421028</v>
      </c>
      <c r="B1539" s="3" t="s">
        <v>313</v>
      </c>
      <c r="C1539" s="25">
        <v>0</v>
      </c>
      <c r="D1539" s="25">
        <v>0</v>
      </c>
      <c r="E1539" s="18">
        <f t="shared" si="306"/>
        <v>0</v>
      </c>
    </row>
    <row r="1540" spans="1:5" ht="15" x14ac:dyDescent="0.2">
      <c r="A1540" s="7">
        <v>421030</v>
      </c>
      <c r="B1540" s="3" t="s">
        <v>314</v>
      </c>
      <c r="C1540" s="25">
        <v>0</v>
      </c>
      <c r="D1540" s="25">
        <v>0</v>
      </c>
      <c r="E1540" s="18">
        <f t="shared" si="306"/>
        <v>0</v>
      </c>
    </row>
    <row r="1541" spans="1:5" ht="15" x14ac:dyDescent="0.2">
      <c r="A1541" s="7">
        <v>421032</v>
      </c>
      <c r="B1541" s="3" t="s">
        <v>315</v>
      </c>
      <c r="C1541" s="25">
        <v>0</v>
      </c>
      <c r="D1541" s="25">
        <v>0</v>
      </c>
      <c r="E1541" s="18">
        <f t="shared" si="306"/>
        <v>0</v>
      </c>
    </row>
    <row r="1542" spans="1:5" ht="15" x14ac:dyDescent="0.2">
      <c r="A1542" s="7">
        <v>421033</v>
      </c>
      <c r="B1542" s="3" t="s">
        <v>1027</v>
      </c>
      <c r="C1542" s="25">
        <v>0</v>
      </c>
      <c r="D1542" s="25">
        <v>0</v>
      </c>
      <c r="E1542" s="18">
        <f t="shared" si="306"/>
        <v>0</v>
      </c>
    </row>
    <row r="1543" spans="1:5" ht="15" x14ac:dyDescent="0.2">
      <c r="A1543" s="7">
        <v>421034</v>
      </c>
      <c r="B1543" s="3" t="s">
        <v>316</v>
      </c>
      <c r="C1543" s="25">
        <v>0</v>
      </c>
      <c r="D1543" s="25">
        <v>0</v>
      </c>
      <c r="E1543" s="18">
        <f t="shared" si="306"/>
        <v>0</v>
      </c>
    </row>
    <row r="1544" spans="1:5" ht="15" x14ac:dyDescent="0.2">
      <c r="A1544" s="7">
        <v>421036</v>
      </c>
      <c r="B1544" s="3" t="s">
        <v>317</v>
      </c>
      <c r="C1544" s="25">
        <v>0</v>
      </c>
      <c r="D1544" s="25">
        <v>0</v>
      </c>
      <c r="E1544" s="18">
        <f t="shared" si="306"/>
        <v>0</v>
      </c>
    </row>
    <row r="1545" spans="1:5" ht="15" x14ac:dyDescent="0.2">
      <c r="A1545" s="7">
        <v>421038</v>
      </c>
      <c r="B1545" s="3" t="s">
        <v>318</v>
      </c>
      <c r="C1545" s="25">
        <v>0</v>
      </c>
      <c r="D1545" s="25">
        <v>0</v>
      </c>
      <c r="E1545" s="18">
        <f t="shared" si="306"/>
        <v>0</v>
      </c>
    </row>
    <row r="1546" spans="1:5" ht="15" x14ac:dyDescent="0.2">
      <c r="A1546" s="7">
        <v>421040</v>
      </c>
      <c r="B1546" s="3" t="s">
        <v>116</v>
      </c>
      <c r="C1546" s="25">
        <v>0</v>
      </c>
      <c r="D1546" s="25">
        <v>0</v>
      </c>
      <c r="E1546" s="18">
        <f t="shared" si="306"/>
        <v>0</v>
      </c>
    </row>
    <row r="1547" spans="1:5" ht="15" x14ac:dyDescent="0.2">
      <c r="A1547" s="7">
        <v>421060</v>
      </c>
      <c r="B1547" s="3" t="s">
        <v>296</v>
      </c>
      <c r="C1547" s="25">
        <v>0</v>
      </c>
      <c r="D1547" s="25">
        <v>0</v>
      </c>
      <c r="E1547" s="18">
        <f t="shared" si="306"/>
        <v>0</v>
      </c>
    </row>
    <row r="1548" spans="1:5" ht="15" x14ac:dyDescent="0.2">
      <c r="A1548" s="7">
        <v>421061</v>
      </c>
      <c r="B1548" s="3" t="s">
        <v>319</v>
      </c>
      <c r="C1548" s="25">
        <v>0</v>
      </c>
      <c r="D1548" s="25">
        <v>0</v>
      </c>
      <c r="E1548" s="18">
        <f t="shared" si="306"/>
        <v>0</v>
      </c>
    </row>
    <row r="1549" spans="1:5" ht="15" x14ac:dyDescent="0.2">
      <c r="A1549" s="7">
        <v>421065</v>
      </c>
      <c r="B1549" s="3" t="s">
        <v>320</v>
      </c>
      <c r="C1549" s="25">
        <v>0</v>
      </c>
      <c r="D1549" s="25">
        <v>0</v>
      </c>
      <c r="E1549" s="18">
        <f t="shared" si="306"/>
        <v>0</v>
      </c>
    </row>
    <row r="1550" spans="1:5" ht="15" x14ac:dyDescent="0.2">
      <c r="A1550" s="7">
        <v>421090</v>
      </c>
      <c r="B1550" s="3" t="s">
        <v>1028</v>
      </c>
      <c r="C1550" s="25">
        <v>0</v>
      </c>
      <c r="D1550" s="25">
        <v>0</v>
      </c>
      <c r="E1550" s="18">
        <f t="shared" si="306"/>
        <v>0</v>
      </c>
    </row>
    <row r="1551" spans="1:5" ht="15" x14ac:dyDescent="0.2">
      <c r="A1551" s="6">
        <v>4295</v>
      </c>
      <c r="B1551" s="2" t="s">
        <v>1029</v>
      </c>
      <c r="C1551" s="24">
        <f>SUM(C1552:C1557)</f>
        <v>0</v>
      </c>
      <c r="D1551" s="24">
        <f t="shared" ref="D1551:E1551" si="311">SUM(D1552:D1557)</f>
        <v>0</v>
      </c>
      <c r="E1551" s="17">
        <f t="shared" si="311"/>
        <v>0</v>
      </c>
    </row>
    <row r="1552" spans="1:5" ht="15" x14ac:dyDescent="0.2">
      <c r="A1552" s="7">
        <v>429502</v>
      </c>
      <c r="B1552" s="3" t="s">
        <v>121</v>
      </c>
      <c r="C1552" s="25">
        <v>0</v>
      </c>
      <c r="D1552" s="25">
        <v>0</v>
      </c>
      <c r="E1552" s="18">
        <f t="shared" si="306"/>
        <v>0</v>
      </c>
    </row>
    <row r="1553" spans="1:5" ht="15" x14ac:dyDescent="0.2">
      <c r="A1553" s="7">
        <v>429503</v>
      </c>
      <c r="B1553" s="3" t="s">
        <v>1030</v>
      </c>
      <c r="C1553" s="25">
        <v>0</v>
      </c>
      <c r="D1553" s="25">
        <v>0</v>
      </c>
      <c r="E1553" s="18">
        <f t="shared" si="306"/>
        <v>0</v>
      </c>
    </row>
    <row r="1554" spans="1:5" ht="15" x14ac:dyDescent="0.2">
      <c r="A1554" s="7">
        <v>429504</v>
      </c>
      <c r="B1554" s="3" t="s">
        <v>117</v>
      </c>
      <c r="C1554" s="25">
        <v>0</v>
      </c>
      <c r="D1554" s="25">
        <v>0</v>
      </c>
      <c r="E1554" s="18">
        <f t="shared" si="306"/>
        <v>0</v>
      </c>
    </row>
    <row r="1555" spans="1:5" ht="15" x14ac:dyDescent="0.2">
      <c r="A1555" s="7">
        <v>429505</v>
      </c>
      <c r="B1555" s="3" t="s">
        <v>118</v>
      </c>
      <c r="C1555" s="25">
        <v>0</v>
      </c>
      <c r="D1555" s="25">
        <v>0</v>
      </c>
      <c r="E1555" s="18">
        <f t="shared" si="306"/>
        <v>0</v>
      </c>
    </row>
    <row r="1556" spans="1:5" ht="15" x14ac:dyDescent="0.2">
      <c r="A1556" s="7">
        <v>429506</v>
      </c>
      <c r="B1556" s="3" t="s">
        <v>119</v>
      </c>
      <c r="C1556" s="25">
        <v>0</v>
      </c>
      <c r="D1556" s="25">
        <v>0</v>
      </c>
      <c r="E1556" s="18">
        <f t="shared" si="306"/>
        <v>0</v>
      </c>
    </row>
    <row r="1557" spans="1:5" ht="15" x14ac:dyDescent="0.2">
      <c r="A1557" s="7">
        <v>429507</v>
      </c>
      <c r="B1557" s="3" t="s">
        <v>120</v>
      </c>
      <c r="C1557" s="25">
        <v>0</v>
      </c>
      <c r="D1557" s="25">
        <v>0</v>
      </c>
      <c r="E1557" s="18">
        <f t="shared" si="306"/>
        <v>0</v>
      </c>
    </row>
    <row r="1558" spans="1:5" ht="15" x14ac:dyDescent="0.2">
      <c r="A1558" s="6">
        <v>43</v>
      </c>
      <c r="B1558" s="2" t="s">
        <v>1031</v>
      </c>
      <c r="C1558" s="24">
        <f>SUM(C1559,C1576,C1613,C1618,C1622,C1626,C1638,C1645,C1651,C1659,C1668,C1678,C1685,C1690,C1713)</f>
        <v>384363903</v>
      </c>
      <c r="D1558" s="24">
        <f>SUM(D1559,D1576,D1613,D1618,D1622,D1626,D1638,D1645,D1651,D1659,D1668,D1678,D1685,D1690,D1713)</f>
        <v>0</v>
      </c>
      <c r="E1558" s="28">
        <f>SUM(E1559,E1576,E1613,E1618,E1622,E1626,E1638,E1645,E1651,E1659,E1668,E1678,E1685,E1690,E1713)</f>
        <v>384363903</v>
      </c>
    </row>
    <row r="1559" spans="1:5" ht="15" x14ac:dyDescent="0.2">
      <c r="A1559" s="6">
        <v>4311</v>
      </c>
      <c r="B1559" s="2" t="s">
        <v>196</v>
      </c>
      <c r="C1559" s="24">
        <f>SUM(C1560:C1575)</f>
        <v>0</v>
      </c>
      <c r="D1559" s="24">
        <f t="shared" ref="D1559:E1559" si="312">SUM(D1560:D1575)</f>
        <v>0</v>
      </c>
      <c r="E1559" s="17">
        <f t="shared" si="312"/>
        <v>0</v>
      </c>
    </row>
    <row r="1560" spans="1:5" ht="15" x14ac:dyDescent="0.2">
      <c r="A1560" s="7">
        <v>431101</v>
      </c>
      <c r="B1560" s="3" t="s">
        <v>1032</v>
      </c>
      <c r="C1560" s="25">
        <v>0</v>
      </c>
      <c r="D1560" s="25">
        <v>0</v>
      </c>
      <c r="E1560" s="18">
        <f t="shared" ref="E1560:E1575" si="313">SUM(C1560:D1560)</f>
        <v>0</v>
      </c>
    </row>
    <row r="1561" spans="1:5" ht="15" x14ac:dyDescent="0.2">
      <c r="A1561" s="7">
        <v>431102</v>
      </c>
      <c r="B1561" s="3" t="s">
        <v>1033</v>
      </c>
      <c r="C1561" s="25">
        <v>0</v>
      </c>
      <c r="D1561" s="25">
        <v>0</v>
      </c>
      <c r="E1561" s="18">
        <f t="shared" si="313"/>
        <v>0</v>
      </c>
    </row>
    <row r="1562" spans="1:5" ht="15" x14ac:dyDescent="0.2">
      <c r="A1562" s="7">
        <v>431103</v>
      </c>
      <c r="B1562" s="3" t="s">
        <v>199</v>
      </c>
      <c r="C1562" s="25">
        <v>0</v>
      </c>
      <c r="D1562" s="25">
        <v>0</v>
      </c>
      <c r="E1562" s="18">
        <f t="shared" si="313"/>
        <v>0</v>
      </c>
    </row>
    <row r="1563" spans="1:5" ht="15" x14ac:dyDescent="0.2">
      <c r="A1563" s="7">
        <v>431104</v>
      </c>
      <c r="B1563" s="3" t="s">
        <v>200</v>
      </c>
      <c r="C1563" s="25">
        <v>0</v>
      </c>
      <c r="D1563" s="25">
        <v>0</v>
      </c>
      <c r="E1563" s="18">
        <f t="shared" si="313"/>
        <v>0</v>
      </c>
    </row>
    <row r="1564" spans="1:5" ht="15" x14ac:dyDescent="0.2">
      <c r="A1564" s="7">
        <v>431105</v>
      </c>
      <c r="B1564" s="3" t="s">
        <v>1034</v>
      </c>
      <c r="C1564" s="25">
        <v>0</v>
      </c>
      <c r="D1564" s="25">
        <v>0</v>
      </c>
      <c r="E1564" s="18">
        <f t="shared" si="313"/>
        <v>0</v>
      </c>
    </row>
    <row r="1565" spans="1:5" ht="15" x14ac:dyDescent="0.2">
      <c r="A1565" s="7">
        <v>431106</v>
      </c>
      <c r="B1565" s="3" t="s">
        <v>1035</v>
      </c>
      <c r="C1565" s="25">
        <v>0</v>
      </c>
      <c r="D1565" s="25">
        <v>0</v>
      </c>
      <c r="E1565" s="18">
        <f t="shared" si="313"/>
        <v>0</v>
      </c>
    </row>
    <row r="1566" spans="1:5" ht="15" x14ac:dyDescent="0.2">
      <c r="A1566" s="7">
        <v>431107</v>
      </c>
      <c r="B1566" s="3" t="s">
        <v>203</v>
      </c>
      <c r="C1566" s="25">
        <v>0</v>
      </c>
      <c r="D1566" s="25">
        <v>0</v>
      </c>
      <c r="E1566" s="18">
        <f t="shared" si="313"/>
        <v>0</v>
      </c>
    </row>
    <row r="1567" spans="1:5" ht="15" x14ac:dyDescent="0.2">
      <c r="A1567" s="7">
        <v>431108</v>
      </c>
      <c r="B1567" s="3" t="s">
        <v>204</v>
      </c>
      <c r="C1567" s="25">
        <v>0</v>
      </c>
      <c r="D1567" s="25">
        <v>0</v>
      </c>
      <c r="E1567" s="18">
        <f t="shared" si="313"/>
        <v>0</v>
      </c>
    </row>
    <row r="1568" spans="1:5" ht="15" x14ac:dyDescent="0.2">
      <c r="A1568" s="7">
        <v>431109</v>
      </c>
      <c r="B1568" s="3" t="s">
        <v>1036</v>
      </c>
      <c r="C1568" s="25">
        <v>0</v>
      </c>
      <c r="D1568" s="25">
        <v>0</v>
      </c>
      <c r="E1568" s="18">
        <f t="shared" si="313"/>
        <v>0</v>
      </c>
    </row>
    <row r="1569" spans="1:5" ht="15" x14ac:dyDescent="0.2">
      <c r="A1569" s="7">
        <v>431114</v>
      </c>
      <c r="B1569" s="3" t="s">
        <v>210</v>
      </c>
      <c r="C1569" s="25">
        <v>0</v>
      </c>
      <c r="D1569" s="25">
        <v>0</v>
      </c>
      <c r="E1569" s="18">
        <f t="shared" si="313"/>
        <v>0</v>
      </c>
    </row>
    <row r="1570" spans="1:5" ht="15" x14ac:dyDescent="0.2">
      <c r="A1570" s="7">
        <v>431119</v>
      </c>
      <c r="B1570" s="3" t="s">
        <v>215</v>
      </c>
      <c r="C1570" s="25">
        <v>0</v>
      </c>
      <c r="D1570" s="25">
        <v>0</v>
      </c>
      <c r="E1570" s="18">
        <f t="shared" si="313"/>
        <v>0</v>
      </c>
    </row>
    <row r="1571" spans="1:5" ht="15" x14ac:dyDescent="0.2">
      <c r="A1571" s="7">
        <v>431120</v>
      </c>
      <c r="B1571" s="3" t="s">
        <v>216</v>
      </c>
      <c r="C1571" s="25">
        <v>0</v>
      </c>
      <c r="D1571" s="25">
        <v>0</v>
      </c>
      <c r="E1571" s="18">
        <f t="shared" si="313"/>
        <v>0</v>
      </c>
    </row>
    <row r="1572" spans="1:5" ht="15" x14ac:dyDescent="0.2">
      <c r="A1572" s="7">
        <v>431121</v>
      </c>
      <c r="B1572" s="3" t="s">
        <v>1037</v>
      </c>
      <c r="C1572" s="25">
        <v>0</v>
      </c>
      <c r="D1572" s="25">
        <v>0</v>
      </c>
      <c r="E1572" s="18">
        <f t="shared" si="313"/>
        <v>0</v>
      </c>
    </row>
    <row r="1573" spans="1:5" ht="15" x14ac:dyDescent="0.2">
      <c r="A1573" s="7">
        <v>431122</v>
      </c>
      <c r="B1573" s="3" t="s">
        <v>217</v>
      </c>
      <c r="C1573" s="25">
        <v>0</v>
      </c>
      <c r="D1573" s="25">
        <v>0</v>
      </c>
      <c r="E1573" s="18">
        <f t="shared" si="313"/>
        <v>0</v>
      </c>
    </row>
    <row r="1574" spans="1:5" ht="15" x14ac:dyDescent="0.2">
      <c r="A1574" s="7">
        <v>431123</v>
      </c>
      <c r="B1574" s="3" t="s">
        <v>1038</v>
      </c>
      <c r="C1574" s="25">
        <v>0</v>
      </c>
      <c r="D1574" s="25">
        <v>0</v>
      </c>
      <c r="E1574" s="18">
        <f t="shared" si="313"/>
        <v>0</v>
      </c>
    </row>
    <row r="1575" spans="1:5" ht="15" x14ac:dyDescent="0.2">
      <c r="A1575" s="7">
        <v>431190</v>
      </c>
      <c r="B1575" s="3" t="s">
        <v>220</v>
      </c>
      <c r="C1575" s="25">
        <v>0</v>
      </c>
      <c r="D1575" s="25">
        <v>0</v>
      </c>
      <c r="E1575" s="18">
        <f t="shared" si="313"/>
        <v>0</v>
      </c>
    </row>
    <row r="1576" spans="1:5" ht="15" x14ac:dyDescent="0.2">
      <c r="A1576" s="6">
        <v>4312</v>
      </c>
      <c r="B1576" s="2" t="s">
        <v>1039</v>
      </c>
      <c r="C1576" s="24">
        <f>SUM(C1577:C1612)</f>
        <v>0</v>
      </c>
      <c r="D1576" s="24">
        <f t="shared" ref="D1576:E1576" si="314">SUM(D1577:D1612)</f>
        <v>0</v>
      </c>
      <c r="E1576" s="17">
        <f t="shared" si="314"/>
        <v>0</v>
      </c>
    </row>
    <row r="1577" spans="1:5" ht="15" x14ac:dyDescent="0.2">
      <c r="A1577" s="7">
        <v>431208</v>
      </c>
      <c r="B1577" s="3" t="s">
        <v>1040</v>
      </c>
      <c r="C1577" s="25">
        <v>0</v>
      </c>
      <c r="D1577" s="25">
        <v>0</v>
      </c>
      <c r="E1577" s="18">
        <f t="shared" ref="E1577:E1612" si="315">SUM(C1577:D1577)</f>
        <v>0</v>
      </c>
    </row>
    <row r="1578" spans="1:5" ht="15" x14ac:dyDescent="0.2">
      <c r="A1578" s="7">
        <v>431209</v>
      </c>
      <c r="B1578" s="3" t="s">
        <v>1041</v>
      </c>
      <c r="C1578" s="25">
        <v>0</v>
      </c>
      <c r="D1578" s="25">
        <v>0</v>
      </c>
      <c r="E1578" s="18">
        <f t="shared" si="315"/>
        <v>0</v>
      </c>
    </row>
    <row r="1579" spans="1:5" ht="15" x14ac:dyDescent="0.2">
      <c r="A1579" s="7">
        <v>431217</v>
      </c>
      <c r="B1579" s="3" t="s">
        <v>1042</v>
      </c>
      <c r="C1579" s="25">
        <v>0</v>
      </c>
      <c r="D1579" s="25">
        <v>0</v>
      </c>
      <c r="E1579" s="18">
        <f t="shared" si="315"/>
        <v>0</v>
      </c>
    </row>
    <row r="1580" spans="1:5" ht="15" x14ac:dyDescent="0.2">
      <c r="A1580" s="7">
        <v>431218</v>
      </c>
      <c r="B1580" s="3" t="s">
        <v>1043</v>
      </c>
      <c r="C1580" s="25">
        <v>0</v>
      </c>
      <c r="D1580" s="25">
        <v>0</v>
      </c>
      <c r="E1580" s="18">
        <f t="shared" si="315"/>
        <v>0</v>
      </c>
    </row>
    <row r="1581" spans="1:5" ht="15" x14ac:dyDescent="0.2">
      <c r="A1581" s="7">
        <v>431219</v>
      </c>
      <c r="B1581" s="3" t="s">
        <v>1044</v>
      </c>
      <c r="C1581" s="25">
        <v>0</v>
      </c>
      <c r="D1581" s="25">
        <v>0</v>
      </c>
      <c r="E1581" s="18">
        <f t="shared" si="315"/>
        <v>0</v>
      </c>
    </row>
    <row r="1582" spans="1:5" ht="15" x14ac:dyDescent="0.2">
      <c r="A1582" s="7">
        <v>431220</v>
      </c>
      <c r="B1582" s="3" t="s">
        <v>1045</v>
      </c>
      <c r="C1582" s="25">
        <v>0</v>
      </c>
      <c r="D1582" s="25">
        <v>0</v>
      </c>
      <c r="E1582" s="18">
        <f t="shared" si="315"/>
        <v>0</v>
      </c>
    </row>
    <row r="1583" spans="1:5" ht="15" x14ac:dyDescent="0.2">
      <c r="A1583" s="7">
        <v>431221</v>
      </c>
      <c r="B1583" s="3" t="s">
        <v>1046</v>
      </c>
      <c r="C1583" s="25">
        <v>0</v>
      </c>
      <c r="D1583" s="25">
        <v>0</v>
      </c>
      <c r="E1583" s="18">
        <f t="shared" si="315"/>
        <v>0</v>
      </c>
    </row>
    <row r="1584" spans="1:5" ht="15" x14ac:dyDescent="0.2">
      <c r="A1584" s="7">
        <v>431227</v>
      </c>
      <c r="B1584" s="3" t="s">
        <v>1047</v>
      </c>
      <c r="C1584" s="25">
        <v>0</v>
      </c>
      <c r="D1584" s="25">
        <v>0</v>
      </c>
      <c r="E1584" s="18">
        <f t="shared" si="315"/>
        <v>0</v>
      </c>
    </row>
    <row r="1585" spans="1:5" ht="15" x14ac:dyDescent="0.2">
      <c r="A1585" s="7">
        <v>431228</v>
      </c>
      <c r="B1585" s="3" t="s">
        <v>1048</v>
      </c>
      <c r="C1585" s="25">
        <v>0</v>
      </c>
      <c r="D1585" s="25">
        <v>0</v>
      </c>
      <c r="E1585" s="18">
        <f t="shared" si="315"/>
        <v>0</v>
      </c>
    </row>
    <row r="1586" spans="1:5" ht="15" x14ac:dyDescent="0.2">
      <c r="A1586" s="7">
        <v>431229</v>
      </c>
      <c r="B1586" s="3" t="s">
        <v>1049</v>
      </c>
      <c r="C1586" s="25">
        <v>0</v>
      </c>
      <c r="D1586" s="25">
        <v>0</v>
      </c>
      <c r="E1586" s="18">
        <f t="shared" si="315"/>
        <v>0</v>
      </c>
    </row>
    <row r="1587" spans="1:5" ht="15" x14ac:dyDescent="0.2">
      <c r="A1587" s="7">
        <v>431230</v>
      </c>
      <c r="B1587" s="3" t="s">
        <v>1050</v>
      </c>
      <c r="C1587" s="25">
        <v>0</v>
      </c>
      <c r="D1587" s="25">
        <v>0</v>
      </c>
      <c r="E1587" s="18">
        <f t="shared" si="315"/>
        <v>0</v>
      </c>
    </row>
    <row r="1588" spans="1:5" ht="15" x14ac:dyDescent="0.2">
      <c r="A1588" s="7">
        <v>431231</v>
      </c>
      <c r="B1588" s="3" t="s">
        <v>1051</v>
      </c>
      <c r="C1588" s="25">
        <v>0</v>
      </c>
      <c r="D1588" s="25">
        <v>0</v>
      </c>
      <c r="E1588" s="18">
        <f t="shared" si="315"/>
        <v>0</v>
      </c>
    </row>
    <row r="1589" spans="1:5" ht="15" x14ac:dyDescent="0.2">
      <c r="A1589" s="7">
        <v>431232</v>
      </c>
      <c r="B1589" s="3" t="s">
        <v>1052</v>
      </c>
      <c r="C1589" s="25">
        <v>0</v>
      </c>
      <c r="D1589" s="25">
        <v>0</v>
      </c>
      <c r="E1589" s="18">
        <f t="shared" si="315"/>
        <v>0</v>
      </c>
    </row>
    <row r="1590" spans="1:5" ht="15" x14ac:dyDescent="0.2">
      <c r="A1590" s="7">
        <v>431233</v>
      </c>
      <c r="B1590" s="3" t="s">
        <v>1053</v>
      </c>
      <c r="C1590" s="25">
        <v>0</v>
      </c>
      <c r="D1590" s="25">
        <v>0</v>
      </c>
      <c r="E1590" s="18">
        <f t="shared" si="315"/>
        <v>0</v>
      </c>
    </row>
    <row r="1591" spans="1:5" ht="15" x14ac:dyDescent="0.2">
      <c r="A1591" s="7">
        <v>431236</v>
      </c>
      <c r="B1591" s="3" t="s">
        <v>1054</v>
      </c>
      <c r="C1591" s="25">
        <v>0</v>
      </c>
      <c r="D1591" s="25">
        <v>0</v>
      </c>
      <c r="E1591" s="18">
        <f t="shared" si="315"/>
        <v>0</v>
      </c>
    </row>
    <row r="1592" spans="1:5" ht="15" x14ac:dyDescent="0.2">
      <c r="A1592" s="7">
        <v>431237</v>
      </c>
      <c r="B1592" s="3" t="s">
        <v>1055</v>
      </c>
      <c r="C1592" s="25">
        <v>0</v>
      </c>
      <c r="D1592" s="25">
        <v>0</v>
      </c>
      <c r="E1592" s="18">
        <f t="shared" si="315"/>
        <v>0</v>
      </c>
    </row>
    <row r="1593" spans="1:5" ht="15" x14ac:dyDescent="0.2">
      <c r="A1593" s="7">
        <v>431246</v>
      </c>
      <c r="B1593" s="3" t="s">
        <v>1056</v>
      </c>
      <c r="C1593" s="25">
        <v>0</v>
      </c>
      <c r="D1593" s="25">
        <v>0</v>
      </c>
      <c r="E1593" s="18">
        <f t="shared" si="315"/>
        <v>0</v>
      </c>
    </row>
    <row r="1594" spans="1:5" ht="15" x14ac:dyDescent="0.2">
      <c r="A1594" s="7">
        <v>431247</v>
      </c>
      <c r="B1594" s="3" t="s">
        <v>1057</v>
      </c>
      <c r="C1594" s="25">
        <v>0</v>
      </c>
      <c r="D1594" s="25">
        <v>0</v>
      </c>
      <c r="E1594" s="18">
        <f t="shared" si="315"/>
        <v>0</v>
      </c>
    </row>
    <row r="1595" spans="1:5" ht="15" x14ac:dyDescent="0.2">
      <c r="A1595" s="7">
        <v>431248</v>
      </c>
      <c r="B1595" s="3" t="s">
        <v>1058</v>
      </c>
      <c r="C1595" s="25">
        <v>0</v>
      </c>
      <c r="D1595" s="25">
        <v>0</v>
      </c>
      <c r="E1595" s="18">
        <f t="shared" si="315"/>
        <v>0</v>
      </c>
    </row>
    <row r="1596" spans="1:5" ht="15" x14ac:dyDescent="0.2">
      <c r="A1596" s="7">
        <v>431249</v>
      </c>
      <c r="B1596" s="3" t="s">
        <v>1059</v>
      </c>
      <c r="C1596" s="25">
        <v>0</v>
      </c>
      <c r="D1596" s="25">
        <v>0</v>
      </c>
      <c r="E1596" s="18">
        <f t="shared" si="315"/>
        <v>0</v>
      </c>
    </row>
    <row r="1597" spans="1:5" ht="15" x14ac:dyDescent="0.2">
      <c r="A1597" s="7">
        <v>431256</v>
      </c>
      <c r="B1597" s="3" t="s">
        <v>1060</v>
      </c>
      <c r="C1597" s="25">
        <v>0</v>
      </c>
      <c r="D1597" s="25">
        <v>0</v>
      </c>
      <c r="E1597" s="18">
        <f t="shared" si="315"/>
        <v>0</v>
      </c>
    </row>
    <row r="1598" spans="1:5" ht="15" x14ac:dyDescent="0.2">
      <c r="A1598" s="7">
        <v>431257</v>
      </c>
      <c r="B1598" s="3" t="s">
        <v>1061</v>
      </c>
      <c r="C1598" s="25">
        <v>0</v>
      </c>
      <c r="D1598" s="25">
        <v>0</v>
      </c>
      <c r="E1598" s="18">
        <f t="shared" si="315"/>
        <v>0</v>
      </c>
    </row>
    <row r="1599" spans="1:5" ht="15" x14ac:dyDescent="0.2">
      <c r="A1599" s="7">
        <v>431258</v>
      </c>
      <c r="B1599" s="3" t="s">
        <v>1062</v>
      </c>
      <c r="C1599" s="25">
        <v>0</v>
      </c>
      <c r="D1599" s="25">
        <v>0</v>
      </c>
      <c r="E1599" s="18">
        <f t="shared" si="315"/>
        <v>0</v>
      </c>
    </row>
    <row r="1600" spans="1:5" ht="15" x14ac:dyDescent="0.2">
      <c r="A1600" s="7">
        <v>431259</v>
      </c>
      <c r="B1600" s="3" t="s">
        <v>1063</v>
      </c>
      <c r="C1600" s="25">
        <v>0</v>
      </c>
      <c r="D1600" s="25">
        <v>0</v>
      </c>
      <c r="E1600" s="18">
        <f t="shared" si="315"/>
        <v>0</v>
      </c>
    </row>
    <row r="1601" spans="1:5" ht="15" x14ac:dyDescent="0.2">
      <c r="A1601" s="7">
        <v>431260</v>
      </c>
      <c r="B1601" s="3" t="s">
        <v>1064</v>
      </c>
      <c r="C1601" s="25">
        <v>0</v>
      </c>
      <c r="D1601" s="25">
        <v>0</v>
      </c>
      <c r="E1601" s="18">
        <f t="shared" si="315"/>
        <v>0</v>
      </c>
    </row>
    <row r="1602" spans="1:5" ht="15" x14ac:dyDescent="0.2">
      <c r="A1602" s="7">
        <v>431261</v>
      </c>
      <c r="B1602" s="3" t="s">
        <v>1065</v>
      </c>
      <c r="C1602" s="25">
        <v>0</v>
      </c>
      <c r="D1602" s="25">
        <v>0</v>
      </c>
      <c r="E1602" s="18">
        <f t="shared" si="315"/>
        <v>0</v>
      </c>
    </row>
    <row r="1603" spans="1:5" ht="15" x14ac:dyDescent="0.2">
      <c r="A1603" s="7">
        <v>431262</v>
      </c>
      <c r="B1603" s="3" t="s">
        <v>1066</v>
      </c>
      <c r="C1603" s="25">
        <v>0</v>
      </c>
      <c r="D1603" s="25">
        <v>0</v>
      </c>
      <c r="E1603" s="18">
        <f t="shared" si="315"/>
        <v>0</v>
      </c>
    </row>
    <row r="1604" spans="1:5" ht="15" x14ac:dyDescent="0.2">
      <c r="A1604" s="7">
        <v>431263</v>
      </c>
      <c r="B1604" s="3" t="s">
        <v>1067</v>
      </c>
      <c r="C1604" s="25">
        <v>0</v>
      </c>
      <c r="D1604" s="25">
        <v>0</v>
      </c>
      <c r="E1604" s="18">
        <f t="shared" si="315"/>
        <v>0</v>
      </c>
    </row>
    <row r="1605" spans="1:5" ht="15" x14ac:dyDescent="0.2">
      <c r="A1605" s="7">
        <v>431287</v>
      </c>
      <c r="B1605" s="3" t="s">
        <v>1068</v>
      </c>
      <c r="C1605" s="25">
        <v>0</v>
      </c>
      <c r="D1605" s="25">
        <v>0</v>
      </c>
      <c r="E1605" s="18">
        <f t="shared" si="315"/>
        <v>0</v>
      </c>
    </row>
    <row r="1606" spans="1:5" ht="15" x14ac:dyDescent="0.2">
      <c r="A1606" s="7">
        <v>431288</v>
      </c>
      <c r="B1606" s="3" t="s">
        <v>1069</v>
      </c>
      <c r="C1606" s="25">
        <v>0</v>
      </c>
      <c r="D1606" s="25">
        <v>0</v>
      </c>
      <c r="E1606" s="18">
        <f t="shared" si="315"/>
        <v>0</v>
      </c>
    </row>
    <row r="1607" spans="1:5" ht="15" x14ac:dyDescent="0.2">
      <c r="A1607" s="7">
        <v>431289</v>
      </c>
      <c r="B1607" s="3" t="s">
        <v>1070</v>
      </c>
      <c r="C1607" s="25">
        <v>0</v>
      </c>
      <c r="D1607" s="25">
        <v>0</v>
      </c>
      <c r="E1607" s="18">
        <f t="shared" si="315"/>
        <v>0</v>
      </c>
    </row>
    <row r="1608" spans="1:5" ht="15" x14ac:dyDescent="0.2">
      <c r="A1608" s="7">
        <v>431291</v>
      </c>
      <c r="B1608" s="3" t="s">
        <v>1071</v>
      </c>
      <c r="C1608" s="25">
        <v>0</v>
      </c>
      <c r="D1608" s="25">
        <v>0</v>
      </c>
      <c r="E1608" s="18">
        <f t="shared" si="315"/>
        <v>0</v>
      </c>
    </row>
    <row r="1609" spans="1:5" ht="15" x14ac:dyDescent="0.2">
      <c r="A1609" s="7">
        <v>431292</v>
      </c>
      <c r="B1609" s="3" t="s">
        <v>1072</v>
      </c>
      <c r="C1609" s="25">
        <v>0</v>
      </c>
      <c r="D1609" s="25">
        <v>0</v>
      </c>
      <c r="E1609" s="18">
        <f t="shared" si="315"/>
        <v>0</v>
      </c>
    </row>
    <row r="1610" spans="1:5" ht="15" x14ac:dyDescent="0.2">
      <c r="A1610" s="7">
        <v>431293</v>
      </c>
      <c r="B1610" s="3" t="s">
        <v>1073</v>
      </c>
      <c r="C1610" s="25">
        <v>0</v>
      </c>
      <c r="D1610" s="25">
        <v>0</v>
      </c>
      <c r="E1610" s="18">
        <f t="shared" si="315"/>
        <v>0</v>
      </c>
    </row>
    <row r="1611" spans="1:5" ht="15" x14ac:dyDescent="0.2">
      <c r="A1611" s="7">
        <v>431294</v>
      </c>
      <c r="B1611" s="3" t="s">
        <v>1074</v>
      </c>
      <c r="C1611" s="25">
        <v>0</v>
      </c>
      <c r="D1611" s="25">
        <v>0</v>
      </c>
      <c r="E1611" s="18">
        <f t="shared" si="315"/>
        <v>0</v>
      </c>
    </row>
    <row r="1612" spans="1:5" ht="15" x14ac:dyDescent="0.2">
      <c r="A1612" s="7">
        <v>431295</v>
      </c>
      <c r="B1612" s="3" t="s">
        <v>1075</v>
      </c>
      <c r="C1612" s="25">
        <v>0</v>
      </c>
      <c r="D1612" s="25">
        <v>0</v>
      </c>
      <c r="E1612" s="18">
        <f t="shared" si="315"/>
        <v>0</v>
      </c>
    </row>
    <row r="1613" spans="1:5" ht="15" x14ac:dyDescent="0.2">
      <c r="A1613" s="6">
        <v>4315</v>
      </c>
      <c r="B1613" s="2" t="s">
        <v>1076</v>
      </c>
      <c r="C1613" s="24">
        <f>SUM(C1614:C1617)</f>
        <v>0</v>
      </c>
      <c r="D1613" s="24">
        <f t="shared" ref="D1613:E1613" si="316">SUM(D1614:D1617)</f>
        <v>0</v>
      </c>
      <c r="E1613" s="17">
        <f t="shared" si="316"/>
        <v>0</v>
      </c>
    </row>
    <row r="1614" spans="1:5" ht="15" x14ac:dyDescent="0.2">
      <c r="A1614" s="7">
        <v>431517</v>
      </c>
      <c r="B1614" s="3" t="s">
        <v>1077</v>
      </c>
      <c r="C1614" s="25">
        <v>0</v>
      </c>
      <c r="D1614" s="25">
        <v>0</v>
      </c>
      <c r="E1614" s="18">
        <f t="shared" ref="E1614:E1617" si="317">SUM(C1614:D1614)</f>
        <v>0</v>
      </c>
    </row>
    <row r="1615" spans="1:5" ht="15" x14ac:dyDescent="0.2">
      <c r="A1615" s="7">
        <v>431518</v>
      </c>
      <c r="B1615" s="3" t="s">
        <v>1078</v>
      </c>
      <c r="C1615" s="25">
        <v>0</v>
      </c>
      <c r="D1615" s="25">
        <v>0</v>
      </c>
      <c r="E1615" s="18">
        <f t="shared" si="317"/>
        <v>0</v>
      </c>
    </row>
    <row r="1616" spans="1:5" ht="15" x14ac:dyDescent="0.2">
      <c r="A1616" s="7">
        <v>431519</v>
      </c>
      <c r="B1616" s="3" t="s">
        <v>1079</v>
      </c>
      <c r="C1616" s="25">
        <v>0</v>
      </c>
      <c r="D1616" s="25">
        <v>0</v>
      </c>
      <c r="E1616" s="18">
        <f t="shared" si="317"/>
        <v>0</v>
      </c>
    </row>
    <row r="1617" spans="1:5" ht="15" x14ac:dyDescent="0.2">
      <c r="A1617" s="7">
        <v>431520</v>
      </c>
      <c r="B1617" s="3" t="s">
        <v>1080</v>
      </c>
      <c r="C1617" s="25">
        <v>0</v>
      </c>
      <c r="D1617" s="25">
        <v>0</v>
      </c>
      <c r="E1617" s="18">
        <f t="shared" si="317"/>
        <v>0</v>
      </c>
    </row>
    <row r="1618" spans="1:5" ht="15" x14ac:dyDescent="0.2">
      <c r="A1618" s="6">
        <v>4321</v>
      </c>
      <c r="B1618" s="2" t="s">
        <v>1081</v>
      </c>
      <c r="C1618" s="24">
        <f>SUM(C1619:C1621)</f>
        <v>171079547</v>
      </c>
      <c r="D1618" s="24">
        <f t="shared" ref="D1618:E1618" si="318">SUM(D1619:D1621)</f>
        <v>0</v>
      </c>
      <c r="E1618" s="28">
        <f t="shared" si="318"/>
        <v>171079547</v>
      </c>
    </row>
    <row r="1619" spans="1:5" ht="15" x14ac:dyDescent="0.2">
      <c r="A1619" s="7">
        <v>432108</v>
      </c>
      <c r="B1619" s="3" t="s">
        <v>1082</v>
      </c>
      <c r="C1619" s="25">
        <v>0</v>
      </c>
      <c r="D1619" s="25">
        <v>0</v>
      </c>
      <c r="E1619" s="18">
        <f t="shared" ref="E1619:E1621" si="319">SUM(C1619:D1619)</f>
        <v>0</v>
      </c>
    </row>
    <row r="1620" spans="1:5" ht="15" x14ac:dyDescent="0.2">
      <c r="A1620" s="7">
        <v>432109</v>
      </c>
      <c r="B1620" s="3" t="s">
        <v>1079</v>
      </c>
      <c r="C1620" s="25">
        <v>171079547</v>
      </c>
      <c r="D1620" s="25">
        <v>0</v>
      </c>
      <c r="E1620" s="18">
        <f t="shared" si="319"/>
        <v>171079547</v>
      </c>
    </row>
    <row r="1621" spans="1:5" ht="15" x14ac:dyDescent="0.2">
      <c r="A1621" s="7">
        <v>432110</v>
      </c>
      <c r="B1621" s="3" t="s">
        <v>1080</v>
      </c>
      <c r="C1621" s="25">
        <v>0</v>
      </c>
      <c r="D1621" s="25">
        <v>0</v>
      </c>
      <c r="E1621" s="29">
        <f t="shared" si="319"/>
        <v>0</v>
      </c>
    </row>
    <row r="1622" spans="1:5" ht="15" x14ac:dyDescent="0.2">
      <c r="A1622" s="6">
        <v>4322</v>
      </c>
      <c r="B1622" s="2" t="s">
        <v>1083</v>
      </c>
      <c r="C1622" s="24">
        <f>SUM(C1623:C1625)</f>
        <v>81994665</v>
      </c>
      <c r="D1622" s="24">
        <f t="shared" ref="D1622:E1622" si="320">SUM(D1623:D1625)</f>
        <v>0</v>
      </c>
      <c r="E1622" s="28">
        <f t="shared" si="320"/>
        <v>81994665</v>
      </c>
    </row>
    <row r="1623" spans="1:5" ht="15" x14ac:dyDescent="0.2">
      <c r="A1623" s="7">
        <v>432208</v>
      </c>
      <c r="B1623" s="3" t="s">
        <v>1084</v>
      </c>
      <c r="C1623" s="25">
        <v>81994665</v>
      </c>
      <c r="D1623" s="25">
        <v>0</v>
      </c>
      <c r="E1623" s="18">
        <f t="shared" ref="E1623:E1625" si="321">SUM(C1623:D1623)</f>
        <v>81994665</v>
      </c>
    </row>
    <row r="1624" spans="1:5" ht="15" x14ac:dyDescent="0.2">
      <c r="A1624" s="7">
        <v>432209</v>
      </c>
      <c r="B1624" s="3" t="s">
        <v>1085</v>
      </c>
      <c r="C1624" s="25">
        <v>0</v>
      </c>
      <c r="D1624" s="25">
        <v>0</v>
      </c>
      <c r="E1624" s="18">
        <f t="shared" si="321"/>
        <v>0</v>
      </c>
    </row>
    <row r="1625" spans="1:5" ht="15" x14ac:dyDescent="0.2">
      <c r="A1625" s="7">
        <v>432210</v>
      </c>
      <c r="B1625" s="3" t="s">
        <v>1080</v>
      </c>
      <c r="C1625" s="25">
        <v>0</v>
      </c>
      <c r="D1625" s="25">
        <v>0</v>
      </c>
      <c r="E1625" s="29">
        <f t="shared" si="321"/>
        <v>0</v>
      </c>
    </row>
    <row r="1626" spans="1:5" ht="15" x14ac:dyDescent="0.2">
      <c r="A1626" s="6">
        <v>4323</v>
      </c>
      <c r="B1626" s="2" t="s">
        <v>1086</v>
      </c>
      <c r="C1626" s="24">
        <f>SUM(C1627:C1637)</f>
        <v>131289691</v>
      </c>
      <c r="D1626" s="24">
        <f t="shared" ref="D1626:E1626" si="322">SUM(D1627:D1637)</f>
        <v>0</v>
      </c>
      <c r="E1626" s="28">
        <f t="shared" si="322"/>
        <v>131289691</v>
      </c>
    </row>
    <row r="1627" spans="1:5" ht="15" x14ac:dyDescent="0.2">
      <c r="A1627" s="7">
        <v>432307</v>
      </c>
      <c r="B1627" s="3" t="s">
        <v>1087</v>
      </c>
      <c r="C1627" s="25">
        <v>131289691</v>
      </c>
      <c r="D1627" s="25">
        <v>0</v>
      </c>
      <c r="E1627" s="18">
        <f t="shared" ref="E1627:E1637" si="323">SUM(C1627:D1627)</f>
        <v>131289691</v>
      </c>
    </row>
    <row r="1628" spans="1:5" ht="15" x14ac:dyDescent="0.2">
      <c r="A1628" s="7">
        <v>432308</v>
      </c>
      <c r="B1628" s="3" t="s">
        <v>1088</v>
      </c>
      <c r="C1628" s="25">
        <v>0</v>
      </c>
      <c r="D1628" s="25">
        <v>0</v>
      </c>
      <c r="E1628" s="18">
        <f t="shared" si="323"/>
        <v>0</v>
      </c>
    </row>
    <row r="1629" spans="1:5" ht="15" x14ac:dyDescent="0.2">
      <c r="A1629" s="7">
        <v>432309</v>
      </c>
      <c r="B1629" s="3" t="s">
        <v>1089</v>
      </c>
      <c r="C1629" s="25">
        <v>0</v>
      </c>
      <c r="D1629" s="25">
        <v>0</v>
      </c>
      <c r="E1629" s="18">
        <f t="shared" si="323"/>
        <v>0</v>
      </c>
    </row>
    <row r="1630" spans="1:5" ht="15" x14ac:dyDescent="0.2">
      <c r="A1630" s="7">
        <v>432310</v>
      </c>
      <c r="B1630" s="3" t="s">
        <v>1090</v>
      </c>
      <c r="C1630" s="25">
        <v>0</v>
      </c>
      <c r="D1630" s="25">
        <v>0</v>
      </c>
      <c r="E1630" s="18">
        <f t="shared" si="323"/>
        <v>0</v>
      </c>
    </row>
    <row r="1631" spans="1:5" ht="15" x14ac:dyDescent="0.2">
      <c r="A1631" s="7">
        <v>432311</v>
      </c>
      <c r="B1631" s="3" t="s">
        <v>1091</v>
      </c>
      <c r="C1631" s="25">
        <v>0</v>
      </c>
      <c r="D1631" s="25">
        <v>0</v>
      </c>
      <c r="E1631" s="18">
        <f t="shared" si="323"/>
        <v>0</v>
      </c>
    </row>
    <row r="1632" spans="1:5" ht="15" x14ac:dyDescent="0.2">
      <c r="A1632" s="7">
        <v>432312</v>
      </c>
      <c r="B1632" s="3" t="s">
        <v>1092</v>
      </c>
      <c r="C1632" s="25">
        <v>0</v>
      </c>
      <c r="D1632" s="25">
        <v>0</v>
      </c>
      <c r="E1632" s="18">
        <f t="shared" si="323"/>
        <v>0</v>
      </c>
    </row>
    <row r="1633" spans="1:5" ht="15" x14ac:dyDescent="0.2">
      <c r="A1633" s="7">
        <v>432313</v>
      </c>
      <c r="B1633" s="3" t="s">
        <v>1093</v>
      </c>
      <c r="C1633" s="25">
        <v>0</v>
      </c>
      <c r="D1633" s="25">
        <v>0</v>
      </c>
      <c r="E1633" s="29">
        <f t="shared" si="323"/>
        <v>0</v>
      </c>
    </row>
    <row r="1634" spans="1:5" ht="15" x14ac:dyDescent="0.2">
      <c r="A1634" s="7">
        <v>432314</v>
      </c>
      <c r="B1634" s="3" t="s">
        <v>1094</v>
      </c>
      <c r="C1634" s="25">
        <v>0</v>
      </c>
      <c r="D1634" s="25">
        <v>0</v>
      </c>
      <c r="E1634" s="18">
        <f t="shared" si="323"/>
        <v>0</v>
      </c>
    </row>
    <row r="1635" spans="1:5" ht="15" x14ac:dyDescent="0.2">
      <c r="A1635" s="7">
        <v>432315</v>
      </c>
      <c r="B1635" s="3" t="s">
        <v>1095</v>
      </c>
      <c r="C1635" s="25">
        <v>0</v>
      </c>
      <c r="D1635" s="25">
        <v>0</v>
      </c>
      <c r="E1635" s="18">
        <f t="shared" si="323"/>
        <v>0</v>
      </c>
    </row>
    <row r="1636" spans="1:5" ht="15" x14ac:dyDescent="0.2">
      <c r="A1636" s="7">
        <v>432316</v>
      </c>
      <c r="B1636" s="3" t="s">
        <v>1096</v>
      </c>
      <c r="C1636" s="25">
        <v>0</v>
      </c>
      <c r="D1636" s="25">
        <v>0</v>
      </c>
      <c r="E1636" s="18">
        <f t="shared" si="323"/>
        <v>0</v>
      </c>
    </row>
    <row r="1637" spans="1:5" ht="15" x14ac:dyDescent="0.2">
      <c r="A1637" s="7">
        <v>432317</v>
      </c>
      <c r="B1637" s="3" t="s">
        <v>1080</v>
      </c>
      <c r="C1637" s="25">
        <v>0</v>
      </c>
      <c r="D1637" s="25">
        <v>0</v>
      </c>
      <c r="E1637" s="29">
        <f t="shared" si="323"/>
        <v>0</v>
      </c>
    </row>
    <row r="1638" spans="1:5" ht="15" x14ac:dyDescent="0.2">
      <c r="A1638" s="6">
        <v>4325</v>
      </c>
      <c r="B1638" s="2" t="s">
        <v>1097</v>
      </c>
      <c r="C1638" s="24">
        <f>SUM(C1639:C1644)</f>
        <v>0</v>
      </c>
      <c r="D1638" s="24">
        <f t="shared" ref="D1638:E1638" si="324">SUM(D1639:D1644)</f>
        <v>0</v>
      </c>
      <c r="E1638" s="17">
        <f t="shared" si="324"/>
        <v>0</v>
      </c>
    </row>
    <row r="1639" spans="1:5" ht="15" x14ac:dyDescent="0.2">
      <c r="A1639" s="7">
        <v>432525</v>
      </c>
      <c r="B1639" s="3" t="s">
        <v>1098</v>
      </c>
      <c r="C1639" s="25">
        <v>0</v>
      </c>
      <c r="D1639" s="25">
        <v>0</v>
      </c>
      <c r="E1639" s="18">
        <f t="shared" ref="E1639:E1644" si="325">SUM(C1639:D1639)</f>
        <v>0</v>
      </c>
    </row>
    <row r="1640" spans="1:5" ht="15" x14ac:dyDescent="0.2">
      <c r="A1640" s="7">
        <v>432526</v>
      </c>
      <c r="B1640" s="3" t="s">
        <v>1099</v>
      </c>
      <c r="C1640" s="25">
        <v>0</v>
      </c>
      <c r="D1640" s="25">
        <v>0</v>
      </c>
      <c r="E1640" s="18">
        <f t="shared" si="325"/>
        <v>0</v>
      </c>
    </row>
    <row r="1641" spans="1:5" ht="15" x14ac:dyDescent="0.2">
      <c r="A1641" s="7">
        <v>432527</v>
      </c>
      <c r="B1641" s="3" t="s">
        <v>1100</v>
      </c>
      <c r="C1641" s="25">
        <v>0</v>
      </c>
      <c r="D1641" s="25">
        <v>0</v>
      </c>
      <c r="E1641" s="18">
        <f t="shared" si="325"/>
        <v>0</v>
      </c>
    </row>
    <row r="1642" spans="1:5" ht="15" x14ac:dyDescent="0.2">
      <c r="A1642" s="7">
        <v>432528</v>
      </c>
      <c r="B1642" s="3" t="s">
        <v>1101</v>
      </c>
      <c r="C1642" s="25">
        <v>0</v>
      </c>
      <c r="D1642" s="25">
        <v>0</v>
      </c>
      <c r="E1642" s="18">
        <f t="shared" si="325"/>
        <v>0</v>
      </c>
    </row>
    <row r="1643" spans="1:5" ht="15" x14ac:dyDescent="0.2">
      <c r="A1643" s="7">
        <v>432529</v>
      </c>
      <c r="B1643" s="3" t="s">
        <v>1102</v>
      </c>
      <c r="C1643" s="25">
        <v>0</v>
      </c>
      <c r="D1643" s="25">
        <v>0</v>
      </c>
      <c r="E1643" s="18">
        <f t="shared" si="325"/>
        <v>0</v>
      </c>
    </row>
    <row r="1644" spans="1:5" ht="15" x14ac:dyDescent="0.2">
      <c r="A1644" s="7">
        <v>432530</v>
      </c>
      <c r="B1644" s="3" t="s">
        <v>1103</v>
      </c>
      <c r="C1644" s="25">
        <v>0</v>
      </c>
      <c r="D1644" s="25">
        <v>0</v>
      </c>
      <c r="E1644" s="18">
        <f t="shared" si="325"/>
        <v>0</v>
      </c>
    </row>
    <row r="1645" spans="1:5" ht="15" x14ac:dyDescent="0.2">
      <c r="A1645" s="6">
        <v>4330</v>
      </c>
      <c r="B1645" s="2" t="s">
        <v>1104</v>
      </c>
      <c r="C1645" s="24">
        <f>SUM(C1646:C1650)</f>
        <v>0</v>
      </c>
      <c r="D1645" s="24">
        <f t="shared" ref="D1645:E1645" si="326">SUM(D1646:D1650)</f>
        <v>0</v>
      </c>
      <c r="E1645" s="17">
        <f t="shared" si="326"/>
        <v>0</v>
      </c>
    </row>
    <row r="1646" spans="1:5" ht="15" x14ac:dyDescent="0.2">
      <c r="A1646" s="7">
        <v>433010</v>
      </c>
      <c r="B1646" s="3" t="s">
        <v>1105</v>
      </c>
      <c r="C1646" s="25">
        <v>0</v>
      </c>
      <c r="D1646" s="25">
        <v>0</v>
      </c>
      <c r="E1646" s="18">
        <f t="shared" ref="E1646:E1650" si="327">SUM(C1646:D1646)</f>
        <v>0</v>
      </c>
    </row>
    <row r="1647" spans="1:5" ht="15" x14ac:dyDescent="0.2">
      <c r="A1647" s="7">
        <v>433011</v>
      </c>
      <c r="B1647" s="3" t="s">
        <v>1106</v>
      </c>
      <c r="C1647" s="25">
        <v>0</v>
      </c>
      <c r="D1647" s="25">
        <v>0</v>
      </c>
      <c r="E1647" s="18">
        <f t="shared" si="327"/>
        <v>0</v>
      </c>
    </row>
    <row r="1648" spans="1:5" ht="15" x14ac:dyDescent="0.2">
      <c r="A1648" s="7">
        <v>433014</v>
      </c>
      <c r="B1648" s="3" t="s">
        <v>1107</v>
      </c>
      <c r="C1648" s="25">
        <v>0</v>
      </c>
      <c r="D1648" s="25">
        <v>0</v>
      </c>
      <c r="E1648" s="18">
        <f t="shared" si="327"/>
        <v>0</v>
      </c>
    </row>
    <row r="1649" spans="1:5" ht="15" x14ac:dyDescent="0.2">
      <c r="A1649" s="7">
        <v>433015</v>
      </c>
      <c r="B1649" s="3" t="s">
        <v>1108</v>
      </c>
      <c r="C1649" s="25">
        <v>0</v>
      </c>
      <c r="D1649" s="25">
        <v>0</v>
      </c>
      <c r="E1649" s="18">
        <f t="shared" si="327"/>
        <v>0</v>
      </c>
    </row>
    <row r="1650" spans="1:5" ht="15" x14ac:dyDescent="0.2">
      <c r="A1650" s="7">
        <v>433090</v>
      </c>
      <c r="B1650" s="3" t="s">
        <v>1109</v>
      </c>
      <c r="C1650" s="25">
        <v>0</v>
      </c>
      <c r="D1650" s="25">
        <v>0</v>
      </c>
      <c r="E1650" s="18">
        <f t="shared" si="327"/>
        <v>0</v>
      </c>
    </row>
    <row r="1651" spans="1:5" ht="15" x14ac:dyDescent="0.2">
      <c r="A1651" s="6">
        <v>4333</v>
      </c>
      <c r="B1651" s="2" t="s">
        <v>1110</v>
      </c>
      <c r="C1651" s="24">
        <f>SUM(C1652:C1658)</f>
        <v>0</v>
      </c>
      <c r="D1651" s="24">
        <f t="shared" ref="D1651:E1651" si="328">SUM(D1652:D1658)</f>
        <v>0</v>
      </c>
      <c r="E1651" s="17">
        <f t="shared" si="328"/>
        <v>0</v>
      </c>
    </row>
    <row r="1652" spans="1:5" ht="15" x14ac:dyDescent="0.2">
      <c r="A1652" s="7">
        <v>433301</v>
      </c>
      <c r="B1652" s="3" t="s">
        <v>1111</v>
      </c>
      <c r="C1652" s="25">
        <v>0</v>
      </c>
      <c r="D1652" s="25">
        <v>0</v>
      </c>
      <c r="E1652" s="18">
        <f t="shared" ref="E1652:E1658" si="329">SUM(C1652:D1652)</f>
        <v>0</v>
      </c>
    </row>
    <row r="1653" spans="1:5" ht="15" x14ac:dyDescent="0.2">
      <c r="A1653" s="7">
        <v>433302</v>
      </c>
      <c r="B1653" s="3" t="s">
        <v>1112</v>
      </c>
      <c r="C1653" s="25">
        <v>0</v>
      </c>
      <c r="D1653" s="25">
        <v>0</v>
      </c>
      <c r="E1653" s="18">
        <f t="shared" si="329"/>
        <v>0</v>
      </c>
    </row>
    <row r="1654" spans="1:5" ht="15" x14ac:dyDescent="0.2">
      <c r="A1654" s="7">
        <v>433304</v>
      </c>
      <c r="B1654" s="3" t="s">
        <v>1113</v>
      </c>
      <c r="C1654" s="25">
        <v>0</v>
      </c>
      <c r="D1654" s="25">
        <v>0</v>
      </c>
      <c r="E1654" s="18">
        <f t="shared" si="329"/>
        <v>0</v>
      </c>
    </row>
    <row r="1655" spans="1:5" ht="15" x14ac:dyDescent="0.2">
      <c r="A1655" s="7">
        <v>433305</v>
      </c>
      <c r="B1655" s="3" t="s">
        <v>1114</v>
      </c>
      <c r="C1655" s="25">
        <v>0</v>
      </c>
      <c r="D1655" s="25">
        <v>0</v>
      </c>
      <c r="E1655" s="18">
        <f t="shared" si="329"/>
        <v>0</v>
      </c>
    </row>
    <row r="1656" spans="1:5" ht="15" x14ac:dyDescent="0.2">
      <c r="A1656" s="7">
        <v>433306</v>
      </c>
      <c r="B1656" s="3" t="s">
        <v>1115</v>
      </c>
      <c r="C1656" s="25">
        <v>0</v>
      </c>
      <c r="D1656" s="25">
        <v>0</v>
      </c>
      <c r="E1656" s="18">
        <f t="shared" si="329"/>
        <v>0</v>
      </c>
    </row>
    <row r="1657" spans="1:5" ht="15" x14ac:dyDescent="0.2">
      <c r="A1657" s="7">
        <v>433307</v>
      </c>
      <c r="B1657" s="3" t="s">
        <v>1116</v>
      </c>
      <c r="C1657" s="25">
        <v>0</v>
      </c>
      <c r="D1657" s="25">
        <v>0</v>
      </c>
      <c r="E1657" s="18">
        <f t="shared" si="329"/>
        <v>0</v>
      </c>
    </row>
    <row r="1658" spans="1:5" ht="15" x14ac:dyDescent="0.2">
      <c r="A1658" s="7">
        <v>433390</v>
      </c>
      <c r="B1658" s="3" t="s">
        <v>1117</v>
      </c>
      <c r="C1658" s="25">
        <v>0</v>
      </c>
      <c r="D1658" s="25">
        <v>0</v>
      </c>
      <c r="E1658" s="18">
        <f t="shared" si="329"/>
        <v>0</v>
      </c>
    </row>
    <row r="1659" spans="1:5" ht="15" x14ac:dyDescent="0.2">
      <c r="A1659" s="6">
        <v>4335</v>
      </c>
      <c r="B1659" s="2" t="s">
        <v>1118</v>
      </c>
      <c r="C1659" s="24">
        <f>SUM(C1660:C1667)</f>
        <v>0</v>
      </c>
      <c r="D1659" s="24">
        <f t="shared" ref="D1659:E1659" si="330">SUM(D1660:D1667)</f>
        <v>0</v>
      </c>
      <c r="E1659" s="17">
        <f t="shared" si="330"/>
        <v>0</v>
      </c>
    </row>
    <row r="1660" spans="1:5" ht="15" x14ac:dyDescent="0.2">
      <c r="A1660" s="7">
        <v>433545</v>
      </c>
      <c r="B1660" s="3" t="s">
        <v>1119</v>
      </c>
      <c r="C1660" s="25">
        <v>0</v>
      </c>
      <c r="D1660" s="25">
        <v>0</v>
      </c>
      <c r="E1660" s="18">
        <f t="shared" ref="E1660:E1667" si="331">SUM(C1660:D1660)</f>
        <v>0</v>
      </c>
    </row>
    <row r="1661" spans="1:5" ht="15" x14ac:dyDescent="0.2">
      <c r="A1661" s="7">
        <v>433546</v>
      </c>
      <c r="B1661" s="3" t="s">
        <v>1120</v>
      </c>
      <c r="C1661" s="25">
        <v>0</v>
      </c>
      <c r="D1661" s="25">
        <v>0</v>
      </c>
      <c r="E1661" s="18">
        <f t="shared" si="331"/>
        <v>0</v>
      </c>
    </row>
    <row r="1662" spans="1:5" ht="15" x14ac:dyDescent="0.2">
      <c r="A1662" s="7">
        <v>433547</v>
      </c>
      <c r="B1662" s="3" t="s">
        <v>1121</v>
      </c>
      <c r="C1662" s="25">
        <v>0</v>
      </c>
      <c r="D1662" s="25">
        <v>0</v>
      </c>
      <c r="E1662" s="18">
        <f t="shared" si="331"/>
        <v>0</v>
      </c>
    </row>
    <row r="1663" spans="1:5" ht="15" x14ac:dyDescent="0.2">
      <c r="A1663" s="7">
        <v>433548</v>
      </c>
      <c r="B1663" s="3" t="s">
        <v>1122</v>
      </c>
      <c r="C1663" s="25">
        <v>0</v>
      </c>
      <c r="D1663" s="25">
        <v>0</v>
      </c>
      <c r="E1663" s="18">
        <f t="shared" si="331"/>
        <v>0</v>
      </c>
    </row>
    <row r="1664" spans="1:5" ht="15" x14ac:dyDescent="0.2">
      <c r="A1664" s="7">
        <v>433549</v>
      </c>
      <c r="B1664" s="3" t="s">
        <v>1123</v>
      </c>
      <c r="C1664" s="25">
        <v>0</v>
      </c>
      <c r="D1664" s="25">
        <v>0</v>
      </c>
      <c r="E1664" s="18">
        <f t="shared" si="331"/>
        <v>0</v>
      </c>
    </row>
    <row r="1665" spans="1:5" ht="15" x14ac:dyDescent="0.2">
      <c r="A1665" s="7">
        <v>433550</v>
      </c>
      <c r="B1665" s="3" t="s">
        <v>1124</v>
      </c>
      <c r="C1665" s="25">
        <v>0</v>
      </c>
      <c r="D1665" s="25">
        <v>0</v>
      </c>
      <c r="E1665" s="18">
        <f t="shared" si="331"/>
        <v>0</v>
      </c>
    </row>
    <row r="1666" spans="1:5" ht="15" x14ac:dyDescent="0.2">
      <c r="A1666" s="7">
        <v>433552</v>
      </c>
      <c r="B1666" s="3" t="s">
        <v>1080</v>
      </c>
      <c r="C1666" s="25">
        <v>0</v>
      </c>
      <c r="D1666" s="25">
        <v>0</v>
      </c>
      <c r="E1666" s="18">
        <f t="shared" si="331"/>
        <v>0</v>
      </c>
    </row>
    <row r="1667" spans="1:5" ht="15" x14ac:dyDescent="0.2">
      <c r="A1667" s="7">
        <v>433590</v>
      </c>
      <c r="B1667" s="3" t="s">
        <v>1125</v>
      </c>
      <c r="C1667" s="25">
        <v>0</v>
      </c>
      <c r="D1667" s="25">
        <v>0</v>
      </c>
      <c r="E1667" s="18">
        <f t="shared" si="331"/>
        <v>0</v>
      </c>
    </row>
    <row r="1668" spans="1:5" ht="15" x14ac:dyDescent="0.2">
      <c r="A1668" s="6">
        <v>4340</v>
      </c>
      <c r="B1668" s="2" t="s">
        <v>1126</v>
      </c>
      <c r="C1668" s="24">
        <f>SUM(C1669:C1677)</f>
        <v>0</v>
      </c>
      <c r="D1668" s="24">
        <f t="shared" ref="D1668:E1668" si="332">SUM(D1669:D1677)</f>
        <v>0</v>
      </c>
      <c r="E1668" s="17">
        <f t="shared" si="332"/>
        <v>0</v>
      </c>
    </row>
    <row r="1669" spans="1:5" ht="15" x14ac:dyDescent="0.2">
      <c r="A1669" s="7">
        <v>434001</v>
      </c>
      <c r="B1669" s="3" t="s">
        <v>1127</v>
      </c>
      <c r="C1669" s="25">
        <v>0</v>
      </c>
      <c r="D1669" s="25">
        <v>0</v>
      </c>
      <c r="E1669" s="18">
        <f t="shared" ref="E1669:E1677" si="333">SUM(C1669:D1669)</f>
        <v>0</v>
      </c>
    </row>
    <row r="1670" spans="1:5" ht="15" x14ac:dyDescent="0.2">
      <c r="A1670" s="7">
        <v>434002</v>
      </c>
      <c r="B1670" s="3" t="s">
        <v>787</v>
      </c>
      <c r="C1670" s="25">
        <v>0</v>
      </c>
      <c r="D1670" s="25">
        <v>0</v>
      </c>
      <c r="E1670" s="18">
        <f t="shared" si="333"/>
        <v>0</v>
      </c>
    </row>
    <row r="1671" spans="1:5" ht="15" x14ac:dyDescent="0.2">
      <c r="A1671" s="7">
        <v>434003</v>
      </c>
      <c r="B1671" s="3" t="s">
        <v>1128</v>
      </c>
      <c r="C1671" s="25">
        <v>0</v>
      </c>
      <c r="D1671" s="25">
        <v>0</v>
      </c>
      <c r="E1671" s="18">
        <f t="shared" si="333"/>
        <v>0</v>
      </c>
    </row>
    <row r="1672" spans="1:5" ht="15" x14ac:dyDescent="0.2">
      <c r="A1672" s="7">
        <v>434004</v>
      </c>
      <c r="B1672" s="3" t="s">
        <v>1129</v>
      </c>
      <c r="C1672" s="25">
        <v>0</v>
      </c>
      <c r="D1672" s="25">
        <v>0</v>
      </c>
      <c r="E1672" s="18">
        <f t="shared" si="333"/>
        <v>0</v>
      </c>
    </row>
    <row r="1673" spans="1:5" ht="15" x14ac:dyDescent="0.2">
      <c r="A1673" s="7">
        <v>434005</v>
      </c>
      <c r="B1673" s="3" t="s">
        <v>1130</v>
      </c>
      <c r="C1673" s="25">
        <v>0</v>
      </c>
      <c r="D1673" s="25">
        <v>0</v>
      </c>
      <c r="E1673" s="18">
        <f t="shared" si="333"/>
        <v>0</v>
      </c>
    </row>
    <row r="1674" spans="1:5" ht="15" x14ac:dyDescent="0.2">
      <c r="A1674" s="7">
        <v>434006</v>
      </c>
      <c r="B1674" s="3" t="s">
        <v>1131</v>
      </c>
      <c r="C1674" s="25">
        <v>0</v>
      </c>
      <c r="D1674" s="25">
        <v>0</v>
      </c>
      <c r="E1674" s="18">
        <f t="shared" si="333"/>
        <v>0</v>
      </c>
    </row>
    <row r="1675" spans="1:5" ht="15" x14ac:dyDescent="0.2">
      <c r="A1675" s="7">
        <v>434007</v>
      </c>
      <c r="B1675" s="3" t="s">
        <v>1132</v>
      </c>
      <c r="C1675" s="25">
        <v>0</v>
      </c>
      <c r="D1675" s="25">
        <v>0</v>
      </c>
      <c r="E1675" s="18">
        <f t="shared" si="333"/>
        <v>0</v>
      </c>
    </row>
    <row r="1676" spans="1:5" ht="15" x14ac:dyDescent="0.2">
      <c r="A1676" s="7">
        <v>434008</v>
      </c>
      <c r="B1676" s="3" t="s">
        <v>620</v>
      </c>
      <c r="C1676" s="25">
        <v>0</v>
      </c>
      <c r="D1676" s="25">
        <v>0</v>
      </c>
      <c r="E1676" s="18">
        <f t="shared" si="333"/>
        <v>0</v>
      </c>
    </row>
    <row r="1677" spans="1:5" ht="15" x14ac:dyDescent="0.2">
      <c r="A1677" s="7">
        <v>434090</v>
      </c>
      <c r="B1677" s="3" t="s">
        <v>1133</v>
      </c>
      <c r="C1677" s="25">
        <v>0</v>
      </c>
      <c r="D1677" s="25">
        <v>0</v>
      </c>
      <c r="E1677" s="18">
        <f t="shared" si="333"/>
        <v>0</v>
      </c>
    </row>
    <row r="1678" spans="1:5" ht="15" x14ac:dyDescent="0.2">
      <c r="A1678" s="6">
        <v>4345</v>
      </c>
      <c r="B1678" s="2" t="s">
        <v>1134</v>
      </c>
      <c r="C1678" s="24">
        <f>SUM(C1679:C1684)</f>
        <v>0</v>
      </c>
      <c r="D1678" s="24">
        <f t="shared" ref="D1678:E1678" si="334">SUM(D1679:D1684)</f>
        <v>0</v>
      </c>
      <c r="E1678" s="17">
        <f t="shared" si="334"/>
        <v>0</v>
      </c>
    </row>
    <row r="1679" spans="1:5" ht="15" x14ac:dyDescent="0.2">
      <c r="A1679" s="7">
        <v>434502</v>
      </c>
      <c r="B1679" s="3" t="s">
        <v>1135</v>
      </c>
      <c r="C1679" s="25">
        <v>0</v>
      </c>
      <c r="D1679" s="25">
        <v>0</v>
      </c>
      <c r="E1679" s="18">
        <f t="shared" ref="E1679:E1684" si="335">SUM(C1679:D1679)</f>
        <v>0</v>
      </c>
    </row>
    <row r="1680" spans="1:5" ht="15" x14ac:dyDescent="0.2">
      <c r="A1680" s="7">
        <v>434503</v>
      </c>
      <c r="B1680" s="3" t="s">
        <v>1136</v>
      </c>
      <c r="C1680" s="25">
        <v>0</v>
      </c>
      <c r="D1680" s="25">
        <v>0</v>
      </c>
      <c r="E1680" s="18">
        <f t="shared" si="335"/>
        <v>0</v>
      </c>
    </row>
    <row r="1681" spans="1:5" ht="15" x14ac:dyDescent="0.2">
      <c r="A1681" s="7">
        <v>434504</v>
      </c>
      <c r="B1681" s="3" t="s">
        <v>1137</v>
      </c>
      <c r="C1681" s="25">
        <v>0</v>
      </c>
      <c r="D1681" s="25">
        <v>0</v>
      </c>
      <c r="E1681" s="18">
        <f t="shared" si="335"/>
        <v>0</v>
      </c>
    </row>
    <row r="1682" spans="1:5" ht="15" x14ac:dyDescent="0.2">
      <c r="A1682" s="7">
        <v>434505</v>
      </c>
      <c r="B1682" s="3" t="s">
        <v>1138</v>
      </c>
      <c r="C1682" s="25">
        <v>0</v>
      </c>
      <c r="D1682" s="25">
        <v>0</v>
      </c>
      <c r="E1682" s="18">
        <f t="shared" si="335"/>
        <v>0</v>
      </c>
    </row>
    <row r="1683" spans="1:5" ht="15" x14ac:dyDescent="0.2">
      <c r="A1683" s="7">
        <v>434506</v>
      </c>
      <c r="B1683" s="3" t="s">
        <v>1139</v>
      </c>
      <c r="C1683" s="25">
        <v>0</v>
      </c>
      <c r="D1683" s="25">
        <v>0</v>
      </c>
      <c r="E1683" s="18">
        <f t="shared" si="335"/>
        <v>0</v>
      </c>
    </row>
    <row r="1684" spans="1:5" ht="15" x14ac:dyDescent="0.2">
      <c r="A1684" s="7">
        <v>434590</v>
      </c>
      <c r="B1684" s="3" t="s">
        <v>1140</v>
      </c>
      <c r="C1684" s="25">
        <v>0</v>
      </c>
      <c r="D1684" s="25">
        <v>0</v>
      </c>
      <c r="E1684" s="18">
        <f t="shared" si="335"/>
        <v>0</v>
      </c>
    </row>
    <row r="1685" spans="1:5" ht="15" x14ac:dyDescent="0.2">
      <c r="A1685" s="6">
        <v>4370</v>
      </c>
      <c r="B1685" s="2" t="s">
        <v>1141</v>
      </c>
      <c r="C1685" s="24">
        <f>SUM(C1686:C1689)</f>
        <v>0</v>
      </c>
      <c r="D1685" s="24">
        <f t="shared" ref="D1685:E1685" si="336">SUM(D1686:D1689)</f>
        <v>0</v>
      </c>
      <c r="E1685" s="17">
        <f t="shared" si="336"/>
        <v>0</v>
      </c>
    </row>
    <row r="1686" spans="1:5" ht="15" x14ac:dyDescent="0.2">
      <c r="A1686" s="7">
        <v>437001</v>
      </c>
      <c r="B1686" s="3" t="s">
        <v>1142</v>
      </c>
      <c r="C1686" s="25">
        <v>0</v>
      </c>
      <c r="D1686" s="25">
        <v>0</v>
      </c>
      <c r="E1686" s="18">
        <f t="shared" ref="E1686:E1689" si="337">SUM(C1686:D1686)</f>
        <v>0</v>
      </c>
    </row>
    <row r="1687" spans="1:5" ht="15" x14ac:dyDescent="0.2">
      <c r="A1687" s="7">
        <v>437002</v>
      </c>
      <c r="B1687" s="3" t="s">
        <v>1143</v>
      </c>
      <c r="C1687" s="25">
        <v>0</v>
      </c>
      <c r="D1687" s="25">
        <v>0</v>
      </c>
      <c r="E1687" s="18">
        <f t="shared" si="337"/>
        <v>0</v>
      </c>
    </row>
    <row r="1688" spans="1:5" ht="15" x14ac:dyDescent="0.2">
      <c r="A1688" s="7">
        <v>437003</v>
      </c>
      <c r="B1688" s="3" t="s">
        <v>1144</v>
      </c>
      <c r="C1688" s="25">
        <v>0</v>
      </c>
      <c r="D1688" s="25">
        <v>0</v>
      </c>
      <c r="E1688" s="18">
        <f t="shared" si="337"/>
        <v>0</v>
      </c>
    </row>
    <row r="1689" spans="1:5" ht="15" x14ac:dyDescent="0.2">
      <c r="A1689" s="7">
        <v>437090</v>
      </c>
      <c r="B1689" s="3" t="s">
        <v>1145</v>
      </c>
      <c r="C1689" s="25">
        <v>0</v>
      </c>
      <c r="D1689" s="25">
        <v>0</v>
      </c>
      <c r="E1689" s="18">
        <f t="shared" si="337"/>
        <v>0</v>
      </c>
    </row>
    <row r="1690" spans="1:5" ht="15" x14ac:dyDescent="0.2">
      <c r="A1690" s="6">
        <v>4390</v>
      </c>
      <c r="B1690" s="2" t="s">
        <v>1146</v>
      </c>
      <c r="C1690" s="24">
        <f>SUM(C1691:C1712)</f>
        <v>0</v>
      </c>
      <c r="D1690" s="24">
        <f t="shared" ref="D1690:E1690" si="338">SUM(D1691:D1712)</f>
        <v>0</v>
      </c>
      <c r="E1690" s="17">
        <f t="shared" si="338"/>
        <v>0</v>
      </c>
    </row>
    <row r="1691" spans="1:5" ht="15" x14ac:dyDescent="0.2">
      <c r="A1691" s="7">
        <v>439002</v>
      </c>
      <c r="B1691" s="3" t="s">
        <v>131</v>
      </c>
      <c r="C1691" s="25">
        <v>0</v>
      </c>
      <c r="D1691" s="25">
        <v>0</v>
      </c>
      <c r="E1691" s="18">
        <f t="shared" ref="E1691:E1712" si="339">SUM(C1691:D1691)</f>
        <v>0</v>
      </c>
    </row>
    <row r="1692" spans="1:5" ht="15" x14ac:dyDescent="0.2">
      <c r="A1692" s="7">
        <v>439003</v>
      </c>
      <c r="B1692" s="3" t="s">
        <v>132</v>
      </c>
      <c r="C1692" s="25">
        <v>0</v>
      </c>
      <c r="D1692" s="25">
        <v>0</v>
      </c>
      <c r="E1692" s="18">
        <f t="shared" si="339"/>
        <v>0</v>
      </c>
    </row>
    <row r="1693" spans="1:5" ht="15" x14ac:dyDescent="0.2">
      <c r="A1693" s="7">
        <v>439004</v>
      </c>
      <c r="B1693" s="3" t="s">
        <v>133</v>
      </c>
      <c r="C1693" s="25">
        <v>0</v>
      </c>
      <c r="D1693" s="25">
        <v>0</v>
      </c>
      <c r="E1693" s="18">
        <f t="shared" si="339"/>
        <v>0</v>
      </c>
    </row>
    <row r="1694" spans="1:5" ht="15" x14ac:dyDescent="0.2">
      <c r="A1694" s="7">
        <v>439005</v>
      </c>
      <c r="B1694" s="3" t="s">
        <v>134</v>
      </c>
      <c r="C1694" s="25">
        <v>0</v>
      </c>
      <c r="D1694" s="25">
        <v>0</v>
      </c>
      <c r="E1694" s="18">
        <f t="shared" si="339"/>
        <v>0</v>
      </c>
    </row>
    <row r="1695" spans="1:5" ht="15" x14ac:dyDescent="0.2">
      <c r="A1695" s="7">
        <v>439006</v>
      </c>
      <c r="B1695" s="3" t="s">
        <v>135</v>
      </c>
      <c r="C1695" s="25">
        <v>0</v>
      </c>
      <c r="D1695" s="25">
        <v>0</v>
      </c>
      <c r="E1695" s="18">
        <f t="shared" si="339"/>
        <v>0</v>
      </c>
    </row>
    <row r="1696" spans="1:5" ht="15" x14ac:dyDescent="0.2">
      <c r="A1696" s="7">
        <v>439007</v>
      </c>
      <c r="B1696" s="3" t="s">
        <v>143</v>
      </c>
      <c r="C1696" s="25">
        <v>0</v>
      </c>
      <c r="D1696" s="25">
        <v>0</v>
      </c>
      <c r="E1696" s="18">
        <f t="shared" si="339"/>
        <v>0</v>
      </c>
    </row>
    <row r="1697" spans="1:5" ht="15" x14ac:dyDescent="0.2">
      <c r="A1697" s="7">
        <v>439008</v>
      </c>
      <c r="B1697" s="3" t="s">
        <v>136</v>
      </c>
      <c r="C1697" s="25">
        <v>0</v>
      </c>
      <c r="D1697" s="25">
        <v>0</v>
      </c>
      <c r="E1697" s="18">
        <f t="shared" si="339"/>
        <v>0</v>
      </c>
    </row>
    <row r="1698" spans="1:5" ht="15" x14ac:dyDescent="0.2">
      <c r="A1698" s="7">
        <v>439014</v>
      </c>
      <c r="B1698" s="3" t="s">
        <v>137</v>
      </c>
      <c r="C1698" s="25">
        <v>0</v>
      </c>
      <c r="D1698" s="25">
        <v>0</v>
      </c>
      <c r="E1698" s="18">
        <f t="shared" si="339"/>
        <v>0</v>
      </c>
    </row>
    <row r="1699" spans="1:5" ht="15" x14ac:dyDescent="0.2">
      <c r="A1699" s="7">
        <v>439016</v>
      </c>
      <c r="B1699" s="3" t="s">
        <v>144</v>
      </c>
      <c r="C1699" s="25">
        <v>0</v>
      </c>
      <c r="D1699" s="25">
        <v>0</v>
      </c>
      <c r="E1699" s="18">
        <f t="shared" si="339"/>
        <v>0</v>
      </c>
    </row>
    <row r="1700" spans="1:5" ht="15" x14ac:dyDescent="0.2">
      <c r="A1700" s="7">
        <v>439017</v>
      </c>
      <c r="B1700" s="3" t="s">
        <v>138</v>
      </c>
      <c r="C1700" s="25">
        <v>0</v>
      </c>
      <c r="D1700" s="25">
        <v>0</v>
      </c>
      <c r="E1700" s="18">
        <f t="shared" si="339"/>
        <v>0</v>
      </c>
    </row>
    <row r="1701" spans="1:5" ht="15" x14ac:dyDescent="0.2">
      <c r="A1701" s="7">
        <v>439018</v>
      </c>
      <c r="B1701" s="3" t="s">
        <v>129</v>
      </c>
      <c r="C1701" s="25">
        <v>0</v>
      </c>
      <c r="D1701" s="25">
        <v>0</v>
      </c>
      <c r="E1701" s="18">
        <f t="shared" si="339"/>
        <v>0</v>
      </c>
    </row>
    <row r="1702" spans="1:5" ht="15" x14ac:dyDescent="0.2">
      <c r="A1702" s="7">
        <v>439022</v>
      </c>
      <c r="B1702" s="3" t="s">
        <v>130</v>
      </c>
      <c r="C1702" s="25">
        <v>0</v>
      </c>
      <c r="D1702" s="25">
        <v>0</v>
      </c>
      <c r="E1702" s="18">
        <f t="shared" si="339"/>
        <v>0</v>
      </c>
    </row>
    <row r="1703" spans="1:5" ht="15" x14ac:dyDescent="0.2">
      <c r="A1703" s="7">
        <v>439026</v>
      </c>
      <c r="B1703" s="3" t="s">
        <v>141</v>
      </c>
      <c r="C1703" s="25">
        <v>0</v>
      </c>
      <c r="D1703" s="25">
        <v>0</v>
      </c>
      <c r="E1703" s="18">
        <f t="shared" si="339"/>
        <v>0</v>
      </c>
    </row>
    <row r="1704" spans="1:5" ht="15" x14ac:dyDescent="0.2">
      <c r="A1704" s="7">
        <v>439027</v>
      </c>
      <c r="B1704" s="3" t="s">
        <v>139</v>
      </c>
      <c r="C1704" s="25">
        <v>0</v>
      </c>
      <c r="D1704" s="25">
        <v>0</v>
      </c>
      <c r="E1704" s="18">
        <f t="shared" si="339"/>
        <v>0</v>
      </c>
    </row>
    <row r="1705" spans="1:5" ht="15" x14ac:dyDescent="0.2">
      <c r="A1705" s="7">
        <v>439029</v>
      </c>
      <c r="B1705" s="3" t="s">
        <v>140</v>
      </c>
      <c r="C1705" s="25">
        <v>0</v>
      </c>
      <c r="D1705" s="25">
        <v>0</v>
      </c>
      <c r="E1705" s="18">
        <f t="shared" si="339"/>
        <v>0</v>
      </c>
    </row>
    <row r="1706" spans="1:5" ht="15" x14ac:dyDescent="0.2">
      <c r="A1706" s="7">
        <v>439030</v>
      </c>
      <c r="B1706" s="3" t="s">
        <v>142</v>
      </c>
      <c r="C1706" s="25">
        <v>0</v>
      </c>
      <c r="D1706" s="25">
        <v>0</v>
      </c>
      <c r="E1706" s="18">
        <f t="shared" si="339"/>
        <v>0</v>
      </c>
    </row>
    <row r="1707" spans="1:5" ht="15" x14ac:dyDescent="0.2">
      <c r="A1707" s="7">
        <v>439031</v>
      </c>
      <c r="B1707" s="3" t="s">
        <v>145</v>
      </c>
      <c r="C1707" s="25">
        <v>0</v>
      </c>
      <c r="D1707" s="25">
        <v>0</v>
      </c>
      <c r="E1707" s="18">
        <f t="shared" si="339"/>
        <v>0</v>
      </c>
    </row>
    <row r="1708" spans="1:5" ht="15" x14ac:dyDescent="0.2">
      <c r="A1708" s="7">
        <v>439032</v>
      </c>
      <c r="B1708" s="3" t="s">
        <v>149</v>
      </c>
      <c r="C1708" s="25">
        <v>0</v>
      </c>
      <c r="D1708" s="25">
        <v>0</v>
      </c>
      <c r="E1708" s="18">
        <f t="shared" si="339"/>
        <v>0</v>
      </c>
    </row>
    <row r="1709" spans="1:5" ht="15" x14ac:dyDescent="0.2">
      <c r="A1709" s="7">
        <v>439033</v>
      </c>
      <c r="B1709" s="3" t="s">
        <v>146</v>
      </c>
      <c r="C1709" s="25">
        <v>0</v>
      </c>
      <c r="D1709" s="25">
        <v>0</v>
      </c>
      <c r="E1709" s="18">
        <f t="shared" si="339"/>
        <v>0</v>
      </c>
    </row>
    <row r="1710" spans="1:5" ht="15" x14ac:dyDescent="0.2">
      <c r="A1710" s="7">
        <v>439034</v>
      </c>
      <c r="B1710" s="3" t="s">
        <v>147</v>
      </c>
      <c r="C1710" s="25">
        <v>0</v>
      </c>
      <c r="D1710" s="25">
        <v>0</v>
      </c>
      <c r="E1710" s="18">
        <f t="shared" si="339"/>
        <v>0</v>
      </c>
    </row>
    <row r="1711" spans="1:5" ht="15" x14ac:dyDescent="0.2">
      <c r="A1711" s="7">
        <v>439035</v>
      </c>
      <c r="B1711" s="3" t="s">
        <v>148</v>
      </c>
      <c r="C1711" s="25">
        <v>0</v>
      </c>
      <c r="D1711" s="25">
        <v>0</v>
      </c>
      <c r="E1711" s="18">
        <f t="shared" si="339"/>
        <v>0</v>
      </c>
    </row>
    <row r="1712" spans="1:5" ht="15" x14ac:dyDescent="0.2">
      <c r="A1712" s="7">
        <v>439090</v>
      </c>
      <c r="B1712" s="3" t="s">
        <v>150</v>
      </c>
      <c r="C1712" s="25">
        <v>0</v>
      </c>
      <c r="D1712" s="25">
        <v>0</v>
      </c>
      <c r="E1712" s="18">
        <f t="shared" si="339"/>
        <v>0</v>
      </c>
    </row>
    <row r="1713" spans="1:5" ht="15" x14ac:dyDescent="0.2">
      <c r="A1713" s="6">
        <v>4395</v>
      </c>
      <c r="B1713" s="2" t="s">
        <v>1147</v>
      </c>
      <c r="C1713" s="24">
        <f>SUM(C1714:C1726)</f>
        <v>0</v>
      </c>
      <c r="D1713" s="24">
        <f t="shared" ref="D1713:E1713" si="340">SUM(D1714:D1726)</f>
        <v>0</v>
      </c>
      <c r="E1713" s="17">
        <f t="shared" si="340"/>
        <v>0</v>
      </c>
    </row>
    <row r="1714" spans="1:5" ht="15" x14ac:dyDescent="0.2">
      <c r="A1714" s="7">
        <v>439503</v>
      </c>
      <c r="B1714" s="3" t="s">
        <v>152</v>
      </c>
      <c r="C1714" s="25">
        <v>0</v>
      </c>
      <c r="D1714" s="25">
        <v>0</v>
      </c>
      <c r="E1714" s="18">
        <f t="shared" ref="E1714:E1726" si="341">SUM(C1714:D1714)</f>
        <v>0</v>
      </c>
    </row>
    <row r="1715" spans="1:5" ht="15" x14ac:dyDescent="0.2">
      <c r="A1715" s="7">
        <v>439505</v>
      </c>
      <c r="B1715" s="3" t="s">
        <v>156</v>
      </c>
      <c r="C1715" s="25">
        <v>0</v>
      </c>
      <c r="D1715" s="25">
        <v>0</v>
      </c>
      <c r="E1715" s="18">
        <f t="shared" si="341"/>
        <v>0</v>
      </c>
    </row>
    <row r="1716" spans="1:5" ht="15" x14ac:dyDescent="0.2">
      <c r="A1716" s="7">
        <v>439506</v>
      </c>
      <c r="B1716" s="3" t="s">
        <v>123</v>
      </c>
      <c r="C1716" s="25">
        <v>0</v>
      </c>
      <c r="D1716" s="25">
        <v>0</v>
      </c>
      <c r="E1716" s="18">
        <f t="shared" si="341"/>
        <v>0</v>
      </c>
    </row>
    <row r="1717" spans="1:5" ht="15" x14ac:dyDescent="0.2">
      <c r="A1717" s="7">
        <v>439507</v>
      </c>
      <c r="B1717" s="3" t="s">
        <v>157</v>
      </c>
      <c r="C1717" s="25">
        <v>0</v>
      </c>
      <c r="D1717" s="25">
        <v>0</v>
      </c>
      <c r="E1717" s="18">
        <f t="shared" si="341"/>
        <v>0</v>
      </c>
    </row>
    <row r="1718" spans="1:5" ht="15" x14ac:dyDescent="0.2">
      <c r="A1718" s="7">
        <v>439508</v>
      </c>
      <c r="B1718" s="3" t="s">
        <v>124</v>
      </c>
      <c r="C1718" s="25">
        <v>0</v>
      </c>
      <c r="D1718" s="25">
        <v>0</v>
      </c>
      <c r="E1718" s="18">
        <f t="shared" si="341"/>
        <v>0</v>
      </c>
    </row>
    <row r="1719" spans="1:5" ht="15" x14ac:dyDescent="0.2">
      <c r="A1719" s="7">
        <v>439509</v>
      </c>
      <c r="B1719" s="3" t="s">
        <v>125</v>
      </c>
      <c r="C1719" s="25">
        <v>0</v>
      </c>
      <c r="D1719" s="25">
        <v>0</v>
      </c>
      <c r="E1719" s="18">
        <f t="shared" si="341"/>
        <v>0</v>
      </c>
    </row>
    <row r="1720" spans="1:5" ht="15" x14ac:dyDescent="0.2">
      <c r="A1720" s="7">
        <v>439512</v>
      </c>
      <c r="B1720" s="3" t="s">
        <v>1148</v>
      </c>
      <c r="C1720" s="25">
        <v>0</v>
      </c>
      <c r="D1720" s="25">
        <v>0</v>
      </c>
      <c r="E1720" s="18">
        <f t="shared" si="341"/>
        <v>0</v>
      </c>
    </row>
    <row r="1721" spans="1:5" ht="15" x14ac:dyDescent="0.2">
      <c r="A1721" s="7">
        <v>439514</v>
      </c>
      <c r="B1721" s="3" t="s">
        <v>153</v>
      </c>
      <c r="C1721" s="25">
        <v>0</v>
      </c>
      <c r="D1721" s="25">
        <v>0</v>
      </c>
      <c r="E1721" s="18">
        <f t="shared" si="341"/>
        <v>0</v>
      </c>
    </row>
    <row r="1722" spans="1:5" ht="15" x14ac:dyDescent="0.2">
      <c r="A1722" s="7">
        <v>439515</v>
      </c>
      <c r="B1722" s="3" t="s">
        <v>154</v>
      </c>
      <c r="C1722" s="25">
        <v>0</v>
      </c>
      <c r="D1722" s="25">
        <v>0</v>
      </c>
      <c r="E1722" s="18">
        <f t="shared" si="341"/>
        <v>0</v>
      </c>
    </row>
    <row r="1723" spans="1:5" ht="15" x14ac:dyDescent="0.2">
      <c r="A1723" s="7">
        <v>439516</v>
      </c>
      <c r="B1723" s="3" t="s">
        <v>155</v>
      </c>
      <c r="C1723" s="25">
        <v>0</v>
      </c>
      <c r="D1723" s="25">
        <v>0</v>
      </c>
      <c r="E1723" s="18">
        <f t="shared" si="341"/>
        <v>0</v>
      </c>
    </row>
    <row r="1724" spans="1:5" ht="15" x14ac:dyDescent="0.2">
      <c r="A1724" s="7">
        <v>439517</v>
      </c>
      <c r="B1724" s="3" t="s">
        <v>127</v>
      </c>
      <c r="C1724" s="25">
        <v>0</v>
      </c>
      <c r="D1724" s="25">
        <v>0</v>
      </c>
      <c r="E1724" s="18">
        <f t="shared" si="341"/>
        <v>0</v>
      </c>
    </row>
    <row r="1725" spans="1:5" ht="15" x14ac:dyDescent="0.2">
      <c r="A1725" s="7">
        <v>439519</v>
      </c>
      <c r="B1725" s="3" t="s">
        <v>128</v>
      </c>
      <c r="C1725" s="25">
        <v>0</v>
      </c>
      <c r="D1725" s="25">
        <v>0</v>
      </c>
      <c r="E1725" s="18">
        <f t="shared" si="341"/>
        <v>0</v>
      </c>
    </row>
    <row r="1726" spans="1:5" ht="15" x14ac:dyDescent="0.2">
      <c r="A1726" s="7">
        <v>439590</v>
      </c>
      <c r="B1726" s="3" t="s">
        <v>150</v>
      </c>
      <c r="C1726" s="25">
        <v>0</v>
      </c>
      <c r="D1726" s="25">
        <v>0</v>
      </c>
      <c r="E1726" s="18">
        <f t="shared" si="341"/>
        <v>0</v>
      </c>
    </row>
    <row r="1727" spans="1:5" ht="15" x14ac:dyDescent="0.2">
      <c r="A1727" s="6">
        <v>44</v>
      </c>
      <c r="B1727" s="2" t="s">
        <v>1149</v>
      </c>
      <c r="C1727" s="24">
        <f>SUM(C1728)</f>
        <v>0</v>
      </c>
      <c r="D1727" s="24">
        <f>SUM(D1728)</f>
        <v>0</v>
      </c>
      <c r="E1727" s="28">
        <f>SUM(E1728)</f>
        <v>0</v>
      </c>
    </row>
    <row r="1728" spans="1:5" ht="15" x14ac:dyDescent="0.2">
      <c r="A1728" s="6">
        <v>4430</v>
      </c>
      <c r="B1728" s="2" t="s">
        <v>1150</v>
      </c>
      <c r="C1728" s="24">
        <f>SUM(C1729:C1736)</f>
        <v>0</v>
      </c>
      <c r="D1728" s="24">
        <f t="shared" ref="D1728:E1728" si="342">SUM(D1729:D1736)</f>
        <v>0</v>
      </c>
      <c r="E1728" s="28">
        <f t="shared" si="342"/>
        <v>0</v>
      </c>
    </row>
    <row r="1729" spans="1:5" ht="15" x14ac:dyDescent="0.2">
      <c r="A1729" s="7">
        <v>443001</v>
      </c>
      <c r="B1729" s="3" t="s">
        <v>1151</v>
      </c>
      <c r="C1729" s="25">
        <v>0</v>
      </c>
      <c r="D1729" s="25">
        <v>0</v>
      </c>
      <c r="E1729" s="18">
        <f t="shared" ref="E1729:E1736" si="343">SUM(C1729:D1729)</f>
        <v>0</v>
      </c>
    </row>
    <row r="1730" spans="1:5" ht="15" x14ac:dyDescent="0.2">
      <c r="A1730" s="7">
        <v>443002</v>
      </c>
      <c r="B1730" s="3" t="s">
        <v>1152</v>
      </c>
      <c r="C1730" s="25">
        <v>0</v>
      </c>
      <c r="D1730" s="25">
        <v>0</v>
      </c>
      <c r="E1730" s="18">
        <f t="shared" si="343"/>
        <v>0</v>
      </c>
    </row>
    <row r="1731" spans="1:5" ht="15" x14ac:dyDescent="0.2">
      <c r="A1731" s="7">
        <v>443003</v>
      </c>
      <c r="B1731" s="3" t="s">
        <v>1153</v>
      </c>
      <c r="C1731" s="25">
        <v>0</v>
      </c>
      <c r="D1731" s="25">
        <v>0</v>
      </c>
      <c r="E1731" s="18">
        <f t="shared" si="343"/>
        <v>0</v>
      </c>
    </row>
    <row r="1732" spans="1:5" ht="15" x14ac:dyDescent="0.2">
      <c r="A1732" s="7">
        <v>443004</v>
      </c>
      <c r="B1732" s="3" t="s">
        <v>222</v>
      </c>
      <c r="C1732" s="25">
        <v>0</v>
      </c>
      <c r="D1732" s="25">
        <v>0</v>
      </c>
      <c r="E1732" s="18">
        <f t="shared" si="343"/>
        <v>0</v>
      </c>
    </row>
    <row r="1733" spans="1:5" ht="15" x14ac:dyDescent="0.2">
      <c r="A1733" s="7">
        <v>443005</v>
      </c>
      <c r="B1733" s="3" t="s">
        <v>223</v>
      </c>
      <c r="C1733" s="25">
        <v>0</v>
      </c>
      <c r="D1733" s="25">
        <v>0</v>
      </c>
      <c r="E1733" s="29">
        <f t="shared" si="343"/>
        <v>0</v>
      </c>
    </row>
    <row r="1734" spans="1:5" ht="15" x14ac:dyDescent="0.2">
      <c r="A1734" s="7">
        <v>443006</v>
      </c>
      <c r="B1734" s="3" t="s">
        <v>1154</v>
      </c>
      <c r="C1734" s="25">
        <v>0</v>
      </c>
      <c r="D1734" s="25">
        <v>0</v>
      </c>
      <c r="E1734" s="18">
        <f t="shared" si="343"/>
        <v>0</v>
      </c>
    </row>
    <row r="1735" spans="1:5" ht="15" x14ac:dyDescent="0.2">
      <c r="A1735" s="7">
        <v>443007</v>
      </c>
      <c r="B1735" s="3" t="s">
        <v>1155</v>
      </c>
      <c r="C1735" s="25">
        <v>0</v>
      </c>
      <c r="D1735" s="25">
        <v>0</v>
      </c>
      <c r="E1735" s="18">
        <f t="shared" si="343"/>
        <v>0</v>
      </c>
    </row>
    <row r="1736" spans="1:5" ht="15" x14ac:dyDescent="0.2">
      <c r="A1736" s="7">
        <v>443090</v>
      </c>
      <c r="B1736" s="3" t="s">
        <v>224</v>
      </c>
      <c r="C1736" s="25">
        <v>0</v>
      </c>
      <c r="D1736" s="25">
        <v>0</v>
      </c>
      <c r="E1736" s="18">
        <f t="shared" si="343"/>
        <v>0</v>
      </c>
    </row>
    <row r="1737" spans="1:5" ht="15" x14ac:dyDescent="0.2">
      <c r="A1737" s="6">
        <v>48</v>
      </c>
      <c r="B1737" s="2" t="s">
        <v>1156</v>
      </c>
      <c r="C1737" s="24">
        <f>SUM(C1738,C1776,C1795,C1832,C1838,C1844,C1850,C1853,C1858,C1877)</f>
        <v>0</v>
      </c>
      <c r="D1737" s="24">
        <f>SUM(D1738,D1776,D1795,D1832,D1838,D1844,D1850,D1853,D1858,D1877)</f>
        <v>0</v>
      </c>
      <c r="E1737" s="28">
        <f>SUM(E1738,E1776,E1795,E1832,E1838,E1844,E1850,E1853,E1858,E1877)</f>
        <v>0</v>
      </c>
    </row>
    <row r="1738" spans="1:5" ht="15" x14ac:dyDescent="0.2">
      <c r="A1738" s="6">
        <v>4802</v>
      </c>
      <c r="B1738" s="2" t="s">
        <v>1157</v>
      </c>
      <c r="C1738" s="24">
        <f>SUM(C1739:C1775)</f>
        <v>0</v>
      </c>
      <c r="D1738" s="24">
        <f t="shared" ref="D1738:E1738" si="344">SUM(D1739:D1775)</f>
        <v>0</v>
      </c>
      <c r="E1738" s="28">
        <f t="shared" si="344"/>
        <v>0</v>
      </c>
    </row>
    <row r="1739" spans="1:5" ht="15" x14ac:dyDescent="0.2">
      <c r="A1739" s="7">
        <v>480201</v>
      </c>
      <c r="B1739" s="3" t="s">
        <v>1158</v>
      </c>
      <c r="C1739" s="25">
        <v>0</v>
      </c>
      <c r="D1739" s="25">
        <v>0</v>
      </c>
      <c r="E1739" s="18">
        <f t="shared" ref="E1739:E1775" si="345">SUM(C1739:D1739)</f>
        <v>0</v>
      </c>
    </row>
    <row r="1740" spans="1:5" ht="15" x14ac:dyDescent="0.2">
      <c r="A1740" s="7">
        <v>480202</v>
      </c>
      <c r="B1740" s="3" t="s">
        <v>245</v>
      </c>
      <c r="C1740" s="25">
        <v>0</v>
      </c>
      <c r="D1740" s="25">
        <v>0</v>
      </c>
      <c r="E1740" s="18">
        <f t="shared" si="345"/>
        <v>0</v>
      </c>
    </row>
    <row r="1741" spans="1:5" ht="15" x14ac:dyDescent="0.2">
      <c r="A1741" s="7">
        <v>480203</v>
      </c>
      <c r="B1741" s="3" t="s">
        <v>244</v>
      </c>
      <c r="C1741" s="25">
        <v>0</v>
      </c>
      <c r="D1741" s="25">
        <v>0</v>
      </c>
      <c r="E1741" s="18">
        <f t="shared" si="345"/>
        <v>0</v>
      </c>
    </row>
    <row r="1742" spans="1:5" ht="15" x14ac:dyDescent="0.2">
      <c r="A1742" s="7">
        <v>480204</v>
      </c>
      <c r="B1742" s="3" t="s">
        <v>1159</v>
      </c>
      <c r="C1742" s="25">
        <v>0</v>
      </c>
      <c r="D1742" s="25">
        <v>0</v>
      </c>
      <c r="E1742" s="18">
        <f t="shared" si="345"/>
        <v>0</v>
      </c>
    </row>
    <row r="1743" spans="1:5" ht="15" x14ac:dyDescent="0.2">
      <c r="A1743" s="7">
        <v>480205</v>
      </c>
      <c r="B1743" s="3" t="s">
        <v>1160</v>
      </c>
      <c r="C1743" s="25">
        <v>0</v>
      </c>
      <c r="D1743" s="25">
        <v>0</v>
      </c>
      <c r="E1743" s="18">
        <f t="shared" si="345"/>
        <v>0</v>
      </c>
    </row>
    <row r="1744" spans="1:5" ht="15" x14ac:dyDescent="0.2">
      <c r="A1744" s="7">
        <v>480206</v>
      </c>
      <c r="B1744" s="3" t="s">
        <v>1161</v>
      </c>
      <c r="C1744" s="25">
        <v>0</v>
      </c>
      <c r="D1744" s="25">
        <v>0</v>
      </c>
      <c r="E1744" s="18">
        <f t="shared" si="345"/>
        <v>0</v>
      </c>
    </row>
    <row r="1745" spans="1:5" ht="15" x14ac:dyDescent="0.2">
      <c r="A1745" s="7">
        <v>480207</v>
      </c>
      <c r="B1745" s="4" t="s">
        <v>1162</v>
      </c>
      <c r="C1745" s="26">
        <v>0</v>
      </c>
      <c r="D1745" s="26">
        <v>0</v>
      </c>
      <c r="E1745" s="18">
        <f t="shared" si="345"/>
        <v>0</v>
      </c>
    </row>
    <row r="1746" spans="1:5" ht="15" x14ac:dyDescent="0.2">
      <c r="A1746" s="7">
        <v>480208</v>
      </c>
      <c r="B1746" s="4" t="s">
        <v>1163</v>
      </c>
      <c r="C1746" s="26">
        <v>0</v>
      </c>
      <c r="D1746" s="26">
        <v>0</v>
      </c>
      <c r="E1746" s="18">
        <f t="shared" si="345"/>
        <v>0</v>
      </c>
    </row>
    <row r="1747" spans="1:5" ht="15" x14ac:dyDescent="0.2">
      <c r="A1747" s="7">
        <v>480209</v>
      </c>
      <c r="B1747" s="4" t="s">
        <v>1164</v>
      </c>
      <c r="C1747" s="26">
        <v>0</v>
      </c>
      <c r="D1747" s="26">
        <v>0</v>
      </c>
      <c r="E1747" s="18">
        <f t="shared" si="345"/>
        <v>0</v>
      </c>
    </row>
    <row r="1748" spans="1:5" ht="15" x14ac:dyDescent="0.2">
      <c r="A1748" s="7">
        <v>480210</v>
      </c>
      <c r="B1748" s="4" t="s">
        <v>1165</v>
      </c>
      <c r="C1748" s="26">
        <v>0</v>
      </c>
      <c r="D1748" s="26">
        <v>0</v>
      </c>
      <c r="E1748" s="18">
        <f t="shared" si="345"/>
        <v>0</v>
      </c>
    </row>
    <row r="1749" spans="1:5" ht="15" x14ac:dyDescent="0.2">
      <c r="A1749" s="7">
        <v>480211</v>
      </c>
      <c r="B1749" s="4" t="s">
        <v>1166</v>
      </c>
      <c r="C1749" s="26">
        <v>0</v>
      </c>
      <c r="D1749" s="26">
        <v>0</v>
      </c>
      <c r="E1749" s="18">
        <f t="shared" si="345"/>
        <v>0</v>
      </c>
    </row>
    <row r="1750" spans="1:5" ht="15" x14ac:dyDescent="0.2">
      <c r="A1750" s="7">
        <v>480212</v>
      </c>
      <c r="B1750" s="4" t="s">
        <v>1167</v>
      </c>
      <c r="C1750" s="26">
        <v>0</v>
      </c>
      <c r="D1750" s="26">
        <v>0</v>
      </c>
      <c r="E1750" s="18">
        <f t="shared" si="345"/>
        <v>0</v>
      </c>
    </row>
    <row r="1751" spans="1:5" ht="15" x14ac:dyDescent="0.2">
      <c r="A1751" s="7">
        <v>480213</v>
      </c>
      <c r="B1751" s="4" t="s">
        <v>1168</v>
      </c>
      <c r="C1751" s="26">
        <v>0</v>
      </c>
      <c r="D1751" s="26">
        <v>0</v>
      </c>
      <c r="E1751" s="18">
        <f t="shared" si="345"/>
        <v>0</v>
      </c>
    </row>
    <row r="1752" spans="1:5" ht="15" x14ac:dyDescent="0.2">
      <c r="A1752" s="7">
        <v>480214</v>
      </c>
      <c r="B1752" s="3" t="s">
        <v>1169</v>
      </c>
      <c r="C1752" s="25">
        <v>0</v>
      </c>
      <c r="D1752" s="25">
        <v>0</v>
      </c>
      <c r="E1752" s="18">
        <f t="shared" si="345"/>
        <v>0</v>
      </c>
    </row>
    <row r="1753" spans="1:5" ht="15" x14ac:dyDescent="0.2">
      <c r="A1753" s="7">
        <v>480215</v>
      </c>
      <c r="B1753" s="3" t="s">
        <v>1170</v>
      </c>
      <c r="C1753" s="25">
        <v>0</v>
      </c>
      <c r="D1753" s="25">
        <v>0</v>
      </c>
      <c r="E1753" s="18">
        <f t="shared" si="345"/>
        <v>0</v>
      </c>
    </row>
    <row r="1754" spans="1:5" ht="15" x14ac:dyDescent="0.2">
      <c r="A1754" s="7">
        <v>480216</v>
      </c>
      <c r="B1754" s="3" t="s">
        <v>1171</v>
      </c>
      <c r="C1754" s="25">
        <v>0</v>
      </c>
      <c r="D1754" s="25">
        <v>0</v>
      </c>
      <c r="E1754" s="18">
        <f t="shared" si="345"/>
        <v>0</v>
      </c>
    </row>
    <row r="1755" spans="1:5" ht="15" x14ac:dyDescent="0.2">
      <c r="A1755" s="7">
        <v>480217</v>
      </c>
      <c r="B1755" s="4" t="s">
        <v>1172</v>
      </c>
      <c r="C1755" s="26">
        <v>0</v>
      </c>
      <c r="D1755" s="26">
        <v>0</v>
      </c>
      <c r="E1755" s="18">
        <f t="shared" si="345"/>
        <v>0</v>
      </c>
    </row>
    <row r="1756" spans="1:5" ht="15" x14ac:dyDescent="0.2">
      <c r="A1756" s="7">
        <v>480218</v>
      </c>
      <c r="B1756" s="4" t="s">
        <v>1173</v>
      </c>
      <c r="C1756" s="26">
        <v>0</v>
      </c>
      <c r="D1756" s="26">
        <v>0</v>
      </c>
      <c r="E1756" s="18">
        <f t="shared" si="345"/>
        <v>0</v>
      </c>
    </row>
    <row r="1757" spans="1:5" ht="15" x14ac:dyDescent="0.2">
      <c r="A1757" s="7">
        <v>480219</v>
      </c>
      <c r="B1757" s="3" t="s">
        <v>1174</v>
      </c>
      <c r="C1757" s="25">
        <v>0</v>
      </c>
      <c r="D1757" s="25">
        <v>0</v>
      </c>
      <c r="E1757" s="18">
        <f t="shared" si="345"/>
        <v>0</v>
      </c>
    </row>
    <row r="1758" spans="1:5" ht="15" x14ac:dyDescent="0.2">
      <c r="A1758" s="7">
        <v>480220</v>
      </c>
      <c r="B1758" s="3" t="s">
        <v>1175</v>
      </c>
      <c r="C1758" s="25">
        <v>0</v>
      </c>
      <c r="D1758" s="25">
        <v>0</v>
      </c>
      <c r="E1758" s="18">
        <f t="shared" si="345"/>
        <v>0</v>
      </c>
    </row>
    <row r="1759" spans="1:5" ht="15" x14ac:dyDescent="0.2">
      <c r="A1759" s="7">
        <v>480221</v>
      </c>
      <c r="B1759" s="3" t="s">
        <v>1176</v>
      </c>
      <c r="C1759" s="25">
        <v>0</v>
      </c>
      <c r="D1759" s="25">
        <v>0</v>
      </c>
      <c r="E1759" s="18">
        <f t="shared" si="345"/>
        <v>0</v>
      </c>
    </row>
    <row r="1760" spans="1:5" ht="15" x14ac:dyDescent="0.2">
      <c r="A1760" s="7">
        <v>480222</v>
      </c>
      <c r="B1760" s="3" t="s">
        <v>1177</v>
      </c>
      <c r="C1760" s="25">
        <v>0</v>
      </c>
      <c r="D1760" s="25">
        <v>0</v>
      </c>
      <c r="E1760" s="18">
        <f t="shared" si="345"/>
        <v>0</v>
      </c>
    </row>
    <row r="1761" spans="1:5" ht="15" x14ac:dyDescent="0.2">
      <c r="A1761" s="7">
        <v>480223</v>
      </c>
      <c r="B1761" s="3" t="s">
        <v>231</v>
      </c>
      <c r="C1761" s="25">
        <v>0</v>
      </c>
      <c r="D1761" s="25">
        <v>0</v>
      </c>
      <c r="E1761" s="18">
        <f t="shared" si="345"/>
        <v>0</v>
      </c>
    </row>
    <row r="1762" spans="1:5" ht="15" x14ac:dyDescent="0.2">
      <c r="A1762" s="7">
        <v>480226</v>
      </c>
      <c r="B1762" s="3" t="s">
        <v>1178</v>
      </c>
      <c r="C1762" s="25">
        <v>0</v>
      </c>
      <c r="D1762" s="25">
        <v>0</v>
      </c>
      <c r="E1762" s="18">
        <f t="shared" si="345"/>
        <v>0</v>
      </c>
    </row>
    <row r="1763" spans="1:5" ht="15" x14ac:dyDescent="0.2">
      <c r="A1763" s="7">
        <v>480227</v>
      </c>
      <c r="B1763" s="3" t="s">
        <v>1179</v>
      </c>
      <c r="C1763" s="25">
        <v>0</v>
      </c>
      <c r="D1763" s="25">
        <v>0</v>
      </c>
      <c r="E1763" s="18">
        <f t="shared" si="345"/>
        <v>0</v>
      </c>
    </row>
    <row r="1764" spans="1:5" ht="15" x14ac:dyDescent="0.2">
      <c r="A1764" s="7">
        <v>480229</v>
      </c>
      <c r="B1764" s="3" t="s">
        <v>1180</v>
      </c>
      <c r="C1764" s="25">
        <v>0</v>
      </c>
      <c r="D1764" s="25">
        <v>0</v>
      </c>
      <c r="E1764" s="18">
        <f t="shared" si="345"/>
        <v>0</v>
      </c>
    </row>
    <row r="1765" spans="1:5" ht="15" x14ac:dyDescent="0.2">
      <c r="A1765" s="7">
        <v>480230</v>
      </c>
      <c r="B1765" s="3" t="s">
        <v>1181</v>
      </c>
      <c r="C1765" s="25">
        <v>0</v>
      </c>
      <c r="D1765" s="25">
        <v>0</v>
      </c>
      <c r="E1765" s="18">
        <f t="shared" si="345"/>
        <v>0</v>
      </c>
    </row>
    <row r="1766" spans="1:5" ht="15" x14ac:dyDescent="0.2">
      <c r="A1766" s="7">
        <v>480231</v>
      </c>
      <c r="B1766" s="3" t="s">
        <v>1182</v>
      </c>
      <c r="C1766" s="25">
        <v>0</v>
      </c>
      <c r="D1766" s="25">
        <v>0</v>
      </c>
      <c r="E1766" s="18">
        <f t="shared" si="345"/>
        <v>0</v>
      </c>
    </row>
    <row r="1767" spans="1:5" ht="15" x14ac:dyDescent="0.2">
      <c r="A1767" s="7">
        <v>480232</v>
      </c>
      <c r="B1767" s="3" t="s">
        <v>1183</v>
      </c>
      <c r="C1767" s="25">
        <v>0</v>
      </c>
      <c r="D1767" s="25">
        <v>0</v>
      </c>
      <c r="E1767" s="18">
        <f t="shared" si="345"/>
        <v>0</v>
      </c>
    </row>
    <row r="1768" spans="1:5" ht="15" x14ac:dyDescent="0.2">
      <c r="A1768" s="7">
        <v>480233</v>
      </c>
      <c r="B1768" s="3" t="s">
        <v>252</v>
      </c>
      <c r="C1768" s="25">
        <v>0</v>
      </c>
      <c r="D1768" s="25">
        <v>0</v>
      </c>
      <c r="E1768" s="18">
        <f t="shared" si="345"/>
        <v>0</v>
      </c>
    </row>
    <row r="1769" spans="1:5" ht="15" x14ac:dyDescent="0.2">
      <c r="A1769" s="7">
        <v>480236</v>
      </c>
      <c r="B1769" s="3" t="s">
        <v>1184</v>
      </c>
      <c r="C1769" s="25">
        <v>0</v>
      </c>
      <c r="D1769" s="25">
        <v>0</v>
      </c>
      <c r="E1769" s="18">
        <f t="shared" si="345"/>
        <v>0</v>
      </c>
    </row>
    <row r="1770" spans="1:5" ht="15" x14ac:dyDescent="0.2">
      <c r="A1770" s="7">
        <v>480238</v>
      </c>
      <c r="B1770" s="4" t="s">
        <v>1185</v>
      </c>
      <c r="C1770" s="26">
        <v>0</v>
      </c>
      <c r="D1770" s="26">
        <v>0</v>
      </c>
      <c r="E1770" s="18">
        <f t="shared" si="345"/>
        <v>0</v>
      </c>
    </row>
    <row r="1771" spans="1:5" ht="15" x14ac:dyDescent="0.2">
      <c r="A1771" s="7">
        <v>480239</v>
      </c>
      <c r="B1771" s="3" t="s">
        <v>93</v>
      </c>
      <c r="C1771" s="25">
        <v>0</v>
      </c>
      <c r="D1771" s="25">
        <v>0</v>
      </c>
      <c r="E1771" s="18">
        <f t="shared" si="345"/>
        <v>0</v>
      </c>
    </row>
    <row r="1772" spans="1:5" ht="15" x14ac:dyDescent="0.2">
      <c r="A1772" s="7">
        <v>480241</v>
      </c>
      <c r="B1772" s="3" t="s">
        <v>1186</v>
      </c>
      <c r="C1772" s="25">
        <v>0</v>
      </c>
      <c r="D1772" s="25">
        <v>0</v>
      </c>
      <c r="E1772" s="18">
        <f t="shared" si="345"/>
        <v>0</v>
      </c>
    </row>
    <row r="1773" spans="1:5" ht="15" x14ac:dyDescent="0.2">
      <c r="A1773" s="7">
        <v>480242</v>
      </c>
      <c r="B1773" s="3" t="s">
        <v>1187</v>
      </c>
      <c r="C1773" s="25">
        <v>0</v>
      </c>
      <c r="D1773" s="25">
        <v>0</v>
      </c>
      <c r="E1773" s="18">
        <f t="shared" si="345"/>
        <v>0</v>
      </c>
    </row>
    <row r="1774" spans="1:5" ht="15" x14ac:dyDescent="0.2">
      <c r="A1774" s="7">
        <v>480243</v>
      </c>
      <c r="B1774" s="3" t="s">
        <v>1188</v>
      </c>
      <c r="C1774" s="25">
        <v>0</v>
      </c>
      <c r="D1774" s="25">
        <v>0</v>
      </c>
      <c r="E1774" s="18">
        <f t="shared" si="345"/>
        <v>0</v>
      </c>
    </row>
    <row r="1775" spans="1:5" ht="15" x14ac:dyDescent="0.2">
      <c r="A1775" s="7">
        <v>480290</v>
      </c>
      <c r="B1775" s="3" t="s">
        <v>1189</v>
      </c>
      <c r="C1775" s="25">
        <v>0</v>
      </c>
      <c r="D1775" s="25">
        <v>0</v>
      </c>
      <c r="E1775" s="29">
        <f t="shared" si="345"/>
        <v>0</v>
      </c>
    </row>
    <row r="1776" spans="1:5" ht="15" x14ac:dyDescent="0.2">
      <c r="A1776" s="6">
        <v>4806</v>
      </c>
      <c r="B1776" s="2" t="s">
        <v>1190</v>
      </c>
      <c r="C1776" s="24">
        <f>SUM(C1777:C1794)</f>
        <v>0</v>
      </c>
      <c r="D1776" s="24">
        <f t="shared" ref="D1776:E1776" si="346">SUM(D1777:D1794)</f>
        <v>0</v>
      </c>
      <c r="E1776" s="1">
        <f t="shared" si="346"/>
        <v>0</v>
      </c>
    </row>
    <row r="1777" spans="1:5" ht="15" x14ac:dyDescent="0.2">
      <c r="A1777" s="7">
        <v>480601</v>
      </c>
      <c r="B1777" s="3" t="s">
        <v>549</v>
      </c>
      <c r="C1777" s="25">
        <v>0</v>
      </c>
      <c r="D1777" s="25">
        <v>0</v>
      </c>
      <c r="E1777" s="18">
        <f t="shared" ref="E1777:E1794" si="347">SUM(C1777:D1777)</f>
        <v>0</v>
      </c>
    </row>
    <row r="1778" spans="1:5" ht="15" x14ac:dyDescent="0.2">
      <c r="A1778" s="7">
        <v>480602</v>
      </c>
      <c r="B1778" s="3" t="s">
        <v>226</v>
      </c>
      <c r="C1778" s="25">
        <v>0</v>
      </c>
      <c r="D1778" s="25">
        <v>0</v>
      </c>
      <c r="E1778" s="18">
        <f t="shared" si="347"/>
        <v>0</v>
      </c>
    </row>
    <row r="1779" spans="1:5" ht="15" x14ac:dyDescent="0.2">
      <c r="A1779" s="7">
        <v>480612</v>
      </c>
      <c r="B1779" s="3" t="s">
        <v>845</v>
      </c>
      <c r="C1779" s="25">
        <v>0</v>
      </c>
      <c r="D1779" s="25">
        <v>0</v>
      </c>
      <c r="E1779" s="18">
        <f t="shared" si="347"/>
        <v>0</v>
      </c>
    </row>
    <row r="1780" spans="1:5" ht="15" x14ac:dyDescent="0.2">
      <c r="A1780" s="7">
        <v>480613</v>
      </c>
      <c r="B1780" s="3" t="s">
        <v>846</v>
      </c>
      <c r="C1780" s="25">
        <v>0</v>
      </c>
      <c r="D1780" s="25">
        <v>0</v>
      </c>
      <c r="E1780" s="18">
        <f t="shared" si="347"/>
        <v>0</v>
      </c>
    </row>
    <row r="1781" spans="1:5" ht="15" x14ac:dyDescent="0.2">
      <c r="A1781" s="7">
        <v>480634</v>
      </c>
      <c r="B1781" s="3" t="s">
        <v>1191</v>
      </c>
      <c r="C1781" s="25">
        <v>0</v>
      </c>
      <c r="D1781" s="25">
        <v>0</v>
      </c>
      <c r="E1781" s="18">
        <f t="shared" si="347"/>
        <v>0</v>
      </c>
    </row>
    <row r="1782" spans="1:5" ht="15" x14ac:dyDescent="0.2">
      <c r="A1782" s="7">
        <v>480636</v>
      </c>
      <c r="B1782" s="3" t="s">
        <v>551</v>
      </c>
      <c r="C1782" s="25">
        <v>0</v>
      </c>
      <c r="D1782" s="25">
        <v>0</v>
      </c>
      <c r="E1782" s="18">
        <f t="shared" si="347"/>
        <v>0</v>
      </c>
    </row>
    <row r="1783" spans="1:5" ht="15" x14ac:dyDescent="0.2">
      <c r="A1783" s="7">
        <v>480637</v>
      </c>
      <c r="B1783" s="3" t="s">
        <v>1192</v>
      </c>
      <c r="C1783" s="25">
        <v>0</v>
      </c>
      <c r="D1783" s="25">
        <v>0</v>
      </c>
      <c r="E1783" s="18">
        <f t="shared" si="347"/>
        <v>0</v>
      </c>
    </row>
    <row r="1784" spans="1:5" ht="15" x14ac:dyDescent="0.2">
      <c r="A1784" s="7">
        <v>480638</v>
      </c>
      <c r="B1784" s="3" t="s">
        <v>1193</v>
      </c>
      <c r="C1784" s="25">
        <v>0</v>
      </c>
      <c r="D1784" s="25">
        <v>0</v>
      </c>
      <c r="E1784" s="18">
        <f t="shared" si="347"/>
        <v>0</v>
      </c>
    </row>
    <row r="1785" spans="1:5" ht="15" x14ac:dyDescent="0.2">
      <c r="A1785" s="7">
        <v>480639</v>
      </c>
      <c r="B1785" s="3" t="s">
        <v>1194</v>
      </c>
      <c r="C1785" s="25">
        <v>0</v>
      </c>
      <c r="D1785" s="25">
        <v>0</v>
      </c>
      <c r="E1785" s="18">
        <f t="shared" si="347"/>
        <v>0</v>
      </c>
    </row>
    <row r="1786" spans="1:5" ht="15" x14ac:dyDescent="0.2">
      <c r="A1786" s="7">
        <v>480640</v>
      </c>
      <c r="B1786" s="3" t="s">
        <v>1195</v>
      </c>
      <c r="C1786" s="25">
        <v>0</v>
      </c>
      <c r="D1786" s="25">
        <v>0</v>
      </c>
      <c r="E1786" s="18">
        <f t="shared" si="347"/>
        <v>0</v>
      </c>
    </row>
    <row r="1787" spans="1:5" ht="15" x14ac:dyDescent="0.2">
      <c r="A1787" s="7">
        <v>480642</v>
      </c>
      <c r="B1787" s="3" t="s">
        <v>1196</v>
      </c>
      <c r="C1787" s="25">
        <v>0</v>
      </c>
      <c r="D1787" s="25">
        <v>0</v>
      </c>
      <c r="E1787" s="18">
        <f t="shared" si="347"/>
        <v>0</v>
      </c>
    </row>
    <row r="1788" spans="1:5" ht="15" x14ac:dyDescent="0.2">
      <c r="A1788" s="7">
        <v>480643</v>
      </c>
      <c r="B1788" s="3" t="s">
        <v>1197</v>
      </c>
      <c r="C1788" s="25">
        <v>0</v>
      </c>
      <c r="D1788" s="25">
        <v>0</v>
      </c>
      <c r="E1788" s="18">
        <f t="shared" si="347"/>
        <v>0</v>
      </c>
    </row>
    <row r="1789" spans="1:5" ht="15" x14ac:dyDescent="0.2">
      <c r="A1789" s="7">
        <v>480644</v>
      </c>
      <c r="B1789" s="3" t="s">
        <v>1198</v>
      </c>
      <c r="C1789" s="25">
        <v>0</v>
      </c>
      <c r="D1789" s="25">
        <v>0</v>
      </c>
      <c r="E1789" s="18">
        <f t="shared" si="347"/>
        <v>0</v>
      </c>
    </row>
    <row r="1790" spans="1:5" ht="15" x14ac:dyDescent="0.2">
      <c r="A1790" s="7">
        <v>480645</v>
      </c>
      <c r="B1790" s="3" t="s">
        <v>1199</v>
      </c>
      <c r="C1790" s="25">
        <v>0</v>
      </c>
      <c r="D1790" s="25">
        <v>0</v>
      </c>
      <c r="E1790" s="18">
        <f t="shared" si="347"/>
        <v>0</v>
      </c>
    </row>
    <row r="1791" spans="1:5" ht="15" x14ac:dyDescent="0.2">
      <c r="A1791" s="7">
        <v>480646</v>
      </c>
      <c r="B1791" s="3" t="s">
        <v>287</v>
      </c>
      <c r="C1791" s="25">
        <v>0</v>
      </c>
      <c r="D1791" s="25">
        <v>0</v>
      </c>
      <c r="E1791" s="18">
        <f t="shared" si="347"/>
        <v>0</v>
      </c>
    </row>
    <row r="1792" spans="1:5" ht="15" x14ac:dyDescent="0.2">
      <c r="A1792" s="7">
        <v>480647</v>
      </c>
      <c r="B1792" s="3" t="s">
        <v>644</v>
      </c>
      <c r="C1792" s="25">
        <v>0</v>
      </c>
      <c r="D1792" s="25">
        <v>0</v>
      </c>
      <c r="E1792" s="18">
        <f t="shared" si="347"/>
        <v>0</v>
      </c>
    </row>
    <row r="1793" spans="1:5" ht="15" x14ac:dyDescent="0.2">
      <c r="A1793" s="7">
        <v>480650</v>
      </c>
      <c r="B1793" s="3" t="s">
        <v>550</v>
      </c>
      <c r="C1793" s="25">
        <v>0</v>
      </c>
      <c r="D1793" s="25">
        <v>0</v>
      </c>
      <c r="E1793" s="18">
        <f t="shared" si="347"/>
        <v>0</v>
      </c>
    </row>
    <row r="1794" spans="1:5" ht="15" x14ac:dyDescent="0.2">
      <c r="A1794" s="7">
        <v>480690</v>
      </c>
      <c r="B1794" s="3" t="s">
        <v>1200</v>
      </c>
      <c r="C1794" s="25">
        <v>0</v>
      </c>
      <c r="D1794" s="25">
        <v>0</v>
      </c>
      <c r="E1794" s="18">
        <f t="shared" si="347"/>
        <v>0</v>
      </c>
    </row>
    <row r="1795" spans="1:5" ht="15" x14ac:dyDescent="0.2">
      <c r="A1795" s="6">
        <v>4808</v>
      </c>
      <c r="B1795" s="2" t="s">
        <v>1201</v>
      </c>
      <c r="C1795" s="24">
        <f>SUM(C1796:C1831)</f>
        <v>0</v>
      </c>
      <c r="D1795" s="24">
        <f t="shared" ref="D1795:E1795" si="348">SUM(D1796:D1831)</f>
        <v>0</v>
      </c>
      <c r="E1795" s="17">
        <f t="shared" si="348"/>
        <v>0</v>
      </c>
    </row>
    <row r="1796" spans="1:5" ht="15" x14ac:dyDescent="0.2">
      <c r="A1796" s="7">
        <v>480801</v>
      </c>
      <c r="B1796" s="3" t="s">
        <v>1202</v>
      </c>
      <c r="C1796" s="25">
        <v>0</v>
      </c>
      <c r="D1796" s="25">
        <v>0</v>
      </c>
      <c r="E1796" s="18">
        <f t="shared" ref="E1796:E1831" si="349">SUM(C1796:D1796)</f>
        <v>0</v>
      </c>
    </row>
    <row r="1797" spans="1:5" ht="15" x14ac:dyDescent="0.2">
      <c r="A1797" s="7">
        <v>480803</v>
      </c>
      <c r="B1797" s="3" t="s">
        <v>234</v>
      </c>
      <c r="C1797" s="25">
        <v>0</v>
      </c>
      <c r="D1797" s="25">
        <v>0</v>
      </c>
      <c r="E1797" s="18">
        <f t="shared" si="349"/>
        <v>0</v>
      </c>
    </row>
    <row r="1798" spans="1:5" ht="15" x14ac:dyDescent="0.2">
      <c r="A1798" s="7">
        <v>480805</v>
      </c>
      <c r="B1798" s="3" t="s">
        <v>1203</v>
      </c>
      <c r="C1798" s="25">
        <v>0</v>
      </c>
      <c r="D1798" s="25">
        <v>0</v>
      </c>
      <c r="E1798" s="18">
        <f t="shared" si="349"/>
        <v>0</v>
      </c>
    </row>
    <row r="1799" spans="1:5" ht="15" x14ac:dyDescent="0.2">
      <c r="A1799" s="7">
        <v>480806</v>
      </c>
      <c r="B1799" s="3" t="s">
        <v>1204</v>
      </c>
      <c r="C1799" s="25">
        <v>0</v>
      </c>
      <c r="D1799" s="25">
        <v>0</v>
      </c>
      <c r="E1799" s="18">
        <f t="shared" si="349"/>
        <v>0</v>
      </c>
    </row>
    <row r="1800" spans="1:5" ht="15" x14ac:dyDescent="0.2">
      <c r="A1800" s="7">
        <v>480807</v>
      </c>
      <c r="B1800" s="3" t="s">
        <v>246</v>
      </c>
      <c r="C1800" s="25">
        <v>0</v>
      </c>
      <c r="D1800" s="25">
        <v>0</v>
      </c>
      <c r="E1800" s="18">
        <f t="shared" si="349"/>
        <v>0</v>
      </c>
    </row>
    <row r="1801" spans="1:5" ht="15" x14ac:dyDescent="0.2">
      <c r="A1801" s="7">
        <v>480808</v>
      </c>
      <c r="B1801" s="3" t="s">
        <v>242</v>
      </c>
      <c r="C1801" s="25">
        <v>0</v>
      </c>
      <c r="D1801" s="25">
        <v>0</v>
      </c>
      <c r="E1801" s="18">
        <f t="shared" si="349"/>
        <v>0</v>
      </c>
    </row>
    <row r="1802" spans="1:5" ht="15" x14ac:dyDescent="0.2">
      <c r="A1802" s="7">
        <v>480809</v>
      </c>
      <c r="B1802" s="3" t="s">
        <v>839</v>
      </c>
      <c r="C1802" s="25">
        <v>0</v>
      </c>
      <c r="D1802" s="25">
        <v>0</v>
      </c>
      <c r="E1802" s="18">
        <f t="shared" si="349"/>
        <v>0</v>
      </c>
    </row>
    <row r="1803" spans="1:5" ht="15" x14ac:dyDescent="0.2">
      <c r="A1803" s="7">
        <v>480810</v>
      </c>
      <c r="B1803" s="3" t="s">
        <v>1205</v>
      </c>
      <c r="C1803" s="25">
        <v>0</v>
      </c>
      <c r="D1803" s="25">
        <v>0</v>
      </c>
      <c r="E1803" s="18">
        <f t="shared" si="349"/>
        <v>0</v>
      </c>
    </row>
    <row r="1804" spans="1:5" ht="15" x14ac:dyDescent="0.2">
      <c r="A1804" s="7">
        <v>480813</v>
      </c>
      <c r="B1804" s="3" t="s">
        <v>231</v>
      </c>
      <c r="C1804" s="25">
        <v>0</v>
      </c>
      <c r="D1804" s="25">
        <v>0</v>
      </c>
      <c r="E1804" s="18">
        <f t="shared" si="349"/>
        <v>0</v>
      </c>
    </row>
    <row r="1805" spans="1:5" ht="15" x14ac:dyDescent="0.2">
      <c r="A1805" s="7">
        <v>480815</v>
      </c>
      <c r="B1805" s="3" t="s">
        <v>1206</v>
      </c>
      <c r="C1805" s="25">
        <v>0</v>
      </c>
      <c r="D1805" s="25">
        <v>0</v>
      </c>
      <c r="E1805" s="18">
        <f t="shared" si="349"/>
        <v>0</v>
      </c>
    </row>
    <row r="1806" spans="1:5" ht="15" x14ac:dyDescent="0.2">
      <c r="A1806" s="7">
        <v>480817</v>
      </c>
      <c r="B1806" s="3" t="s">
        <v>256</v>
      </c>
      <c r="C1806" s="25">
        <v>0</v>
      </c>
      <c r="D1806" s="25">
        <v>0</v>
      </c>
      <c r="E1806" s="18">
        <f t="shared" si="349"/>
        <v>0</v>
      </c>
    </row>
    <row r="1807" spans="1:5" ht="15" x14ac:dyDescent="0.2">
      <c r="A1807" s="7">
        <v>480818</v>
      </c>
      <c r="B1807" s="3" t="s">
        <v>232</v>
      </c>
      <c r="C1807" s="25">
        <v>0</v>
      </c>
      <c r="D1807" s="25">
        <v>0</v>
      </c>
      <c r="E1807" s="18">
        <f t="shared" si="349"/>
        <v>0</v>
      </c>
    </row>
    <row r="1808" spans="1:5" ht="15" x14ac:dyDescent="0.2">
      <c r="A1808" s="7">
        <v>480820</v>
      </c>
      <c r="B1808" s="3" t="s">
        <v>229</v>
      </c>
      <c r="C1808" s="25">
        <v>0</v>
      </c>
      <c r="D1808" s="25">
        <v>0</v>
      </c>
      <c r="E1808" s="18">
        <f t="shared" si="349"/>
        <v>0</v>
      </c>
    </row>
    <row r="1809" spans="1:5" ht="15" x14ac:dyDescent="0.2">
      <c r="A1809" s="7">
        <v>480822</v>
      </c>
      <c r="B1809" s="3" t="s">
        <v>247</v>
      </c>
      <c r="C1809" s="25">
        <v>0</v>
      </c>
      <c r="D1809" s="25">
        <v>0</v>
      </c>
      <c r="E1809" s="18">
        <f t="shared" si="349"/>
        <v>0</v>
      </c>
    </row>
    <row r="1810" spans="1:5" ht="15" x14ac:dyDescent="0.2">
      <c r="A1810" s="7">
        <v>480823</v>
      </c>
      <c r="B1810" s="3" t="s">
        <v>1207</v>
      </c>
      <c r="C1810" s="25">
        <v>0</v>
      </c>
      <c r="D1810" s="25">
        <v>0</v>
      </c>
      <c r="E1810" s="18">
        <f t="shared" si="349"/>
        <v>0</v>
      </c>
    </row>
    <row r="1811" spans="1:5" ht="15" x14ac:dyDescent="0.2">
      <c r="A1811" s="7">
        <v>480824</v>
      </c>
      <c r="B1811" s="3" t="s">
        <v>1208</v>
      </c>
      <c r="C1811" s="25">
        <v>0</v>
      </c>
      <c r="D1811" s="25">
        <v>0</v>
      </c>
      <c r="E1811" s="18">
        <f t="shared" si="349"/>
        <v>0</v>
      </c>
    </row>
    <row r="1812" spans="1:5" ht="15" x14ac:dyDescent="0.2">
      <c r="A1812" s="7">
        <v>480825</v>
      </c>
      <c r="B1812" s="3" t="s">
        <v>1209</v>
      </c>
      <c r="C1812" s="25">
        <v>0</v>
      </c>
      <c r="D1812" s="25">
        <v>0</v>
      </c>
      <c r="E1812" s="18">
        <f t="shared" si="349"/>
        <v>0</v>
      </c>
    </row>
    <row r="1813" spans="1:5" ht="15" x14ac:dyDescent="0.2">
      <c r="A1813" s="7">
        <v>480826</v>
      </c>
      <c r="B1813" s="3" t="s">
        <v>1210</v>
      </c>
      <c r="C1813" s="25">
        <v>0</v>
      </c>
      <c r="D1813" s="25">
        <v>0</v>
      </c>
      <c r="E1813" s="18">
        <f t="shared" si="349"/>
        <v>0</v>
      </c>
    </row>
    <row r="1814" spans="1:5" ht="15" x14ac:dyDescent="0.2">
      <c r="A1814" s="7">
        <v>480827</v>
      </c>
      <c r="B1814" s="3" t="s">
        <v>1211</v>
      </c>
      <c r="C1814" s="25">
        <v>0</v>
      </c>
      <c r="D1814" s="25">
        <v>0</v>
      </c>
      <c r="E1814" s="18">
        <f t="shared" si="349"/>
        <v>0</v>
      </c>
    </row>
    <row r="1815" spans="1:5" ht="15" x14ac:dyDescent="0.2">
      <c r="A1815" s="7">
        <v>480828</v>
      </c>
      <c r="B1815" s="3" t="s">
        <v>243</v>
      </c>
      <c r="C1815" s="25">
        <v>0</v>
      </c>
      <c r="D1815" s="25">
        <v>0</v>
      </c>
      <c r="E1815" s="18">
        <f t="shared" si="349"/>
        <v>0</v>
      </c>
    </row>
    <row r="1816" spans="1:5" ht="15" x14ac:dyDescent="0.2">
      <c r="A1816" s="7">
        <v>480829</v>
      </c>
      <c r="B1816" s="3" t="s">
        <v>251</v>
      </c>
      <c r="C1816" s="25">
        <v>0</v>
      </c>
      <c r="D1816" s="25">
        <v>0</v>
      </c>
      <c r="E1816" s="18">
        <f t="shared" si="349"/>
        <v>0</v>
      </c>
    </row>
    <row r="1817" spans="1:5" ht="15" x14ac:dyDescent="0.2">
      <c r="A1817" s="7">
        <v>480832</v>
      </c>
      <c r="B1817" s="3" t="s">
        <v>1212</v>
      </c>
      <c r="C1817" s="25">
        <v>0</v>
      </c>
      <c r="D1817" s="25">
        <v>0</v>
      </c>
      <c r="E1817" s="18">
        <f t="shared" si="349"/>
        <v>0</v>
      </c>
    </row>
    <row r="1818" spans="1:5" ht="15" x14ac:dyDescent="0.2">
      <c r="A1818" s="7">
        <v>480833</v>
      </c>
      <c r="B1818" s="3" t="s">
        <v>1213</v>
      </c>
      <c r="C1818" s="25">
        <v>0</v>
      </c>
      <c r="D1818" s="25">
        <v>0</v>
      </c>
      <c r="E1818" s="18">
        <f t="shared" si="349"/>
        <v>0</v>
      </c>
    </row>
    <row r="1819" spans="1:5" ht="15" x14ac:dyDescent="0.2">
      <c r="A1819" s="7">
        <v>480834</v>
      </c>
      <c r="B1819" s="3" t="s">
        <v>1214</v>
      </c>
      <c r="C1819" s="25">
        <v>0</v>
      </c>
      <c r="D1819" s="25">
        <v>0</v>
      </c>
      <c r="E1819" s="18">
        <f t="shared" si="349"/>
        <v>0</v>
      </c>
    </row>
    <row r="1820" spans="1:5" ht="15" x14ac:dyDescent="0.2">
      <c r="A1820" s="7">
        <v>480835</v>
      </c>
      <c r="B1820" s="3" t="s">
        <v>126</v>
      </c>
      <c r="C1820" s="25">
        <v>0</v>
      </c>
      <c r="D1820" s="25">
        <v>0</v>
      </c>
      <c r="E1820" s="18">
        <f t="shared" si="349"/>
        <v>0</v>
      </c>
    </row>
    <row r="1821" spans="1:5" ht="15" x14ac:dyDescent="0.2">
      <c r="A1821" s="7">
        <v>480836</v>
      </c>
      <c r="B1821" s="3" t="s">
        <v>1215</v>
      </c>
      <c r="C1821" s="25">
        <v>0</v>
      </c>
      <c r="D1821" s="25">
        <v>0</v>
      </c>
      <c r="E1821" s="18">
        <f t="shared" si="349"/>
        <v>0</v>
      </c>
    </row>
    <row r="1822" spans="1:5" ht="15" x14ac:dyDescent="0.2">
      <c r="A1822" s="7">
        <v>480837</v>
      </c>
      <c r="B1822" s="3" t="s">
        <v>1216</v>
      </c>
      <c r="C1822" s="25">
        <v>0</v>
      </c>
      <c r="D1822" s="25">
        <v>0</v>
      </c>
      <c r="E1822" s="18">
        <f t="shared" si="349"/>
        <v>0</v>
      </c>
    </row>
    <row r="1823" spans="1:5" ht="15" x14ac:dyDescent="0.2">
      <c r="A1823" s="7">
        <v>480838</v>
      </c>
      <c r="B1823" s="3" t="s">
        <v>254</v>
      </c>
      <c r="C1823" s="25">
        <v>0</v>
      </c>
      <c r="D1823" s="25">
        <v>0</v>
      </c>
      <c r="E1823" s="18">
        <f t="shared" si="349"/>
        <v>0</v>
      </c>
    </row>
    <row r="1824" spans="1:5" ht="15" x14ac:dyDescent="0.2">
      <c r="A1824" s="7">
        <v>480839</v>
      </c>
      <c r="B1824" s="3" t="s">
        <v>255</v>
      </c>
      <c r="C1824" s="25">
        <v>0</v>
      </c>
      <c r="D1824" s="25">
        <v>0</v>
      </c>
      <c r="E1824" s="18">
        <f t="shared" si="349"/>
        <v>0</v>
      </c>
    </row>
    <row r="1825" spans="1:5" ht="15" x14ac:dyDescent="0.2">
      <c r="A1825" s="7">
        <v>480840</v>
      </c>
      <c r="B1825" s="3" t="s">
        <v>1217</v>
      </c>
      <c r="C1825" s="25">
        <v>0</v>
      </c>
      <c r="D1825" s="25">
        <v>0</v>
      </c>
      <c r="E1825" s="18">
        <f t="shared" si="349"/>
        <v>0</v>
      </c>
    </row>
    <row r="1826" spans="1:5" ht="15" x14ac:dyDescent="0.2">
      <c r="A1826" s="7">
        <v>480849</v>
      </c>
      <c r="B1826" s="3" t="s">
        <v>1218</v>
      </c>
      <c r="C1826" s="25">
        <v>0</v>
      </c>
      <c r="D1826" s="25">
        <v>0</v>
      </c>
      <c r="E1826" s="18">
        <f t="shared" si="349"/>
        <v>0</v>
      </c>
    </row>
    <row r="1827" spans="1:5" ht="15" x14ac:dyDescent="0.2">
      <c r="A1827" s="7">
        <v>480851</v>
      </c>
      <c r="B1827" s="3" t="s">
        <v>1219</v>
      </c>
      <c r="C1827" s="25">
        <v>0</v>
      </c>
      <c r="D1827" s="25">
        <v>0</v>
      </c>
      <c r="E1827" s="18">
        <f t="shared" si="349"/>
        <v>0</v>
      </c>
    </row>
    <row r="1828" spans="1:5" ht="15" x14ac:dyDescent="0.2">
      <c r="A1828" s="7">
        <v>480852</v>
      </c>
      <c r="B1828" s="3" t="s">
        <v>1220</v>
      </c>
      <c r="C1828" s="25">
        <v>0</v>
      </c>
      <c r="D1828" s="25">
        <v>0</v>
      </c>
      <c r="E1828" s="18">
        <f t="shared" si="349"/>
        <v>0</v>
      </c>
    </row>
    <row r="1829" spans="1:5" ht="15" x14ac:dyDescent="0.2">
      <c r="A1829" s="7">
        <v>480853</v>
      </c>
      <c r="B1829" s="3" t="s">
        <v>656</v>
      </c>
      <c r="C1829" s="25">
        <v>0</v>
      </c>
      <c r="D1829" s="25">
        <v>0</v>
      </c>
      <c r="E1829" s="18">
        <f t="shared" si="349"/>
        <v>0</v>
      </c>
    </row>
    <row r="1830" spans="1:5" ht="15" x14ac:dyDescent="0.2">
      <c r="A1830" s="7">
        <v>480854</v>
      </c>
      <c r="B1830" s="3" t="s">
        <v>657</v>
      </c>
      <c r="C1830" s="25">
        <v>0</v>
      </c>
      <c r="D1830" s="25">
        <v>0</v>
      </c>
      <c r="E1830" s="18">
        <f t="shared" si="349"/>
        <v>0</v>
      </c>
    </row>
    <row r="1831" spans="1:5" ht="15" x14ac:dyDescent="0.2">
      <c r="A1831" s="7">
        <v>480890</v>
      </c>
      <c r="B1831" s="3" t="s">
        <v>1221</v>
      </c>
      <c r="C1831" s="25">
        <v>0</v>
      </c>
      <c r="D1831" s="25">
        <v>0</v>
      </c>
      <c r="E1831" s="18">
        <f t="shared" si="349"/>
        <v>0</v>
      </c>
    </row>
    <row r="1832" spans="1:5" ht="15" x14ac:dyDescent="0.2">
      <c r="A1832" s="6">
        <v>4811</v>
      </c>
      <c r="B1832" s="4" t="s">
        <v>1222</v>
      </c>
      <c r="C1832" s="24">
        <f>SUM(C1833:C1837)</f>
        <v>0</v>
      </c>
      <c r="D1832" s="24">
        <f t="shared" ref="D1832:E1832" si="350">SUM(D1833:D1837)</f>
        <v>0</v>
      </c>
      <c r="E1832" s="17">
        <f t="shared" si="350"/>
        <v>0</v>
      </c>
    </row>
    <row r="1833" spans="1:5" ht="15" x14ac:dyDescent="0.2">
      <c r="A1833" s="7">
        <v>481101</v>
      </c>
      <c r="B1833" s="3" t="s">
        <v>38</v>
      </c>
      <c r="C1833" s="25">
        <v>0</v>
      </c>
      <c r="D1833" s="25">
        <v>0</v>
      </c>
      <c r="E1833" s="18">
        <f t="shared" ref="E1833:E1837" si="351">SUM(C1833:D1833)</f>
        <v>0</v>
      </c>
    </row>
    <row r="1834" spans="1:5" ht="15" x14ac:dyDescent="0.2">
      <c r="A1834" s="7">
        <v>481102</v>
      </c>
      <c r="B1834" s="3" t="s">
        <v>39</v>
      </c>
      <c r="C1834" s="25">
        <v>0</v>
      </c>
      <c r="D1834" s="25">
        <v>0</v>
      </c>
      <c r="E1834" s="18">
        <f t="shared" si="351"/>
        <v>0</v>
      </c>
    </row>
    <row r="1835" spans="1:5" ht="15" x14ac:dyDescent="0.2">
      <c r="A1835" s="7">
        <v>481103</v>
      </c>
      <c r="B1835" s="3" t="s">
        <v>35</v>
      </c>
      <c r="C1835" s="25">
        <v>0</v>
      </c>
      <c r="D1835" s="25">
        <v>0</v>
      </c>
      <c r="E1835" s="18">
        <f t="shared" si="351"/>
        <v>0</v>
      </c>
    </row>
    <row r="1836" spans="1:5" ht="15" x14ac:dyDescent="0.2">
      <c r="A1836" s="7">
        <v>481104</v>
      </c>
      <c r="B1836" s="3" t="s">
        <v>36</v>
      </c>
      <c r="C1836" s="25">
        <v>0</v>
      </c>
      <c r="D1836" s="25">
        <v>0</v>
      </c>
      <c r="E1836" s="18">
        <f t="shared" si="351"/>
        <v>0</v>
      </c>
    </row>
    <row r="1837" spans="1:5" ht="15" x14ac:dyDescent="0.2">
      <c r="A1837" s="7">
        <v>481105</v>
      </c>
      <c r="B1837" s="3" t="s">
        <v>37</v>
      </c>
      <c r="C1837" s="25">
        <v>0</v>
      </c>
      <c r="D1837" s="25">
        <v>0</v>
      </c>
      <c r="E1837" s="18">
        <f t="shared" si="351"/>
        <v>0</v>
      </c>
    </row>
    <row r="1838" spans="1:5" ht="15" x14ac:dyDescent="0.2">
      <c r="A1838" s="6">
        <v>4812</v>
      </c>
      <c r="B1838" s="2" t="s">
        <v>1223</v>
      </c>
      <c r="C1838" s="24">
        <f>SUM(C1839:C1843)</f>
        <v>0</v>
      </c>
      <c r="D1838" s="24">
        <f t="shared" ref="D1838:E1838" si="352">SUM(D1839:D1843)</f>
        <v>0</v>
      </c>
      <c r="E1838" s="17">
        <f t="shared" si="352"/>
        <v>0</v>
      </c>
    </row>
    <row r="1839" spans="1:5" ht="15" x14ac:dyDescent="0.2">
      <c r="A1839" s="7">
        <v>481201</v>
      </c>
      <c r="B1839" s="3" t="s">
        <v>38</v>
      </c>
      <c r="C1839" s="25">
        <v>0</v>
      </c>
      <c r="D1839" s="25">
        <v>0</v>
      </c>
      <c r="E1839" s="18">
        <f t="shared" ref="E1839:E1843" si="353">SUM(C1839:D1839)</f>
        <v>0</v>
      </c>
    </row>
    <row r="1840" spans="1:5" ht="15" x14ac:dyDescent="0.2">
      <c r="A1840" s="7">
        <v>481202</v>
      </c>
      <c r="B1840" s="3" t="s">
        <v>39</v>
      </c>
      <c r="C1840" s="25">
        <v>0</v>
      </c>
      <c r="D1840" s="25">
        <v>0</v>
      </c>
      <c r="E1840" s="18">
        <f t="shared" si="353"/>
        <v>0</v>
      </c>
    </row>
    <row r="1841" spans="1:5" ht="15" x14ac:dyDescent="0.2">
      <c r="A1841" s="7">
        <v>481203</v>
      </c>
      <c r="B1841" s="3" t="s">
        <v>35</v>
      </c>
      <c r="C1841" s="25">
        <v>0</v>
      </c>
      <c r="D1841" s="25">
        <v>0</v>
      </c>
      <c r="E1841" s="18">
        <f t="shared" si="353"/>
        <v>0</v>
      </c>
    </row>
    <row r="1842" spans="1:5" ht="15" x14ac:dyDescent="0.2">
      <c r="A1842" s="7">
        <v>481204</v>
      </c>
      <c r="B1842" s="3" t="s">
        <v>36</v>
      </c>
      <c r="C1842" s="25">
        <v>0</v>
      </c>
      <c r="D1842" s="25">
        <v>0</v>
      </c>
      <c r="E1842" s="18">
        <f t="shared" si="353"/>
        <v>0</v>
      </c>
    </row>
    <row r="1843" spans="1:5" ht="15" x14ac:dyDescent="0.2">
      <c r="A1843" s="7">
        <v>481205</v>
      </c>
      <c r="B1843" s="3" t="s">
        <v>37</v>
      </c>
      <c r="C1843" s="25">
        <v>0</v>
      </c>
      <c r="D1843" s="25">
        <v>0</v>
      </c>
      <c r="E1843" s="18">
        <f t="shared" si="353"/>
        <v>0</v>
      </c>
    </row>
    <row r="1844" spans="1:5" ht="15" x14ac:dyDescent="0.2">
      <c r="A1844" s="6">
        <v>4813</v>
      </c>
      <c r="B1844" s="2" t="s">
        <v>1224</v>
      </c>
      <c r="C1844" s="24">
        <f>SUM(C1845:C1849)</f>
        <v>0</v>
      </c>
      <c r="D1844" s="24">
        <f t="shared" ref="D1844:E1844" si="354">SUM(D1845:D1849)</f>
        <v>0</v>
      </c>
      <c r="E1844" s="17">
        <f t="shared" si="354"/>
        <v>0</v>
      </c>
    </row>
    <row r="1845" spans="1:5" ht="15" x14ac:dyDescent="0.2">
      <c r="A1845" s="7">
        <v>481301</v>
      </c>
      <c r="B1845" s="3" t="s">
        <v>38</v>
      </c>
      <c r="C1845" s="25">
        <v>0</v>
      </c>
      <c r="D1845" s="25">
        <v>0</v>
      </c>
      <c r="E1845" s="18">
        <f t="shared" ref="E1845:E1849" si="355">SUM(C1845:D1845)</f>
        <v>0</v>
      </c>
    </row>
    <row r="1846" spans="1:5" ht="15" x14ac:dyDescent="0.2">
      <c r="A1846" s="7">
        <v>481302</v>
      </c>
      <c r="B1846" s="3" t="s">
        <v>39</v>
      </c>
      <c r="C1846" s="25">
        <v>0</v>
      </c>
      <c r="D1846" s="25">
        <v>0</v>
      </c>
      <c r="E1846" s="18">
        <f t="shared" si="355"/>
        <v>0</v>
      </c>
    </row>
    <row r="1847" spans="1:5" ht="15" x14ac:dyDescent="0.2">
      <c r="A1847" s="7">
        <v>481303</v>
      </c>
      <c r="B1847" s="3" t="s">
        <v>35</v>
      </c>
      <c r="C1847" s="25">
        <v>0</v>
      </c>
      <c r="D1847" s="25">
        <v>0</v>
      </c>
      <c r="E1847" s="18">
        <f t="shared" si="355"/>
        <v>0</v>
      </c>
    </row>
    <row r="1848" spans="1:5" ht="15" x14ac:dyDescent="0.2">
      <c r="A1848" s="7">
        <v>481304</v>
      </c>
      <c r="B1848" s="3" t="s">
        <v>36</v>
      </c>
      <c r="C1848" s="25">
        <v>0</v>
      </c>
      <c r="D1848" s="25">
        <v>0</v>
      </c>
      <c r="E1848" s="18">
        <f t="shared" si="355"/>
        <v>0</v>
      </c>
    </row>
    <row r="1849" spans="1:5" ht="15" x14ac:dyDescent="0.2">
      <c r="A1849" s="7">
        <v>481305</v>
      </c>
      <c r="B1849" s="3" t="s">
        <v>37</v>
      </c>
      <c r="C1849" s="25">
        <v>0</v>
      </c>
      <c r="D1849" s="25">
        <v>0</v>
      </c>
      <c r="E1849" s="18">
        <f t="shared" si="355"/>
        <v>0</v>
      </c>
    </row>
    <row r="1850" spans="1:5" ht="15" x14ac:dyDescent="0.2">
      <c r="A1850" s="6">
        <v>4819</v>
      </c>
      <c r="B1850" s="2" t="s">
        <v>1225</v>
      </c>
      <c r="C1850" s="24">
        <f>SUM(C1851:C1852)</f>
        <v>0</v>
      </c>
      <c r="D1850" s="24">
        <f t="shared" ref="D1850:E1850" si="356">SUM(D1851:D1852)</f>
        <v>0</v>
      </c>
      <c r="E1850" s="17">
        <f t="shared" si="356"/>
        <v>0</v>
      </c>
    </row>
    <row r="1851" spans="1:5" ht="15" x14ac:dyDescent="0.2">
      <c r="A1851" s="7">
        <v>481901</v>
      </c>
      <c r="B1851" s="3" t="s">
        <v>1226</v>
      </c>
      <c r="C1851" s="25">
        <v>0</v>
      </c>
      <c r="D1851" s="25">
        <v>0</v>
      </c>
      <c r="E1851" s="18">
        <f t="shared" ref="E1851:E1852" si="357">SUM(C1851:D1851)</f>
        <v>0</v>
      </c>
    </row>
    <row r="1852" spans="1:5" ht="15" x14ac:dyDescent="0.2">
      <c r="A1852" s="7">
        <v>481902</v>
      </c>
      <c r="B1852" s="3" t="s">
        <v>1227</v>
      </c>
      <c r="C1852" s="25">
        <v>0</v>
      </c>
      <c r="D1852" s="25">
        <v>0</v>
      </c>
      <c r="E1852" s="18">
        <f t="shared" si="357"/>
        <v>0</v>
      </c>
    </row>
    <row r="1853" spans="1:5" ht="15" x14ac:dyDescent="0.2">
      <c r="A1853" s="6">
        <v>4823</v>
      </c>
      <c r="B1853" s="2" t="s">
        <v>1228</v>
      </c>
      <c r="C1853" s="24">
        <f>SUM(C1854:C1857)</f>
        <v>0</v>
      </c>
      <c r="D1853" s="24">
        <f t="shared" ref="D1853:E1853" si="358">SUM(D1854:D1857)</f>
        <v>0</v>
      </c>
      <c r="E1853" s="17">
        <f t="shared" si="358"/>
        <v>0</v>
      </c>
    </row>
    <row r="1854" spans="1:5" ht="15" x14ac:dyDescent="0.2">
      <c r="A1854" s="7">
        <v>482301</v>
      </c>
      <c r="B1854" s="3" t="s">
        <v>628</v>
      </c>
      <c r="C1854" s="25">
        <v>0</v>
      </c>
      <c r="D1854" s="25">
        <v>0</v>
      </c>
      <c r="E1854" s="18">
        <f t="shared" ref="E1854:E1857" si="359">SUM(C1854:D1854)</f>
        <v>0</v>
      </c>
    </row>
    <row r="1855" spans="1:5" ht="15" x14ac:dyDescent="0.2">
      <c r="A1855" s="7">
        <v>482302</v>
      </c>
      <c r="B1855" s="3" t="s">
        <v>629</v>
      </c>
      <c r="C1855" s="25">
        <v>0</v>
      </c>
      <c r="D1855" s="25">
        <v>0</v>
      </c>
      <c r="E1855" s="18">
        <f t="shared" si="359"/>
        <v>0</v>
      </c>
    </row>
    <row r="1856" spans="1:5" ht="15" x14ac:dyDescent="0.2">
      <c r="A1856" s="7">
        <v>482303</v>
      </c>
      <c r="B1856" s="3" t="s">
        <v>630</v>
      </c>
      <c r="C1856" s="25">
        <v>0</v>
      </c>
      <c r="D1856" s="25">
        <v>0</v>
      </c>
      <c r="E1856" s="18">
        <f t="shared" si="359"/>
        <v>0</v>
      </c>
    </row>
    <row r="1857" spans="1:5" ht="15" x14ac:dyDescent="0.2">
      <c r="A1857" s="7">
        <v>482304</v>
      </c>
      <c r="B1857" s="3" t="s">
        <v>631</v>
      </c>
      <c r="C1857" s="25">
        <v>0</v>
      </c>
      <c r="D1857" s="25">
        <v>0</v>
      </c>
      <c r="E1857" s="18">
        <f t="shared" si="359"/>
        <v>0</v>
      </c>
    </row>
    <row r="1858" spans="1:5" ht="15" x14ac:dyDescent="0.2">
      <c r="A1858" s="6">
        <v>4825</v>
      </c>
      <c r="B1858" s="2" t="s">
        <v>1229</v>
      </c>
      <c r="C1858" s="24">
        <f>SUM(C1859:C1876)</f>
        <v>0</v>
      </c>
      <c r="D1858" s="24">
        <f t="shared" ref="D1858:E1858" si="360">SUM(D1859:D1876)</f>
        <v>0</v>
      </c>
      <c r="E1858" s="17">
        <f t="shared" si="360"/>
        <v>0</v>
      </c>
    </row>
    <row r="1859" spans="1:5" ht="15" x14ac:dyDescent="0.2">
      <c r="A1859" s="7">
        <v>482501</v>
      </c>
      <c r="B1859" s="3" t="s">
        <v>549</v>
      </c>
      <c r="C1859" s="25">
        <v>0</v>
      </c>
      <c r="D1859" s="25">
        <v>0</v>
      </c>
      <c r="E1859" s="18">
        <f t="shared" ref="E1859:E1876" si="361">SUM(C1859:D1859)</f>
        <v>0</v>
      </c>
    </row>
    <row r="1860" spans="1:5" ht="15" x14ac:dyDescent="0.2">
      <c r="A1860" s="7">
        <v>482502</v>
      </c>
      <c r="B1860" s="3" t="s">
        <v>637</v>
      </c>
      <c r="C1860" s="25">
        <v>0</v>
      </c>
      <c r="D1860" s="25">
        <v>0</v>
      </c>
      <c r="E1860" s="18">
        <f t="shared" si="361"/>
        <v>0</v>
      </c>
    </row>
    <row r="1861" spans="1:5" ht="15" x14ac:dyDescent="0.2">
      <c r="A1861" s="7">
        <v>482503</v>
      </c>
      <c r="B1861" s="3" t="s">
        <v>226</v>
      </c>
      <c r="C1861" s="25">
        <v>0</v>
      </c>
      <c r="D1861" s="25">
        <v>0</v>
      </c>
      <c r="E1861" s="18">
        <f t="shared" si="361"/>
        <v>0</v>
      </c>
    </row>
    <row r="1862" spans="1:5" ht="15" x14ac:dyDescent="0.2">
      <c r="A1862" s="7">
        <v>482504</v>
      </c>
      <c r="B1862" s="3" t="s">
        <v>287</v>
      </c>
      <c r="C1862" s="25">
        <v>0</v>
      </c>
      <c r="D1862" s="25">
        <v>0</v>
      </c>
      <c r="E1862" s="18">
        <f t="shared" si="361"/>
        <v>0</v>
      </c>
    </row>
    <row r="1863" spans="1:5" ht="15" x14ac:dyDescent="0.2">
      <c r="A1863" s="7">
        <v>482505</v>
      </c>
      <c r="B1863" s="3" t="s">
        <v>638</v>
      </c>
      <c r="C1863" s="25">
        <v>0</v>
      </c>
      <c r="D1863" s="25">
        <v>0</v>
      </c>
      <c r="E1863" s="18">
        <f t="shared" si="361"/>
        <v>0</v>
      </c>
    </row>
    <row r="1864" spans="1:5" ht="15" x14ac:dyDescent="0.2">
      <c r="A1864" s="7">
        <v>482506</v>
      </c>
      <c r="B1864" s="3" t="s">
        <v>553</v>
      </c>
      <c r="C1864" s="25">
        <v>0</v>
      </c>
      <c r="D1864" s="25">
        <v>0</v>
      </c>
      <c r="E1864" s="18">
        <f t="shared" si="361"/>
        <v>0</v>
      </c>
    </row>
    <row r="1865" spans="1:5" ht="15" x14ac:dyDescent="0.2">
      <c r="A1865" s="7">
        <v>482507</v>
      </c>
      <c r="B1865" s="3" t="s">
        <v>639</v>
      </c>
      <c r="C1865" s="25">
        <v>0</v>
      </c>
      <c r="D1865" s="25">
        <v>0</v>
      </c>
      <c r="E1865" s="18">
        <f t="shared" si="361"/>
        <v>0</v>
      </c>
    </row>
    <row r="1866" spans="1:5" ht="15" x14ac:dyDescent="0.2">
      <c r="A1866" s="7">
        <v>482508</v>
      </c>
      <c r="B1866" s="3" t="s">
        <v>554</v>
      </c>
      <c r="C1866" s="25">
        <v>0</v>
      </c>
      <c r="D1866" s="25">
        <v>0</v>
      </c>
      <c r="E1866" s="18">
        <f t="shared" si="361"/>
        <v>0</v>
      </c>
    </row>
    <row r="1867" spans="1:5" ht="15" x14ac:dyDescent="0.2">
      <c r="A1867" s="7">
        <v>482509</v>
      </c>
      <c r="B1867" s="3" t="s">
        <v>640</v>
      </c>
      <c r="C1867" s="25">
        <v>0</v>
      </c>
      <c r="D1867" s="25">
        <v>0</v>
      </c>
      <c r="E1867" s="18">
        <f t="shared" si="361"/>
        <v>0</v>
      </c>
    </row>
    <row r="1868" spans="1:5" ht="15" x14ac:dyDescent="0.2">
      <c r="A1868" s="7">
        <v>482510</v>
      </c>
      <c r="B1868" s="3" t="s">
        <v>555</v>
      </c>
      <c r="C1868" s="25">
        <v>0</v>
      </c>
      <c r="D1868" s="25">
        <v>0</v>
      </c>
      <c r="E1868" s="18">
        <f t="shared" si="361"/>
        <v>0</v>
      </c>
    </row>
    <row r="1869" spans="1:5" ht="15" x14ac:dyDescent="0.2">
      <c r="A1869" s="7">
        <v>482511</v>
      </c>
      <c r="B1869" s="3" t="s">
        <v>641</v>
      </c>
      <c r="C1869" s="25">
        <v>0</v>
      </c>
      <c r="D1869" s="25">
        <v>0</v>
      </c>
      <c r="E1869" s="18">
        <f t="shared" si="361"/>
        <v>0</v>
      </c>
    </row>
    <row r="1870" spans="1:5" ht="15" x14ac:dyDescent="0.2">
      <c r="A1870" s="7">
        <v>482512</v>
      </c>
      <c r="B1870" s="3" t="s">
        <v>642</v>
      </c>
      <c r="C1870" s="25">
        <v>0</v>
      </c>
      <c r="D1870" s="25">
        <v>0</v>
      </c>
      <c r="E1870" s="18">
        <f t="shared" si="361"/>
        <v>0</v>
      </c>
    </row>
    <row r="1871" spans="1:5" ht="15" x14ac:dyDescent="0.2">
      <c r="A1871" s="7">
        <v>482513</v>
      </c>
      <c r="B1871" s="3" t="s">
        <v>643</v>
      </c>
      <c r="C1871" s="25">
        <v>0</v>
      </c>
      <c r="D1871" s="25">
        <v>0</v>
      </c>
      <c r="E1871" s="18">
        <f t="shared" si="361"/>
        <v>0</v>
      </c>
    </row>
    <row r="1872" spans="1:5" ht="15" x14ac:dyDescent="0.2">
      <c r="A1872" s="7">
        <v>482514</v>
      </c>
      <c r="B1872" s="3" t="s">
        <v>644</v>
      </c>
      <c r="C1872" s="25">
        <v>0</v>
      </c>
      <c r="D1872" s="25">
        <v>0</v>
      </c>
      <c r="E1872" s="18">
        <f t="shared" si="361"/>
        <v>0</v>
      </c>
    </row>
    <row r="1873" spans="1:5" ht="15" x14ac:dyDescent="0.2">
      <c r="A1873" s="7">
        <v>482515</v>
      </c>
      <c r="B1873" s="3" t="s">
        <v>645</v>
      </c>
      <c r="C1873" s="25">
        <v>0</v>
      </c>
      <c r="D1873" s="25">
        <v>0</v>
      </c>
      <c r="E1873" s="18">
        <f t="shared" si="361"/>
        <v>0</v>
      </c>
    </row>
    <row r="1874" spans="1:5" ht="15" x14ac:dyDescent="0.2">
      <c r="A1874" s="7">
        <v>482516</v>
      </c>
      <c r="B1874" s="3" t="s">
        <v>646</v>
      </c>
      <c r="C1874" s="25">
        <v>0</v>
      </c>
      <c r="D1874" s="25">
        <v>0</v>
      </c>
      <c r="E1874" s="18">
        <f t="shared" si="361"/>
        <v>0</v>
      </c>
    </row>
    <row r="1875" spans="1:5" ht="15" x14ac:dyDescent="0.2">
      <c r="A1875" s="7">
        <v>482517</v>
      </c>
      <c r="B1875" s="3" t="s">
        <v>647</v>
      </c>
      <c r="C1875" s="25">
        <v>0</v>
      </c>
      <c r="D1875" s="25">
        <v>0</v>
      </c>
      <c r="E1875" s="18">
        <f t="shared" si="361"/>
        <v>0</v>
      </c>
    </row>
    <row r="1876" spans="1:5" ht="15" x14ac:dyDescent="0.2">
      <c r="A1876" s="7">
        <v>482518</v>
      </c>
      <c r="B1876" s="3" t="s">
        <v>648</v>
      </c>
      <c r="C1876" s="25">
        <v>0</v>
      </c>
      <c r="D1876" s="25">
        <v>0</v>
      </c>
      <c r="E1876" s="18">
        <f t="shared" si="361"/>
        <v>0</v>
      </c>
    </row>
    <row r="1877" spans="1:5" ht="15" x14ac:dyDescent="0.2">
      <c r="A1877" s="6">
        <v>4830</v>
      </c>
      <c r="B1877" s="2" t="s">
        <v>1230</v>
      </c>
      <c r="C1877" s="24">
        <f>SUM(C1878:C1886)</f>
        <v>0</v>
      </c>
      <c r="D1877" s="24">
        <f t="shared" ref="D1877:E1877" si="362">SUM(D1878:D1886)</f>
        <v>0</v>
      </c>
      <c r="E1877" s="17">
        <f t="shared" si="362"/>
        <v>0</v>
      </c>
    </row>
    <row r="1878" spans="1:5" ht="15" x14ac:dyDescent="0.2">
      <c r="A1878" s="7">
        <v>483001</v>
      </c>
      <c r="B1878" s="3" t="s">
        <v>551</v>
      </c>
      <c r="C1878" s="25">
        <v>0</v>
      </c>
      <c r="D1878" s="25">
        <v>0</v>
      </c>
      <c r="E1878" s="18">
        <f t="shared" ref="E1878:E1886" si="363">SUM(C1878:D1878)</f>
        <v>0</v>
      </c>
    </row>
    <row r="1879" spans="1:5" ht="15" x14ac:dyDescent="0.2">
      <c r="A1879" s="7">
        <v>483002</v>
      </c>
      <c r="B1879" s="3" t="s">
        <v>226</v>
      </c>
      <c r="C1879" s="25">
        <v>0</v>
      </c>
      <c r="D1879" s="25">
        <v>0</v>
      </c>
      <c r="E1879" s="18">
        <f t="shared" si="363"/>
        <v>0</v>
      </c>
    </row>
    <row r="1880" spans="1:5" ht="15" x14ac:dyDescent="0.2">
      <c r="A1880" s="7">
        <v>483003</v>
      </c>
      <c r="B1880" s="3" t="s">
        <v>1231</v>
      </c>
      <c r="C1880" s="25">
        <v>0</v>
      </c>
      <c r="D1880" s="25">
        <v>0</v>
      </c>
      <c r="E1880" s="18">
        <f t="shared" si="363"/>
        <v>0</v>
      </c>
    </row>
    <row r="1881" spans="1:5" ht="15" x14ac:dyDescent="0.2">
      <c r="A1881" s="7">
        <v>483004</v>
      </c>
      <c r="B1881" s="3" t="s">
        <v>287</v>
      </c>
      <c r="C1881" s="25">
        <v>0</v>
      </c>
      <c r="D1881" s="25">
        <v>0</v>
      </c>
      <c r="E1881" s="18">
        <f t="shared" si="363"/>
        <v>0</v>
      </c>
    </row>
    <row r="1882" spans="1:5" ht="15" x14ac:dyDescent="0.2">
      <c r="A1882" s="7">
        <v>483005</v>
      </c>
      <c r="B1882" s="3" t="s">
        <v>638</v>
      </c>
      <c r="C1882" s="25">
        <v>0</v>
      </c>
      <c r="D1882" s="25">
        <v>0</v>
      </c>
      <c r="E1882" s="18">
        <f t="shared" si="363"/>
        <v>0</v>
      </c>
    </row>
    <row r="1883" spans="1:5" ht="15" x14ac:dyDescent="0.2">
      <c r="A1883" s="7">
        <v>483006</v>
      </c>
      <c r="B1883" s="3" t="s">
        <v>553</v>
      </c>
      <c r="C1883" s="25">
        <v>0</v>
      </c>
      <c r="D1883" s="25">
        <v>0</v>
      </c>
      <c r="E1883" s="18">
        <f t="shared" si="363"/>
        <v>0</v>
      </c>
    </row>
    <row r="1884" spans="1:5" ht="15" x14ac:dyDescent="0.2">
      <c r="A1884" s="7">
        <v>483010</v>
      </c>
      <c r="B1884" s="3" t="s">
        <v>554</v>
      </c>
      <c r="C1884" s="25">
        <v>0</v>
      </c>
      <c r="D1884" s="25">
        <v>0</v>
      </c>
      <c r="E1884" s="18">
        <f t="shared" si="363"/>
        <v>0</v>
      </c>
    </row>
    <row r="1885" spans="1:5" ht="15" x14ac:dyDescent="0.2">
      <c r="A1885" s="7">
        <v>483012</v>
      </c>
      <c r="B1885" s="3" t="s">
        <v>639</v>
      </c>
      <c r="C1885" s="25">
        <v>0</v>
      </c>
      <c r="D1885" s="25">
        <v>0</v>
      </c>
      <c r="E1885" s="18">
        <f t="shared" si="363"/>
        <v>0</v>
      </c>
    </row>
    <row r="1886" spans="1:5" ht="15" x14ac:dyDescent="0.2">
      <c r="A1886" s="7">
        <v>483014</v>
      </c>
      <c r="B1886" s="3" t="s">
        <v>1232</v>
      </c>
      <c r="C1886" s="25">
        <v>0</v>
      </c>
      <c r="D1886" s="25">
        <v>0</v>
      </c>
      <c r="E1886" s="18">
        <f t="shared" si="363"/>
        <v>0</v>
      </c>
    </row>
    <row r="1887" spans="1:5" ht="15" x14ac:dyDescent="0.2">
      <c r="A1887" s="6">
        <v>5</v>
      </c>
      <c r="B1887" s="2" t="s">
        <v>1233</v>
      </c>
      <c r="C1887" s="24">
        <f>SUM(C1888,C2031,C2138,C2278,C2288,C2323,C2489)</f>
        <v>79199853</v>
      </c>
      <c r="D1887" s="24">
        <f>SUM(D1888,D2031,D2138,D2278,D2288,D2323,D2489)</f>
        <v>0</v>
      </c>
      <c r="E1887" s="28">
        <f>SUM(E1888,E2031,E2138,E2278,E2288,E2323,E2489)</f>
        <v>79199853</v>
      </c>
    </row>
    <row r="1888" spans="1:5" ht="15" x14ac:dyDescent="0.2">
      <c r="A1888" s="6">
        <v>51</v>
      </c>
      <c r="B1888" s="2" t="s">
        <v>1234</v>
      </c>
      <c r="C1888" s="24">
        <f>SUM(C1889,C1902,C1912,C1922,C1927,C1937,C1951,C2006)</f>
        <v>78793653</v>
      </c>
      <c r="D1888" s="24">
        <f>SUM(D1889,D1902,D1912,D1922,D1927,D1937,D1951,D2006)</f>
        <v>0</v>
      </c>
      <c r="E1888" s="28">
        <f>SUM(E1889,E1902,E1912,E1922,E1927,E1937,E1951,E2006)</f>
        <v>78793653</v>
      </c>
    </row>
    <row r="1889" spans="1:5" ht="15" x14ac:dyDescent="0.2">
      <c r="A1889" s="6">
        <v>5101</v>
      </c>
      <c r="B1889" s="2" t="s">
        <v>1235</v>
      </c>
      <c r="C1889" s="24">
        <f>SUM(C1890:C1901)</f>
        <v>26913720</v>
      </c>
      <c r="D1889" s="24">
        <f t="shared" ref="D1889:E1889" si="364">SUM(D1890:D1901)</f>
        <v>0</v>
      </c>
      <c r="E1889" s="28">
        <f t="shared" si="364"/>
        <v>26913720</v>
      </c>
    </row>
    <row r="1890" spans="1:5" ht="15" x14ac:dyDescent="0.2">
      <c r="A1890" s="7">
        <v>510101</v>
      </c>
      <c r="B1890" s="3" t="s">
        <v>1236</v>
      </c>
      <c r="C1890" s="25">
        <v>25226448</v>
      </c>
      <c r="D1890" s="25">
        <v>0</v>
      </c>
      <c r="E1890" s="29">
        <f t="shared" ref="E1890:E1901" si="365">SUM(C1890:D1890)</f>
        <v>25226448</v>
      </c>
    </row>
    <row r="1891" spans="1:5" ht="15" x14ac:dyDescent="0.2">
      <c r="A1891" s="7">
        <v>510102</v>
      </c>
      <c r="B1891" s="3" t="s">
        <v>1237</v>
      </c>
      <c r="C1891" s="25">
        <v>0</v>
      </c>
      <c r="D1891" s="25">
        <v>0</v>
      </c>
      <c r="E1891" s="29">
        <f t="shared" si="365"/>
        <v>0</v>
      </c>
    </row>
    <row r="1892" spans="1:5" ht="15" x14ac:dyDescent="0.2">
      <c r="A1892" s="7">
        <v>510103</v>
      </c>
      <c r="B1892" s="3" t="s">
        <v>1238</v>
      </c>
      <c r="C1892" s="25">
        <v>0</v>
      </c>
      <c r="D1892" s="25">
        <v>0</v>
      </c>
      <c r="E1892" s="18">
        <f t="shared" si="365"/>
        <v>0</v>
      </c>
    </row>
    <row r="1893" spans="1:5" ht="15" x14ac:dyDescent="0.2">
      <c r="A1893" s="7">
        <v>510105</v>
      </c>
      <c r="B1893" s="3" t="s">
        <v>827</v>
      </c>
      <c r="C1893" s="25">
        <v>0</v>
      </c>
      <c r="D1893" s="25">
        <v>0</v>
      </c>
      <c r="E1893" s="18">
        <f t="shared" si="365"/>
        <v>0</v>
      </c>
    </row>
    <row r="1894" spans="1:5" ht="15" x14ac:dyDescent="0.2">
      <c r="A1894" s="7">
        <v>510108</v>
      </c>
      <c r="B1894" s="3" t="s">
        <v>1239</v>
      </c>
      <c r="C1894" s="25">
        <v>0</v>
      </c>
      <c r="D1894" s="25">
        <v>0</v>
      </c>
      <c r="E1894" s="18">
        <f t="shared" si="365"/>
        <v>0</v>
      </c>
    </row>
    <row r="1895" spans="1:5" ht="15" x14ac:dyDescent="0.2">
      <c r="A1895" s="7">
        <v>510119</v>
      </c>
      <c r="B1895" s="3" t="s">
        <v>860</v>
      </c>
      <c r="C1895" s="25">
        <v>0</v>
      </c>
      <c r="D1895" s="25">
        <v>0</v>
      </c>
      <c r="E1895" s="29">
        <f t="shared" si="365"/>
        <v>0</v>
      </c>
    </row>
    <row r="1896" spans="1:5" ht="15" x14ac:dyDescent="0.2">
      <c r="A1896" s="7">
        <v>510123</v>
      </c>
      <c r="B1896" s="3" t="s">
        <v>1240</v>
      </c>
      <c r="C1896" s="25">
        <v>1687272</v>
      </c>
      <c r="D1896" s="25">
        <v>0</v>
      </c>
      <c r="E1896" s="29">
        <f t="shared" si="365"/>
        <v>1687272</v>
      </c>
    </row>
    <row r="1897" spans="1:5" ht="15" x14ac:dyDescent="0.2">
      <c r="A1897" s="7">
        <v>510145</v>
      </c>
      <c r="B1897" s="3" t="s">
        <v>1241</v>
      </c>
      <c r="C1897" s="25">
        <v>0</v>
      </c>
      <c r="D1897" s="25">
        <v>0</v>
      </c>
      <c r="E1897" s="18">
        <f t="shared" si="365"/>
        <v>0</v>
      </c>
    </row>
    <row r="1898" spans="1:5" ht="15" x14ac:dyDescent="0.2">
      <c r="A1898" s="7">
        <v>510151</v>
      </c>
      <c r="B1898" s="3" t="s">
        <v>1242</v>
      </c>
      <c r="C1898" s="25">
        <v>0</v>
      </c>
      <c r="D1898" s="25">
        <v>0</v>
      </c>
      <c r="E1898" s="18">
        <f t="shared" si="365"/>
        <v>0</v>
      </c>
    </row>
    <row r="1899" spans="1:5" ht="15" x14ac:dyDescent="0.2">
      <c r="A1899" s="7">
        <v>510159</v>
      </c>
      <c r="B1899" s="3" t="s">
        <v>1243</v>
      </c>
      <c r="C1899" s="25">
        <v>0</v>
      </c>
      <c r="D1899" s="25">
        <v>0</v>
      </c>
      <c r="E1899" s="18">
        <f t="shared" si="365"/>
        <v>0</v>
      </c>
    </row>
    <row r="1900" spans="1:5" ht="15" x14ac:dyDescent="0.2">
      <c r="A1900" s="7">
        <v>510160</v>
      </c>
      <c r="B1900" s="3" t="s">
        <v>1244</v>
      </c>
      <c r="C1900" s="25">
        <v>0</v>
      </c>
      <c r="D1900" s="25">
        <v>0</v>
      </c>
      <c r="E1900" s="29">
        <f t="shared" si="365"/>
        <v>0</v>
      </c>
    </row>
    <row r="1901" spans="1:5" ht="15" x14ac:dyDescent="0.2">
      <c r="A1901" s="7">
        <v>510163</v>
      </c>
      <c r="B1901" s="3" t="s">
        <v>1245</v>
      </c>
      <c r="C1901" s="25">
        <v>0</v>
      </c>
      <c r="D1901" s="25">
        <v>0</v>
      </c>
      <c r="E1901" s="18">
        <f t="shared" si="365"/>
        <v>0</v>
      </c>
    </row>
    <row r="1902" spans="1:5" ht="15" x14ac:dyDescent="0.2">
      <c r="A1902" s="6">
        <v>5102</v>
      </c>
      <c r="B1902" s="2" t="s">
        <v>1246</v>
      </c>
      <c r="C1902" s="24">
        <f>SUM(C1903:C1911)</f>
        <v>0</v>
      </c>
      <c r="D1902" s="24">
        <f t="shared" ref="D1902:E1902" si="366">SUM(D1903:D1911)</f>
        <v>0</v>
      </c>
      <c r="E1902" s="17">
        <f t="shared" si="366"/>
        <v>0</v>
      </c>
    </row>
    <row r="1903" spans="1:5" ht="15" x14ac:dyDescent="0.2">
      <c r="A1903" s="7">
        <v>510201</v>
      </c>
      <c r="B1903" s="3" t="s">
        <v>216</v>
      </c>
      <c r="C1903" s="25">
        <v>0</v>
      </c>
      <c r="D1903" s="25">
        <v>0</v>
      </c>
      <c r="E1903" s="18">
        <f t="shared" ref="E1903:E1911" si="367">SUM(C1903:D1903)</f>
        <v>0</v>
      </c>
    </row>
    <row r="1904" spans="1:5" ht="15" x14ac:dyDescent="0.2">
      <c r="A1904" s="7">
        <v>510202</v>
      </c>
      <c r="B1904" s="3" t="s">
        <v>1247</v>
      </c>
      <c r="C1904" s="25">
        <v>0</v>
      </c>
      <c r="D1904" s="25">
        <v>0</v>
      </c>
      <c r="E1904" s="18">
        <f t="shared" si="367"/>
        <v>0</v>
      </c>
    </row>
    <row r="1905" spans="1:5" ht="15" x14ac:dyDescent="0.2">
      <c r="A1905" s="7">
        <v>510203</v>
      </c>
      <c r="B1905" s="3" t="s">
        <v>243</v>
      </c>
      <c r="C1905" s="25">
        <v>0</v>
      </c>
      <c r="D1905" s="25">
        <v>0</v>
      </c>
      <c r="E1905" s="18">
        <f t="shared" si="367"/>
        <v>0</v>
      </c>
    </row>
    <row r="1906" spans="1:5" ht="15" x14ac:dyDescent="0.2">
      <c r="A1906" s="7">
        <v>510204</v>
      </c>
      <c r="B1906" s="3" t="s">
        <v>1248</v>
      </c>
      <c r="C1906" s="25">
        <v>0</v>
      </c>
      <c r="D1906" s="25">
        <v>0</v>
      </c>
      <c r="E1906" s="18">
        <f t="shared" si="367"/>
        <v>0</v>
      </c>
    </row>
    <row r="1907" spans="1:5" ht="15" x14ac:dyDescent="0.2">
      <c r="A1907" s="7">
        <v>510215</v>
      </c>
      <c r="B1907" s="3" t="s">
        <v>1249</v>
      </c>
      <c r="C1907" s="25">
        <v>0</v>
      </c>
      <c r="D1907" s="25">
        <v>0</v>
      </c>
      <c r="E1907" s="18">
        <f t="shared" si="367"/>
        <v>0</v>
      </c>
    </row>
    <row r="1908" spans="1:5" ht="15" x14ac:dyDescent="0.2">
      <c r="A1908" s="7">
        <v>510216</v>
      </c>
      <c r="B1908" s="3" t="s">
        <v>620</v>
      </c>
      <c r="C1908" s="25">
        <v>0</v>
      </c>
      <c r="D1908" s="25">
        <v>0</v>
      </c>
      <c r="E1908" s="18">
        <f t="shared" si="367"/>
        <v>0</v>
      </c>
    </row>
    <row r="1909" spans="1:5" ht="15" x14ac:dyDescent="0.2">
      <c r="A1909" s="7">
        <v>510217</v>
      </c>
      <c r="B1909" s="3" t="s">
        <v>894</v>
      </c>
      <c r="C1909" s="25">
        <v>0</v>
      </c>
      <c r="D1909" s="25">
        <v>0</v>
      </c>
      <c r="E1909" s="18">
        <f t="shared" si="367"/>
        <v>0</v>
      </c>
    </row>
    <row r="1910" spans="1:5" ht="15" x14ac:dyDescent="0.2">
      <c r="A1910" s="7">
        <v>510218</v>
      </c>
      <c r="B1910" s="3" t="s">
        <v>875</v>
      </c>
      <c r="C1910" s="25">
        <v>0</v>
      </c>
      <c r="D1910" s="25">
        <v>0</v>
      </c>
      <c r="E1910" s="18">
        <f t="shared" si="367"/>
        <v>0</v>
      </c>
    </row>
    <row r="1911" spans="1:5" ht="15" x14ac:dyDescent="0.2">
      <c r="A1911" s="7">
        <v>510290</v>
      </c>
      <c r="B1911" s="3" t="s">
        <v>1250</v>
      </c>
      <c r="C1911" s="25">
        <v>0</v>
      </c>
      <c r="D1911" s="25">
        <v>0</v>
      </c>
      <c r="E1911" s="18">
        <f t="shared" si="367"/>
        <v>0</v>
      </c>
    </row>
    <row r="1912" spans="1:5" ht="15" x14ac:dyDescent="0.2">
      <c r="A1912" s="6">
        <v>5103</v>
      </c>
      <c r="B1912" s="2" t="s">
        <v>1251</v>
      </c>
      <c r="C1912" s="24">
        <f>SUM(C1913:C1921)</f>
        <v>6940488</v>
      </c>
      <c r="D1912" s="24">
        <f t="shared" ref="D1912:E1912" si="368">SUM(D1913:D1921)</f>
        <v>0</v>
      </c>
      <c r="E1912" s="28">
        <f t="shared" si="368"/>
        <v>6940488</v>
      </c>
    </row>
    <row r="1913" spans="1:5" ht="15" x14ac:dyDescent="0.2">
      <c r="A1913" s="7">
        <v>510301</v>
      </c>
      <c r="B1913" s="3" t="s">
        <v>1252</v>
      </c>
      <c r="C1913" s="25">
        <v>0</v>
      </c>
      <c r="D1913" s="25">
        <v>0</v>
      </c>
      <c r="E1913" s="18">
        <f t="shared" ref="E1913:E1921" si="369">SUM(C1913:D1913)</f>
        <v>0</v>
      </c>
    </row>
    <row r="1914" spans="1:5" ht="15" x14ac:dyDescent="0.2">
      <c r="A1914" s="7">
        <v>510302</v>
      </c>
      <c r="B1914" s="3" t="s">
        <v>873</v>
      </c>
      <c r="C1914" s="25">
        <v>1009200</v>
      </c>
      <c r="D1914" s="25">
        <v>0</v>
      </c>
      <c r="E1914" s="29">
        <f t="shared" si="369"/>
        <v>1009200</v>
      </c>
    </row>
    <row r="1915" spans="1:5" ht="15" x14ac:dyDescent="0.2">
      <c r="A1915" s="7">
        <v>510303</v>
      </c>
      <c r="B1915" s="3" t="s">
        <v>1253</v>
      </c>
      <c r="C1915" s="25">
        <v>2144544</v>
      </c>
      <c r="D1915" s="25">
        <v>0</v>
      </c>
      <c r="E1915" s="29">
        <f t="shared" si="369"/>
        <v>2144544</v>
      </c>
    </row>
    <row r="1916" spans="1:5" ht="15" x14ac:dyDescent="0.2">
      <c r="A1916" s="7">
        <v>510304</v>
      </c>
      <c r="B1916" s="3" t="s">
        <v>1254</v>
      </c>
      <c r="C1916" s="25">
        <v>0</v>
      </c>
      <c r="D1916" s="25">
        <v>0</v>
      </c>
      <c r="E1916" s="18">
        <f t="shared" si="369"/>
        <v>0</v>
      </c>
    </row>
    <row r="1917" spans="1:5" ht="15" x14ac:dyDescent="0.2">
      <c r="A1917" s="7">
        <v>510305</v>
      </c>
      <c r="B1917" s="3" t="s">
        <v>1255</v>
      </c>
      <c r="C1917" s="25">
        <v>759000</v>
      </c>
      <c r="D1917" s="25">
        <v>0</v>
      </c>
      <c r="E1917" s="29">
        <f t="shared" si="369"/>
        <v>759000</v>
      </c>
    </row>
    <row r="1918" spans="1:5" ht="15" x14ac:dyDescent="0.2">
      <c r="A1918" s="7">
        <v>510306</v>
      </c>
      <c r="B1918" s="3" t="s">
        <v>1256</v>
      </c>
      <c r="C1918" s="25">
        <v>0</v>
      </c>
      <c r="D1918" s="25">
        <v>0</v>
      </c>
      <c r="E1918" s="18">
        <f t="shared" si="369"/>
        <v>0</v>
      </c>
    </row>
    <row r="1919" spans="1:5" ht="15" x14ac:dyDescent="0.2">
      <c r="A1919" s="7">
        <v>510307</v>
      </c>
      <c r="B1919" s="3" t="s">
        <v>1257</v>
      </c>
      <c r="C1919" s="25">
        <v>3027744</v>
      </c>
      <c r="D1919" s="25">
        <v>0</v>
      </c>
      <c r="E1919" s="29">
        <f t="shared" si="369"/>
        <v>3027744</v>
      </c>
    </row>
    <row r="1920" spans="1:5" ht="15" x14ac:dyDescent="0.2">
      <c r="A1920" s="7">
        <v>510308</v>
      </c>
      <c r="B1920" s="3" t="s">
        <v>874</v>
      </c>
      <c r="C1920" s="25">
        <v>0</v>
      </c>
      <c r="D1920" s="25">
        <v>0</v>
      </c>
      <c r="E1920" s="18">
        <f t="shared" si="369"/>
        <v>0</v>
      </c>
    </row>
    <row r="1921" spans="1:5" ht="15" x14ac:dyDescent="0.2">
      <c r="A1921" s="7">
        <v>510390</v>
      </c>
      <c r="B1921" s="3" t="s">
        <v>1258</v>
      </c>
      <c r="C1921" s="25">
        <v>0</v>
      </c>
      <c r="D1921" s="25">
        <v>0</v>
      </c>
      <c r="E1921" s="18">
        <f t="shared" si="369"/>
        <v>0</v>
      </c>
    </row>
    <row r="1922" spans="1:5" ht="15" x14ac:dyDescent="0.2">
      <c r="A1922" s="6">
        <v>5104</v>
      </c>
      <c r="B1922" s="2" t="s">
        <v>1259</v>
      </c>
      <c r="C1922" s="24">
        <f>SUM(C1923:C1926)</f>
        <v>1262400</v>
      </c>
      <c r="D1922" s="24">
        <f t="shared" ref="D1922:E1922" si="370">SUM(D1923:D1926)</f>
        <v>0</v>
      </c>
      <c r="E1922" s="28">
        <f t="shared" si="370"/>
        <v>1262400</v>
      </c>
    </row>
    <row r="1923" spans="1:5" ht="15" x14ac:dyDescent="0.2">
      <c r="A1923" s="7">
        <v>510401</v>
      </c>
      <c r="B1923" s="3" t="s">
        <v>1260</v>
      </c>
      <c r="C1923" s="25">
        <v>757200</v>
      </c>
      <c r="D1923" s="25">
        <v>0</v>
      </c>
      <c r="E1923" s="29">
        <f t="shared" ref="E1923:E1926" si="371">SUM(C1923:D1923)</f>
        <v>757200</v>
      </c>
    </row>
    <row r="1924" spans="1:5" ht="15" x14ac:dyDescent="0.2">
      <c r="A1924" s="7">
        <v>510402</v>
      </c>
      <c r="B1924" s="3" t="s">
        <v>1261</v>
      </c>
      <c r="C1924" s="25">
        <v>505200</v>
      </c>
      <c r="D1924" s="25">
        <v>0</v>
      </c>
      <c r="E1924" s="29">
        <f t="shared" si="371"/>
        <v>505200</v>
      </c>
    </row>
    <row r="1925" spans="1:5" ht="15" x14ac:dyDescent="0.2">
      <c r="A1925" s="7">
        <v>510403</v>
      </c>
      <c r="B1925" s="3" t="s">
        <v>1262</v>
      </c>
      <c r="C1925" s="25">
        <v>0</v>
      </c>
      <c r="D1925" s="25">
        <v>0</v>
      </c>
      <c r="E1925" s="29">
        <f t="shared" si="371"/>
        <v>0</v>
      </c>
    </row>
    <row r="1926" spans="1:5" ht="15" x14ac:dyDescent="0.2">
      <c r="A1926" s="7">
        <v>510404</v>
      </c>
      <c r="B1926" s="3" t="s">
        <v>1263</v>
      </c>
      <c r="C1926" s="25">
        <v>0</v>
      </c>
      <c r="D1926" s="25">
        <v>0</v>
      </c>
      <c r="E1926" s="29">
        <f t="shared" si="371"/>
        <v>0</v>
      </c>
    </row>
    <row r="1927" spans="1:5" ht="15" x14ac:dyDescent="0.2">
      <c r="A1927" s="6">
        <v>5107</v>
      </c>
      <c r="B1927" s="2" t="s">
        <v>1264</v>
      </c>
      <c r="C1927" s="24">
        <f>SUM(C1928:C1936)</f>
        <v>7178141</v>
      </c>
      <c r="D1927" s="24">
        <f t="shared" ref="D1927:E1927" si="372">SUM(D1928:D1936)</f>
        <v>0</v>
      </c>
      <c r="E1927" s="28">
        <f t="shared" si="372"/>
        <v>7178141</v>
      </c>
    </row>
    <row r="1928" spans="1:5" ht="15" x14ac:dyDescent="0.2">
      <c r="A1928" s="7">
        <v>510701</v>
      </c>
      <c r="B1928" s="3" t="s">
        <v>856</v>
      </c>
      <c r="C1928" s="25">
        <v>875918</v>
      </c>
      <c r="D1928" s="25">
        <v>0</v>
      </c>
      <c r="E1928" s="29">
        <f t="shared" ref="E1928:E1936" si="373">SUM(C1928:D1928)</f>
        <v>875918</v>
      </c>
    </row>
    <row r="1929" spans="1:5" ht="15" x14ac:dyDescent="0.2">
      <c r="A1929" s="7">
        <v>510702</v>
      </c>
      <c r="B1929" s="3" t="s">
        <v>854</v>
      </c>
      <c r="C1929" s="25">
        <v>2242810</v>
      </c>
      <c r="D1929" s="25">
        <v>0</v>
      </c>
      <c r="E1929" s="29">
        <f t="shared" si="373"/>
        <v>2242810</v>
      </c>
    </row>
    <row r="1930" spans="1:5" ht="15" x14ac:dyDescent="0.2">
      <c r="A1930" s="7">
        <v>510703</v>
      </c>
      <c r="B1930" s="3" t="s">
        <v>1265</v>
      </c>
      <c r="C1930" s="25">
        <v>269137</v>
      </c>
      <c r="D1930" s="25">
        <v>0</v>
      </c>
      <c r="E1930" s="18">
        <f t="shared" si="373"/>
        <v>269137</v>
      </c>
    </row>
    <row r="1931" spans="1:5" ht="15" x14ac:dyDescent="0.2">
      <c r="A1931" s="7">
        <v>510704</v>
      </c>
      <c r="B1931" s="3" t="s">
        <v>857</v>
      </c>
      <c r="C1931" s="25">
        <v>0</v>
      </c>
      <c r="D1931" s="25">
        <v>0</v>
      </c>
      <c r="E1931" s="29">
        <f t="shared" si="373"/>
        <v>0</v>
      </c>
    </row>
    <row r="1932" spans="1:5" ht="15" x14ac:dyDescent="0.2">
      <c r="A1932" s="7">
        <v>510705</v>
      </c>
      <c r="B1932" s="3" t="s">
        <v>859</v>
      </c>
      <c r="C1932" s="25">
        <v>2102205</v>
      </c>
      <c r="D1932" s="25">
        <v>0</v>
      </c>
      <c r="E1932" s="29">
        <f t="shared" si="373"/>
        <v>2102205</v>
      </c>
    </row>
    <row r="1933" spans="1:5" ht="15" x14ac:dyDescent="0.2">
      <c r="A1933" s="7">
        <v>510706</v>
      </c>
      <c r="B1933" s="3" t="s">
        <v>858</v>
      </c>
      <c r="C1933" s="25">
        <v>1121405</v>
      </c>
      <c r="D1933" s="25">
        <v>0</v>
      </c>
      <c r="E1933" s="29">
        <f t="shared" si="373"/>
        <v>1121405</v>
      </c>
    </row>
    <row r="1934" spans="1:5" ht="15" x14ac:dyDescent="0.2">
      <c r="A1934" s="7">
        <v>510708</v>
      </c>
      <c r="B1934" s="3" t="s">
        <v>879</v>
      </c>
      <c r="C1934" s="25">
        <v>0</v>
      </c>
      <c r="D1934" s="25">
        <v>0</v>
      </c>
      <c r="E1934" s="18">
        <f t="shared" si="373"/>
        <v>0</v>
      </c>
    </row>
    <row r="1935" spans="1:5" ht="15" x14ac:dyDescent="0.2">
      <c r="A1935" s="7">
        <v>510790</v>
      </c>
      <c r="B1935" s="3" t="s">
        <v>861</v>
      </c>
      <c r="C1935" s="25">
        <v>0</v>
      </c>
      <c r="D1935" s="25">
        <v>0</v>
      </c>
      <c r="E1935" s="18">
        <f t="shared" si="373"/>
        <v>0</v>
      </c>
    </row>
    <row r="1936" spans="1:5" ht="15" x14ac:dyDescent="0.2">
      <c r="A1936" s="7">
        <v>510795</v>
      </c>
      <c r="B1936" s="3" t="s">
        <v>1266</v>
      </c>
      <c r="C1936" s="25">
        <v>566666</v>
      </c>
      <c r="D1936" s="25">
        <v>0</v>
      </c>
      <c r="E1936" s="18">
        <f t="shared" si="373"/>
        <v>566666</v>
      </c>
    </row>
    <row r="1937" spans="1:5" ht="15" x14ac:dyDescent="0.2">
      <c r="A1937" s="6">
        <v>5108</v>
      </c>
      <c r="B1937" s="2" t="s">
        <v>1267</v>
      </c>
      <c r="C1937" s="24">
        <f>SUM(C1938:C1950)</f>
        <v>7330000</v>
      </c>
      <c r="D1937" s="24">
        <f t="shared" ref="D1937:E1937" si="374">SUM(D1938:D1950)</f>
        <v>0</v>
      </c>
      <c r="E1937" s="28">
        <f t="shared" si="374"/>
        <v>7330000</v>
      </c>
    </row>
    <row r="1938" spans="1:5" ht="15" x14ac:dyDescent="0.2">
      <c r="A1938" s="7">
        <v>510801</v>
      </c>
      <c r="B1938" s="3" t="s">
        <v>864</v>
      </c>
      <c r="C1938" s="25">
        <v>0</v>
      </c>
      <c r="D1938" s="25">
        <v>0</v>
      </c>
      <c r="E1938" s="18">
        <f t="shared" ref="E1938:E1950" si="375">SUM(C1938:D1938)</f>
        <v>0</v>
      </c>
    </row>
    <row r="1939" spans="1:5" ht="15" x14ac:dyDescent="0.2">
      <c r="A1939" s="7">
        <v>510802</v>
      </c>
      <c r="B1939" s="3" t="s">
        <v>242</v>
      </c>
      <c r="C1939" s="25">
        <v>0</v>
      </c>
      <c r="D1939" s="25">
        <v>0</v>
      </c>
      <c r="E1939" s="18">
        <f t="shared" si="375"/>
        <v>0</v>
      </c>
    </row>
    <row r="1940" spans="1:5" ht="15" x14ac:dyDescent="0.2">
      <c r="A1940" s="7">
        <v>510803</v>
      </c>
      <c r="B1940" s="3" t="s">
        <v>865</v>
      </c>
      <c r="C1940" s="25">
        <v>0</v>
      </c>
      <c r="D1940" s="25">
        <v>0</v>
      </c>
      <c r="E1940" s="18">
        <f t="shared" si="375"/>
        <v>0</v>
      </c>
    </row>
    <row r="1941" spans="1:5" ht="15" x14ac:dyDescent="0.2">
      <c r="A1941" s="7">
        <v>510804</v>
      </c>
      <c r="B1941" s="3" t="s">
        <v>866</v>
      </c>
      <c r="C1941" s="25">
        <v>0</v>
      </c>
      <c r="D1941" s="25">
        <v>0</v>
      </c>
      <c r="E1941" s="29">
        <f t="shared" si="375"/>
        <v>0</v>
      </c>
    </row>
    <row r="1942" spans="1:5" ht="15" x14ac:dyDescent="0.2">
      <c r="A1942" s="7">
        <v>510805</v>
      </c>
      <c r="B1942" s="3" t="s">
        <v>867</v>
      </c>
      <c r="C1942" s="25">
        <v>0</v>
      </c>
      <c r="D1942" s="25">
        <v>0</v>
      </c>
      <c r="E1942" s="18">
        <f t="shared" si="375"/>
        <v>0</v>
      </c>
    </row>
    <row r="1943" spans="1:5" ht="15" x14ac:dyDescent="0.2">
      <c r="A1943" s="7">
        <v>510806</v>
      </c>
      <c r="B1943" s="3" t="s">
        <v>868</v>
      </c>
      <c r="C1943" s="25">
        <v>0</v>
      </c>
      <c r="D1943" s="25">
        <v>0</v>
      </c>
      <c r="E1943" s="29">
        <f t="shared" si="375"/>
        <v>0</v>
      </c>
    </row>
    <row r="1944" spans="1:5" ht="15" x14ac:dyDescent="0.2">
      <c r="A1944" s="7">
        <v>510807</v>
      </c>
      <c r="B1944" s="3" t="s">
        <v>869</v>
      </c>
      <c r="C1944" s="25">
        <v>0</v>
      </c>
      <c r="D1944" s="25">
        <v>0</v>
      </c>
      <c r="E1944" s="18">
        <f t="shared" si="375"/>
        <v>0</v>
      </c>
    </row>
    <row r="1945" spans="1:5" ht="15" x14ac:dyDescent="0.2">
      <c r="A1945" s="7">
        <v>510808</v>
      </c>
      <c r="B1945" s="3" t="s">
        <v>870</v>
      </c>
      <c r="C1945" s="25">
        <v>0</v>
      </c>
      <c r="D1945" s="25">
        <v>0</v>
      </c>
      <c r="E1945" s="18">
        <f t="shared" si="375"/>
        <v>0</v>
      </c>
    </row>
    <row r="1946" spans="1:5" ht="15" x14ac:dyDescent="0.2">
      <c r="A1946" s="7">
        <v>510810</v>
      </c>
      <c r="B1946" s="3" t="s">
        <v>1268</v>
      </c>
      <c r="C1946" s="25">
        <v>0</v>
      </c>
      <c r="D1946" s="25">
        <v>0</v>
      </c>
      <c r="E1946" s="29">
        <f t="shared" si="375"/>
        <v>0</v>
      </c>
    </row>
    <row r="1947" spans="1:5" ht="15" x14ac:dyDescent="0.2">
      <c r="A1947" s="7">
        <v>510811</v>
      </c>
      <c r="B1947" s="3" t="s">
        <v>1269</v>
      </c>
      <c r="C1947" s="25">
        <v>0</v>
      </c>
      <c r="D1947" s="25">
        <v>0</v>
      </c>
      <c r="E1947" s="18">
        <f t="shared" si="375"/>
        <v>0</v>
      </c>
    </row>
    <row r="1948" spans="1:5" ht="15" x14ac:dyDescent="0.2">
      <c r="A1948" s="7">
        <v>510812</v>
      </c>
      <c r="B1948" s="3" t="s">
        <v>1216</v>
      </c>
      <c r="C1948" s="25">
        <v>0</v>
      </c>
      <c r="D1948" s="25">
        <v>0</v>
      </c>
      <c r="E1948" s="18">
        <f t="shared" si="375"/>
        <v>0</v>
      </c>
    </row>
    <row r="1949" spans="1:5" ht="15" x14ac:dyDescent="0.2">
      <c r="A1949" s="7">
        <v>510813</v>
      </c>
      <c r="B1949" s="3" t="s">
        <v>1270</v>
      </c>
      <c r="C1949" s="25">
        <v>0</v>
      </c>
      <c r="D1949" s="25">
        <v>0</v>
      </c>
      <c r="E1949" s="18">
        <f t="shared" si="375"/>
        <v>0</v>
      </c>
    </row>
    <row r="1950" spans="1:5" ht="15" x14ac:dyDescent="0.2">
      <c r="A1950" s="7">
        <v>510890</v>
      </c>
      <c r="B1950" s="3" t="s">
        <v>1271</v>
      </c>
      <c r="C1950" s="25">
        <v>7330000</v>
      </c>
      <c r="D1950" s="25">
        <v>0</v>
      </c>
      <c r="E1950" s="18">
        <f t="shared" si="375"/>
        <v>7330000</v>
      </c>
    </row>
    <row r="1951" spans="1:5" ht="15" x14ac:dyDescent="0.2">
      <c r="A1951" s="6">
        <v>5111</v>
      </c>
      <c r="B1951" s="2" t="s">
        <v>1272</v>
      </c>
      <c r="C1951" s="24">
        <f>SUM(C1952:C2005)</f>
        <v>28916904</v>
      </c>
      <c r="D1951" s="24">
        <f t="shared" ref="D1951:E1951" si="376">SUM(D1952:D2005)</f>
        <v>0</v>
      </c>
      <c r="E1951" s="28">
        <f t="shared" si="376"/>
        <v>28916904</v>
      </c>
    </row>
    <row r="1952" spans="1:5" ht="15" x14ac:dyDescent="0.2">
      <c r="A1952" s="7">
        <v>511101</v>
      </c>
      <c r="B1952" s="3" t="s">
        <v>1273</v>
      </c>
      <c r="C1952" s="25">
        <v>0</v>
      </c>
      <c r="D1952" s="25">
        <v>0</v>
      </c>
      <c r="E1952" s="18">
        <f t="shared" ref="E1952:E2005" si="377">SUM(C1952:D1952)</f>
        <v>0</v>
      </c>
    </row>
    <row r="1953" spans="1:5" ht="15" x14ac:dyDescent="0.2">
      <c r="A1953" s="7">
        <v>511102</v>
      </c>
      <c r="B1953" s="3" t="s">
        <v>1274</v>
      </c>
      <c r="C1953" s="25">
        <v>0</v>
      </c>
      <c r="D1953" s="25">
        <v>0</v>
      </c>
      <c r="E1953" s="18">
        <f t="shared" si="377"/>
        <v>0</v>
      </c>
    </row>
    <row r="1954" spans="1:5" ht="15" x14ac:dyDescent="0.2">
      <c r="A1954" s="7">
        <v>511103</v>
      </c>
      <c r="B1954" s="3" t="s">
        <v>1275</v>
      </c>
      <c r="C1954" s="25">
        <v>0</v>
      </c>
      <c r="D1954" s="25">
        <v>0</v>
      </c>
      <c r="E1954" s="18">
        <f t="shared" si="377"/>
        <v>0</v>
      </c>
    </row>
    <row r="1955" spans="1:5" ht="15" x14ac:dyDescent="0.2">
      <c r="A1955" s="7">
        <v>511104</v>
      </c>
      <c r="B1955" s="3" t="s">
        <v>1276</v>
      </c>
      <c r="C1955" s="25">
        <v>0</v>
      </c>
      <c r="D1955" s="25">
        <v>0</v>
      </c>
      <c r="E1955" s="18">
        <f t="shared" si="377"/>
        <v>0</v>
      </c>
    </row>
    <row r="1956" spans="1:5" ht="15" x14ac:dyDescent="0.2">
      <c r="A1956" s="7">
        <v>511105</v>
      </c>
      <c r="B1956" s="3" t="s">
        <v>1277</v>
      </c>
      <c r="C1956" s="25">
        <v>0</v>
      </c>
      <c r="D1956" s="25">
        <v>0</v>
      </c>
      <c r="E1956" s="18">
        <f t="shared" si="377"/>
        <v>0</v>
      </c>
    </row>
    <row r="1957" spans="1:5" ht="15" x14ac:dyDescent="0.2">
      <c r="A1957" s="7">
        <v>511106</v>
      </c>
      <c r="B1957" s="3" t="s">
        <v>570</v>
      </c>
      <c r="C1957" s="25">
        <v>0</v>
      </c>
      <c r="D1957" s="25">
        <v>0</v>
      </c>
      <c r="E1957" s="18">
        <f t="shared" si="377"/>
        <v>0</v>
      </c>
    </row>
    <row r="1958" spans="1:5" ht="15" x14ac:dyDescent="0.2">
      <c r="A1958" s="7">
        <v>511109</v>
      </c>
      <c r="B1958" s="3" t="s">
        <v>1278</v>
      </c>
      <c r="C1958" s="25">
        <v>0</v>
      </c>
      <c r="D1958" s="25">
        <v>0</v>
      </c>
      <c r="E1958" s="18">
        <f t="shared" si="377"/>
        <v>0</v>
      </c>
    </row>
    <row r="1959" spans="1:5" ht="15" x14ac:dyDescent="0.2">
      <c r="A1959" s="7">
        <v>511110</v>
      </c>
      <c r="B1959" s="3" t="s">
        <v>1279</v>
      </c>
      <c r="C1959" s="25">
        <v>0</v>
      </c>
      <c r="D1959" s="25">
        <v>0</v>
      </c>
      <c r="E1959" s="18">
        <f t="shared" si="377"/>
        <v>0</v>
      </c>
    </row>
    <row r="1960" spans="1:5" ht="15" x14ac:dyDescent="0.2">
      <c r="A1960" s="7">
        <v>511112</v>
      </c>
      <c r="B1960" s="3" t="s">
        <v>1280</v>
      </c>
      <c r="C1960" s="25">
        <v>0</v>
      </c>
      <c r="D1960" s="25">
        <v>0</v>
      </c>
      <c r="E1960" s="18">
        <f t="shared" si="377"/>
        <v>0</v>
      </c>
    </row>
    <row r="1961" spans="1:5" ht="15" x14ac:dyDescent="0.2">
      <c r="A1961" s="7">
        <v>511113</v>
      </c>
      <c r="B1961" s="3" t="s">
        <v>1281</v>
      </c>
      <c r="C1961" s="25">
        <v>0</v>
      </c>
      <c r="D1961" s="25">
        <v>0</v>
      </c>
      <c r="E1961" s="18">
        <f t="shared" si="377"/>
        <v>0</v>
      </c>
    </row>
    <row r="1962" spans="1:5" ht="15" x14ac:dyDescent="0.2">
      <c r="A1962" s="7">
        <v>511114</v>
      </c>
      <c r="B1962" s="3" t="s">
        <v>365</v>
      </c>
      <c r="C1962" s="25">
        <v>0</v>
      </c>
      <c r="D1962" s="25">
        <v>0</v>
      </c>
      <c r="E1962" s="29">
        <f t="shared" si="377"/>
        <v>0</v>
      </c>
    </row>
    <row r="1963" spans="1:5" ht="15" x14ac:dyDescent="0.2">
      <c r="A1963" s="7">
        <v>511115</v>
      </c>
      <c r="B1963" s="3" t="s">
        <v>565</v>
      </c>
      <c r="C1963" s="25">
        <v>0</v>
      </c>
      <c r="D1963" s="25">
        <v>0</v>
      </c>
      <c r="E1963" s="29">
        <f t="shared" si="377"/>
        <v>0</v>
      </c>
    </row>
    <row r="1964" spans="1:5" ht="15" x14ac:dyDescent="0.2">
      <c r="A1964" s="7">
        <v>511116</v>
      </c>
      <c r="B1964" s="3" t="s">
        <v>1282</v>
      </c>
      <c r="C1964" s="25">
        <v>0</v>
      </c>
      <c r="D1964" s="25">
        <v>0</v>
      </c>
      <c r="E1964" s="18">
        <f t="shared" si="377"/>
        <v>0</v>
      </c>
    </row>
    <row r="1965" spans="1:5" ht="15" x14ac:dyDescent="0.2">
      <c r="A1965" s="7">
        <v>511117</v>
      </c>
      <c r="B1965" s="3" t="s">
        <v>838</v>
      </c>
      <c r="C1965" s="25">
        <v>3525070</v>
      </c>
      <c r="D1965" s="25">
        <v>0</v>
      </c>
      <c r="E1965" s="29">
        <f t="shared" si="377"/>
        <v>3525070</v>
      </c>
    </row>
    <row r="1966" spans="1:5" ht="15" x14ac:dyDescent="0.2">
      <c r="A1966" s="7">
        <v>511118</v>
      </c>
      <c r="B1966" s="3" t="s">
        <v>256</v>
      </c>
      <c r="C1966" s="25">
        <v>0</v>
      </c>
      <c r="D1966" s="25">
        <v>0</v>
      </c>
      <c r="E1966" s="29">
        <f t="shared" si="377"/>
        <v>0</v>
      </c>
    </row>
    <row r="1967" spans="1:5" ht="15" x14ac:dyDescent="0.2">
      <c r="A1967" s="7">
        <v>511119</v>
      </c>
      <c r="B1967" s="3" t="s">
        <v>823</v>
      </c>
      <c r="C1967" s="25">
        <v>0</v>
      </c>
      <c r="D1967" s="25">
        <v>0</v>
      </c>
      <c r="E1967" s="29">
        <f t="shared" si="377"/>
        <v>0</v>
      </c>
    </row>
    <row r="1968" spans="1:5" ht="15" x14ac:dyDescent="0.2">
      <c r="A1968" s="7">
        <v>511120</v>
      </c>
      <c r="B1968" s="3" t="s">
        <v>143</v>
      </c>
      <c r="C1968" s="25">
        <v>0</v>
      </c>
      <c r="D1968" s="25">
        <v>0</v>
      </c>
      <c r="E1968" s="29">
        <f t="shared" si="377"/>
        <v>0</v>
      </c>
    </row>
    <row r="1969" spans="1:5" ht="15" x14ac:dyDescent="0.2">
      <c r="A1969" s="7">
        <v>511121</v>
      </c>
      <c r="B1969" s="3" t="s">
        <v>564</v>
      </c>
      <c r="C1969" s="25">
        <v>0</v>
      </c>
      <c r="D1969" s="25">
        <v>0</v>
      </c>
      <c r="E1969" s="29">
        <f t="shared" si="377"/>
        <v>0</v>
      </c>
    </row>
    <row r="1970" spans="1:5" ht="15" x14ac:dyDescent="0.2">
      <c r="A1970" s="7">
        <v>511122</v>
      </c>
      <c r="B1970" s="3" t="s">
        <v>1206</v>
      </c>
      <c r="C1970" s="25">
        <v>0</v>
      </c>
      <c r="D1970" s="25">
        <v>0</v>
      </c>
      <c r="E1970" s="18">
        <f t="shared" si="377"/>
        <v>0</v>
      </c>
    </row>
    <row r="1971" spans="1:5" ht="15" x14ac:dyDescent="0.2">
      <c r="A1971" s="7">
        <v>511123</v>
      </c>
      <c r="B1971" s="3" t="s">
        <v>1283</v>
      </c>
      <c r="C1971" s="25">
        <v>0</v>
      </c>
      <c r="D1971" s="25">
        <v>0</v>
      </c>
      <c r="E1971" s="29">
        <f t="shared" si="377"/>
        <v>0</v>
      </c>
    </row>
    <row r="1972" spans="1:5" ht="15" x14ac:dyDescent="0.2">
      <c r="A1972" s="7">
        <v>511125</v>
      </c>
      <c r="B1972" s="3" t="s">
        <v>1284</v>
      </c>
      <c r="C1972" s="25">
        <v>0</v>
      </c>
      <c r="D1972" s="25">
        <v>0</v>
      </c>
      <c r="E1972" s="29">
        <f t="shared" si="377"/>
        <v>0</v>
      </c>
    </row>
    <row r="1973" spans="1:5" ht="15" x14ac:dyDescent="0.2">
      <c r="A1973" s="7">
        <v>511127</v>
      </c>
      <c r="B1973" s="3" t="s">
        <v>1285</v>
      </c>
      <c r="C1973" s="25">
        <v>0</v>
      </c>
      <c r="D1973" s="25">
        <v>0</v>
      </c>
      <c r="E1973" s="18">
        <f t="shared" si="377"/>
        <v>0</v>
      </c>
    </row>
    <row r="1974" spans="1:5" ht="15" x14ac:dyDescent="0.2">
      <c r="A1974" s="7">
        <v>511132</v>
      </c>
      <c r="B1974" s="3" t="s">
        <v>1286</v>
      </c>
      <c r="C1974" s="25">
        <v>0</v>
      </c>
      <c r="D1974" s="25">
        <v>0</v>
      </c>
      <c r="E1974" s="18">
        <f t="shared" si="377"/>
        <v>0</v>
      </c>
    </row>
    <row r="1975" spans="1:5" ht="15" x14ac:dyDescent="0.2">
      <c r="A1975" s="7">
        <v>511133</v>
      </c>
      <c r="B1975" s="3" t="s">
        <v>1287</v>
      </c>
      <c r="C1975" s="25">
        <v>0</v>
      </c>
      <c r="D1975" s="25">
        <v>0</v>
      </c>
      <c r="E1975" s="18">
        <f t="shared" si="377"/>
        <v>0</v>
      </c>
    </row>
    <row r="1976" spans="1:5" ht="15" x14ac:dyDescent="0.2">
      <c r="A1976" s="7">
        <v>511134</v>
      </c>
      <c r="B1976" s="3" t="s">
        <v>1288</v>
      </c>
      <c r="C1976" s="25">
        <v>0</v>
      </c>
      <c r="D1976" s="25">
        <v>0</v>
      </c>
      <c r="E1976" s="18">
        <f t="shared" si="377"/>
        <v>0</v>
      </c>
    </row>
    <row r="1977" spans="1:5" ht="15" x14ac:dyDescent="0.2">
      <c r="A1977" s="7">
        <v>511139</v>
      </c>
      <c r="B1977" s="3" t="s">
        <v>1289</v>
      </c>
      <c r="C1977" s="25">
        <v>0</v>
      </c>
      <c r="D1977" s="25">
        <v>0</v>
      </c>
      <c r="E1977" s="18">
        <f t="shared" si="377"/>
        <v>0</v>
      </c>
    </row>
    <row r="1978" spans="1:5" ht="15" x14ac:dyDescent="0.2">
      <c r="A1978" s="7">
        <v>511140</v>
      </c>
      <c r="B1978" s="3" t="s">
        <v>1290</v>
      </c>
      <c r="C1978" s="25">
        <v>0</v>
      </c>
      <c r="D1978" s="25">
        <v>0</v>
      </c>
      <c r="E1978" s="18">
        <f t="shared" si="377"/>
        <v>0</v>
      </c>
    </row>
    <row r="1979" spans="1:5" ht="15" x14ac:dyDescent="0.2">
      <c r="A1979" s="7">
        <v>511141</v>
      </c>
      <c r="B1979" s="3" t="s">
        <v>1291</v>
      </c>
      <c r="C1979" s="25">
        <v>0</v>
      </c>
      <c r="D1979" s="25">
        <v>0</v>
      </c>
      <c r="E1979" s="18">
        <f t="shared" si="377"/>
        <v>0</v>
      </c>
    </row>
    <row r="1980" spans="1:5" ht="15" x14ac:dyDescent="0.2">
      <c r="A1980" s="7">
        <v>511142</v>
      </c>
      <c r="B1980" s="3" t="s">
        <v>1292</v>
      </c>
      <c r="C1980" s="25">
        <v>0</v>
      </c>
      <c r="D1980" s="25">
        <v>0</v>
      </c>
      <c r="E1980" s="18">
        <f t="shared" si="377"/>
        <v>0</v>
      </c>
    </row>
    <row r="1981" spans="1:5" ht="15" x14ac:dyDescent="0.2">
      <c r="A1981" s="7">
        <v>511146</v>
      </c>
      <c r="B1981" s="3" t="s">
        <v>345</v>
      </c>
      <c r="C1981" s="25">
        <v>0</v>
      </c>
      <c r="D1981" s="25">
        <v>0</v>
      </c>
      <c r="E1981" s="29">
        <f t="shared" si="377"/>
        <v>0</v>
      </c>
    </row>
    <row r="1982" spans="1:5" ht="15" x14ac:dyDescent="0.2">
      <c r="A1982" s="7">
        <v>511147</v>
      </c>
      <c r="B1982" s="3" t="s">
        <v>1293</v>
      </c>
      <c r="C1982" s="25">
        <v>0</v>
      </c>
      <c r="D1982" s="25">
        <v>0</v>
      </c>
      <c r="E1982" s="18">
        <f t="shared" si="377"/>
        <v>0</v>
      </c>
    </row>
    <row r="1983" spans="1:5" ht="15" x14ac:dyDescent="0.2">
      <c r="A1983" s="7">
        <v>511149</v>
      </c>
      <c r="B1983" s="3" t="s">
        <v>1294</v>
      </c>
      <c r="C1983" s="25">
        <v>0</v>
      </c>
      <c r="D1983" s="25">
        <v>0</v>
      </c>
      <c r="E1983" s="18">
        <f t="shared" si="377"/>
        <v>0</v>
      </c>
    </row>
    <row r="1984" spans="1:5" ht="15" x14ac:dyDescent="0.2">
      <c r="A1984" s="7">
        <v>511150</v>
      </c>
      <c r="B1984" s="3" t="s">
        <v>1295</v>
      </c>
      <c r="C1984" s="25">
        <v>0</v>
      </c>
      <c r="D1984" s="25">
        <v>0</v>
      </c>
      <c r="E1984" s="18">
        <f t="shared" si="377"/>
        <v>0</v>
      </c>
    </row>
    <row r="1985" spans="1:5" ht="15" x14ac:dyDescent="0.2">
      <c r="A1985" s="7">
        <v>511151</v>
      </c>
      <c r="B1985" s="3" t="s">
        <v>1296</v>
      </c>
      <c r="C1985" s="25">
        <v>0</v>
      </c>
      <c r="D1985" s="25">
        <v>0</v>
      </c>
      <c r="E1985" s="18">
        <f t="shared" si="377"/>
        <v>0</v>
      </c>
    </row>
    <row r="1986" spans="1:5" ht="15" x14ac:dyDescent="0.2">
      <c r="A1986" s="7">
        <v>511152</v>
      </c>
      <c r="B1986" s="3" t="s">
        <v>1297</v>
      </c>
      <c r="C1986" s="25">
        <v>0</v>
      </c>
      <c r="D1986" s="25">
        <v>0</v>
      </c>
      <c r="E1986" s="18">
        <f t="shared" si="377"/>
        <v>0</v>
      </c>
    </row>
    <row r="1987" spans="1:5" ht="15" x14ac:dyDescent="0.2">
      <c r="A1987" s="7">
        <v>511154</v>
      </c>
      <c r="B1987" s="3" t="s">
        <v>130</v>
      </c>
      <c r="C1987" s="25">
        <v>2600000</v>
      </c>
      <c r="D1987" s="25">
        <v>0</v>
      </c>
      <c r="E1987" s="18">
        <f t="shared" si="377"/>
        <v>2600000</v>
      </c>
    </row>
    <row r="1988" spans="1:5" ht="15" x14ac:dyDescent="0.2">
      <c r="A1988" s="7">
        <v>511155</v>
      </c>
      <c r="B1988" s="3" t="s">
        <v>1298</v>
      </c>
      <c r="C1988" s="25">
        <v>0</v>
      </c>
      <c r="D1988" s="25">
        <v>0</v>
      </c>
      <c r="E1988" s="18">
        <f t="shared" si="377"/>
        <v>0</v>
      </c>
    </row>
    <row r="1989" spans="1:5" ht="15" x14ac:dyDescent="0.2">
      <c r="A1989" s="7">
        <v>511156</v>
      </c>
      <c r="B1989" s="3" t="s">
        <v>566</v>
      </c>
      <c r="C1989" s="25">
        <v>0</v>
      </c>
      <c r="D1989" s="25">
        <v>0</v>
      </c>
      <c r="E1989" s="18">
        <f t="shared" si="377"/>
        <v>0</v>
      </c>
    </row>
    <row r="1990" spans="1:5" ht="15" x14ac:dyDescent="0.2">
      <c r="A1990" s="7">
        <v>511157</v>
      </c>
      <c r="B1990" s="3" t="s">
        <v>1299</v>
      </c>
      <c r="C1990" s="25">
        <v>0</v>
      </c>
      <c r="D1990" s="25">
        <v>0</v>
      </c>
      <c r="E1990" s="18">
        <f t="shared" si="377"/>
        <v>0</v>
      </c>
    </row>
    <row r="1991" spans="1:5" ht="15" x14ac:dyDescent="0.2">
      <c r="A1991" s="7">
        <v>511158</v>
      </c>
      <c r="B1991" s="3" t="s">
        <v>1300</v>
      </c>
      <c r="C1991" s="25">
        <v>0</v>
      </c>
      <c r="D1991" s="25">
        <v>0</v>
      </c>
      <c r="E1991" s="18">
        <f t="shared" si="377"/>
        <v>0</v>
      </c>
    </row>
    <row r="1992" spans="1:5" ht="15" x14ac:dyDescent="0.2">
      <c r="A1992" s="7">
        <v>511159</v>
      </c>
      <c r="B1992" s="3" t="s">
        <v>620</v>
      </c>
      <c r="C1992" s="25">
        <v>0</v>
      </c>
      <c r="D1992" s="25">
        <v>0</v>
      </c>
      <c r="E1992" s="18">
        <f t="shared" si="377"/>
        <v>0</v>
      </c>
    </row>
    <row r="1993" spans="1:5" ht="15" x14ac:dyDescent="0.2">
      <c r="A1993" s="7">
        <v>511161</v>
      </c>
      <c r="B1993" s="3" t="s">
        <v>1301</v>
      </c>
      <c r="C1993" s="25">
        <v>0</v>
      </c>
      <c r="D1993" s="25">
        <v>0</v>
      </c>
      <c r="E1993" s="18">
        <f t="shared" si="377"/>
        <v>0</v>
      </c>
    </row>
    <row r="1994" spans="1:5" ht="15" x14ac:dyDescent="0.2">
      <c r="A1994" s="7">
        <v>511162</v>
      </c>
      <c r="B1994" s="3" t="s">
        <v>1302</v>
      </c>
      <c r="C1994" s="25">
        <v>0</v>
      </c>
      <c r="D1994" s="25">
        <v>0</v>
      </c>
      <c r="E1994" s="18">
        <f t="shared" si="377"/>
        <v>0</v>
      </c>
    </row>
    <row r="1995" spans="1:5" ht="15" x14ac:dyDescent="0.2">
      <c r="A1995" s="7">
        <v>511163</v>
      </c>
      <c r="B1995" s="3" t="s">
        <v>1303</v>
      </c>
      <c r="C1995" s="25">
        <v>0</v>
      </c>
      <c r="D1995" s="25">
        <v>0</v>
      </c>
      <c r="E1995" s="18">
        <f t="shared" si="377"/>
        <v>0</v>
      </c>
    </row>
    <row r="1996" spans="1:5" ht="15" x14ac:dyDescent="0.2">
      <c r="A1996" s="7">
        <v>511164</v>
      </c>
      <c r="B1996" s="3" t="s">
        <v>825</v>
      </c>
      <c r="C1996" s="25">
        <v>0</v>
      </c>
      <c r="D1996" s="25">
        <v>0</v>
      </c>
      <c r="E1996" s="18">
        <f t="shared" si="377"/>
        <v>0</v>
      </c>
    </row>
    <row r="1997" spans="1:5" ht="15" x14ac:dyDescent="0.2">
      <c r="A1997" s="7">
        <v>511165</v>
      </c>
      <c r="B1997" s="3" t="s">
        <v>1304</v>
      </c>
      <c r="C1997" s="25">
        <v>0</v>
      </c>
      <c r="D1997" s="25">
        <v>0</v>
      </c>
      <c r="E1997" s="18">
        <f t="shared" si="377"/>
        <v>0</v>
      </c>
    </row>
    <row r="1998" spans="1:5" ht="15" x14ac:dyDescent="0.2">
      <c r="A1998" s="7">
        <v>511166</v>
      </c>
      <c r="B1998" s="3" t="s">
        <v>1305</v>
      </c>
      <c r="C1998" s="25">
        <v>0</v>
      </c>
      <c r="D1998" s="25">
        <v>0</v>
      </c>
      <c r="E1998" s="18">
        <f t="shared" si="377"/>
        <v>0</v>
      </c>
    </row>
    <row r="1999" spans="1:5" ht="15" x14ac:dyDescent="0.2">
      <c r="A1999" s="7">
        <v>511167</v>
      </c>
      <c r="B1999" s="3" t="s">
        <v>829</v>
      </c>
      <c r="C1999" s="25">
        <v>0</v>
      </c>
      <c r="D1999" s="25">
        <v>0</v>
      </c>
      <c r="E1999" s="18">
        <f t="shared" si="377"/>
        <v>0</v>
      </c>
    </row>
    <row r="2000" spans="1:5" ht="15" x14ac:dyDescent="0.2">
      <c r="A2000" s="7">
        <v>511173</v>
      </c>
      <c r="B2000" s="3" t="s">
        <v>1306</v>
      </c>
      <c r="C2000" s="25">
        <v>0</v>
      </c>
      <c r="D2000" s="25">
        <v>0</v>
      </c>
      <c r="E2000" s="18">
        <f t="shared" si="377"/>
        <v>0</v>
      </c>
    </row>
    <row r="2001" spans="1:5" ht="15" x14ac:dyDescent="0.2">
      <c r="A2001" s="7">
        <v>511174</v>
      </c>
      <c r="B2001" s="3" t="s">
        <v>1307</v>
      </c>
      <c r="C2001" s="25">
        <v>0</v>
      </c>
      <c r="D2001" s="25">
        <v>0</v>
      </c>
      <c r="E2001" s="18">
        <f t="shared" si="377"/>
        <v>0</v>
      </c>
    </row>
    <row r="2002" spans="1:5" ht="15" x14ac:dyDescent="0.2">
      <c r="A2002" s="7">
        <v>511178</v>
      </c>
      <c r="B2002" s="3" t="s">
        <v>231</v>
      </c>
      <c r="C2002" s="25">
        <v>0</v>
      </c>
      <c r="D2002" s="25">
        <v>0</v>
      </c>
      <c r="E2002" s="18">
        <f t="shared" si="377"/>
        <v>0</v>
      </c>
    </row>
    <row r="2003" spans="1:5" ht="15" x14ac:dyDescent="0.2">
      <c r="A2003" s="7">
        <v>511179</v>
      </c>
      <c r="B2003" s="3" t="s">
        <v>242</v>
      </c>
      <c r="C2003" s="25">
        <v>0</v>
      </c>
      <c r="D2003" s="25">
        <v>0</v>
      </c>
      <c r="E2003" s="29">
        <f t="shared" si="377"/>
        <v>0</v>
      </c>
    </row>
    <row r="2004" spans="1:5" ht="15" x14ac:dyDescent="0.2">
      <c r="A2004" s="7">
        <v>511180</v>
      </c>
      <c r="B2004" s="3" t="s">
        <v>724</v>
      </c>
      <c r="C2004" s="25">
        <v>13980000</v>
      </c>
      <c r="D2004" s="25">
        <v>0</v>
      </c>
      <c r="E2004" s="18">
        <f t="shared" si="377"/>
        <v>13980000</v>
      </c>
    </row>
    <row r="2005" spans="1:5" ht="15" x14ac:dyDescent="0.2">
      <c r="A2005" s="7">
        <v>511190</v>
      </c>
      <c r="B2005" s="3" t="s">
        <v>1308</v>
      </c>
      <c r="C2005" s="25">
        <v>8811834</v>
      </c>
      <c r="D2005" s="25">
        <v>0</v>
      </c>
      <c r="E2005" s="29">
        <f t="shared" si="377"/>
        <v>8811834</v>
      </c>
    </row>
    <row r="2006" spans="1:5" ht="15" x14ac:dyDescent="0.2">
      <c r="A2006" s="6">
        <v>5120</v>
      </c>
      <c r="B2006" s="2" t="s">
        <v>742</v>
      </c>
      <c r="C2006" s="24">
        <f>SUM(C2007:C2030)</f>
        <v>252000</v>
      </c>
      <c r="D2006" s="24">
        <f t="shared" ref="D2006:E2006" si="378">SUM(D2007:D2030)</f>
        <v>0</v>
      </c>
      <c r="E2006" s="28">
        <f t="shared" si="378"/>
        <v>252000</v>
      </c>
    </row>
    <row r="2007" spans="1:5" ht="15" x14ac:dyDescent="0.2">
      <c r="A2007" s="7">
        <v>512001</v>
      </c>
      <c r="B2007" s="3" t="s">
        <v>744</v>
      </c>
      <c r="C2007" s="25">
        <v>0</v>
      </c>
      <c r="D2007" s="25">
        <v>0</v>
      </c>
      <c r="E2007" s="18">
        <f t="shared" ref="E2007:E2030" si="379">SUM(C2007:D2007)</f>
        <v>0</v>
      </c>
    </row>
    <row r="2008" spans="1:5" ht="15" x14ac:dyDescent="0.2">
      <c r="A2008" s="7">
        <v>512002</v>
      </c>
      <c r="B2008" s="3" t="s">
        <v>750</v>
      </c>
      <c r="C2008" s="25">
        <v>0</v>
      </c>
      <c r="D2008" s="25">
        <v>0</v>
      </c>
      <c r="E2008" s="18">
        <f t="shared" si="379"/>
        <v>0</v>
      </c>
    </row>
    <row r="2009" spans="1:5" ht="15" x14ac:dyDescent="0.2">
      <c r="A2009" s="7">
        <v>512009</v>
      </c>
      <c r="B2009" s="3" t="s">
        <v>745</v>
      </c>
      <c r="C2009" s="25">
        <v>0</v>
      </c>
      <c r="D2009" s="25">
        <v>0</v>
      </c>
      <c r="E2009" s="18">
        <f t="shared" si="379"/>
        <v>0</v>
      </c>
    </row>
    <row r="2010" spans="1:5" ht="15" x14ac:dyDescent="0.2">
      <c r="A2010" s="7">
        <v>512010</v>
      </c>
      <c r="B2010" s="3" t="s">
        <v>756</v>
      </c>
      <c r="C2010" s="25">
        <v>0</v>
      </c>
      <c r="D2010" s="25">
        <v>0</v>
      </c>
      <c r="E2010" s="29">
        <f t="shared" si="379"/>
        <v>0</v>
      </c>
    </row>
    <row r="2011" spans="1:5" ht="15" x14ac:dyDescent="0.2">
      <c r="A2011" s="7">
        <v>512011</v>
      </c>
      <c r="B2011" s="3" t="s">
        <v>751</v>
      </c>
      <c r="C2011" s="25">
        <v>0</v>
      </c>
      <c r="D2011" s="25">
        <v>0</v>
      </c>
      <c r="E2011" s="18">
        <f t="shared" si="379"/>
        <v>0</v>
      </c>
    </row>
    <row r="2012" spans="1:5" ht="15" x14ac:dyDescent="0.2">
      <c r="A2012" s="7">
        <v>512012</v>
      </c>
      <c r="B2012" s="3" t="s">
        <v>747</v>
      </c>
      <c r="C2012" s="25">
        <v>0</v>
      </c>
      <c r="D2012" s="25">
        <v>0</v>
      </c>
      <c r="E2012" s="18">
        <f t="shared" si="379"/>
        <v>0</v>
      </c>
    </row>
    <row r="2013" spans="1:5" ht="15" x14ac:dyDescent="0.2">
      <c r="A2013" s="7">
        <v>512013</v>
      </c>
      <c r="B2013" s="3" t="s">
        <v>748</v>
      </c>
      <c r="C2013" s="25">
        <v>0</v>
      </c>
      <c r="D2013" s="25">
        <v>0</v>
      </c>
      <c r="E2013" s="18">
        <f t="shared" si="379"/>
        <v>0</v>
      </c>
    </row>
    <row r="2014" spans="1:5" ht="15" x14ac:dyDescent="0.2">
      <c r="A2014" s="7">
        <v>512017</v>
      </c>
      <c r="B2014" s="3" t="s">
        <v>252</v>
      </c>
      <c r="C2014" s="25">
        <v>0</v>
      </c>
      <c r="D2014" s="25">
        <v>0</v>
      </c>
      <c r="E2014" s="18">
        <f t="shared" si="379"/>
        <v>0</v>
      </c>
    </row>
    <row r="2015" spans="1:5" ht="15" x14ac:dyDescent="0.2">
      <c r="A2015" s="7">
        <v>512019</v>
      </c>
      <c r="B2015" s="3" t="s">
        <v>1309</v>
      </c>
      <c r="C2015" s="25">
        <v>0</v>
      </c>
      <c r="D2015" s="25">
        <v>0</v>
      </c>
      <c r="E2015" s="18">
        <f t="shared" si="379"/>
        <v>0</v>
      </c>
    </row>
    <row r="2016" spans="1:5" ht="15" x14ac:dyDescent="0.2">
      <c r="A2016" s="7">
        <v>512021</v>
      </c>
      <c r="B2016" s="3" t="s">
        <v>753</v>
      </c>
      <c r="C2016" s="25">
        <v>0</v>
      </c>
      <c r="D2016" s="25">
        <v>0</v>
      </c>
      <c r="E2016" s="18">
        <f t="shared" si="379"/>
        <v>0</v>
      </c>
    </row>
    <row r="2017" spans="1:5" ht="15" x14ac:dyDescent="0.2">
      <c r="A2017" s="7">
        <v>512023</v>
      </c>
      <c r="B2017" s="3" t="s">
        <v>754</v>
      </c>
      <c r="C2017" s="25">
        <v>0</v>
      </c>
      <c r="D2017" s="25">
        <v>0</v>
      </c>
      <c r="E2017" s="18">
        <f t="shared" si="379"/>
        <v>0</v>
      </c>
    </row>
    <row r="2018" spans="1:5" ht="15" x14ac:dyDescent="0.2">
      <c r="A2018" s="7">
        <v>512024</v>
      </c>
      <c r="B2018" s="3" t="s">
        <v>752</v>
      </c>
      <c r="C2018" s="25">
        <v>0</v>
      </c>
      <c r="D2018" s="25">
        <v>0</v>
      </c>
      <c r="E2018" s="18">
        <f t="shared" si="379"/>
        <v>0</v>
      </c>
    </row>
    <row r="2019" spans="1:5" ht="15" x14ac:dyDescent="0.2">
      <c r="A2019" s="7">
        <v>512025</v>
      </c>
      <c r="B2019" s="3" t="s">
        <v>741</v>
      </c>
      <c r="C2019" s="25">
        <v>0</v>
      </c>
      <c r="D2019" s="25">
        <v>0</v>
      </c>
      <c r="E2019" s="18">
        <f t="shared" si="379"/>
        <v>0</v>
      </c>
    </row>
    <row r="2020" spans="1:5" ht="15" x14ac:dyDescent="0.2">
      <c r="A2020" s="7">
        <v>512026</v>
      </c>
      <c r="B2020" s="3" t="s">
        <v>755</v>
      </c>
      <c r="C2020" s="25">
        <v>0</v>
      </c>
      <c r="D2020" s="25">
        <v>0</v>
      </c>
      <c r="E2020" s="18">
        <f t="shared" si="379"/>
        <v>0</v>
      </c>
    </row>
    <row r="2021" spans="1:5" ht="15" x14ac:dyDescent="0.2">
      <c r="A2021" s="7">
        <v>512027</v>
      </c>
      <c r="B2021" s="3" t="s">
        <v>620</v>
      </c>
      <c r="C2021" s="25">
        <v>0</v>
      </c>
      <c r="D2021" s="25">
        <v>0</v>
      </c>
      <c r="E2021" s="18">
        <f t="shared" si="379"/>
        <v>0</v>
      </c>
    </row>
    <row r="2022" spans="1:5" ht="15" x14ac:dyDescent="0.2">
      <c r="A2022" s="7">
        <v>512028</v>
      </c>
      <c r="B2022" s="3" t="s">
        <v>746</v>
      </c>
      <c r="C2022" s="25">
        <v>0</v>
      </c>
      <c r="D2022" s="25">
        <v>0</v>
      </c>
      <c r="E2022" s="18">
        <f t="shared" si="379"/>
        <v>0</v>
      </c>
    </row>
    <row r="2023" spans="1:5" ht="15" x14ac:dyDescent="0.2">
      <c r="A2023" s="7">
        <v>512029</v>
      </c>
      <c r="B2023" s="3" t="s">
        <v>757</v>
      </c>
      <c r="C2023" s="25">
        <v>0</v>
      </c>
      <c r="D2023" s="25">
        <v>0</v>
      </c>
      <c r="E2023" s="18">
        <f t="shared" si="379"/>
        <v>0</v>
      </c>
    </row>
    <row r="2024" spans="1:5" ht="15" x14ac:dyDescent="0.2">
      <c r="A2024" s="7">
        <v>512030</v>
      </c>
      <c r="B2024" s="3" t="s">
        <v>758</v>
      </c>
      <c r="C2024" s="25">
        <v>0</v>
      </c>
      <c r="D2024" s="25">
        <v>0</v>
      </c>
      <c r="E2024" s="18">
        <f t="shared" si="379"/>
        <v>0</v>
      </c>
    </row>
    <row r="2025" spans="1:5" ht="15" x14ac:dyDescent="0.2">
      <c r="A2025" s="7">
        <v>512032</v>
      </c>
      <c r="B2025" s="3" t="s">
        <v>759</v>
      </c>
      <c r="C2025" s="25">
        <v>0</v>
      </c>
      <c r="D2025" s="25">
        <v>0</v>
      </c>
      <c r="E2025" s="18">
        <f t="shared" si="379"/>
        <v>0</v>
      </c>
    </row>
    <row r="2026" spans="1:5" ht="15" x14ac:dyDescent="0.2">
      <c r="A2026" s="7">
        <v>512033</v>
      </c>
      <c r="B2026" s="3" t="s">
        <v>760</v>
      </c>
      <c r="C2026" s="25">
        <v>0</v>
      </c>
      <c r="D2026" s="25">
        <v>0</v>
      </c>
      <c r="E2026" s="18">
        <f t="shared" si="379"/>
        <v>0</v>
      </c>
    </row>
    <row r="2027" spans="1:5" ht="15" x14ac:dyDescent="0.2">
      <c r="A2027" s="7">
        <v>512034</v>
      </c>
      <c r="B2027" s="3" t="s">
        <v>761</v>
      </c>
      <c r="C2027" s="25">
        <v>0</v>
      </c>
      <c r="D2027" s="25">
        <v>0</v>
      </c>
      <c r="E2027" s="18">
        <f t="shared" si="379"/>
        <v>0</v>
      </c>
    </row>
    <row r="2028" spans="1:5" ht="15" x14ac:dyDescent="0.2">
      <c r="A2028" s="7">
        <v>512035</v>
      </c>
      <c r="B2028" s="3" t="s">
        <v>113</v>
      </c>
      <c r="C2028" s="25">
        <v>0</v>
      </c>
      <c r="D2028" s="25">
        <v>0</v>
      </c>
      <c r="E2028" s="18">
        <f t="shared" si="379"/>
        <v>0</v>
      </c>
    </row>
    <row r="2029" spans="1:5" ht="15" x14ac:dyDescent="0.2">
      <c r="A2029" s="7">
        <v>512036</v>
      </c>
      <c r="B2029" s="3" t="s">
        <v>763</v>
      </c>
      <c r="C2029" s="25">
        <v>0</v>
      </c>
      <c r="D2029" s="25">
        <v>0</v>
      </c>
      <c r="E2029" s="18">
        <f t="shared" si="379"/>
        <v>0</v>
      </c>
    </row>
    <row r="2030" spans="1:5" ht="15" x14ac:dyDescent="0.2">
      <c r="A2030" s="7">
        <v>512090</v>
      </c>
      <c r="B2030" s="3" t="s">
        <v>1310</v>
      </c>
      <c r="C2030" s="25">
        <v>252000</v>
      </c>
      <c r="D2030" s="25">
        <v>0</v>
      </c>
      <c r="E2030" s="18">
        <f t="shared" si="379"/>
        <v>252000</v>
      </c>
    </row>
    <row r="2031" spans="1:5" ht="15" x14ac:dyDescent="0.2">
      <c r="A2031" s="6">
        <v>52</v>
      </c>
      <c r="B2031" s="2" t="s">
        <v>1311</v>
      </c>
      <c r="C2031" s="24">
        <f>SUM(C2032,C2045,C2055,C2065,C2070,C2080,C2106,C2120)</f>
        <v>0</v>
      </c>
      <c r="D2031" s="24">
        <f>SUM(D2032,D2045,D2055,D2065,D2070,D2080,D2106,D2120)</f>
        <v>0</v>
      </c>
      <c r="E2031" s="28">
        <f>SUM(E2032,E2045,E2055,E2065,E2070,E2080,E2106,E2120)</f>
        <v>0</v>
      </c>
    </row>
    <row r="2032" spans="1:5" ht="15" x14ac:dyDescent="0.2">
      <c r="A2032" s="6">
        <v>5202</v>
      </c>
      <c r="B2032" s="2" t="s">
        <v>1235</v>
      </c>
      <c r="C2032" s="24">
        <f>SUM(C2033:C2044)</f>
        <v>0</v>
      </c>
      <c r="D2032" s="24">
        <f t="shared" ref="D2032:E2032" si="380">SUM(D2033:D2044)</f>
        <v>0</v>
      </c>
      <c r="E2032" s="28">
        <f t="shared" si="380"/>
        <v>0</v>
      </c>
    </row>
    <row r="2033" spans="1:5" ht="15" x14ac:dyDescent="0.2">
      <c r="A2033" s="7">
        <v>520201</v>
      </c>
      <c r="B2033" s="3" t="s">
        <v>1236</v>
      </c>
      <c r="C2033" s="25">
        <v>0</v>
      </c>
      <c r="D2033" s="25">
        <v>0</v>
      </c>
      <c r="E2033" s="18">
        <f t="shared" ref="E2033:E2044" si="381">SUM(C2033:D2033)</f>
        <v>0</v>
      </c>
    </row>
    <row r="2034" spans="1:5" ht="15" x14ac:dyDescent="0.2">
      <c r="A2034" s="7">
        <v>520202</v>
      </c>
      <c r="B2034" s="3" t="s">
        <v>1237</v>
      </c>
      <c r="C2034" s="25">
        <v>0</v>
      </c>
      <c r="D2034" s="25">
        <v>0</v>
      </c>
      <c r="E2034" s="18">
        <f t="shared" si="381"/>
        <v>0</v>
      </c>
    </row>
    <row r="2035" spans="1:5" ht="15" x14ac:dyDescent="0.2">
      <c r="A2035" s="7">
        <v>520203</v>
      </c>
      <c r="B2035" s="3" t="s">
        <v>1238</v>
      </c>
      <c r="C2035" s="25">
        <v>0</v>
      </c>
      <c r="D2035" s="25">
        <v>0</v>
      </c>
      <c r="E2035" s="18">
        <f t="shared" si="381"/>
        <v>0</v>
      </c>
    </row>
    <row r="2036" spans="1:5" ht="15" x14ac:dyDescent="0.2">
      <c r="A2036" s="7">
        <v>520207</v>
      </c>
      <c r="B2036" s="3" t="s">
        <v>1239</v>
      </c>
      <c r="C2036" s="25">
        <v>0</v>
      </c>
      <c r="D2036" s="25">
        <v>0</v>
      </c>
      <c r="E2036" s="18">
        <f t="shared" si="381"/>
        <v>0</v>
      </c>
    </row>
    <row r="2037" spans="1:5" ht="15" x14ac:dyDescent="0.2">
      <c r="A2037" s="7">
        <v>520218</v>
      </c>
      <c r="B2037" s="3" t="s">
        <v>860</v>
      </c>
      <c r="C2037" s="25">
        <v>0</v>
      </c>
      <c r="D2037" s="25">
        <v>0</v>
      </c>
      <c r="E2037" s="29">
        <f t="shared" si="381"/>
        <v>0</v>
      </c>
    </row>
    <row r="2038" spans="1:5" ht="15" x14ac:dyDescent="0.2">
      <c r="A2038" s="7">
        <v>520220</v>
      </c>
      <c r="B2038" s="3" t="s">
        <v>1240</v>
      </c>
      <c r="C2038" s="25">
        <v>0</v>
      </c>
      <c r="D2038" s="25">
        <v>0</v>
      </c>
      <c r="E2038" s="18">
        <f t="shared" si="381"/>
        <v>0</v>
      </c>
    </row>
    <row r="2039" spans="1:5" ht="15" x14ac:dyDescent="0.2">
      <c r="A2039" s="7">
        <v>520226</v>
      </c>
      <c r="B2039" s="3" t="s">
        <v>1241</v>
      </c>
      <c r="C2039" s="25">
        <v>0</v>
      </c>
      <c r="D2039" s="25">
        <v>0</v>
      </c>
      <c r="E2039" s="18">
        <f t="shared" si="381"/>
        <v>0</v>
      </c>
    </row>
    <row r="2040" spans="1:5" ht="15" x14ac:dyDescent="0.2">
      <c r="A2040" s="7">
        <v>520230</v>
      </c>
      <c r="B2040" s="3" t="s">
        <v>231</v>
      </c>
      <c r="C2040" s="25">
        <v>0</v>
      </c>
      <c r="D2040" s="25">
        <v>0</v>
      </c>
      <c r="E2040" s="18">
        <f t="shared" si="381"/>
        <v>0</v>
      </c>
    </row>
    <row r="2041" spans="1:5" ht="15" x14ac:dyDescent="0.2">
      <c r="A2041" s="7">
        <v>520232</v>
      </c>
      <c r="B2041" s="3" t="s">
        <v>1242</v>
      </c>
      <c r="C2041" s="25">
        <v>0</v>
      </c>
      <c r="D2041" s="25">
        <v>0</v>
      </c>
      <c r="E2041" s="18">
        <f t="shared" si="381"/>
        <v>0</v>
      </c>
    </row>
    <row r="2042" spans="1:5" ht="15" x14ac:dyDescent="0.2">
      <c r="A2042" s="7">
        <v>520239</v>
      </c>
      <c r="B2042" s="3" t="s">
        <v>1243</v>
      </c>
      <c r="C2042" s="25">
        <v>0</v>
      </c>
      <c r="D2042" s="25">
        <v>0</v>
      </c>
      <c r="E2042" s="18">
        <f t="shared" si="381"/>
        <v>0</v>
      </c>
    </row>
    <row r="2043" spans="1:5" ht="15" x14ac:dyDescent="0.2">
      <c r="A2043" s="7">
        <v>520240</v>
      </c>
      <c r="B2043" s="3" t="s">
        <v>1244</v>
      </c>
      <c r="C2043" s="25">
        <v>0</v>
      </c>
      <c r="D2043" s="25">
        <v>0</v>
      </c>
      <c r="E2043" s="18">
        <f t="shared" si="381"/>
        <v>0</v>
      </c>
    </row>
    <row r="2044" spans="1:5" ht="15" x14ac:dyDescent="0.2">
      <c r="A2044" s="7">
        <v>520243</v>
      </c>
      <c r="B2044" s="3" t="s">
        <v>1245</v>
      </c>
      <c r="C2044" s="25">
        <v>0</v>
      </c>
      <c r="D2044" s="25">
        <v>0</v>
      </c>
      <c r="E2044" s="18">
        <f t="shared" si="381"/>
        <v>0</v>
      </c>
    </row>
    <row r="2045" spans="1:5" ht="15" x14ac:dyDescent="0.2">
      <c r="A2045" s="6">
        <v>5203</v>
      </c>
      <c r="B2045" s="2" t="s">
        <v>1246</v>
      </c>
      <c r="C2045" s="24">
        <f>SUM(C2046:C2054)</f>
        <v>0</v>
      </c>
      <c r="D2045" s="24">
        <f t="shared" ref="D2045:E2045" si="382">SUM(D2046:D2054)</f>
        <v>0</v>
      </c>
      <c r="E2045" s="28">
        <f t="shared" si="382"/>
        <v>0</v>
      </c>
    </row>
    <row r="2046" spans="1:5" ht="15" x14ac:dyDescent="0.2">
      <c r="A2046" s="7">
        <v>520301</v>
      </c>
      <c r="B2046" s="3" t="s">
        <v>216</v>
      </c>
      <c r="C2046" s="25">
        <v>0</v>
      </c>
      <c r="D2046" s="25">
        <v>0</v>
      </c>
      <c r="E2046" s="18">
        <f t="shared" ref="E2046:E2054" si="383">SUM(C2046:D2046)</f>
        <v>0</v>
      </c>
    </row>
    <row r="2047" spans="1:5" ht="15" x14ac:dyDescent="0.2">
      <c r="A2047" s="7">
        <v>520302</v>
      </c>
      <c r="B2047" s="3" t="s">
        <v>1247</v>
      </c>
      <c r="C2047" s="25">
        <v>0</v>
      </c>
      <c r="D2047" s="25">
        <v>0</v>
      </c>
      <c r="E2047" s="18">
        <f t="shared" si="383"/>
        <v>0</v>
      </c>
    </row>
    <row r="2048" spans="1:5" ht="15" x14ac:dyDescent="0.2">
      <c r="A2048" s="7">
        <v>520303</v>
      </c>
      <c r="B2048" s="3" t="s">
        <v>243</v>
      </c>
      <c r="C2048" s="25">
        <v>0</v>
      </c>
      <c r="D2048" s="25">
        <v>0</v>
      </c>
      <c r="E2048" s="18">
        <f t="shared" si="383"/>
        <v>0</v>
      </c>
    </row>
    <row r="2049" spans="1:5" ht="15" x14ac:dyDescent="0.2">
      <c r="A2049" s="7">
        <v>520304</v>
      </c>
      <c r="B2049" s="3" t="s">
        <v>1248</v>
      </c>
      <c r="C2049" s="25">
        <v>0</v>
      </c>
      <c r="D2049" s="25">
        <v>0</v>
      </c>
      <c r="E2049" s="18">
        <f t="shared" si="383"/>
        <v>0</v>
      </c>
    </row>
    <row r="2050" spans="1:5" ht="15" x14ac:dyDescent="0.2">
      <c r="A2050" s="7">
        <v>520315</v>
      </c>
      <c r="B2050" s="3" t="s">
        <v>1249</v>
      </c>
      <c r="C2050" s="25">
        <v>0</v>
      </c>
      <c r="D2050" s="25">
        <v>0</v>
      </c>
      <c r="E2050" s="18">
        <f t="shared" si="383"/>
        <v>0</v>
      </c>
    </row>
    <row r="2051" spans="1:5" ht="15" x14ac:dyDescent="0.2">
      <c r="A2051" s="7">
        <v>520316</v>
      </c>
      <c r="B2051" s="3" t="s">
        <v>620</v>
      </c>
      <c r="C2051" s="25">
        <v>0</v>
      </c>
      <c r="D2051" s="25">
        <v>0</v>
      </c>
      <c r="E2051" s="18">
        <f t="shared" si="383"/>
        <v>0</v>
      </c>
    </row>
    <row r="2052" spans="1:5" ht="15" x14ac:dyDescent="0.2">
      <c r="A2052" s="7">
        <v>520317</v>
      </c>
      <c r="B2052" s="3" t="s">
        <v>875</v>
      </c>
      <c r="C2052" s="25">
        <v>0</v>
      </c>
      <c r="D2052" s="25">
        <v>0</v>
      </c>
      <c r="E2052" s="18">
        <f t="shared" si="383"/>
        <v>0</v>
      </c>
    </row>
    <row r="2053" spans="1:5" ht="15" x14ac:dyDescent="0.2">
      <c r="A2053" s="7">
        <v>520318</v>
      </c>
      <c r="B2053" s="3" t="s">
        <v>894</v>
      </c>
      <c r="C2053" s="25">
        <v>0</v>
      </c>
      <c r="D2053" s="25">
        <v>0</v>
      </c>
      <c r="E2053" s="18">
        <f t="shared" si="383"/>
        <v>0</v>
      </c>
    </row>
    <row r="2054" spans="1:5" ht="15" x14ac:dyDescent="0.2">
      <c r="A2054" s="7">
        <v>520390</v>
      </c>
      <c r="B2054" s="3" t="s">
        <v>1250</v>
      </c>
      <c r="C2054" s="25">
        <v>0</v>
      </c>
      <c r="D2054" s="25">
        <v>0</v>
      </c>
      <c r="E2054" s="29">
        <f t="shared" si="383"/>
        <v>0</v>
      </c>
    </row>
    <row r="2055" spans="1:5" ht="15" x14ac:dyDescent="0.2">
      <c r="A2055" s="6">
        <v>5204</v>
      </c>
      <c r="B2055" s="2" t="s">
        <v>1251</v>
      </c>
      <c r="C2055" s="24">
        <f>SUM(C2056:C2064)</f>
        <v>0</v>
      </c>
      <c r="D2055" s="24">
        <f t="shared" ref="D2055:E2055" si="384">SUM(D2056:D2064)</f>
        <v>0</v>
      </c>
      <c r="E2055" s="28">
        <f t="shared" si="384"/>
        <v>0</v>
      </c>
    </row>
    <row r="2056" spans="1:5" ht="15" x14ac:dyDescent="0.2">
      <c r="A2056" s="7">
        <v>520401</v>
      </c>
      <c r="B2056" s="3" t="s">
        <v>1252</v>
      </c>
      <c r="C2056" s="25">
        <v>0</v>
      </c>
      <c r="D2056" s="25">
        <v>0</v>
      </c>
      <c r="E2056" s="18">
        <f t="shared" ref="E2056:E2064" si="385">SUM(C2056:D2056)</f>
        <v>0</v>
      </c>
    </row>
    <row r="2057" spans="1:5" ht="15" x14ac:dyDescent="0.2">
      <c r="A2057" s="7">
        <v>520402</v>
      </c>
      <c r="B2057" s="3" t="s">
        <v>873</v>
      </c>
      <c r="C2057" s="25">
        <v>0</v>
      </c>
      <c r="D2057" s="25">
        <v>0</v>
      </c>
      <c r="E2057" s="29">
        <f t="shared" si="385"/>
        <v>0</v>
      </c>
    </row>
    <row r="2058" spans="1:5" ht="15" x14ac:dyDescent="0.2">
      <c r="A2058" s="7">
        <v>520403</v>
      </c>
      <c r="B2058" s="3" t="s">
        <v>1253</v>
      </c>
      <c r="C2058" s="25">
        <v>0</v>
      </c>
      <c r="D2058" s="25">
        <v>0</v>
      </c>
      <c r="E2058" s="29">
        <f t="shared" si="385"/>
        <v>0</v>
      </c>
    </row>
    <row r="2059" spans="1:5" ht="15" x14ac:dyDescent="0.2">
      <c r="A2059" s="7">
        <v>520404</v>
      </c>
      <c r="B2059" s="3" t="s">
        <v>1254</v>
      </c>
      <c r="C2059" s="25">
        <v>0</v>
      </c>
      <c r="D2059" s="25">
        <v>0</v>
      </c>
      <c r="E2059" s="18">
        <f t="shared" si="385"/>
        <v>0</v>
      </c>
    </row>
    <row r="2060" spans="1:5" ht="15" x14ac:dyDescent="0.2">
      <c r="A2060" s="7">
        <v>520405</v>
      </c>
      <c r="B2060" s="3" t="s">
        <v>1255</v>
      </c>
      <c r="C2060" s="25">
        <v>0</v>
      </c>
      <c r="D2060" s="25">
        <v>0</v>
      </c>
      <c r="E2060" s="29">
        <f t="shared" si="385"/>
        <v>0</v>
      </c>
    </row>
    <row r="2061" spans="1:5" ht="15" x14ac:dyDescent="0.2">
      <c r="A2061" s="7">
        <v>520406</v>
      </c>
      <c r="B2061" s="3" t="s">
        <v>1256</v>
      </c>
      <c r="C2061" s="25">
        <v>0</v>
      </c>
      <c r="D2061" s="25">
        <v>0</v>
      </c>
      <c r="E2061" s="18">
        <f t="shared" si="385"/>
        <v>0</v>
      </c>
    </row>
    <row r="2062" spans="1:5" ht="15" x14ac:dyDescent="0.2">
      <c r="A2062" s="7">
        <v>520407</v>
      </c>
      <c r="B2062" s="3" t="s">
        <v>1257</v>
      </c>
      <c r="C2062" s="25">
        <v>0</v>
      </c>
      <c r="D2062" s="25">
        <v>0</v>
      </c>
      <c r="E2062" s="29">
        <f t="shared" si="385"/>
        <v>0</v>
      </c>
    </row>
    <row r="2063" spans="1:5" ht="15" x14ac:dyDescent="0.2">
      <c r="A2063" s="7">
        <v>520408</v>
      </c>
      <c r="B2063" s="3" t="s">
        <v>874</v>
      </c>
      <c r="C2063" s="25">
        <v>0</v>
      </c>
      <c r="D2063" s="25">
        <v>0</v>
      </c>
      <c r="E2063" s="18">
        <f t="shared" si="385"/>
        <v>0</v>
      </c>
    </row>
    <row r="2064" spans="1:5" ht="15" x14ac:dyDescent="0.2">
      <c r="A2064" s="7">
        <v>520490</v>
      </c>
      <c r="B2064" s="3" t="s">
        <v>1258</v>
      </c>
      <c r="C2064" s="25">
        <v>0</v>
      </c>
      <c r="D2064" s="25">
        <v>0</v>
      </c>
      <c r="E2064" s="18">
        <f t="shared" si="385"/>
        <v>0</v>
      </c>
    </row>
    <row r="2065" spans="1:5" ht="15" x14ac:dyDescent="0.2">
      <c r="A2065" s="6">
        <v>5207</v>
      </c>
      <c r="B2065" s="2" t="s">
        <v>1259</v>
      </c>
      <c r="C2065" s="24">
        <f>SUM(C2066:C2069)</f>
        <v>0</v>
      </c>
      <c r="D2065" s="24">
        <f t="shared" ref="D2065:E2065" si="386">SUM(D2066:D2069)</f>
        <v>0</v>
      </c>
      <c r="E2065" s="28">
        <f t="shared" si="386"/>
        <v>0</v>
      </c>
    </row>
    <row r="2066" spans="1:5" ht="15" x14ac:dyDescent="0.2">
      <c r="A2066" s="7">
        <v>520701</v>
      </c>
      <c r="B2066" s="3" t="s">
        <v>1260</v>
      </c>
      <c r="C2066" s="25">
        <v>0</v>
      </c>
      <c r="D2066" s="25">
        <v>0</v>
      </c>
      <c r="E2066" s="29">
        <f t="shared" ref="E2066:E2069" si="387">SUM(C2066:D2066)</f>
        <v>0</v>
      </c>
    </row>
    <row r="2067" spans="1:5" ht="15" x14ac:dyDescent="0.2">
      <c r="A2067" s="7">
        <v>520702</v>
      </c>
      <c r="B2067" s="3" t="s">
        <v>1261</v>
      </c>
      <c r="C2067" s="25">
        <v>0</v>
      </c>
      <c r="D2067" s="25">
        <v>0</v>
      </c>
      <c r="E2067" s="29">
        <f t="shared" si="387"/>
        <v>0</v>
      </c>
    </row>
    <row r="2068" spans="1:5" ht="15" x14ac:dyDescent="0.2">
      <c r="A2068" s="7">
        <v>520703</v>
      </c>
      <c r="B2068" s="3" t="s">
        <v>1262</v>
      </c>
      <c r="C2068" s="25">
        <v>0</v>
      </c>
      <c r="D2068" s="25">
        <v>0</v>
      </c>
      <c r="E2068" s="18">
        <f t="shared" si="387"/>
        <v>0</v>
      </c>
    </row>
    <row r="2069" spans="1:5" ht="15" x14ac:dyDescent="0.2">
      <c r="A2069" s="7">
        <v>520704</v>
      </c>
      <c r="B2069" s="3" t="s">
        <v>1263</v>
      </c>
      <c r="C2069" s="25">
        <v>0</v>
      </c>
      <c r="D2069" s="25">
        <v>0</v>
      </c>
      <c r="E2069" s="18">
        <f t="shared" si="387"/>
        <v>0</v>
      </c>
    </row>
    <row r="2070" spans="1:5" ht="15" x14ac:dyDescent="0.2">
      <c r="A2070" s="6">
        <v>5208</v>
      </c>
      <c r="B2070" s="2" t="s">
        <v>1264</v>
      </c>
      <c r="C2070" s="24">
        <f>SUM(C2071:C2079)</f>
        <v>0</v>
      </c>
      <c r="D2070" s="24">
        <f t="shared" ref="D2070:E2070" si="388">SUM(D2071:D2079)</f>
        <v>0</v>
      </c>
      <c r="E2070" s="28">
        <f t="shared" si="388"/>
        <v>0</v>
      </c>
    </row>
    <row r="2071" spans="1:5" ht="15" x14ac:dyDescent="0.2">
      <c r="A2071" s="7">
        <v>520801</v>
      </c>
      <c r="B2071" s="3" t="s">
        <v>856</v>
      </c>
      <c r="C2071" s="25">
        <v>0</v>
      </c>
      <c r="D2071" s="25">
        <v>0</v>
      </c>
      <c r="E2071" s="18">
        <f t="shared" ref="E2071:E2079" si="389">SUM(C2071:D2071)</f>
        <v>0</v>
      </c>
    </row>
    <row r="2072" spans="1:5" ht="15" x14ac:dyDescent="0.2">
      <c r="A2072" s="7">
        <v>520802</v>
      </c>
      <c r="B2072" s="3" t="s">
        <v>854</v>
      </c>
      <c r="C2072" s="25">
        <v>0</v>
      </c>
      <c r="D2072" s="25">
        <v>0</v>
      </c>
      <c r="E2072" s="18">
        <f t="shared" si="389"/>
        <v>0</v>
      </c>
    </row>
    <row r="2073" spans="1:5" ht="15" x14ac:dyDescent="0.2">
      <c r="A2073" s="7">
        <v>520803</v>
      </c>
      <c r="B2073" s="3" t="s">
        <v>1265</v>
      </c>
      <c r="C2073" s="25">
        <v>0</v>
      </c>
      <c r="D2073" s="25">
        <v>0</v>
      </c>
      <c r="E2073" s="18">
        <f t="shared" si="389"/>
        <v>0</v>
      </c>
    </row>
    <row r="2074" spans="1:5" ht="15" x14ac:dyDescent="0.2">
      <c r="A2074" s="7">
        <v>520804</v>
      </c>
      <c r="B2074" s="3" t="s">
        <v>857</v>
      </c>
      <c r="C2074" s="25">
        <v>0</v>
      </c>
      <c r="D2074" s="25">
        <v>0</v>
      </c>
      <c r="E2074" s="29">
        <f t="shared" si="389"/>
        <v>0</v>
      </c>
    </row>
    <row r="2075" spans="1:5" ht="15" x14ac:dyDescent="0.2">
      <c r="A2075" s="7">
        <v>520805</v>
      </c>
      <c r="B2075" s="3" t="s">
        <v>859</v>
      </c>
      <c r="C2075" s="25">
        <v>0</v>
      </c>
      <c r="D2075" s="25">
        <v>0</v>
      </c>
      <c r="E2075" s="29">
        <f t="shared" si="389"/>
        <v>0</v>
      </c>
    </row>
    <row r="2076" spans="1:5" ht="15" x14ac:dyDescent="0.2">
      <c r="A2076" s="7">
        <v>520806</v>
      </c>
      <c r="B2076" s="3" t="s">
        <v>858</v>
      </c>
      <c r="C2076" s="25">
        <v>0</v>
      </c>
      <c r="D2076" s="25">
        <v>0</v>
      </c>
      <c r="E2076" s="29">
        <f t="shared" si="389"/>
        <v>0</v>
      </c>
    </row>
    <row r="2077" spans="1:5" ht="15" x14ac:dyDescent="0.2">
      <c r="A2077" s="7">
        <v>520807</v>
      </c>
      <c r="B2077" s="3" t="s">
        <v>879</v>
      </c>
      <c r="C2077" s="25">
        <v>0</v>
      </c>
      <c r="D2077" s="25">
        <v>0</v>
      </c>
      <c r="E2077" s="18">
        <f t="shared" si="389"/>
        <v>0</v>
      </c>
    </row>
    <row r="2078" spans="1:5" ht="15" x14ac:dyDescent="0.2">
      <c r="A2078" s="7">
        <v>520890</v>
      </c>
      <c r="B2078" s="3" t="s">
        <v>861</v>
      </c>
      <c r="C2078" s="25">
        <v>0</v>
      </c>
      <c r="D2078" s="25">
        <v>0</v>
      </c>
      <c r="E2078" s="18">
        <f t="shared" si="389"/>
        <v>0</v>
      </c>
    </row>
    <row r="2079" spans="1:5" ht="15" x14ac:dyDescent="0.2">
      <c r="A2079" s="7">
        <v>520895</v>
      </c>
      <c r="B2079" s="3" t="s">
        <v>1266</v>
      </c>
      <c r="C2079" s="25">
        <v>0</v>
      </c>
      <c r="D2079" s="25">
        <v>0</v>
      </c>
      <c r="E2079" s="18">
        <f t="shared" si="389"/>
        <v>0</v>
      </c>
    </row>
    <row r="2080" spans="1:5" ht="15" x14ac:dyDescent="0.2">
      <c r="A2080" s="6">
        <v>5211</v>
      </c>
      <c r="B2080" s="2" t="s">
        <v>1272</v>
      </c>
      <c r="C2080" s="24">
        <f>SUM(C2081:C2105)</f>
        <v>0</v>
      </c>
      <c r="D2080" s="24">
        <f t="shared" ref="D2080:E2080" si="390">SUM(D2081:D2105)</f>
        <v>0</v>
      </c>
      <c r="E2080" s="28">
        <f t="shared" si="390"/>
        <v>0</v>
      </c>
    </row>
    <row r="2081" spans="1:5" ht="15" x14ac:dyDescent="0.2">
      <c r="A2081" s="7">
        <v>521110</v>
      </c>
      <c r="B2081" s="3" t="s">
        <v>1280</v>
      </c>
      <c r="C2081" s="25">
        <v>0</v>
      </c>
      <c r="D2081" s="25">
        <v>0</v>
      </c>
      <c r="E2081" s="18">
        <f t="shared" ref="E2081:E2105" si="391">SUM(C2081:D2081)</f>
        <v>0</v>
      </c>
    </row>
    <row r="2082" spans="1:5" ht="15" x14ac:dyDescent="0.2">
      <c r="A2082" s="7">
        <v>521111</v>
      </c>
      <c r="B2082" s="3" t="s">
        <v>1281</v>
      </c>
      <c r="C2082" s="25">
        <v>0</v>
      </c>
      <c r="D2082" s="25">
        <v>0</v>
      </c>
      <c r="E2082" s="18">
        <f t="shared" si="391"/>
        <v>0</v>
      </c>
    </row>
    <row r="2083" spans="1:5" ht="15" x14ac:dyDescent="0.2">
      <c r="A2083" s="7">
        <v>521113</v>
      </c>
      <c r="B2083" s="3" t="s">
        <v>565</v>
      </c>
      <c r="C2083" s="25">
        <v>0</v>
      </c>
      <c r="D2083" s="25">
        <v>0</v>
      </c>
      <c r="E2083" s="18">
        <f t="shared" si="391"/>
        <v>0</v>
      </c>
    </row>
    <row r="2084" spans="1:5" ht="15" x14ac:dyDescent="0.2">
      <c r="A2084" s="7">
        <v>521114</v>
      </c>
      <c r="B2084" s="3" t="s">
        <v>1282</v>
      </c>
      <c r="C2084" s="25">
        <v>0</v>
      </c>
      <c r="D2084" s="25">
        <v>0</v>
      </c>
      <c r="E2084" s="18">
        <f t="shared" si="391"/>
        <v>0</v>
      </c>
    </row>
    <row r="2085" spans="1:5" ht="15" x14ac:dyDescent="0.2">
      <c r="A2085" s="7">
        <v>521115</v>
      </c>
      <c r="B2085" s="3" t="s">
        <v>838</v>
      </c>
      <c r="C2085" s="25">
        <v>0</v>
      </c>
      <c r="D2085" s="25">
        <v>0</v>
      </c>
      <c r="E2085" s="18">
        <f t="shared" si="391"/>
        <v>0</v>
      </c>
    </row>
    <row r="2086" spans="1:5" ht="15" x14ac:dyDescent="0.2">
      <c r="A2086" s="7">
        <v>521116</v>
      </c>
      <c r="B2086" s="3" t="s">
        <v>256</v>
      </c>
      <c r="C2086" s="25">
        <v>0</v>
      </c>
      <c r="D2086" s="25">
        <v>0</v>
      </c>
      <c r="E2086" s="18">
        <f t="shared" si="391"/>
        <v>0</v>
      </c>
    </row>
    <row r="2087" spans="1:5" ht="15" x14ac:dyDescent="0.2">
      <c r="A2087" s="7">
        <v>521117</v>
      </c>
      <c r="B2087" s="3" t="s">
        <v>823</v>
      </c>
      <c r="C2087" s="25">
        <v>0</v>
      </c>
      <c r="D2087" s="25">
        <v>0</v>
      </c>
      <c r="E2087" s="18">
        <f t="shared" si="391"/>
        <v>0</v>
      </c>
    </row>
    <row r="2088" spans="1:5" ht="15" x14ac:dyDescent="0.2">
      <c r="A2088" s="7">
        <v>521118</v>
      </c>
      <c r="B2088" s="3" t="s">
        <v>143</v>
      </c>
      <c r="C2088" s="25">
        <v>0</v>
      </c>
      <c r="D2088" s="25">
        <v>0</v>
      </c>
      <c r="E2088" s="18">
        <f t="shared" si="391"/>
        <v>0</v>
      </c>
    </row>
    <row r="2089" spans="1:5" ht="15" x14ac:dyDescent="0.2">
      <c r="A2089" s="7">
        <v>521119</v>
      </c>
      <c r="B2089" s="3" t="s">
        <v>564</v>
      </c>
      <c r="C2089" s="25">
        <v>0</v>
      </c>
      <c r="D2089" s="25">
        <v>0</v>
      </c>
      <c r="E2089" s="18">
        <f t="shared" si="391"/>
        <v>0</v>
      </c>
    </row>
    <row r="2090" spans="1:5" ht="15" x14ac:dyDescent="0.2">
      <c r="A2090" s="7">
        <v>521120</v>
      </c>
      <c r="B2090" s="3" t="s">
        <v>1206</v>
      </c>
      <c r="C2090" s="25">
        <v>0</v>
      </c>
      <c r="D2090" s="25">
        <v>0</v>
      </c>
      <c r="E2090" s="18">
        <f t="shared" si="391"/>
        <v>0</v>
      </c>
    </row>
    <row r="2091" spans="1:5" ht="15" x14ac:dyDescent="0.2">
      <c r="A2091" s="7">
        <v>521121</v>
      </c>
      <c r="B2091" s="3" t="s">
        <v>1283</v>
      </c>
      <c r="C2091" s="25">
        <v>0</v>
      </c>
      <c r="D2091" s="25">
        <v>0</v>
      </c>
      <c r="E2091" s="18">
        <f t="shared" si="391"/>
        <v>0</v>
      </c>
    </row>
    <row r="2092" spans="1:5" ht="15" x14ac:dyDescent="0.2">
      <c r="A2092" s="7">
        <v>521123</v>
      </c>
      <c r="B2092" s="3" t="s">
        <v>1284</v>
      </c>
      <c r="C2092" s="25">
        <v>0</v>
      </c>
      <c r="D2092" s="25">
        <v>0</v>
      </c>
      <c r="E2092" s="29">
        <f t="shared" si="391"/>
        <v>0</v>
      </c>
    </row>
    <row r="2093" spans="1:5" ht="15" x14ac:dyDescent="0.2">
      <c r="A2093" s="7">
        <v>521125</v>
      </c>
      <c r="B2093" s="3" t="s">
        <v>1285</v>
      </c>
      <c r="C2093" s="25">
        <v>0</v>
      </c>
      <c r="D2093" s="25">
        <v>0</v>
      </c>
      <c r="E2093" s="18">
        <f t="shared" si="391"/>
        <v>0</v>
      </c>
    </row>
    <row r="2094" spans="1:5" ht="15" x14ac:dyDescent="0.2">
      <c r="A2094" s="7">
        <v>521130</v>
      </c>
      <c r="B2094" s="3" t="s">
        <v>1286</v>
      </c>
      <c r="C2094" s="25">
        <v>0</v>
      </c>
      <c r="D2094" s="25">
        <v>0</v>
      </c>
      <c r="E2094" s="18">
        <f t="shared" si="391"/>
        <v>0</v>
      </c>
    </row>
    <row r="2095" spans="1:5" ht="15" x14ac:dyDescent="0.2">
      <c r="A2095" s="7">
        <v>521144</v>
      </c>
      <c r="B2095" s="3" t="s">
        <v>345</v>
      </c>
      <c r="C2095" s="25">
        <v>0</v>
      </c>
      <c r="D2095" s="25">
        <v>0</v>
      </c>
      <c r="E2095" s="18">
        <f t="shared" si="391"/>
        <v>0</v>
      </c>
    </row>
    <row r="2096" spans="1:5" ht="15" x14ac:dyDescent="0.2">
      <c r="A2096" s="7">
        <v>521147</v>
      </c>
      <c r="B2096" s="3" t="s">
        <v>1294</v>
      </c>
      <c r="C2096" s="25">
        <v>0</v>
      </c>
      <c r="D2096" s="25">
        <v>0</v>
      </c>
      <c r="E2096" s="18">
        <f t="shared" si="391"/>
        <v>0</v>
      </c>
    </row>
    <row r="2097" spans="1:5" ht="15" x14ac:dyDescent="0.2">
      <c r="A2097" s="7">
        <v>521153</v>
      </c>
      <c r="B2097" s="3" t="s">
        <v>1298</v>
      </c>
      <c r="C2097" s="25">
        <v>0</v>
      </c>
      <c r="D2097" s="25">
        <v>0</v>
      </c>
      <c r="E2097" s="18">
        <f t="shared" si="391"/>
        <v>0</v>
      </c>
    </row>
    <row r="2098" spans="1:5" ht="15" x14ac:dyDescent="0.2">
      <c r="A2098" s="7">
        <v>521154</v>
      </c>
      <c r="B2098" s="3" t="s">
        <v>566</v>
      </c>
      <c r="C2098" s="25">
        <v>0</v>
      </c>
      <c r="D2098" s="25">
        <v>0</v>
      </c>
      <c r="E2098" s="18">
        <f t="shared" si="391"/>
        <v>0</v>
      </c>
    </row>
    <row r="2099" spans="1:5" ht="15" x14ac:dyDescent="0.2">
      <c r="A2099" s="7">
        <v>521160</v>
      </c>
      <c r="B2099" s="3" t="s">
        <v>1301</v>
      </c>
      <c r="C2099" s="25">
        <v>0</v>
      </c>
      <c r="D2099" s="25">
        <v>0</v>
      </c>
      <c r="E2099" s="18">
        <f t="shared" si="391"/>
        <v>0</v>
      </c>
    </row>
    <row r="2100" spans="1:5" ht="15" x14ac:dyDescent="0.2">
      <c r="A2100" s="7">
        <v>521162</v>
      </c>
      <c r="B2100" s="3" t="s">
        <v>1303</v>
      </c>
      <c r="C2100" s="25">
        <v>0</v>
      </c>
      <c r="D2100" s="25">
        <v>0</v>
      </c>
      <c r="E2100" s="18">
        <f t="shared" si="391"/>
        <v>0</v>
      </c>
    </row>
    <row r="2101" spans="1:5" ht="15" x14ac:dyDescent="0.2">
      <c r="A2101" s="7">
        <v>521163</v>
      </c>
      <c r="B2101" s="3" t="s">
        <v>825</v>
      </c>
      <c r="C2101" s="25">
        <v>0</v>
      </c>
      <c r="D2101" s="25">
        <v>0</v>
      </c>
      <c r="E2101" s="18">
        <f t="shared" si="391"/>
        <v>0</v>
      </c>
    </row>
    <row r="2102" spans="1:5" ht="15" x14ac:dyDescent="0.2">
      <c r="A2102" s="7">
        <v>521171</v>
      </c>
      <c r="B2102" s="3" t="s">
        <v>231</v>
      </c>
      <c r="C2102" s="25">
        <v>0</v>
      </c>
      <c r="D2102" s="25">
        <v>0</v>
      </c>
      <c r="E2102" s="18">
        <f t="shared" si="391"/>
        <v>0</v>
      </c>
    </row>
    <row r="2103" spans="1:5" ht="15" x14ac:dyDescent="0.2">
      <c r="A2103" s="7">
        <v>521172</v>
      </c>
      <c r="B2103" s="3" t="s">
        <v>242</v>
      </c>
      <c r="C2103" s="25">
        <v>0</v>
      </c>
      <c r="D2103" s="25">
        <v>0</v>
      </c>
      <c r="E2103" s="18">
        <f t="shared" si="391"/>
        <v>0</v>
      </c>
    </row>
    <row r="2104" spans="1:5" ht="15" x14ac:dyDescent="0.2">
      <c r="A2104" s="7">
        <v>521173</v>
      </c>
      <c r="B2104" s="3" t="s">
        <v>724</v>
      </c>
      <c r="C2104" s="25">
        <v>0</v>
      </c>
      <c r="D2104" s="25">
        <v>0</v>
      </c>
      <c r="E2104" s="18">
        <f t="shared" si="391"/>
        <v>0</v>
      </c>
    </row>
    <row r="2105" spans="1:5" ht="15" x14ac:dyDescent="0.2">
      <c r="A2105" s="7">
        <v>521190</v>
      </c>
      <c r="B2105" s="3" t="s">
        <v>1308</v>
      </c>
      <c r="C2105" s="25">
        <v>0</v>
      </c>
      <c r="D2105" s="25">
        <v>0</v>
      </c>
      <c r="E2105" s="18">
        <f t="shared" si="391"/>
        <v>0</v>
      </c>
    </row>
    <row r="2106" spans="1:5" ht="15" x14ac:dyDescent="0.2">
      <c r="A2106" s="6">
        <v>5212</v>
      </c>
      <c r="B2106" s="2" t="s">
        <v>1267</v>
      </c>
      <c r="C2106" s="24">
        <f>SUM(C2107:C2119)</f>
        <v>0</v>
      </c>
      <c r="D2106" s="24">
        <f t="shared" ref="D2106:E2106" si="392">SUM(D2107:D2119)</f>
        <v>0</v>
      </c>
      <c r="E2106" s="28">
        <f t="shared" si="392"/>
        <v>0</v>
      </c>
    </row>
    <row r="2107" spans="1:5" ht="15" x14ac:dyDescent="0.2">
      <c r="A2107" s="7">
        <v>521201</v>
      </c>
      <c r="B2107" s="3" t="s">
        <v>864</v>
      </c>
      <c r="C2107" s="25">
        <v>0</v>
      </c>
      <c r="D2107" s="25">
        <v>0</v>
      </c>
      <c r="E2107" s="18">
        <f t="shared" ref="E2107:E2119" si="393">SUM(C2107:D2107)</f>
        <v>0</v>
      </c>
    </row>
    <row r="2108" spans="1:5" ht="15" x14ac:dyDescent="0.2">
      <c r="A2108" s="7">
        <v>521202</v>
      </c>
      <c r="B2108" s="3" t="s">
        <v>242</v>
      </c>
      <c r="C2108" s="25">
        <v>0</v>
      </c>
      <c r="D2108" s="25">
        <v>0</v>
      </c>
      <c r="E2108" s="18">
        <f t="shared" si="393"/>
        <v>0</v>
      </c>
    </row>
    <row r="2109" spans="1:5" ht="15" x14ac:dyDescent="0.2">
      <c r="A2109" s="7">
        <v>521203</v>
      </c>
      <c r="B2109" s="3" t="s">
        <v>865</v>
      </c>
      <c r="C2109" s="25">
        <v>0</v>
      </c>
      <c r="D2109" s="25">
        <v>0</v>
      </c>
      <c r="E2109" s="18">
        <f t="shared" si="393"/>
        <v>0</v>
      </c>
    </row>
    <row r="2110" spans="1:5" ht="15" x14ac:dyDescent="0.2">
      <c r="A2110" s="7">
        <v>521204</v>
      </c>
      <c r="B2110" s="3" t="s">
        <v>866</v>
      </c>
      <c r="C2110" s="25">
        <v>0</v>
      </c>
      <c r="D2110" s="25">
        <v>0</v>
      </c>
      <c r="E2110" s="29">
        <f t="shared" si="393"/>
        <v>0</v>
      </c>
    </row>
    <row r="2111" spans="1:5" ht="15" x14ac:dyDescent="0.2">
      <c r="A2111" s="7">
        <v>521205</v>
      </c>
      <c r="B2111" s="3" t="s">
        <v>867</v>
      </c>
      <c r="C2111" s="25">
        <v>0</v>
      </c>
      <c r="D2111" s="25">
        <v>0</v>
      </c>
      <c r="E2111" s="18">
        <f t="shared" si="393"/>
        <v>0</v>
      </c>
    </row>
    <row r="2112" spans="1:5" ht="15" x14ac:dyDescent="0.2">
      <c r="A2112" s="7">
        <v>521206</v>
      </c>
      <c r="B2112" s="3" t="s">
        <v>868</v>
      </c>
      <c r="C2112" s="25">
        <v>0</v>
      </c>
      <c r="D2112" s="25">
        <v>0</v>
      </c>
      <c r="E2112" s="18">
        <f t="shared" si="393"/>
        <v>0</v>
      </c>
    </row>
    <row r="2113" spans="1:5" ht="15" x14ac:dyDescent="0.2">
      <c r="A2113" s="7">
        <v>521207</v>
      </c>
      <c r="B2113" s="3" t="s">
        <v>869</v>
      </c>
      <c r="C2113" s="25">
        <v>0</v>
      </c>
      <c r="D2113" s="25">
        <v>0</v>
      </c>
      <c r="E2113" s="18">
        <f t="shared" si="393"/>
        <v>0</v>
      </c>
    </row>
    <row r="2114" spans="1:5" ht="15" x14ac:dyDescent="0.2">
      <c r="A2114" s="7">
        <v>521209</v>
      </c>
      <c r="B2114" s="3" t="s">
        <v>827</v>
      </c>
      <c r="C2114" s="25">
        <v>0</v>
      </c>
      <c r="D2114" s="25">
        <v>0</v>
      </c>
      <c r="E2114" s="18">
        <f t="shared" si="393"/>
        <v>0</v>
      </c>
    </row>
    <row r="2115" spans="1:5" ht="15" x14ac:dyDescent="0.2">
      <c r="A2115" s="7">
        <v>521210</v>
      </c>
      <c r="B2115" s="3" t="s">
        <v>1268</v>
      </c>
      <c r="C2115" s="25">
        <v>0</v>
      </c>
      <c r="D2115" s="25">
        <v>0</v>
      </c>
      <c r="E2115" s="18">
        <f t="shared" si="393"/>
        <v>0</v>
      </c>
    </row>
    <row r="2116" spans="1:5" ht="15" x14ac:dyDescent="0.2">
      <c r="A2116" s="7">
        <v>521211</v>
      </c>
      <c r="B2116" s="3" t="s">
        <v>1269</v>
      </c>
      <c r="C2116" s="25">
        <v>0</v>
      </c>
      <c r="D2116" s="25">
        <v>0</v>
      </c>
      <c r="E2116" s="18">
        <f t="shared" si="393"/>
        <v>0</v>
      </c>
    </row>
    <row r="2117" spans="1:5" ht="15" x14ac:dyDescent="0.2">
      <c r="A2117" s="7">
        <v>521212</v>
      </c>
      <c r="B2117" s="3" t="s">
        <v>1216</v>
      </c>
      <c r="C2117" s="25">
        <v>0</v>
      </c>
      <c r="D2117" s="25">
        <v>0</v>
      </c>
      <c r="E2117" s="18">
        <f t="shared" si="393"/>
        <v>0</v>
      </c>
    </row>
    <row r="2118" spans="1:5" ht="15" x14ac:dyDescent="0.2">
      <c r="A2118" s="7">
        <v>521213</v>
      </c>
      <c r="B2118" s="3" t="s">
        <v>1270</v>
      </c>
      <c r="C2118" s="25">
        <v>0</v>
      </c>
      <c r="D2118" s="25">
        <v>0</v>
      </c>
      <c r="E2118" s="18">
        <f t="shared" si="393"/>
        <v>0</v>
      </c>
    </row>
    <row r="2119" spans="1:5" ht="15" x14ac:dyDescent="0.2">
      <c r="A2119" s="7">
        <v>521290</v>
      </c>
      <c r="B2119" s="3" t="s">
        <v>1271</v>
      </c>
      <c r="C2119" s="25">
        <v>0</v>
      </c>
      <c r="D2119" s="25">
        <v>0</v>
      </c>
      <c r="E2119" s="18">
        <f t="shared" si="393"/>
        <v>0</v>
      </c>
    </row>
    <row r="2120" spans="1:5" ht="15" x14ac:dyDescent="0.2">
      <c r="A2120" s="6">
        <v>5220</v>
      </c>
      <c r="B2120" s="2" t="s">
        <v>742</v>
      </c>
      <c r="C2120" s="24">
        <f>SUM(C2121:C2137)</f>
        <v>0</v>
      </c>
      <c r="D2120" s="24">
        <f t="shared" ref="D2120:E2120" si="394">SUM(D2121:D2137)</f>
        <v>0</v>
      </c>
      <c r="E2120" s="17">
        <f t="shared" si="394"/>
        <v>0</v>
      </c>
    </row>
    <row r="2121" spans="1:5" ht="15" x14ac:dyDescent="0.2">
      <c r="A2121" s="7">
        <v>522001</v>
      </c>
      <c r="B2121" s="3" t="s">
        <v>744</v>
      </c>
      <c r="C2121" s="25">
        <v>0</v>
      </c>
      <c r="D2121" s="25">
        <v>0</v>
      </c>
      <c r="E2121" s="18">
        <f t="shared" ref="E2121:E2137" si="395">SUM(C2121:D2121)</f>
        <v>0</v>
      </c>
    </row>
    <row r="2122" spans="1:5" ht="15" x14ac:dyDescent="0.2">
      <c r="A2122" s="7">
        <v>522009</v>
      </c>
      <c r="B2122" s="3" t="s">
        <v>745</v>
      </c>
      <c r="C2122" s="25">
        <v>0</v>
      </c>
      <c r="D2122" s="25">
        <v>0</v>
      </c>
      <c r="E2122" s="18">
        <f t="shared" si="395"/>
        <v>0</v>
      </c>
    </row>
    <row r="2123" spans="1:5" ht="15" x14ac:dyDescent="0.2">
      <c r="A2123" s="7">
        <v>522010</v>
      </c>
      <c r="B2123" s="3" t="s">
        <v>756</v>
      </c>
      <c r="C2123" s="25">
        <v>0</v>
      </c>
      <c r="D2123" s="25">
        <v>0</v>
      </c>
      <c r="E2123" s="18">
        <f t="shared" si="395"/>
        <v>0</v>
      </c>
    </row>
    <row r="2124" spans="1:5" ht="15" x14ac:dyDescent="0.2">
      <c r="A2124" s="7">
        <v>522011</v>
      </c>
      <c r="B2124" s="3" t="s">
        <v>751</v>
      </c>
      <c r="C2124" s="25">
        <v>0</v>
      </c>
      <c r="D2124" s="25">
        <v>0</v>
      </c>
      <c r="E2124" s="18">
        <f t="shared" si="395"/>
        <v>0</v>
      </c>
    </row>
    <row r="2125" spans="1:5" ht="15" x14ac:dyDescent="0.2">
      <c r="A2125" s="7">
        <v>522012</v>
      </c>
      <c r="B2125" s="3" t="s">
        <v>747</v>
      </c>
      <c r="C2125" s="25">
        <v>0</v>
      </c>
      <c r="D2125" s="25">
        <v>0</v>
      </c>
      <c r="E2125" s="18">
        <f t="shared" si="395"/>
        <v>0</v>
      </c>
    </row>
    <row r="2126" spans="1:5" ht="15" x14ac:dyDescent="0.2">
      <c r="A2126" s="7">
        <v>522017</v>
      </c>
      <c r="B2126" s="3" t="s">
        <v>252</v>
      </c>
      <c r="C2126" s="25">
        <v>0</v>
      </c>
      <c r="D2126" s="25">
        <v>0</v>
      </c>
      <c r="E2126" s="18">
        <f t="shared" si="395"/>
        <v>0</v>
      </c>
    </row>
    <row r="2127" spans="1:5" ht="15" x14ac:dyDescent="0.2">
      <c r="A2127" s="7">
        <v>522019</v>
      </c>
      <c r="B2127" s="3" t="s">
        <v>1309</v>
      </c>
      <c r="C2127" s="25">
        <v>0</v>
      </c>
      <c r="D2127" s="25">
        <v>0</v>
      </c>
      <c r="E2127" s="18">
        <f t="shared" si="395"/>
        <v>0</v>
      </c>
    </row>
    <row r="2128" spans="1:5" ht="15" x14ac:dyDescent="0.2">
      <c r="A2128" s="7">
        <v>522024</v>
      </c>
      <c r="B2128" s="3" t="s">
        <v>752</v>
      </c>
      <c r="C2128" s="25">
        <v>0</v>
      </c>
      <c r="D2128" s="25">
        <v>0</v>
      </c>
      <c r="E2128" s="18">
        <f t="shared" si="395"/>
        <v>0</v>
      </c>
    </row>
    <row r="2129" spans="1:5" ht="15" x14ac:dyDescent="0.2">
      <c r="A2129" s="7">
        <v>522025</v>
      </c>
      <c r="B2129" s="3" t="s">
        <v>741</v>
      </c>
      <c r="C2129" s="25">
        <v>0</v>
      </c>
      <c r="D2129" s="25">
        <v>0</v>
      </c>
      <c r="E2129" s="18">
        <f t="shared" si="395"/>
        <v>0</v>
      </c>
    </row>
    <row r="2130" spans="1:5" ht="15" x14ac:dyDescent="0.2">
      <c r="A2130" s="7">
        <v>522026</v>
      </c>
      <c r="B2130" s="3" t="s">
        <v>755</v>
      </c>
      <c r="C2130" s="25">
        <v>0</v>
      </c>
      <c r="D2130" s="25">
        <v>0</v>
      </c>
      <c r="E2130" s="18">
        <f t="shared" si="395"/>
        <v>0</v>
      </c>
    </row>
    <row r="2131" spans="1:5" ht="15" x14ac:dyDescent="0.2">
      <c r="A2131" s="7">
        <v>522027</v>
      </c>
      <c r="B2131" s="3" t="s">
        <v>620</v>
      </c>
      <c r="C2131" s="25">
        <v>0</v>
      </c>
      <c r="D2131" s="25">
        <v>0</v>
      </c>
      <c r="E2131" s="18">
        <f t="shared" si="395"/>
        <v>0</v>
      </c>
    </row>
    <row r="2132" spans="1:5" ht="15" x14ac:dyDescent="0.2">
      <c r="A2132" s="7">
        <v>522028</v>
      </c>
      <c r="B2132" s="3" t="s">
        <v>746</v>
      </c>
      <c r="C2132" s="25">
        <v>0</v>
      </c>
      <c r="D2132" s="25">
        <v>0</v>
      </c>
      <c r="E2132" s="18">
        <f t="shared" si="395"/>
        <v>0</v>
      </c>
    </row>
    <row r="2133" spans="1:5" ht="15" x14ac:dyDescent="0.2">
      <c r="A2133" s="7">
        <v>522029</v>
      </c>
      <c r="B2133" s="3" t="s">
        <v>757</v>
      </c>
      <c r="C2133" s="25">
        <v>0</v>
      </c>
      <c r="D2133" s="25">
        <v>0</v>
      </c>
      <c r="E2133" s="18">
        <f t="shared" si="395"/>
        <v>0</v>
      </c>
    </row>
    <row r="2134" spans="1:5" ht="15" x14ac:dyDescent="0.2">
      <c r="A2134" s="7">
        <v>522034</v>
      </c>
      <c r="B2134" s="3" t="s">
        <v>113</v>
      </c>
      <c r="C2134" s="25">
        <v>0</v>
      </c>
      <c r="D2134" s="25">
        <v>0</v>
      </c>
      <c r="E2134" s="18">
        <f t="shared" si="395"/>
        <v>0</v>
      </c>
    </row>
    <row r="2135" spans="1:5" ht="15" x14ac:dyDescent="0.2">
      <c r="A2135" s="7">
        <v>522035</v>
      </c>
      <c r="B2135" s="3" t="s">
        <v>761</v>
      </c>
      <c r="C2135" s="25">
        <v>0</v>
      </c>
      <c r="D2135" s="25">
        <v>0</v>
      </c>
      <c r="E2135" s="18">
        <f t="shared" si="395"/>
        <v>0</v>
      </c>
    </row>
    <row r="2136" spans="1:5" ht="15" x14ac:dyDescent="0.2">
      <c r="A2136" s="7">
        <v>522036</v>
      </c>
      <c r="B2136" s="3" t="s">
        <v>763</v>
      </c>
      <c r="C2136" s="25">
        <v>0</v>
      </c>
      <c r="D2136" s="25">
        <v>0</v>
      </c>
      <c r="E2136" s="18">
        <f t="shared" si="395"/>
        <v>0</v>
      </c>
    </row>
    <row r="2137" spans="1:5" ht="15" x14ac:dyDescent="0.2">
      <c r="A2137" s="7">
        <v>522090</v>
      </c>
      <c r="B2137" s="3" t="s">
        <v>1310</v>
      </c>
      <c r="C2137" s="25">
        <v>0</v>
      </c>
      <c r="D2137" s="25">
        <v>0</v>
      </c>
      <c r="E2137" s="18">
        <f t="shared" si="395"/>
        <v>0</v>
      </c>
    </row>
    <row r="2138" spans="1:5" ht="15" x14ac:dyDescent="0.2">
      <c r="A2138" s="6">
        <v>53</v>
      </c>
      <c r="B2138" s="2" t="s">
        <v>1312</v>
      </c>
      <c r="C2138" s="24">
        <f>SUM(C2139,C2146,C2159,C2170,C2172,C2181,C2203,C2208,C2219,C2224,C2242,C2245,C2250,C2259,C2266,C2269)</f>
        <v>406200</v>
      </c>
      <c r="D2138" s="24">
        <f>SUM(D2139,D2146,D2159,D2170,D2172,D2181,D2203,D2208,D2219,D2224,D2242,D2245,D2250,D2259,D2266,D2269)</f>
        <v>0</v>
      </c>
      <c r="E2138" s="28">
        <f>SUM(E2139,E2146,E2159,E2170,E2172,E2181,E2203,E2208,E2219,E2224,E2242,E2245,E2250,E2259,E2266,E2269)</f>
        <v>406200</v>
      </c>
    </row>
    <row r="2139" spans="1:5" ht="15" x14ac:dyDescent="0.2">
      <c r="A2139" s="6">
        <v>5346</v>
      </c>
      <c r="B2139" s="2" t="s">
        <v>1313</v>
      </c>
      <c r="C2139" s="24">
        <f>SUM(C2140:C2145)</f>
        <v>0</v>
      </c>
      <c r="D2139" s="24">
        <f t="shared" ref="D2139:E2139" si="396">SUM(D2140:D2145)</f>
        <v>0</v>
      </c>
      <c r="E2139" s="17">
        <f t="shared" si="396"/>
        <v>0</v>
      </c>
    </row>
    <row r="2140" spans="1:5" ht="15" x14ac:dyDescent="0.2">
      <c r="A2140" s="7">
        <v>534601</v>
      </c>
      <c r="B2140" s="3" t="s">
        <v>43</v>
      </c>
      <c r="C2140" s="25">
        <v>0</v>
      </c>
      <c r="D2140" s="25">
        <v>0</v>
      </c>
      <c r="E2140" s="18">
        <f t="shared" ref="E2140:E2145" si="397">SUM(C2140:D2140)</f>
        <v>0</v>
      </c>
    </row>
    <row r="2141" spans="1:5" ht="15" x14ac:dyDescent="0.2">
      <c r="A2141" s="7">
        <v>534602</v>
      </c>
      <c r="B2141" s="3" t="s">
        <v>44</v>
      </c>
      <c r="C2141" s="25">
        <v>0</v>
      </c>
      <c r="D2141" s="25">
        <v>0</v>
      </c>
      <c r="E2141" s="18">
        <f t="shared" si="397"/>
        <v>0</v>
      </c>
    </row>
    <row r="2142" spans="1:5" ht="15" x14ac:dyDescent="0.2">
      <c r="A2142" s="7">
        <v>534603</v>
      </c>
      <c r="B2142" s="3" t="s">
        <v>45</v>
      </c>
      <c r="C2142" s="25">
        <v>0</v>
      </c>
      <c r="D2142" s="25">
        <v>0</v>
      </c>
      <c r="E2142" s="18">
        <f t="shared" si="397"/>
        <v>0</v>
      </c>
    </row>
    <row r="2143" spans="1:5" ht="15" x14ac:dyDescent="0.2">
      <c r="A2143" s="7">
        <v>534605</v>
      </c>
      <c r="B2143" s="3" t="s">
        <v>1314</v>
      </c>
      <c r="C2143" s="25">
        <v>0</v>
      </c>
      <c r="D2143" s="25">
        <v>0</v>
      </c>
      <c r="E2143" s="18">
        <f t="shared" si="397"/>
        <v>0</v>
      </c>
    </row>
    <row r="2144" spans="1:5" ht="15" x14ac:dyDescent="0.2">
      <c r="A2144" s="7">
        <v>534607</v>
      </c>
      <c r="B2144" s="3" t="s">
        <v>1315</v>
      </c>
      <c r="C2144" s="25">
        <v>0</v>
      </c>
      <c r="D2144" s="25">
        <v>0</v>
      </c>
      <c r="E2144" s="18">
        <f t="shared" si="397"/>
        <v>0</v>
      </c>
    </row>
    <row r="2145" spans="1:5" ht="15" x14ac:dyDescent="0.2">
      <c r="A2145" s="7">
        <v>534609</v>
      </c>
      <c r="B2145" s="3" t="s">
        <v>1316</v>
      </c>
      <c r="C2145" s="25">
        <v>0</v>
      </c>
      <c r="D2145" s="25">
        <v>0</v>
      </c>
      <c r="E2145" s="18">
        <f t="shared" si="397"/>
        <v>0</v>
      </c>
    </row>
    <row r="2146" spans="1:5" ht="15" x14ac:dyDescent="0.2">
      <c r="A2146" s="6">
        <v>5347</v>
      </c>
      <c r="B2146" s="2" t="s">
        <v>1317</v>
      </c>
      <c r="C2146" s="24">
        <f>SUM(C2147:C2158)</f>
        <v>0</v>
      </c>
      <c r="D2146" s="24">
        <f t="shared" ref="D2146:E2146" si="398">SUM(D2147:D2158)</f>
        <v>0</v>
      </c>
      <c r="E2146" s="17">
        <f t="shared" si="398"/>
        <v>0</v>
      </c>
    </row>
    <row r="2147" spans="1:5" ht="15" x14ac:dyDescent="0.2">
      <c r="A2147" s="7">
        <v>534701</v>
      </c>
      <c r="B2147" s="3" t="s">
        <v>260</v>
      </c>
      <c r="C2147" s="25">
        <v>0</v>
      </c>
      <c r="D2147" s="25">
        <v>0</v>
      </c>
      <c r="E2147" s="18">
        <f t="shared" ref="E2147:E2158" si="399">SUM(C2147:D2147)</f>
        <v>0</v>
      </c>
    </row>
    <row r="2148" spans="1:5" ht="15" x14ac:dyDescent="0.2">
      <c r="A2148" s="7">
        <v>534702</v>
      </c>
      <c r="B2148" s="3" t="s">
        <v>261</v>
      </c>
      <c r="C2148" s="25">
        <v>0</v>
      </c>
      <c r="D2148" s="25">
        <v>0</v>
      </c>
      <c r="E2148" s="18">
        <f t="shared" si="399"/>
        <v>0</v>
      </c>
    </row>
    <row r="2149" spans="1:5" ht="15" x14ac:dyDescent="0.2">
      <c r="A2149" s="7">
        <v>534703</v>
      </c>
      <c r="B2149" s="3" t="s">
        <v>152</v>
      </c>
      <c r="C2149" s="25">
        <v>0</v>
      </c>
      <c r="D2149" s="25">
        <v>0</v>
      </c>
      <c r="E2149" s="18">
        <f t="shared" si="399"/>
        <v>0</v>
      </c>
    </row>
    <row r="2150" spans="1:5" ht="15" x14ac:dyDescent="0.2">
      <c r="A2150" s="7">
        <v>534704</v>
      </c>
      <c r="B2150" s="3" t="s">
        <v>153</v>
      </c>
      <c r="C2150" s="25">
        <v>0</v>
      </c>
      <c r="D2150" s="25">
        <v>0</v>
      </c>
      <c r="E2150" s="18">
        <f t="shared" si="399"/>
        <v>0</v>
      </c>
    </row>
    <row r="2151" spans="1:5" ht="15" x14ac:dyDescent="0.2">
      <c r="A2151" s="7">
        <v>534705</v>
      </c>
      <c r="B2151" s="3" t="s">
        <v>154</v>
      </c>
      <c r="C2151" s="25">
        <v>0</v>
      </c>
      <c r="D2151" s="25">
        <v>0</v>
      </c>
      <c r="E2151" s="18">
        <f t="shared" si="399"/>
        <v>0</v>
      </c>
    </row>
    <row r="2152" spans="1:5" ht="15" x14ac:dyDescent="0.2">
      <c r="A2152" s="7">
        <v>534706</v>
      </c>
      <c r="B2152" s="3" t="s">
        <v>155</v>
      </c>
      <c r="C2152" s="25">
        <v>0</v>
      </c>
      <c r="D2152" s="25">
        <v>0</v>
      </c>
      <c r="E2152" s="18">
        <f t="shared" si="399"/>
        <v>0</v>
      </c>
    </row>
    <row r="2153" spans="1:5" ht="15" x14ac:dyDescent="0.2">
      <c r="A2153" s="7">
        <v>534707</v>
      </c>
      <c r="B2153" s="3" t="s">
        <v>156</v>
      </c>
      <c r="C2153" s="25">
        <v>0</v>
      </c>
      <c r="D2153" s="25">
        <v>0</v>
      </c>
      <c r="E2153" s="18">
        <f t="shared" si="399"/>
        <v>0</v>
      </c>
    </row>
    <row r="2154" spans="1:5" ht="15" x14ac:dyDescent="0.2">
      <c r="A2154" s="7">
        <v>534708</v>
      </c>
      <c r="B2154" s="3" t="s">
        <v>157</v>
      </c>
      <c r="C2154" s="25">
        <v>0</v>
      </c>
      <c r="D2154" s="25">
        <v>0</v>
      </c>
      <c r="E2154" s="18">
        <f t="shared" si="399"/>
        <v>0</v>
      </c>
    </row>
    <row r="2155" spans="1:5" ht="15" x14ac:dyDescent="0.2">
      <c r="A2155" s="7">
        <v>534709</v>
      </c>
      <c r="B2155" s="3" t="s">
        <v>262</v>
      </c>
      <c r="C2155" s="25">
        <v>0</v>
      </c>
      <c r="D2155" s="25">
        <v>0</v>
      </c>
      <c r="E2155" s="18">
        <f t="shared" si="399"/>
        <v>0</v>
      </c>
    </row>
    <row r="2156" spans="1:5" ht="15" x14ac:dyDescent="0.2">
      <c r="A2156" s="7">
        <v>534710</v>
      </c>
      <c r="B2156" s="3" t="s">
        <v>263</v>
      </c>
      <c r="C2156" s="25">
        <v>0</v>
      </c>
      <c r="D2156" s="25">
        <v>0</v>
      </c>
      <c r="E2156" s="18">
        <f t="shared" si="399"/>
        <v>0</v>
      </c>
    </row>
    <row r="2157" spans="1:5" ht="15" x14ac:dyDescent="0.2">
      <c r="A2157" s="7">
        <v>534714</v>
      </c>
      <c r="B2157" s="3" t="s">
        <v>267</v>
      </c>
      <c r="C2157" s="25">
        <v>0</v>
      </c>
      <c r="D2157" s="25">
        <v>0</v>
      </c>
      <c r="E2157" s="18">
        <f t="shared" si="399"/>
        <v>0</v>
      </c>
    </row>
    <row r="2158" spans="1:5" ht="15" x14ac:dyDescent="0.2">
      <c r="A2158" s="7">
        <v>534790</v>
      </c>
      <c r="B2158" s="3" t="s">
        <v>258</v>
      </c>
      <c r="C2158" s="25">
        <v>0</v>
      </c>
      <c r="D2158" s="25">
        <v>0</v>
      </c>
      <c r="E2158" s="18">
        <f t="shared" si="399"/>
        <v>0</v>
      </c>
    </row>
    <row r="2159" spans="1:5" ht="15" x14ac:dyDescent="0.2">
      <c r="A2159" s="6">
        <v>5348</v>
      </c>
      <c r="B2159" s="2" t="s">
        <v>1318</v>
      </c>
      <c r="C2159" s="24">
        <f>SUM(C2160:C2169)</f>
        <v>0</v>
      </c>
      <c r="D2159" s="24">
        <f t="shared" ref="D2159:E2159" si="400">SUM(D2160:D2169)</f>
        <v>0</v>
      </c>
      <c r="E2159" s="17">
        <f t="shared" si="400"/>
        <v>0</v>
      </c>
    </row>
    <row r="2160" spans="1:5" ht="15" x14ac:dyDescent="0.2">
      <c r="A2160" s="7">
        <v>534801</v>
      </c>
      <c r="B2160" s="3" t="s">
        <v>260</v>
      </c>
      <c r="C2160" s="25">
        <v>0</v>
      </c>
      <c r="D2160" s="25">
        <v>0</v>
      </c>
      <c r="E2160" s="18">
        <f t="shared" ref="E2160:E2169" si="401">SUM(C2160:D2160)</f>
        <v>0</v>
      </c>
    </row>
    <row r="2161" spans="1:5" ht="15" x14ac:dyDescent="0.2">
      <c r="A2161" s="7">
        <v>534802</v>
      </c>
      <c r="B2161" s="3" t="s">
        <v>261</v>
      </c>
      <c r="C2161" s="25">
        <v>0</v>
      </c>
      <c r="D2161" s="25">
        <v>0</v>
      </c>
      <c r="E2161" s="18">
        <f t="shared" si="401"/>
        <v>0</v>
      </c>
    </row>
    <row r="2162" spans="1:5" ht="15" x14ac:dyDescent="0.2">
      <c r="A2162" s="7">
        <v>534803</v>
      </c>
      <c r="B2162" s="3" t="s">
        <v>152</v>
      </c>
      <c r="C2162" s="25">
        <v>0</v>
      </c>
      <c r="D2162" s="25">
        <v>0</v>
      </c>
      <c r="E2162" s="18">
        <f t="shared" si="401"/>
        <v>0</v>
      </c>
    </row>
    <row r="2163" spans="1:5" ht="15" x14ac:dyDescent="0.2">
      <c r="A2163" s="7">
        <v>534804</v>
      </c>
      <c r="B2163" s="3" t="s">
        <v>153</v>
      </c>
      <c r="C2163" s="25">
        <v>0</v>
      </c>
      <c r="D2163" s="25">
        <v>0</v>
      </c>
      <c r="E2163" s="18">
        <f t="shared" si="401"/>
        <v>0</v>
      </c>
    </row>
    <row r="2164" spans="1:5" ht="15" x14ac:dyDescent="0.2">
      <c r="A2164" s="7">
        <v>534805</v>
      </c>
      <c r="B2164" s="3" t="s">
        <v>154</v>
      </c>
      <c r="C2164" s="25">
        <v>0</v>
      </c>
      <c r="D2164" s="25">
        <v>0</v>
      </c>
      <c r="E2164" s="18">
        <f t="shared" si="401"/>
        <v>0</v>
      </c>
    </row>
    <row r="2165" spans="1:5" ht="15" x14ac:dyDescent="0.2">
      <c r="A2165" s="7">
        <v>534806</v>
      </c>
      <c r="B2165" s="3" t="s">
        <v>155</v>
      </c>
      <c r="C2165" s="25">
        <v>0</v>
      </c>
      <c r="D2165" s="25">
        <v>0</v>
      </c>
      <c r="E2165" s="18">
        <f t="shared" si="401"/>
        <v>0</v>
      </c>
    </row>
    <row r="2166" spans="1:5" ht="15" x14ac:dyDescent="0.2">
      <c r="A2166" s="7">
        <v>534807</v>
      </c>
      <c r="B2166" s="3" t="s">
        <v>156</v>
      </c>
      <c r="C2166" s="25">
        <v>0</v>
      </c>
      <c r="D2166" s="25">
        <v>0</v>
      </c>
      <c r="E2166" s="18">
        <f t="shared" si="401"/>
        <v>0</v>
      </c>
    </row>
    <row r="2167" spans="1:5" ht="15" x14ac:dyDescent="0.2">
      <c r="A2167" s="7">
        <v>534808</v>
      </c>
      <c r="B2167" s="3" t="s">
        <v>157</v>
      </c>
      <c r="C2167" s="25">
        <v>0</v>
      </c>
      <c r="D2167" s="25">
        <v>0</v>
      </c>
      <c r="E2167" s="18">
        <f t="shared" si="401"/>
        <v>0</v>
      </c>
    </row>
    <row r="2168" spans="1:5" ht="15" x14ac:dyDescent="0.2">
      <c r="A2168" s="7">
        <v>534809</v>
      </c>
      <c r="B2168" s="3" t="s">
        <v>1319</v>
      </c>
      <c r="C2168" s="25">
        <v>0</v>
      </c>
      <c r="D2168" s="25">
        <v>0</v>
      </c>
      <c r="E2168" s="18">
        <f t="shared" si="401"/>
        <v>0</v>
      </c>
    </row>
    <row r="2169" spans="1:5" ht="15" x14ac:dyDescent="0.2">
      <c r="A2169" s="7">
        <v>534890</v>
      </c>
      <c r="B2169" s="3" t="s">
        <v>269</v>
      </c>
      <c r="C2169" s="25">
        <v>0</v>
      </c>
      <c r="D2169" s="25">
        <v>0</v>
      </c>
      <c r="E2169" s="18">
        <f t="shared" si="401"/>
        <v>0</v>
      </c>
    </row>
    <row r="2170" spans="1:5" ht="15" x14ac:dyDescent="0.2">
      <c r="A2170" s="6">
        <v>5349</v>
      </c>
      <c r="B2170" s="2" t="s">
        <v>1320</v>
      </c>
      <c r="C2170" s="24">
        <f>SUM(C2171)</f>
        <v>0</v>
      </c>
      <c r="D2170" s="24">
        <f t="shared" ref="D2170:E2170" si="402">SUM(D2171)</f>
        <v>0</v>
      </c>
      <c r="E2170" s="17">
        <f t="shared" si="402"/>
        <v>0</v>
      </c>
    </row>
    <row r="2171" spans="1:5" ht="15" x14ac:dyDescent="0.2">
      <c r="A2171" s="7">
        <v>534901</v>
      </c>
      <c r="B2171" s="3" t="s">
        <v>289</v>
      </c>
      <c r="C2171" s="25">
        <v>0</v>
      </c>
      <c r="D2171" s="25">
        <v>0</v>
      </c>
      <c r="E2171" s="18">
        <f t="shared" ref="E2171" si="403">SUM(C2171:D2171)</f>
        <v>0</v>
      </c>
    </row>
    <row r="2172" spans="1:5" ht="15" x14ac:dyDescent="0.2">
      <c r="A2172" s="6">
        <v>5350</v>
      </c>
      <c r="B2172" s="2" t="s">
        <v>1321</v>
      </c>
      <c r="C2172" s="24">
        <f>SUM(C2173:C2180)</f>
        <v>0</v>
      </c>
      <c r="D2172" s="24">
        <f t="shared" ref="D2172:E2172" si="404">SUM(D2173:D2180)</f>
        <v>0</v>
      </c>
      <c r="E2172" s="17">
        <f t="shared" si="404"/>
        <v>0</v>
      </c>
    </row>
    <row r="2173" spans="1:5" ht="15" x14ac:dyDescent="0.2">
      <c r="A2173" s="7">
        <v>535001</v>
      </c>
      <c r="B2173" s="3" t="s">
        <v>359</v>
      </c>
      <c r="C2173" s="25">
        <v>0</v>
      </c>
      <c r="D2173" s="25">
        <v>0</v>
      </c>
      <c r="E2173" s="18">
        <f t="shared" ref="E2173:E2180" si="405">SUM(C2173:D2173)</f>
        <v>0</v>
      </c>
    </row>
    <row r="2174" spans="1:5" ht="15" x14ac:dyDescent="0.2">
      <c r="A2174" s="7">
        <v>535002</v>
      </c>
      <c r="B2174" s="3" t="s">
        <v>360</v>
      </c>
      <c r="C2174" s="25">
        <v>0</v>
      </c>
      <c r="D2174" s="25">
        <v>0</v>
      </c>
      <c r="E2174" s="18">
        <f t="shared" si="405"/>
        <v>0</v>
      </c>
    </row>
    <row r="2175" spans="1:5" ht="15" x14ac:dyDescent="0.2">
      <c r="A2175" s="7">
        <v>535003</v>
      </c>
      <c r="B2175" s="3" t="s">
        <v>361</v>
      </c>
      <c r="C2175" s="25">
        <v>0</v>
      </c>
      <c r="D2175" s="25">
        <v>0</v>
      </c>
      <c r="E2175" s="18">
        <f t="shared" si="405"/>
        <v>0</v>
      </c>
    </row>
    <row r="2176" spans="1:5" ht="15" x14ac:dyDescent="0.2">
      <c r="A2176" s="7">
        <v>535004</v>
      </c>
      <c r="B2176" s="3" t="s">
        <v>326</v>
      </c>
      <c r="C2176" s="25">
        <v>0</v>
      </c>
      <c r="D2176" s="25">
        <v>0</v>
      </c>
      <c r="E2176" s="18">
        <f t="shared" si="405"/>
        <v>0</v>
      </c>
    </row>
    <row r="2177" spans="1:5" ht="15" x14ac:dyDescent="0.2">
      <c r="A2177" s="7">
        <v>535005</v>
      </c>
      <c r="B2177" s="3" t="s">
        <v>362</v>
      </c>
      <c r="C2177" s="25">
        <v>0</v>
      </c>
      <c r="D2177" s="25">
        <v>0</v>
      </c>
      <c r="E2177" s="18">
        <f t="shared" si="405"/>
        <v>0</v>
      </c>
    </row>
    <row r="2178" spans="1:5" ht="15" x14ac:dyDescent="0.2">
      <c r="A2178" s="7">
        <v>535006</v>
      </c>
      <c r="B2178" s="3" t="s">
        <v>363</v>
      </c>
      <c r="C2178" s="25">
        <v>0</v>
      </c>
      <c r="D2178" s="25">
        <v>0</v>
      </c>
      <c r="E2178" s="18">
        <f t="shared" si="405"/>
        <v>0</v>
      </c>
    </row>
    <row r="2179" spans="1:5" ht="15" x14ac:dyDescent="0.2">
      <c r="A2179" s="7">
        <v>535007</v>
      </c>
      <c r="B2179" s="3" t="s">
        <v>364</v>
      </c>
      <c r="C2179" s="25">
        <v>0</v>
      </c>
      <c r="D2179" s="25">
        <v>0</v>
      </c>
      <c r="E2179" s="18">
        <f t="shared" si="405"/>
        <v>0</v>
      </c>
    </row>
    <row r="2180" spans="1:5" ht="15" x14ac:dyDescent="0.2">
      <c r="A2180" s="7">
        <v>535008</v>
      </c>
      <c r="B2180" s="3" t="s">
        <v>365</v>
      </c>
      <c r="C2180" s="25">
        <v>0</v>
      </c>
      <c r="D2180" s="25">
        <v>0</v>
      </c>
      <c r="E2180" s="18">
        <f t="shared" si="405"/>
        <v>0</v>
      </c>
    </row>
    <row r="2181" spans="1:5" ht="15" x14ac:dyDescent="0.2">
      <c r="A2181" s="6">
        <v>5351</v>
      </c>
      <c r="B2181" s="2" t="s">
        <v>1322</v>
      </c>
      <c r="C2181" s="24">
        <f>SUM(C2182:C2202)</f>
        <v>0</v>
      </c>
      <c r="D2181" s="24">
        <f t="shared" ref="D2181:E2181" si="406">SUM(D2182:D2202)</f>
        <v>0</v>
      </c>
      <c r="E2181" s="28">
        <f t="shared" si="406"/>
        <v>0</v>
      </c>
    </row>
    <row r="2182" spans="1:5" ht="15" x14ac:dyDescent="0.2">
      <c r="A2182" s="7">
        <v>535101</v>
      </c>
      <c r="B2182" s="3" t="s">
        <v>306</v>
      </c>
      <c r="C2182" s="25">
        <v>0</v>
      </c>
      <c r="D2182" s="25">
        <v>0</v>
      </c>
      <c r="E2182" s="18">
        <f t="shared" ref="E2182:E2202" si="407">SUM(C2182:D2182)</f>
        <v>0</v>
      </c>
    </row>
    <row r="2183" spans="1:5" ht="15" x14ac:dyDescent="0.2">
      <c r="A2183" s="7">
        <v>535102</v>
      </c>
      <c r="B2183" s="3" t="s">
        <v>398</v>
      </c>
      <c r="C2183" s="25">
        <v>0</v>
      </c>
      <c r="D2183" s="25">
        <v>0</v>
      </c>
      <c r="E2183" s="18">
        <f t="shared" si="407"/>
        <v>0</v>
      </c>
    </row>
    <row r="2184" spans="1:5" ht="15" x14ac:dyDescent="0.2">
      <c r="A2184" s="7">
        <v>535103</v>
      </c>
      <c r="B2184" s="3" t="s">
        <v>405</v>
      </c>
      <c r="C2184" s="25">
        <v>0</v>
      </c>
      <c r="D2184" s="25">
        <v>0</v>
      </c>
      <c r="E2184" s="18">
        <f t="shared" si="407"/>
        <v>0</v>
      </c>
    </row>
    <row r="2185" spans="1:5" ht="15" x14ac:dyDescent="0.2">
      <c r="A2185" s="7">
        <v>535104</v>
      </c>
      <c r="B2185" s="3" t="s">
        <v>544</v>
      </c>
      <c r="C2185" s="25">
        <v>0</v>
      </c>
      <c r="D2185" s="25">
        <v>0</v>
      </c>
      <c r="E2185" s="18">
        <f t="shared" si="407"/>
        <v>0</v>
      </c>
    </row>
    <row r="2186" spans="1:5" ht="15" x14ac:dyDescent="0.2">
      <c r="A2186" s="7">
        <v>535105</v>
      </c>
      <c r="B2186" s="3" t="s">
        <v>385</v>
      </c>
      <c r="C2186" s="25">
        <v>0</v>
      </c>
      <c r="D2186" s="25">
        <v>0</v>
      </c>
      <c r="E2186" s="18">
        <f t="shared" si="407"/>
        <v>0</v>
      </c>
    </row>
    <row r="2187" spans="1:5" ht="15" x14ac:dyDescent="0.2">
      <c r="A2187" s="7">
        <v>535106</v>
      </c>
      <c r="B2187" s="3" t="s">
        <v>386</v>
      </c>
      <c r="C2187" s="25">
        <v>0</v>
      </c>
      <c r="D2187" s="25">
        <v>0</v>
      </c>
      <c r="E2187" s="29">
        <f t="shared" si="407"/>
        <v>0</v>
      </c>
    </row>
    <row r="2188" spans="1:5" ht="15" x14ac:dyDescent="0.2">
      <c r="A2188" s="7">
        <v>535107</v>
      </c>
      <c r="B2188" s="3" t="s">
        <v>387</v>
      </c>
      <c r="C2188" s="25">
        <v>0</v>
      </c>
      <c r="D2188" s="25">
        <v>0</v>
      </c>
      <c r="E2188" s="18">
        <f t="shared" si="407"/>
        <v>0</v>
      </c>
    </row>
    <row r="2189" spans="1:5" ht="15" x14ac:dyDescent="0.2">
      <c r="A2189" s="7">
        <v>535108</v>
      </c>
      <c r="B2189" s="3" t="s">
        <v>390</v>
      </c>
      <c r="C2189" s="25">
        <v>0</v>
      </c>
      <c r="D2189" s="25">
        <v>0</v>
      </c>
      <c r="E2189" s="18">
        <f t="shared" si="407"/>
        <v>0</v>
      </c>
    </row>
    <row r="2190" spans="1:5" ht="15" x14ac:dyDescent="0.2">
      <c r="A2190" s="7">
        <v>535109</v>
      </c>
      <c r="B2190" s="3" t="s">
        <v>391</v>
      </c>
      <c r="C2190" s="25">
        <v>0</v>
      </c>
      <c r="D2190" s="25">
        <v>0</v>
      </c>
      <c r="E2190" s="18">
        <f t="shared" si="407"/>
        <v>0</v>
      </c>
    </row>
    <row r="2191" spans="1:5" ht="15" x14ac:dyDescent="0.2">
      <c r="A2191" s="7">
        <v>535110</v>
      </c>
      <c r="B2191" s="3" t="s">
        <v>397</v>
      </c>
      <c r="C2191" s="25">
        <v>0</v>
      </c>
      <c r="D2191" s="25">
        <v>0</v>
      </c>
      <c r="E2191" s="29">
        <f t="shared" si="407"/>
        <v>0</v>
      </c>
    </row>
    <row r="2192" spans="1:5" ht="15" x14ac:dyDescent="0.2">
      <c r="A2192" s="7">
        <v>535111</v>
      </c>
      <c r="B2192" s="3" t="s">
        <v>311</v>
      </c>
      <c r="C2192" s="25">
        <v>0</v>
      </c>
      <c r="D2192" s="25">
        <v>0</v>
      </c>
      <c r="E2192" s="29">
        <f t="shared" si="407"/>
        <v>0</v>
      </c>
    </row>
    <row r="2193" spans="1:5" ht="15" x14ac:dyDescent="0.2">
      <c r="A2193" s="7">
        <v>535112</v>
      </c>
      <c r="B2193" s="3" t="s">
        <v>545</v>
      </c>
      <c r="C2193" s="25">
        <v>0</v>
      </c>
      <c r="D2193" s="25">
        <v>0</v>
      </c>
      <c r="E2193" s="18">
        <f t="shared" si="407"/>
        <v>0</v>
      </c>
    </row>
    <row r="2194" spans="1:5" ht="15" x14ac:dyDescent="0.2">
      <c r="A2194" s="7">
        <v>535113</v>
      </c>
      <c r="B2194" s="3" t="s">
        <v>392</v>
      </c>
      <c r="C2194" s="25">
        <v>0</v>
      </c>
      <c r="D2194" s="25">
        <v>0</v>
      </c>
      <c r="E2194" s="18">
        <f t="shared" si="407"/>
        <v>0</v>
      </c>
    </row>
    <row r="2195" spans="1:5" ht="15" x14ac:dyDescent="0.2">
      <c r="A2195" s="7">
        <v>535114</v>
      </c>
      <c r="B2195" s="3" t="s">
        <v>536</v>
      </c>
      <c r="C2195" s="25">
        <v>0</v>
      </c>
      <c r="D2195" s="25">
        <v>0</v>
      </c>
      <c r="E2195" s="18">
        <f t="shared" si="407"/>
        <v>0</v>
      </c>
    </row>
    <row r="2196" spans="1:5" ht="15" x14ac:dyDescent="0.2">
      <c r="A2196" s="7">
        <v>535115</v>
      </c>
      <c r="B2196" s="3" t="s">
        <v>333</v>
      </c>
      <c r="C2196" s="25">
        <v>0</v>
      </c>
      <c r="D2196" s="25">
        <v>0</v>
      </c>
      <c r="E2196" s="18">
        <f t="shared" si="407"/>
        <v>0</v>
      </c>
    </row>
    <row r="2197" spans="1:5" ht="15" x14ac:dyDescent="0.2">
      <c r="A2197" s="7">
        <v>535116</v>
      </c>
      <c r="B2197" s="3" t="s">
        <v>546</v>
      </c>
      <c r="C2197" s="25">
        <v>0</v>
      </c>
      <c r="D2197" s="25">
        <v>0</v>
      </c>
      <c r="E2197" s="18">
        <f t="shared" si="407"/>
        <v>0</v>
      </c>
    </row>
    <row r="2198" spans="1:5" ht="15" x14ac:dyDescent="0.2">
      <c r="A2198" s="7">
        <v>535117</v>
      </c>
      <c r="B2198" s="3" t="s">
        <v>537</v>
      </c>
      <c r="C2198" s="25">
        <v>0</v>
      </c>
      <c r="D2198" s="25">
        <v>0</v>
      </c>
      <c r="E2198" s="18">
        <f t="shared" si="407"/>
        <v>0</v>
      </c>
    </row>
    <row r="2199" spans="1:5" ht="15" x14ac:dyDescent="0.2">
      <c r="A2199" s="7">
        <v>535118</v>
      </c>
      <c r="B2199" s="3" t="s">
        <v>541</v>
      </c>
      <c r="C2199" s="25">
        <v>0</v>
      </c>
      <c r="D2199" s="25">
        <v>0</v>
      </c>
      <c r="E2199" s="18">
        <f t="shared" si="407"/>
        <v>0</v>
      </c>
    </row>
    <row r="2200" spans="1:5" ht="15" x14ac:dyDescent="0.2">
      <c r="A2200" s="7">
        <v>535119</v>
      </c>
      <c r="B2200" s="3" t="s">
        <v>538</v>
      </c>
      <c r="C2200" s="25">
        <v>0</v>
      </c>
      <c r="D2200" s="25">
        <v>0</v>
      </c>
      <c r="E2200" s="18">
        <f t="shared" si="407"/>
        <v>0</v>
      </c>
    </row>
    <row r="2201" spans="1:5" ht="15" x14ac:dyDescent="0.2">
      <c r="A2201" s="7">
        <v>535120</v>
      </c>
      <c r="B2201" s="3" t="s">
        <v>539</v>
      </c>
      <c r="C2201" s="25">
        <v>0</v>
      </c>
      <c r="D2201" s="25">
        <v>0</v>
      </c>
      <c r="E2201" s="18">
        <f t="shared" si="407"/>
        <v>0</v>
      </c>
    </row>
    <row r="2202" spans="1:5" ht="15" x14ac:dyDescent="0.2">
      <c r="A2202" s="7">
        <v>535121</v>
      </c>
      <c r="B2202" s="3" t="s">
        <v>540</v>
      </c>
      <c r="C2202" s="25">
        <v>0</v>
      </c>
      <c r="D2202" s="25">
        <v>0</v>
      </c>
      <c r="E2202" s="18">
        <f t="shared" si="407"/>
        <v>0</v>
      </c>
    </row>
    <row r="2203" spans="1:5" ht="15" x14ac:dyDescent="0.2">
      <c r="A2203" s="6">
        <v>5355</v>
      </c>
      <c r="B2203" s="2" t="s">
        <v>1323</v>
      </c>
      <c r="C2203" s="24">
        <f>SUM(C2204:C2207)</f>
        <v>0</v>
      </c>
      <c r="D2203" s="24">
        <f t="shared" ref="D2203:E2203" si="408">SUM(D2204:D2207)</f>
        <v>0</v>
      </c>
      <c r="E2203" s="17">
        <f t="shared" si="408"/>
        <v>0</v>
      </c>
    </row>
    <row r="2204" spans="1:5" ht="15" x14ac:dyDescent="0.2">
      <c r="A2204" s="7">
        <v>535501</v>
      </c>
      <c r="B2204" s="3" t="s">
        <v>306</v>
      </c>
      <c r="C2204" s="25">
        <v>0</v>
      </c>
      <c r="D2204" s="25">
        <v>0</v>
      </c>
      <c r="E2204" s="18">
        <f t="shared" ref="E2204:E2207" si="409">SUM(C2204:D2204)</f>
        <v>0</v>
      </c>
    </row>
    <row r="2205" spans="1:5" ht="15" x14ac:dyDescent="0.2">
      <c r="A2205" s="7">
        <v>535502</v>
      </c>
      <c r="B2205" s="3" t="s">
        <v>385</v>
      </c>
      <c r="C2205" s="25">
        <v>0</v>
      </c>
      <c r="D2205" s="25">
        <v>0</v>
      </c>
      <c r="E2205" s="18">
        <f t="shared" si="409"/>
        <v>0</v>
      </c>
    </row>
    <row r="2206" spans="1:5" ht="15" x14ac:dyDescent="0.2">
      <c r="A2206" s="7">
        <v>535503</v>
      </c>
      <c r="B2206" s="3" t="s">
        <v>610</v>
      </c>
      <c r="C2206" s="25">
        <v>0</v>
      </c>
      <c r="D2206" s="25">
        <v>0</v>
      </c>
      <c r="E2206" s="18">
        <f t="shared" si="409"/>
        <v>0</v>
      </c>
    </row>
    <row r="2207" spans="1:5" ht="15" x14ac:dyDescent="0.2">
      <c r="A2207" s="7">
        <v>535504</v>
      </c>
      <c r="B2207" s="3" t="s">
        <v>611</v>
      </c>
      <c r="C2207" s="25">
        <v>0</v>
      </c>
      <c r="D2207" s="25">
        <v>0</v>
      </c>
      <c r="E2207" s="18">
        <f t="shared" si="409"/>
        <v>0</v>
      </c>
    </row>
    <row r="2208" spans="1:5" ht="15" x14ac:dyDescent="0.2">
      <c r="A2208" s="6">
        <v>5357</v>
      </c>
      <c r="B2208" s="2" t="s">
        <v>1324</v>
      </c>
      <c r="C2208" s="24">
        <f>SUM(C2209:C2218)</f>
        <v>0</v>
      </c>
      <c r="D2208" s="24">
        <f t="shared" ref="D2208:E2208" si="410">SUM(D2209:D2218)</f>
        <v>0</v>
      </c>
      <c r="E2208" s="28">
        <f t="shared" si="410"/>
        <v>0</v>
      </c>
    </row>
    <row r="2209" spans="1:5" ht="15" x14ac:dyDescent="0.2">
      <c r="A2209" s="7">
        <v>535701</v>
      </c>
      <c r="B2209" s="3" t="s">
        <v>615</v>
      </c>
      <c r="C2209" s="25">
        <v>0</v>
      </c>
      <c r="D2209" s="25">
        <v>0</v>
      </c>
      <c r="E2209" s="18">
        <f t="shared" ref="E2209:E2218" si="411">SUM(C2209:D2209)</f>
        <v>0</v>
      </c>
    </row>
    <row r="2210" spans="1:5" ht="15" x14ac:dyDescent="0.2">
      <c r="A2210" s="7">
        <v>535702</v>
      </c>
      <c r="B2210" s="3" t="s">
        <v>616</v>
      </c>
      <c r="C2210" s="25">
        <v>0</v>
      </c>
      <c r="D2210" s="25">
        <v>0</v>
      </c>
      <c r="E2210" s="18">
        <f t="shared" si="411"/>
        <v>0</v>
      </c>
    </row>
    <row r="2211" spans="1:5" ht="15" x14ac:dyDescent="0.2">
      <c r="A2211" s="7">
        <v>535703</v>
      </c>
      <c r="B2211" s="3" t="s">
        <v>617</v>
      </c>
      <c r="C2211" s="25">
        <v>0</v>
      </c>
      <c r="D2211" s="25">
        <v>0</v>
      </c>
      <c r="E2211" s="18">
        <f t="shared" si="411"/>
        <v>0</v>
      </c>
    </row>
    <row r="2212" spans="1:5" ht="15" x14ac:dyDescent="0.2">
      <c r="A2212" s="7">
        <v>535704</v>
      </c>
      <c r="B2212" s="3" t="s">
        <v>618</v>
      </c>
      <c r="C2212" s="25">
        <v>0</v>
      </c>
      <c r="D2212" s="25">
        <v>0</v>
      </c>
      <c r="E2212" s="18">
        <f t="shared" si="411"/>
        <v>0</v>
      </c>
    </row>
    <row r="2213" spans="1:5" ht="15" x14ac:dyDescent="0.2">
      <c r="A2213" s="7">
        <v>535705</v>
      </c>
      <c r="B2213" s="3" t="s">
        <v>619</v>
      </c>
      <c r="C2213" s="25">
        <v>0</v>
      </c>
      <c r="D2213" s="25">
        <v>0</v>
      </c>
      <c r="E2213" s="18">
        <f t="shared" si="411"/>
        <v>0</v>
      </c>
    </row>
    <row r="2214" spans="1:5" ht="15" x14ac:dyDescent="0.2">
      <c r="A2214" s="7">
        <v>535706</v>
      </c>
      <c r="B2214" s="3" t="s">
        <v>620</v>
      </c>
      <c r="C2214" s="25">
        <v>0</v>
      </c>
      <c r="D2214" s="25">
        <v>0</v>
      </c>
      <c r="E2214" s="18">
        <f t="shared" si="411"/>
        <v>0</v>
      </c>
    </row>
    <row r="2215" spans="1:5" ht="15" x14ac:dyDescent="0.2">
      <c r="A2215" s="7">
        <v>535707</v>
      </c>
      <c r="B2215" s="3" t="s">
        <v>621</v>
      </c>
      <c r="C2215" s="25">
        <v>0</v>
      </c>
      <c r="D2215" s="25">
        <v>0</v>
      </c>
      <c r="E2215" s="29">
        <f t="shared" si="411"/>
        <v>0</v>
      </c>
    </row>
    <row r="2216" spans="1:5" ht="15" x14ac:dyDescent="0.2">
      <c r="A2216" s="7">
        <v>535709</v>
      </c>
      <c r="B2216" s="3" t="s">
        <v>622</v>
      </c>
      <c r="C2216" s="25">
        <v>0</v>
      </c>
      <c r="D2216" s="25">
        <v>0</v>
      </c>
      <c r="E2216" s="18">
        <f t="shared" si="411"/>
        <v>0</v>
      </c>
    </row>
    <row r="2217" spans="1:5" ht="15" x14ac:dyDescent="0.2">
      <c r="A2217" s="7">
        <v>535711</v>
      </c>
      <c r="B2217" s="3" t="s">
        <v>623</v>
      </c>
      <c r="C2217" s="25">
        <v>0</v>
      </c>
      <c r="D2217" s="25">
        <v>0</v>
      </c>
      <c r="E2217" s="18">
        <f t="shared" si="411"/>
        <v>0</v>
      </c>
    </row>
    <row r="2218" spans="1:5" ht="15" x14ac:dyDescent="0.2">
      <c r="A2218" s="7">
        <v>535790</v>
      </c>
      <c r="B2218" s="3" t="s">
        <v>624</v>
      </c>
      <c r="C2218" s="25">
        <v>0</v>
      </c>
      <c r="D2218" s="25">
        <v>0</v>
      </c>
      <c r="E2218" s="18">
        <f t="shared" si="411"/>
        <v>0</v>
      </c>
    </row>
    <row r="2219" spans="1:5" ht="15" x14ac:dyDescent="0.2">
      <c r="A2219" s="6">
        <v>5359</v>
      </c>
      <c r="B2219" s="2" t="s">
        <v>1325</v>
      </c>
      <c r="C2219" s="24">
        <f>SUM(C2220:C2223)</f>
        <v>0</v>
      </c>
      <c r="D2219" s="24">
        <f t="shared" ref="D2219:E2219" si="412">SUM(D2220:D2223)</f>
        <v>0</v>
      </c>
      <c r="E2219" s="17">
        <f t="shared" si="412"/>
        <v>0</v>
      </c>
    </row>
    <row r="2220" spans="1:5" ht="15" x14ac:dyDescent="0.2">
      <c r="A2220" s="7">
        <v>535901</v>
      </c>
      <c r="B2220" s="3" t="s">
        <v>628</v>
      </c>
      <c r="C2220" s="25">
        <v>0</v>
      </c>
      <c r="D2220" s="25">
        <v>0</v>
      </c>
      <c r="E2220" s="18">
        <f t="shared" ref="E2220:E2223" si="413">SUM(C2220:D2220)</f>
        <v>0</v>
      </c>
    </row>
    <row r="2221" spans="1:5" ht="15" x14ac:dyDescent="0.2">
      <c r="A2221" s="7">
        <v>535902</v>
      </c>
      <c r="B2221" s="3" t="s">
        <v>629</v>
      </c>
      <c r="C2221" s="25">
        <v>0</v>
      </c>
      <c r="D2221" s="25">
        <v>0</v>
      </c>
      <c r="E2221" s="18">
        <f t="shared" si="413"/>
        <v>0</v>
      </c>
    </row>
    <row r="2222" spans="1:5" ht="15" x14ac:dyDescent="0.2">
      <c r="A2222" s="7">
        <v>535903</v>
      </c>
      <c r="B2222" s="3" t="s">
        <v>630</v>
      </c>
      <c r="C2222" s="25">
        <v>0</v>
      </c>
      <c r="D2222" s="25">
        <v>0</v>
      </c>
      <c r="E2222" s="18">
        <f t="shared" si="413"/>
        <v>0</v>
      </c>
    </row>
    <row r="2223" spans="1:5" ht="15" x14ac:dyDescent="0.2">
      <c r="A2223" s="7">
        <v>535904</v>
      </c>
      <c r="B2223" s="3" t="s">
        <v>631</v>
      </c>
      <c r="C2223" s="25">
        <v>0</v>
      </c>
      <c r="D2223" s="25">
        <v>0</v>
      </c>
      <c r="E2223" s="18">
        <f t="shared" si="413"/>
        <v>0</v>
      </c>
    </row>
    <row r="2224" spans="1:5" ht="15" x14ac:dyDescent="0.2">
      <c r="A2224" s="6">
        <v>5360</v>
      </c>
      <c r="B2224" s="2" t="s">
        <v>1326</v>
      </c>
      <c r="C2224" s="24">
        <f>SUM(C2225:C2241)</f>
        <v>406200</v>
      </c>
      <c r="D2224" s="24">
        <f t="shared" ref="D2224:E2224" si="414">SUM(D2225:D2241)</f>
        <v>0</v>
      </c>
      <c r="E2224" s="17">
        <f t="shared" si="414"/>
        <v>406200</v>
      </c>
    </row>
    <row r="2225" spans="1:5" ht="15" x14ac:dyDescent="0.2">
      <c r="A2225" s="7">
        <v>536001</v>
      </c>
      <c r="B2225" s="3" t="s">
        <v>385</v>
      </c>
      <c r="C2225" s="25">
        <v>0</v>
      </c>
      <c r="D2225" s="25">
        <v>0</v>
      </c>
      <c r="E2225" s="18">
        <f t="shared" ref="E2225:E2241" si="415">SUM(C2225:D2225)</f>
        <v>0</v>
      </c>
    </row>
    <row r="2226" spans="1:5" ht="15" x14ac:dyDescent="0.2">
      <c r="A2226" s="7">
        <v>536002</v>
      </c>
      <c r="B2226" s="3" t="s">
        <v>386</v>
      </c>
      <c r="C2226" s="25">
        <v>0</v>
      </c>
      <c r="D2226" s="25">
        <v>0</v>
      </c>
      <c r="E2226" s="18">
        <f t="shared" si="415"/>
        <v>0</v>
      </c>
    </row>
    <row r="2227" spans="1:5" ht="15" x14ac:dyDescent="0.2">
      <c r="A2227" s="7">
        <v>536003</v>
      </c>
      <c r="B2227" s="3" t="s">
        <v>387</v>
      </c>
      <c r="C2227" s="25">
        <v>0</v>
      </c>
      <c r="D2227" s="25">
        <v>0</v>
      </c>
      <c r="E2227" s="18">
        <f t="shared" si="415"/>
        <v>0</v>
      </c>
    </row>
    <row r="2228" spans="1:5" ht="15" x14ac:dyDescent="0.2">
      <c r="A2228" s="7">
        <v>536004</v>
      </c>
      <c r="B2228" s="3" t="s">
        <v>390</v>
      </c>
      <c r="C2228" s="25">
        <v>0</v>
      </c>
      <c r="D2228" s="25">
        <v>0</v>
      </c>
      <c r="E2228" s="18">
        <f t="shared" si="415"/>
        <v>0</v>
      </c>
    </row>
    <row r="2229" spans="1:5" ht="15" x14ac:dyDescent="0.2">
      <c r="A2229" s="7">
        <v>536005</v>
      </c>
      <c r="B2229" s="3" t="s">
        <v>391</v>
      </c>
      <c r="C2229" s="25">
        <v>0</v>
      </c>
      <c r="D2229" s="25">
        <v>0</v>
      </c>
      <c r="E2229" s="18">
        <f t="shared" si="415"/>
        <v>0</v>
      </c>
    </row>
    <row r="2230" spans="1:5" ht="15" x14ac:dyDescent="0.2">
      <c r="A2230" s="7">
        <v>536006</v>
      </c>
      <c r="B2230" s="3" t="s">
        <v>397</v>
      </c>
      <c r="C2230" s="25">
        <v>100000</v>
      </c>
      <c r="D2230" s="25">
        <v>0</v>
      </c>
      <c r="E2230" s="18">
        <f t="shared" si="415"/>
        <v>100000</v>
      </c>
    </row>
    <row r="2231" spans="1:5" ht="15" x14ac:dyDescent="0.2">
      <c r="A2231" s="7">
        <v>536007</v>
      </c>
      <c r="B2231" s="3" t="s">
        <v>311</v>
      </c>
      <c r="C2231" s="25">
        <v>306200</v>
      </c>
      <c r="D2231" s="25">
        <v>0</v>
      </c>
      <c r="E2231" s="18">
        <f t="shared" si="415"/>
        <v>306200</v>
      </c>
    </row>
    <row r="2232" spans="1:5" ht="15" x14ac:dyDescent="0.2">
      <c r="A2232" s="7">
        <v>536008</v>
      </c>
      <c r="B2232" s="3" t="s">
        <v>393</v>
      </c>
      <c r="C2232" s="25">
        <v>0</v>
      </c>
      <c r="D2232" s="25">
        <v>0</v>
      </c>
      <c r="E2232" s="18">
        <f t="shared" si="415"/>
        <v>0</v>
      </c>
    </row>
    <row r="2233" spans="1:5" ht="15" x14ac:dyDescent="0.2">
      <c r="A2233" s="7">
        <v>536009</v>
      </c>
      <c r="B2233" s="3" t="s">
        <v>392</v>
      </c>
      <c r="C2233" s="25">
        <v>0</v>
      </c>
      <c r="D2233" s="25">
        <v>0</v>
      </c>
      <c r="E2233" s="18">
        <f t="shared" si="415"/>
        <v>0</v>
      </c>
    </row>
    <row r="2234" spans="1:5" ht="15" x14ac:dyDescent="0.2">
      <c r="A2234" s="7">
        <v>536010</v>
      </c>
      <c r="B2234" s="3" t="s">
        <v>398</v>
      </c>
      <c r="C2234" s="25">
        <v>0</v>
      </c>
      <c r="D2234" s="25">
        <v>0</v>
      </c>
      <c r="E2234" s="18">
        <f t="shared" si="415"/>
        <v>0</v>
      </c>
    </row>
    <row r="2235" spans="1:5" ht="15" x14ac:dyDescent="0.2">
      <c r="A2235" s="7">
        <v>536011</v>
      </c>
      <c r="B2235" s="3" t="s">
        <v>536</v>
      </c>
      <c r="C2235" s="25">
        <v>0</v>
      </c>
      <c r="D2235" s="25">
        <v>0</v>
      </c>
      <c r="E2235" s="18">
        <f t="shared" si="415"/>
        <v>0</v>
      </c>
    </row>
    <row r="2236" spans="1:5" ht="15" x14ac:dyDescent="0.2">
      <c r="A2236" s="7">
        <v>536012</v>
      </c>
      <c r="B2236" s="3" t="s">
        <v>537</v>
      </c>
      <c r="C2236" s="25">
        <v>0</v>
      </c>
      <c r="D2236" s="25">
        <v>0</v>
      </c>
      <c r="E2236" s="18">
        <f t="shared" si="415"/>
        <v>0</v>
      </c>
    </row>
    <row r="2237" spans="1:5" ht="15" x14ac:dyDescent="0.2">
      <c r="A2237" s="7">
        <v>536013</v>
      </c>
      <c r="B2237" s="3" t="s">
        <v>538</v>
      </c>
      <c r="C2237" s="25">
        <v>0</v>
      </c>
      <c r="D2237" s="25">
        <v>0</v>
      </c>
      <c r="E2237" s="18">
        <f t="shared" si="415"/>
        <v>0</v>
      </c>
    </row>
    <row r="2238" spans="1:5" ht="15" x14ac:dyDescent="0.2">
      <c r="A2238" s="7">
        <v>536014</v>
      </c>
      <c r="B2238" s="3" t="s">
        <v>539</v>
      </c>
      <c r="C2238" s="25">
        <v>0</v>
      </c>
      <c r="D2238" s="25">
        <v>0</v>
      </c>
      <c r="E2238" s="18">
        <f t="shared" si="415"/>
        <v>0</v>
      </c>
    </row>
    <row r="2239" spans="1:5" ht="15" x14ac:dyDescent="0.2">
      <c r="A2239" s="7">
        <v>536015</v>
      </c>
      <c r="B2239" s="3" t="s">
        <v>540</v>
      </c>
      <c r="C2239" s="25">
        <v>0</v>
      </c>
      <c r="D2239" s="25">
        <v>0</v>
      </c>
      <c r="E2239" s="18">
        <f t="shared" si="415"/>
        <v>0</v>
      </c>
    </row>
    <row r="2240" spans="1:5" ht="15" x14ac:dyDescent="0.2">
      <c r="A2240" s="7">
        <v>536016</v>
      </c>
      <c r="B2240" s="3" t="s">
        <v>541</v>
      </c>
      <c r="C2240" s="25">
        <v>0</v>
      </c>
      <c r="D2240" s="25">
        <v>0</v>
      </c>
      <c r="E2240" s="18">
        <f t="shared" si="415"/>
        <v>0</v>
      </c>
    </row>
    <row r="2241" spans="1:5" ht="15" x14ac:dyDescent="0.2">
      <c r="A2241" s="7">
        <v>536017</v>
      </c>
      <c r="B2241" s="3" t="s">
        <v>542</v>
      </c>
      <c r="C2241" s="25">
        <v>0</v>
      </c>
      <c r="D2241" s="25">
        <v>0</v>
      </c>
      <c r="E2241" s="18">
        <f t="shared" si="415"/>
        <v>0</v>
      </c>
    </row>
    <row r="2242" spans="1:5" ht="15" x14ac:dyDescent="0.2">
      <c r="A2242" s="6">
        <v>5362</v>
      </c>
      <c r="B2242" s="2" t="s">
        <v>1327</v>
      </c>
      <c r="C2242" s="24">
        <f>SUM(C2243:C2244)</f>
        <v>0</v>
      </c>
      <c r="D2242" s="24">
        <f t="shared" ref="D2242:E2242" si="416">SUM(D2243:D2244)</f>
        <v>0</v>
      </c>
      <c r="E2242" s="17">
        <f t="shared" si="416"/>
        <v>0</v>
      </c>
    </row>
    <row r="2243" spans="1:5" ht="15" x14ac:dyDescent="0.2">
      <c r="A2243" s="7">
        <v>536201</v>
      </c>
      <c r="B2243" s="3" t="s">
        <v>385</v>
      </c>
      <c r="C2243" s="25">
        <v>0</v>
      </c>
      <c r="D2243" s="25">
        <v>0</v>
      </c>
      <c r="E2243" s="18">
        <f t="shared" ref="E2243:E2244" si="417">SUM(C2243:D2243)</f>
        <v>0</v>
      </c>
    </row>
    <row r="2244" spans="1:5" ht="15" x14ac:dyDescent="0.2">
      <c r="A2244" s="7">
        <v>536202</v>
      </c>
      <c r="B2244" s="3" t="s">
        <v>611</v>
      </c>
      <c r="C2244" s="25">
        <v>0</v>
      </c>
      <c r="D2244" s="25">
        <v>0</v>
      </c>
      <c r="E2244" s="18">
        <f t="shared" si="417"/>
        <v>0</v>
      </c>
    </row>
    <row r="2245" spans="1:5" ht="15" x14ac:dyDescent="0.2">
      <c r="A2245" s="6">
        <v>5363</v>
      </c>
      <c r="B2245" s="2" t="s">
        <v>1328</v>
      </c>
      <c r="C2245" s="24">
        <f>SUM(C2246:C2249)</f>
        <v>0</v>
      </c>
      <c r="D2245" s="24">
        <f t="shared" ref="D2245:E2245" si="418">SUM(D2246:D2249)</f>
        <v>0</v>
      </c>
      <c r="E2245" s="17">
        <f t="shared" si="418"/>
        <v>0</v>
      </c>
    </row>
    <row r="2246" spans="1:5" ht="15" x14ac:dyDescent="0.2">
      <c r="A2246" s="7">
        <v>536301</v>
      </c>
      <c r="B2246" s="3" t="s">
        <v>628</v>
      </c>
      <c r="C2246" s="25">
        <v>0</v>
      </c>
      <c r="D2246" s="25">
        <v>0</v>
      </c>
      <c r="E2246" s="18">
        <f t="shared" ref="E2246:E2249" si="419">SUM(C2246:D2246)</f>
        <v>0</v>
      </c>
    </row>
    <row r="2247" spans="1:5" ht="15" x14ac:dyDescent="0.2">
      <c r="A2247" s="7">
        <v>536302</v>
      </c>
      <c r="B2247" s="3" t="s">
        <v>629</v>
      </c>
      <c r="C2247" s="25">
        <v>0</v>
      </c>
      <c r="D2247" s="25">
        <v>0</v>
      </c>
      <c r="E2247" s="18">
        <f t="shared" si="419"/>
        <v>0</v>
      </c>
    </row>
    <row r="2248" spans="1:5" ht="15" x14ac:dyDescent="0.2">
      <c r="A2248" s="7">
        <v>536303</v>
      </c>
      <c r="B2248" s="3" t="s">
        <v>630</v>
      </c>
      <c r="C2248" s="25">
        <v>0</v>
      </c>
      <c r="D2248" s="25">
        <v>0</v>
      </c>
      <c r="E2248" s="18">
        <f t="shared" si="419"/>
        <v>0</v>
      </c>
    </row>
    <row r="2249" spans="1:5" ht="15" x14ac:dyDescent="0.2">
      <c r="A2249" s="7">
        <v>536304</v>
      </c>
      <c r="B2249" s="3" t="s">
        <v>631</v>
      </c>
      <c r="C2249" s="25">
        <v>0</v>
      </c>
      <c r="D2249" s="25">
        <v>0</v>
      </c>
      <c r="E2249" s="18">
        <f t="shared" si="419"/>
        <v>0</v>
      </c>
    </row>
    <row r="2250" spans="1:5" ht="15" x14ac:dyDescent="0.2">
      <c r="A2250" s="6">
        <v>5366</v>
      </c>
      <c r="B2250" s="2" t="s">
        <v>1329</v>
      </c>
      <c r="C2250" s="24">
        <f>SUM(C2251:C2258)</f>
        <v>0</v>
      </c>
      <c r="D2250" s="24">
        <f t="shared" ref="D2250:E2250" si="420">SUM(D2251:D2258)</f>
        <v>0</v>
      </c>
      <c r="E2250" s="28">
        <f t="shared" si="420"/>
        <v>0</v>
      </c>
    </row>
    <row r="2251" spans="1:5" ht="15" x14ac:dyDescent="0.2">
      <c r="A2251" s="7">
        <v>536601</v>
      </c>
      <c r="B2251" s="3" t="s">
        <v>616</v>
      </c>
      <c r="C2251" s="25">
        <v>0</v>
      </c>
      <c r="D2251" s="25">
        <v>0</v>
      </c>
      <c r="E2251" s="18">
        <f t="shared" ref="E2251:E2258" si="421">SUM(C2251:D2251)</f>
        <v>0</v>
      </c>
    </row>
    <row r="2252" spans="1:5" ht="15" x14ac:dyDescent="0.2">
      <c r="A2252" s="7">
        <v>536602</v>
      </c>
      <c r="B2252" s="3" t="s">
        <v>617</v>
      </c>
      <c r="C2252" s="25">
        <v>0</v>
      </c>
      <c r="D2252" s="25">
        <v>0</v>
      </c>
      <c r="E2252" s="18">
        <f t="shared" si="421"/>
        <v>0</v>
      </c>
    </row>
    <row r="2253" spans="1:5" ht="15" x14ac:dyDescent="0.2">
      <c r="A2253" s="7">
        <v>536603</v>
      </c>
      <c r="B2253" s="3" t="s">
        <v>618</v>
      </c>
      <c r="C2253" s="25">
        <v>0</v>
      </c>
      <c r="D2253" s="25">
        <v>0</v>
      </c>
      <c r="E2253" s="18">
        <f t="shared" si="421"/>
        <v>0</v>
      </c>
    </row>
    <row r="2254" spans="1:5" ht="15" x14ac:dyDescent="0.2">
      <c r="A2254" s="7">
        <v>536604</v>
      </c>
      <c r="B2254" s="3" t="s">
        <v>619</v>
      </c>
      <c r="C2254" s="25">
        <v>0</v>
      </c>
      <c r="D2254" s="25">
        <v>0</v>
      </c>
      <c r="E2254" s="18">
        <f t="shared" si="421"/>
        <v>0</v>
      </c>
    </row>
    <row r="2255" spans="1:5" ht="15" x14ac:dyDescent="0.2">
      <c r="A2255" s="7">
        <v>536605</v>
      </c>
      <c r="B2255" s="3" t="s">
        <v>620</v>
      </c>
      <c r="C2255" s="25">
        <v>0</v>
      </c>
      <c r="D2255" s="25">
        <v>0</v>
      </c>
      <c r="E2255" s="18">
        <f t="shared" si="421"/>
        <v>0</v>
      </c>
    </row>
    <row r="2256" spans="1:5" ht="15" x14ac:dyDescent="0.2">
      <c r="A2256" s="7">
        <v>536606</v>
      </c>
      <c r="B2256" s="3" t="s">
        <v>621</v>
      </c>
      <c r="C2256" s="25">
        <v>0</v>
      </c>
      <c r="D2256" s="25">
        <v>0</v>
      </c>
      <c r="E2256" s="29">
        <f t="shared" si="421"/>
        <v>0</v>
      </c>
    </row>
    <row r="2257" spans="1:5" ht="15" x14ac:dyDescent="0.2">
      <c r="A2257" s="7">
        <v>536609</v>
      </c>
      <c r="B2257" s="3" t="s">
        <v>623</v>
      </c>
      <c r="C2257" s="25">
        <v>0</v>
      </c>
      <c r="D2257" s="25">
        <v>0</v>
      </c>
      <c r="E2257" s="18">
        <f t="shared" si="421"/>
        <v>0</v>
      </c>
    </row>
    <row r="2258" spans="1:5" ht="15" x14ac:dyDescent="0.2">
      <c r="A2258" s="7">
        <v>536690</v>
      </c>
      <c r="B2258" s="3" t="s">
        <v>624</v>
      </c>
      <c r="C2258" s="25">
        <v>0</v>
      </c>
      <c r="D2258" s="25">
        <v>0</v>
      </c>
      <c r="E2258" s="18">
        <f t="shared" si="421"/>
        <v>0</v>
      </c>
    </row>
    <row r="2259" spans="1:5" ht="15" x14ac:dyDescent="0.2">
      <c r="A2259" s="6">
        <v>5368</v>
      </c>
      <c r="B2259" s="2" t="s">
        <v>1330</v>
      </c>
      <c r="C2259" s="24">
        <f>SUM(C2260:C2265)</f>
        <v>0</v>
      </c>
      <c r="D2259" s="24">
        <f t="shared" ref="D2259:E2259" si="422">SUM(D2260:D2265)</f>
        <v>0</v>
      </c>
      <c r="E2259" s="17">
        <f t="shared" si="422"/>
        <v>0</v>
      </c>
    </row>
    <row r="2260" spans="1:5" ht="15" x14ac:dyDescent="0.2">
      <c r="A2260" s="7">
        <v>536801</v>
      </c>
      <c r="B2260" s="3" t="s">
        <v>912</v>
      </c>
      <c r="C2260" s="25">
        <v>0</v>
      </c>
      <c r="D2260" s="25">
        <v>0</v>
      </c>
      <c r="E2260" s="18">
        <f t="shared" ref="E2260:E2265" si="423">SUM(C2260:D2260)</f>
        <v>0</v>
      </c>
    </row>
    <row r="2261" spans="1:5" ht="15" x14ac:dyDescent="0.2">
      <c r="A2261" s="7">
        <v>536802</v>
      </c>
      <c r="B2261" s="3" t="s">
        <v>913</v>
      </c>
      <c r="C2261" s="25">
        <v>0</v>
      </c>
      <c r="D2261" s="25">
        <v>0</v>
      </c>
      <c r="E2261" s="18">
        <f t="shared" si="423"/>
        <v>0</v>
      </c>
    </row>
    <row r="2262" spans="1:5" ht="15" x14ac:dyDescent="0.2">
      <c r="A2262" s="7">
        <v>536803</v>
      </c>
      <c r="B2262" s="3" t="s">
        <v>914</v>
      </c>
      <c r="C2262" s="25">
        <v>0</v>
      </c>
      <c r="D2262" s="25">
        <v>0</v>
      </c>
      <c r="E2262" s="18">
        <f t="shared" si="423"/>
        <v>0</v>
      </c>
    </row>
    <row r="2263" spans="1:5" ht="15" x14ac:dyDescent="0.2">
      <c r="A2263" s="7">
        <v>536804</v>
      </c>
      <c r="B2263" s="3" t="s">
        <v>915</v>
      </c>
      <c r="C2263" s="25">
        <v>0</v>
      </c>
      <c r="D2263" s="25">
        <v>0</v>
      </c>
      <c r="E2263" s="18">
        <f t="shared" si="423"/>
        <v>0</v>
      </c>
    </row>
    <row r="2264" spans="1:5" ht="15" x14ac:dyDescent="0.2">
      <c r="A2264" s="7">
        <v>536805</v>
      </c>
      <c r="B2264" s="3" t="s">
        <v>916</v>
      </c>
      <c r="C2264" s="25">
        <v>0</v>
      </c>
      <c r="D2264" s="25">
        <v>0</v>
      </c>
      <c r="E2264" s="18">
        <f t="shared" si="423"/>
        <v>0</v>
      </c>
    </row>
    <row r="2265" spans="1:5" ht="15" x14ac:dyDescent="0.2">
      <c r="A2265" s="7">
        <v>536890</v>
      </c>
      <c r="B2265" s="3" t="s">
        <v>917</v>
      </c>
      <c r="C2265" s="25">
        <v>0</v>
      </c>
      <c r="D2265" s="25">
        <v>0</v>
      </c>
      <c r="E2265" s="18">
        <f t="shared" si="423"/>
        <v>0</v>
      </c>
    </row>
    <row r="2266" spans="1:5" ht="15" x14ac:dyDescent="0.2">
      <c r="A2266" s="6">
        <v>5369</v>
      </c>
      <c r="B2266" s="2" t="s">
        <v>1331</v>
      </c>
      <c r="C2266" s="24">
        <f>SUM(C2267:C2268)</f>
        <v>0</v>
      </c>
      <c r="D2266" s="24">
        <f t="shared" ref="D2266:E2266" si="424">SUM(D2267:D2268)</f>
        <v>0</v>
      </c>
      <c r="E2266" s="17">
        <f t="shared" si="424"/>
        <v>0</v>
      </c>
    </row>
    <row r="2267" spans="1:5" ht="15" x14ac:dyDescent="0.2">
      <c r="A2267" s="7">
        <v>536901</v>
      </c>
      <c r="B2267" s="3" t="s">
        <v>919</v>
      </c>
      <c r="C2267" s="25">
        <v>0</v>
      </c>
      <c r="D2267" s="25">
        <v>0</v>
      </c>
      <c r="E2267" s="18">
        <f t="shared" ref="E2267:E2268" si="425">SUM(C2267:D2267)</f>
        <v>0</v>
      </c>
    </row>
    <row r="2268" spans="1:5" ht="15" x14ac:dyDescent="0.2">
      <c r="A2268" s="7">
        <v>536902</v>
      </c>
      <c r="B2268" s="3" t="s">
        <v>820</v>
      </c>
      <c r="C2268" s="25">
        <v>0</v>
      </c>
      <c r="D2268" s="25">
        <v>0</v>
      </c>
      <c r="E2268" s="18">
        <f t="shared" si="425"/>
        <v>0</v>
      </c>
    </row>
    <row r="2269" spans="1:5" ht="15" x14ac:dyDescent="0.2">
      <c r="A2269" s="6">
        <v>5373</v>
      </c>
      <c r="B2269" s="2" t="s">
        <v>920</v>
      </c>
      <c r="C2269" s="24">
        <f>SUM(C2270:C2277)</f>
        <v>0</v>
      </c>
      <c r="D2269" s="24">
        <f t="shared" ref="D2269:E2269" si="426">SUM(D2270:D2277)</f>
        <v>0</v>
      </c>
      <c r="E2269" s="17">
        <f t="shared" si="426"/>
        <v>0</v>
      </c>
    </row>
    <row r="2270" spans="1:5" ht="15" x14ac:dyDescent="0.2">
      <c r="A2270" s="7">
        <v>537302</v>
      </c>
      <c r="B2270" s="3" t="s">
        <v>921</v>
      </c>
      <c r="C2270" s="25">
        <v>0</v>
      </c>
      <c r="D2270" s="25">
        <v>0</v>
      </c>
      <c r="E2270" s="18">
        <f t="shared" ref="E2270:E2277" si="427">SUM(C2270:D2270)</f>
        <v>0</v>
      </c>
    </row>
    <row r="2271" spans="1:5" ht="15" x14ac:dyDescent="0.2">
      <c r="A2271" s="7">
        <v>537303</v>
      </c>
      <c r="B2271" s="3" t="s">
        <v>922</v>
      </c>
      <c r="C2271" s="25">
        <v>0</v>
      </c>
      <c r="D2271" s="25">
        <v>0</v>
      </c>
      <c r="E2271" s="18">
        <f t="shared" si="427"/>
        <v>0</v>
      </c>
    </row>
    <row r="2272" spans="1:5" ht="15" x14ac:dyDescent="0.2">
      <c r="A2272" s="7">
        <v>537304</v>
      </c>
      <c r="B2272" s="3" t="s">
        <v>923</v>
      </c>
      <c r="C2272" s="25">
        <v>0</v>
      </c>
      <c r="D2272" s="25">
        <v>0</v>
      </c>
      <c r="E2272" s="18">
        <f t="shared" si="427"/>
        <v>0</v>
      </c>
    </row>
    <row r="2273" spans="1:5" ht="15" x14ac:dyDescent="0.2">
      <c r="A2273" s="7">
        <v>537305</v>
      </c>
      <c r="B2273" s="3" t="s">
        <v>924</v>
      </c>
      <c r="C2273" s="25">
        <v>0</v>
      </c>
      <c r="D2273" s="25">
        <v>0</v>
      </c>
      <c r="E2273" s="18">
        <f t="shared" si="427"/>
        <v>0</v>
      </c>
    </row>
    <row r="2274" spans="1:5" ht="15" x14ac:dyDescent="0.2">
      <c r="A2274" s="7">
        <v>537306</v>
      </c>
      <c r="B2274" s="3" t="s">
        <v>925</v>
      </c>
      <c r="C2274" s="25">
        <v>0</v>
      </c>
      <c r="D2274" s="25">
        <v>0</v>
      </c>
      <c r="E2274" s="18">
        <f t="shared" si="427"/>
        <v>0</v>
      </c>
    </row>
    <row r="2275" spans="1:5" ht="15" x14ac:dyDescent="0.2">
      <c r="A2275" s="7">
        <v>537307</v>
      </c>
      <c r="B2275" s="3" t="s">
        <v>926</v>
      </c>
      <c r="C2275" s="25">
        <v>0</v>
      </c>
      <c r="D2275" s="25">
        <v>0</v>
      </c>
      <c r="E2275" s="18">
        <f t="shared" si="427"/>
        <v>0</v>
      </c>
    </row>
    <row r="2276" spans="1:5" ht="15" x14ac:dyDescent="0.2">
      <c r="A2276" s="7">
        <v>537308</v>
      </c>
      <c r="B2276" s="3" t="s">
        <v>931</v>
      </c>
      <c r="C2276" s="25">
        <v>0</v>
      </c>
      <c r="D2276" s="25">
        <v>0</v>
      </c>
      <c r="E2276" s="18">
        <f t="shared" si="427"/>
        <v>0</v>
      </c>
    </row>
    <row r="2277" spans="1:5" ht="15" x14ac:dyDescent="0.2">
      <c r="A2277" s="7">
        <v>537390</v>
      </c>
      <c r="B2277" s="3" t="s">
        <v>932</v>
      </c>
      <c r="C2277" s="25">
        <v>0</v>
      </c>
      <c r="D2277" s="25">
        <v>0</v>
      </c>
      <c r="E2277" s="18">
        <f t="shared" si="427"/>
        <v>0</v>
      </c>
    </row>
    <row r="2278" spans="1:5" ht="15" x14ac:dyDescent="0.2">
      <c r="A2278" s="6">
        <v>54</v>
      </c>
      <c r="B2278" s="2" t="s">
        <v>1149</v>
      </c>
      <c r="C2278" s="24">
        <f>SUM(C2279)</f>
        <v>0</v>
      </c>
      <c r="D2278" s="24">
        <f>SUM(D2279)</f>
        <v>0</v>
      </c>
      <c r="E2278" s="17">
        <f>SUM(E2279)</f>
        <v>0</v>
      </c>
    </row>
    <row r="2279" spans="1:5" ht="15" x14ac:dyDescent="0.2">
      <c r="A2279" s="6">
        <v>5424</v>
      </c>
      <c r="B2279" s="2" t="s">
        <v>1150</v>
      </c>
      <c r="C2279" s="24">
        <f>SUM(C2280:C2287)</f>
        <v>0</v>
      </c>
      <c r="D2279" s="24">
        <f t="shared" ref="D2279:E2279" si="428">SUM(D2280:D2287)</f>
        <v>0</v>
      </c>
      <c r="E2279" s="17">
        <f t="shared" si="428"/>
        <v>0</v>
      </c>
    </row>
    <row r="2280" spans="1:5" ht="15" x14ac:dyDescent="0.2">
      <c r="A2280" s="7">
        <v>542401</v>
      </c>
      <c r="B2280" s="3" t="s">
        <v>1151</v>
      </c>
      <c r="C2280" s="25">
        <v>0</v>
      </c>
      <c r="D2280" s="25">
        <v>0</v>
      </c>
      <c r="E2280" s="18">
        <f t="shared" ref="E2280:E2287" si="429">SUM(C2280:D2280)</f>
        <v>0</v>
      </c>
    </row>
    <row r="2281" spans="1:5" ht="15" x14ac:dyDescent="0.2">
      <c r="A2281" s="7">
        <v>542402</v>
      </c>
      <c r="B2281" s="3" t="s">
        <v>1152</v>
      </c>
      <c r="C2281" s="25">
        <v>0</v>
      </c>
      <c r="D2281" s="25">
        <v>0</v>
      </c>
      <c r="E2281" s="18">
        <f t="shared" si="429"/>
        <v>0</v>
      </c>
    </row>
    <row r="2282" spans="1:5" ht="15" x14ac:dyDescent="0.2">
      <c r="A2282" s="7">
        <v>542403</v>
      </c>
      <c r="B2282" s="3" t="s">
        <v>1332</v>
      </c>
      <c r="C2282" s="25">
        <v>0</v>
      </c>
      <c r="D2282" s="25">
        <v>0</v>
      </c>
      <c r="E2282" s="18">
        <f t="shared" si="429"/>
        <v>0</v>
      </c>
    </row>
    <row r="2283" spans="1:5" ht="15" x14ac:dyDescent="0.2">
      <c r="A2283" s="7">
        <v>542404</v>
      </c>
      <c r="B2283" s="3" t="s">
        <v>222</v>
      </c>
      <c r="C2283" s="25">
        <v>0</v>
      </c>
      <c r="D2283" s="25">
        <v>0</v>
      </c>
      <c r="E2283" s="18">
        <f t="shared" si="429"/>
        <v>0</v>
      </c>
    </row>
    <row r="2284" spans="1:5" ht="15" x14ac:dyDescent="0.2">
      <c r="A2284" s="7">
        <v>542405</v>
      </c>
      <c r="B2284" s="3" t="s">
        <v>694</v>
      </c>
      <c r="C2284" s="25">
        <v>0</v>
      </c>
      <c r="D2284" s="25">
        <v>0</v>
      </c>
      <c r="E2284" s="18">
        <f t="shared" si="429"/>
        <v>0</v>
      </c>
    </row>
    <row r="2285" spans="1:5" ht="15" x14ac:dyDescent="0.2">
      <c r="A2285" s="7">
        <v>542407</v>
      </c>
      <c r="B2285" s="3" t="s">
        <v>1333</v>
      </c>
      <c r="C2285" s="25">
        <v>0</v>
      </c>
      <c r="D2285" s="25">
        <v>0</v>
      </c>
      <c r="E2285" s="18">
        <f t="shared" si="429"/>
        <v>0</v>
      </c>
    </row>
    <row r="2286" spans="1:5" ht="15" x14ac:dyDescent="0.2">
      <c r="A2286" s="7">
        <v>542416</v>
      </c>
      <c r="B2286" s="3" t="s">
        <v>1155</v>
      </c>
      <c r="C2286" s="25">
        <v>0</v>
      </c>
      <c r="D2286" s="25">
        <v>0</v>
      </c>
      <c r="E2286" s="18">
        <f t="shared" si="429"/>
        <v>0</v>
      </c>
    </row>
    <row r="2287" spans="1:5" ht="15" x14ac:dyDescent="0.2">
      <c r="A2287" s="7">
        <v>542490</v>
      </c>
      <c r="B2287" s="3" t="s">
        <v>224</v>
      </c>
      <c r="C2287" s="25">
        <v>0</v>
      </c>
      <c r="D2287" s="25">
        <v>0</v>
      </c>
      <c r="E2287" s="18">
        <f t="shared" si="429"/>
        <v>0</v>
      </c>
    </row>
    <row r="2288" spans="1:5" ht="15" x14ac:dyDescent="0.2">
      <c r="A2288" s="6">
        <v>56</v>
      </c>
      <c r="B2288" s="2" t="s">
        <v>1334</v>
      </c>
      <c r="C2288" s="24">
        <f>SUM(C2289,C2313)</f>
        <v>0</v>
      </c>
      <c r="D2288" s="24">
        <f>SUM(D2289,D2313)</f>
        <v>0</v>
      </c>
      <c r="E2288" s="17">
        <f>SUM(E2289,E2313)</f>
        <v>0</v>
      </c>
    </row>
    <row r="2289" spans="1:5" ht="15" x14ac:dyDescent="0.2">
      <c r="A2289" s="6">
        <v>5613</v>
      </c>
      <c r="B2289" s="2" t="s">
        <v>795</v>
      </c>
      <c r="C2289" s="24">
        <f>SUM(C2290:C2312)</f>
        <v>0</v>
      </c>
      <c r="D2289" s="24">
        <f t="shared" ref="D2289:E2289" si="430">SUM(D2290:D2312)</f>
        <v>0</v>
      </c>
      <c r="E2289" s="17">
        <f t="shared" si="430"/>
        <v>0</v>
      </c>
    </row>
    <row r="2290" spans="1:5" ht="15" x14ac:dyDescent="0.2">
      <c r="A2290" s="7">
        <v>561301</v>
      </c>
      <c r="B2290" s="3" t="s">
        <v>796</v>
      </c>
      <c r="C2290" s="25">
        <v>0</v>
      </c>
      <c r="D2290" s="25">
        <v>0</v>
      </c>
      <c r="E2290" s="18">
        <f t="shared" ref="E2290:E2312" si="431">SUM(C2290:D2290)</f>
        <v>0</v>
      </c>
    </row>
    <row r="2291" spans="1:5" ht="15" x14ac:dyDescent="0.2">
      <c r="A2291" s="7">
        <v>561302</v>
      </c>
      <c r="B2291" s="3" t="s">
        <v>797</v>
      </c>
      <c r="C2291" s="25">
        <v>0</v>
      </c>
      <c r="D2291" s="25">
        <v>0</v>
      </c>
      <c r="E2291" s="18">
        <f t="shared" si="431"/>
        <v>0</v>
      </c>
    </row>
    <row r="2292" spans="1:5" ht="15" x14ac:dyDescent="0.2">
      <c r="A2292" s="7">
        <v>561303</v>
      </c>
      <c r="B2292" s="3" t="s">
        <v>798</v>
      </c>
      <c r="C2292" s="25">
        <v>0</v>
      </c>
      <c r="D2292" s="25">
        <v>0</v>
      </c>
      <c r="E2292" s="18">
        <f t="shared" si="431"/>
        <v>0</v>
      </c>
    </row>
    <row r="2293" spans="1:5" ht="15" x14ac:dyDescent="0.2">
      <c r="A2293" s="7">
        <v>561304</v>
      </c>
      <c r="B2293" s="3" t="s">
        <v>799</v>
      </c>
      <c r="C2293" s="25">
        <v>0</v>
      </c>
      <c r="D2293" s="25">
        <v>0</v>
      </c>
      <c r="E2293" s="18">
        <f t="shared" si="431"/>
        <v>0</v>
      </c>
    </row>
    <row r="2294" spans="1:5" ht="15" x14ac:dyDescent="0.2">
      <c r="A2294" s="7">
        <v>561305</v>
      </c>
      <c r="B2294" s="3" t="s">
        <v>800</v>
      </c>
      <c r="C2294" s="25">
        <v>0</v>
      </c>
      <c r="D2294" s="25">
        <v>0</v>
      </c>
      <c r="E2294" s="18">
        <f t="shared" si="431"/>
        <v>0</v>
      </c>
    </row>
    <row r="2295" spans="1:5" ht="15" x14ac:dyDescent="0.2">
      <c r="A2295" s="7">
        <v>561306</v>
      </c>
      <c r="B2295" s="3" t="s">
        <v>1335</v>
      </c>
      <c r="C2295" s="25">
        <v>0</v>
      </c>
      <c r="D2295" s="25">
        <v>0</v>
      </c>
      <c r="E2295" s="18">
        <f t="shared" si="431"/>
        <v>0</v>
      </c>
    </row>
    <row r="2296" spans="1:5" ht="15" x14ac:dyDescent="0.2">
      <c r="A2296" s="7">
        <v>561307</v>
      </c>
      <c r="B2296" s="3" t="s">
        <v>802</v>
      </c>
      <c r="C2296" s="25">
        <v>0</v>
      </c>
      <c r="D2296" s="25">
        <v>0</v>
      </c>
      <c r="E2296" s="18">
        <f t="shared" si="431"/>
        <v>0</v>
      </c>
    </row>
    <row r="2297" spans="1:5" ht="15" x14ac:dyDescent="0.2">
      <c r="A2297" s="7">
        <v>561308</v>
      </c>
      <c r="B2297" s="3" t="s">
        <v>1336</v>
      </c>
      <c r="C2297" s="25">
        <v>0</v>
      </c>
      <c r="D2297" s="25">
        <v>0</v>
      </c>
      <c r="E2297" s="18">
        <f t="shared" si="431"/>
        <v>0</v>
      </c>
    </row>
    <row r="2298" spans="1:5" ht="15" x14ac:dyDescent="0.2">
      <c r="A2298" s="7">
        <v>561309</v>
      </c>
      <c r="B2298" s="3" t="s">
        <v>804</v>
      </c>
      <c r="C2298" s="25">
        <v>0</v>
      </c>
      <c r="D2298" s="25">
        <v>0</v>
      </c>
      <c r="E2298" s="18">
        <f t="shared" si="431"/>
        <v>0</v>
      </c>
    </row>
    <row r="2299" spans="1:5" ht="15" x14ac:dyDescent="0.2">
      <c r="A2299" s="7">
        <v>561310</v>
      </c>
      <c r="B2299" s="3" t="s">
        <v>805</v>
      </c>
      <c r="C2299" s="25">
        <v>0</v>
      </c>
      <c r="D2299" s="25">
        <v>0</v>
      </c>
      <c r="E2299" s="18">
        <f t="shared" si="431"/>
        <v>0</v>
      </c>
    </row>
    <row r="2300" spans="1:5" ht="15" x14ac:dyDescent="0.2">
      <c r="A2300" s="7">
        <v>561311</v>
      </c>
      <c r="B2300" s="3" t="s">
        <v>806</v>
      </c>
      <c r="C2300" s="25">
        <v>0</v>
      </c>
      <c r="D2300" s="25">
        <v>0</v>
      </c>
      <c r="E2300" s="18">
        <f t="shared" si="431"/>
        <v>0</v>
      </c>
    </row>
    <row r="2301" spans="1:5" ht="15" x14ac:dyDescent="0.2">
      <c r="A2301" s="7">
        <v>561312</v>
      </c>
      <c r="B2301" s="3" t="s">
        <v>1337</v>
      </c>
      <c r="C2301" s="25">
        <v>0</v>
      </c>
      <c r="D2301" s="25">
        <v>0</v>
      </c>
      <c r="E2301" s="18">
        <f t="shared" si="431"/>
        <v>0</v>
      </c>
    </row>
    <row r="2302" spans="1:5" ht="15" x14ac:dyDescent="0.2">
      <c r="A2302" s="7">
        <v>561315</v>
      </c>
      <c r="B2302" s="3" t="s">
        <v>810</v>
      </c>
      <c r="C2302" s="25">
        <v>0</v>
      </c>
      <c r="D2302" s="25">
        <v>0</v>
      </c>
      <c r="E2302" s="18">
        <f t="shared" si="431"/>
        <v>0</v>
      </c>
    </row>
    <row r="2303" spans="1:5" ht="15" x14ac:dyDescent="0.2">
      <c r="A2303" s="7">
        <v>561316</v>
      </c>
      <c r="B2303" s="3" t="s">
        <v>811</v>
      </c>
      <c r="C2303" s="25">
        <v>0</v>
      </c>
      <c r="D2303" s="25">
        <v>0</v>
      </c>
      <c r="E2303" s="18">
        <f t="shared" si="431"/>
        <v>0</v>
      </c>
    </row>
    <row r="2304" spans="1:5" ht="15" x14ac:dyDescent="0.2">
      <c r="A2304" s="7">
        <v>561317</v>
      </c>
      <c r="B2304" s="3" t="s">
        <v>812</v>
      </c>
      <c r="C2304" s="25">
        <v>0</v>
      </c>
      <c r="D2304" s="25">
        <v>0</v>
      </c>
      <c r="E2304" s="18">
        <f t="shared" si="431"/>
        <v>0</v>
      </c>
    </row>
    <row r="2305" spans="1:5" ht="15" x14ac:dyDescent="0.2">
      <c r="A2305" s="7">
        <v>561318</v>
      </c>
      <c r="B2305" s="3" t="s">
        <v>215</v>
      </c>
      <c r="C2305" s="25">
        <v>0</v>
      </c>
      <c r="D2305" s="25">
        <v>0</v>
      </c>
      <c r="E2305" s="18">
        <f t="shared" si="431"/>
        <v>0</v>
      </c>
    </row>
    <row r="2306" spans="1:5" ht="15" x14ac:dyDescent="0.2">
      <c r="A2306" s="7">
        <v>561319</v>
      </c>
      <c r="B2306" s="3" t="s">
        <v>1037</v>
      </c>
      <c r="C2306" s="25">
        <v>0</v>
      </c>
      <c r="D2306" s="25">
        <v>0</v>
      </c>
      <c r="E2306" s="18">
        <f t="shared" si="431"/>
        <v>0</v>
      </c>
    </row>
    <row r="2307" spans="1:5" ht="15" x14ac:dyDescent="0.2">
      <c r="A2307" s="7">
        <v>561320</v>
      </c>
      <c r="B2307" s="3" t="s">
        <v>927</v>
      </c>
      <c r="C2307" s="25">
        <v>0</v>
      </c>
      <c r="D2307" s="25">
        <v>0</v>
      </c>
      <c r="E2307" s="18">
        <f t="shared" si="431"/>
        <v>0</v>
      </c>
    </row>
    <row r="2308" spans="1:5" ht="15" x14ac:dyDescent="0.2">
      <c r="A2308" s="7">
        <v>561321</v>
      </c>
      <c r="B2308" s="3" t="s">
        <v>928</v>
      </c>
      <c r="C2308" s="25">
        <v>0</v>
      </c>
      <c r="D2308" s="25">
        <v>0</v>
      </c>
      <c r="E2308" s="18">
        <f t="shared" si="431"/>
        <v>0</v>
      </c>
    </row>
    <row r="2309" spans="1:5" ht="15" x14ac:dyDescent="0.2">
      <c r="A2309" s="7">
        <v>561322</v>
      </c>
      <c r="B2309" s="3" t="s">
        <v>929</v>
      </c>
      <c r="C2309" s="25">
        <v>0</v>
      </c>
      <c r="D2309" s="25">
        <v>0</v>
      </c>
      <c r="E2309" s="18">
        <f t="shared" si="431"/>
        <v>0</v>
      </c>
    </row>
    <row r="2310" spans="1:5" ht="15" x14ac:dyDescent="0.2">
      <c r="A2310" s="7">
        <v>561323</v>
      </c>
      <c r="B2310" s="3" t="s">
        <v>930</v>
      </c>
      <c r="C2310" s="25">
        <v>0</v>
      </c>
      <c r="D2310" s="25">
        <v>0</v>
      </c>
      <c r="E2310" s="18">
        <f t="shared" si="431"/>
        <v>0</v>
      </c>
    </row>
    <row r="2311" spans="1:5" ht="15" x14ac:dyDescent="0.2">
      <c r="A2311" s="7">
        <v>561324</v>
      </c>
      <c r="B2311" s="3" t="s">
        <v>793</v>
      </c>
      <c r="C2311" s="25">
        <v>0</v>
      </c>
      <c r="D2311" s="25">
        <v>0</v>
      </c>
      <c r="E2311" s="18">
        <f t="shared" si="431"/>
        <v>0</v>
      </c>
    </row>
    <row r="2312" spans="1:5" ht="15" x14ac:dyDescent="0.2">
      <c r="A2312" s="7">
        <v>561390</v>
      </c>
      <c r="B2312" s="3" t="s">
        <v>1338</v>
      </c>
      <c r="C2312" s="25">
        <v>0</v>
      </c>
      <c r="D2312" s="25">
        <v>0</v>
      </c>
      <c r="E2312" s="18">
        <f t="shared" si="431"/>
        <v>0</v>
      </c>
    </row>
    <row r="2313" spans="1:5" ht="15" x14ac:dyDescent="0.2">
      <c r="A2313" s="8">
        <v>5618</v>
      </c>
      <c r="B2313" s="5" t="s">
        <v>1126</v>
      </c>
      <c r="C2313" s="24">
        <f>SUM(C2314:C2322)</f>
        <v>0</v>
      </c>
      <c r="D2313" s="24">
        <f t="shared" ref="D2313:E2313" si="432">SUM(D2314:D2322)</f>
        <v>0</v>
      </c>
      <c r="E2313" s="17">
        <f t="shared" si="432"/>
        <v>0</v>
      </c>
    </row>
    <row r="2314" spans="1:5" ht="15" x14ac:dyDescent="0.2">
      <c r="A2314" s="7">
        <v>561802</v>
      </c>
      <c r="B2314" s="3" t="s">
        <v>1339</v>
      </c>
      <c r="C2314" s="25">
        <v>0</v>
      </c>
      <c r="D2314" s="25">
        <v>0</v>
      </c>
      <c r="E2314" s="18">
        <f t="shared" ref="E2314:E2322" si="433">SUM(C2314:D2314)</f>
        <v>0</v>
      </c>
    </row>
    <row r="2315" spans="1:5" ht="15" x14ac:dyDescent="0.2">
      <c r="A2315" s="7">
        <v>561804</v>
      </c>
      <c r="B2315" s="3" t="s">
        <v>1340</v>
      </c>
      <c r="C2315" s="25">
        <v>0</v>
      </c>
      <c r="D2315" s="25">
        <v>0</v>
      </c>
      <c r="E2315" s="18">
        <f t="shared" si="433"/>
        <v>0</v>
      </c>
    </row>
    <row r="2316" spans="1:5" ht="15" x14ac:dyDescent="0.2">
      <c r="A2316" s="7">
        <v>561805</v>
      </c>
      <c r="B2316" s="3" t="s">
        <v>1341</v>
      </c>
      <c r="C2316" s="25">
        <v>0</v>
      </c>
      <c r="D2316" s="25">
        <v>0</v>
      </c>
      <c r="E2316" s="18">
        <f t="shared" si="433"/>
        <v>0</v>
      </c>
    </row>
    <row r="2317" spans="1:5" ht="15" x14ac:dyDescent="0.2">
      <c r="A2317" s="7">
        <v>561807</v>
      </c>
      <c r="B2317" s="3" t="s">
        <v>1342</v>
      </c>
      <c r="C2317" s="25">
        <v>0</v>
      </c>
      <c r="D2317" s="25">
        <v>0</v>
      </c>
      <c r="E2317" s="18">
        <f t="shared" si="433"/>
        <v>0</v>
      </c>
    </row>
    <row r="2318" spans="1:5" ht="15" x14ac:dyDescent="0.2">
      <c r="A2318" s="7">
        <v>561808</v>
      </c>
      <c r="B2318" s="3" t="s">
        <v>1088</v>
      </c>
      <c r="C2318" s="25">
        <v>0</v>
      </c>
      <c r="D2318" s="25">
        <v>0</v>
      </c>
      <c r="E2318" s="18">
        <f t="shared" si="433"/>
        <v>0</v>
      </c>
    </row>
    <row r="2319" spans="1:5" ht="15" x14ac:dyDescent="0.2">
      <c r="A2319" s="7">
        <v>561809</v>
      </c>
      <c r="B2319" s="3" t="s">
        <v>1343</v>
      </c>
      <c r="C2319" s="25">
        <v>0</v>
      </c>
      <c r="D2319" s="25">
        <v>0</v>
      </c>
      <c r="E2319" s="18">
        <f t="shared" si="433"/>
        <v>0</v>
      </c>
    </row>
    <row r="2320" spans="1:5" ht="15" x14ac:dyDescent="0.2">
      <c r="A2320" s="7">
        <v>561810</v>
      </c>
      <c r="B2320" s="3" t="s">
        <v>922</v>
      </c>
      <c r="C2320" s="25">
        <v>0</v>
      </c>
      <c r="D2320" s="25">
        <v>0</v>
      </c>
      <c r="E2320" s="18">
        <f t="shared" si="433"/>
        <v>0</v>
      </c>
    </row>
    <row r="2321" spans="1:5" ht="15" x14ac:dyDescent="0.2">
      <c r="A2321" s="7">
        <v>561811</v>
      </c>
      <c r="B2321" s="3" t="s">
        <v>842</v>
      </c>
      <c r="C2321" s="25">
        <v>0</v>
      </c>
      <c r="D2321" s="25">
        <v>0</v>
      </c>
      <c r="E2321" s="18">
        <f t="shared" si="433"/>
        <v>0</v>
      </c>
    </row>
    <row r="2322" spans="1:5" ht="15" x14ac:dyDescent="0.2">
      <c r="A2322" s="7">
        <v>561890</v>
      </c>
      <c r="B2322" s="3" t="s">
        <v>1344</v>
      </c>
      <c r="C2322" s="25">
        <v>0</v>
      </c>
      <c r="D2322" s="25">
        <v>0</v>
      </c>
      <c r="E2322" s="18">
        <f t="shared" si="433"/>
        <v>0</v>
      </c>
    </row>
    <row r="2323" spans="1:5" ht="15" x14ac:dyDescent="0.2">
      <c r="A2323" s="6">
        <v>58</v>
      </c>
      <c r="B2323" s="2" t="s">
        <v>1345</v>
      </c>
      <c r="C2323" s="24">
        <f>SUM(C2324,C2330,C2349,C2392,C2398,C2404,C2410,C2413,C2418,C2421,C2440,C2463,C2465,C2472,C2486)</f>
        <v>0</v>
      </c>
      <c r="D2323" s="24">
        <f>SUM(D2324,D2330,D2349,D2392,D2398,D2404,D2410,D2413,D2418,D2421,D2440,D2463,D2465,D2472,D2486)</f>
        <v>0</v>
      </c>
      <c r="E2323" s="28">
        <f>SUM(E2324,E2330,E2349,E2392,E2398,E2404,E2410,E2413,E2418,E2421,E2440,E2463,E2465,E2472,E2486)</f>
        <v>0</v>
      </c>
    </row>
    <row r="2324" spans="1:5" ht="15" x14ac:dyDescent="0.2">
      <c r="A2324" s="6">
        <v>5802</v>
      </c>
      <c r="B2324" s="2" t="s">
        <v>1346</v>
      </c>
      <c r="C2324" s="24">
        <f>SUM(C2325:C2329)</f>
        <v>0</v>
      </c>
      <c r="D2324" s="24">
        <f t="shared" ref="D2324:E2324" si="434">SUM(D2325:D2329)</f>
        <v>0</v>
      </c>
      <c r="E2324" s="28">
        <f t="shared" si="434"/>
        <v>0</v>
      </c>
    </row>
    <row r="2325" spans="1:5" ht="15" x14ac:dyDescent="0.2">
      <c r="A2325" s="7">
        <v>580206</v>
      </c>
      <c r="B2325" s="3" t="s">
        <v>1347</v>
      </c>
      <c r="C2325" s="25">
        <v>0</v>
      </c>
      <c r="D2325" s="25">
        <v>0</v>
      </c>
      <c r="E2325" s="18">
        <f t="shared" ref="E2325:E2329" si="435">SUM(C2325:D2325)</f>
        <v>0</v>
      </c>
    </row>
    <row r="2326" spans="1:5" ht="15" x14ac:dyDescent="0.2">
      <c r="A2326" s="7">
        <v>580237</v>
      </c>
      <c r="B2326" s="3" t="s">
        <v>1348</v>
      </c>
      <c r="C2326" s="25">
        <v>0</v>
      </c>
      <c r="D2326" s="25">
        <v>0</v>
      </c>
      <c r="E2326" s="18">
        <f t="shared" si="435"/>
        <v>0</v>
      </c>
    </row>
    <row r="2327" spans="1:5" ht="15" x14ac:dyDescent="0.2">
      <c r="A2327" s="7">
        <v>580239</v>
      </c>
      <c r="B2327" s="3" t="s">
        <v>556</v>
      </c>
      <c r="C2327" s="25">
        <v>0</v>
      </c>
      <c r="D2327" s="25">
        <v>0</v>
      </c>
      <c r="E2327" s="18">
        <f t="shared" si="435"/>
        <v>0</v>
      </c>
    </row>
    <row r="2328" spans="1:5" ht="15" x14ac:dyDescent="0.2">
      <c r="A2328" s="7">
        <v>580240</v>
      </c>
      <c r="B2328" s="3" t="s">
        <v>1349</v>
      </c>
      <c r="C2328" s="25">
        <v>0</v>
      </c>
      <c r="D2328" s="25">
        <v>0</v>
      </c>
      <c r="E2328" s="18">
        <f t="shared" si="435"/>
        <v>0</v>
      </c>
    </row>
    <row r="2329" spans="1:5" ht="15" x14ac:dyDescent="0.2">
      <c r="A2329" s="7">
        <v>580290</v>
      </c>
      <c r="B2329" s="3" t="s">
        <v>1350</v>
      </c>
      <c r="C2329" s="25">
        <v>0</v>
      </c>
      <c r="D2329" s="25">
        <v>0</v>
      </c>
      <c r="E2329" s="29">
        <f t="shared" si="435"/>
        <v>0</v>
      </c>
    </row>
    <row r="2330" spans="1:5" ht="15" x14ac:dyDescent="0.2">
      <c r="A2330" s="6">
        <v>5803</v>
      </c>
      <c r="B2330" s="2" t="s">
        <v>1190</v>
      </c>
      <c r="C2330" s="24">
        <f>SUM(C2331:C2348)</f>
        <v>0</v>
      </c>
      <c r="D2330" s="24">
        <f t="shared" ref="D2330:E2330" si="436">SUM(D2331:D2348)</f>
        <v>0</v>
      </c>
      <c r="E2330" s="17">
        <f t="shared" si="436"/>
        <v>0</v>
      </c>
    </row>
    <row r="2331" spans="1:5" ht="15" x14ac:dyDescent="0.2">
      <c r="A2331" s="7">
        <v>580301</v>
      </c>
      <c r="B2331" s="3" t="s">
        <v>549</v>
      </c>
      <c r="C2331" s="25">
        <v>0</v>
      </c>
      <c r="D2331" s="25">
        <v>0</v>
      </c>
      <c r="E2331" s="18">
        <f t="shared" ref="E2331:E2348" si="437">SUM(C2331:D2331)</f>
        <v>0</v>
      </c>
    </row>
    <row r="2332" spans="1:5" ht="15" x14ac:dyDescent="0.2">
      <c r="A2332" s="7">
        <v>580302</v>
      </c>
      <c r="B2332" s="3" t="s">
        <v>226</v>
      </c>
      <c r="C2332" s="25">
        <v>0</v>
      </c>
      <c r="D2332" s="25">
        <v>0</v>
      </c>
      <c r="E2332" s="18">
        <f t="shared" si="437"/>
        <v>0</v>
      </c>
    </row>
    <row r="2333" spans="1:5" ht="15" x14ac:dyDescent="0.2">
      <c r="A2333" s="7">
        <v>580303</v>
      </c>
      <c r="B2333" s="3" t="s">
        <v>287</v>
      </c>
      <c r="C2333" s="25">
        <v>0</v>
      </c>
      <c r="D2333" s="25">
        <v>0</v>
      </c>
      <c r="E2333" s="18">
        <f t="shared" si="437"/>
        <v>0</v>
      </c>
    </row>
    <row r="2334" spans="1:5" ht="15" x14ac:dyDescent="0.2">
      <c r="A2334" s="7">
        <v>580312</v>
      </c>
      <c r="B2334" s="3" t="s">
        <v>845</v>
      </c>
      <c r="C2334" s="25">
        <v>0</v>
      </c>
      <c r="D2334" s="25">
        <v>0</v>
      </c>
      <c r="E2334" s="18">
        <f t="shared" si="437"/>
        <v>0</v>
      </c>
    </row>
    <row r="2335" spans="1:5" ht="15" x14ac:dyDescent="0.2">
      <c r="A2335" s="7">
        <v>580313</v>
      </c>
      <c r="B2335" s="3" t="s">
        <v>846</v>
      </c>
      <c r="C2335" s="25">
        <v>0</v>
      </c>
      <c r="D2335" s="25">
        <v>0</v>
      </c>
      <c r="E2335" s="18">
        <f t="shared" si="437"/>
        <v>0</v>
      </c>
    </row>
    <row r="2336" spans="1:5" ht="15" x14ac:dyDescent="0.2">
      <c r="A2336" s="7">
        <v>580334</v>
      </c>
      <c r="B2336" s="3" t="s">
        <v>1191</v>
      </c>
      <c r="C2336" s="25">
        <v>0</v>
      </c>
      <c r="D2336" s="25">
        <v>0</v>
      </c>
      <c r="E2336" s="18">
        <f t="shared" si="437"/>
        <v>0</v>
      </c>
    </row>
    <row r="2337" spans="1:5" ht="15" x14ac:dyDescent="0.2">
      <c r="A2337" s="7">
        <v>580336</v>
      </c>
      <c r="B2337" s="3" t="s">
        <v>551</v>
      </c>
      <c r="C2337" s="25">
        <v>0</v>
      </c>
      <c r="D2337" s="25">
        <v>0</v>
      </c>
      <c r="E2337" s="18">
        <f t="shared" si="437"/>
        <v>0</v>
      </c>
    </row>
    <row r="2338" spans="1:5" ht="15" x14ac:dyDescent="0.2">
      <c r="A2338" s="7">
        <v>580337</v>
      </c>
      <c r="B2338" s="3" t="s">
        <v>1192</v>
      </c>
      <c r="C2338" s="25">
        <v>0</v>
      </c>
      <c r="D2338" s="25">
        <v>0</v>
      </c>
      <c r="E2338" s="18">
        <f t="shared" si="437"/>
        <v>0</v>
      </c>
    </row>
    <row r="2339" spans="1:5" ht="15" x14ac:dyDescent="0.2">
      <c r="A2339" s="7">
        <v>580338</v>
      </c>
      <c r="B2339" s="3" t="s">
        <v>1193</v>
      </c>
      <c r="C2339" s="25">
        <v>0</v>
      </c>
      <c r="D2339" s="25">
        <v>0</v>
      </c>
      <c r="E2339" s="18">
        <f t="shared" si="437"/>
        <v>0</v>
      </c>
    </row>
    <row r="2340" spans="1:5" ht="15" x14ac:dyDescent="0.2">
      <c r="A2340" s="7">
        <v>580339</v>
      </c>
      <c r="B2340" s="3" t="s">
        <v>1194</v>
      </c>
      <c r="C2340" s="25">
        <v>0</v>
      </c>
      <c r="D2340" s="25">
        <v>0</v>
      </c>
      <c r="E2340" s="18">
        <f t="shared" si="437"/>
        <v>0</v>
      </c>
    </row>
    <row r="2341" spans="1:5" ht="15" x14ac:dyDescent="0.2">
      <c r="A2341" s="7">
        <v>580340</v>
      </c>
      <c r="B2341" s="3" t="s">
        <v>1195</v>
      </c>
      <c r="C2341" s="25">
        <v>0</v>
      </c>
      <c r="D2341" s="25">
        <v>0</v>
      </c>
      <c r="E2341" s="18">
        <f t="shared" si="437"/>
        <v>0</v>
      </c>
    </row>
    <row r="2342" spans="1:5" ht="15" x14ac:dyDescent="0.2">
      <c r="A2342" s="7">
        <v>580342</v>
      </c>
      <c r="B2342" s="3" t="s">
        <v>1196</v>
      </c>
      <c r="C2342" s="25">
        <v>0</v>
      </c>
      <c r="D2342" s="25">
        <v>0</v>
      </c>
      <c r="E2342" s="18">
        <f t="shared" si="437"/>
        <v>0</v>
      </c>
    </row>
    <row r="2343" spans="1:5" ht="15" x14ac:dyDescent="0.2">
      <c r="A2343" s="7">
        <v>580343</v>
      </c>
      <c r="B2343" s="3" t="s">
        <v>1197</v>
      </c>
      <c r="C2343" s="25">
        <v>0</v>
      </c>
      <c r="D2343" s="25">
        <v>0</v>
      </c>
      <c r="E2343" s="18">
        <f t="shared" si="437"/>
        <v>0</v>
      </c>
    </row>
    <row r="2344" spans="1:5" ht="15" x14ac:dyDescent="0.2">
      <c r="A2344" s="7">
        <v>580344</v>
      </c>
      <c r="B2344" s="3" t="s">
        <v>1198</v>
      </c>
      <c r="C2344" s="25">
        <v>0</v>
      </c>
      <c r="D2344" s="25">
        <v>0</v>
      </c>
      <c r="E2344" s="18">
        <f t="shared" si="437"/>
        <v>0</v>
      </c>
    </row>
    <row r="2345" spans="1:5" ht="15" x14ac:dyDescent="0.2">
      <c r="A2345" s="7">
        <v>580345</v>
      </c>
      <c r="B2345" s="3" t="s">
        <v>1199</v>
      </c>
      <c r="C2345" s="25">
        <v>0</v>
      </c>
      <c r="D2345" s="25">
        <v>0</v>
      </c>
      <c r="E2345" s="18">
        <f t="shared" si="437"/>
        <v>0</v>
      </c>
    </row>
    <row r="2346" spans="1:5" ht="15" x14ac:dyDescent="0.2">
      <c r="A2346" s="7">
        <v>580346</v>
      </c>
      <c r="B2346" s="3" t="s">
        <v>644</v>
      </c>
      <c r="C2346" s="25">
        <v>0</v>
      </c>
      <c r="D2346" s="25">
        <v>0</v>
      </c>
      <c r="E2346" s="18">
        <f t="shared" si="437"/>
        <v>0</v>
      </c>
    </row>
    <row r="2347" spans="1:5" ht="15" x14ac:dyDescent="0.2">
      <c r="A2347" s="7">
        <v>580349</v>
      </c>
      <c r="B2347" s="3" t="s">
        <v>550</v>
      </c>
      <c r="C2347" s="25">
        <v>0</v>
      </c>
      <c r="D2347" s="25">
        <v>0</v>
      </c>
      <c r="E2347" s="18">
        <f t="shared" si="437"/>
        <v>0</v>
      </c>
    </row>
    <row r="2348" spans="1:5" ht="15" x14ac:dyDescent="0.2">
      <c r="A2348" s="7">
        <v>580390</v>
      </c>
      <c r="B2348" s="3" t="s">
        <v>1200</v>
      </c>
      <c r="C2348" s="25">
        <v>0</v>
      </c>
      <c r="D2348" s="25">
        <v>0</v>
      </c>
      <c r="E2348" s="18">
        <f t="shared" si="437"/>
        <v>0</v>
      </c>
    </row>
    <row r="2349" spans="1:5" ht="15" x14ac:dyDescent="0.2">
      <c r="A2349" s="6">
        <v>5804</v>
      </c>
      <c r="B2349" s="2" t="s">
        <v>1157</v>
      </c>
      <c r="C2349" s="24">
        <f>SUM(C2350:C2391)</f>
        <v>0</v>
      </c>
      <c r="D2349" s="24">
        <f t="shared" ref="D2349:E2349" si="438">SUM(D2350:D2391)</f>
        <v>0</v>
      </c>
      <c r="E2349" s="28">
        <f t="shared" si="438"/>
        <v>0</v>
      </c>
    </row>
    <row r="2350" spans="1:5" ht="15" x14ac:dyDescent="0.2">
      <c r="A2350" s="7">
        <v>580401</v>
      </c>
      <c r="B2350" s="3" t="s">
        <v>1351</v>
      </c>
      <c r="C2350" s="25">
        <v>0</v>
      </c>
      <c r="D2350" s="25">
        <v>0</v>
      </c>
      <c r="E2350" s="18">
        <f t="shared" ref="E2350:E2391" si="439">SUM(C2350:D2350)</f>
        <v>0</v>
      </c>
    </row>
    <row r="2351" spans="1:5" ht="15" x14ac:dyDescent="0.2">
      <c r="A2351" s="7">
        <v>580402</v>
      </c>
      <c r="B2351" s="3" t="s">
        <v>1352</v>
      </c>
      <c r="C2351" s="25">
        <v>0</v>
      </c>
      <c r="D2351" s="25">
        <v>0</v>
      </c>
      <c r="E2351" s="18">
        <f t="shared" si="439"/>
        <v>0</v>
      </c>
    </row>
    <row r="2352" spans="1:5" ht="15" x14ac:dyDescent="0.2">
      <c r="A2352" s="7">
        <v>580403</v>
      </c>
      <c r="B2352" s="3" t="s">
        <v>1353</v>
      </c>
      <c r="C2352" s="25">
        <v>0</v>
      </c>
      <c r="D2352" s="25">
        <v>0</v>
      </c>
      <c r="E2352" s="18">
        <f t="shared" si="439"/>
        <v>0</v>
      </c>
    </row>
    <row r="2353" spans="1:5" ht="15" x14ac:dyDescent="0.2">
      <c r="A2353" s="7">
        <v>580404</v>
      </c>
      <c r="B2353" s="3" t="s">
        <v>1354</v>
      </c>
      <c r="C2353" s="25">
        <v>0</v>
      </c>
      <c r="D2353" s="25">
        <v>0</v>
      </c>
      <c r="E2353" s="18">
        <f t="shared" si="439"/>
        <v>0</v>
      </c>
    </row>
    <row r="2354" spans="1:5" ht="15" x14ac:dyDescent="0.2">
      <c r="A2354" s="7">
        <v>580405</v>
      </c>
      <c r="B2354" s="3" t="s">
        <v>567</v>
      </c>
      <c r="C2354" s="25">
        <v>0</v>
      </c>
      <c r="D2354" s="25">
        <v>0</v>
      </c>
      <c r="E2354" s="18">
        <f t="shared" si="439"/>
        <v>0</v>
      </c>
    </row>
    <row r="2355" spans="1:5" ht="15" x14ac:dyDescent="0.2">
      <c r="A2355" s="7">
        <v>580406</v>
      </c>
      <c r="B2355" s="3" t="s">
        <v>1355</v>
      </c>
      <c r="C2355" s="25">
        <v>0</v>
      </c>
      <c r="D2355" s="25">
        <v>0</v>
      </c>
      <c r="E2355" s="18">
        <f t="shared" si="439"/>
        <v>0</v>
      </c>
    </row>
    <row r="2356" spans="1:5" ht="15" x14ac:dyDescent="0.2">
      <c r="A2356" s="7">
        <v>580407</v>
      </c>
      <c r="B2356" s="3" t="s">
        <v>1356</v>
      </c>
      <c r="C2356" s="25">
        <v>0</v>
      </c>
      <c r="D2356" s="25">
        <v>0</v>
      </c>
      <c r="E2356" s="18">
        <f t="shared" si="439"/>
        <v>0</v>
      </c>
    </row>
    <row r="2357" spans="1:5" ht="15" x14ac:dyDescent="0.2">
      <c r="A2357" s="7">
        <v>580409</v>
      </c>
      <c r="B2357" s="3" t="s">
        <v>1357</v>
      </c>
      <c r="C2357" s="25">
        <v>0</v>
      </c>
      <c r="D2357" s="25">
        <v>0</v>
      </c>
      <c r="E2357" s="18">
        <f t="shared" si="439"/>
        <v>0</v>
      </c>
    </row>
    <row r="2358" spans="1:5" ht="15" x14ac:dyDescent="0.2">
      <c r="A2358" s="7">
        <v>580410</v>
      </c>
      <c r="B2358" s="3" t="s">
        <v>1358</v>
      </c>
      <c r="C2358" s="25">
        <v>0</v>
      </c>
      <c r="D2358" s="25">
        <v>0</v>
      </c>
      <c r="E2358" s="18">
        <f t="shared" si="439"/>
        <v>0</v>
      </c>
    </row>
    <row r="2359" spans="1:5" ht="15" x14ac:dyDescent="0.2">
      <c r="A2359" s="7">
        <v>580411</v>
      </c>
      <c r="B2359" s="4" t="s">
        <v>1359</v>
      </c>
      <c r="C2359" s="26">
        <v>0</v>
      </c>
      <c r="D2359" s="26">
        <v>0</v>
      </c>
      <c r="E2359" s="18">
        <f t="shared" si="439"/>
        <v>0</v>
      </c>
    </row>
    <row r="2360" spans="1:5" ht="15" x14ac:dyDescent="0.2">
      <c r="A2360" s="7">
        <v>580412</v>
      </c>
      <c r="B2360" s="4" t="s">
        <v>1360</v>
      </c>
      <c r="C2360" s="26">
        <v>0</v>
      </c>
      <c r="D2360" s="26">
        <v>0</v>
      </c>
      <c r="E2360" s="18">
        <f t="shared" si="439"/>
        <v>0</v>
      </c>
    </row>
    <row r="2361" spans="1:5" ht="15" x14ac:dyDescent="0.2">
      <c r="A2361" s="7">
        <v>580413</v>
      </c>
      <c r="B2361" s="4" t="s">
        <v>1361</v>
      </c>
      <c r="C2361" s="26">
        <v>0</v>
      </c>
      <c r="D2361" s="26">
        <v>0</v>
      </c>
      <c r="E2361" s="18">
        <f t="shared" si="439"/>
        <v>0</v>
      </c>
    </row>
    <row r="2362" spans="1:5" ht="15" x14ac:dyDescent="0.2">
      <c r="A2362" s="7">
        <v>580414</v>
      </c>
      <c r="B2362" s="4" t="s">
        <v>1362</v>
      </c>
      <c r="C2362" s="26">
        <v>0</v>
      </c>
      <c r="D2362" s="26">
        <v>0</v>
      </c>
      <c r="E2362" s="18">
        <f t="shared" si="439"/>
        <v>0</v>
      </c>
    </row>
    <row r="2363" spans="1:5" ht="15" x14ac:dyDescent="0.2">
      <c r="A2363" s="7">
        <v>580415</v>
      </c>
      <c r="B2363" s="4" t="s">
        <v>1363</v>
      </c>
      <c r="C2363" s="26">
        <v>0</v>
      </c>
      <c r="D2363" s="26">
        <v>0</v>
      </c>
      <c r="E2363" s="18">
        <f t="shared" si="439"/>
        <v>0</v>
      </c>
    </row>
    <row r="2364" spans="1:5" ht="15" x14ac:dyDescent="0.2">
      <c r="A2364" s="7">
        <v>580416</v>
      </c>
      <c r="B2364" s="4" t="s">
        <v>1364</v>
      </c>
      <c r="C2364" s="26">
        <v>0</v>
      </c>
      <c r="D2364" s="26">
        <v>0</v>
      </c>
      <c r="E2364" s="18">
        <f t="shared" si="439"/>
        <v>0</v>
      </c>
    </row>
    <row r="2365" spans="1:5" ht="15" x14ac:dyDescent="0.2">
      <c r="A2365" s="7">
        <v>580417</v>
      </c>
      <c r="B2365" s="3" t="s">
        <v>1365</v>
      </c>
      <c r="C2365" s="25">
        <v>0</v>
      </c>
      <c r="D2365" s="25">
        <v>0</v>
      </c>
      <c r="E2365" s="18">
        <f t="shared" si="439"/>
        <v>0</v>
      </c>
    </row>
    <row r="2366" spans="1:5" ht="15" x14ac:dyDescent="0.2">
      <c r="A2366" s="7">
        <v>580418</v>
      </c>
      <c r="B2366" s="3" t="s">
        <v>1366</v>
      </c>
      <c r="C2366" s="25">
        <v>0</v>
      </c>
      <c r="D2366" s="25">
        <v>0</v>
      </c>
      <c r="E2366" s="18">
        <f t="shared" si="439"/>
        <v>0</v>
      </c>
    </row>
    <row r="2367" spans="1:5" ht="15" x14ac:dyDescent="0.2">
      <c r="A2367" s="7">
        <v>580419</v>
      </c>
      <c r="B2367" s="3" t="s">
        <v>1367</v>
      </c>
      <c r="C2367" s="25">
        <v>0</v>
      </c>
      <c r="D2367" s="25">
        <v>0</v>
      </c>
      <c r="E2367" s="18">
        <f t="shared" si="439"/>
        <v>0</v>
      </c>
    </row>
    <row r="2368" spans="1:5" ht="15" x14ac:dyDescent="0.2">
      <c r="A2368" s="7">
        <v>580420</v>
      </c>
      <c r="B2368" s="4" t="s">
        <v>1368</v>
      </c>
      <c r="C2368" s="26">
        <v>0</v>
      </c>
      <c r="D2368" s="26">
        <v>0</v>
      </c>
      <c r="E2368" s="18">
        <f t="shared" si="439"/>
        <v>0</v>
      </c>
    </row>
    <row r="2369" spans="1:5" ht="15" x14ac:dyDescent="0.2">
      <c r="A2369" s="7">
        <v>580421</v>
      </c>
      <c r="B2369" s="4" t="s">
        <v>1369</v>
      </c>
      <c r="C2369" s="26">
        <v>0</v>
      </c>
      <c r="D2369" s="26">
        <v>0</v>
      </c>
      <c r="E2369" s="18">
        <f t="shared" si="439"/>
        <v>0</v>
      </c>
    </row>
    <row r="2370" spans="1:5" ht="15" x14ac:dyDescent="0.2">
      <c r="A2370" s="7">
        <v>580422</v>
      </c>
      <c r="B2370" s="3" t="s">
        <v>1370</v>
      </c>
      <c r="C2370" s="25">
        <v>0</v>
      </c>
      <c r="D2370" s="25">
        <v>0</v>
      </c>
      <c r="E2370" s="18">
        <f t="shared" si="439"/>
        <v>0</v>
      </c>
    </row>
    <row r="2371" spans="1:5" ht="15" x14ac:dyDescent="0.2">
      <c r="A2371" s="7">
        <v>580423</v>
      </c>
      <c r="B2371" s="3" t="s">
        <v>1371</v>
      </c>
      <c r="C2371" s="25">
        <v>0</v>
      </c>
      <c r="D2371" s="25">
        <v>0</v>
      </c>
      <c r="E2371" s="18">
        <f t="shared" si="439"/>
        <v>0</v>
      </c>
    </row>
    <row r="2372" spans="1:5" ht="15" x14ac:dyDescent="0.2">
      <c r="A2372" s="7">
        <v>580426</v>
      </c>
      <c r="B2372" s="3" t="s">
        <v>1372</v>
      </c>
      <c r="C2372" s="25">
        <v>0</v>
      </c>
      <c r="D2372" s="25">
        <v>0</v>
      </c>
      <c r="E2372" s="18">
        <f t="shared" si="439"/>
        <v>0</v>
      </c>
    </row>
    <row r="2373" spans="1:5" ht="15" x14ac:dyDescent="0.2">
      <c r="A2373" s="7">
        <v>580427</v>
      </c>
      <c r="B2373" s="3" t="s">
        <v>1373</v>
      </c>
      <c r="C2373" s="25">
        <v>0</v>
      </c>
      <c r="D2373" s="25">
        <v>0</v>
      </c>
      <c r="E2373" s="18">
        <f t="shared" si="439"/>
        <v>0</v>
      </c>
    </row>
    <row r="2374" spans="1:5" ht="15" x14ac:dyDescent="0.2">
      <c r="A2374" s="7">
        <v>580428</v>
      </c>
      <c r="B2374" s="3" t="s">
        <v>1374</v>
      </c>
      <c r="C2374" s="25">
        <v>0</v>
      </c>
      <c r="D2374" s="25">
        <v>0</v>
      </c>
      <c r="E2374" s="18">
        <f t="shared" si="439"/>
        <v>0</v>
      </c>
    </row>
    <row r="2375" spans="1:5" ht="15" x14ac:dyDescent="0.2">
      <c r="A2375" s="7">
        <v>580429</v>
      </c>
      <c r="B2375" s="3" t="s">
        <v>1375</v>
      </c>
      <c r="C2375" s="25">
        <v>0</v>
      </c>
      <c r="D2375" s="25">
        <v>0</v>
      </c>
      <c r="E2375" s="18">
        <f t="shared" si="439"/>
        <v>0</v>
      </c>
    </row>
    <row r="2376" spans="1:5" ht="15" x14ac:dyDescent="0.2">
      <c r="A2376" s="7">
        <v>580430</v>
      </c>
      <c r="B2376" s="3" t="s">
        <v>1376</v>
      </c>
      <c r="C2376" s="25">
        <v>0</v>
      </c>
      <c r="D2376" s="25">
        <v>0</v>
      </c>
      <c r="E2376" s="18">
        <f t="shared" si="439"/>
        <v>0</v>
      </c>
    </row>
    <row r="2377" spans="1:5" ht="15" x14ac:dyDescent="0.2">
      <c r="A2377" s="7">
        <v>580431</v>
      </c>
      <c r="B2377" s="3" t="s">
        <v>1377</v>
      </c>
      <c r="C2377" s="25">
        <v>0</v>
      </c>
      <c r="D2377" s="25">
        <v>0</v>
      </c>
      <c r="E2377" s="18">
        <f t="shared" si="439"/>
        <v>0</v>
      </c>
    </row>
    <row r="2378" spans="1:5" ht="15" x14ac:dyDescent="0.2">
      <c r="A2378" s="7">
        <v>580433</v>
      </c>
      <c r="B2378" s="3" t="s">
        <v>1378</v>
      </c>
      <c r="C2378" s="25">
        <v>0</v>
      </c>
      <c r="D2378" s="25">
        <v>0</v>
      </c>
      <c r="E2378" s="18">
        <f t="shared" si="439"/>
        <v>0</v>
      </c>
    </row>
    <row r="2379" spans="1:5" ht="15" x14ac:dyDescent="0.2">
      <c r="A2379" s="7">
        <v>580434</v>
      </c>
      <c r="B2379" s="3" t="s">
        <v>1379</v>
      </c>
      <c r="C2379" s="25">
        <v>0</v>
      </c>
      <c r="D2379" s="25">
        <v>0</v>
      </c>
      <c r="E2379" s="18">
        <f t="shared" si="439"/>
        <v>0</v>
      </c>
    </row>
    <row r="2380" spans="1:5" ht="15" x14ac:dyDescent="0.2">
      <c r="A2380" s="7">
        <v>580435</v>
      </c>
      <c r="B2380" s="3" t="s">
        <v>1380</v>
      </c>
      <c r="C2380" s="25">
        <v>0</v>
      </c>
      <c r="D2380" s="25">
        <v>0</v>
      </c>
      <c r="E2380" s="18">
        <f t="shared" si="439"/>
        <v>0</v>
      </c>
    </row>
    <row r="2381" spans="1:5" ht="15" x14ac:dyDescent="0.2">
      <c r="A2381" s="7">
        <v>580436</v>
      </c>
      <c r="B2381" s="3" t="s">
        <v>1381</v>
      </c>
      <c r="C2381" s="25">
        <v>0</v>
      </c>
      <c r="D2381" s="25">
        <v>0</v>
      </c>
      <c r="E2381" s="18">
        <f t="shared" si="439"/>
        <v>0</v>
      </c>
    </row>
    <row r="2382" spans="1:5" ht="15" x14ac:dyDescent="0.2">
      <c r="A2382" s="7">
        <v>580437</v>
      </c>
      <c r="B2382" s="3" t="s">
        <v>1382</v>
      </c>
      <c r="C2382" s="25">
        <v>0</v>
      </c>
      <c r="D2382" s="25">
        <v>0</v>
      </c>
      <c r="E2382" s="18">
        <f t="shared" si="439"/>
        <v>0</v>
      </c>
    </row>
    <row r="2383" spans="1:5" ht="15" x14ac:dyDescent="0.2">
      <c r="A2383" s="7">
        <v>580439</v>
      </c>
      <c r="B2383" s="3" t="s">
        <v>252</v>
      </c>
      <c r="C2383" s="25">
        <v>0</v>
      </c>
      <c r="D2383" s="25">
        <v>0</v>
      </c>
      <c r="E2383" s="18">
        <f t="shared" si="439"/>
        <v>0</v>
      </c>
    </row>
    <row r="2384" spans="1:5" ht="15" x14ac:dyDescent="0.2">
      <c r="A2384" s="7">
        <v>580440</v>
      </c>
      <c r="B2384" s="3" t="s">
        <v>1383</v>
      </c>
      <c r="C2384" s="25">
        <v>0</v>
      </c>
      <c r="D2384" s="25">
        <v>0</v>
      </c>
      <c r="E2384" s="18">
        <f t="shared" si="439"/>
        <v>0</v>
      </c>
    </row>
    <row r="2385" spans="1:5" ht="15" x14ac:dyDescent="0.2">
      <c r="A2385" s="7">
        <v>580442</v>
      </c>
      <c r="B2385" s="3" t="s">
        <v>1384</v>
      </c>
      <c r="C2385" s="25">
        <v>0</v>
      </c>
      <c r="D2385" s="25">
        <v>0</v>
      </c>
      <c r="E2385" s="18">
        <f t="shared" si="439"/>
        <v>0</v>
      </c>
    </row>
    <row r="2386" spans="1:5" ht="15" x14ac:dyDescent="0.2">
      <c r="A2386" s="7">
        <v>580443</v>
      </c>
      <c r="B2386" s="3" t="s">
        <v>1385</v>
      </c>
      <c r="C2386" s="25">
        <v>0</v>
      </c>
      <c r="D2386" s="25">
        <v>0</v>
      </c>
      <c r="E2386" s="18">
        <f t="shared" si="439"/>
        <v>0</v>
      </c>
    </row>
    <row r="2387" spans="1:5" ht="15" x14ac:dyDescent="0.2">
      <c r="A2387" s="7">
        <v>580444</v>
      </c>
      <c r="B2387" s="4" t="s">
        <v>1185</v>
      </c>
      <c r="C2387" s="26">
        <v>0</v>
      </c>
      <c r="D2387" s="26">
        <v>0</v>
      </c>
      <c r="E2387" s="18">
        <f t="shared" si="439"/>
        <v>0</v>
      </c>
    </row>
    <row r="2388" spans="1:5" ht="15" x14ac:dyDescent="0.2">
      <c r="A2388" s="7">
        <v>580445</v>
      </c>
      <c r="B2388" s="3" t="s">
        <v>905</v>
      </c>
      <c r="C2388" s="25">
        <v>0</v>
      </c>
      <c r="D2388" s="25">
        <v>0</v>
      </c>
      <c r="E2388" s="18">
        <f t="shared" si="439"/>
        <v>0</v>
      </c>
    </row>
    <row r="2389" spans="1:5" ht="15" x14ac:dyDescent="0.2">
      <c r="A2389" s="7">
        <v>580446</v>
      </c>
      <c r="B2389" s="3" t="s">
        <v>1386</v>
      </c>
      <c r="C2389" s="25">
        <v>0</v>
      </c>
      <c r="D2389" s="25">
        <v>0</v>
      </c>
      <c r="E2389" s="18">
        <f t="shared" si="439"/>
        <v>0</v>
      </c>
    </row>
    <row r="2390" spans="1:5" ht="15" x14ac:dyDescent="0.2">
      <c r="A2390" s="7">
        <v>580447</v>
      </c>
      <c r="B2390" s="3" t="s">
        <v>1387</v>
      </c>
      <c r="C2390" s="25">
        <v>0</v>
      </c>
      <c r="D2390" s="25">
        <v>0</v>
      </c>
      <c r="E2390" s="18">
        <f t="shared" si="439"/>
        <v>0</v>
      </c>
    </row>
    <row r="2391" spans="1:5" ht="15" x14ac:dyDescent="0.2">
      <c r="A2391" s="7">
        <v>580490</v>
      </c>
      <c r="B2391" s="3" t="s">
        <v>1388</v>
      </c>
      <c r="C2391" s="25">
        <v>0</v>
      </c>
      <c r="D2391" s="25">
        <v>0</v>
      </c>
      <c r="E2391" s="29">
        <f t="shared" si="439"/>
        <v>0</v>
      </c>
    </row>
    <row r="2392" spans="1:5" ht="15" x14ac:dyDescent="0.2">
      <c r="A2392" s="6">
        <v>5811</v>
      </c>
      <c r="B2392" s="2" t="s">
        <v>1389</v>
      </c>
      <c r="C2392" s="24">
        <f>SUM(C2393:C2397)</f>
        <v>0</v>
      </c>
      <c r="D2392" s="24">
        <f t="shared" ref="D2392:E2392" si="440">SUM(D2393:D2397)</f>
        <v>0</v>
      </c>
      <c r="E2392" s="17">
        <f t="shared" si="440"/>
        <v>0</v>
      </c>
    </row>
    <row r="2393" spans="1:5" ht="15" x14ac:dyDescent="0.2">
      <c r="A2393" s="7">
        <v>581101</v>
      </c>
      <c r="B2393" s="3" t="s">
        <v>38</v>
      </c>
      <c r="C2393" s="25">
        <v>0</v>
      </c>
      <c r="D2393" s="25">
        <v>0</v>
      </c>
      <c r="E2393" s="18">
        <f t="shared" ref="E2393:E2397" si="441">SUM(C2393:D2393)</f>
        <v>0</v>
      </c>
    </row>
    <row r="2394" spans="1:5" ht="15" x14ac:dyDescent="0.2">
      <c r="A2394" s="7">
        <v>581102</v>
      </c>
      <c r="B2394" s="3" t="s">
        <v>39</v>
      </c>
      <c r="C2394" s="25">
        <v>0</v>
      </c>
      <c r="D2394" s="25">
        <v>0</v>
      </c>
      <c r="E2394" s="18">
        <f t="shared" si="441"/>
        <v>0</v>
      </c>
    </row>
    <row r="2395" spans="1:5" ht="15" x14ac:dyDescent="0.2">
      <c r="A2395" s="7">
        <v>581103</v>
      </c>
      <c r="B2395" s="3" t="s">
        <v>35</v>
      </c>
      <c r="C2395" s="25">
        <v>0</v>
      </c>
      <c r="D2395" s="25">
        <v>0</v>
      </c>
      <c r="E2395" s="18">
        <f t="shared" si="441"/>
        <v>0</v>
      </c>
    </row>
    <row r="2396" spans="1:5" ht="15" x14ac:dyDescent="0.2">
      <c r="A2396" s="7">
        <v>581104</v>
      </c>
      <c r="B2396" s="3" t="s">
        <v>36</v>
      </c>
      <c r="C2396" s="25">
        <v>0</v>
      </c>
      <c r="D2396" s="25">
        <v>0</v>
      </c>
      <c r="E2396" s="18">
        <f t="shared" si="441"/>
        <v>0</v>
      </c>
    </row>
    <row r="2397" spans="1:5" ht="15" x14ac:dyDescent="0.2">
      <c r="A2397" s="7">
        <v>581105</v>
      </c>
      <c r="B2397" s="3" t="s">
        <v>37</v>
      </c>
      <c r="C2397" s="25">
        <v>0</v>
      </c>
      <c r="D2397" s="25">
        <v>0</v>
      </c>
      <c r="E2397" s="18">
        <f t="shared" si="441"/>
        <v>0</v>
      </c>
    </row>
    <row r="2398" spans="1:5" ht="15" x14ac:dyDescent="0.2">
      <c r="A2398" s="6">
        <v>5812</v>
      </c>
      <c r="B2398" s="2" t="s">
        <v>1390</v>
      </c>
      <c r="C2398" s="24">
        <f>SUM(C2399:C2403)</f>
        <v>0</v>
      </c>
      <c r="D2398" s="24">
        <f t="shared" ref="D2398:E2398" si="442">SUM(D2399:D2403)</f>
        <v>0</v>
      </c>
      <c r="E2398" s="17">
        <f t="shared" si="442"/>
        <v>0</v>
      </c>
    </row>
    <row r="2399" spans="1:5" ht="15" x14ac:dyDescent="0.2">
      <c r="A2399" s="7">
        <v>581201</v>
      </c>
      <c r="B2399" s="3" t="s">
        <v>38</v>
      </c>
      <c r="C2399" s="25">
        <v>0</v>
      </c>
      <c r="D2399" s="25">
        <v>0</v>
      </c>
      <c r="E2399" s="18">
        <f t="shared" ref="E2399:E2403" si="443">SUM(C2399:D2399)</f>
        <v>0</v>
      </c>
    </row>
    <row r="2400" spans="1:5" ht="15" x14ac:dyDescent="0.2">
      <c r="A2400" s="7">
        <v>581202</v>
      </c>
      <c r="B2400" s="3" t="s">
        <v>39</v>
      </c>
      <c r="C2400" s="25">
        <v>0</v>
      </c>
      <c r="D2400" s="25">
        <v>0</v>
      </c>
      <c r="E2400" s="18">
        <f t="shared" si="443"/>
        <v>0</v>
      </c>
    </row>
    <row r="2401" spans="1:5" ht="15" x14ac:dyDescent="0.2">
      <c r="A2401" s="7">
        <v>581203</v>
      </c>
      <c r="B2401" s="3" t="s">
        <v>35</v>
      </c>
      <c r="C2401" s="25">
        <v>0</v>
      </c>
      <c r="D2401" s="25">
        <v>0</v>
      </c>
      <c r="E2401" s="18">
        <f t="shared" si="443"/>
        <v>0</v>
      </c>
    </row>
    <row r="2402" spans="1:5" ht="15" x14ac:dyDescent="0.2">
      <c r="A2402" s="7">
        <v>581204</v>
      </c>
      <c r="B2402" s="3" t="s">
        <v>36</v>
      </c>
      <c r="C2402" s="25">
        <v>0</v>
      </c>
      <c r="D2402" s="25">
        <v>0</v>
      </c>
      <c r="E2402" s="18">
        <f t="shared" si="443"/>
        <v>0</v>
      </c>
    </row>
    <row r="2403" spans="1:5" ht="15" x14ac:dyDescent="0.2">
      <c r="A2403" s="7">
        <v>581205</v>
      </c>
      <c r="B2403" s="3" t="s">
        <v>37</v>
      </c>
      <c r="C2403" s="25">
        <v>0</v>
      </c>
      <c r="D2403" s="25">
        <v>0</v>
      </c>
      <c r="E2403" s="18">
        <f t="shared" si="443"/>
        <v>0</v>
      </c>
    </row>
    <row r="2404" spans="1:5" ht="15" x14ac:dyDescent="0.2">
      <c r="A2404" s="6">
        <v>5813</v>
      </c>
      <c r="B2404" s="2" t="s">
        <v>1391</v>
      </c>
      <c r="C2404" s="24">
        <f>SUM(C2405:C2409)</f>
        <v>0</v>
      </c>
      <c r="D2404" s="24">
        <f t="shared" ref="D2404:E2404" si="444">SUM(D2405:D2409)</f>
        <v>0</v>
      </c>
      <c r="E2404" s="17">
        <f t="shared" si="444"/>
        <v>0</v>
      </c>
    </row>
    <row r="2405" spans="1:5" ht="15" x14ac:dyDescent="0.2">
      <c r="A2405" s="7">
        <v>581301</v>
      </c>
      <c r="B2405" s="3" t="s">
        <v>38</v>
      </c>
      <c r="C2405" s="25">
        <v>0</v>
      </c>
      <c r="D2405" s="25">
        <v>0</v>
      </c>
      <c r="E2405" s="18">
        <f t="shared" ref="E2405:E2409" si="445">SUM(C2405:D2405)</f>
        <v>0</v>
      </c>
    </row>
    <row r="2406" spans="1:5" ht="15" x14ac:dyDescent="0.2">
      <c r="A2406" s="7">
        <v>581302</v>
      </c>
      <c r="B2406" s="3" t="s">
        <v>39</v>
      </c>
      <c r="C2406" s="25">
        <v>0</v>
      </c>
      <c r="D2406" s="25">
        <v>0</v>
      </c>
      <c r="E2406" s="18">
        <f t="shared" si="445"/>
        <v>0</v>
      </c>
    </row>
    <row r="2407" spans="1:5" ht="15" x14ac:dyDescent="0.2">
      <c r="A2407" s="7">
        <v>581303</v>
      </c>
      <c r="B2407" s="3" t="s">
        <v>35</v>
      </c>
      <c r="C2407" s="25">
        <v>0</v>
      </c>
      <c r="D2407" s="25">
        <v>0</v>
      </c>
      <c r="E2407" s="18">
        <f t="shared" si="445"/>
        <v>0</v>
      </c>
    </row>
    <row r="2408" spans="1:5" ht="15" x14ac:dyDescent="0.2">
      <c r="A2408" s="7">
        <v>581304</v>
      </c>
      <c r="B2408" s="3" t="s">
        <v>36</v>
      </c>
      <c r="C2408" s="25">
        <v>0</v>
      </c>
      <c r="D2408" s="25">
        <v>0</v>
      </c>
      <c r="E2408" s="18">
        <f t="shared" si="445"/>
        <v>0</v>
      </c>
    </row>
    <row r="2409" spans="1:5" ht="15" x14ac:dyDescent="0.2">
      <c r="A2409" s="7">
        <v>581305</v>
      </c>
      <c r="B2409" s="3" t="s">
        <v>37</v>
      </c>
      <c r="C2409" s="25">
        <v>0</v>
      </c>
      <c r="D2409" s="25">
        <v>0</v>
      </c>
      <c r="E2409" s="18">
        <f t="shared" si="445"/>
        <v>0</v>
      </c>
    </row>
    <row r="2410" spans="1:5" ht="15" x14ac:dyDescent="0.2">
      <c r="A2410" s="6">
        <v>5816</v>
      </c>
      <c r="B2410" s="2" t="s">
        <v>1392</v>
      </c>
      <c r="C2410" s="24">
        <f>SUM(C2411:C2412)</f>
        <v>0</v>
      </c>
      <c r="D2410" s="24">
        <f t="shared" ref="D2410:E2410" si="446">SUM(D2411:D2412)</f>
        <v>0</v>
      </c>
      <c r="E2410" s="17">
        <f t="shared" si="446"/>
        <v>0</v>
      </c>
    </row>
    <row r="2411" spans="1:5" ht="15" x14ac:dyDescent="0.2">
      <c r="A2411" s="7">
        <v>581601</v>
      </c>
      <c r="B2411" s="3" t="s">
        <v>1226</v>
      </c>
      <c r="C2411" s="25">
        <v>0</v>
      </c>
      <c r="D2411" s="25">
        <v>0</v>
      </c>
      <c r="E2411" s="18">
        <f t="shared" ref="E2411:E2412" si="447">SUM(C2411:D2411)</f>
        <v>0</v>
      </c>
    </row>
    <row r="2412" spans="1:5" ht="15" x14ac:dyDescent="0.2">
      <c r="A2412" s="7">
        <v>581602</v>
      </c>
      <c r="B2412" s="3" t="s">
        <v>1227</v>
      </c>
      <c r="C2412" s="25">
        <v>0</v>
      </c>
      <c r="D2412" s="25">
        <v>0</v>
      </c>
      <c r="E2412" s="18">
        <f t="shared" si="447"/>
        <v>0</v>
      </c>
    </row>
    <row r="2413" spans="1:5" ht="15" x14ac:dyDescent="0.2">
      <c r="A2413" s="6">
        <v>5820</v>
      </c>
      <c r="B2413" s="2" t="s">
        <v>1393</v>
      </c>
      <c r="C2413" s="24">
        <f>SUM(C2414:C2417)</f>
        <v>0</v>
      </c>
      <c r="D2413" s="24">
        <f t="shared" ref="D2413:E2413" si="448">SUM(D2414:D2417)</f>
        <v>0</v>
      </c>
      <c r="E2413" s="17">
        <f t="shared" si="448"/>
        <v>0</v>
      </c>
    </row>
    <row r="2414" spans="1:5" ht="15" x14ac:dyDescent="0.2">
      <c r="A2414" s="7">
        <v>582001</v>
      </c>
      <c r="B2414" s="3" t="s">
        <v>628</v>
      </c>
      <c r="C2414" s="25">
        <v>0</v>
      </c>
      <c r="D2414" s="25">
        <v>0</v>
      </c>
      <c r="E2414" s="18">
        <f t="shared" ref="E2414:E2417" si="449">SUM(C2414:D2414)</f>
        <v>0</v>
      </c>
    </row>
    <row r="2415" spans="1:5" ht="15" x14ac:dyDescent="0.2">
      <c r="A2415" s="7">
        <v>582002</v>
      </c>
      <c r="B2415" s="3" t="s">
        <v>629</v>
      </c>
      <c r="C2415" s="25">
        <v>0</v>
      </c>
      <c r="D2415" s="25">
        <v>0</v>
      </c>
      <c r="E2415" s="18">
        <f t="shared" si="449"/>
        <v>0</v>
      </c>
    </row>
    <row r="2416" spans="1:5" ht="15" x14ac:dyDescent="0.2">
      <c r="A2416" s="7">
        <v>582003</v>
      </c>
      <c r="B2416" s="3" t="s">
        <v>630</v>
      </c>
      <c r="C2416" s="25">
        <v>0</v>
      </c>
      <c r="D2416" s="25">
        <v>0</v>
      </c>
      <c r="E2416" s="18">
        <f t="shared" si="449"/>
        <v>0</v>
      </c>
    </row>
    <row r="2417" spans="1:5" ht="15" x14ac:dyDescent="0.2">
      <c r="A2417" s="7">
        <v>582004</v>
      </c>
      <c r="B2417" s="3" t="s">
        <v>631</v>
      </c>
      <c r="C2417" s="25">
        <v>0</v>
      </c>
      <c r="D2417" s="25">
        <v>0</v>
      </c>
      <c r="E2417" s="18">
        <f t="shared" si="449"/>
        <v>0</v>
      </c>
    </row>
    <row r="2418" spans="1:5" ht="15" x14ac:dyDescent="0.2">
      <c r="A2418" s="6">
        <v>5821</v>
      </c>
      <c r="B2418" s="2" t="s">
        <v>1394</v>
      </c>
      <c r="C2418" s="24">
        <f>SUM(C2419:C2420)</f>
        <v>0</v>
      </c>
      <c r="D2418" s="24">
        <f t="shared" ref="D2418:E2418" si="450">SUM(D2419:D2420)</f>
        <v>0</v>
      </c>
      <c r="E2418" s="17">
        <f t="shared" si="450"/>
        <v>0</v>
      </c>
    </row>
    <row r="2419" spans="1:5" ht="15" x14ac:dyDescent="0.2">
      <c r="A2419" s="7">
        <v>582101</v>
      </c>
      <c r="B2419" s="3" t="s">
        <v>743</v>
      </c>
      <c r="C2419" s="25">
        <v>0</v>
      </c>
      <c r="D2419" s="25">
        <v>0</v>
      </c>
      <c r="E2419" s="18">
        <f t="shared" ref="E2419:E2420" si="451">SUM(C2419:D2419)</f>
        <v>0</v>
      </c>
    </row>
    <row r="2420" spans="1:5" ht="15" x14ac:dyDescent="0.2">
      <c r="A2420" s="7">
        <v>582104</v>
      </c>
      <c r="B2420" s="3" t="s">
        <v>762</v>
      </c>
      <c r="C2420" s="25">
        <v>0</v>
      </c>
      <c r="D2420" s="25">
        <v>0</v>
      </c>
      <c r="E2420" s="18">
        <f t="shared" si="451"/>
        <v>0</v>
      </c>
    </row>
    <row r="2421" spans="1:5" ht="15" x14ac:dyDescent="0.2">
      <c r="A2421" s="6">
        <v>5822</v>
      </c>
      <c r="B2421" s="2" t="s">
        <v>1229</v>
      </c>
      <c r="C2421" s="24">
        <f>SUM(C2422:C2439)</f>
        <v>0</v>
      </c>
      <c r="D2421" s="24">
        <f t="shared" ref="D2421:E2421" si="452">SUM(D2422:D2439)</f>
        <v>0</v>
      </c>
      <c r="E2421" s="17">
        <f t="shared" si="452"/>
        <v>0</v>
      </c>
    </row>
    <row r="2422" spans="1:5" ht="15" x14ac:dyDescent="0.2">
      <c r="A2422" s="7">
        <v>582201</v>
      </c>
      <c r="B2422" s="3" t="s">
        <v>549</v>
      </c>
      <c r="C2422" s="25">
        <v>0</v>
      </c>
      <c r="D2422" s="25">
        <v>0</v>
      </c>
      <c r="E2422" s="18">
        <f t="shared" ref="E2422:E2439" si="453">SUM(C2422:D2422)</f>
        <v>0</v>
      </c>
    </row>
    <row r="2423" spans="1:5" ht="15" x14ac:dyDescent="0.2">
      <c r="A2423" s="7">
        <v>582202</v>
      </c>
      <c r="B2423" s="3" t="s">
        <v>637</v>
      </c>
      <c r="C2423" s="25">
        <v>0</v>
      </c>
      <c r="D2423" s="25">
        <v>0</v>
      </c>
      <c r="E2423" s="18">
        <f t="shared" si="453"/>
        <v>0</v>
      </c>
    </row>
    <row r="2424" spans="1:5" ht="15" x14ac:dyDescent="0.2">
      <c r="A2424" s="7">
        <v>582203</v>
      </c>
      <c r="B2424" s="3" t="s">
        <v>226</v>
      </c>
      <c r="C2424" s="25">
        <v>0</v>
      </c>
      <c r="D2424" s="25">
        <v>0</v>
      </c>
      <c r="E2424" s="18">
        <f t="shared" si="453"/>
        <v>0</v>
      </c>
    </row>
    <row r="2425" spans="1:5" ht="15" x14ac:dyDescent="0.2">
      <c r="A2425" s="7">
        <v>582204</v>
      </c>
      <c r="B2425" s="3" t="s">
        <v>287</v>
      </c>
      <c r="C2425" s="25">
        <v>0</v>
      </c>
      <c r="D2425" s="25">
        <v>0</v>
      </c>
      <c r="E2425" s="18">
        <f t="shared" si="453"/>
        <v>0</v>
      </c>
    </row>
    <row r="2426" spans="1:5" ht="15" x14ac:dyDescent="0.2">
      <c r="A2426" s="7">
        <v>582205</v>
      </c>
      <c r="B2426" s="3" t="s">
        <v>638</v>
      </c>
      <c r="C2426" s="25">
        <v>0</v>
      </c>
      <c r="D2426" s="25">
        <v>0</v>
      </c>
      <c r="E2426" s="18">
        <f t="shared" si="453"/>
        <v>0</v>
      </c>
    </row>
    <row r="2427" spans="1:5" ht="15" x14ac:dyDescent="0.2">
      <c r="A2427" s="7">
        <v>582206</v>
      </c>
      <c r="B2427" s="3" t="s">
        <v>553</v>
      </c>
      <c r="C2427" s="25">
        <v>0</v>
      </c>
      <c r="D2427" s="25">
        <v>0</v>
      </c>
      <c r="E2427" s="18">
        <f t="shared" si="453"/>
        <v>0</v>
      </c>
    </row>
    <row r="2428" spans="1:5" ht="15" x14ac:dyDescent="0.2">
      <c r="A2428" s="7">
        <v>582207</v>
      </c>
      <c r="B2428" s="3" t="s">
        <v>639</v>
      </c>
      <c r="C2428" s="25">
        <v>0</v>
      </c>
      <c r="D2428" s="25">
        <v>0</v>
      </c>
      <c r="E2428" s="18">
        <f t="shared" si="453"/>
        <v>0</v>
      </c>
    </row>
    <row r="2429" spans="1:5" ht="15" x14ac:dyDescent="0.2">
      <c r="A2429" s="7">
        <v>582208</v>
      </c>
      <c r="B2429" s="3" t="s">
        <v>554</v>
      </c>
      <c r="C2429" s="25">
        <v>0</v>
      </c>
      <c r="D2429" s="25">
        <v>0</v>
      </c>
      <c r="E2429" s="18">
        <f t="shared" si="453"/>
        <v>0</v>
      </c>
    </row>
    <row r="2430" spans="1:5" ht="15" x14ac:dyDescent="0.2">
      <c r="A2430" s="7">
        <v>582209</v>
      </c>
      <c r="B2430" s="3" t="s">
        <v>640</v>
      </c>
      <c r="C2430" s="25">
        <v>0</v>
      </c>
      <c r="D2430" s="25">
        <v>0</v>
      </c>
      <c r="E2430" s="18">
        <f t="shared" si="453"/>
        <v>0</v>
      </c>
    </row>
    <row r="2431" spans="1:5" ht="15" x14ac:dyDescent="0.2">
      <c r="A2431" s="7">
        <v>582210</v>
      </c>
      <c r="B2431" s="3" t="s">
        <v>555</v>
      </c>
      <c r="C2431" s="25">
        <v>0</v>
      </c>
      <c r="D2431" s="25">
        <v>0</v>
      </c>
      <c r="E2431" s="18">
        <f t="shared" si="453"/>
        <v>0</v>
      </c>
    </row>
    <row r="2432" spans="1:5" ht="15" x14ac:dyDescent="0.2">
      <c r="A2432" s="7">
        <v>582211</v>
      </c>
      <c r="B2432" s="3" t="s">
        <v>641</v>
      </c>
      <c r="C2432" s="25">
        <v>0</v>
      </c>
      <c r="D2432" s="25">
        <v>0</v>
      </c>
      <c r="E2432" s="18">
        <f t="shared" si="453"/>
        <v>0</v>
      </c>
    </row>
    <row r="2433" spans="1:5" ht="15" x14ac:dyDescent="0.2">
      <c r="A2433" s="7">
        <v>582212</v>
      </c>
      <c r="B2433" s="3" t="s">
        <v>642</v>
      </c>
      <c r="C2433" s="25">
        <v>0</v>
      </c>
      <c r="D2433" s="25">
        <v>0</v>
      </c>
      <c r="E2433" s="18">
        <f t="shared" si="453"/>
        <v>0</v>
      </c>
    </row>
    <row r="2434" spans="1:5" ht="15" x14ac:dyDescent="0.2">
      <c r="A2434" s="7">
        <v>582213</v>
      </c>
      <c r="B2434" s="3" t="s">
        <v>643</v>
      </c>
      <c r="C2434" s="25">
        <v>0</v>
      </c>
      <c r="D2434" s="25">
        <v>0</v>
      </c>
      <c r="E2434" s="18">
        <f t="shared" si="453"/>
        <v>0</v>
      </c>
    </row>
    <row r="2435" spans="1:5" ht="15" x14ac:dyDescent="0.2">
      <c r="A2435" s="7">
        <v>582214</v>
      </c>
      <c r="B2435" s="3" t="s">
        <v>644</v>
      </c>
      <c r="C2435" s="25">
        <v>0</v>
      </c>
      <c r="D2435" s="25">
        <v>0</v>
      </c>
      <c r="E2435" s="18">
        <f t="shared" si="453"/>
        <v>0</v>
      </c>
    </row>
    <row r="2436" spans="1:5" ht="15" x14ac:dyDescent="0.2">
      <c r="A2436" s="7">
        <v>582215</v>
      </c>
      <c r="B2436" s="3" t="s">
        <v>645</v>
      </c>
      <c r="C2436" s="25">
        <v>0</v>
      </c>
      <c r="D2436" s="25">
        <v>0</v>
      </c>
      <c r="E2436" s="18">
        <f t="shared" si="453"/>
        <v>0</v>
      </c>
    </row>
    <row r="2437" spans="1:5" ht="15" x14ac:dyDescent="0.2">
      <c r="A2437" s="7">
        <v>582216</v>
      </c>
      <c r="B2437" s="3" t="s">
        <v>646</v>
      </c>
      <c r="C2437" s="25">
        <v>0</v>
      </c>
      <c r="D2437" s="25">
        <v>0</v>
      </c>
      <c r="E2437" s="18">
        <f t="shared" si="453"/>
        <v>0</v>
      </c>
    </row>
    <row r="2438" spans="1:5" ht="15" x14ac:dyDescent="0.2">
      <c r="A2438" s="7">
        <v>582217</v>
      </c>
      <c r="B2438" s="3" t="s">
        <v>647</v>
      </c>
      <c r="C2438" s="25">
        <v>0</v>
      </c>
      <c r="D2438" s="25">
        <v>0</v>
      </c>
      <c r="E2438" s="18">
        <f t="shared" si="453"/>
        <v>0</v>
      </c>
    </row>
    <row r="2439" spans="1:5" ht="15" x14ac:dyDescent="0.2">
      <c r="A2439" s="7">
        <v>582218</v>
      </c>
      <c r="B2439" s="3" t="s">
        <v>648</v>
      </c>
      <c r="C2439" s="25">
        <v>0</v>
      </c>
      <c r="D2439" s="25">
        <v>0</v>
      </c>
      <c r="E2439" s="18">
        <f t="shared" si="453"/>
        <v>0</v>
      </c>
    </row>
    <row r="2440" spans="1:5" ht="15" x14ac:dyDescent="0.2">
      <c r="A2440" s="6">
        <v>5890</v>
      </c>
      <c r="B2440" s="2" t="s">
        <v>1395</v>
      </c>
      <c r="C2440" s="24">
        <f>SUM(C2441:C2462)</f>
        <v>0</v>
      </c>
      <c r="D2440" s="24">
        <f t="shared" ref="D2440:E2440" si="454">SUM(D2441:D2462)</f>
        <v>0</v>
      </c>
      <c r="E2440" s="28">
        <f t="shared" si="454"/>
        <v>0</v>
      </c>
    </row>
    <row r="2441" spans="1:5" ht="15" x14ac:dyDescent="0.2">
      <c r="A2441" s="7">
        <v>589003</v>
      </c>
      <c r="B2441" s="3" t="s">
        <v>1396</v>
      </c>
      <c r="C2441" s="25">
        <v>0</v>
      </c>
      <c r="D2441" s="25">
        <v>0</v>
      </c>
      <c r="E2441" s="29">
        <f t="shared" ref="E2441:E2462" si="455">SUM(C2441:D2441)</f>
        <v>0</v>
      </c>
    </row>
    <row r="2442" spans="1:5" ht="15" x14ac:dyDescent="0.2">
      <c r="A2442" s="7">
        <v>589004</v>
      </c>
      <c r="B2442" s="3" t="s">
        <v>1207</v>
      </c>
      <c r="C2442" s="25">
        <v>0</v>
      </c>
      <c r="D2442" s="25">
        <v>0</v>
      </c>
      <c r="E2442" s="18">
        <f t="shared" si="455"/>
        <v>0</v>
      </c>
    </row>
    <row r="2443" spans="1:5" ht="15" x14ac:dyDescent="0.2">
      <c r="A2443" s="7">
        <v>589012</v>
      </c>
      <c r="B2443" s="3" t="s">
        <v>780</v>
      </c>
      <c r="C2443" s="25">
        <v>0</v>
      </c>
      <c r="D2443" s="25">
        <v>0</v>
      </c>
      <c r="E2443" s="29">
        <f t="shared" si="455"/>
        <v>0</v>
      </c>
    </row>
    <row r="2444" spans="1:5" ht="15" x14ac:dyDescent="0.2">
      <c r="A2444" s="7">
        <v>589013</v>
      </c>
      <c r="B2444" s="3" t="s">
        <v>781</v>
      </c>
      <c r="C2444" s="25">
        <v>0</v>
      </c>
      <c r="D2444" s="25">
        <v>0</v>
      </c>
      <c r="E2444" s="18">
        <f t="shared" si="455"/>
        <v>0</v>
      </c>
    </row>
    <row r="2445" spans="1:5" ht="15" x14ac:dyDescent="0.2">
      <c r="A2445" s="7">
        <v>589014</v>
      </c>
      <c r="B2445" s="3" t="s">
        <v>1397</v>
      </c>
      <c r="C2445" s="25">
        <v>0</v>
      </c>
      <c r="D2445" s="25">
        <v>0</v>
      </c>
      <c r="E2445" s="18">
        <f t="shared" si="455"/>
        <v>0</v>
      </c>
    </row>
    <row r="2446" spans="1:5" ht="15" x14ac:dyDescent="0.2">
      <c r="A2446" s="7">
        <v>589015</v>
      </c>
      <c r="B2446" s="3" t="s">
        <v>246</v>
      </c>
      <c r="C2446" s="25">
        <v>0</v>
      </c>
      <c r="D2446" s="25">
        <v>0</v>
      </c>
      <c r="E2446" s="18">
        <f t="shared" si="455"/>
        <v>0</v>
      </c>
    </row>
    <row r="2447" spans="1:5" ht="15" x14ac:dyDescent="0.2">
      <c r="A2447" s="7">
        <v>589017</v>
      </c>
      <c r="B2447" s="3" t="s">
        <v>1398</v>
      </c>
      <c r="C2447" s="25">
        <v>0</v>
      </c>
      <c r="D2447" s="25">
        <v>0</v>
      </c>
      <c r="E2447" s="18">
        <f t="shared" si="455"/>
        <v>0</v>
      </c>
    </row>
    <row r="2448" spans="1:5" ht="15" x14ac:dyDescent="0.2">
      <c r="A2448" s="7">
        <v>589018</v>
      </c>
      <c r="B2448" s="3" t="s">
        <v>1399</v>
      </c>
      <c r="C2448" s="25">
        <v>0</v>
      </c>
      <c r="D2448" s="25">
        <v>0</v>
      </c>
      <c r="E2448" s="18">
        <f t="shared" si="455"/>
        <v>0</v>
      </c>
    </row>
    <row r="2449" spans="1:5" ht="15" x14ac:dyDescent="0.2">
      <c r="A2449" s="7">
        <v>589019</v>
      </c>
      <c r="B2449" s="3" t="s">
        <v>1400</v>
      </c>
      <c r="C2449" s="25">
        <v>0</v>
      </c>
      <c r="D2449" s="25">
        <v>0</v>
      </c>
      <c r="E2449" s="18">
        <f t="shared" si="455"/>
        <v>0</v>
      </c>
    </row>
    <row r="2450" spans="1:5" ht="15" x14ac:dyDescent="0.2">
      <c r="A2450" s="7">
        <v>589020</v>
      </c>
      <c r="B2450" s="3" t="s">
        <v>1401</v>
      </c>
      <c r="C2450" s="25">
        <v>0</v>
      </c>
      <c r="D2450" s="25">
        <v>0</v>
      </c>
      <c r="E2450" s="18">
        <f t="shared" si="455"/>
        <v>0</v>
      </c>
    </row>
    <row r="2451" spans="1:5" ht="15" x14ac:dyDescent="0.2">
      <c r="A2451" s="7">
        <v>589021</v>
      </c>
      <c r="B2451" s="3" t="s">
        <v>1402</v>
      </c>
      <c r="C2451" s="25">
        <v>0</v>
      </c>
      <c r="D2451" s="25">
        <v>0</v>
      </c>
      <c r="E2451" s="18">
        <f t="shared" si="455"/>
        <v>0</v>
      </c>
    </row>
    <row r="2452" spans="1:5" ht="15" x14ac:dyDescent="0.2">
      <c r="A2452" s="7">
        <v>589022</v>
      </c>
      <c r="B2452" s="3" t="s">
        <v>1403</v>
      </c>
      <c r="C2452" s="25">
        <v>0</v>
      </c>
      <c r="D2452" s="25">
        <v>0</v>
      </c>
      <c r="E2452" s="18">
        <f t="shared" si="455"/>
        <v>0</v>
      </c>
    </row>
    <row r="2453" spans="1:5" ht="15" x14ac:dyDescent="0.2">
      <c r="A2453" s="7">
        <v>589024</v>
      </c>
      <c r="B2453" s="3" t="s">
        <v>1404</v>
      </c>
      <c r="C2453" s="25">
        <v>0</v>
      </c>
      <c r="D2453" s="25">
        <v>0</v>
      </c>
      <c r="E2453" s="18">
        <f t="shared" si="455"/>
        <v>0</v>
      </c>
    </row>
    <row r="2454" spans="1:5" ht="15" x14ac:dyDescent="0.2">
      <c r="A2454" s="7">
        <v>589025</v>
      </c>
      <c r="B2454" s="3" t="s">
        <v>833</v>
      </c>
      <c r="C2454" s="25">
        <v>0</v>
      </c>
      <c r="D2454" s="25">
        <v>0</v>
      </c>
      <c r="E2454" s="18">
        <f t="shared" si="455"/>
        <v>0</v>
      </c>
    </row>
    <row r="2455" spans="1:5" ht="15" x14ac:dyDescent="0.2">
      <c r="A2455" s="7">
        <v>589026</v>
      </c>
      <c r="B2455" s="3" t="s">
        <v>126</v>
      </c>
      <c r="C2455" s="25">
        <v>0</v>
      </c>
      <c r="D2455" s="25">
        <v>0</v>
      </c>
      <c r="E2455" s="29">
        <f t="shared" si="455"/>
        <v>0</v>
      </c>
    </row>
    <row r="2456" spans="1:5" ht="15" x14ac:dyDescent="0.2">
      <c r="A2456" s="7">
        <v>589027</v>
      </c>
      <c r="B2456" s="3" t="s">
        <v>243</v>
      </c>
      <c r="C2456" s="25">
        <v>0</v>
      </c>
      <c r="D2456" s="25">
        <v>0</v>
      </c>
      <c r="E2456" s="18">
        <f t="shared" si="455"/>
        <v>0</v>
      </c>
    </row>
    <row r="2457" spans="1:5" ht="15" x14ac:dyDescent="0.2">
      <c r="A2457" s="7">
        <v>589029</v>
      </c>
      <c r="B2457" s="3" t="s">
        <v>1405</v>
      </c>
      <c r="C2457" s="25">
        <v>0</v>
      </c>
      <c r="D2457" s="25">
        <v>0</v>
      </c>
      <c r="E2457" s="18">
        <f t="shared" si="455"/>
        <v>0</v>
      </c>
    </row>
    <row r="2458" spans="1:5" ht="15" x14ac:dyDescent="0.2">
      <c r="A2458" s="7">
        <v>589034</v>
      </c>
      <c r="B2458" s="3" t="s">
        <v>1406</v>
      </c>
      <c r="C2458" s="25">
        <v>0</v>
      </c>
      <c r="D2458" s="25">
        <v>0</v>
      </c>
      <c r="E2458" s="18">
        <f t="shared" si="455"/>
        <v>0</v>
      </c>
    </row>
    <row r="2459" spans="1:5" ht="15" x14ac:dyDescent="0.2">
      <c r="A2459" s="7">
        <v>589035</v>
      </c>
      <c r="B2459" s="3" t="s">
        <v>1407</v>
      </c>
      <c r="C2459" s="25">
        <v>0</v>
      </c>
      <c r="D2459" s="25">
        <v>0</v>
      </c>
      <c r="E2459" s="18">
        <f t="shared" si="455"/>
        <v>0</v>
      </c>
    </row>
    <row r="2460" spans="1:5" ht="15" x14ac:dyDescent="0.2">
      <c r="A2460" s="7">
        <v>589036</v>
      </c>
      <c r="B2460" s="3" t="s">
        <v>1408</v>
      </c>
      <c r="C2460" s="25">
        <v>0</v>
      </c>
      <c r="D2460" s="25">
        <v>0</v>
      </c>
      <c r="E2460" s="18">
        <f t="shared" si="455"/>
        <v>0</v>
      </c>
    </row>
    <row r="2461" spans="1:5" ht="15" x14ac:dyDescent="0.2">
      <c r="A2461" s="7">
        <v>589037</v>
      </c>
      <c r="B2461" s="3" t="s">
        <v>1409</v>
      </c>
      <c r="C2461" s="25">
        <v>0</v>
      </c>
      <c r="D2461" s="25">
        <v>0</v>
      </c>
      <c r="E2461" s="18">
        <f t="shared" si="455"/>
        <v>0</v>
      </c>
    </row>
    <row r="2462" spans="1:5" ht="15" x14ac:dyDescent="0.2">
      <c r="A2462" s="7">
        <v>589090</v>
      </c>
      <c r="B2462" s="3" t="s">
        <v>1410</v>
      </c>
      <c r="C2462" s="25">
        <v>0</v>
      </c>
      <c r="D2462" s="25">
        <v>0</v>
      </c>
      <c r="E2462" s="29">
        <f t="shared" si="455"/>
        <v>0</v>
      </c>
    </row>
    <row r="2463" spans="1:5" ht="15" x14ac:dyDescent="0.2">
      <c r="A2463" s="6">
        <v>5893</v>
      </c>
      <c r="B2463" s="2" t="s">
        <v>1411</v>
      </c>
      <c r="C2463" s="24">
        <f>SUM(C2464)</f>
        <v>0</v>
      </c>
      <c r="D2463" s="24">
        <f t="shared" ref="D2463:E2463" si="456">SUM(D2464)</f>
        <v>0</v>
      </c>
      <c r="E2463" s="17">
        <f t="shared" si="456"/>
        <v>0</v>
      </c>
    </row>
    <row r="2464" spans="1:5" ht="15" x14ac:dyDescent="0.2">
      <c r="A2464" s="7">
        <v>589301</v>
      </c>
      <c r="B2464" s="3" t="s">
        <v>267</v>
      </c>
      <c r="C2464" s="25">
        <v>0</v>
      </c>
      <c r="D2464" s="25">
        <v>0</v>
      </c>
      <c r="E2464" s="18">
        <f t="shared" ref="E2464" si="457">SUM(C2464:D2464)</f>
        <v>0</v>
      </c>
    </row>
    <row r="2465" spans="1:5" ht="15" x14ac:dyDescent="0.2">
      <c r="A2465" s="6">
        <v>5894</v>
      </c>
      <c r="B2465" s="2" t="s">
        <v>1412</v>
      </c>
      <c r="C2465" s="24">
        <f>SUM(C2466:C2471)</f>
        <v>0</v>
      </c>
      <c r="D2465" s="24">
        <f t="shared" ref="D2465:E2465" si="458">SUM(D2466:D2471)</f>
        <v>0</v>
      </c>
      <c r="E2465" s="17">
        <f t="shared" si="458"/>
        <v>0</v>
      </c>
    </row>
    <row r="2466" spans="1:5" ht="15" x14ac:dyDescent="0.2">
      <c r="A2466" s="7">
        <v>589401</v>
      </c>
      <c r="B2466" s="3" t="s">
        <v>121</v>
      </c>
      <c r="C2466" s="25">
        <v>0</v>
      </c>
      <c r="D2466" s="25">
        <v>0</v>
      </c>
      <c r="E2466" s="18">
        <f t="shared" ref="E2466:E2471" si="459">SUM(C2466:D2466)</f>
        <v>0</v>
      </c>
    </row>
    <row r="2467" spans="1:5" ht="15" x14ac:dyDescent="0.2">
      <c r="A2467" s="7">
        <v>589402</v>
      </c>
      <c r="B2467" s="3" t="s">
        <v>1030</v>
      </c>
      <c r="C2467" s="25">
        <v>0</v>
      </c>
      <c r="D2467" s="25">
        <v>0</v>
      </c>
      <c r="E2467" s="18">
        <f t="shared" si="459"/>
        <v>0</v>
      </c>
    </row>
    <row r="2468" spans="1:5" ht="15" x14ac:dyDescent="0.2">
      <c r="A2468" s="7">
        <v>589403</v>
      </c>
      <c r="B2468" s="3" t="s">
        <v>117</v>
      </c>
      <c r="C2468" s="25">
        <v>0</v>
      </c>
      <c r="D2468" s="25">
        <v>0</v>
      </c>
      <c r="E2468" s="18">
        <f t="shared" si="459"/>
        <v>0</v>
      </c>
    </row>
    <row r="2469" spans="1:5" ht="15" x14ac:dyDescent="0.2">
      <c r="A2469" s="7">
        <v>589404</v>
      </c>
      <c r="B2469" s="3" t="s">
        <v>118</v>
      </c>
      <c r="C2469" s="25">
        <v>0</v>
      </c>
      <c r="D2469" s="25">
        <v>0</v>
      </c>
      <c r="E2469" s="18">
        <f t="shared" si="459"/>
        <v>0</v>
      </c>
    </row>
    <row r="2470" spans="1:5" ht="15" x14ac:dyDescent="0.2">
      <c r="A2470" s="7">
        <v>589405</v>
      </c>
      <c r="B2470" s="3" t="s">
        <v>119</v>
      </c>
      <c r="C2470" s="25">
        <v>0</v>
      </c>
      <c r="D2470" s="25">
        <v>0</v>
      </c>
      <c r="E2470" s="18">
        <f t="shared" si="459"/>
        <v>0</v>
      </c>
    </row>
    <row r="2471" spans="1:5" ht="15" x14ac:dyDescent="0.2">
      <c r="A2471" s="7">
        <v>589406</v>
      </c>
      <c r="B2471" s="3" t="s">
        <v>120</v>
      </c>
      <c r="C2471" s="25">
        <v>0</v>
      </c>
      <c r="D2471" s="25">
        <v>0</v>
      </c>
      <c r="E2471" s="18">
        <f t="shared" si="459"/>
        <v>0</v>
      </c>
    </row>
    <row r="2472" spans="1:5" ht="15" x14ac:dyDescent="0.2">
      <c r="A2472" s="6">
        <v>5895</v>
      </c>
      <c r="B2472" s="2" t="s">
        <v>1413</v>
      </c>
      <c r="C2472" s="24">
        <f>SUM(C2473:C2485)</f>
        <v>0</v>
      </c>
      <c r="D2472" s="24">
        <f t="shared" ref="D2472:E2472" si="460">SUM(D2473:D2485)</f>
        <v>0</v>
      </c>
      <c r="E2472" s="17">
        <f t="shared" si="460"/>
        <v>0</v>
      </c>
    </row>
    <row r="2473" spans="1:5" ht="15" x14ac:dyDescent="0.2">
      <c r="A2473" s="7">
        <v>589502</v>
      </c>
      <c r="B2473" s="3" t="s">
        <v>152</v>
      </c>
      <c r="C2473" s="25">
        <v>0</v>
      </c>
      <c r="D2473" s="25">
        <v>0</v>
      </c>
      <c r="E2473" s="18">
        <f t="shared" ref="E2473:E2485" si="461">SUM(C2473:D2473)</f>
        <v>0</v>
      </c>
    </row>
    <row r="2474" spans="1:5" ht="15" x14ac:dyDescent="0.2">
      <c r="A2474" s="7">
        <v>589503</v>
      </c>
      <c r="B2474" s="3" t="s">
        <v>156</v>
      </c>
      <c r="C2474" s="25">
        <v>0</v>
      </c>
      <c r="D2474" s="25">
        <v>0</v>
      </c>
      <c r="E2474" s="18">
        <f t="shared" si="461"/>
        <v>0</v>
      </c>
    </row>
    <row r="2475" spans="1:5" ht="15" x14ac:dyDescent="0.2">
      <c r="A2475" s="7">
        <v>589504</v>
      </c>
      <c r="B2475" s="3" t="s">
        <v>123</v>
      </c>
      <c r="C2475" s="25">
        <v>0</v>
      </c>
      <c r="D2475" s="25">
        <v>0</v>
      </c>
      <c r="E2475" s="18">
        <f t="shared" si="461"/>
        <v>0</v>
      </c>
    </row>
    <row r="2476" spans="1:5" ht="15" x14ac:dyDescent="0.2">
      <c r="A2476" s="7">
        <v>589505</v>
      </c>
      <c r="B2476" s="3" t="s">
        <v>157</v>
      </c>
      <c r="C2476" s="25">
        <v>0</v>
      </c>
      <c r="D2476" s="25">
        <v>0</v>
      </c>
      <c r="E2476" s="18">
        <f t="shared" si="461"/>
        <v>0</v>
      </c>
    </row>
    <row r="2477" spans="1:5" ht="15" x14ac:dyDescent="0.2">
      <c r="A2477" s="7">
        <v>589506</v>
      </c>
      <c r="B2477" s="3" t="s">
        <v>124</v>
      </c>
      <c r="C2477" s="25">
        <v>0</v>
      </c>
      <c r="D2477" s="25">
        <v>0</v>
      </c>
      <c r="E2477" s="18">
        <f t="shared" si="461"/>
        <v>0</v>
      </c>
    </row>
    <row r="2478" spans="1:5" ht="15" x14ac:dyDescent="0.2">
      <c r="A2478" s="7">
        <v>589507</v>
      </c>
      <c r="B2478" s="3" t="s">
        <v>125</v>
      </c>
      <c r="C2478" s="25">
        <v>0</v>
      </c>
      <c r="D2478" s="25">
        <v>0</v>
      </c>
      <c r="E2478" s="18">
        <f t="shared" si="461"/>
        <v>0</v>
      </c>
    </row>
    <row r="2479" spans="1:5" ht="15" x14ac:dyDescent="0.2">
      <c r="A2479" s="7">
        <v>589509</v>
      </c>
      <c r="B2479" s="3" t="s">
        <v>1148</v>
      </c>
      <c r="C2479" s="25">
        <v>0</v>
      </c>
      <c r="D2479" s="25">
        <v>0</v>
      </c>
      <c r="E2479" s="18">
        <f t="shared" si="461"/>
        <v>0</v>
      </c>
    </row>
    <row r="2480" spans="1:5" ht="15" x14ac:dyDescent="0.2">
      <c r="A2480" s="7">
        <v>589511</v>
      </c>
      <c r="B2480" s="3" t="s">
        <v>153</v>
      </c>
      <c r="C2480" s="25">
        <v>0</v>
      </c>
      <c r="D2480" s="25">
        <v>0</v>
      </c>
      <c r="E2480" s="18">
        <f t="shared" si="461"/>
        <v>0</v>
      </c>
    </row>
    <row r="2481" spans="1:5" ht="15" x14ac:dyDescent="0.2">
      <c r="A2481" s="7">
        <v>589512</v>
      </c>
      <c r="B2481" s="3" t="s">
        <v>154</v>
      </c>
      <c r="C2481" s="25">
        <v>0</v>
      </c>
      <c r="D2481" s="25">
        <v>0</v>
      </c>
      <c r="E2481" s="18">
        <f t="shared" si="461"/>
        <v>0</v>
      </c>
    </row>
    <row r="2482" spans="1:5" ht="15" x14ac:dyDescent="0.2">
      <c r="A2482" s="7">
        <v>589513</v>
      </c>
      <c r="B2482" s="3" t="s">
        <v>155</v>
      </c>
      <c r="C2482" s="25">
        <v>0</v>
      </c>
      <c r="D2482" s="25">
        <v>0</v>
      </c>
      <c r="E2482" s="18">
        <f t="shared" si="461"/>
        <v>0</v>
      </c>
    </row>
    <row r="2483" spans="1:5" ht="15" x14ac:dyDescent="0.2">
      <c r="A2483" s="7">
        <v>589514</v>
      </c>
      <c r="B2483" s="3" t="s">
        <v>127</v>
      </c>
      <c r="C2483" s="25">
        <v>0</v>
      </c>
      <c r="D2483" s="25">
        <v>0</v>
      </c>
      <c r="E2483" s="18">
        <f t="shared" si="461"/>
        <v>0</v>
      </c>
    </row>
    <row r="2484" spans="1:5" ht="15" x14ac:dyDescent="0.2">
      <c r="A2484" s="7">
        <v>589515</v>
      </c>
      <c r="B2484" s="3" t="s">
        <v>128</v>
      </c>
      <c r="C2484" s="25">
        <v>0</v>
      </c>
      <c r="D2484" s="25">
        <v>0</v>
      </c>
      <c r="E2484" s="18">
        <f t="shared" si="461"/>
        <v>0</v>
      </c>
    </row>
    <row r="2485" spans="1:5" ht="15" x14ac:dyDescent="0.2">
      <c r="A2485" s="7">
        <v>589516</v>
      </c>
      <c r="B2485" s="3" t="s">
        <v>150</v>
      </c>
      <c r="C2485" s="25">
        <v>0</v>
      </c>
      <c r="D2485" s="25">
        <v>0</v>
      </c>
      <c r="E2485" s="18">
        <f t="shared" si="461"/>
        <v>0</v>
      </c>
    </row>
    <row r="2486" spans="1:5" ht="15" x14ac:dyDescent="0.2">
      <c r="A2486" s="6">
        <v>5897</v>
      </c>
      <c r="B2486" s="2" t="s">
        <v>1414</v>
      </c>
      <c r="C2486" s="24">
        <f>SUM(C2487:C2488)</f>
        <v>0</v>
      </c>
      <c r="D2486" s="24">
        <f t="shared" ref="D2486:E2486" si="462">SUM(D2487:D2488)</f>
        <v>0</v>
      </c>
      <c r="E2486" s="17">
        <f t="shared" si="462"/>
        <v>0</v>
      </c>
    </row>
    <row r="2487" spans="1:5" ht="15" x14ac:dyDescent="0.2">
      <c r="A2487" s="7">
        <v>589701</v>
      </c>
      <c r="B2487" s="3" t="s">
        <v>359</v>
      </c>
      <c r="C2487" s="25">
        <v>0</v>
      </c>
      <c r="D2487" s="25">
        <v>0</v>
      </c>
      <c r="E2487" s="18">
        <f t="shared" ref="E2487:E2488" si="463">SUM(C2487:D2487)</f>
        <v>0</v>
      </c>
    </row>
    <row r="2488" spans="1:5" ht="15" x14ac:dyDescent="0.2">
      <c r="A2488" s="7">
        <v>589723</v>
      </c>
      <c r="B2488" s="3" t="s">
        <v>724</v>
      </c>
      <c r="C2488" s="25">
        <v>0</v>
      </c>
      <c r="D2488" s="25">
        <v>0</v>
      </c>
      <c r="E2488" s="18">
        <f t="shared" si="463"/>
        <v>0</v>
      </c>
    </row>
    <row r="2489" spans="1:5" ht="15" x14ac:dyDescent="0.2">
      <c r="A2489" s="6">
        <v>59</v>
      </c>
      <c r="B2489" s="2" t="s">
        <v>1415</v>
      </c>
      <c r="C2489" s="24">
        <f>SUM(C2490)</f>
        <v>0</v>
      </c>
      <c r="D2489" s="24">
        <f>SUM(D2490)</f>
        <v>0</v>
      </c>
      <c r="E2489" s="17">
        <f>SUM(E2490)</f>
        <v>0</v>
      </c>
    </row>
    <row r="2490" spans="1:5" ht="15" x14ac:dyDescent="0.2">
      <c r="A2490" s="6">
        <v>5905</v>
      </c>
      <c r="B2490" s="2" t="s">
        <v>1415</v>
      </c>
      <c r="C2490" s="24">
        <f>SUM(C2491)</f>
        <v>0</v>
      </c>
      <c r="D2490" s="24">
        <f t="shared" ref="D2490:E2490" si="464">SUM(D2491)</f>
        <v>0</v>
      </c>
      <c r="E2490" s="17">
        <f t="shared" si="464"/>
        <v>0</v>
      </c>
    </row>
    <row r="2491" spans="1:5" ht="15" x14ac:dyDescent="0.2">
      <c r="A2491" s="7">
        <v>590501</v>
      </c>
      <c r="B2491" s="3" t="s">
        <v>1416</v>
      </c>
      <c r="C2491" s="25">
        <v>0</v>
      </c>
      <c r="D2491" s="25">
        <v>0</v>
      </c>
      <c r="E2491" s="18">
        <f t="shared" ref="E2491" si="465">SUM(C2491:D2491)</f>
        <v>0</v>
      </c>
    </row>
    <row r="2492" spans="1:5" ht="15" x14ac:dyDescent="0.2">
      <c r="A2492" s="6">
        <v>6</v>
      </c>
      <c r="B2492" s="2" t="s">
        <v>1417</v>
      </c>
      <c r="C2492" s="24">
        <f>SUM(C2493,C2535)</f>
        <v>308706824</v>
      </c>
      <c r="D2492" s="24">
        <f>SUM(D2493,D2535)</f>
        <v>0</v>
      </c>
      <c r="E2492" s="28">
        <f>SUM(E2493,E2535)</f>
        <v>308706824</v>
      </c>
    </row>
    <row r="2493" spans="1:5" ht="15" x14ac:dyDescent="0.2">
      <c r="A2493" s="6">
        <v>62</v>
      </c>
      <c r="B2493" s="2" t="s">
        <v>1418</v>
      </c>
      <c r="C2493" s="24">
        <f>SUM(C2494,C2509)</f>
        <v>0</v>
      </c>
      <c r="D2493" s="24">
        <f>SUM(D2494,D2509)</f>
        <v>0</v>
      </c>
      <c r="E2493" s="17">
        <f>SUM(E2494,E2509)</f>
        <v>0</v>
      </c>
    </row>
    <row r="2494" spans="1:5" ht="15" x14ac:dyDescent="0.2">
      <c r="A2494" s="6">
        <v>6205</v>
      </c>
      <c r="B2494" s="2" t="s">
        <v>292</v>
      </c>
      <c r="C2494" s="24">
        <f>SUM(C2495:C2508)</f>
        <v>0</v>
      </c>
      <c r="D2494" s="24">
        <f t="shared" ref="D2494:E2494" si="466">SUM(D2495:D2508)</f>
        <v>0</v>
      </c>
      <c r="E2494" s="17">
        <f t="shared" si="466"/>
        <v>0</v>
      </c>
    </row>
    <row r="2495" spans="1:5" ht="15" x14ac:dyDescent="0.2">
      <c r="A2495" s="7">
        <v>620507</v>
      </c>
      <c r="B2495" s="3" t="s">
        <v>293</v>
      </c>
      <c r="C2495" s="25">
        <v>0</v>
      </c>
      <c r="D2495" s="25">
        <v>0</v>
      </c>
      <c r="E2495" s="18">
        <f t="shared" ref="E2495:E2508" si="467">SUM(C2495:D2495)</f>
        <v>0</v>
      </c>
    </row>
    <row r="2496" spans="1:5" ht="15" x14ac:dyDescent="0.2">
      <c r="A2496" s="7">
        <v>620511</v>
      </c>
      <c r="B2496" s="3" t="s">
        <v>295</v>
      </c>
      <c r="C2496" s="25">
        <v>0</v>
      </c>
      <c r="D2496" s="25">
        <v>0</v>
      </c>
      <c r="E2496" s="18">
        <f t="shared" si="467"/>
        <v>0</v>
      </c>
    </row>
    <row r="2497" spans="1:5" ht="15" x14ac:dyDescent="0.2">
      <c r="A2497" s="7">
        <v>620513</v>
      </c>
      <c r="B2497" s="3" t="s">
        <v>296</v>
      </c>
      <c r="C2497" s="25">
        <v>0</v>
      </c>
      <c r="D2497" s="25">
        <v>0</v>
      </c>
      <c r="E2497" s="18">
        <f t="shared" si="467"/>
        <v>0</v>
      </c>
    </row>
    <row r="2498" spans="1:5" ht="15" x14ac:dyDescent="0.2">
      <c r="A2498" s="7">
        <v>620514</v>
      </c>
      <c r="B2498" s="3" t="s">
        <v>300</v>
      </c>
      <c r="C2498" s="25">
        <v>0</v>
      </c>
      <c r="D2498" s="25">
        <v>0</v>
      </c>
      <c r="E2498" s="18">
        <f t="shared" si="467"/>
        <v>0</v>
      </c>
    </row>
    <row r="2499" spans="1:5" ht="15" x14ac:dyDescent="0.2">
      <c r="A2499" s="7">
        <v>620515</v>
      </c>
      <c r="B2499" s="3" t="s">
        <v>297</v>
      </c>
      <c r="C2499" s="25">
        <v>0</v>
      </c>
      <c r="D2499" s="25">
        <v>0</v>
      </c>
      <c r="E2499" s="18">
        <f t="shared" si="467"/>
        <v>0</v>
      </c>
    </row>
    <row r="2500" spans="1:5" ht="15" x14ac:dyDescent="0.2">
      <c r="A2500" s="7">
        <v>620516</v>
      </c>
      <c r="B2500" s="3" t="s">
        <v>301</v>
      </c>
      <c r="C2500" s="25">
        <v>0</v>
      </c>
      <c r="D2500" s="25">
        <v>0</v>
      </c>
      <c r="E2500" s="18">
        <f t="shared" si="467"/>
        <v>0</v>
      </c>
    </row>
    <row r="2501" spans="1:5" ht="15" x14ac:dyDescent="0.2">
      <c r="A2501" s="7">
        <v>620517</v>
      </c>
      <c r="B2501" s="3" t="s">
        <v>299</v>
      </c>
      <c r="C2501" s="25">
        <v>0</v>
      </c>
      <c r="D2501" s="25">
        <v>0</v>
      </c>
      <c r="E2501" s="18">
        <f t="shared" si="467"/>
        <v>0</v>
      </c>
    </row>
    <row r="2502" spans="1:5" ht="15" x14ac:dyDescent="0.2">
      <c r="A2502" s="7">
        <v>620518</v>
      </c>
      <c r="B2502" s="3" t="s">
        <v>302</v>
      </c>
      <c r="C2502" s="25">
        <v>0</v>
      </c>
      <c r="D2502" s="25">
        <v>0</v>
      </c>
      <c r="E2502" s="18">
        <f t="shared" si="467"/>
        <v>0</v>
      </c>
    </row>
    <row r="2503" spans="1:5" ht="15" x14ac:dyDescent="0.2">
      <c r="A2503" s="7">
        <v>620519</v>
      </c>
      <c r="B2503" s="3" t="s">
        <v>294</v>
      </c>
      <c r="C2503" s="25">
        <v>0</v>
      </c>
      <c r="D2503" s="25">
        <v>0</v>
      </c>
      <c r="E2503" s="18">
        <f t="shared" si="467"/>
        <v>0</v>
      </c>
    </row>
    <row r="2504" spans="1:5" ht="15" x14ac:dyDescent="0.2">
      <c r="A2504" s="7">
        <v>620520</v>
      </c>
      <c r="B2504" s="3" t="s">
        <v>298</v>
      </c>
      <c r="C2504" s="25">
        <v>0</v>
      </c>
      <c r="D2504" s="25">
        <v>0</v>
      </c>
      <c r="E2504" s="18">
        <f t="shared" si="467"/>
        <v>0</v>
      </c>
    </row>
    <row r="2505" spans="1:5" ht="15" x14ac:dyDescent="0.2">
      <c r="A2505" s="7">
        <v>620521</v>
      </c>
      <c r="B2505" s="3" t="s">
        <v>120</v>
      </c>
      <c r="C2505" s="25">
        <v>0</v>
      </c>
      <c r="D2505" s="25">
        <v>0</v>
      </c>
      <c r="E2505" s="18">
        <f t="shared" si="467"/>
        <v>0</v>
      </c>
    </row>
    <row r="2506" spans="1:5" ht="15" x14ac:dyDescent="0.2">
      <c r="A2506" s="7">
        <v>620528</v>
      </c>
      <c r="B2506" s="3" t="s">
        <v>303</v>
      </c>
      <c r="C2506" s="25">
        <v>0</v>
      </c>
      <c r="D2506" s="25">
        <v>0</v>
      </c>
      <c r="E2506" s="18">
        <f t="shared" si="467"/>
        <v>0</v>
      </c>
    </row>
    <row r="2507" spans="1:5" ht="15" x14ac:dyDescent="0.2">
      <c r="A2507" s="7">
        <v>620529</v>
      </c>
      <c r="B2507" s="3" t="s">
        <v>116</v>
      </c>
      <c r="C2507" s="25">
        <v>0</v>
      </c>
      <c r="D2507" s="25">
        <v>0</v>
      </c>
      <c r="E2507" s="18">
        <f t="shared" si="467"/>
        <v>0</v>
      </c>
    </row>
    <row r="2508" spans="1:5" ht="15" x14ac:dyDescent="0.2">
      <c r="A2508" s="7">
        <v>620590</v>
      </c>
      <c r="B2508" s="3" t="s">
        <v>304</v>
      </c>
      <c r="C2508" s="25">
        <v>0</v>
      </c>
      <c r="D2508" s="25">
        <v>0</v>
      </c>
      <c r="E2508" s="18">
        <f t="shared" si="467"/>
        <v>0</v>
      </c>
    </row>
    <row r="2509" spans="1:5" ht="15" x14ac:dyDescent="0.2">
      <c r="A2509" s="6">
        <v>6210</v>
      </c>
      <c r="B2509" s="2" t="s">
        <v>1026</v>
      </c>
      <c r="C2509" s="24">
        <f>SUM(C2510:C2534)</f>
        <v>0</v>
      </c>
      <c r="D2509" s="24">
        <f t="shared" ref="D2509:E2509" si="468">SUM(D2510:D2534)</f>
        <v>0</v>
      </c>
      <c r="E2509" s="17">
        <f t="shared" si="468"/>
        <v>0</v>
      </c>
    </row>
    <row r="2510" spans="1:5" ht="15" x14ac:dyDescent="0.2">
      <c r="A2510" s="7">
        <v>621001</v>
      </c>
      <c r="B2510" s="3" t="s">
        <v>306</v>
      </c>
      <c r="C2510" s="25">
        <v>0</v>
      </c>
      <c r="D2510" s="25">
        <v>0</v>
      </c>
      <c r="E2510" s="18">
        <f t="shared" ref="E2510:E2534" si="469">SUM(C2510:D2510)</f>
        <v>0</v>
      </c>
    </row>
    <row r="2511" spans="1:5" ht="15" x14ac:dyDescent="0.2">
      <c r="A2511" s="7">
        <v>621002</v>
      </c>
      <c r="B2511" s="3" t="s">
        <v>120</v>
      </c>
      <c r="C2511" s="25">
        <v>0</v>
      </c>
      <c r="D2511" s="25">
        <v>0</v>
      </c>
      <c r="E2511" s="18">
        <f t="shared" si="469"/>
        <v>0</v>
      </c>
    </row>
    <row r="2512" spans="1:5" ht="15" x14ac:dyDescent="0.2">
      <c r="A2512" s="7">
        <v>621003</v>
      </c>
      <c r="B2512" s="3" t="s">
        <v>293</v>
      </c>
      <c r="C2512" s="25">
        <v>0</v>
      </c>
      <c r="D2512" s="25">
        <v>0</v>
      </c>
      <c r="E2512" s="18">
        <f t="shared" si="469"/>
        <v>0</v>
      </c>
    </row>
    <row r="2513" spans="1:5" ht="15" x14ac:dyDescent="0.2">
      <c r="A2513" s="7">
        <v>621008</v>
      </c>
      <c r="B2513" s="3" t="s">
        <v>295</v>
      </c>
      <c r="C2513" s="25">
        <v>0</v>
      </c>
      <c r="D2513" s="25">
        <v>0</v>
      </c>
      <c r="E2513" s="18">
        <f t="shared" si="469"/>
        <v>0</v>
      </c>
    </row>
    <row r="2514" spans="1:5" ht="15" x14ac:dyDescent="0.2">
      <c r="A2514" s="7">
        <v>621010</v>
      </c>
      <c r="B2514" s="3" t="s">
        <v>307</v>
      </c>
      <c r="C2514" s="25">
        <v>0</v>
      </c>
      <c r="D2514" s="25">
        <v>0</v>
      </c>
      <c r="E2514" s="18">
        <f t="shared" si="469"/>
        <v>0</v>
      </c>
    </row>
    <row r="2515" spans="1:5" ht="15" x14ac:dyDescent="0.2">
      <c r="A2515" s="7">
        <v>621011</v>
      </c>
      <c r="B2515" s="3" t="s">
        <v>308</v>
      </c>
      <c r="C2515" s="25">
        <v>0</v>
      </c>
      <c r="D2515" s="25">
        <v>0</v>
      </c>
      <c r="E2515" s="18">
        <f t="shared" si="469"/>
        <v>0</v>
      </c>
    </row>
    <row r="2516" spans="1:5" ht="15" x14ac:dyDescent="0.2">
      <c r="A2516" s="7">
        <v>621012</v>
      </c>
      <c r="B2516" s="3" t="s">
        <v>309</v>
      </c>
      <c r="C2516" s="25">
        <v>0</v>
      </c>
      <c r="D2516" s="25">
        <v>0</v>
      </c>
      <c r="E2516" s="18">
        <f t="shared" si="469"/>
        <v>0</v>
      </c>
    </row>
    <row r="2517" spans="1:5" ht="15" x14ac:dyDescent="0.2">
      <c r="A2517" s="7">
        <v>621013</v>
      </c>
      <c r="B2517" s="3" t="s">
        <v>294</v>
      </c>
      <c r="C2517" s="25">
        <v>0</v>
      </c>
      <c r="D2517" s="25">
        <v>0</v>
      </c>
      <c r="E2517" s="18">
        <f t="shared" si="469"/>
        <v>0</v>
      </c>
    </row>
    <row r="2518" spans="1:5" ht="15" x14ac:dyDescent="0.2">
      <c r="A2518" s="7">
        <v>621015</v>
      </c>
      <c r="B2518" s="3" t="s">
        <v>297</v>
      </c>
      <c r="C2518" s="25">
        <v>0</v>
      </c>
      <c r="D2518" s="25">
        <v>0</v>
      </c>
      <c r="E2518" s="18">
        <f t="shared" si="469"/>
        <v>0</v>
      </c>
    </row>
    <row r="2519" spans="1:5" ht="15" x14ac:dyDescent="0.2">
      <c r="A2519" s="7">
        <v>621016</v>
      </c>
      <c r="B2519" s="3" t="s">
        <v>299</v>
      </c>
      <c r="C2519" s="25">
        <v>0</v>
      </c>
      <c r="D2519" s="25">
        <v>0</v>
      </c>
      <c r="E2519" s="18">
        <f t="shared" si="469"/>
        <v>0</v>
      </c>
    </row>
    <row r="2520" spans="1:5" ht="15" x14ac:dyDescent="0.2">
      <c r="A2520" s="7">
        <v>621017</v>
      </c>
      <c r="B2520" s="3" t="s">
        <v>310</v>
      </c>
      <c r="C2520" s="25">
        <v>0</v>
      </c>
      <c r="D2520" s="25">
        <v>0</v>
      </c>
      <c r="E2520" s="18">
        <f t="shared" si="469"/>
        <v>0</v>
      </c>
    </row>
    <row r="2521" spans="1:5" ht="15" x14ac:dyDescent="0.2">
      <c r="A2521" s="7">
        <v>621023</v>
      </c>
      <c r="B2521" s="3" t="s">
        <v>296</v>
      </c>
      <c r="C2521" s="25">
        <v>0</v>
      </c>
      <c r="D2521" s="25">
        <v>0</v>
      </c>
      <c r="E2521" s="18">
        <f t="shared" si="469"/>
        <v>0</v>
      </c>
    </row>
    <row r="2522" spans="1:5" ht="15" x14ac:dyDescent="0.2">
      <c r="A2522" s="7">
        <v>621024</v>
      </c>
      <c r="B2522" s="3" t="s">
        <v>319</v>
      </c>
      <c r="C2522" s="25">
        <v>0</v>
      </c>
      <c r="D2522" s="25">
        <v>0</v>
      </c>
      <c r="E2522" s="18">
        <f t="shared" si="469"/>
        <v>0</v>
      </c>
    </row>
    <row r="2523" spans="1:5" ht="15" x14ac:dyDescent="0.2">
      <c r="A2523" s="7">
        <v>621025</v>
      </c>
      <c r="B2523" s="3" t="s">
        <v>320</v>
      </c>
      <c r="C2523" s="25">
        <v>0</v>
      </c>
      <c r="D2523" s="25">
        <v>0</v>
      </c>
      <c r="E2523" s="18">
        <f t="shared" si="469"/>
        <v>0</v>
      </c>
    </row>
    <row r="2524" spans="1:5" ht="15" x14ac:dyDescent="0.2">
      <c r="A2524" s="7">
        <v>621028</v>
      </c>
      <c r="B2524" s="3" t="s">
        <v>311</v>
      </c>
      <c r="C2524" s="25">
        <v>0</v>
      </c>
      <c r="D2524" s="25">
        <v>0</v>
      </c>
      <c r="E2524" s="18">
        <f t="shared" si="469"/>
        <v>0</v>
      </c>
    </row>
    <row r="2525" spans="1:5" ht="15" x14ac:dyDescent="0.2">
      <c r="A2525" s="7">
        <v>621029</v>
      </c>
      <c r="B2525" s="3" t="s">
        <v>312</v>
      </c>
      <c r="C2525" s="25">
        <v>0</v>
      </c>
      <c r="D2525" s="25">
        <v>0</v>
      </c>
      <c r="E2525" s="18">
        <f t="shared" si="469"/>
        <v>0</v>
      </c>
    </row>
    <row r="2526" spans="1:5" ht="15" x14ac:dyDescent="0.2">
      <c r="A2526" s="7">
        <v>621030</v>
      </c>
      <c r="B2526" s="3" t="s">
        <v>313</v>
      </c>
      <c r="C2526" s="25">
        <v>0</v>
      </c>
      <c r="D2526" s="25">
        <v>0</v>
      </c>
      <c r="E2526" s="18">
        <f t="shared" si="469"/>
        <v>0</v>
      </c>
    </row>
    <row r="2527" spans="1:5" ht="15" x14ac:dyDescent="0.2">
      <c r="A2527" s="7">
        <v>621031</v>
      </c>
      <c r="B2527" s="3" t="s">
        <v>314</v>
      </c>
      <c r="C2527" s="25">
        <v>0</v>
      </c>
      <c r="D2527" s="25">
        <v>0</v>
      </c>
      <c r="E2527" s="18">
        <f t="shared" si="469"/>
        <v>0</v>
      </c>
    </row>
    <row r="2528" spans="1:5" ht="15" x14ac:dyDescent="0.2">
      <c r="A2528" s="7">
        <v>621033</v>
      </c>
      <c r="B2528" s="3" t="s">
        <v>315</v>
      </c>
      <c r="C2528" s="25">
        <v>0</v>
      </c>
      <c r="D2528" s="25">
        <v>0</v>
      </c>
      <c r="E2528" s="18">
        <f t="shared" si="469"/>
        <v>0</v>
      </c>
    </row>
    <row r="2529" spans="1:5" ht="15" x14ac:dyDescent="0.2">
      <c r="A2529" s="7">
        <v>621034</v>
      </c>
      <c r="B2529" s="3" t="s">
        <v>1027</v>
      </c>
      <c r="C2529" s="25">
        <v>0</v>
      </c>
      <c r="D2529" s="25">
        <v>0</v>
      </c>
      <c r="E2529" s="18">
        <f t="shared" si="469"/>
        <v>0</v>
      </c>
    </row>
    <row r="2530" spans="1:5" ht="15" x14ac:dyDescent="0.2">
      <c r="A2530" s="7">
        <v>621035</v>
      </c>
      <c r="B2530" s="3" t="s">
        <v>316</v>
      </c>
      <c r="C2530" s="25">
        <v>0</v>
      </c>
      <c r="D2530" s="25">
        <v>0</v>
      </c>
      <c r="E2530" s="18">
        <f t="shared" si="469"/>
        <v>0</v>
      </c>
    </row>
    <row r="2531" spans="1:5" ht="15" x14ac:dyDescent="0.2">
      <c r="A2531" s="7">
        <v>621037</v>
      </c>
      <c r="B2531" s="3" t="s">
        <v>317</v>
      </c>
      <c r="C2531" s="25">
        <v>0</v>
      </c>
      <c r="D2531" s="25">
        <v>0</v>
      </c>
      <c r="E2531" s="18">
        <f t="shared" si="469"/>
        <v>0</v>
      </c>
    </row>
    <row r="2532" spans="1:5" ht="15" x14ac:dyDescent="0.2">
      <c r="A2532" s="7">
        <v>621039</v>
      </c>
      <c r="B2532" s="3" t="s">
        <v>318</v>
      </c>
      <c r="C2532" s="25">
        <v>0</v>
      </c>
      <c r="D2532" s="25">
        <v>0</v>
      </c>
      <c r="E2532" s="18">
        <f t="shared" si="469"/>
        <v>0</v>
      </c>
    </row>
    <row r="2533" spans="1:5" ht="15" x14ac:dyDescent="0.2">
      <c r="A2533" s="7">
        <v>621040</v>
      </c>
      <c r="B2533" s="3" t="s">
        <v>116</v>
      </c>
      <c r="C2533" s="25">
        <v>0</v>
      </c>
      <c r="D2533" s="25">
        <v>0</v>
      </c>
      <c r="E2533" s="18">
        <f t="shared" si="469"/>
        <v>0</v>
      </c>
    </row>
    <row r="2534" spans="1:5" ht="15" x14ac:dyDescent="0.2">
      <c r="A2534" s="7">
        <v>621090</v>
      </c>
      <c r="B2534" s="3" t="s">
        <v>1028</v>
      </c>
      <c r="C2534" s="25">
        <v>0</v>
      </c>
      <c r="D2534" s="25">
        <v>0</v>
      </c>
      <c r="E2534" s="18">
        <f t="shared" si="469"/>
        <v>0</v>
      </c>
    </row>
    <row r="2535" spans="1:5" ht="15" x14ac:dyDescent="0.2">
      <c r="A2535" s="6">
        <v>63</v>
      </c>
      <c r="B2535" s="2" t="s">
        <v>1419</v>
      </c>
      <c r="C2535" s="24">
        <f>SUM(C2536,C2573,C2579,C2583,C2591)</f>
        <v>308706824</v>
      </c>
      <c r="D2535" s="24">
        <f>SUM(D2536,D2573,D2579,D2583,D2591)</f>
        <v>0</v>
      </c>
      <c r="E2535" s="28">
        <f>SUM(E2536,E2573,E2579,E2583,E2591)</f>
        <v>308706824</v>
      </c>
    </row>
    <row r="2536" spans="1:5" ht="15" x14ac:dyDescent="0.2">
      <c r="A2536" s="6">
        <v>6310</v>
      </c>
      <c r="B2536" s="2" t="s">
        <v>1039</v>
      </c>
      <c r="C2536" s="24">
        <f>SUM(C2537:C2572)</f>
        <v>0</v>
      </c>
      <c r="D2536" s="24">
        <f t="shared" ref="D2536:E2536" si="470">SUM(D2537:D2572)</f>
        <v>0</v>
      </c>
      <c r="E2536" s="17">
        <f t="shared" si="470"/>
        <v>0</v>
      </c>
    </row>
    <row r="2537" spans="1:5" ht="15" x14ac:dyDescent="0.2">
      <c r="A2537" s="7">
        <v>631001</v>
      </c>
      <c r="B2537" s="3" t="s">
        <v>1040</v>
      </c>
      <c r="C2537" s="25">
        <v>0</v>
      </c>
      <c r="D2537" s="25">
        <v>0</v>
      </c>
      <c r="E2537" s="18">
        <f t="shared" ref="E2537:E2572" si="471">SUM(C2537:D2537)</f>
        <v>0</v>
      </c>
    </row>
    <row r="2538" spans="1:5" ht="15" x14ac:dyDescent="0.2">
      <c r="A2538" s="7">
        <v>631002</v>
      </c>
      <c r="B2538" s="3" t="s">
        <v>1041</v>
      </c>
      <c r="C2538" s="25">
        <v>0</v>
      </c>
      <c r="D2538" s="25">
        <v>0</v>
      </c>
      <c r="E2538" s="18">
        <f t="shared" si="471"/>
        <v>0</v>
      </c>
    </row>
    <row r="2539" spans="1:5" ht="15" x14ac:dyDescent="0.2">
      <c r="A2539" s="7">
        <v>631015</v>
      </c>
      <c r="B2539" s="3" t="s">
        <v>1042</v>
      </c>
      <c r="C2539" s="25">
        <v>0</v>
      </c>
      <c r="D2539" s="25">
        <v>0</v>
      </c>
      <c r="E2539" s="18">
        <f t="shared" si="471"/>
        <v>0</v>
      </c>
    </row>
    <row r="2540" spans="1:5" ht="15" x14ac:dyDescent="0.2">
      <c r="A2540" s="7">
        <v>631016</v>
      </c>
      <c r="B2540" s="3" t="s">
        <v>1043</v>
      </c>
      <c r="C2540" s="25">
        <v>0</v>
      </c>
      <c r="D2540" s="25">
        <v>0</v>
      </c>
      <c r="E2540" s="18">
        <f t="shared" si="471"/>
        <v>0</v>
      </c>
    </row>
    <row r="2541" spans="1:5" ht="15" x14ac:dyDescent="0.2">
      <c r="A2541" s="7">
        <v>631017</v>
      </c>
      <c r="B2541" s="3" t="s">
        <v>1420</v>
      </c>
      <c r="C2541" s="25">
        <v>0</v>
      </c>
      <c r="D2541" s="25">
        <v>0</v>
      </c>
      <c r="E2541" s="18">
        <f t="shared" si="471"/>
        <v>0</v>
      </c>
    </row>
    <row r="2542" spans="1:5" ht="15" x14ac:dyDescent="0.2">
      <c r="A2542" s="7">
        <v>631018</v>
      </c>
      <c r="B2542" s="3" t="s">
        <v>1421</v>
      </c>
      <c r="C2542" s="25">
        <v>0</v>
      </c>
      <c r="D2542" s="25">
        <v>0</v>
      </c>
      <c r="E2542" s="18">
        <f t="shared" si="471"/>
        <v>0</v>
      </c>
    </row>
    <row r="2543" spans="1:5" ht="15" x14ac:dyDescent="0.2">
      <c r="A2543" s="7">
        <v>631019</v>
      </c>
      <c r="B2543" s="3" t="s">
        <v>1046</v>
      </c>
      <c r="C2543" s="25">
        <v>0</v>
      </c>
      <c r="D2543" s="25">
        <v>0</v>
      </c>
      <c r="E2543" s="18">
        <f t="shared" si="471"/>
        <v>0</v>
      </c>
    </row>
    <row r="2544" spans="1:5" ht="15" x14ac:dyDescent="0.2">
      <c r="A2544" s="7">
        <v>631025</v>
      </c>
      <c r="B2544" s="3" t="s">
        <v>1047</v>
      </c>
      <c r="C2544" s="25">
        <v>0</v>
      </c>
      <c r="D2544" s="25">
        <v>0</v>
      </c>
      <c r="E2544" s="18">
        <f t="shared" si="471"/>
        <v>0</v>
      </c>
    </row>
    <row r="2545" spans="1:5" ht="15" x14ac:dyDescent="0.2">
      <c r="A2545" s="7">
        <v>631026</v>
      </c>
      <c r="B2545" s="3" t="s">
        <v>1048</v>
      </c>
      <c r="C2545" s="25">
        <v>0</v>
      </c>
      <c r="D2545" s="25">
        <v>0</v>
      </c>
      <c r="E2545" s="18">
        <f t="shared" si="471"/>
        <v>0</v>
      </c>
    </row>
    <row r="2546" spans="1:5" ht="15" x14ac:dyDescent="0.2">
      <c r="A2546" s="7">
        <v>631027</v>
      </c>
      <c r="B2546" s="3" t="s">
        <v>1049</v>
      </c>
      <c r="C2546" s="25">
        <v>0</v>
      </c>
      <c r="D2546" s="25">
        <v>0</v>
      </c>
      <c r="E2546" s="18">
        <f t="shared" si="471"/>
        <v>0</v>
      </c>
    </row>
    <row r="2547" spans="1:5" ht="15" x14ac:dyDescent="0.2">
      <c r="A2547" s="7">
        <v>631028</v>
      </c>
      <c r="B2547" s="3" t="s">
        <v>1050</v>
      </c>
      <c r="C2547" s="25">
        <v>0</v>
      </c>
      <c r="D2547" s="25">
        <v>0</v>
      </c>
      <c r="E2547" s="18">
        <f t="shared" si="471"/>
        <v>0</v>
      </c>
    </row>
    <row r="2548" spans="1:5" ht="15" x14ac:dyDescent="0.2">
      <c r="A2548" s="7">
        <v>631029</v>
      </c>
      <c r="B2548" s="3" t="s">
        <v>1051</v>
      </c>
      <c r="C2548" s="25">
        <v>0</v>
      </c>
      <c r="D2548" s="25">
        <v>0</v>
      </c>
      <c r="E2548" s="18">
        <f t="shared" si="471"/>
        <v>0</v>
      </c>
    </row>
    <row r="2549" spans="1:5" ht="15" x14ac:dyDescent="0.2">
      <c r="A2549" s="7">
        <v>631030</v>
      </c>
      <c r="B2549" s="3" t="s">
        <v>1052</v>
      </c>
      <c r="C2549" s="25">
        <v>0</v>
      </c>
      <c r="D2549" s="25">
        <v>0</v>
      </c>
      <c r="E2549" s="18">
        <f t="shared" si="471"/>
        <v>0</v>
      </c>
    </row>
    <row r="2550" spans="1:5" ht="15" x14ac:dyDescent="0.2">
      <c r="A2550" s="7">
        <v>631031</v>
      </c>
      <c r="B2550" s="3" t="s">
        <v>1053</v>
      </c>
      <c r="C2550" s="25">
        <v>0</v>
      </c>
      <c r="D2550" s="25">
        <v>0</v>
      </c>
      <c r="E2550" s="18">
        <f t="shared" si="471"/>
        <v>0</v>
      </c>
    </row>
    <row r="2551" spans="1:5" ht="15" x14ac:dyDescent="0.2">
      <c r="A2551" s="7">
        <v>631035</v>
      </c>
      <c r="B2551" s="3" t="s">
        <v>1054</v>
      </c>
      <c r="C2551" s="25">
        <v>0</v>
      </c>
      <c r="D2551" s="25">
        <v>0</v>
      </c>
      <c r="E2551" s="18">
        <f t="shared" si="471"/>
        <v>0</v>
      </c>
    </row>
    <row r="2552" spans="1:5" ht="15" x14ac:dyDescent="0.2">
      <c r="A2552" s="7">
        <v>631036</v>
      </c>
      <c r="B2552" s="3" t="s">
        <v>1055</v>
      </c>
      <c r="C2552" s="25">
        <v>0</v>
      </c>
      <c r="D2552" s="25">
        <v>0</v>
      </c>
      <c r="E2552" s="18">
        <f t="shared" si="471"/>
        <v>0</v>
      </c>
    </row>
    <row r="2553" spans="1:5" ht="15" x14ac:dyDescent="0.2">
      <c r="A2553" s="7">
        <v>631040</v>
      </c>
      <c r="B2553" s="3" t="s">
        <v>1056</v>
      </c>
      <c r="C2553" s="25">
        <v>0</v>
      </c>
      <c r="D2553" s="25">
        <v>0</v>
      </c>
      <c r="E2553" s="18">
        <f t="shared" si="471"/>
        <v>0</v>
      </c>
    </row>
    <row r="2554" spans="1:5" ht="15" x14ac:dyDescent="0.2">
      <c r="A2554" s="7">
        <v>631041</v>
      </c>
      <c r="B2554" s="3" t="s">
        <v>1057</v>
      </c>
      <c r="C2554" s="25">
        <v>0</v>
      </c>
      <c r="D2554" s="25">
        <v>0</v>
      </c>
      <c r="E2554" s="18">
        <f t="shared" si="471"/>
        <v>0</v>
      </c>
    </row>
    <row r="2555" spans="1:5" ht="15" x14ac:dyDescent="0.2">
      <c r="A2555" s="7">
        <v>631042</v>
      </c>
      <c r="B2555" s="3" t="s">
        <v>1058</v>
      </c>
      <c r="C2555" s="25">
        <v>0</v>
      </c>
      <c r="D2555" s="25">
        <v>0</v>
      </c>
      <c r="E2555" s="18">
        <f t="shared" si="471"/>
        <v>0</v>
      </c>
    </row>
    <row r="2556" spans="1:5" ht="15" x14ac:dyDescent="0.2">
      <c r="A2556" s="7">
        <v>631043</v>
      </c>
      <c r="B2556" s="3" t="s">
        <v>1059</v>
      </c>
      <c r="C2556" s="25">
        <v>0</v>
      </c>
      <c r="D2556" s="25">
        <v>0</v>
      </c>
      <c r="E2556" s="18">
        <f t="shared" si="471"/>
        <v>0</v>
      </c>
    </row>
    <row r="2557" spans="1:5" ht="15" x14ac:dyDescent="0.2">
      <c r="A2557" s="7">
        <v>631050</v>
      </c>
      <c r="B2557" s="3" t="s">
        <v>1060</v>
      </c>
      <c r="C2557" s="25">
        <v>0</v>
      </c>
      <c r="D2557" s="25">
        <v>0</v>
      </c>
      <c r="E2557" s="18">
        <f t="shared" si="471"/>
        <v>0</v>
      </c>
    </row>
    <row r="2558" spans="1:5" ht="15" x14ac:dyDescent="0.2">
      <c r="A2558" s="7">
        <v>631051</v>
      </c>
      <c r="B2558" s="3" t="s">
        <v>1061</v>
      </c>
      <c r="C2558" s="25">
        <v>0</v>
      </c>
      <c r="D2558" s="25">
        <v>0</v>
      </c>
      <c r="E2558" s="18">
        <f t="shared" si="471"/>
        <v>0</v>
      </c>
    </row>
    <row r="2559" spans="1:5" ht="15" x14ac:dyDescent="0.2">
      <c r="A2559" s="7">
        <v>631052</v>
      </c>
      <c r="B2559" s="3" t="s">
        <v>1062</v>
      </c>
      <c r="C2559" s="25">
        <v>0</v>
      </c>
      <c r="D2559" s="25">
        <v>0</v>
      </c>
      <c r="E2559" s="18">
        <f t="shared" si="471"/>
        <v>0</v>
      </c>
    </row>
    <row r="2560" spans="1:5" ht="15" x14ac:dyDescent="0.2">
      <c r="A2560" s="7">
        <v>631053</v>
      </c>
      <c r="B2560" s="3" t="s">
        <v>1063</v>
      </c>
      <c r="C2560" s="25">
        <v>0</v>
      </c>
      <c r="D2560" s="25">
        <v>0</v>
      </c>
      <c r="E2560" s="18">
        <f t="shared" si="471"/>
        <v>0</v>
      </c>
    </row>
    <row r="2561" spans="1:5" ht="15" x14ac:dyDescent="0.2">
      <c r="A2561" s="7">
        <v>631054</v>
      </c>
      <c r="B2561" s="3" t="s">
        <v>1064</v>
      </c>
      <c r="C2561" s="25">
        <v>0</v>
      </c>
      <c r="D2561" s="25">
        <v>0</v>
      </c>
      <c r="E2561" s="18">
        <f t="shared" si="471"/>
        <v>0</v>
      </c>
    </row>
    <row r="2562" spans="1:5" ht="15" x14ac:dyDescent="0.2">
      <c r="A2562" s="7">
        <v>631055</v>
      </c>
      <c r="B2562" s="3" t="s">
        <v>1065</v>
      </c>
      <c r="C2562" s="25">
        <v>0</v>
      </c>
      <c r="D2562" s="25">
        <v>0</v>
      </c>
      <c r="E2562" s="18">
        <f t="shared" si="471"/>
        <v>0</v>
      </c>
    </row>
    <row r="2563" spans="1:5" ht="15" x14ac:dyDescent="0.2">
      <c r="A2563" s="7">
        <v>631056</v>
      </c>
      <c r="B2563" s="3" t="s">
        <v>1066</v>
      </c>
      <c r="C2563" s="25">
        <v>0</v>
      </c>
      <c r="D2563" s="25">
        <v>0</v>
      </c>
      <c r="E2563" s="18">
        <f t="shared" si="471"/>
        <v>0</v>
      </c>
    </row>
    <row r="2564" spans="1:5" ht="15" x14ac:dyDescent="0.2">
      <c r="A2564" s="7">
        <v>631057</v>
      </c>
      <c r="B2564" s="3" t="s">
        <v>1067</v>
      </c>
      <c r="C2564" s="25">
        <v>0</v>
      </c>
      <c r="D2564" s="25">
        <v>0</v>
      </c>
      <c r="E2564" s="18">
        <f t="shared" si="471"/>
        <v>0</v>
      </c>
    </row>
    <row r="2565" spans="1:5" ht="15" x14ac:dyDescent="0.2">
      <c r="A2565" s="7">
        <v>631060</v>
      </c>
      <c r="B2565" s="3" t="s">
        <v>1068</v>
      </c>
      <c r="C2565" s="25">
        <v>0</v>
      </c>
      <c r="D2565" s="25">
        <v>0</v>
      </c>
      <c r="E2565" s="18">
        <f t="shared" si="471"/>
        <v>0</v>
      </c>
    </row>
    <row r="2566" spans="1:5" ht="15" x14ac:dyDescent="0.2">
      <c r="A2566" s="7">
        <v>631061</v>
      </c>
      <c r="B2566" s="3" t="s">
        <v>1069</v>
      </c>
      <c r="C2566" s="25">
        <v>0</v>
      </c>
      <c r="D2566" s="25">
        <v>0</v>
      </c>
      <c r="E2566" s="18">
        <f t="shared" si="471"/>
        <v>0</v>
      </c>
    </row>
    <row r="2567" spans="1:5" ht="15" x14ac:dyDescent="0.2">
      <c r="A2567" s="7">
        <v>631062</v>
      </c>
      <c r="B2567" s="3" t="s">
        <v>1070</v>
      </c>
      <c r="C2567" s="25">
        <v>0</v>
      </c>
      <c r="D2567" s="25">
        <v>0</v>
      </c>
      <c r="E2567" s="18">
        <f t="shared" si="471"/>
        <v>0</v>
      </c>
    </row>
    <row r="2568" spans="1:5" ht="15" x14ac:dyDescent="0.2">
      <c r="A2568" s="7">
        <v>631063</v>
      </c>
      <c r="B2568" s="3" t="s">
        <v>1071</v>
      </c>
      <c r="C2568" s="25">
        <v>0</v>
      </c>
      <c r="D2568" s="25">
        <v>0</v>
      </c>
      <c r="E2568" s="18">
        <f t="shared" si="471"/>
        <v>0</v>
      </c>
    </row>
    <row r="2569" spans="1:5" ht="15" x14ac:dyDescent="0.2">
      <c r="A2569" s="7">
        <v>631064</v>
      </c>
      <c r="B2569" s="3" t="s">
        <v>1422</v>
      </c>
      <c r="C2569" s="25">
        <v>0</v>
      </c>
      <c r="D2569" s="25">
        <v>0</v>
      </c>
      <c r="E2569" s="18">
        <f t="shared" si="471"/>
        <v>0</v>
      </c>
    </row>
    <row r="2570" spans="1:5" ht="15" x14ac:dyDescent="0.2">
      <c r="A2570" s="7">
        <v>631065</v>
      </c>
      <c r="B2570" s="3" t="s">
        <v>1073</v>
      </c>
      <c r="C2570" s="25">
        <v>0</v>
      </c>
      <c r="D2570" s="25">
        <v>0</v>
      </c>
      <c r="E2570" s="18">
        <f t="shared" si="471"/>
        <v>0</v>
      </c>
    </row>
    <row r="2571" spans="1:5" ht="15" x14ac:dyDescent="0.2">
      <c r="A2571" s="7">
        <v>631066</v>
      </c>
      <c r="B2571" s="3" t="s">
        <v>1074</v>
      </c>
      <c r="C2571" s="25">
        <v>0</v>
      </c>
      <c r="D2571" s="25">
        <v>0</v>
      </c>
      <c r="E2571" s="18">
        <f t="shared" si="471"/>
        <v>0</v>
      </c>
    </row>
    <row r="2572" spans="1:5" ht="15" x14ac:dyDescent="0.2">
      <c r="A2572" s="7">
        <v>631067</v>
      </c>
      <c r="B2572" s="3" t="s">
        <v>1075</v>
      </c>
      <c r="C2572" s="25">
        <v>0</v>
      </c>
      <c r="D2572" s="25">
        <v>0</v>
      </c>
      <c r="E2572" s="18">
        <f t="shared" si="471"/>
        <v>0</v>
      </c>
    </row>
    <row r="2573" spans="1:5" ht="15" x14ac:dyDescent="0.2">
      <c r="A2573" s="6">
        <v>6345</v>
      </c>
      <c r="B2573" s="2" t="s">
        <v>1104</v>
      </c>
      <c r="C2573" s="24">
        <f>SUM(C2574:C2578)</f>
        <v>0</v>
      </c>
      <c r="D2573" s="24">
        <f t="shared" ref="D2573:E2573" si="472">SUM(D2574:D2578)</f>
        <v>0</v>
      </c>
      <c r="E2573" s="17">
        <f t="shared" si="472"/>
        <v>0</v>
      </c>
    </row>
    <row r="2574" spans="1:5" ht="15" x14ac:dyDescent="0.2">
      <c r="A2574" s="7">
        <v>634501</v>
      </c>
      <c r="B2574" s="3" t="s">
        <v>1106</v>
      </c>
      <c r="C2574" s="25">
        <v>0</v>
      </c>
      <c r="D2574" s="25">
        <v>0</v>
      </c>
      <c r="E2574" s="18">
        <f t="shared" ref="E2574:E2578" si="473">SUM(C2574:D2574)</f>
        <v>0</v>
      </c>
    </row>
    <row r="2575" spans="1:5" ht="15" x14ac:dyDescent="0.2">
      <c r="A2575" s="7">
        <v>634502</v>
      </c>
      <c r="B2575" s="3" t="s">
        <v>1105</v>
      </c>
      <c r="C2575" s="25">
        <v>0</v>
      </c>
      <c r="D2575" s="25">
        <v>0</v>
      </c>
      <c r="E2575" s="18">
        <f t="shared" si="473"/>
        <v>0</v>
      </c>
    </row>
    <row r="2576" spans="1:5" ht="15" x14ac:dyDescent="0.2">
      <c r="A2576" s="7">
        <v>634503</v>
      </c>
      <c r="B2576" s="3" t="s">
        <v>1107</v>
      </c>
      <c r="C2576" s="25">
        <v>0</v>
      </c>
      <c r="D2576" s="25">
        <v>0</v>
      </c>
      <c r="E2576" s="18">
        <f t="shared" si="473"/>
        <v>0</v>
      </c>
    </row>
    <row r="2577" spans="1:5" ht="15" x14ac:dyDescent="0.2">
      <c r="A2577" s="7">
        <v>634505</v>
      </c>
      <c r="B2577" s="3" t="s">
        <v>1108</v>
      </c>
      <c r="C2577" s="25">
        <v>0</v>
      </c>
      <c r="D2577" s="25">
        <v>0</v>
      </c>
      <c r="E2577" s="18">
        <f t="shared" si="473"/>
        <v>0</v>
      </c>
    </row>
    <row r="2578" spans="1:5" ht="15" x14ac:dyDescent="0.2">
      <c r="A2578" s="7">
        <v>634590</v>
      </c>
      <c r="B2578" s="3" t="s">
        <v>1109</v>
      </c>
      <c r="C2578" s="25">
        <v>0</v>
      </c>
      <c r="D2578" s="25">
        <v>0</v>
      </c>
      <c r="E2578" s="18">
        <f t="shared" si="473"/>
        <v>0</v>
      </c>
    </row>
    <row r="2579" spans="1:5" ht="15" x14ac:dyDescent="0.2">
      <c r="A2579" s="6">
        <v>6350</v>
      </c>
      <c r="B2579" s="2" t="s">
        <v>1134</v>
      </c>
      <c r="C2579" s="24">
        <f>SUM(C2580:C2582)</f>
        <v>0</v>
      </c>
      <c r="D2579" s="24">
        <f t="shared" ref="D2579:E2579" si="474">SUM(D2580:D2582)</f>
        <v>0</v>
      </c>
      <c r="E2579" s="17">
        <f t="shared" si="474"/>
        <v>0</v>
      </c>
    </row>
    <row r="2580" spans="1:5" ht="15" x14ac:dyDescent="0.2">
      <c r="A2580" s="7">
        <v>635001</v>
      </c>
      <c r="B2580" s="3" t="s">
        <v>1138</v>
      </c>
      <c r="C2580" s="25">
        <v>0</v>
      </c>
      <c r="D2580" s="25">
        <v>0</v>
      </c>
      <c r="E2580" s="18">
        <f t="shared" ref="E2580:E2582" si="475">SUM(C2580:D2580)</f>
        <v>0</v>
      </c>
    </row>
    <row r="2581" spans="1:5" ht="15" x14ac:dyDescent="0.2">
      <c r="A2581" s="7">
        <v>635002</v>
      </c>
      <c r="B2581" s="3" t="s">
        <v>1139</v>
      </c>
      <c r="C2581" s="25">
        <v>0</v>
      </c>
      <c r="D2581" s="25">
        <v>0</v>
      </c>
      <c r="E2581" s="18">
        <f t="shared" si="475"/>
        <v>0</v>
      </c>
    </row>
    <row r="2582" spans="1:5" ht="15" x14ac:dyDescent="0.2">
      <c r="A2582" s="7">
        <v>635090</v>
      </c>
      <c r="B2582" s="3" t="s">
        <v>1423</v>
      </c>
      <c r="C2582" s="25">
        <v>0</v>
      </c>
      <c r="D2582" s="25">
        <v>0</v>
      </c>
      <c r="E2582" s="18">
        <f t="shared" si="475"/>
        <v>0</v>
      </c>
    </row>
    <row r="2583" spans="1:5" ht="15" x14ac:dyDescent="0.2">
      <c r="A2583" s="6">
        <v>6360</v>
      </c>
      <c r="B2583" s="2" t="s">
        <v>1424</v>
      </c>
      <c r="C2583" s="24">
        <f>SUM(C2584:C2590)</f>
        <v>308706824</v>
      </c>
      <c r="D2583" s="24">
        <f t="shared" ref="D2583:E2583" si="476">SUM(D2584:D2590)</f>
        <v>0</v>
      </c>
      <c r="E2583" s="28">
        <f t="shared" si="476"/>
        <v>308706824</v>
      </c>
    </row>
    <row r="2584" spans="1:5" ht="15" x14ac:dyDescent="0.2">
      <c r="A2584" s="7">
        <v>636002</v>
      </c>
      <c r="B2584" s="3" t="s">
        <v>1425</v>
      </c>
      <c r="C2584" s="25">
        <v>114479128.2</v>
      </c>
      <c r="D2584" s="25">
        <v>0</v>
      </c>
      <c r="E2584" s="29">
        <f t="shared" ref="E2584:E2590" si="477">SUM(C2584:D2584)</f>
        <v>114479128.2</v>
      </c>
    </row>
    <row r="2585" spans="1:5" ht="15" x14ac:dyDescent="0.2">
      <c r="A2585" s="7">
        <v>636003</v>
      </c>
      <c r="B2585" s="3" t="s">
        <v>1426</v>
      </c>
      <c r="C2585" s="25">
        <v>65714411.600000001</v>
      </c>
      <c r="D2585" s="25">
        <v>0</v>
      </c>
      <c r="E2585" s="29">
        <f t="shared" si="477"/>
        <v>65714411.600000001</v>
      </c>
    </row>
    <row r="2586" spans="1:5" ht="15" x14ac:dyDescent="0.2">
      <c r="A2586" s="7">
        <v>636004</v>
      </c>
      <c r="B2586" s="3" t="s">
        <v>1427</v>
      </c>
      <c r="C2586" s="25">
        <v>128513284.2</v>
      </c>
      <c r="D2586" s="25">
        <v>0</v>
      </c>
      <c r="E2586" s="29">
        <f t="shared" si="477"/>
        <v>128513284.2</v>
      </c>
    </row>
    <row r="2587" spans="1:5" ht="15" x14ac:dyDescent="0.2">
      <c r="A2587" s="7">
        <v>636005</v>
      </c>
      <c r="B2587" s="3" t="s">
        <v>1428</v>
      </c>
      <c r="C2587" s="25">
        <v>0</v>
      </c>
      <c r="D2587" s="25">
        <v>0</v>
      </c>
      <c r="E2587" s="18">
        <f t="shared" si="477"/>
        <v>0</v>
      </c>
    </row>
    <row r="2588" spans="1:5" ht="15" x14ac:dyDescent="0.2">
      <c r="A2588" s="7">
        <v>636006</v>
      </c>
      <c r="B2588" s="3" t="s">
        <v>1429</v>
      </c>
      <c r="C2588" s="25">
        <v>0</v>
      </c>
      <c r="D2588" s="25">
        <v>0</v>
      </c>
      <c r="E2588" s="18">
        <f t="shared" si="477"/>
        <v>0</v>
      </c>
    </row>
    <row r="2589" spans="1:5" ht="15" x14ac:dyDescent="0.2">
      <c r="A2589" s="7">
        <v>636007</v>
      </c>
      <c r="B2589" s="3" t="s">
        <v>1430</v>
      </c>
      <c r="C2589" s="25">
        <v>0</v>
      </c>
      <c r="D2589" s="25">
        <v>0</v>
      </c>
      <c r="E2589" s="18">
        <f t="shared" si="477"/>
        <v>0</v>
      </c>
    </row>
    <row r="2590" spans="1:5" ht="15" x14ac:dyDescent="0.2">
      <c r="A2590" s="7">
        <v>636090</v>
      </c>
      <c r="B2590" s="3" t="s">
        <v>1431</v>
      </c>
      <c r="C2590" s="25">
        <v>0</v>
      </c>
      <c r="D2590" s="25">
        <v>0</v>
      </c>
      <c r="E2590" s="18">
        <f t="shared" si="477"/>
        <v>0</v>
      </c>
    </row>
    <row r="2591" spans="1:5" ht="15" x14ac:dyDescent="0.2">
      <c r="A2591" s="6">
        <v>6390</v>
      </c>
      <c r="B2591" s="2" t="s">
        <v>1146</v>
      </c>
      <c r="C2591" s="24">
        <f>SUM(C2592:C2601)</f>
        <v>0</v>
      </c>
      <c r="D2591" s="24">
        <f t="shared" ref="D2591:E2591" si="478">SUM(D2592:D2601)</f>
        <v>0</v>
      </c>
      <c r="E2591" s="17">
        <f t="shared" si="478"/>
        <v>0</v>
      </c>
    </row>
    <row r="2592" spans="1:5" ht="15" x14ac:dyDescent="0.2">
      <c r="A2592" s="7">
        <v>639002</v>
      </c>
      <c r="B2592" s="3" t="s">
        <v>127</v>
      </c>
      <c r="C2592" s="25">
        <v>0</v>
      </c>
      <c r="D2592" s="25">
        <v>0</v>
      </c>
      <c r="E2592" s="18">
        <f t="shared" ref="E2592:E2601" si="479">SUM(C2592:D2592)</f>
        <v>0</v>
      </c>
    </row>
    <row r="2593" spans="1:5" ht="15" x14ac:dyDescent="0.2">
      <c r="A2593" s="7">
        <v>639004</v>
      </c>
      <c r="B2593" s="3" t="s">
        <v>131</v>
      </c>
      <c r="C2593" s="25">
        <v>0</v>
      </c>
      <c r="D2593" s="25">
        <v>0</v>
      </c>
      <c r="E2593" s="18">
        <f t="shared" si="479"/>
        <v>0</v>
      </c>
    </row>
    <row r="2594" spans="1:5" ht="15" x14ac:dyDescent="0.2">
      <c r="A2594" s="7">
        <v>639006</v>
      </c>
      <c r="B2594" s="3" t="s">
        <v>128</v>
      </c>
      <c r="C2594" s="25">
        <v>0</v>
      </c>
      <c r="D2594" s="25">
        <v>0</v>
      </c>
      <c r="E2594" s="18">
        <f t="shared" si="479"/>
        <v>0</v>
      </c>
    </row>
    <row r="2595" spans="1:5" ht="15" x14ac:dyDescent="0.2">
      <c r="A2595" s="7">
        <v>639007</v>
      </c>
      <c r="B2595" s="3" t="s">
        <v>138</v>
      </c>
      <c r="C2595" s="25">
        <v>0</v>
      </c>
      <c r="D2595" s="25">
        <v>0</v>
      </c>
      <c r="E2595" s="18">
        <f t="shared" si="479"/>
        <v>0</v>
      </c>
    </row>
    <row r="2596" spans="1:5" ht="15" x14ac:dyDescent="0.2">
      <c r="A2596" s="7">
        <v>639008</v>
      </c>
      <c r="B2596" s="3" t="s">
        <v>129</v>
      </c>
      <c r="C2596" s="25">
        <v>0</v>
      </c>
      <c r="D2596" s="25">
        <v>0</v>
      </c>
      <c r="E2596" s="18">
        <f t="shared" si="479"/>
        <v>0</v>
      </c>
    </row>
    <row r="2597" spans="1:5" ht="15" x14ac:dyDescent="0.2">
      <c r="A2597" s="7">
        <v>639010</v>
      </c>
      <c r="B2597" s="3" t="s">
        <v>141</v>
      </c>
      <c r="C2597" s="25">
        <v>0</v>
      </c>
      <c r="D2597" s="25">
        <v>0</v>
      </c>
      <c r="E2597" s="18">
        <f t="shared" si="479"/>
        <v>0</v>
      </c>
    </row>
    <row r="2598" spans="1:5" ht="15" x14ac:dyDescent="0.2">
      <c r="A2598" s="7">
        <v>639012</v>
      </c>
      <c r="B2598" s="3" t="s">
        <v>149</v>
      </c>
      <c r="C2598" s="25">
        <v>0</v>
      </c>
      <c r="D2598" s="25">
        <v>0</v>
      </c>
      <c r="E2598" s="18">
        <f t="shared" si="479"/>
        <v>0</v>
      </c>
    </row>
    <row r="2599" spans="1:5" ht="15" x14ac:dyDescent="0.2">
      <c r="A2599" s="7">
        <v>639013</v>
      </c>
      <c r="B2599" s="3" t="s">
        <v>146</v>
      </c>
      <c r="C2599" s="25">
        <v>0</v>
      </c>
      <c r="D2599" s="25">
        <v>0</v>
      </c>
      <c r="E2599" s="18">
        <f t="shared" si="479"/>
        <v>0</v>
      </c>
    </row>
    <row r="2600" spans="1:5" ht="15" x14ac:dyDescent="0.2">
      <c r="A2600" s="7">
        <v>639014</v>
      </c>
      <c r="B2600" s="3" t="s">
        <v>148</v>
      </c>
      <c r="C2600" s="25">
        <v>0</v>
      </c>
      <c r="D2600" s="25">
        <v>0</v>
      </c>
      <c r="E2600" s="18">
        <f t="shared" si="479"/>
        <v>0</v>
      </c>
    </row>
    <row r="2601" spans="1:5" ht="15" x14ac:dyDescent="0.2">
      <c r="A2601" s="7">
        <v>639090</v>
      </c>
      <c r="B2601" s="3" t="s">
        <v>150</v>
      </c>
      <c r="C2601" s="25">
        <v>0</v>
      </c>
      <c r="D2601" s="25">
        <v>0</v>
      </c>
      <c r="E2601" s="18">
        <f t="shared" si="479"/>
        <v>0</v>
      </c>
    </row>
    <row r="2602" spans="1:5" ht="15" x14ac:dyDescent="0.2">
      <c r="A2602" s="6">
        <v>7</v>
      </c>
      <c r="B2602" s="2" t="s">
        <v>1432</v>
      </c>
      <c r="C2602" s="24">
        <f>SUM(C2603,C2773,C3206,C3267,C3340,C3378)</f>
        <v>0</v>
      </c>
      <c r="D2602" s="24">
        <f>SUM(D2603,D2773,D3206,D3267,D3340,D3378)</f>
        <v>0</v>
      </c>
      <c r="E2602" s="28">
        <f>SUM(E2603,E2773,E3206,E3267,E3340,E3378)</f>
        <v>0</v>
      </c>
    </row>
    <row r="2603" spans="1:5" ht="15" x14ac:dyDescent="0.2">
      <c r="A2603" s="6">
        <v>71</v>
      </c>
      <c r="B2603" s="2" t="s">
        <v>1433</v>
      </c>
      <c r="C2603" s="24">
        <f>SUM(C2604,C2617,C2630,C2643,C2656,C2669,C2682,C2695,C2708,C2721,C2734,C2747,C2760)</f>
        <v>0</v>
      </c>
      <c r="D2603" s="24">
        <f>SUM(D2604,D2617,D2630,D2643,D2656,D2669,D2682,D2695,D2708,D2721,D2734,D2747,D2760)</f>
        <v>0</v>
      </c>
      <c r="E2603" s="17">
        <f>SUM(E2604,E2617,E2630,E2643,E2656,E2669,E2682,E2695,E2708,E2721,E2734,E2747,E2760)</f>
        <v>0</v>
      </c>
    </row>
    <row r="2604" spans="1:5" ht="15" x14ac:dyDescent="0.2">
      <c r="A2604" s="6">
        <v>7116</v>
      </c>
      <c r="B2604" s="2" t="s">
        <v>1434</v>
      </c>
      <c r="C2604" s="24">
        <f>SUM(C2605:C2616)</f>
        <v>0</v>
      </c>
      <c r="D2604" s="24">
        <f t="shared" ref="D2604:E2604" si="480">SUM(D2605:D2616)</f>
        <v>0</v>
      </c>
      <c r="E2604" s="17">
        <f t="shared" si="480"/>
        <v>0</v>
      </c>
    </row>
    <row r="2605" spans="1:5" ht="15" x14ac:dyDescent="0.2">
      <c r="A2605" s="7">
        <v>711601</v>
      </c>
      <c r="B2605" s="3" t="s">
        <v>1435</v>
      </c>
      <c r="C2605" s="25">
        <v>0</v>
      </c>
      <c r="D2605" s="25">
        <v>0</v>
      </c>
      <c r="E2605" s="18">
        <f t="shared" ref="E2605:E2616" si="481">SUM(C2605:D2605)</f>
        <v>0</v>
      </c>
    </row>
    <row r="2606" spans="1:5" ht="15" x14ac:dyDescent="0.2">
      <c r="A2606" s="7">
        <v>711602</v>
      </c>
      <c r="B2606" s="3" t="s">
        <v>1436</v>
      </c>
      <c r="C2606" s="25">
        <v>0</v>
      </c>
      <c r="D2606" s="25">
        <v>0</v>
      </c>
      <c r="E2606" s="18">
        <f t="shared" si="481"/>
        <v>0</v>
      </c>
    </row>
    <row r="2607" spans="1:5" ht="15" x14ac:dyDescent="0.2">
      <c r="A2607" s="7">
        <v>711603</v>
      </c>
      <c r="B2607" s="3" t="s">
        <v>1437</v>
      </c>
      <c r="C2607" s="25">
        <v>0</v>
      </c>
      <c r="D2607" s="25">
        <v>0</v>
      </c>
      <c r="E2607" s="18">
        <f t="shared" si="481"/>
        <v>0</v>
      </c>
    </row>
    <row r="2608" spans="1:5" ht="15" x14ac:dyDescent="0.2">
      <c r="A2608" s="7">
        <v>711604</v>
      </c>
      <c r="B2608" s="3" t="s">
        <v>568</v>
      </c>
      <c r="C2608" s="25">
        <v>0</v>
      </c>
      <c r="D2608" s="25">
        <v>0</v>
      </c>
      <c r="E2608" s="18">
        <f t="shared" si="481"/>
        <v>0</v>
      </c>
    </row>
    <row r="2609" spans="1:5" ht="15" x14ac:dyDescent="0.2">
      <c r="A2609" s="7">
        <v>711605</v>
      </c>
      <c r="B2609" s="3" t="s">
        <v>1438</v>
      </c>
      <c r="C2609" s="25">
        <v>0</v>
      </c>
      <c r="D2609" s="25">
        <v>0</v>
      </c>
      <c r="E2609" s="18">
        <f t="shared" si="481"/>
        <v>0</v>
      </c>
    </row>
    <row r="2610" spans="1:5" ht="15" x14ac:dyDescent="0.2">
      <c r="A2610" s="7">
        <v>711606</v>
      </c>
      <c r="B2610" s="3" t="s">
        <v>569</v>
      </c>
      <c r="C2610" s="25">
        <v>0</v>
      </c>
      <c r="D2610" s="25">
        <v>0</v>
      </c>
      <c r="E2610" s="18">
        <f t="shared" si="481"/>
        <v>0</v>
      </c>
    </row>
    <row r="2611" spans="1:5" ht="15" x14ac:dyDescent="0.2">
      <c r="A2611" s="7">
        <v>711607</v>
      </c>
      <c r="B2611" s="3" t="s">
        <v>1439</v>
      </c>
      <c r="C2611" s="25">
        <v>0</v>
      </c>
      <c r="D2611" s="25">
        <v>0</v>
      </c>
      <c r="E2611" s="18">
        <f t="shared" si="481"/>
        <v>0</v>
      </c>
    </row>
    <row r="2612" spans="1:5" ht="15" x14ac:dyDescent="0.2">
      <c r="A2612" s="7">
        <v>711608</v>
      </c>
      <c r="B2612" s="3" t="s">
        <v>1440</v>
      </c>
      <c r="C2612" s="25">
        <v>0</v>
      </c>
      <c r="D2612" s="25">
        <v>0</v>
      </c>
      <c r="E2612" s="18">
        <f t="shared" si="481"/>
        <v>0</v>
      </c>
    </row>
    <row r="2613" spans="1:5" ht="15" x14ac:dyDescent="0.2">
      <c r="A2613" s="7">
        <v>711609</v>
      </c>
      <c r="B2613" s="3" t="s">
        <v>1441</v>
      </c>
      <c r="C2613" s="25">
        <v>0</v>
      </c>
      <c r="D2613" s="25">
        <v>0</v>
      </c>
      <c r="E2613" s="18">
        <f t="shared" si="481"/>
        <v>0</v>
      </c>
    </row>
    <row r="2614" spans="1:5" ht="15" x14ac:dyDescent="0.2">
      <c r="A2614" s="7">
        <v>711610</v>
      </c>
      <c r="B2614" s="3" t="s">
        <v>1442</v>
      </c>
      <c r="C2614" s="25">
        <v>0</v>
      </c>
      <c r="D2614" s="25">
        <v>0</v>
      </c>
      <c r="E2614" s="18">
        <f t="shared" si="481"/>
        <v>0</v>
      </c>
    </row>
    <row r="2615" spans="1:5" ht="15" x14ac:dyDescent="0.2">
      <c r="A2615" s="7">
        <v>711611</v>
      </c>
      <c r="B2615" s="3" t="s">
        <v>1443</v>
      </c>
      <c r="C2615" s="25">
        <v>0</v>
      </c>
      <c r="D2615" s="25">
        <v>0</v>
      </c>
      <c r="E2615" s="18">
        <f t="shared" si="481"/>
        <v>0</v>
      </c>
    </row>
    <row r="2616" spans="1:5" ht="15" x14ac:dyDescent="0.2">
      <c r="A2616" s="7">
        <v>711695</v>
      </c>
      <c r="B2616" s="3" t="s">
        <v>1444</v>
      </c>
      <c r="C2616" s="25">
        <v>0</v>
      </c>
      <c r="D2616" s="25">
        <v>0</v>
      </c>
      <c r="E2616" s="18">
        <f t="shared" si="481"/>
        <v>0</v>
      </c>
    </row>
    <row r="2617" spans="1:5" ht="15" x14ac:dyDescent="0.2">
      <c r="A2617" s="6">
        <v>7120</v>
      </c>
      <c r="B2617" s="2" t="s">
        <v>1445</v>
      </c>
      <c r="C2617" s="24">
        <f>SUM(C2618:C2629)</f>
        <v>0</v>
      </c>
      <c r="D2617" s="24">
        <f t="shared" ref="D2617:E2617" si="482">SUM(D2618:D2629)</f>
        <v>0</v>
      </c>
      <c r="E2617" s="17">
        <f t="shared" si="482"/>
        <v>0</v>
      </c>
    </row>
    <row r="2618" spans="1:5" ht="15" x14ac:dyDescent="0.2">
      <c r="A2618" s="7">
        <v>712001</v>
      </c>
      <c r="B2618" s="3" t="s">
        <v>1435</v>
      </c>
      <c r="C2618" s="25">
        <v>0</v>
      </c>
      <c r="D2618" s="25">
        <v>0</v>
      </c>
      <c r="E2618" s="18">
        <f t="shared" ref="E2618:E2629" si="483">SUM(C2618:D2618)</f>
        <v>0</v>
      </c>
    </row>
    <row r="2619" spans="1:5" ht="15" x14ac:dyDescent="0.2">
      <c r="A2619" s="7">
        <v>712002</v>
      </c>
      <c r="B2619" s="3" t="s">
        <v>1436</v>
      </c>
      <c r="C2619" s="25">
        <v>0</v>
      </c>
      <c r="D2619" s="25">
        <v>0</v>
      </c>
      <c r="E2619" s="18">
        <f t="shared" si="483"/>
        <v>0</v>
      </c>
    </row>
    <row r="2620" spans="1:5" ht="15" x14ac:dyDescent="0.2">
      <c r="A2620" s="7">
        <v>712003</v>
      </c>
      <c r="B2620" s="3" t="s">
        <v>1437</v>
      </c>
      <c r="C2620" s="25">
        <v>0</v>
      </c>
      <c r="D2620" s="25">
        <v>0</v>
      </c>
      <c r="E2620" s="18">
        <f t="shared" si="483"/>
        <v>0</v>
      </c>
    </row>
    <row r="2621" spans="1:5" ht="15" x14ac:dyDescent="0.2">
      <c r="A2621" s="7">
        <v>712004</v>
      </c>
      <c r="B2621" s="3" t="s">
        <v>568</v>
      </c>
      <c r="C2621" s="25">
        <v>0</v>
      </c>
      <c r="D2621" s="25">
        <v>0</v>
      </c>
      <c r="E2621" s="18">
        <f t="shared" si="483"/>
        <v>0</v>
      </c>
    </row>
    <row r="2622" spans="1:5" ht="15" x14ac:dyDescent="0.2">
      <c r="A2622" s="7">
        <v>712005</v>
      </c>
      <c r="B2622" s="3" t="s">
        <v>1438</v>
      </c>
      <c r="C2622" s="25">
        <v>0</v>
      </c>
      <c r="D2622" s="25">
        <v>0</v>
      </c>
      <c r="E2622" s="18">
        <f t="shared" si="483"/>
        <v>0</v>
      </c>
    </row>
    <row r="2623" spans="1:5" ht="15" x14ac:dyDescent="0.2">
      <c r="A2623" s="7">
        <v>712006</v>
      </c>
      <c r="B2623" s="3" t="s">
        <v>569</v>
      </c>
      <c r="C2623" s="25">
        <v>0</v>
      </c>
      <c r="D2623" s="25">
        <v>0</v>
      </c>
      <c r="E2623" s="18">
        <f t="shared" si="483"/>
        <v>0</v>
      </c>
    </row>
    <row r="2624" spans="1:5" ht="15" x14ac:dyDescent="0.2">
      <c r="A2624" s="7">
        <v>712007</v>
      </c>
      <c r="B2624" s="3" t="s">
        <v>1439</v>
      </c>
      <c r="C2624" s="25">
        <v>0</v>
      </c>
      <c r="D2624" s="25">
        <v>0</v>
      </c>
      <c r="E2624" s="18">
        <f t="shared" si="483"/>
        <v>0</v>
      </c>
    </row>
    <row r="2625" spans="1:5" ht="15" x14ac:dyDescent="0.2">
      <c r="A2625" s="7">
        <v>712008</v>
      </c>
      <c r="B2625" s="3" t="s">
        <v>1440</v>
      </c>
      <c r="C2625" s="25">
        <v>0</v>
      </c>
      <c r="D2625" s="25">
        <v>0</v>
      </c>
      <c r="E2625" s="18">
        <f t="shared" si="483"/>
        <v>0</v>
      </c>
    </row>
    <row r="2626" spans="1:5" ht="15" x14ac:dyDescent="0.2">
      <c r="A2626" s="7">
        <v>712009</v>
      </c>
      <c r="B2626" s="3" t="s">
        <v>1441</v>
      </c>
      <c r="C2626" s="25">
        <v>0</v>
      </c>
      <c r="D2626" s="25">
        <v>0</v>
      </c>
      <c r="E2626" s="18">
        <f t="shared" si="483"/>
        <v>0</v>
      </c>
    </row>
    <row r="2627" spans="1:5" ht="15" x14ac:dyDescent="0.2">
      <c r="A2627" s="7">
        <v>712010</v>
      </c>
      <c r="B2627" s="3" t="s">
        <v>1442</v>
      </c>
      <c r="C2627" s="25">
        <v>0</v>
      </c>
      <c r="D2627" s="25">
        <v>0</v>
      </c>
      <c r="E2627" s="18">
        <f t="shared" si="483"/>
        <v>0</v>
      </c>
    </row>
    <row r="2628" spans="1:5" ht="15" x14ac:dyDescent="0.2">
      <c r="A2628" s="7">
        <v>712011</v>
      </c>
      <c r="B2628" s="3" t="s">
        <v>1443</v>
      </c>
      <c r="C2628" s="25">
        <v>0</v>
      </c>
      <c r="D2628" s="25">
        <v>0</v>
      </c>
      <c r="E2628" s="18">
        <f t="shared" si="483"/>
        <v>0</v>
      </c>
    </row>
    <row r="2629" spans="1:5" ht="15" x14ac:dyDescent="0.2">
      <c r="A2629" s="7">
        <v>712095</v>
      </c>
      <c r="B2629" s="3" t="s">
        <v>1444</v>
      </c>
      <c r="C2629" s="25">
        <v>0</v>
      </c>
      <c r="D2629" s="25">
        <v>0</v>
      </c>
      <c r="E2629" s="18">
        <f t="shared" si="483"/>
        <v>0</v>
      </c>
    </row>
    <row r="2630" spans="1:5" ht="15" x14ac:dyDescent="0.2">
      <c r="A2630" s="6">
        <v>7122</v>
      </c>
      <c r="B2630" s="2" t="s">
        <v>1446</v>
      </c>
      <c r="C2630" s="24">
        <f>SUM(C2631:C2642)</f>
        <v>0</v>
      </c>
      <c r="D2630" s="24">
        <f t="shared" ref="D2630:E2630" si="484">SUM(D2631:D2642)</f>
        <v>0</v>
      </c>
      <c r="E2630" s="17">
        <f t="shared" si="484"/>
        <v>0</v>
      </c>
    </row>
    <row r="2631" spans="1:5" ht="15" x14ac:dyDescent="0.2">
      <c r="A2631" s="7">
        <v>712201</v>
      </c>
      <c r="B2631" s="3" t="s">
        <v>1435</v>
      </c>
      <c r="C2631" s="25">
        <v>0</v>
      </c>
      <c r="D2631" s="25">
        <v>0</v>
      </c>
      <c r="E2631" s="18">
        <f t="shared" ref="E2631:E2642" si="485">SUM(C2631:D2631)</f>
        <v>0</v>
      </c>
    </row>
    <row r="2632" spans="1:5" ht="15" x14ac:dyDescent="0.2">
      <c r="A2632" s="7">
        <v>712202</v>
      </c>
      <c r="B2632" s="3" t="s">
        <v>1436</v>
      </c>
      <c r="C2632" s="25">
        <v>0</v>
      </c>
      <c r="D2632" s="25">
        <v>0</v>
      </c>
      <c r="E2632" s="18">
        <f t="shared" si="485"/>
        <v>0</v>
      </c>
    </row>
    <row r="2633" spans="1:5" ht="15" x14ac:dyDescent="0.2">
      <c r="A2633" s="7">
        <v>712203</v>
      </c>
      <c r="B2633" s="3" t="s">
        <v>1437</v>
      </c>
      <c r="C2633" s="25">
        <v>0</v>
      </c>
      <c r="D2633" s="25">
        <v>0</v>
      </c>
      <c r="E2633" s="18">
        <f t="shared" si="485"/>
        <v>0</v>
      </c>
    </row>
    <row r="2634" spans="1:5" ht="15" x14ac:dyDescent="0.2">
      <c r="A2634" s="7">
        <v>712204</v>
      </c>
      <c r="B2634" s="3" t="s">
        <v>568</v>
      </c>
      <c r="C2634" s="25">
        <v>0</v>
      </c>
      <c r="D2634" s="25">
        <v>0</v>
      </c>
      <c r="E2634" s="18">
        <f t="shared" si="485"/>
        <v>0</v>
      </c>
    </row>
    <row r="2635" spans="1:5" ht="15" x14ac:dyDescent="0.2">
      <c r="A2635" s="7">
        <v>712205</v>
      </c>
      <c r="B2635" s="3" t="s">
        <v>1438</v>
      </c>
      <c r="C2635" s="25">
        <v>0</v>
      </c>
      <c r="D2635" s="25">
        <v>0</v>
      </c>
      <c r="E2635" s="18">
        <f t="shared" si="485"/>
        <v>0</v>
      </c>
    </row>
    <row r="2636" spans="1:5" ht="15" x14ac:dyDescent="0.2">
      <c r="A2636" s="7">
        <v>712206</v>
      </c>
      <c r="B2636" s="3" t="s">
        <v>569</v>
      </c>
      <c r="C2636" s="25">
        <v>0</v>
      </c>
      <c r="D2636" s="25">
        <v>0</v>
      </c>
      <c r="E2636" s="18">
        <f t="shared" si="485"/>
        <v>0</v>
      </c>
    </row>
    <row r="2637" spans="1:5" ht="15" x14ac:dyDescent="0.2">
      <c r="A2637" s="7">
        <v>712207</v>
      </c>
      <c r="B2637" s="3" t="s">
        <v>1439</v>
      </c>
      <c r="C2637" s="25">
        <v>0</v>
      </c>
      <c r="D2637" s="25">
        <v>0</v>
      </c>
      <c r="E2637" s="18">
        <f t="shared" si="485"/>
        <v>0</v>
      </c>
    </row>
    <row r="2638" spans="1:5" ht="15" x14ac:dyDescent="0.2">
      <c r="A2638" s="7">
        <v>712208</v>
      </c>
      <c r="B2638" s="3" t="s">
        <v>1440</v>
      </c>
      <c r="C2638" s="25">
        <v>0</v>
      </c>
      <c r="D2638" s="25">
        <v>0</v>
      </c>
      <c r="E2638" s="18">
        <f t="shared" si="485"/>
        <v>0</v>
      </c>
    </row>
    <row r="2639" spans="1:5" ht="15" x14ac:dyDescent="0.2">
      <c r="A2639" s="7">
        <v>712209</v>
      </c>
      <c r="B2639" s="3" t="s">
        <v>1441</v>
      </c>
      <c r="C2639" s="25">
        <v>0</v>
      </c>
      <c r="D2639" s="25">
        <v>0</v>
      </c>
      <c r="E2639" s="18">
        <f t="shared" si="485"/>
        <v>0</v>
      </c>
    </row>
    <row r="2640" spans="1:5" ht="15" x14ac:dyDescent="0.2">
      <c r="A2640" s="7">
        <v>712210</v>
      </c>
      <c r="B2640" s="3" t="s">
        <v>1442</v>
      </c>
      <c r="C2640" s="25">
        <v>0</v>
      </c>
      <c r="D2640" s="25">
        <v>0</v>
      </c>
      <c r="E2640" s="18">
        <f t="shared" si="485"/>
        <v>0</v>
      </c>
    </row>
    <row r="2641" spans="1:5" ht="15" x14ac:dyDescent="0.2">
      <c r="A2641" s="7">
        <v>712211</v>
      </c>
      <c r="B2641" s="3" t="s">
        <v>1443</v>
      </c>
      <c r="C2641" s="25">
        <v>0</v>
      </c>
      <c r="D2641" s="25">
        <v>0</v>
      </c>
      <c r="E2641" s="18">
        <f t="shared" si="485"/>
        <v>0</v>
      </c>
    </row>
    <row r="2642" spans="1:5" ht="15" x14ac:dyDescent="0.2">
      <c r="A2642" s="7">
        <v>712295</v>
      </c>
      <c r="B2642" s="3" t="s">
        <v>1444</v>
      </c>
      <c r="C2642" s="25">
        <v>0</v>
      </c>
      <c r="D2642" s="25">
        <v>0</v>
      </c>
      <c r="E2642" s="18">
        <f t="shared" si="485"/>
        <v>0</v>
      </c>
    </row>
    <row r="2643" spans="1:5" ht="15" x14ac:dyDescent="0.2">
      <c r="A2643" s="6">
        <v>7123</v>
      </c>
      <c r="B2643" s="2" t="s">
        <v>1447</v>
      </c>
      <c r="C2643" s="24">
        <f>SUM(C2644:C2655)</f>
        <v>0</v>
      </c>
      <c r="D2643" s="24">
        <f t="shared" ref="D2643:E2643" si="486">SUM(D2644:D2655)</f>
        <v>0</v>
      </c>
      <c r="E2643" s="17">
        <f t="shared" si="486"/>
        <v>0</v>
      </c>
    </row>
    <row r="2644" spans="1:5" ht="15" x14ac:dyDescent="0.2">
      <c r="A2644" s="7">
        <v>712301</v>
      </c>
      <c r="B2644" s="3" t="s">
        <v>1435</v>
      </c>
      <c r="C2644" s="25">
        <v>0</v>
      </c>
      <c r="D2644" s="25">
        <v>0</v>
      </c>
      <c r="E2644" s="18">
        <f t="shared" ref="E2644:E2655" si="487">SUM(C2644:D2644)</f>
        <v>0</v>
      </c>
    </row>
    <row r="2645" spans="1:5" ht="15" x14ac:dyDescent="0.2">
      <c r="A2645" s="7">
        <v>712302</v>
      </c>
      <c r="B2645" s="3" t="s">
        <v>1436</v>
      </c>
      <c r="C2645" s="25">
        <v>0</v>
      </c>
      <c r="D2645" s="25">
        <v>0</v>
      </c>
      <c r="E2645" s="18">
        <f t="shared" si="487"/>
        <v>0</v>
      </c>
    </row>
    <row r="2646" spans="1:5" ht="15" x14ac:dyDescent="0.2">
      <c r="A2646" s="7">
        <v>712303</v>
      </c>
      <c r="B2646" s="3" t="s">
        <v>1437</v>
      </c>
      <c r="C2646" s="25">
        <v>0</v>
      </c>
      <c r="D2646" s="25">
        <v>0</v>
      </c>
      <c r="E2646" s="18">
        <f t="shared" si="487"/>
        <v>0</v>
      </c>
    </row>
    <row r="2647" spans="1:5" ht="15" x14ac:dyDescent="0.2">
      <c r="A2647" s="7">
        <v>712304</v>
      </c>
      <c r="B2647" s="3" t="s">
        <v>568</v>
      </c>
      <c r="C2647" s="25">
        <v>0</v>
      </c>
      <c r="D2647" s="25">
        <v>0</v>
      </c>
      <c r="E2647" s="18">
        <f t="shared" si="487"/>
        <v>0</v>
      </c>
    </row>
    <row r="2648" spans="1:5" ht="15" x14ac:dyDescent="0.2">
      <c r="A2648" s="7">
        <v>712305</v>
      </c>
      <c r="B2648" s="3" t="s">
        <v>1438</v>
      </c>
      <c r="C2648" s="25">
        <v>0</v>
      </c>
      <c r="D2648" s="25">
        <v>0</v>
      </c>
      <c r="E2648" s="18">
        <f t="shared" si="487"/>
        <v>0</v>
      </c>
    </row>
    <row r="2649" spans="1:5" ht="15" x14ac:dyDescent="0.2">
      <c r="A2649" s="7">
        <v>712306</v>
      </c>
      <c r="B2649" s="3" t="s">
        <v>569</v>
      </c>
      <c r="C2649" s="25">
        <v>0</v>
      </c>
      <c r="D2649" s="25">
        <v>0</v>
      </c>
      <c r="E2649" s="18">
        <f t="shared" si="487"/>
        <v>0</v>
      </c>
    </row>
    <row r="2650" spans="1:5" ht="15" x14ac:dyDescent="0.2">
      <c r="A2650" s="7">
        <v>712307</v>
      </c>
      <c r="B2650" s="3" t="s">
        <v>1439</v>
      </c>
      <c r="C2650" s="25">
        <v>0</v>
      </c>
      <c r="D2650" s="25">
        <v>0</v>
      </c>
      <c r="E2650" s="18">
        <f t="shared" si="487"/>
        <v>0</v>
      </c>
    </row>
    <row r="2651" spans="1:5" ht="15" x14ac:dyDescent="0.2">
      <c r="A2651" s="7">
        <v>712308</v>
      </c>
      <c r="B2651" s="3" t="s">
        <v>1440</v>
      </c>
      <c r="C2651" s="25">
        <v>0</v>
      </c>
      <c r="D2651" s="25">
        <v>0</v>
      </c>
      <c r="E2651" s="18">
        <f t="shared" si="487"/>
        <v>0</v>
      </c>
    </row>
    <row r="2652" spans="1:5" ht="15" x14ac:dyDescent="0.2">
      <c r="A2652" s="7">
        <v>712309</v>
      </c>
      <c r="B2652" s="3" t="s">
        <v>1441</v>
      </c>
      <c r="C2652" s="25">
        <v>0</v>
      </c>
      <c r="D2652" s="25">
        <v>0</v>
      </c>
      <c r="E2652" s="18">
        <f t="shared" si="487"/>
        <v>0</v>
      </c>
    </row>
    <row r="2653" spans="1:5" ht="15" x14ac:dyDescent="0.2">
      <c r="A2653" s="7">
        <v>712310</v>
      </c>
      <c r="B2653" s="3" t="s">
        <v>1442</v>
      </c>
      <c r="C2653" s="25">
        <v>0</v>
      </c>
      <c r="D2653" s="25">
        <v>0</v>
      </c>
      <c r="E2653" s="18">
        <f t="shared" si="487"/>
        <v>0</v>
      </c>
    </row>
    <row r="2654" spans="1:5" ht="15" x14ac:dyDescent="0.2">
      <c r="A2654" s="7">
        <v>712311</v>
      </c>
      <c r="B2654" s="3" t="s">
        <v>1443</v>
      </c>
      <c r="C2654" s="25">
        <v>0</v>
      </c>
      <c r="D2654" s="25">
        <v>0</v>
      </c>
      <c r="E2654" s="18">
        <f t="shared" si="487"/>
        <v>0</v>
      </c>
    </row>
    <row r="2655" spans="1:5" ht="15" x14ac:dyDescent="0.2">
      <c r="A2655" s="7">
        <v>712395</v>
      </c>
      <c r="B2655" s="3" t="s">
        <v>1444</v>
      </c>
      <c r="C2655" s="25">
        <v>0</v>
      </c>
      <c r="D2655" s="25">
        <v>0</v>
      </c>
      <c r="E2655" s="18">
        <f t="shared" si="487"/>
        <v>0</v>
      </c>
    </row>
    <row r="2656" spans="1:5" ht="15" x14ac:dyDescent="0.2">
      <c r="A2656" s="6">
        <v>7124</v>
      </c>
      <c r="B2656" s="2" t="s">
        <v>1448</v>
      </c>
      <c r="C2656" s="24">
        <f>SUM(C2657:C2668)</f>
        <v>0</v>
      </c>
      <c r="D2656" s="24">
        <f t="shared" ref="D2656:E2656" si="488">SUM(D2657:D2668)</f>
        <v>0</v>
      </c>
      <c r="E2656" s="17">
        <f t="shared" si="488"/>
        <v>0</v>
      </c>
    </row>
    <row r="2657" spans="1:5" ht="15" x14ac:dyDescent="0.2">
      <c r="A2657" s="7">
        <v>712401</v>
      </c>
      <c r="B2657" s="3" t="s">
        <v>1435</v>
      </c>
      <c r="C2657" s="25">
        <v>0</v>
      </c>
      <c r="D2657" s="25">
        <v>0</v>
      </c>
      <c r="E2657" s="18">
        <f t="shared" ref="E2657:E2668" si="489">SUM(C2657:D2657)</f>
        <v>0</v>
      </c>
    </row>
    <row r="2658" spans="1:5" ht="15" x14ac:dyDescent="0.2">
      <c r="A2658" s="7">
        <v>712402</v>
      </c>
      <c r="B2658" s="3" t="s">
        <v>1436</v>
      </c>
      <c r="C2658" s="25">
        <v>0</v>
      </c>
      <c r="D2658" s="25">
        <v>0</v>
      </c>
      <c r="E2658" s="18">
        <f t="shared" si="489"/>
        <v>0</v>
      </c>
    </row>
    <row r="2659" spans="1:5" ht="15" x14ac:dyDescent="0.2">
      <c r="A2659" s="7">
        <v>712403</v>
      </c>
      <c r="B2659" s="3" t="s">
        <v>1437</v>
      </c>
      <c r="C2659" s="25">
        <v>0</v>
      </c>
      <c r="D2659" s="25">
        <v>0</v>
      </c>
      <c r="E2659" s="18">
        <f t="shared" si="489"/>
        <v>0</v>
      </c>
    </row>
    <row r="2660" spans="1:5" ht="15" x14ac:dyDescent="0.2">
      <c r="A2660" s="7">
        <v>712404</v>
      </c>
      <c r="B2660" s="3" t="s">
        <v>568</v>
      </c>
      <c r="C2660" s="25">
        <v>0</v>
      </c>
      <c r="D2660" s="25">
        <v>0</v>
      </c>
      <c r="E2660" s="18">
        <f t="shared" si="489"/>
        <v>0</v>
      </c>
    </row>
    <row r="2661" spans="1:5" ht="15" x14ac:dyDescent="0.2">
      <c r="A2661" s="7">
        <v>712405</v>
      </c>
      <c r="B2661" s="3" t="s">
        <v>1438</v>
      </c>
      <c r="C2661" s="25">
        <v>0</v>
      </c>
      <c r="D2661" s="25">
        <v>0</v>
      </c>
      <c r="E2661" s="18">
        <f t="shared" si="489"/>
        <v>0</v>
      </c>
    </row>
    <row r="2662" spans="1:5" ht="15" x14ac:dyDescent="0.2">
      <c r="A2662" s="7">
        <v>712406</v>
      </c>
      <c r="B2662" s="3" t="s">
        <v>569</v>
      </c>
      <c r="C2662" s="25">
        <v>0</v>
      </c>
      <c r="D2662" s="25">
        <v>0</v>
      </c>
      <c r="E2662" s="18">
        <f t="shared" si="489"/>
        <v>0</v>
      </c>
    </row>
    <row r="2663" spans="1:5" ht="15" x14ac:dyDescent="0.2">
      <c r="A2663" s="7">
        <v>712407</v>
      </c>
      <c r="B2663" s="3" t="s">
        <v>1439</v>
      </c>
      <c r="C2663" s="25">
        <v>0</v>
      </c>
      <c r="D2663" s="25">
        <v>0</v>
      </c>
      <c r="E2663" s="18">
        <f t="shared" si="489"/>
        <v>0</v>
      </c>
    </row>
    <row r="2664" spans="1:5" ht="15" x14ac:dyDescent="0.2">
      <c r="A2664" s="7">
        <v>712408</v>
      </c>
      <c r="B2664" s="3" t="s">
        <v>1440</v>
      </c>
      <c r="C2664" s="25">
        <v>0</v>
      </c>
      <c r="D2664" s="25">
        <v>0</v>
      </c>
      <c r="E2664" s="18">
        <f t="shared" si="489"/>
        <v>0</v>
      </c>
    </row>
    <row r="2665" spans="1:5" ht="15" x14ac:dyDescent="0.2">
      <c r="A2665" s="7">
        <v>712409</v>
      </c>
      <c r="B2665" s="3" t="s">
        <v>1441</v>
      </c>
      <c r="C2665" s="25">
        <v>0</v>
      </c>
      <c r="D2665" s="25">
        <v>0</v>
      </c>
      <c r="E2665" s="18">
        <f t="shared" si="489"/>
        <v>0</v>
      </c>
    </row>
    <row r="2666" spans="1:5" ht="15" x14ac:dyDescent="0.2">
      <c r="A2666" s="7">
        <v>712410</v>
      </c>
      <c r="B2666" s="3" t="s">
        <v>1442</v>
      </c>
      <c r="C2666" s="25">
        <v>0</v>
      </c>
      <c r="D2666" s="25">
        <v>0</v>
      </c>
      <c r="E2666" s="18">
        <f t="shared" si="489"/>
        <v>0</v>
      </c>
    </row>
    <row r="2667" spans="1:5" ht="15" x14ac:dyDescent="0.2">
      <c r="A2667" s="7">
        <v>712411</v>
      </c>
      <c r="B2667" s="3" t="s">
        <v>1443</v>
      </c>
      <c r="C2667" s="25">
        <v>0</v>
      </c>
      <c r="D2667" s="25">
        <v>0</v>
      </c>
      <c r="E2667" s="18">
        <f t="shared" si="489"/>
        <v>0</v>
      </c>
    </row>
    <row r="2668" spans="1:5" ht="15" x14ac:dyDescent="0.2">
      <c r="A2668" s="7">
        <v>712495</v>
      </c>
      <c r="B2668" s="3" t="s">
        <v>1444</v>
      </c>
      <c r="C2668" s="25">
        <v>0</v>
      </c>
      <c r="D2668" s="25">
        <v>0</v>
      </c>
      <c r="E2668" s="18">
        <f t="shared" si="489"/>
        <v>0</v>
      </c>
    </row>
    <row r="2669" spans="1:5" ht="15" x14ac:dyDescent="0.2">
      <c r="A2669" s="6">
        <v>7125</v>
      </c>
      <c r="B2669" s="2" t="s">
        <v>1449</v>
      </c>
      <c r="C2669" s="24">
        <f>SUM(C2670:C2681)</f>
        <v>0</v>
      </c>
      <c r="D2669" s="24">
        <f t="shared" ref="D2669:E2669" si="490">SUM(D2670:D2681)</f>
        <v>0</v>
      </c>
      <c r="E2669" s="17">
        <f t="shared" si="490"/>
        <v>0</v>
      </c>
    </row>
    <row r="2670" spans="1:5" ht="15" x14ac:dyDescent="0.2">
      <c r="A2670" s="7">
        <v>712501</v>
      </c>
      <c r="B2670" s="3" t="s">
        <v>1435</v>
      </c>
      <c r="C2670" s="25">
        <v>0</v>
      </c>
      <c r="D2670" s="25">
        <v>0</v>
      </c>
      <c r="E2670" s="18">
        <f t="shared" ref="E2670:E2681" si="491">SUM(C2670:D2670)</f>
        <v>0</v>
      </c>
    </row>
    <row r="2671" spans="1:5" ht="15" x14ac:dyDescent="0.2">
      <c r="A2671" s="7">
        <v>712502</v>
      </c>
      <c r="B2671" s="3" t="s">
        <v>1436</v>
      </c>
      <c r="C2671" s="25">
        <v>0</v>
      </c>
      <c r="D2671" s="25">
        <v>0</v>
      </c>
      <c r="E2671" s="18">
        <f t="shared" si="491"/>
        <v>0</v>
      </c>
    </row>
    <row r="2672" spans="1:5" ht="15" x14ac:dyDescent="0.2">
      <c r="A2672" s="7">
        <v>712503</v>
      </c>
      <c r="B2672" s="3" t="s">
        <v>1437</v>
      </c>
      <c r="C2672" s="25">
        <v>0</v>
      </c>
      <c r="D2672" s="25">
        <v>0</v>
      </c>
      <c r="E2672" s="18">
        <f t="shared" si="491"/>
        <v>0</v>
      </c>
    </row>
    <row r="2673" spans="1:5" ht="15" x14ac:dyDescent="0.2">
      <c r="A2673" s="7">
        <v>712504</v>
      </c>
      <c r="B2673" s="3" t="s">
        <v>568</v>
      </c>
      <c r="C2673" s="25">
        <v>0</v>
      </c>
      <c r="D2673" s="25">
        <v>0</v>
      </c>
      <c r="E2673" s="18">
        <f t="shared" si="491"/>
        <v>0</v>
      </c>
    </row>
    <row r="2674" spans="1:5" ht="15" x14ac:dyDescent="0.2">
      <c r="A2674" s="7">
        <v>712505</v>
      </c>
      <c r="B2674" s="3" t="s">
        <v>1438</v>
      </c>
      <c r="C2674" s="25">
        <v>0</v>
      </c>
      <c r="D2674" s="25">
        <v>0</v>
      </c>
      <c r="E2674" s="18">
        <f t="shared" si="491"/>
        <v>0</v>
      </c>
    </row>
    <row r="2675" spans="1:5" ht="15" x14ac:dyDescent="0.2">
      <c r="A2675" s="7">
        <v>712506</v>
      </c>
      <c r="B2675" s="3" t="s">
        <v>569</v>
      </c>
      <c r="C2675" s="25">
        <v>0</v>
      </c>
      <c r="D2675" s="25">
        <v>0</v>
      </c>
      <c r="E2675" s="18">
        <f t="shared" si="491"/>
        <v>0</v>
      </c>
    </row>
    <row r="2676" spans="1:5" ht="15" x14ac:dyDescent="0.2">
      <c r="A2676" s="7">
        <v>712507</v>
      </c>
      <c r="B2676" s="3" t="s">
        <v>1439</v>
      </c>
      <c r="C2676" s="25">
        <v>0</v>
      </c>
      <c r="D2676" s="25">
        <v>0</v>
      </c>
      <c r="E2676" s="18">
        <f t="shared" si="491"/>
        <v>0</v>
      </c>
    </row>
    <row r="2677" spans="1:5" ht="15" x14ac:dyDescent="0.2">
      <c r="A2677" s="7">
        <v>712508</v>
      </c>
      <c r="B2677" s="3" t="s">
        <v>1440</v>
      </c>
      <c r="C2677" s="25">
        <v>0</v>
      </c>
      <c r="D2677" s="25">
        <v>0</v>
      </c>
      <c r="E2677" s="18">
        <f t="shared" si="491"/>
        <v>0</v>
      </c>
    </row>
    <row r="2678" spans="1:5" ht="15" x14ac:dyDescent="0.2">
      <c r="A2678" s="7">
        <v>712509</v>
      </c>
      <c r="B2678" s="3" t="s">
        <v>1441</v>
      </c>
      <c r="C2678" s="25">
        <v>0</v>
      </c>
      <c r="D2678" s="25">
        <v>0</v>
      </c>
      <c r="E2678" s="18">
        <f t="shared" si="491"/>
        <v>0</v>
      </c>
    </row>
    <row r="2679" spans="1:5" ht="15" x14ac:dyDescent="0.2">
      <c r="A2679" s="7">
        <v>712510</v>
      </c>
      <c r="B2679" s="3" t="s">
        <v>1442</v>
      </c>
      <c r="C2679" s="25">
        <v>0</v>
      </c>
      <c r="D2679" s="25">
        <v>0</v>
      </c>
      <c r="E2679" s="18">
        <f t="shared" si="491"/>
        <v>0</v>
      </c>
    </row>
    <row r="2680" spans="1:5" ht="15" x14ac:dyDescent="0.2">
      <c r="A2680" s="7">
        <v>712511</v>
      </c>
      <c r="B2680" s="3" t="s">
        <v>1443</v>
      </c>
      <c r="C2680" s="25">
        <v>0</v>
      </c>
      <c r="D2680" s="25">
        <v>0</v>
      </c>
      <c r="E2680" s="18">
        <f t="shared" si="491"/>
        <v>0</v>
      </c>
    </row>
    <row r="2681" spans="1:5" ht="15" x14ac:dyDescent="0.2">
      <c r="A2681" s="7">
        <v>712595</v>
      </c>
      <c r="B2681" s="3" t="s">
        <v>1444</v>
      </c>
      <c r="C2681" s="25">
        <v>0</v>
      </c>
      <c r="D2681" s="25">
        <v>0</v>
      </c>
      <c r="E2681" s="18">
        <f t="shared" si="491"/>
        <v>0</v>
      </c>
    </row>
    <row r="2682" spans="1:5" ht="15" x14ac:dyDescent="0.2">
      <c r="A2682" s="6">
        <v>7126</v>
      </c>
      <c r="B2682" s="2" t="s">
        <v>1450</v>
      </c>
      <c r="C2682" s="24">
        <f>SUM(C2683:C2694)</f>
        <v>0</v>
      </c>
      <c r="D2682" s="24">
        <f t="shared" ref="D2682:E2682" si="492">SUM(D2683:D2694)</f>
        <v>0</v>
      </c>
      <c r="E2682" s="17">
        <f t="shared" si="492"/>
        <v>0</v>
      </c>
    </row>
    <row r="2683" spans="1:5" ht="15" x14ac:dyDescent="0.2">
      <c r="A2683" s="7">
        <v>712601</v>
      </c>
      <c r="B2683" s="3" t="s">
        <v>1435</v>
      </c>
      <c r="C2683" s="25">
        <v>0</v>
      </c>
      <c r="D2683" s="25">
        <v>0</v>
      </c>
      <c r="E2683" s="18">
        <f t="shared" ref="E2683:E2694" si="493">SUM(C2683:D2683)</f>
        <v>0</v>
      </c>
    </row>
    <row r="2684" spans="1:5" ht="15" x14ac:dyDescent="0.2">
      <c r="A2684" s="7">
        <v>712602</v>
      </c>
      <c r="B2684" s="3" t="s">
        <v>1436</v>
      </c>
      <c r="C2684" s="25">
        <v>0</v>
      </c>
      <c r="D2684" s="25">
        <v>0</v>
      </c>
      <c r="E2684" s="18">
        <f t="shared" si="493"/>
        <v>0</v>
      </c>
    </row>
    <row r="2685" spans="1:5" ht="15" x14ac:dyDescent="0.2">
      <c r="A2685" s="7">
        <v>712603</v>
      </c>
      <c r="B2685" s="3" t="s">
        <v>1437</v>
      </c>
      <c r="C2685" s="25">
        <v>0</v>
      </c>
      <c r="D2685" s="25">
        <v>0</v>
      </c>
      <c r="E2685" s="18">
        <f t="shared" si="493"/>
        <v>0</v>
      </c>
    </row>
    <row r="2686" spans="1:5" ht="15" x14ac:dyDescent="0.2">
      <c r="A2686" s="7">
        <v>712604</v>
      </c>
      <c r="B2686" s="3" t="s">
        <v>568</v>
      </c>
      <c r="C2686" s="25">
        <v>0</v>
      </c>
      <c r="D2686" s="25">
        <v>0</v>
      </c>
      <c r="E2686" s="18">
        <f t="shared" si="493"/>
        <v>0</v>
      </c>
    </row>
    <row r="2687" spans="1:5" ht="15" x14ac:dyDescent="0.2">
      <c r="A2687" s="7">
        <v>712605</v>
      </c>
      <c r="B2687" s="3" t="s">
        <v>1438</v>
      </c>
      <c r="C2687" s="25">
        <v>0</v>
      </c>
      <c r="D2687" s="25">
        <v>0</v>
      </c>
      <c r="E2687" s="18">
        <f t="shared" si="493"/>
        <v>0</v>
      </c>
    </row>
    <row r="2688" spans="1:5" ht="15" x14ac:dyDescent="0.2">
      <c r="A2688" s="7">
        <v>712606</v>
      </c>
      <c r="B2688" s="3" t="s">
        <v>569</v>
      </c>
      <c r="C2688" s="25">
        <v>0</v>
      </c>
      <c r="D2688" s="25">
        <v>0</v>
      </c>
      <c r="E2688" s="18">
        <f t="shared" si="493"/>
        <v>0</v>
      </c>
    </row>
    <row r="2689" spans="1:5" ht="15" x14ac:dyDescent="0.2">
      <c r="A2689" s="7">
        <v>712607</v>
      </c>
      <c r="B2689" s="3" t="s">
        <v>1439</v>
      </c>
      <c r="C2689" s="25">
        <v>0</v>
      </c>
      <c r="D2689" s="25">
        <v>0</v>
      </c>
      <c r="E2689" s="18">
        <f t="shared" si="493"/>
        <v>0</v>
      </c>
    </row>
    <row r="2690" spans="1:5" ht="15" x14ac:dyDescent="0.2">
      <c r="A2690" s="7">
        <v>712608</v>
      </c>
      <c r="B2690" s="3" t="s">
        <v>1440</v>
      </c>
      <c r="C2690" s="25">
        <v>0</v>
      </c>
      <c r="D2690" s="25">
        <v>0</v>
      </c>
      <c r="E2690" s="18">
        <f t="shared" si="493"/>
        <v>0</v>
      </c>
    </row>
    <row r="2691" spans="1:5" ht="15" x14ac:dyDescent="0.2">
      <c r="A2691" s="7">
        <v>712609</v>
      </c>
      <c r="B2691" s="3" t="s">
        <v>1441</v>
      </c>
      <c r="C2691" s="25">
        <v>0</v>
      </c>
      <c r="D2691" s="25">
        <v>0</v>
      </c>
      <c r="E2691" s="18">
        <f t="shared" si="493"/>
        <v>0</v>
      </c>
    </row>
    <row r="2692" spans="1:5" ht="15" x14ac:dyDescent="0.2">
      <c r="A2692" s="7">
        <v>712610</v>
      </c>
      <c r="B2692" s="3" t="s">
        <v>1442</v>
      </c>
      <c r="C2692" s="25">
        <v>0</v>
      </c>
      <c r="D2692" s="25">
        <v>0</v>
      </c>
      <c r="E2692" s="18">
        <f t="shared" si="493"/>
        <v>0</v>
      </c>
    </row>
    <row r="2693" spans="1:5" ht="15" x14ac:dyDescent="0.2">
      <c r="A2693" s="7">
        <v>712611</v>
      </c>
      <c r="B2693" s="3" t="s">
        <v>1443</v>
      </c>
      <c r="C2693" s="25">
        <v>0</v>
      </c>
      <c r="D2693" s="25">
        <v>0</v>
      </c>
      <c r="E2693" s="18">
        <f t="shared" si="493"/>
        <v>0</v>
      </c>
    </row>
    <row r="2694" spans="1:5" ht="15" x14ac:dyDescent="0.2">
      <c r="A2694" s="7">
        <v>712695</v>
      </c>
      <c r="B2694" s="3" t="s">
        <v>1444</v>
      </c>
      <c r="C2694" s="25">
        <v>0</v>
      </c>
      <c r="D2694" s="25">
        <v>0</v>
      </c>
      <c r="E2694" s="18">
        <f t="shared" si="493"/>
        <v>0</v>
      </c>
    </row>
    <row r="2695" spans="1:5" ht="15" x14ac:dyDescent="0.2">
      <c r="A2695" s="6">
        <v>7127</v>
      </c>
      <c r="B2695" s="2" t="s">
        <v>1451</v>
      </c>
      <c r="C2695" s="24">
        <f>SUM(C2696:C2707)</f>
        <v>0</v>
      </c>
      <c r="D2695" s="24">
        <f t="shared" ref="D2695:E2695" si="494">SUM(D2696:D2707)</f>
        <v>0</v>
      </c>
      <c r="E2695" s="17">
        <f t="shared" si="494"/>
        <v>0</v>
      </c>
    </row>
    <row r="2696" spans="1:5" ht="15" x14ac:dyDescent="0.2">
      <c r="A2696" s="7">
        <v>712701</v>
      </c>
      <c r="B2696" s="3" t="s">
        <v>1435</v>
      </c>
      <c r="C2696" s="25">
        <v>0</v>
      </c>
      <c r="D2696" s="25">
        <v>0</v>
      </c>
      <c r="E2696" s="18">
        <f t="shared" ref="E2696:E2707" si="495">SUM(C2696:D2696)</f>
        <v>0</v>
      </c>
    </row>
    <row r="2697" spans="1:5" ht="15" x14ac:dyDescent="0.2">
      <c r="A2697" s="7">
        <v>712702</v>
      </c>
      <c r="B2697" s="3" t="s">
        <v>1436</v>
      </c>
      <c r="C2697" s="25">
        <v>0</v>
      </c>
      <c r="D2697" s="25">
        <v>0</v>
      </c>
      <c r="E2697" s="18">
        <f t="shared" si="495"/>
        <v>0</v>
      </c>
    </row>
    <row r="2698" spans="1:5" ht="15" x14ac:dyDescent="0.2">
      <c r="A2698" s="7">
        <v>712703</v>
      </c>
      <c r="B2698" s="3" t="s">
        <v>1437</v>
      </c>
      <c r="C2698" s="25">
        <v>0</v>
      </c>
      <c r="D2698" s="25">
        <v>0</v>
      </c>
      <c r="E2698" s="18">
        <f t="shared" si="495"/>
        <v>0</v>
      </c>
    </row>
    <row r="2699" spans="1:5" ht="15" x14ac:dyDescent="0.2">
      <c r="A2699" s="7">
        <v>712704</v>
      </c>
      <c r="B2699" s="3" t="s">
        <v>568</v>
      </c>
      <c r="C2699" s="25">
        <v>0</v>
      </c>
      <c r="D2699" s="25">
        <v>0</v>
      </c>
      <c r="E2699" s="18">
        <f t="shared" si="495"/>
        <v>0</v>
      </c>
    </row>
    <row r="2700" spans="1:5" ht="15" x14ac:dyDescent="0.2">
      <c r="A2700" s="7">
        <v>712705</v>
      </c>
      <c r="B2700" s="3" t="s">
        <v>1438</v>
      </c>
      <c r="C2700" s="25">
        <v>0</v>
      </c>
      <c r="D2700" s="25">
        <v>0</v>
      </c>
      <c r="E2700" s="18">
        <f t="shared" si="495"/>
        <v>0</v>
      </c>
    </row>
    <row r="2701" spans="1:5" ht="15" x14ac:dyDescent="0.2">
      <c r="A2701" s="7">
        <v>712706</v>
      </c>
      <c r="B2701" s="3" t="s">
        <v>569</v>
      </c>
      <c r="C2701" s="25">
        <v>0</v>
      </c>
      <c r="D2701" s="25">
        <v>0</v>
      </c>
      <c r="E2701" s="18">
        <f t="shared" si="495"/>
        <v>0</v>
      </c>
    </row>
    <row r="2702" spans="1:5" ht="15" x14ac:dyDescent="0.2">
      <c r="A2702" s="7">
        <v>712707</v>
      </c>
      <c r="B2702" s="3" t="s">
        <v>1439</v>
      </c>
      <c r="C2702" s="25">
        <v>0</v>
      </c>
      <c r="D2702" s="25">
        <v>0</v>
      </c>
      <c r="E2702" s="18">
        <f t="shared" si="495"/>
        <v>0</v>
      </c>
    </row>
    <row r="2703" spans="1:5" ht="15" x14ac:dyDescent="0.2">
      <c r="A2703" s="7">
        <v>712708</v>
      </c>
      <c r="B2703" s="3" t="s">
        <v>1440</v>
      </c>
      <c r="C2703" s="25">
        <v>0</v>
      </c>
      <c r="D2703" s="25">
        <v>0</v>
      </c>
      <c r="E2703" s="18">
        <f t="shared" si="495"/>
        <v>0</v>
      </c>
    </row>
    <row r="2704" spans="1:5" ht="15" x14ac:dyDescent="0.2">
      <c r="A2704" s="7">
        <v>712709</v>
      </c>
      <c r="B2704" s="3" t="s">
        <v>1441</v>
      </c>
      <c r="C2704" s="25">
        <v>0</v>
      </c>
      <c r="D2704" s="25">
        <v>0</v>
      </c>
      <c r="E2704" s="18">
        <f t="shared" si="495"/>
        <v>0</v>
      </c>
    </row>
    <row r="2705" spans="1:5" ht="15" x14ac:dyDescent="0.2">
      <c r="A2705" s="7">
        <v>712710</v>
      </c>
      <c r="B2705" s="3" t="s">
        <v>1442</v>
      </c>
      <c r="C2705" s="25">
        <v>0</v>
      </c>
      <c r="D2705" s="25">
        <v>0</v>
      </c>
      <c r="E2705" s="18">
        <f t="shared" si="495"/>
        <v>0</v>
      </c>
    </row>
    <row r="2706" spans="1:5" ht="15" x14ac:dyDescent="0.2">
      <c r="A2706" s="7">
        <v>712711</v>
      </c>
      <c r="B2706" s="3" t="s">
        <v>1443</v>
      </c>
      <c r="C2706" s="25">
        <v>0</v>
      </c>
      <c r="D2706" s="25">
        <v>0</v>
      </c>
      <c r="E2706" s="18">
        <f t="shared" si="495"/>
        <v>0</v>
      </c>
    </row>
    <row r="2707" spans="1:5" ht="15" x14ac:dyDescent="0.2">
      <c r="A2707" s="7">
        <v>712795</v>
      </c>
      <c r="B2707" s="3" t="s">
        <v>1444</v>
      </c>
      <c r="C2707" s="25">
        <v>0</v>
      </c>
      <c r="D2707" s="25">
        <v>0</v>
      </c>
      <c r="E2707" s="18">
        <f t="shared" si="495"/>
        <v>0</v>
      </c>
    </row>
    <row r="2708" spans="1:5" ht="15" x14ac:dyDescent="0.2">
      <c r="A2708" s="6">
        <v>7128</v>
      </c>
      <c r="B2708" s="2" t="s">
        <v>1452</v>
      </c>
      <c r="C2708" s="24">
        <f>SUM(C2709:C2720)</f>
        <v>0</v>
      </c>
      <c r="D2708" s="24">
        <f t="shared" ref="D2708:E2708" si="496">SUM(D2709:D2720)</f>
        <v>0</v>
      </c>
      <c r="E2708" s="17">
        <f t="shared" si="496"/>
        <v>0</v>
      </c>
    </row>
    <row r="2709" spans="1:5" ht="15" x14ac:dyDescent="0.2">
      <c r="A2709" s="7">
        <v>712801</v>
      </c>
      <c r="B2709" s="3" t="s">
        <v>1435</v>
      </c>
      <c r="C2709" s="25">
        <v>0</v>
      </c>
      <c r="D2709" s="25">
        <v>0</v>
      </c>
      <c r="E2709" s="18">
        <f t="shared" ref="E2709:E2720" si="497">SUM(C2709:D2709)</f>
        <v>0</v>
      </c>
    </row>
    <row r="2710" spans="1:5" ht="15" x14ac:dyDescent="0.2">
      <c r="A2710" s="7">
        <v>712802</v>
      </c>
      <c r="B2710" s="3" t="s">
        <v>1436</v>
      </c>
      <c r="C2710" s="25">
        <v>0</v>
      </c>
      <c r="D2710" s="25">
        <v>0</v>
      </c>
      <c r="E2710" s="18">
        <f t="shared" si="497"/>
        <v>0</v>
      </c>
    </row>
    <row r="2711" spans="1:5" ht="15" x14ac:dyDescent="0.2">
      <c r="A2711" s="7">
        <v>712803</v>
      </c>
      <c r="B2711" s="3" t="s">
        <v>1437</v>
      </c>
      <c r="C2711" s="25">
        <v>0</v>
      </c>
      <c r="D2711" s="25">
        <v>0</v>
      </c>
      <c r="E2711" s="18">
        <f t="shared" si="497"/>
        <v>0</v>
      </c>
    </row>
    <row r="2712" spans="1:5" ht="15" x14ac:dyDescent="0.2">
      <c r="A2712" s="7">
        <v>712804</v>
      </c>
      <c r="B2712" s="3" t="s">
        <v>568</v>
      </c>
      <c r="C2712" s="25">
        <v>0</v>
      </c>
      <c r="D2712" s="25">
        <v>0</v>
      </c>
      <c r="E2712" s="18">
        <f t="shared" si="497"/>
        <v>0</v>
      </c>
    </row>
    <row r="2713" spans="1:5" ht="15" x14ac:dyDescent="0.2">
      <c r="A2713" s="7">
        <v>712805</v>
      </c>
      <c r="B2713" s="3" t="s">
        <v>1438</v>
      </c>
      <c r="C2713" s="25">
        <v>0</v>
      </c>
      <c r="D2713" s="25">
        <v>0</v>
      </c>
      <c r="E2713" s="18">
        <f t="shared" si="497"/>
        <v>0</v>
      </c>
    </row>
    <row r="2714" spans="1:5" ht="15" x14ac:dyDescent="0.2">
      <c r="A2714" s="7">
        <v>712806</v>
      </c>
      <c r="B2714" s="3" t="s">
        <v>569</v>
      </c>
      <c r="C2714" s="25">
        <v>0</v>
      </c>
      <c r="D2714" s="25">
        <v>0</v>
      </c>
      <c r="E2714" s="18">
        <f t="shared" si="497"/>
        <v>0</v>
      </c>
    </row>
    <row r="2715" spans="1:5" ht="15" x14ac:dyDescent="0.2">
      <c r="A2715" s="7">
        <v>712807</v>
      </c>
      <c r="B2715" s="3" t="s">
        <v>1439</v>
      </c>
      <c r="C2715" s="25">
        <v>0</v>
      </c>
      <c r="D2715" s="25">
        <v>0</v>
      </c>
      <c r="E2715" s="18">
        <f t="shared" si="497"/>
        <v>0</v>
      </c>
    </row>
    <row r="2716" spans="1:5" ht="15" x14ac:dyDescent="0.2">
      <c r="A2716" s="7">
        <v>712808</v>
      </c>
      <c r="B2716" s="3" t="s">
        <v>1440</v>
      </c>
      <c r="C2716" s="25">
        <v>0</v>
      </c>
      <c r="D2716" s="25">
        <v>0</v>
      </c>
      <c r="E2716" s="18">
        <f t="shared" si="497"/>
        <v>0</v>
      </c>
    </row>
    <row r="2717" spans="1:5" ht="15" x14ac:dyDescent="0.2">
      <c r="A2717" s="7">
        <v>712809</v>
      </c>
      <c r="B2717" s="3" t="s">
        <v>1441</v>
      </c>
      <c r="C2717" s="25">
        <v>0</v>
      </c>
      <c r="D2717" s="25">
        <v>0</v>
      </c>
      <c r="E2717" s="18">
        <f t="shared" si="497"/>
        <v>0</v>
      </c>
    </row>
    <row r="2718" spans="1:5" ht="15" x14ac:dyDescent="0.2">
      <c r="A2718" s="7">
        <v>712810</v>
      </c>
      <c r="B2718" s="3" t="s">
        <v>1442</v>
      </c>
      <c r="C2718" s="25">
        <v>0</v>
      </c>
      <c r="D2718" s="25">
        <v>0</v>
      </c>
      <c r="E2718" s="18">
        <f t="shared" si="497"/>
        <v>0</v>
      </c>
    </row>
    <row r="2719" spans="1:5" ht="15" x14ac:dyDescent="0.2">
      <c r="A2719" s="7">
        <v>712811</v>
      </c>
      <c r="B2719" s="3" t="s">
        <v>1443</v>
      </c>
      <c r="C2719" s="25">
        <v>0</v>
      </c>
      <c r="D2719" s="25">
        <v>0</v>
      </c>
      <c r="E2719" s="18">
        <f t="shared" si="497"/>
        <v>0</v>
      </c>
    </row>
    <row r="2720" spans="1:5" ht="15" x14ac:dyDescent="0.2">
      <c r="A2720" s="7">
        <v>712895</v>
      </c>
      <c r="B2720" s="3" t="s">
        <v>1444</v>
      </c>
      <c r="C2720" s="25">
        <v>0</v>
      </c>
      <c r="D2720" s="25">
        <v>0</v>
      </c>
      <c r="E2720" s="18">
        <f t="shared" si="497"/>
        <v>0</v>
      </c>
    </row>
    <row r="2721" spans="1:5" ht="15" x14ac:dyDescent="0.2">
      <c r="A2721" s="6">
        <v>7129</v>
      </c>
      <c r="B2721" s="2" t="s">
        <v>1453</v>
      </c>
      <c r="C2721" s="24">
        <f>SUM(C2722:C2733)</f>
        <v>0</v>
      </c>
      <c r="D2721" s="24">
        <f t="shared" ref="D2721:E2721" si="498">SUM(D2722:D2733)</f>
        <v>0</v>
      </c>
      <c r="E2721" s="17">
        <f t="shared" si="498"/>
        <v>0</v>
      </c>
    </row>
    <row r="2722" spans="1:5" ht="15" x14ac:dyDescent="0.2">
      <c r="A2722" s="7">
        <v>712901</v>
      </c>
      <c r="B2722" s="3" t="s">
        <v>1435</v>
      </c>
      <c r="C2722" s="25">
        <v>0</v>
      </c>
      <c r="D2722" s="25">
        <v>0</v>
      </c>
      <c r="E2722" s="18">
        <f t="shared" ref="E2722:E2733" si="499">SUM(C2722:D2722)</f>
        <v>0</v>
      </c>
    </row>
    <row r="2723" spans="1:5" ht="15" x14ac:dyDescent="0.2">
      <c r="A2723" s="7">
        <v>712902</v>
      </c>
      <c r="B2723" s="3" t="s">
        <v>1436</v>
      </c>
      <c r="C2723" s="25">
        <v>0</v>
      </c>
      <c r="D2723" s="25">
        <v>0</v>
      </c>
      <c r="E2723" s="18">
        <f t="shared" si="499"/>
        <v>0</v>
      </c>
    </row>
    <row r="2724" spans="1:5" ht="15" x14ac:dyDescent="0.2">
      <c r="A2724" s="7">
        <v>712903</v>
      </c>
      <c r="B2724" s="3" t="s">
        <v>1437</v>
      </c>
      <c r="C2724" s="25">
        <v>0</v>
      </c>
      <c r="D2724" s="25">
        <v>0</v>
      </c>
      <c r="E2724" s="18">
        <f t="shared" si="499"/>
        <v>0</v>
      </c>
    </row>
    <row r="2725" spans="1:5" ht="15" x14ac:dyDescent="0.2">
      <c r="A2725" s="7">
        <v>712904</v>
      </c>
      <c r="B2725" s="3" t="s">
        <v>568</v>
      </c>
      <c r="C2725" s="25">
        <v>0</v>
      </c>
      <c r="D2725" s="25">
        <v>0</v>
      </c>
      <c r="E2725" s="18">
        <f t="shared" si="499"/>
        <v>0</v>
      </c>
    </row>
    <row r="2726" spans="1:5" ht="15" x14ac:dyDescent="0.2">
      <c r="A2726" s="7">
        <v>712905</v>
      </c>
      <c r="B2726" s="3" t="s">
        <v>1438</v>
      </c>
      <c r="C2726" s="25">
        <v>0</v>
      </c>
      <c r="D2726" s="25">
        <v>0</v>
      </c>
      <c r="E2726" s="18">
        <f t="shared" si="499"/>
        <v>0</v>
      </c>
    </row>
    <row r="2727" spans="1:5" ht="15" x14ac:dyDescent="0.2">
      <c r="A2727" s="7">
        <v>712906</v>
      </c>
      <c r="B2727" s="3" t="s">
        <v>569</v>
      </c>
      <c r="C2727" s="25">
        <v>0</v>
      </c>
      <c r="D2727" s="25">
        <v>0</v>
      </c>
      <c r="E2727" s="18">
        <f t="shared" si="499"/>
        <v>0</v>
      </c>
    </row>
    <row r="2728" spans="1:5" ht="15" x14ac:dyDescent="0.2">
      <c r="A2728" s="7">
        <v>712907</v>
      </c>
      <c r="B2728" s="3" t="s">
        <v>1439</v>
      </c>
      <c r="C2728" s="25">
        <v>0</v>
      </c>
      <c r="D2728" s="25">
        <v>0</v>
      </c>
      <c r="E2728" s="18">
        <f t="shared" si="499"/>
        <v>0</v>
      </c>
    </row>
    <row r="2729" spans="1:5" ht="15" x14ac:dyDescent="0.2">
      <c r="A2729" s="7">
        <v>712908</v>
      </c>
      <c r="B2729" s="3" t="s">
        <v>1440</v>
      </c>
      <c r="C2729" s="25">
        <v>0</v>
      </c>
      <c r="D2729" s="25">
        <v>0</v>
      </c>
      <c r="E2729" s="18">
        <f t="shared" si="499"/>
        <v>0</v>
      </c>
    </row>
    <row r="2730" spans="1:5" ht="15" x14ac:dyDescent="0.2">
      <c r="A2730" s="7">
        <v>712909</v>
      </c>
      <c r="B2730" s="3" t="s">
        <v>1441</v>
      </c>
      <c r="C2730" s="25">
        <v>0</v>
      </c>
      <c r="D2730" s="25">
        <v>0</v>
      </c>
      <c r="E2730" s="18">
        <f t="shared" si="499"/>
        <v>0</v>
      </c>
    </row>
    <row r="2731" spans="1:5" ht="15" x14ac:dyDescent="0.2">
      <c r="A2731" s="7">
        <v>712910</v>
      </c>
      <c r="B2731" s="3" t="s">
        <v>1442</v>
      </c>
      <c r="C2731" s="25">
        <v>0</v>
      </c>
      <c r="D2731" s="25">
        <v>0</v>
      </c>
      <c r="E2731" s="18">
        <f t="shared" si="499"/>
        <v>0</v>
      </c>
    </row>
    <row r="2732" spans="1:5" ht="15" x14ac:dyDescent="0.2">
      <c r="A2732" s="7">
        <v>712911</v>
      </c>
      <c r="B2732" s="3" t="s">
        <v>1443</v>
      </c>
      <c r="C2732" s="25">
        <v>0</v>
      </c>
      <c r="D2732" s="25">
        <v>0</v>
      </c>
      <c r="E2732" s="18">
        <f t="shared" si="499"/>
        <v>0</v>
      </c>
    </row>
    <row r="2733" spans="1:5" ht="15" x14ac:dyDescent="0.2">
      <c r="A2733" s="7">
        <v>712995</v>
      </c>
      <c r="B2733" s="3" t="s">
        <v>1444</v>
      </c>
      <c r="C2733" s="25">
        <v>0</v>
      </c>
      <c r="D2733" s="25">
        <v>0</v>
      </c>
      <c r="E2733" s="18">
        <f t="shared" si="499"/>
        <v>0</v>
      </c>
    </row>
    <row r="2734" spans="1:5" ht="15" x14ac:dyDescent="0.2">
      <c r="A2734" s="6">
        <v>7130</v>
      </c>
      <c r="B2734" s="2" t="s">
        <v>1024</v>
      </c>
      <c r="C2734" s="24">
        <f>SUM(C2735:C2746)</f>
        <v>0</v>
      </c>
      <c r="D2734" s="24">
        <f t="shared" ref="D2734:E2734" si="500">SUM(D2735:D2746)</f>
        <v>0</v>
      </c>
      <c r="E2734" s="17">
        <f t="shared" si="500"/>
        <v>0</v>
      </c>
    </row>
    <row r="2735" spans="1:5" ht="15" x14ac:dyDescent="0.2">
      <c r="A2735" s="7">
        <v>713001</v>
      </c>
      <c r="B2735" s="3" t="s">
        <v>1435</v>
      </c>
      <c r="C2735" s="25">
        <v>0</v>
      </c>
      <c r="D2735" s="25">
        <v>0</v>
      </c>
      <c r="E2735" s="18">
        <f t="shared" ref="E2735:E2746" si="501">SUM(C2735:D2735)</f>
        <v>0</v>
      </c>
    </row>
    <row r="2736" spans="1:5" ht="15" x14ac:dyDescent="0.2">
      <c r="A2736" s="7">
        <v>713002</v>
      </c>
      <c r="B2736" s="3" t="s">
        <v>1436</v>
      </c>
      <c r="C2736" s="25">
        <v>0</v>
      </c>
      <c r="D2736" s="25">
        <v>0</v>
      </c>
      <c r="E2736" s="18">
        <f t="shared" si="501"/>
        <v>0</v>
      </c>
    </row>
    <row r="2737" spans="1:5" ht="15" x14ac:dyDescent="0.2">
      <c r="A2737" s="7">
        <v>713003</v>
      </c>
      <c r="B2737" s="3" t="s">
        <v>1437</v>
      </c>
      <c r="C2737" s="25">
        <v>0</v>
      </c>
      <c r="D2737" s="25">
        <v>0</v>
      </c>
      <c r="E2737" s="18">
        <f t="shared" si="501"/>
        <v>0</v>
      </c>
    </row>
    <row r="2738" spans="1:5" ht="15" x14ac:dyDescent="0.2">
      <c r="A2738" s="7">
        <v>713004</v>
      </c>
      <c r="B2738" s="3" t="s">
        <v>568</v>
      </c>
      <c r="C2738" s="25">
        <v>0</v>
      </c>
      <c r="D2738" s="25">
        <v>0</v>
      </c>
      <c r="E2738" s="18">
        <f t="shared" si="501"/>
        <v>0</v>
      </c>
    </row>
    <row r="2739" spans="1:5" ht="15" x14ac:dyDescent="0.2">
      <c r="A2739" s="7">
        <v>713005</v>
      </c>
      <c r="B2739" s="3" t="s">
        <v>1438</v>
      </c>
      <c r="C2739" s="25">
        <v>0</v>
      </c>
      <c r="D2739" s="25">
        <v>0</v>
      </c>
      <c r="E2739" s="18">
        <f t="shared" si="501"/>
        <v>0</v>
      </c>
    </row>
    <row r="2740" spans="1:5" ht="15" x14ac:dyDescent="0.2">
      <c r="A2740" s="7">
        <v>713006</v>
      </c>
      <c r="B2740" s="3" t="s">
        <v>569</v>
      </c>
      <c r="C2740" s="25">
        <v>0</v>
      </c>
      <c r="D2740" s="25">
        <v>0</v>
      </c>
      <c r="E2740" s="18">
        <f t="shared" si="501"/>
        <v>0</v>
      </c>
    </row>
    <row r="2741" spans="1:5" ht="15" x14ac:dyDescent="0.2">
      <c r="A2741" s="7">
        <v>713007</v>
      </c>
      <c r="B2741" s="3" t="s">
        <v>1439</v>
      </c>
      <c r="C2741" s="25">
        <v>0</v>
      </c>
      <c r="D2741" s="25">
        <v>0</v>
      </c>
      <c r="E2741" s="18">
        <f t="shared" si="501"/>
        <v>0</v>
      </c>
    </row>
    <row r="2742" spans="1:5" ht="15" x14ac:dyDescent="0.2">
      <c r="A2742" s="7">
        <v>713008</v>
      </c>
      <c r="B2742" s="3" t="s">
        <v>1440</v>
      </c>
      <c r="C2742" s="25">
        <v>0</v>
      </c>
      <c r="D2742" s="25">
        <v>0</v>
      </c>
      <c r="E2742" s="18">
        <f t="shared" si="501"/>
        <v>0</v>
      </c>
    </row>
    <row r="2743" spans="1:5" ht="15" x14ac:dyDescent="0.2">
      <c r="A2743" s="7">
        <v>713009</v>
      </c>
      <c r="B2743" s="3" t="s">
        <v>1441</v>
      </c>
      <c r="C2743" s="25">
        <v>0</v>
      </c>
      <c r="D2743" s="25">
        <v>0</v>
      </c>
      <c r="E2743" s="18">
        <f t="shared" si="501"/>
        <v>0</v>
      </c>
    </row>
    <row r="2744" spans="1:5" ht="15" x14ac:dyDescent="0.2">
      <c r="A2744" s="7">
        <v>713010</v>
      </c>
      <c r="B2744" s="3" t="s">
        <v>1442</v>
      </c>
      <c r="C2744" s="25">
        <v>0</v>
      </c>
      <c r="D2744" s="25">
        <v>0</v>
      </c>
      <c r="E2744" s="18">
        <f t="shared" si="501"/>
        <v>0</v>
      </c>
    </row>
    <row r="2745" spans="1:5" ht="15" x14ac:dyDescent="0.2">
      <c r="A2745" s="7">
        <v>713011</v>
      </c>
      <c r="B2745" s="3" t="s">
        <v>1443</v>
      </c>
      <c r="C2745" s="25">
        <v>0</v>
      </c>
      <c r="D2745" s="25">
        <v>0</v>
      </c>
      <c r="E2745" s="18">
        <f t="shared" si="501"/>
        <v>0</v>
      </c>
    </row>
    <row r="2746" spans="1:5" ht="15" x14ac:dyDescent="0.2">
      <c r="A2746" s="7">
        <v>713095</v>
      </c>
      <c r="B2746" s="3" t="s">
        <v>1444</v>
      </c>
      <c r="C2746" s="25">
        <v>0</v>
      </c>
      <c r="D2746" s="25">
        <v>0</v>
      </c>
      <c r="E2746" s="18">
        <f t="shared" si="501"/>
        <v>0</v>
      </c>
    </row>
    <row r="2747" spans="1:5" ht="15" x14ac:dyDescent="0.2">
      <c r="A2747" s="6">
        <v>7136</v>
      </c>
      <c r="B2747" s="2" t="s">
        <v>1454</v>
      </c>
      <c r="C2747" s="24">
        <f>SUM(C2748:C2759)</f>
        <v>0</v>
      </c>
      <c r="D2747" s="24">
        <f t="shared" ref="D2747:E2747" si="502">SUM(D2748:D2759)</f>
        <v>0</v>
      </c>
      <c r="E2747" s="17">
        <f t="shared" si="502"/>
        <v>0</v>
      </c>
    </row>
    <row r="2748" spans="1:5" ht="15" x14ac:dyDescent="0.2">
      <c r="A2748" s="7">
        <v>713601</v>
      </c>
      <c r="B2748" s="3" t="s">
        <v>1435</v>
      </c>
      <c r="C2748" s="25">
        <v>0</v>
      </c>
      <c r="D2748" s="25">
        <v>0</v>
      </c>
      <c r="E2748" s="18">
        <f t="shared" ref="E2748:E2759" si="503">SUM(C2748:D2748)</f>
        <v>0</v>
      </c>
    </row>
    <row r="2749" spans="1:5" ht="15" x14ac:dyDescent="0.2">
      <c r="A2749" s="7">
        <v>713602</v>
      </c>
      <c r="B2749" s="3" t="s">
        <v>1436</v>
      </c>
      <c r="C2749" s="25">
        <v>0</v>
      </c>
      <c r="D2749" s="25">
        <v>0</v>
      </c>
      <c r="E2749" s="18">
        <f t="shared" si="503"/>
        <v>0</v>
      </c>
    </row>
    <row r="2750" spans="1:5" ht="15" x14ac:dyDescent="0.2">
      <c r="A2750" s="7">
        <v>713603</v>
      </c>
      <c r="B2750" s="3" t="s">
        <v>1437</v>
      </c>
      <c r="C2750" s="25">
        <v>0</v>
      </c>
      <c r="D2750" s="25">
        <v>0</v>
      </c>
      <c r="E2750" s="18">
        <f t="shared" si="503"/>
        <v>0</v>
      </c>
    </row>
    <row r="2751" spans="1:5" ht="15" x14ac:dyDescent="0.2">
      <c r="A2751" s="7">
        <v>713604</v>
      </c>
      <c r="B2751" s="3" t="s">
        <v>568</v>
      </c>
      <c r="C2751" s="25">
        <v>0</v>
      </c>
      <c r="D2751" s="25">
        <v>0</v>
      </c>
      <c r="E2751" s="18">
        <f t="shared" si="503"/>
        <v>0</v>
      </c>
    </row>
    <row r="2752" spans="1:5" ht="15" x14ac:dyDescent="0.2">
      <c r="A2752" s="7">
        <v>713605</v>
      </c>
      <c r="B2752" s="3" t="s">
        <v>1438</v>
      </c>
      <c r="C2752" s="25">
        <v>0</v>
      </c>
      <c r="D2752" s="25">
        <v>0</v>
      </c>
      <c r="E2752" s="18">
        <f t="shared" si="503"/>
        <v>0</v>
      </c>
    </row>
    <row r="2753" spans="1:5" ht="15" x14ac:dyDescent="0.2">
      <c r="A2753" s="7">
        <v>713606</v>
      </c>
      <c r="B2753" s="3" t="s">
        <v>569</v>
      </c>
      <c r="C2753" s="25">
        <v>0</v>
      </c>
      <c r="D2753" s="25">
        <v>0</v>
      </c>
      <c r="E2753" s="18">
        <f t="shared" si="503"/>
        <v>0</v>
      </c>
    </row>
    <row r="2754" spans="1:5" ht="15" x14ac:dyDescent="0.2">
      <c r="A2754" s="7">
        <v>713607</v>
      </c>
      <c r="B2754" s="3" t="s">
        <v>1439</v>
      </c>
      <c r="C2754" s="25">
        <v>0</v>
      </c>
      <c r="D2754" s="25">
        <v>0</v>
      </c>
      <c r="E2754" s="18">
        <f t="shared" si="503"/>
        <v>0</v>
      </c>
    </row>
    <row r="2755" spans="1:5" ht="15" x14ac:dyDescent="0.2">
      <c r="A2755" s="7">
        <v>713608</v>
      </c>
      <c r="B2755" s="3" t="s">
        <v>1440</v>
      </c>
      <c r="C2755" s="25">
        <v>0</v>
      </c>
      <c r="D2755" s="25">
        <v>0</v>
      </c>
      <c r="E2755" s="18">
        <f t="shared" si="503"/>
        <v>0</v>
      </c>
    </row>
    <row r="2756" spans="1:5" ht="15" x14ac:dyDescent="0.2">
      <c r="A2756" s="7">
        <v>713609</v>
      </c>
      <c r="B2756" s="3" t="s">
        <v>1441</v>
      </c>
      <c r="C2756" s="25">
        <v>0</v>
      </c>
      <c r="D2756" s="25">
        <v>0</v>
      </c>
      <c r="E2756" s="18">
        <f t="shared" si="503"/>
        <v>0</v>
      </c>
    </row>
    <row r="2757" spans="1:5" ht="15" x14ac:dyDescent="0.2">
      <c r="A2757" s="7">
        <v>713610</v>
      </c>
      <c r="B2757" s="3" t="s">
        <v>1442</v>
      </c>
      <c r="C2757" s="25">
        <v>0</v>
      </c>
      <c r="D2757" s="25">
        <v>0</v>
      </c>
      <c r="E2757" s="18">
        <f t="shared" si="503"/>
        <v>0</v>
      </c>
    </row>
    <row r="2758" spans="1:5" ht="15" x14ac:dyDescent="0.2">
      <c r="A2758" s="7">
        <v>713611</v>
      </c>
      <c r="B2758" s="3" t="s">
        <v>1443</v>
      </c>
      <c r="C2758" s="25">
        <v>0</v>
      </c>
      <c r="D2758" s="25">
        <v>0</v>
      </c>
      <c r="E2758" s="18">
        <f t="shared" si="503"/>
        <v>0</v>
      </c>
    </row>
    <row r="2759" spans="1:5" ht="15" x14ac:dyDescent="0.2">
      <c r="A2759" s="7">
        <v>713695</v>
      </c>
      <c r="B2759" s="3" t="s">
        <v>1444</v>
      </c>
      <c r="C2759" s="25">
        <v>0</v>
      </c>
      <c r="D2759" s="25">
        <v>0</v>
      </c>
      <c r="E2759" s="18">
        <f t="shared" si="503"/>
        <v>0</v>
      </c>
    </row>
    <row r="2760" spans="1:5" ht="15" x14ac:dyDescent="0.2">
      <c r="A2760" s="6">
        <v>7190</v>
      </c>
      <c r="B2760" s="2" t="s">
        <v>1455</v>
      </c>
      <c r="C2760" s="24">
        <f>SUM(C2761:C2772)</f>
        <v>0</v>
      </c>
      <c r="D2760" s="24">
        <f t="shared" ref="D2760:E2760" si="504">SUM(D2761:D2772)</f>
        <v>0</v>
      </c>
      <c r="E2760" s="17">
        <f t="shared" si="504"/>
        <v>0</v>
      </c>
    </row>
    <row r="2761" spans="1:5" ht="15" x14ac:dyDescent="0.2">
      <c r="A2761" s="7">
        <v>719001</v>
      </c>
      <c r="B2761" s="3" t="s">
        <v>1435</v>
      </c>
      <c r="C2761" s="25">
        <v>0</v>
      </c>
      <c r="D2761" s="25">
        <v>0</v>
      </c>
      <c r="E2761" s="18">
        <f t="shared" ref="E2761:E2772" si="505">SUM(C2761:D2761)</f>
        <v>0</v>
      </c>
    </row>
    <row r="2762" spans="1:5" ht="15" x14ac:dyDescent="0.2">
      <c r="A2762" s="7">
        <v>719002</v>
      </c>
      <c r="B2762" s="3" t="s">
        <v>1436</v>
      </c>
      <c r="C2762" s="25">
        <v>0</v>
      </c>
      <c r="D2762" s="25">
        <v>0</v>
      </c>
      <c r="E2762" s="18">
        <f t="shared" si="505"/>
        <v>0</v>
      </c>
    </row>
    <row r="2763" spans="1:5" ht="15" x14ac:dyDescent="0.2">
      <c r="A2763" s="7">
        <v>719003</v>
      </c>
      <c r="B2763" s="3" t="s">
        <v>1437</v>
      </c>
      <c r="C2763" s="25">
        <v>0</v>
      </c>
      <c r="D2763" s="25">
        <v>0</v>
      </c>
      <c r="E2763" s="18">
        <f t="shared" si="505"/>
        <v>0</v>
      </c>
    </row>
    <row r="2764" spans="1:5" ht="15" x14ac:dyDescent="0.2">
      <c r="A2764" s="7">
        <v>719004</v>
      </c>
      <c r="B2764" s="3" t="s">
        <v>568</v>
      </c>
      <c r="C2764" s="25">
        <v>0</v>
      </c>
      <c r="D2764" s="25">
        <v>0</v>
      </c>
      <c r="E2764" s="18">
        <f t="shared" si="505"/>
        <v>0</v>
      </c>
    </row>
    <row r="2765" spans="1:5" ht="15" x14ac:dyDescent="0.2">
      <c r="A2765" s="7">
        <v>719005</v>
      </c>
      <c r="B2765" s="3" t="s">
        <v>1438</v>
      </c>
      <c r="C2765" s="25">
        <v>0</v>
      </c>
      <c r="D2765" s="25">
        <v>0</v>
      </c>
      <c r="E2765" s="18">
        <f t="shared" si="505"/>
        <v>0</v>
      </c>
    </row>
    <row r="2766" spans="1:5" ht="15" x14ac:dyDescent="0.2">
      <c r="A2766" s="7">
        <v>719006</v>
      </c>
      <c r="B2766" s="3" t="s">
        <v>569</v>
      </c>
      <c r="C2766" s="25">
        <v>0</v>
      </c>
      <c r="D2766" s="25">
        <v>0</v>
      </c>
      <c r="E2766" s="18">
        <f t="shared" si="505"/>
        <v>0</v>
      </c>
    </row>
    <row r="2767" spans="1:5" ht="15" x14ac:dyDescent="0.2">
      <c r="A2767" s="7">
        <v>719007</v>
      </c>
      <c r="B2767" s="3" t="s">
        <v>1439</v>
      </c>
      <c r="C2767" s="25">
        <v>0</v>
      </c>
      <c r="D2767" s="25">
        <v>0</v>
      </c>
      <c r="E2767" s="18">
        <f t="shared" si="505"/>
        <v>0</v>
      </c>
    </row>
    <row r="2768" spans="1:5" ht="15" x14ac:dyDescent="0.2">
      <c r="A2768" s="7">
        <v>719008</v>
      </c>
      <c r="B2768" s="3" t="s">
        <v>1440</v>
      </c>
      <c r="C2768" s="25">
        <v>0</v>
      </c>
      <c r="D2768" s="25">
        <v>0</v>
      </c>
      <c r="E2768" s="18">
        <f t="shared" si="505"/>
        <v>0</v>
      </c>
    </row>
    <row r="2769" spans="1:5" ht="15" x14ac:dyDescent="0.2">
      <c r="A2769" s="7">
        <v>719009</v>
      </c>
      <c r="B2769" s="3" t="s">
        <v>1441</v>
      </c>
      <c r="C2769" s="25">
        <v>0</v>
      </c>
      <c r="D2769" s="25">
        <v>0</v>
      </c>
      <c r="E2769" s="18">
        <f t="shared" si="505"/>
        <v>0</v>
      </c>
    </row>
    <row r="2770" spans="1:5" ht="15" x14ac:dyDescent="0.2">
      <c r="A2770" s="7">
        <v>719010</v>
      </c>
      <c r="B2770" s="3" t="s">
        <v>1442</v>
      </c>
      <c r="C2770" s="25">
        <v>0</v>
      </c>
      <c r="D2770" s="25">
        <v>0</v>
      </c>
      <c r="E2770" s="18">
        <f t="shared" si="505"/>
        <v>0</v>
      </c>
    </row>
    <row r="2771" spans="1:5" ht="15" x14ac:dyDescent="0.2">
      <c r="A2771" s="7">
        <v>719011</v>
      </c>
      <c r="B2771" s="3" t="s">
        <v>1443</v>
      </c>
      <c r="C2771" s="25">
        <v>0</v>
      </c>
      <c r="D2771" s="25">
        <v>0</v>
      </c>
      <c r="E2771" s="18">
        <f t="shared" si="505"/>
        <v>0</v>
      </c>
    </row>
    <row r="2772" spans="1:5" ht="15" x14ac:dyDescent="0.2">
      <c r="A2772" s="7">
        <v>719095</v>
      </c>
      <c r="B2772" s="3" t="s">
        <v>1444</v>
      </c>
      <c r="C2772" s="25">
        <v>0</v>
      </c>
      <c r="D2772" s="25">
        <v>0</v>
      </c>
      <c r="E2772" s="18">
        <f t="shared" si="505"/>
        <v>0</v>
      </c>
    </row>
    <row r="2773" spans="1:5" ht="15" x14ac:dyDescent="0.2">
      <c r="A2773" s="6">
        <v>73</v>
      </c>
      <c r="B2773" s="2" t="s">
        <v>1039</v>
      </c>
      <c r="C2773" s="24">
        <f>SUM(C2774,C2786,C2798,C2810,C2822,C2834,C2846,C2858,C2870,C2882,C2894,C2906,C2918,C2930,C2942,C2954,C2966,C2978,C2990,C3002,C3014,C3026,C3038,C3050,C3062,C3074,C3086,C3098,C3110,C3122,C3134,C3146,C3158,C3170,C3182,C3194)</f>
        <v>0</v>
      </c>
      <c r="D2773" s="24">
        <f>SUM(D2774,D2786,D2798,D2810,D2822,D2834,D2846,D2858,D2870,D2882,D2894,D2906,D2918,D2930,D2942,D2954,D2966,D2978,D2990,D3002,D3014,D3026,D3038,D3050,D3062,D3074,D3086,D3098,D3110,D3122,D3134,D3146,D3158,D3170,D3182,D3194)</f>
        <v>0</v>
      </c>
      <c r="E2773" s="17">
        <f>SUM(E2774,E2786,E2798,E2810,E2822,E2834,E2846,E2858,E2870,E2882,E2894,E2906,E2918,E2930,E2942,E2954,E2966,E2978,E2990,E3002,E3014,E3026,E3038,E3050,E3062,E3074,E3086,E3098,E3110,E3122,E3134,E3146,E3158,E3170,E3182,E3194)</f>
        <v>0</v>
      </c>
    </row>
    <row r="2774" spans="1:5" ht="15" x14ac:dyDescent="0.2">
      <c r="A2774" s="6">
        <v>7301</v>
      </c>
      <c r="B2774" s="2" t="s">
        <v>1456</v>
      </c>
      <c r="C2774" s="24">
        <f>SUM(C2775:C2785)</f>
        <v>0</v>
      </c>
      <c r="D2774" s="24">
        <f t="shared" ref="D2774:E2774" si="506">SUM(D2775:D2785)</f>
        <v>0</v>
      </c>
      <c r="E2774" s="17">
        <f t="shared" si="506"/>
        <v>0</v>
      </c>
    </row>
    <row r="2775" spans="1:5" ht="15" x14ac:dyDescent="0.2">
      <c r="A2775" s="7">
        <v>730101</v>
      </c>
      <c r="B2775" s="3" t="s">
        <v>1436</v>
      </c>
      <c r="C2775" s="25">
        <v>0</v>
      </c>
      <c r="D2775" s="25">
        <v>0</v>
      </c>
      <c r="E2775" s="18">
        <f t="shared" ref="E2775:E2785" si="507">SUM(C2775:D2775)</f>
        <v>0</v>
      </c>
    </row>
    <row r="2776" spans="1:5" ht="15" x14ac:dyDescent="0.2">
      <c r="A2776" s="7">
        <v>730102</v>
      </c>
      <c r="B2776" s="3" t="s">
        <v>1437</v>
      </c>
      <c r="C2776" s="25">
        <v>0</v>
      </c>
      <c r="D2776" s="25">
        <v>0</v>
      </c>
      <c r="E2776" s="18">
        <f t="shared" si="507"/>
        <v>0</v>
      </c>
    </row>
    <row r="2777" spans="1:5" ht="15" x14ac:dyDescent="0.2">
      <c r="A2777" s="7">
        <v>730103</v>
      </c>
      <c r="B2777" s="3" t="s">
        <v>568</v>
      </c>
      <c r="C2777" s="25">
        <v>0</v>
      </c>
      <c r="D2777" s="25">
        <v>0</v>
      </c>
      <c r="E2777" s="18">
        <f t="shared" si="507"/>
        <v>0</v>
      </c>
    </row>
    <row r="2778" spans="1:5" ht="15" x14ac:dyDescent="0.2">
      <c r="A2778" s="7">
        <v>730104</v>
      </c>
      <c r="B2778" s="3" t="s">
        <v>1438</v>
      </c>
      <c r="C2778" s="25">
        <v>0</v>
      </c>
      <c r="D2778" s="25">
        <v>0</v>
      </c>
      <c r="E2778" s="18">
        <f t="shared" si="507"/>
        <v>0</v>
      </c>
    </row>
    <row r="2779" spans="1:5" ht="15" x14ac:dyDescent="0.2">
      <c r="A2779" s="7">
        <v>730105</v>
      </c>
      <c r="B2779" s="3" t="s">
        <v>569</v>
      </c>
      <c r="C2779" s="25">
        <v>0</v>
      </c>
      <c r="D2779" s="25">
        <v>0</v>
      </c>
      <c r="E2779" s="18">
        <f t="shared" si="507"/>
        <v>0</v>
      </c>
    </row>
    <row r="2780" spans="1:5" ht="15" x14ac:dyDescent="0.2">
      <c r="A2780" s="7">
        <v>730106</v>
      </c>
      <c r="B2780" s="3" t="s">
        <v>1439</v>
      </c>
      <c r="C2780" s="25">
        <v>0</v>
      </c>
      <c r="D2780" s="25">
        <v>0</v>
      </c>
      <c r="E2780" s="18">
        <f t="shared" si="507"/>
        <v>0</v>
      </c>
    </row>
    <row r="2781" spans="1:5" ht="15" x14ac:dyDescent="0.2">
      <c r="A2781" s="7">
        <v>730107</v>
      </c>
      <c r="B2781" s="3" t="s">
        <v>1440</v>
      </c>
      <c r="C2781" s="25">
        <v>0</v>
      </c>
      <c r="D2781" s="25">
        <v>0</v>
      </c>
      <c r="E2781" s="18">
        <f t="shared" si="507"/>
        <v>0</v>
      </c>
    </row>
    <row r="2782" spans="1:5" ht="15" x14ac:dyDescent="0.2">
      <c r="A2782" s="7">
        <v>730108</v>
      </c>
      <c r="B2782" s="3" t="s">
        <v>1441</v>
      </c>
      <c r="C2782" s="25">
        <v>0</v>
      </c>
      <c r="D2782" s="25">
        <v>0</v>
      </c>
      <c r="E2782" s="18">
        <f t="shared" si="507"/>
        <v>0</v>
      </c>
    </row>
    <row r="2783" spans="1:5" ht="15" x14ac:dyDescent="0.2">
      <c r="A2783" s="7">
        <v>730109</v>
      </c>
      <c r="B2783" s="3" t="s">
        <v>1442</v>
      </c>
      <c r="C2783" s="25">
        <v>0</v>
      </c>
      <c r="D2783" s="25">
        <v>0</v>
      </c>
      <c r="E2783" s="18">
        <f t="shared" si="507"/>
        <v>0</v>
      </c>
    </row>
    <row r="2784" spans="1:5" ht="15" x14ac:dyDescent="0.2">
      <c r="A2784" s="7">
        <v>730110</v>
      </c>
      <c r="B2784" s="3" t="s">
        <v>1443</v>
      </c>
      <c r="C2784" s="25">
        <v>0</v>
      </c>
      <c r="D2784" s="25">
        <v>0</v>
      </c>
      <c r="E2784" s="18">
        <f t="shared" si="507"/>
        <v>0</v>
      </c>
    </row>
    <row r="2785" spans="1:5" ht="15" x14ac:dyDescent="0.2">
      <c r="A2785" s="7">
        <v>730195</v>
      </c>
      <c r="B2785" s="3" t="s">
        <v>1444</v>
      </c>
      <c r="C2785" s="25">
        <v>0</v>
      </c>
      <c r="D2785" s="25">
        <v>0</v>
      </c>
      <c r="E2785" s="18">
        <f t="shared" si="507"/>
        <v>0</v>
      </c>
    </row>
    <row r="2786" spans="1:5" ht="15" x14ac:dyDescent="0.2">
      <c r="A2786" s="6">
        <v>7302</v>
      </c>
      <c r="B2786" s="2" t="s">
        <v>1457</v>
      </c>
      <c r="C2786" s="24">
        <f>SUM(C2787:C2797)</f>
        <v>0</v>
      </c>
      <c r="D2786" s="24">
        <f t="shared" ref="D2786:E2786" si="508">SUM(D2787:D2797)</f>
        <v>0</v>
      </c>
      <c r="E2786" s="17">
        <f t="shared" si="508"/>
        <v>0</v>
      </c>
    </row>
    <row r="2787" spans="1:5" ht="15" x14ac:dyDescent="0.2">
      <c r="A2787" s="7">
        <v>730201</v>
      </c>
      <c r="B2787" s="3" t="s">
        <v>1436</v>
      </c>
      <c r="C2787" s="25">
        <v>0</v>
      </c>
      <c r="D2787" s="25">
        <v>0</v>
      </c>
      <c r="E2787" s="18">
        <f t="shared" ref="E2787:E2797" si="509">SUM(C2787:D2787)</f>
        <v>0</v>
      </c>
    </row>
    <row r="2788" spans="1:5" ht="15" x14ac:dyDescent="0.2">
      <c r="A2788" s="7">
        <v>730202</v>
      </c>
      <c r="B2788" s="3" t="s">
        <v>1437</v>
      </c>
      <c r="C2788" s="25">
        <v>0</v>
      </c>
      <c r="D2788" s="25">
        <v>0</v>
      </c>
      <c r="E2788" s="18">
        <f t="shared" si="509"/>
        <v>0</v>
      </c>
    </row>
    <row r="2789" spans="1:5" ht="15" x14ac:dyDescent="0.2">
      <c r="A2789" s="7">
        <v>730203</v>
      </c>
      <c r="B2789" s="3" t="s">
        <v>568</v>
      </c>
      <c r="C2789" s="25">
        <v>0</v>
      </c>
      <c r="D2789" s="25">
        <v>0</v>
      </c>
      <c r="E2789" s="18">
        <f t="shared" si="509"/>
        <v>0</v>
      </c>
    </row>
    <row r="2790" spans="1:5" ht="15" x14ac:dyDescent="0.2">
      <c r="A2790" s="7">
        <v>730204</v>
      </c>
      <c r="B2790" s="3" t="s">
        <v>1438</v>
      </c>
      <c r="C2790" s="25">
        <v>0</v>
      </c>
      <c r="D2790" s="25">
        <v>0</v>
      </c>
      <c r="E2790" s="18">
        <f t="shared" si="509"/>
        <v>0</v>
      </c>
    </row>
    <row r="2791" spans="1:5" ht="15" x14ac:dyDescent="0.2">
      <c r="A2791" s="7">
        <v>730205</v>
      </c>
      <c r="B2791" s="3" t="s">
        <v>569</v>
      </c>
      <c r="C2791" s="25">
        <v>0</v>
      </c>
      <c r="D2791" s="25">
        <v>0</v>
      </c>
      <c r="E2791" s="18">
        <f t="shared" si="509"/>
        <v>0</v>
      </c>
    </row>
    <row r="2792" spans="1:5" ht="15" x14ac:dyDescent="0.2">
      <c r="A2792" s="7">
        <v>730206</v>
      </c>
      <c r="B2792" s="3" t="s">
        <v>1439</v>
      </c>
      <c r="C2792" s="25">
        <v>0</v>
      </c>
      <c r="D2792" s="25">
        <v>0</v>
      </c>
      <c r="E2792" s="18">
        <f t="shared" si="509"/>
        <v>0</v>
      </c>
    </row>
    <row r="2793" spans="1:5" ht="15" x14ac:dyDescent="0.2">
      <c r="A2793" s="7">
        <v>730207</v>
      </c>
      <c r="B2793" s="3" t="s">
        <v>1440</v>
      </c>
      <c r="C2793" s="25">
        <v>0</v>
      </c>
      <c r="D2793" s="25">
        <v>0</v>
      </c>
      <c r="E2793" s="18">
        <f t="shared" si="509"/>
        <v>0</v>
      </c>
    </row>
    <row r="2794" spans="1:5" ht="15" x14ac:dyDescent="0.2">
      <c r="A2794" s="7">
        <v>730208</v>
      </c>
      <c r="B2794" s="3" t="s">
        <v>1441</v>
      </c>
      <c r="C2794" s="25">
        <v>0</v>
      </c>
      <c r="D2794" s="25">
        <v>0</v>
      </c>
      <c r="E2794" s="18">
        <f t="shared" si="509"/>
        <v>0</v>
      </c>
    </row>
    <row r="2795" spans="1:5" ht="15" x14ac:dyDescent="0.2">
      <c r="A2795" s="7">
        <v>730209</v>
      </c>
      <c r="B2795" s="3" t="s">
        <v>1442</v>
      </c>
      <c r="C2795" s="25">
        <v>0</v>
      </c>
      <c r="D2795" s="25">
        <v>0</v>
      </c>
      <c r="E2795" s="18">
        <f t="shared" si="509"/>
        <v>0</v>
      </c>
    </row>
    <row r="2796" spans="1:5" ht="15" x14ac:dyDescent="0.2">
      <c r="A2796" s="7">
        <v>730210</v>
      </c>
      <c r="B2796" s="3" t="s">
        <v>1443</v>
      </c>
      <c r="C2796" s="25">
        <v>0</v>
      </c>
      <c r="D2796" s="25">
        <v>0</v>
      </c>
      <c r="E2796" s="18">
        <f t="shared" si="509"/>
        <v>0</v>
      </c>
    </row>
    <row r="2797" spans="1:5" ht="15" x14ac:dyDescent="0.2">
      <c r="A2797" s="7">
        <v>730295</v>
      </c>
      <c r="B2797" s="3" t="s">
        <v>1444</v>
      </c>
      <c r="C2797" s="25">
        <v>0</v>
      </c>
      <c r="D2797" s="25">
        <v>0</v>
      </c>
      <c r="E2797" s="18">
        <f t="shared" si="509"/>
        <v>0</v>
      </c>
    </row>
    <row r="2798" spans="1:5" ht="15" x14ac:dyDescent="0.2">
      <c r="A2798" s="6">
        <v>7310</v>
      </c>
      <c r="B2798" s="2" t="s">
        <v>1458</v>
      </c>
      <c r="C2798" s="24">
        <f>SUM(C2799:C2809)</f>
        <v>0</v>
      </c>
      <c r="D2798" s="24">
        <f t="shared" ref="D2798:E2798" si="510">SUM(D2799:D2809)</f>
        <v>0</v>
      </c>
      <c r="E2798" s="17">
        <f t="shared" si="510"/>
        <v>0</v>
      </c>
    </row>
    <row r="2799" spans="1:5" ht="15" x14ac:dyDescent="0.2">
      <c r="A2799" s="7">
        <v>731001</v>
      </c>
      <c r="B2799" s="3" t="s">
        <v>1436</v>
      </c>
      <c r="C2799" s="25">
        <v>0</v>
      </c>
      <c r="D2799" s="25">
        <v>0</v>
      </c>
      <c r="E2799" s="18">
        <f t="shared" ref="E2799:E2809" si="511">SUM(C2799:D2799)</f>
        <v>0</v>
      </c>
    </row>
    <row r="2800" spans="1:5" ht="15" x14ac:dyDescent="0.2">
      <c r="A2800" s="7">
        <v>731002</v>
      </c>
      <c r="B2800" s="3" t="s">
        <v>1437</v>
      </c>
      <c r="C2800" s="25">
        <v>0</v>
      </c>
      <c r="D2800" s="25">
        <v>0</v>
      </c>
      <c r="E2800" s="18">
        <f t="shared" si="511"/>
        <v>0</v>
      </c>
    </row>
    <row r="2801" spans="1:5" ht="15" x14ac:dyDescent="0.2">
      <c r="A2801" s="7">
        <v>731003</v>
      </c>
      <c r="B2801" s="3" t="s">
        <v>568</v>
      </c>
      <c r="C2801" s="25">
        <v>0</v>
      </c>
      <c r="D2801" s="25">
        <v>0</v>
      </c>
      <c r="E2801" s="18">
        <f t="shared" si="511"/>
        <v>0</v>
      </c>
    </row>
    <row r="2802" spans="1:5" ht="15" x14ac:dyDescent="0.2">
      <c r="A2802" s="7">
        <v>731004</v>
      </c>
      <c r="B2802" s="3" t="s">
        <v>1438</v>
      </c>
      <c r="C2802" s="25">
        <v>0</v>
      </c>
      <c r="D2802" s="25">
        <v>0</v>
      </c>
      <c r="E2802" s="18">
        <f t="shared" si="511"/>
        <v>0</v>
      </c>
    </row>
    <row r="2803" spans="1:5" ht="15" x14ac:dyDescent="0.2">
      <c r="A2803" s="7">
        <v>731005</v>
      </c>
      <c r="B2803" s="3" t="s">
        <v>569</v>
      </c>
      <c r="C2803" s="25">
        <v>0</v>
      </c>
      <c r="D2803" s="25">
        <v>0</v>
      </c>
      <c r="E2803" s="18">
        <f t="shared" si="511"/>
        <v>0</v>
      </c>
    </row>
    <row r="2804" spans="1:5" ht="15" x14ac:dyDescent="0.2">
      <c r="A2804" s="7">
        <v>731006</v>
      </c>
      <c r="B2804" s="3" t="s">
        <v>1439</v>
      </c>
      <c r="C2804" s="25">
        <v>0</v>
      </c>
      <c r="D2804" s="25">
        <v>0</v>
      </c>
      <c r="E2804" s="18">
        <f t="shared" si="511"/>
        <v>0</v>
      </c>
    </row>
    <row r="2805" spans="1:5" ht="15" x14ac:dyDescent="0.2">
      <c r="A2805" s="7">
        <v>731007</v>
      </c>
      <c r="B2805" s="3" t="s">
        <v>1440</v>
      </c>
      <c r="C2805" s="25">
        <v>0</v>
      </c>
      <c r="D2805" s="25">
        <v>0</v>
      </c>
      <c r="E2805" s="18">
        <f t="shared" si="511"/>
        <v>0</v>
      </c>
    </row>
    <row r="2806" spans="1:5" ht="15" x14ac:dyDescent="0.2">
      <c r="A2806" s="7">
        <v>731008</v>
      </c>
      <c r="B2806" s="3" t="s">
        <v>1441</v>
      </c>
      <c r="C2806" s="25">
        <v>0</v>
      </c>
      <c r="D2806" s="25">
        <v>0</v>
      </c>
      <c r="E2806" s="18">
        <f t="shared" si="511"/>
        <v>0</v>
      </c>
    </row>
    <row r="2807" spans="1:5" ht="15" x14ac:dyDescent="0.2">
      <c r="A2807" s="7">
        <v>731009</v>
      </c>
      <c r="B2807" s="3" t="s">
        <v>1442</v>
      </c>
      <c r="C2807" s="25">
        <v>0</v>
      </c>
      <c r="D2807" s="25">
        <v>0</v>
      </c>
      <c r="E2807" s="18">
        <f t="shared" si="511"/>
        <v>0</v>
      </c>
    </row>
    <row r="2808" spans="1:5" ht="15" x14ac:dyDescent="0.2">
      <c r="A2808" s="7">
        <v>731010</v>
      </c>
      <c r="B2808" s="3" t="s">
        <v>1443</v>
      </c>
      <c r="C2808" s="25">
        <v>0</v>
      </c>
      <c r="D2808" s="25">
        <v>0</v>
      </c>
      <c r="E2808" s="18">
        <f t="shared" si="511"/>
        <v>0</v>
      </c>
    </row>
    <row r="2809" spans="1:5" ht="15" x14ac:dyDescent="0.2">
      <c r="A2809" s="7">
        <v>731095</v>
      </c>
      <c r="B2809" s="3" t="s">
        <v>1444</v>
      </c>
      <c r="C2809" s="25">
        <v>0</v>
      </c>
      <c r="D2809" s="25">
        <v>0</v>
      </c>
      <c r="E2809" s="18">
        <f t="shared" si="511"/>
        <v>0</v>
      </c>
    </row>
    <row r="2810" spans="1:5" ht="15" x14ac:dyDescent="0.2">
      <c r="A2810" s="6">
        <v>7311</v>
      </c>
      <c r="B2810" s="2" t="s">
        <v>1459</v>
      </c>
      <c r="C2810" s="24">
        <f>SUM(C2811:C2821)</f>
        <v>0</v>
      </c>
      <c r="D2810" s="24">
        <f t="shared" ref="D2810:E2810" si="512">SUM(D2811:D2821)</f>
        <v>0</v>
      </c>
      <c r="E2810" s="17">
        <f t="shared" si="512"/>
        <v>0</v>
      </c>
    </row>
    <row r="2811" spans="1:5" ht="15" x14ac:dyDescent="0.2">
      <c r="A2811" s="7">
        <v>731101</v>
      </c>
      <c r="B2811" s="3" t="s">
        <v>1436</v>
      </c>
      <c r="C2811" s="25">
        <v>0</v>
      </c>
      <c r="D2811" s="25">
        <v>0</v>
      </c>
      <c r="E2811" s="18">
        <f t="shared" ref="E2811:E2821" si="513">SUM(C2811:D2811)</f>
        <v>0</v>
      </c>
    </row>
    <row r="2812" spans="1:5" ht="15" x14ac:dyDescent="0.2">
      <c r="A2812" s="7">
        <v>731102</v>
      </c>
      <c r="B2812" s="3" t="s">
        <v>1437</v>
      </c>
      <c r="C2812" s="25">
        <v>0</v>
      </c>
      <c r="D2812" s="25">
        <v>0</v>
      </c>
      <c r="E2812" s="18">
        <f t="shared" si="513"/>
        <v>0</v>
      </c>
    </row>
    <row r="2813" spans="1:5" ht="15" x14ac:dyDescent="0.2">
      <c r="A2813" s="7">
        <v>731103</v>
      </c>
      <c r="B2813" s="3" t="s">
        <v>568</v>
      </c>
      <c r="C2813" s="25">
        <v>0</v>
      </c>
      <c r="D2813" s="25">
        <v>0</v>
      </c>
      <c r="E2813" s="18">
        <f t="shared" si="513"/>
        <v>0</v>
      </c>
    </row>
    <row r="2814" spans="1:5" ht="15" x14ac:dyDescent="0.2">
      <c r="A2814" s="7">
        <v>731104</v>
      </c>
      <c r="B2814" s="3" t="s">
        <v>1438</v>
      </c>
      <c r="C2814" s="25">
        <v>0</v>
      </c>
      <c r="D2814" s="25">
        <v>0</v>
      </c>
      <c r="E2814" s="18">
        <f t="shared" si="513"/>
        <v>0</v>
      </c>
    </row>
    <row r="2815" spans="1:5" ht="15" x14ac:dyDescent="0.2">
      <c r="A2815" s="7">
        <v>731105</v>
      </c>
      <c r="B2815" s="3" t="s">
        <v>569</v>
      </c>
      <c r="C2815" s="25">
        <v>0</v>
      </c>
      <c r="D2815" s="25">
        <v>0</v>
      </c>
      <c r="E2815" s="18">
        <f t="shared" si="513"/>
        <v>0</v>
      </c>
    </row>
    <row r="2816" spans="1:5" ht="15" x14ac:dyDescent="0.2">
      <c r="A2816" s="7">
        <v>731106</v>
      </c>
      <c r="B2816" s="3" t="s">
        <v>1439</v>
      </c>
      <c r="C2816" s="25">
        <v>0</v>
      </c>
      <c r="D2816" s="25">
        <v>0</v>
      </c>
      <c r="E2816" s="18">
        <f t="shared" si="513"/>
        <v>0</v>
      </c>
    </row>
    <row r="2817" spans="1:5" ht="15" x14ac:dyDescent="0.2">
      <c r="A2817" s="7">
        <v>731107</v>
      </c>
      <c r="B2817" s="3" t="s">
        <v>1440</v>
      </c>
      <c r="C2817" s="25">
        <v>0</v>
      </c>
      <c r="D2817" s="25">
        <v>0</v>
      </c>
      <c r="E2817" s="18">
        <f t="shared" si="513"/>
        <v>0</v>
      </c>
    </row>
    <row r="2818" spans="1:5" ht="15" x14ac:dyDescent="0.2">
      <c r="A2818" s="7">
        <v>731108</v>
      </c>
      <c r="B2818" s="3" t="s">
        <v>1441</v>
      </c>
      <c r="C2818" s="25">
        <v>0</v>
      </c>
      <c r="D2818" s="25">
        <v>0</v>
      </c>
      <c r="E2818" s="18">
        <f t="shared" si="513"/>
        <v>0</v>
      </c>
    </row>
    <row r="2819" spans="1:5" ht="15" x14ac:dyDescent="0.2">
      <c r="A2819" s="7">
        <v>731109</v>
      </c>
      <c r="B2819" s="3" t="s">
        <v>1442</v>
      </c>
      <c r="C2819" s="25">
        <v>0</v>
      </c>
      <c r="D2819" s="25">
        <v>0</v>
      </c>
      <c r="E2819" s="18">
        <f t="shared" si="513"/>
        <v>0</v>
      </c>
    </row>
    <row r="2820" spans="1:5" ht="15" x14ac:dyDescent="0.2">
      <c r="A2820" s="7">
        <v>731110</v>
      </c>
      <c r="B2820" s="3" t="s">
        <v>1443</v>
      </c>
      <c r="C2820" s="25">
        <v>0</v>
      </c>
      <c r="D2820" s="25">
        <v>0</v>
      </c>
      <c r="E2820" s="18">
        <f t="shared" si="513"/>
        <v>0</v>
      </c>
    </row>
    <row r="2821" spans="1:5" ht="15" x14ac:dyDescent="0.2">
      <c r="A2821" s="7">
        <v>731195</v>
      </c>
      <c r="B2821" s="3" t="s">
        <v>1444</v>
      </c>
      <c r="C2821" s="25">
        <v>0</v>
      </c>
      <c r="D2821" s="25">
        <v>0</v>
      </c>
      <c r="E2821" s="18">
        <f t="shared" si="513"/>
        <v>0</v>
      </c>
    </row>
    <row r="2822" spans="1:5" ht="15" x14ac:dyDescent="0.2">
      <c r="A2822" s="6">
        <v>7312</v>
      </c>
      <c r="B2822" s="2" t="s">
        <v>1460</v>
      </c>
      <c r="C2822" s="24">
        <f>SUM(C2823:C2833)</f>
        <v>0</v>
      </c>
      <c r="D2822" s="24">
        <f t="shared" ref="D2822:E2822" si="514">SUM(D2823:D2833)</f>
        <v>0</v>
      </c>
      <c r="E2822" s="17">
        <f t="shared" si="514"/>
        <v>0</v>
      </c>
    </row>
    <row r="2823" spans="1:5" ht="15" x14ac:dyDescent="0.2">
      <c r="A2823" s="7">
        <v>731201</v>
      </c>
      <c r="B2823" s="3" t="s">
        <v>1436</v>
      </c>
      <c r="C2823" s="25">
        <v>0</v>
      </c>
      <c r="D2823" s="25">
        <v>0</v>
      </c>
      <c r="E2823" s="18">
        <f t="shared" ref="E2823:E2833" si="515">SUM(C2823:D2823)</f>
        <v>0</v>
      </c>
    </row>
    <row r="2824" spans="1:5" ht="15" x14ac:dyDescent="0.2">
      <c r="A2824" s="7">
        <v>731202</v>
      </c>
      <c r="B2824" s="3" t="s">
        <v>1437</v>
      </c>
      <c r="C2824" s="25">
        <v>0</v>
      </c>
      <c r="D2824" s="25">
        <v>0</v>
      </c>
      <c r="E2824" s="18">
        <f t="shared" si="515"/>
        <v>0</v>
      </c>
    </row>
    <row r="2825" spans="1:5" ht="15" x14ac:dyDescent="0.2">
      <c r="A2825" s="7">
        <v>731203</v>
      </c>
      <c r="B2825" s="3" t="s">
        <v>568</v>
      </c>
      <c r="C2825" s="25">
        <v>0</v>
      </c>
      <c r="D2825" s="25">
        <v>0</v>
      </c>
      <c r="E2825" s="18">
        <f t="shared" si="515"/>
        <v>0</v>
      </c>
    </row>
    <row r="2826" spans="1:5" ht="15" x14ac:dyDescent="0.2">
      <c r="A2826" s="7">
        <v>731204</v>
      </c>
      <c r="B2826" s="3" t="s">
        <v>1438</v>
      </c>
      <c r="C2826" s="25">
        <v>0</v>
      </c>
      <c r="D2826" s="25">
        <v>0</v>
      </c>
      <c r="E2826" s="18">
        <f t="shared" si="515"/>
        <v>0</v>
      </c>
    </row>
    <row r="2827" spans="1:5" ht="15" x14ac:dyDescent="0.2">
      <c r="A2827" s="7">
        <v>731205</v>
      </c>
      <c r="B2827" s="3" t="s">
        <v>569</v>
      </c>
      <c r="C2827" s="25">
        <v>0</v>
      </c>
      <c r="D2827" s="25">
        <v>0</v>
      </c>
      <c r="E2827" s="18">
        <f t="shared" si="515"/>
        <v>0</v>
      </c>
    </row>
    <row r="2828" spans="1:5" ht="15" x14ac:dyDescent="0.2">
      <c r="A2828" s="7">
        <v>731206</v>
      </c>
      <c r="B2828" s="3" t="s">
        <v>1439</v>
      </c>
      <c r="C2828" s="25">
        <v>0</v>
      </c>
      <c r="D2828" s="25">
        <v>0</v>
      </c>
      <c r="E2828" s="18">
        <f t="shared" si="515"/>
        <v>0</v>
      </c>
    </row>
    <row r="2829" spans="1:5" ht="15" x14ac:dyDescent="0.2">
      <c r="A2829" s="7">
        <v>731207</v>
      </c>
      <c r="B2829" s="3" t="s">
        <v>1440</v>
      </c>
      <c r="C2829" s="25">
        <v>0</v>
      </c>
      <c r="D2829" s="25">
        <v>0</v>
      </c>
      <c r="E2829" s="18">
        <f t="shared" si="515"/>
        <v>0</v>
      </c>
    </row>
    <row r="2830" spans="1:5" ht="15" x14ac:dyDescent="0.2">
      <c r="A2830" s="7">
        <v>731208</v>
      </c>
      <c r="B2830" s="3" t="s">
        <v>1441</v>
      </c>
      <c r="C2830" s="25">
        <v>0</v>
      </c>
      <c r="D2830" s="25">
        <v>0</v>
      </c>
      <c r="E2830" s="18">
        <f t="shared" si="515"/>
        <v>0</v>
      </c>
    </row>
    <row r="2831" spans="1:5" ht="15" x14ac:dyDescent="0.2">
      <c r="A2831" s="7">
        <v>731209</v>
      </c>
      <c r="B2831" s="3" t="s">
        <v>1442</v>
      </c>
      <c r="C2831" s="25">
        <v>0</v>
      </c>
      <c r="D2831" s="25">
        <v>0</v>
      </c>
      <c r="E2831" s="18">
        <f t="shared" si="515"/>
        <v>0</v>
      </c>
    </row>
    <row r="2832" spans="1:5" ht="15" x14ac:dyDescent="0.2">
      <c r="A2832" s="7">
        <v>731210</v>
      </c>
      <c r="B2832" s="3" t="s">
        <v>1443</v>
      </c>
      <c r="C2832" s="25">
        <v>0</v>
      </c>
      <c r="D2832" s="25">
        <v>0</v>
      </c>
      <c r="E2832" s="18">
        <f t="shared" si="515"/>
        <v>0</v>
      </c>
    </row>
    <row r="2833" spans="1:5" ht="15" x14ac:dyDescent="0.2">
      <c r="A2833" s="7">
        <v>731295</v>
      </c>
      <c r="B2833" s="3" t="s">
        <v>1444</v>
      </c>
      <c r="C2833" s="25">
        <v>0</v>
      </c>
      <c r="D2833" s="25">
        <v>0</v>
      </c>
      <c r="E2833" s="18">
        <f t="shared" si="515"/>
        <v>0</v>
      </c>
    </row>
    <row r="2834" spans="1:5" ht="15" x14ac:dyDescent="0.2">
      <c r="A2834" s="6">
        <v>7313</v>
      </c>
      <c r="B2834" s="2" t="s">
        <v>1461</v>
      </c>
      <c r="C2834" s="24">
        <f>SUM(C2835:C2845)</f>
        <v>0</v>
      </c>
      <c r="D2834" s="24">
        <f t="shared" ref="D2834:E2834" si="516">SUM(D2835:D2845)</f>
        <v>0</v>
      </c>
      <c r="E2834" s="17">
        <f t="shared" si="516"/>
        <v>0</v>
      </c>
    </row>
    <row r="2835" spans="1:5" ht="15" x14ac:dyDescent="0.2">
      <c r="A2835" s="7">
        <v>731301</v>
      </c>
      <c r="B2835" s="3" t="s">
        <v>1436</v>
      </c>
      <c r="C2835" s="25">
        <v>0</v>
      </c>
      <c r="D2835" s="25">
        <v>0</v>
      </c>
      <c r="E2835" s="18">
        <f t="shared" ref="E2835:E2845" si="517">SUM(C2835:D2835)</f>
        <v>0</v>
      </c>
    </row>
    <row r="2836" spans="1:5" ht="15" x14ac:dyDescent="0.2">
      <c r="A2836" s="7">
        <v>731302</v>
      </c>
      <c r="B2836" s="3" t="s">
        <v>1437</v>
      </c>
      <c r="C2836" s="25">
        <v>0</v>
      </c>
      <c r="D2836" s="25">
        <v>0</v>
      </c>
      <c r="E2836" s="18">
        <f t="shared" si="517"/>
        <v>0</v>
      </c>
    </row>
    <row r="2837" spans="1:5" ht="15" x14ac:dyDescent="0.2">
      <c r="A2837" s="7">
        <v>731303</v>
      </c>
      <c r="B2837" s="3" t="s">
        <v>568</v>
      </c>
      <c r="C2837" s="25">
        <v>0</v>
      </c>
      <c r="D2837" s="25">
        <v>0</v>
      </c>
      <c r="E2837" s="18">
        <f t="shared" si="517"/>
        <v>0</v>
      </c>
    </row>
    <row r="2838" spans="1:5" ht="15" x14ac:dyDescent="0.2">
      <c r="A2838" s="7">
        <v>731304</v>
      </c>
      <c r="B2838" s="3" t="s">
        <v>1438</v>
      </c>
      <c r="C2838" s="25">
        <v>0</v>
      </c>
      <c r="D2838" s="25">
        <v>0</v>
      </c>
      <c r="E2838" s="18">
        <f t="shared" si="517"/>
        <v>0</v>
      </c>
    </row>
    <row r="2839" spans="1:5" ht="15" x14ac:dyDescent="0.2">
      <c r="A2839" s="7">
        <v>731305</v>
      </c>
      <c r="B2839" s="3" t="s">
        <v>569</v>
      </c>
      <c r="C2839" s="25">
        <v>0</v>
      </c>
      <c r="D2839" s="25">
        <v>0</v>
      </c>
      <c r="E2839" s="18">
        <f t="shared" si="517"/>
        <v>0</v>
      </c>
    </row>
    <row r="2840" spans="1:5" ht="15" x14ac:dyDescent="0.2">
      <c r="A2840" s="7">
        <v>731306</v>
      </c>
      <c r="B2840" s="3" t="s">
        <v>1439</v>
      </c>
      <c r="C2840" s="25">
        <v>0</v>
      </c>
      <c r="D2840" s="25">
        <v>0</v>
      </c>
      <c r="E2840" s="18">
        <f t="shared" si="517"/>
        <v>0</v>
      </c>
    </row>
    <row r="2841" spans="1:5" ht="15" x14ac:dyDescent="0.2">
      <c r="A2841" s="7">
        <v>731307</v>
      </c>
      <c r="B2841" s="3" t="s">
        <v>1440</v>
      </c>
      <c r="C2841" s="25">
        <v>0</v>
      </c>
      <c r="D2841" s="25">
        <v>0</v>
      </c>
      <c r="E2841" s="18">
        <f t="shared" si="517"/>
        <v>0</v>
      </c>
    </row>
    <row r="2842" spans="1:5" ht="15" x14ac:dyDescent="0.2">
      <c r="A2842" s="7">
        <v>731308</v>
      </c>
      <c r="B2842" s="3" t="s">
        <v>1441</v>
      </c>
      <c r="C2842" s="25">
        <v>0</v>
      </c>
      <c r="D2842" s="25">
        <v>0</v>
      </c>
      <c r="E2842" s="18">
        <f t="shared" si="517"/>
        <v>0</v>
      </c>
    </row>
    <row r="2843" spans="1:5" ht="15" x14ac:dyDescent="0.2">
      <c r="A2843" s="7">
        <v>731309</v>
      </c>
      <c r="B2843" s="3" t="s">
        <v>1442</v>
      </c>
      <c r="C2843" s="25">
        <v>0</v>
      </c>
      <c r="D2843" s="25">
        <v>0</v>
      </c>
      <c r="E2843" s="18">
        <f t="shared" si="517"/>
        <v>0</v>
      </c>
    </row>
    <row r="2844" spans="1:5" ht="15" x14ac:dyDescent="0.2">
      <c r="A2844" s="7">
        <v>731310</v>
      </c>
      <c r="B2844" s="3" t="s">
        <v>1443</v>
      </c>
      <c r="C2844" s="25">
        <v>0</v>
      </c>
      <c r="D2844" s="25">
        <v>0</v>
      </c>
      <c r="E2844" s="18">
        <f t="shared" si="517"/>
        <v>0</v>
      </c>
    </row>
    <row r="2845" spans="1:5" ht="15" x14ac:dyDescent="0.2">
      <c r="A2845" s="7">
        <v>731395</v>
      </c>
      <c r="B2845" s="3" t="s">
        <v>1444</v>
      </c>
      <c r="C2845" s="25">
        <v>0</v>
      </c>
      <c r="D2845" s="25">
        <v>0</v>
      </c>
      <c r="E2845" s="18">
        <f t="shared" si="517"/>
        <v>0</v>
      </c>
    </row>
    <row r="2846" spans="1:5" ht="15" x14ac:dyDescent="0.2">
      <c r="A2846" s="6">
        <v>7314</v>
      </c>
      <c r="B2846" s="2" t="s">
        <v>1462</v>
      </c>
      <c r="C2846" s="24">
        <f>SUM(C2847:C2857)</f>
        <v>0</v>
      </c>
      <c r="D2846" s="24">
        <f t="shared" ref="D2846:E2846" si="518">SUM(D2847:D2857)</f>
        <v>0</v>
      </c>
      <c r="E2846" s="17">
        <f t="shared" si="518"/>
        <v>0</v>
      </c>
    </row>
    <row r="2847" spans="1:5" ht="15" x14ac:dyDescent="0.2">
      <c r="A2847" s="7">
        <v>731401</v>
      </c>
      <c r="B2847" s="3" t="s">
        <v>1436</v>
      </c>
      <c r="C2847" s="25">
        <v>0</v>
      </c>
      <c r="D2847" s="25">
        <v>0</v>
      </c>
      <c r="E2847" s="18">
        <f t="shared" ref="E2847:E2857" si="519">SUM(C2847:D2847)</f>
        <v>0</v>
      </c>
    </row>
    <row r="2848" spans="1:5" ht="15" x14ac:dyDescent="0.2">
      <c r="A2848" s="7">
        <v>731402</v>
      </c>
      <c r="B2848" s="3" t="s">
        <v>1437</v>
      </c>
      <c r="C2848" s="25">
        <v>0</v>
      </c>
      <c r="D2848" s="25">
        <v>0</v>
      </c>
      <c r="E2848" s="18">
        <f t="shared" si="519"/>
        <v>0</v>
      </c>
    </row>
    <row r="2849" spans="1:5" ht="15" x14ac:dyDescent="0.2">
      <c r="A2849" s="7">
        <v>731403</v>
      </c>
      <c r="B2849" s="3" t="s">
        <v>568</v>
      </c>
      <c r="C2849" s="25">
        <v>0</v>
      </c>
      <c r="D2849" s="25">
        <v>0</v>
      </c>
      <c r="E2849" s="18">
        <f t="shared" si="519"/>
        <v>0</v>
      </c>
    </row>
    <row r="2850" spans="1:5" ht="15" x14ac:dyDescent="0.2">
      <c r="A2850" s="7">
        <v>731404</v>
      </c>
      <c r="B2850" s="3" t="s">
        <v>1438</v>
      </c>
      <c r="C2850" s="25">
        <v>0</v>
      </c>
      <c r="D2850" s="25">
        <v>0</v>
      </c>
      <c r="E2850" s="18">
        <f t="shared" si="519"/>
        <v>0</v>
      </c>
    </row>
    <row r="2851" spans="1:5" ht="15" x14ac:dyDescent="0.2">
      <c r="A2851" s="7">
        <v>731405</v>
      </c>
      <c r="B2851" s="3" t="s">
        <v>569</v>
      </c>
      <c r="C2851" s="25">
        <v>0</v>
      </c>
      <c r="D2851" s="25">
        <v>0</v>
      </c>
      <c r="E2851" s="18">
        <f t="shared" si="519"/>
        <v>0</v>
      </c>
    </row>
    <row r="2852" spans="1:5" ht="15" x14ac:dyDescent="0.2">
      <c r="A2852" s="7">
        <v>731406</v>
      </c>
      <c r="B2852" s="3" t="s">
        <v>1439</v>
      </c>
      <c r="C2852" s="25">
        <v>0</v>
      </c>
      <c r="D2852" s="25">
        <v>0</v>
      </c>
      <c r="E2852" s="18">
        <f t="shared" si="519"/>
        <v>0</v>
      </c>
    </row>
    <row r="2853" spans="1:5" ht="15" x14ac:dyDescent="0.2">
      <c r="A2853" s="7">
        <v>731407</v>
      </c>
      <c r="B2853" s="3" t="s">
        <v>1440</v>
      </c>
      <c r="C2853" s="25">
        <v>0</v>
      </c>
      <c r="D2853" s="25">
        <v>0</v>
      </c>
      <c r="E2853" s="18">
        <f t="shared" si="519"/>
        <v>0</v>
      </c>
    </row>
    <row r="2854" spans="1:5" ht="15" x14ac:dyDescent="0.2">
      <c r="A2854" s="7">
        <v>731408</v>
      </c>
      <c r="B2854" s="3" t="s">
        <v>1441</v>
      </c>
      <c r="C2854" s="25">
        <v>0</v>
      </c>
      <c r="D2854" s="25">
        <v>0</v>
      </c>
      <c r="E2854" s="18">
        <f t="shared" si="519"/>
        <v>0</v>
      </c>
    </row>
    <row r="2855" spans="1:5" ht="15" x14ac:dyDescent="0.2">
      <c r="A2855" s="7">
        <v>731409</v>
      </c>
      <c r="B2855" s="3" t="s">
        <v>1442</v>
      </c>
      <c r="C2855" s="25">
        <v>0</v>
      </c>
      <c r="D2855" s="25">
        <v>0</v>
      </c>
      <c r="E2855" s="18">
        <f t="shared" si="519"/>
        <v>0</v>
      </c>
    </row>
    <row r="2856" spans="1:5" ht="15" x14ac:dyDescent="0.2">
      <c r="A2856" s="7">
        <v>731410</v>
      </c>
      <c r="B2856" s="3" t="s">
        <v>1443</v>
      </c>
      <c r="C2856" s="25">
        <v>0</v>
      </c>
      <c r="D2856" s="25">
        <v>0</v>
      </c>
      <c r="E2856" s="18">
        <f t="shared" si="519"/>
        <v>0</v>
      </c>
    </row>
    <row r="2857" spans="1:5" ht="15" x14ac:dyDescent="0.2">
      <c r="A2857" s="7">
        <v>731495</v>
      </c>
      <c r="B2857" s="3" t="s">
        <v>1444</v>
      </c>
      <c r="C2857" s="25">
        <v>0</v>
      </c>
      <c r="D2857" s="25">
        <v>0</v>
      </c>
      <c r="E2857" s="18">
        <f t="shared" si="519"/>
        <v>0</v>
      </c>
    </row>
    <row r="2858" spans="1:5" ht="15" x14ac:dyDescent="0.2">
      <c r="A2858" s="6">
        <v>7320</v>
      </c>
      <c r="B2858" s="2" t="s">
        <v>1463</v>
      </c>
      <c r="C2858" s="24">
        <f>SUM(C2859:C2869)</f>
        <v>0</v>
      </c>
      <c r="D2858" s="24">
        <f t="shared" ref="D2858:E2858" si="520">SUM(D2859:D2869)</f>
        <v>0</v>
      </c>
      <c r="E2858" s="17">
        <f t="shared" si="520"/>
        <v>0</v>
      </c>
    </row>
    <row r="2859" spans="1:5" ht="15" x14ac:dyDescent="0.2">
      <c r="A2859" s="7">
        <v>732001</v>
      </c>
      <c r="B2859" s="3" t="s">
        <v>1436</v>
      </c>
      <c r="C2859" s="25">
        <v>0</v>
      </c>
      <c r="D2859" s="25">
        <v>0</v>
      </c>
      <c r="E2859" s="18">
        <f t="shared" ref="E2859:E2869" si="521">SUM(C2859:D2859)</f>
        <v>0</v>
      </c>
    </row>
    <row r="2860" spans="1:5" ht="15" x14ac:dyDescent="0.2">
      <c r="A2860" s="7">
        <v>732002</v>
      </c>
      <c r="B2860" s="3" t="s">
        <v>1437</v>
      </c>
      <c r="C2860" s="25">
        <v>0</v>
      </c>
      <c r="D2860" s="25">
        <v>0</v>
      </c>
      <c r="E2860" s="18">
        <f t="shared" si="521"/>
        <v>0</v>
      </c>
    </row>
    <row r="2861" spans="1:5" ht="15" x14ac:dyDescent="0.2">
      <c r="A2861" s="7">
        <v>732003</v>
      </c>
      <c r="B2861" s="3" t="s">
        <v>568</v>
      </c>
      <c r="C2861" s="25">
        <v>0</v>
      </c>
      <c r="D2861" s="25">
        <v>0</v>
      </c>
      <c r="E2861" s="18">
        <f t="shared" si="521"/>
        <v>0</v>
      </c>
    </row>
    <row r="2862" spans="1:5" ht="15" x14ac:dyDescent="0.2">
      <c r="A2862" s="7">
        <v>732004</v>
      </c>
      <c r="B2862" s="3" t="s">
        <v>1438</v>
      </c>
      <c r="C2862" s="25">
        <v>0</v>
      </c>
      <c r="D2862" s="25">
        <v>0</v>
      </c>
      <c r="E2862" s="18">
        <f t="shared" si="521"/>
        <v>0</v>
      </c>
    </row>
    <row r="2863" spans="1:5" ht="15" x14ac:dyDescent="0.2">
      <c r="A2863" s="7">
        <v>732005</v>
      </c>
      <c r="B2863" s="3" t="s">
        <v>569</v>
      </c>
      <c r="C2863" s="25">
        <v>0</v>
      </c>
      <c r="D2863" s="25">
        <v>0</v>
      </c>
      <c r="E2863" s="18">
        <f t="shared" si="521"/>
        <v>0</v>
      </c>
    </row>
    <row r="2864" spans="1:5" ht="15" x14ac:dyDescent="0.2">
      <c r="A2864" s="7">
        <v>732006</v>
      </c>
      <c r="B2864" s="3" t="s">
        <v>1439</v>
      </c>
      <c r="C2864" s="25">
        <v>0</v>
      </c>
      <c r="D2864" s="25">
        <v>0</v>
      </c>
      <c r="E2864" s="18">
        <f t="shared" si="521"/>
        <v>0</v>
      </c>
    </row>
    <row r="2865" spans="1:5" ht="15" x14ac:dyDescent="0.2">
      <c r="A2865" s="7">
        <v>732007</v>
      </c>
      <c r="B2865" s="3" t="s">
        <v>1440</v>
      </c>
      <c r="C2865" s="25">
        <v>0</v>
      </c>
      <c r="D2865" s="25">
        <v>0</v>
      </c>
      <c r="E2865" s="18">
        <f t="shared" si="521"/>
        <v>0</v>
      </c>
    </row>
    <row r="2866" spans="1:5" ht="15" x14ac:dyDescent="0.2">
      <c r="A2866" s="7">
        <v>732008</v>
      </c>
      <c r="B2866" s="3" t="s">
        <v>1441</v>
      </c>
      <c r="C2866" s="25">
        <v>0</v>
      </c>
      <c r="D2866" s="25">
        <v>0</v>
      </c>
      <c r="E2866" s="18">
        <f t="shared" si="521"/>
        <v>0</v>
      </c>
    </row>
    <row r="2867" spans="1:5" ht="15" x14ac:dyDescent="0.2">
      <c r="A2867" s="7">
        <v>732009</v>
      </c>
      <c r="B2867" s="3" t="s">
        <v>1442</v>
      </c>
      <c r="C2867" s="25">
        <v>0</v>
      </c>
      <c r="D2867" s="25">
        <v>0</v>
      </c>
      <c r="E2867" s="18">
        <f t="shared" si="521"/>
        <v>0</v>
      </c>
    </row>
    <row r="2868" spans="1:5" ht="15" x14ac:dyDescent="0.2">
      <c r="A2868" s="7">
        <v>732010</v>
      </c>
      <c r="B2868" s="3" t="s">
        <v>1443</v>
      </c>
      <c r="C2868" s="25">
        <v>0</v>
      </c>
      <c r="D2868" s="25">
        <v>0</v>
      </c>
      <c r="E2868" s="18">
        <f t="shared" si="521"/>
        <v>0</v>
      </c>
    </row>
    <row r="2869" spans="1:5" ht="15" x14ac:dyDescent="0.2">
      <c r="A2869" s="7">
        <v>732095</v>
      </c>
      <c r="B2869" s="3" t="s">
        <v>1444</v>
      </c>
      <c r="C2869" s="25">
        <v>0</v>
      </c>
      <c r="D2869" s="25">
        <v>0</v>
      </c>
      <c r="E2869" s="18">
        <f t="shared" si="521"/>
        <v>0</v>
      </c>
    </row>
    <row r="2870" spans="1:5" ht="15" x14ac:dyDescent="0.2">
      <c r="A2870" s="6">
        <v>7321</v>
      </c>
      <c r="B2870" s="2" t="s">
        <v>1464</v>
      </c>
      <c r="C2870" s="24">
        <f>SUM(C2871:C2881)</f>
        <v>0</v>
      </c>
      <c r="D2870" s="24">
        <f t="shared" ref="D2870:E2870" si="522">SUM(D2871:D2881)</f>
        <v>0</v>
      </c>
      <c r="E2870" s="17">
        <f t="shared" si="522"/>
        <v>0</v>
      </c>
    </row>
    <row r="2871" spans="1:5" ht="15" x14ac:dyDescent="0.2">
      <c r="A2871" s="7">
        <v>732101</v>
      </c>
      <c r="B2871" s="3" t="s">
        <v>1436</v>
      </c>
      <c r="C2871" s="25">
        <v>0</v>
      </c>
      <c r="D2871" s="25">
        <v>0</v>
      </c>
      <c r="E2871" s="18">
        <f t="shared" ref="E2871:E2881" si="523">SUM(C2871:D2871)</f>
        <v>0</v>
      </c>
    </row>
    <row r="2872" spans="1:5" ht="15" x14ac:dyDescent="0.2">
      <c r="A2872" s="7">
        <v>732102</v>
      </c>
      <c r="B2872" s="3" t="s">
        <v>1437</v>
      </c>
      <c r="C2872" s="25">
        <v>0</v>
      </c>
      <c r="D2872" s="25">
        <v>0</v>
      </c>
      <c r="E2872" s="18">
        <f t="shared" si="523"/>
        <v>0</v>
      </c>
    </row>
    <row r="2873" spans="1:5" ht="15" x14ac:dyDescent="0.2">
      <c r="A2873" s="7">
        <v>732103</v>
      </c>
      <c r="B2873" s="3" t="s">
        <v>568</v>
      </c>
      <c r="C2873" s="25">
        <v>0</v>
      </c>
      <c r="D2873" s="25">
        <v>0</v>
      </c>
      <c r="E2873" s="18">
        <f t="shared" si="523"/>
        <v>0</v>
      </c>
    </row>
    <row r="2874" spans="1:5" ht="15" x14ac:dyDescent="0.2">
      <c r="A2874" s="7">
        <v>732104</v>
      </c>
      <c r="B2874" s="3" t="s">
        <v>1438</v>
      </c>
      <c r="C2874" s="25">
        <v>0</v>
      </c>
      <c r="D2874" s="25">
        <v>0</v>
      </c>
      <c r="E2874" s="18">
        <f t="shared" si="523"/>
        <v>0</v>
      </c>
    </row>
    <row r="2875" spans="1:5" ht="15" x14ac:dyDescent="0.2">
      <c r="A2875" s="7">
        <v>732105</v>
      </c>
      <c r="B2875" s="3" t="s">
        <v>569</v>
      </c>
      <c r="C2875" s="25">
        <v>0</v>
      </c>
      <c r="D2875" s="25">
        <v>0</v>
      </c>
      <c r="E2875" s="18">
        <f t="shared" si="523"/>
        <v>0</v>
      </c>
    </row>
    <row r="2876" spans="1:5" ht="15" x14ac:dyDescent="0.2">
      <c r="A2876" s="7">
        <v>732106</v>
      </c>
      <c r="B2876" s="3" t="s">
        <v>1439</v>
      </c>
      <c r="C2876" s="25">
        <v>0</v>
      </c>
      <c r="D2876" s="25">
        <v>0</v>
      </c>
      <c r="E2876" s="18">
        <f t="shared" si="523"/>
        <v>0</v>
      </c>
    </row>
    <row r="2877" spans="1:5" ht="15" x14ac:dyDescent="0.2">
      <c r="A2877" s="7">
        <v>732107</v>
      </c>
      <c r="B2877" s="3" t="s">
        <v>1440</v>
      </c>
      <c r="C2877" s="25">
        <v>0</v>
      </c>
      <c r="D2877" s="25">
        <v>0</v>
      </c>
      <c r="E2877" s="18">
        <f t="shared" si="523"/>
        <v>0</v>
      </c>
    </row>
    <row r="2878" spans="1:5" ht="15" x14ac:dyDescent="0.2">
      <c r="A2878" s="7">
        <v>732108</v>
      </c>
      <c r="B2878" s="3" t="s">
        <v>1441</v>
      </c>
      <c r="C2878" s="25">
        <v>0</v>
      </c>
      <c r="D2878" s="25">
        <v>0</v>
      </c>
      <c r="E2878" s="18">
        <f t="shared" si="523"/>
        <v>0</v>
      </c>
    </row>
    <row r="2879" spans="1:5" ht="15" x14ac:dyDescent="0.2">
      <c r="A2879" s="7">
        <v>732109</v>
      </c>
      <c r="B2879" s="3" t="s">
        <v>1442</v>
      </c>
      <c r="C2879" s="25">
        <v>0</v>
      </c>
      <c r="D2879" s="25">
        <v>0</v>
      </c>
      <c r="E2879" s="18">
        <f t="shared" si="523"/>
        <v>0</v>
      </c>
    </row>
    <row r="2880" spans="1:5" ht="15" x14ac:dyDescent="0.2">
      <c r="A2880" s="7">
        <v>732110</v>
      </c>
      <c r="B2880" s="3" t="s">
        <v>1443</v>
      </c>
      <c r="C2880" s="25">
        <v>0</v>
      </c>
      <c r="D2880" s="25">
        <v>0</v>
      </c>
      <c r="E2880" s="18">
        <f t="shared" si="523"/>
        <v>0</v>
      </c>
    </row>
    <row r="2881" spans="1:5" ht="15" x14ac:dyDescent="0.2">
      <c r="A2881" s="7">
        <v>732195</v>
      </c>
      <c r="B2881" s="3" t="s">
        <v>1444</v>
      </c>
      <c r="C2881" s="25">
        <v>0</v>
      </c>
      <c r="D2881" s="25">
        <v>0</v>
      </c>
      <c r="E2881" s="18">
        <f t="shared" si="523"/>
        <v>0</v>
      </c>
    </row>
    <row r="2882" spans="1:5" ht="15" x14ac:dyDescent="0.2">
      <c r="A2882" s="6">
        <v>7322</v>
      </c>
      <c r="B2882" s="2" t="s">
        <v>1465</v>
      </c>
      <c r="C2882" s="24">
        <f>SUM(C2883:C2893)</f>
        <v>0</v>
      </c>
      <c r="D2882" s="24">
        <f t="shared" ref="D2882:E2882" si="524">SUM(D2883:D2893)</f>
        <v>0</v>
      </c>
      <c r="E2882" s="17">
        <f t="shared" si="524"/>
        <v>0</v>
      </c>
    </row>
    <row r="2883" spans="1:5" ht="15" x14ac:dyDescent="0.2">
      <c r="A2883" s="7">
        <v>732201</v>
      </c>
      <c r="B2883" s="3" t="s">
        <v>1436</v>
      </c>
      <c r="C2883" s="25">
        <v>0</v>
      </c>
      <c r="D2883" s="25">
        <v>0</v>
      </c>
      <c r="E2883" s="18">
        <f t="shared" ref="E2883:E2893" si="525">SUM(C2883:D2883)</f>
        <v>0</v>
      </c>
    </row>
    <row r="2884" spans="1:5" ht="15" x14ac:dyDescent="0.2">
      <c r="A2884" s="7">
        <v>732202</v>
      </c>
      <c r="B2884" s="3" t="s">
        <v>1437</v>
      </c>
      <c r="C2884" s="25">
        <v>0</v>
      </c>
      <c r="D2884" s="25">
        <v>0</v>
      </c>
      <c r="E2884" s="18">
        <f t="shared" si="525"/>
        <v>0</v>
      </c>
    </row>
    <row r="2885" spans="1:5" ht="15" x14ac:dyDescent="0.2">
      <c r="A2885" s="7">
        <v>732203</v>
      </c>
      <c r="B2885" s="3" t="s">
        <v>568</v>
      </c>
      <c r="C2885" s="25">
        <v>0</v>
      </c>
      <c r="D2885" s="25">
        <v>0</v>
      </c>
      <c r="E2885" s="18">
        <f t="shared" si="525"/>
        <v>0</v>
      </c>
    </row>
    <row r="2886" spans="1:5" ht="15" x14ac:dyDescent="0.2">
      <c r="A2886" s="7">
        <v>732204</v>
      </c>
      <c r="B2886" s="3" t="s">
        <v>1438</v>
      </c>
      <c r="C2886" s="25">
        <v>0</v>
      </c>
      <c r="D2886" s="25">
        <v>0</v>
      </c>
      <c r="E2886" s="18">
        <f t="shared" si="525"/>
        <v>0</v>
      </c>
    </row>
    <row r="2887" spans="1:5" ht="15" x14ac:dyDescent="0.2">
      <c r="A2887" s="7">
        <v>732205</v>
      </c>
      <c r="B2887" s="3" t="s">
        <v>569</v>
      </c>
      <c r="C2887" s="25">
        <v>0</v>
      </c>
      <c r="D2887" s="25">
        <v>0</v>
      </c>
      <c r="E2887" s="18">
        <f t="shared" si="525"/>
        <v>0</v>
      </c>
    </row>
    <row r="2888" spans="1:5" ht="15" x14ac:dyDescent="0.2">
      <c r="A2888" s="7">
        <v>732206</v>
      </c>
      <c r="B2888" s="3" t="s">
        <v>1439</v>
      </c>
      <c r="C2888" s="25">
        <v>0</v>
      </c>
      <c r="D2888" s="25">
        <v>0</v>
      </c>
      <c r="E2888" s="18">
        <f t="shared" si="525"/>
        <v>0</v>
      </c>
    </row>
    <row r="2889" spans="1:5" ht="15" x14ac:dyDescent="0.2">
      <c r="A2889" s="7">
        <v>732207</v>
      </c>
      <c r="B2889" s="3" t="s">
        <v>1440</v>
      </c>
      <c r="C2889" s="25">
        <v>0</v>
      </c>
      <c r="D2889" s="25">
        <v>0</v>
      </c>
      <c r="E2889" s="18">
        <f t="shared" si="525"/>
        <v>0</v>
      </c>
    </row>
    <row r="2890" spans="1:5" ht="15" x14ac:dyDescent="0.2">
      <c r="A2890" s="7">
        <v>732208</v>
      </c>
      <c r="B2890" s="3" t="s">
        <v>1441</v>
      </c>
      <c r="C2890" s="25">
        <v>0</v>
      </c>
      <c r="D2890" s="25">
        <v>0</v>
      </c>
      <c r="E2890" s="18">
        <f t="shared" si="525"/>
        <v>0</v>
      </c>
    </row>
    <row r="2891" spans="1:5" ht="15" x14ac:dyDescent="0.2">
      <c r="A2891" s="7">
        <v>732209</v>
      </c>
      <c r="B2891" s="3" t="s">
        <v>1442</v>
      </c>
      <c r="C2891" s="25">
        <v>0</v>
      </c>
      <c r="D2891" s="25">
        <v>0</v>
      </c>
      <c r="E2891" s="18">
        <f t="shared" si="525"/>
        <v>0</v>
      </c>
    </row>
    <row r="2892" spans="1:5" ht="15" x14ac:dyDescent="0.2">
      <c r="A2892" s="7">
        <v>732210</v>
      </c>
      <c r="B2892" s="3" t="s">
        <v>1443</v>
      </c>
      <c r="C2892" s="25">
        <v>0</v>
      </c>
      <c r="D2892" s="25">
        <v>0</v>
      </c>
      <c r="E2892" s="18">
        <f t="shared" si="525"/>
        <v>0</v>
      </c>
    </row>
    <row r="2893" spans="1:5" ht="15" x14ac:dyDescent="0.2">
      <c r="A2893" s="7">
        <v>732295</v>
      </c>
      <c r="B2893" s="3" t="s">
        <v>1444</v>
      </c>
      <c r="C2893" s="25">
        <v>0</v>
      </c>
      <c r="D2893" s="25">
        <v>0</v>
      </c>
      <c r="E2893" s="18">
        <f t="shared" si="525"/>
        <v>0</v>
      </c>
    </row>
    <row r="2894" spans="1:5" ht="15" x14ac:dyDescent="0.2">
      <c r="A2894" s="6">
        <v>7323</v>
      </c>
      <c r="B2894" s="2" t="s">
        <v>1466</v>
      </c>
      <c r="C2894" s="24">
        <f>SUM(C2895:C2905)</f>
        <v>0</v>
      </c>
      <c r="D2894" s="24">
        <f t="shared" ref="D2894:E2894" si="526">SUM(D2895:D2905)</f>
        <v>0</v>
      </c>
      <c r="E2894" s="17">
        <f t="shared" si="526"/>
        <v>0</v>
      </c>
    </row>
    <row r="2895" spans="1:5" ht="15" x14ac:dyDescent="0.2">
      <c r="A2895" s="7">
        <v>732301</v>
      </c>
      <c r="B2895" s="3" t="s">
        <v>1436</v>
      </c>
      <c r="C2895" s="25">
        <v>0</v>
      </c>
      <c r="D2895" s="25">
        <v>0</v>
      </c>
      <c r="E2895" s="18">
        <f t="shared" ref="E2895:E2905" si="527">SUM(C2895:D2895)</f>
        <v>0</v>
      </c>
    </row>
    <row r="2896" spans="1:5" ht="15" x14ac:dyDescent="0.2">
      <c r="A2896" s="7">
        <v>732302</v>
      </c>
      <c r="B2896" s="3" t="s">
        <v>1437</v>
      </c>
      <c r="C2896" s="25">
        <v>0</v>
      </c>
      <c r="D2896" s="25">
        <v>0</v>
      </c>
      <c r="E2896" s="18">
        <f t="shared" si="527"/>
        <v>0</v>
      </c>
    </row>
    <row r="2897" spans="1:5" ht="15" x14ac:dyDescent="0.2">
      <c r="A2897" s="7">
        <v>732303</v>
      </c>
      <c r="B2897" s="3" t="s">
        <v>568</v>
      </c>
      <c r="C2897" s="25">
        <v>0</v>
      </c>
      <c r="D2897" s="25">
        <v>0</v>
      </c>
      <c r="E2897" s="18">
        <f t="shared" si="527"/>
        <v>0</v>
      </c>
    </row>
    <row r="2898" spans="1:5" ht="15" x14ac:dyDescent="0.2">
      <c r="A2898" s="7">
        <v>732304</v>
      </c>
      <c r="B2898" s="3" t="s">
        <v>1438</v>
      </c>
      <c r="C2898" s="25">
        <v>0</v>
      </c>
      <c r="D2898" s="25">
        <v>0</v>
      </c>
      <c r="E2898" s="18">
        <f t="shared" si="527"/>
        <v>0</v>
      </c>
    </row>
    <row r="2899" spans="1:5" ht="15" x14ac:dyDescent="0.2">
      <c r="A2899" s="7">
        <v>732305</v>
      </c>
      <c r="B2899" s="3" t="s">
        <v>569</v>
      </c>
      <c r="C2899" s="25">
        <v>0</v>
      </c>
      <c r="D2899" s="25">
        <v>0</v>
      </c>
      <c r="E2899" s="18">
        <f t="shared" si="527"/>
        <v>0</v>
      </c>
    </row>
    <row r="2900" spans="1:5" ht="15" x14ac:dyDescent="0.2">
      <c r="A2900" s="7">
        <v>732306</v>
      </c>
      <c r="B2900" s="3" t="s">
        <v>1439</v>
      </c>
      <c r="C2900" s="25">
        <v>0</v>
      </c>
      <c r="D2900" s="25">
        <v>0</v>
      </c>
      <c r="E2900" s="18">
        <f t="shared" si="527"/>
        <v>0</v>
      </c>
    </row>
    <row r="2901" spans="1:5" ht="15" x14ac:dyDescent="0.2">
      <c r="A2901" s="7">
        <v>732307</v>
      </c>
      <c r="B2901" s="3" t="s">
        <v>1440</v>
      </c>
      <c r="C2901" s="25">
        <v>0</v>
      </c>
      <c r="D2901" s="25">
        <v>0</v>
      </c>
      <c r="E2901" s="18">
        <f t="shared" si="527"/>
        <v>0</v>
      </c>
    </row>
    <row r="2902" spans="1:5" ht="15" x14ac:dyDescent="0.2">
      <c r="A2902" s="7">
        <v>732308</v>
      </c>
      <c r="B2902" s="3" t="s">
        <v>1441</v>
      </c>
      <c r="C2902" s="25">
        <v>0</v>
      </c>
      <c r="D2902" s="25">
        <v>0</v>
      </c>
      <c r="E2902" s="18">
        <f t="shared" si="527"/>
        <v>0</v>
      </c>
    </row>
    <row r="2903" spans="1:5" ht="15" x14ac:dyDescent="0.2">
      <c r="A2903" s="7">
        <v>732309</v>
      </c>
      <c r="B2903" s="3" t="s">
        <v>1442</v>
      </c>
      <c r="C2903" s="25">
        <v>0</v>
      </c>
      <c r="D2903" s="25">
        <v>0</v>
      </c>
      <c r="E2903" s="18">
        <f t="shared" si="527"/>
        <v>0</v>
      </c>
    </row>
    <row r="2904" spans="1:5" ht="15" x14ac:dyDescent="0.2">
      <c r="A2904" s="7">
        <v>732310</v>
      </c>
      <c r="B2904" s="3" t="s">
        <v>1443</v>
      </c>
      <c r="C2904" s="25">
        <v>0</v>
      </c>
      <c r="D2904" s="25">
        <v>0</v>
      </c>
      <c r="E2904" s="18">
        <f t="shared" si="527"/>
        <v>0</v>
      </c>
    </row>
    <row r="2905" spans="1:5" ht="15" x14ac:dyDescent="0.2">
      <c r="A2905" s="7">
        <v>732395</v>
      </c>
      <c r="B2905" s="3" t="s">
        <v>1444</v>
      </c>
      <c r="C2905" s="25">
        <v>0</v>
      </c>
      <c r="D2905" s="25">
        <v>0</v>
      </c>
      <c r="E2905" s="18">
        <f t="shared" si="527"/>
        <v>0</v>
      </c>
    </row>
    <row r="2906" spans="1:5" ht="15" x14ac:dyDescent="0.2">
      <c r="A2906" s="6">
        <v>7324</v>
      </c>
      <c r="B2906" s="2" t="s">
        <v>1467</v>
      </c>
      <c r="C2906" s="24">
        <f>SUM(C2907:C2917)</f>
        <v>0</v>
      </c>
      <c r="D2906" s="24">
        <f t="shared" ref="D2906:E2906" si="528">SUM(D2907:D2917)</f>
        <v>0</v>
      </c>
      <c r="E2906" s="17">
        <f t="shared" si="528"/>
        <v>0</v>
      </c>
    </row>
    <row r="2907" spans="1:5" ht="15" x14ac:dyDescent="0.2">
      <c r="A2907" s="7">
        <v>732401</v>
      </c>
      <c r="B2907" s="3" t="s">
        <v>1436</v>
      </c>
      <c r="C2907" s="25">
        <v>0</v>
      </c>
      <c r="D2907" s="25">
        <v>0</v>
      </c>
      <c r="E2907" s="18">
        <f t="shared" ref="E2907:E2917" si="529">SUM(C2907:D2907)</f>
        <v>0</v>
      </c>
    </row>
    <row r="2908" spans="1:5" ht="15" x14ac:dyDescent="0.2">
      <c r="A2908" s="7">
        <v>732402</v>
      </c>
      <c r="B2908" s="3" t="s">
        <v>1437</v>
      </c>
      <c r="C2908" s="25">
        <v>0</v>
      </c>
      <c r="D2908" s="25">
        <v>0</v>
      </c>
      <c r="E2908" s="18">
        <f t="shared" si="529"/>
        <v>0</v>
      </c>
    </row>
    <row r="2909" spans="1:5" ht="15" x14ac:dyDescent="0.2">
      <c r="A2909" s="7">
        <v>732403</v>
      </c>
      <c r="B2909" s="3" t="s">
        <v>568</v>
      </c>
      <c r="C2909" s="25">
        <v>0</v>
      </c>
      <c r="D2909" s="25">
        <v>0</v>
      </c>
      <c r="E2909" s="18">
        <f t="shared" si="529"/>
        <v>0</v>
      </c>
    </row>
    <row r="2910" spans="1:5" ht="15" x14ac:dyDescent="0.2">
      <c r="A2910" s="7">
        <v>732404</v>
      </c>
      <c r="B2910" s="3" t="s">
        <v>1438</v>
      </c>
      <c r="C2910" s="25">
        <v>0</v>
      </c>
      <c r="D2910" s="25">
        <v>0</v>
      </c>
      <c r="E2910" s="18">
        <f t="shared" si="529"/>
        <v>0</v>
      </c>
    </row>
    <row r="2911" spans="1:5" ht="15" x14ac:dyDescent="0.2">
      <c r="A2911" s="7">
        <v>732405</v>
      </c>
      <c r="B2911" s="3" t="s">
        <v>569</v>
      </c>
      <c r="C2911" s="25">
        <v>0</v>
      </c>
      <c r="D2911" s="25">
        <v>0</v>
      </c>
      <c r="E2911" s="18">
        <f t="shared" si="529"/>
        <v>0</v>
      </c>
    </row>
    <row r="2912" spans="1:5" ht="15" x14ac:dyDescent="0.2">
      <c r="A2912" s="7">
        <v>732406</v>
      </c>
      <c r="B2912" s="3" t="s">
        <v>1439</v>
      </c>
      <c r="C2912" s="25">
        <v>0</v>
      </c>
      <c r="D2912" s="25">
        <v>0</v>
      </c>
      <c r="E2912" s="18">
        <f t="shared" si="529"/>
        <v>0</v>
      </c>
    </row>
    <row r="2913" spans="1:5" ht="15" x14ac:dyDescent="0.2">
      <c r="A2913" s="7">
        <v>732407</v>
      </c>
      <c r="B2913" s="3" t="s">
        <v>1440</v>
      </c>
      <c r="C2913" s="25">
        <v>0</v>
      </c>
      <c r="D2913" s="25">
        <v>0</v>
      </c>
      <c r="E2913" s="18">
        <f t="shared" si="529"/>
        <v>0</v>
      </c>
    </row>
    <row r="2914" spans="1:5" ht="15" x14ac:dyDescent="0.2">
      <c r="A2914" s="7">
        <v>732408</v>
      </c>
      <c r="B2914" s="3" t="s">
        <v>1441</v>
      </c>
      <c r="C2914" s="25">
        <v>0</v>
      </c>
      <c r="D2914" s="25">
        <v>0</v>
      </c>
      <c r="E2914" s="18">
        <f t="shared" si="529"/>
        <v>0</v>
      </c>
    </row>
    <row r="2915" spans="1:5" ht="15" x14ac:dyDescent="0.2">
      <c r="A2915" s="7">
        <v>732409</v>
      </c>
      <c r="B2915" s="3" t="s">
        <v>1442</v>
      </c>
      <c r="C2915" s="25">
        <v>0</v>
      </c>
      <c r="D2915" s="25">
        <v>0</v>
      </c>
      <c r="E2915" s="18">
        <f t="shared" si="529"/>
        <v>0</v>
      </c>
    </row>
    <row r="2916" spans="1:5" ht="15" x14ac:dyDescent="0.2">
      <c r="A2916" s="7">
        <v>732410</v>
      </c>
      <c r="B2916" s="3" t="s">
        <v>1443</v>
      </c>
      <c r="C2916" s="25">
        <v>0</v>
      </c>
      <c r="D2916" s="25">
        <v>0</v>
      </c>
      <c r="E2916" s="18">
        <f t="shared" si="529"/>
        <v>0</v>
      </c>
    </row>
    <row r="2917" spans="1:5" ht="15" x14ac:dyDescent="0.2">
      <c r="A2917" s="7">
        <v>732495</v>
      </c>
      <c r="B2917" s="3" t="s">
        <v>1444</v>
      </c>
      <c r="C2917" s="25">
        <v>0</v>
      </c>
      <c r="D2917" s="25">
        <v>0</v>
      </c>
      <c r="E2917" s="18">
        <f t="shared" si="529"/>
        <v>0</v>
      </c>
    </row>
    <row r="2918" spans="1:5" ht="15" x14ac:dyDescent="0.2">
      <c r="A2918" s="6">
        <v>7325</v>
      </c>
      <c r="B2918" s="2" t="s">
        <v>1468</v>
      </c>
      <c r="C2918" s="24">
        <f>SUM(C2919:C2929)</f>
        <v>0</v>
      </c>
      <c r="D2918" s="24">
        <f t="shared" ref="D2918:E2918" si="530">SUM(D2919:D2929)</f>
        <v>0</v>
      </c>
      <c r="E2918" s="17">
        <f t="shared" si="530"/>
        <v>0</v>
      </c>
    </row>
    <row r="2919" spans="1:5" ht="15" x14ac:dyDescent="0.2">
      <c r="A2919" s="7">
        <v>732501</v>
      </c>
      <c r="B2919" s="3" t="s">
        <v>1436</v>
      </c>
      <c r="C2919" s="25">
        <v>0</v>
      </c>
      <c r="D2919" s="25">
        <v>0</v>
      </c>
      <c r="E2919" s="18">
        <f t="shared" ref="E2919:E2929" si="531">SUM(C2919:D2919)</f>
        <v>0</v>
      </c>
    </row>
    <row r="2920" spans="1:5" ht="15" x14ac:dyDescent="0.2">
      <c r="A2920" s="7">
        <v>732502</v>
      </c>
      <c r="B2920" s="3" t="s">
        <v>1437</v>
      </c>
      <c r="C2920" s="25">
        <v>0</v>
      </c>
      <c r="D2920" s="25">
        <v>0</v>
      </c>
      <c r="E2920" s="18">
        <f t="shared" si="531"/>
        <v>0</v>
      </c>
    </row>
    <row r="2921" spans="1:5" ht="15" x14ac:dyDescent="0.2">
      <c r="A2921" s="7">
        <v>732503</v>
      </c>
      <c r="B2921" s="3" t="s">
        <v>568</v>
      </c>
      <c r="C2921" s="25">
        <v>0</v>
      </c>
      <c r="D2921" s="25">
        <v>0</v>
      </c>
      <c r="E2921" s="18">
        <f t="shared" si="531"/>
        <v>0</v>
      </c>
    </row>
    <row r="2922" spans="1:5" ht="15" x14ac:dyDescent="0.2">
      <c r="A2922" s="7">
        <v>732504</v>
      </c>
      <c r="B2922" s="3" t="s">
        <v>1438</v>
      </c>
      <c r="C2922" s="25">
        <v>0</v>
      </c>
      <c r="D2922" s="25">
        <v>0</v>
      </c>
      <c r="E2922" s="18">
        <f t="shared" si="531"/>
        <v>0</v>
      </c>
    </row>
    <row r="2923" spans="1:5" ht="15" x14ac:dyDescent="0.2">
      <c r="A2923" s="7">
        <v>732505</v>
      </c>
      <c r="B2923" s="3" t="s">
        <v>569</v>
      </c>
      <c r="C2923" s="25">
        <v>0</v>
      </c>
      <c r="D2923" s="25">
        <v>0</v>
      </c>
      <c r="E2923" s="18">
        <f t="shared" si="531"/>
        <v>0</v>
      </c>
    </row>
    <row r="2924" spans="1:5" ht="15" x14ac:dyDescent="0.2">
      <c r="A2924" s="7">
        <v>732506</v>
      </c>
      <c r="B2924" s="3" t="s">
        <v>1439</v>
      </c>
      <c r="C2924" s="25">
        <v>0</v>
      </c>
      <c r="D2924" s="25">
        <v>0</v>
      </c>
      <c r="E2924" s="18">
        <f t="shared" si="531"/>
        <v>0</v>
      </c>
    </row>
    <row r="2925" spans="1:5" ht="15" x14ac:dyDescent="0.2">
      <c r="A2925" s="7">
        <v>732507</v>
      </c>
      <c r="B2925" s="3" t="s">
        <v>1440</v>
      </c>
      <c r="C2925" s="25">
        <v>0</v>
      </c>
      <c r="D2925" s="25">
        <v>0</v>
      </c>
      <c r="E2925" s="18">
        <f t="shared" si="531"/>
        <v>0</v>
      </c>
    </row>
    <row r="2926" spans="1:5" ht="15" x14ac:dyDescent="0.2">
      <c r="A2926" s="7">
        <v>732508</v>
      </c>
      <c r="B2926" s="3" t="s">
        <v>1441</v>
      </c>
      <c r="C2926" s="25">
        <v>0</v>
      </c>
      <c r="D2926" s="25">
        <v>0</v>
      </c>
      <c r="E2926" s="18">
        <f t="shared" si="531"/>
        <v>0</v>
      </c>
    </row>
    <row r="2927" spans="1:5" ht="15" x14ac:dyDescent="0.2">
      <c r="A2927" s="7">
        <v>732509</v>
      </c>
      <c r="B2927" s="3" t="s">
        <v>1442</v>
      </c>
      <c r="C2927" s="25">
        <v>0</v>
      </c>
      <c r="D2927" s="25">
        <v>0</v>
      </c>
      <c r="E2927" s="18">
        <f t="shared" si="531"/>
        <v>0</v>
      </c>
    </row>
    <row r="2928" spans="1:5" ht="15" x14ac:dyDescent="0.2">
      <c r="A2928" s="7">
        <v>732510</v>
      </c>
      <c r="B2928" s="3" t="s">
        <v>1443</v>
      </c>
      <c r="C2928" s="25">
        <v>0</v>
      </c>
      <c r="D2928" s="25">
        <v>0</v>
      </c>
      <c r="E2928" s="18">
        <f t="shared" si="531"/>
        <v>0</v>
      </c>
    </row>
    <row r="2929" spans="1:5" ht="15" x14ac:dyDescent="0.2">
      <c r="A2929" s="7">
        <v>732595</v>
      </c>
      <c r="B2929" s="3" t="s">
        <v>1444</v>
      </c>
      <c r="C2929" s="25">
        <v>0</v>
      </c>
      <c r="D2929" s="25">
        <v>0</v>
      </c>
      <c r="E2929" s="18">
        <f t="shared" si="531"/>
        <v>0</v>
      </c>
    </row>
    <row r="2930" spans="1:5" ht="15" x14ac:dyDescent="0.2">
      <c r="A2930" s="6">
        <v>7326</v>
      </c>
      <c r="B2930" s="2" t="s">
        <v>1469</v>
      </c>
      <c r="C2930" s="24">
        <f>SUM(C2931:C2941)</f>
        <v>0</v>
      </c>
      <c r="D2930" s="24">
        <f t="shared" ref="D2930:E2930" si="532">SUM(D2931:D2941)</f>
        <v>0</v>
      </c>
      <c r="E2930" s="17">
        <f t="shared" si="532"/>
        <v>0</v>
      </c>
    </row>
    <row r="2931" spans="1:5" ht="15" x14ac:dyDescent="0.2">
      <c r="A2931" s="7">
        <v>732601</v>
      </c>
      <c r="B2931" s="3" t="s">
        <v>1436</v>
      </c>
      <c r="C2931" s="25">
        <v>0</v>
      </c>
      <c r="D2931" s="25">
        <v>0</v>
      </c>
      <c r="E2931" s="18">
        <f t="shared" ref="E2931:E2941" si="533">SUM(C2931:D2931)</f>
        <v>0</v>
      </c>
    </row>
    <row r="2932" spans="1:5" ht="15" x14ac:dyDescent="0.2">
      <c r="A2932" s="7">
        <v>732602</v>
      </c>
      <c r="B2932" s="3" t="s">
        <v>1437</v>
      </c>
      <c r="C2932" s="25">
        <v>0</v>
      </c>
      <c r="D2932" s="25">
        <v>0</v>
      </c>
      <c r="E2932" s="18">
        <f t="shared" si="533"/>
        <v>0</v>
      </c>
    </row>
    <row r="2933" spans="1:5" ht="15" x14ac:dyDescent="0.2">
      <c r="A2933" s="7">
        <v>732603</v>
      </c>
      <c r="B2933" s="3" t="s">
        <v>568</v>
      </c>
      <c r="C2933" s="25">
        <v>0</v>
      </c>
      <c r="D2933" s="25">
        <v>0</v>
      </c>
      <c r="E2933" s="18">
        <f t="shared" si="533"/>
        <v>0</v>
      </c>
    </row>
    <row r="2934" spans="1:5" ht="15" x14ac:dyDescent="0.2">
      <c r="A2934" s="7">
        <v>732604</v>
      </c>
      <c r="B2934" s="3" t="s">
        <v>1438</v>
      </c>
      <c r="C2934" s="25">
        <v>0</v>
      </c>
      <c r="D2934" s="25">
        <v>0</v>
      </c>
      <c r="E2934" s="18">
        <f t="shared" si="533"/>
        <v>0</v>
      </c>
    </row>
    <row r="2935" spans="1:5" ht="15" x14ac:dyDescent="0.2">
      <c r="A2935" s="7">
        <v>732605</v>
      </c>
      <c r="B2935" s="3" t="s">
        <v>569</v>
      </c>
      <c r="C2935" s="25">
        <v>0</v>
      </c>
      <c r="D2935" s="25">
        <v>0</v>
      </c>
      <c r="E2935" s="18">
        <f t="shared" si="533"/>
        <v>0</v>
      </c>
    </row>
    <row r="2936" spans="1:5" ht="15" x14ac:dyDescent="0.2">
      <c r="A2936" s="7">
        <v>732606</v>
      </c>
      <c r="B2936" s="3" t="s">
        <v>1439</v>
      </c>
      <c r="C2936" s="25">
        <v>0</v>
      </c>
      <c r="D2936" s="25">
        <v>0</v>
      </c>
      <c r="E2936" s="18">
        <f t="shared" si="533"/>
        <v>0</v>
      </c>
    </row>
    <row r="2937" spans="1:5" ht="15" x14ac:dyDescent="0.2">
      <c r="A2937" s="7">
        <v>732607</v>
      </c>
      <c r="B2937" s="3" t="s">
        <v>1440</v>
      </c>
      <c r="C2937" s="25">
        <v>0</v>
      </c>
      <c r="D2937" s="25">
        <v>0</v>
      </c>
      <c r="E2937" s="18">
        <f t="shared" si="533"/>
        <v>0</v>
      </c>
    </row>
    <row r="2938" spans="1:5" ht="15" x14ac:dyDescent="0.2">
      <c r="A2938" s="7">
        <v>732608</v>
      </c>
      <c r="B2938" s="3" t="s">
        <v>1441</v>
      </c>
      <c r="C2938" s="25">
        <v>0</v>
      </c>
      <c r="D2938" s="25">
        <v>0</v>
      </c>
      <c r="E2938" s="18">
        <f t="shared" si="533"/>
        <v>0</v>
      </c>
    </row>
    <row r="2939" spans="1:5" ht="15" x14ac:dyDescent="0.2">
      <c r="A2939" s="7">
        <v>732609</v>
      </c>
      <c r="B2939" s="3" t="s">
        <v>1442</v>
      </c>
      <c r="C2939" s="25">
        <v>0</v>
      </c>
      <c r="D2939" s="25">
        <v>0</v>
      </c>
      <c r="E2939" s="18">
        <f t="shared" si="533"/>
        <v>0</v>
      </c>
    </row>
    <row r="2940" spans="1:5" ht="15" x14ac:dyDescent="0.2">
      <c r="A2940" s="7">
        <v>732610</v>
      </c>
      <c r="B2940" s="3" t="s">
        <v>1443</v>
      </c>
      <c r="C2940" s="25">
        <v>0</v>
      </c>
      <c r="D2940" s="25">
        <v>0</v>
      </c>
      <c r="E2940" s="18">
        <f t="shared" si="533"/>
        <v>0</v>
      </c>
    </row>
    <row r="2941" spans="1:5" ht="15" x14ac:dyDescent="0.2">
      <c r="A2941" s="7">
        <v>732695</v>
      </c>
      <c r="B2941" s="3" t="s">
        <v>1444</v>
      </c>
      <c r="C2941" s="25">
        <v>0</v>
      </c>
      <c r="D2941" s="25">
        <v>0</v>
      </c>
      <c r="E2941" s="18">
        <f t="shared" si="533"/>
        <v>0</v>
      </c>
    </row>
    <row r="2942" spans="1:5" ht="15" x14ac:dyDescent="0.2">
      <c r="A2942" s="6">
        <v>7330</v>
      </c>
      <c r="B2942" s="2" t="s">
        <v>1470</v>
      </c>
      <c r="C2942" s="24">
        <f>SUM(C2943:C2953)</f>
        <v>0</v>
      </c>
      <c r="D2942" s="24">
        <f t="shared" ref="D2942:E2942" si="534">SUM(D2943:D2953)</f>
        <v>0</v>
      </c>
      <c r="E2942" s="17">
        <f t="shared" si="534"/>
        <v>0</v>
      </c>
    </row>
    <row r="2943" spans="1:5" ht="15" x14ac:dyDescent="0.2">
      <c r="A2943" s="7">
        <v>733001</v>
      </c>
      <c r="B2943" s="3" t="s">
        <v>1436</v>
      </c>
      <c r="C2943" s="25">
        <v>0</v>
      </c>
      <c r="D2943" s="25">
        <v>0</v>
      </c>
      <c r="E2943" s="18">
        <f t="shared" ref="E2943:E2953" si="535">SUM(C2943:D2943)</f>
        <v>0</v>
      </c>
    </row>
    <row r="2944" spans="1:5" ht="15" x14ac:dyDescent="0.2">
      <c r="A2944" s="7">
        <v>733002</v>
      </c>
      <c r="B2944" s="3" t="s">
        <v>1437</v>
      </c>
      <c r="C2944" s="25">
        <v>0</v>
      </c>
      <c r="D2944" s="25">
        <v>0</v>
      </c>
      <c r="E2944" s="18">
        <f t="shared" si="535"/>
        <v>0</v>
      </c>
    </row>
    <row r="2945" spans="1:5" ht="15" x14ac:dyDescent="0.2">
      <c r="A2945" s="7">
        <v>733003</v>
      </c>
      <c r="B2945" s="3" t="s">
        <v>568</v>
      </c>
      <c r="C2945" s="25">
        <v>0</v>
      </c>
      <c r="D2945" s="25">
        <v>0</v>
      </c>
      <c r="E2945" s="18">
        <f t="shared" si="535"/>
        <v>0</v>
      </c>
    </row>
    <row r="2946" spans="1:5" ht="15" x14ac:dyDescent="0.2">
      <c r="A2946" s="7">
        <v>733004</v>
      </c>
      <c r="B2946" s="3" t="s">
        <v>1438</v>
      </c>
      <c r="C2946" s="25">
        <v>0</v>
      </c>
      <c r="D2946" s="25">
        <v>0</v>
      </c>
      <c r="E2946" s="18">
        <f t="shared" si="535"/>
        <v>0</v>
      </c>
    </row>
    <row r="2947" spans="1:5" ht="15" x14ac:dyDescent="0.2">
      <c r="A2947" s="7">
        <v>733005</v>
      </c>
      <c r="B2947" s="3" t="s">
        <v>569</v>
      </c>
      <c r="C2947" s="25">
        <v>0</v>
      </c>
      <c r="D2947" s="25">
        <v>0</v>
      </c>
      <c r="E2947" s="18">
        <f t="shared" si="535"/>
        <v>0</v>
      </c>
    </row>
    <row r="2948" spans="1:5" ht="15" x14ac:dyDescent="0.2">
      <c r="A2948" s="7">
        <v>733006</v>
      </c>
      <c r="B2948" s="3" t="s">
        <v>1439</v>
      </c>
      <c r="C2948" s="25">
        <v>0</v>
      </c>
      <c r="D2948" s="25">
        <v>0</v>
      </c>
      <c r="E2948" s="18">
        <f t="shared" si="535"/>
        <v>0</v>
      </c>
    </row>
    <row r="2949" spans="1:5" ht="15" x14ac:dyDescent="0.2">
      <c r="A2949" s="7">
        <v>733007</v>
      </c>
      <c r="B2949" s="3" t="s">
        <v>1440</v>
      </c>
      <c r="C2949" s="25">
        <v>0</v>
      </c>
      <c r="D2949" s="25">
        <v>0</v>
      </c>
      <c r="E2949" s="18">
        <f t="shared" si="535"/>
        <v>0</v>
      </c>
    </row>
    <row r="2950" spans="1:5" ht="15" x14ac:dyDescent="0.2">
      <c r="A2950" s="7">
        <v>733008</v>
      </c>
      <c r="B2950" s="3" t="s">
        <v>1441</v>
      </c>
      <c r="C2950" s="25">
        <v>0</v>
      </c>
      <c r="D2950" s="25">
        <v>0</v>
      </c>
      <c r="E2950" s="18">
        <f t="shared" si="535"/>
        <v>0</v>
      </c>
    </row>
    <row r="2951" spans="1:5" ht="15" x14ac:dyDescent="0.2">
      <c r="A2951" s="7">
        <v>733009</v>
      </c>
      <c r="B2951" s="3" t="s">
        <v>1442</v>
      </c>
      <c r="C2951" s="25">
        <v>0</v>
      </c>
      <c r="D2951" s="25">
        <v>0</v>
      </c>
      <c r="E2951" s="18">
        <f t="shared" si="535"/>
        <v>0</v>
      </c>
    </row>
    <row r="2952" spans="1:5" ht="15" x14ac:dyDescent="0.2">
      <c r="A2952" s="7">
        <v>733010</v>
      </c>
      <c r="B2952" s="3" t="s">
        <v>1443</v>
      </c>
      <c r="C2952" s="25">
        <v>0</v>
      </c>
      <c r="D2952" s="25">
        <v>0</v>
      </c>
      <c r="E2952" s="18">
        <f t="shared" si="535"/>
        <v>0</v>
      </c>
    </row>
    <row r="2953" spans="1:5" ht="15" x14ac:dyDescent="0.2">
      <c r="A2953" s="7">
        <v>733095</v>
      </c>
      <c r="B2953" s="3" t="s">
        <v>1444</v>
      </c>
      <c r="C2953" s="25">
        <v>0</v>
      </c>
      <c r="D2953" s="25">
        <v>0</v>
      </c>
      <c r="E2953" s="18">
        <f t="shared" si="535"/>
        <v>0</v>
      </c>
    </row>
    <row r="2954" spans="1:5" ht="15" x14ac:dyDescent="0.2">
      <c r="A2954" s="6">
        <v>7331</v>
      </c>
      <c r="B2954" s="2" t="s">
        <v>1471</v>
      </c>
      <c r="C2954" s="24">
        <f>SUM(C2955:C2965)</f>
        <v>0</v>
      </c>
      <c r="D2954" s="24">
        <f t="shared" ref="D2954:E2954" si="536">SUM(D2955:D2965)</f>
        <v>0</v>
      </c>
      <c r="E2954" s="17">
        <f t="shared" si="536"/>
        <v>0</v>
      </c>
    </row>
    <row r="2955" spans="1:5" ht="15" x14ac:dyDescent="0.2">
      <c r="A2955" s="7">
        <v>733101</v>
      </c>
      <c r="B2955" s="3" t="s">
        <v>1436</v>
      </c>
      <c r="C2955" s="25">
        <v>0</v>
      </c>
      <c r="D2955" s="25">
        <v>0</v>
      </c>
      <c r="E2955" s="18">
        <f t="shared" ref="E2955:E2965" si="537">SUM(C2955:D2955)</f>
        <v>0</v>
      </c>
    </row>
    <row r="2956" spans="1:5" ht="15" x14ac:dyDescent="0.2">
      <c r="A2956" s="7">
        <v>733102</v>
      </c>
      <c r="B2956" s="3" t="s">
        <v>1437</v>
      </c>
      <c r="C2956" s="25">
        <v>0</v>
      </c>
      <c r="D2956" s="25">
        <v>0</v>
      </c>
      <c r="E2956" s="18">
        <f t="shared" si="537"/>
        <v>0</v>
      </c>
    </row>
    <row r="2957" spans="1:5" ht="15" x14ac:dyDescent="0.2">
      <c r="A2957" s="7">
        <v>733103</v>
      </c>
      <c r="B2957" s="3" t="s">
        <v>568</v>
      </c>
      <c r="C2957" s="25">
        <v>0</v>
      </c>
      <c r="D2957" s="25">
        <v>0</v>
      </c>
      <c r="E2957" s="18">
        <f t="shared" si="537"/>
        <v>0</v>
      </c>
    </row>
    <row r="2958" spans="1:5" ht="15" x14ac:dyDescent="0.2">
      <c r="A2958" s="7">
        <v>733104</v>
      </c>
      <c r="B2958" s="3" t="s">
        <v>1438</v>
      </c>
      <c r="C2958" s="25">
        <v>0</v>
      </c>
      <c r="D2958" s="25">
        <v>0</v>
      </c>
      <c r="E2958" s="18">
        <f t="shared" si="537"/>
        <v>0</v>
      </c>
    </row>
    <row r="2959" spans="1:5" ht="15" x14ac:dyDescent="0.2">
      <c r="A2959" s="7">
        <v>733105</v>
      </c>
      <c r="B2959" s="3" t="s">
        <v>569</v>
      </c>
      <c r="C2959" s="25">
        <v>0</v>
      </c>
      <c r="D2959" s="25">
        <v>0</v>
      </c>
      <c r="E2959" s="18">
        <f t="shared" si="537"/>
        <v>0</v>
      </c>
    </row>
    <row r="2960" spans="1:5" ht="15" x14ac:dyDescent="0.2">
      <c r="A2960" s="7">
        <v>733106</v>
      </c>
      <c r="B2960" s="3" t="s">
        <v>1439</v>
      </c>
      <c r="C2960" s="25">
        <v>0</v>
      </c>
      <c r="D2960" s="25">
        <v>0</v>
      </c>
      <c r="E2960" s="18">
        <f t="shared" si="537"/>
        <v>0</v>
      </c>
    </row>
    <row r="2961" spans="1:5" ht="15" x14ac:dyDescent="0.2">
      <c r="A2961" s="7">
        <v>733107</v>
      </c>
      <c r="B2961" s="3" t="s">
        <v>1440</v>
      </c>
      <c r="C2961" s="25">
        <v>0</v>
      </c>
      <c r="D2961" s="25">
        <v>0</v>
      </c>
      <c r="E2961" s="18">
        <f t="shared" si="537"/>
        <v>0</v>
      </c>
    </row>
    <row r="2962" spans="1:5" ht="15" x14ac:dyDescent="0.2">
      <c r="A2962" s="7">
        <v>733108</v>
      </c>
      <c r="B2962" s="3" t="s">
        <v>1441</v>
      </c>
      <c r="C2962" s="25">
        <v>0</v>
      </c>
      <c r="D2962" s="25">
        <v>0</v>
      </c>
      <c r="E2962" s="18">
        <f t="shared" si="537"/>
        <v>0</v>
      </c>
    </row>
    <row r="2963" spans="1:5" ht="15" x14ac:dyDescent="0.2">
      <c r="A2963" s="7">
        <v>733109</v>
      </c>
      <c r="B2963" s="3" t="s">
        <v>1442</v>
      </c>
      <c r="C2963" s="25">
        <v>0</v>
      </c>
      <c r="D2963" s="25">
        <v>0</v>
      </c>
      <c r="E2963" s="18">
        <f t="shared" si="537"/>
        <v>0</v>
      </c>
    </row>
    <row r="2964" spans="1:5" ht="15" x14ac:dyDescent="0.2">
      <c r="A2964" s="7">
        <v>733110</v>
      </c>
      <c r="B2964" s="3" t="s">
        <v>1443</v>
      </c>
      <c r="C2964" s="25">
        <v>0</v>
      </c>
      <c r="D2964" s="25">
        <v>0</v>
      </c>
      <c r="E2964" s="18">
        <f t="shared" si="537"/>
        <v>0</v>
      </c>
    </row>
    <row r="2965" spans="1:5" ht="15" x14ac:dyDescent="0.2">
      <c r="A2965" s="7">
        <v>733195</v>
      </c>
      <c r="B2965" s="3" t="s">
        <v>1444</v>
      </c>
      <c r="C2965" s="25">
        <v>0</v>
      </c>
      <c r="D2965" s="25">
        <v>0</v>
      </c>
      <c r="E2965" s="18">
        <f t="shared" si="537"/>
        <v>0</v>
      </c>
    </row>
    <row r="2966" spans="1:5" ht="15" x14ac:dyDescent="0.2">
      <c r="A2966" s="6">
        <v>7340</v>
      </c>
      <c r="B2966" s="2" t="s">
        <v>1472</v>
      </c>
      <c r="C2966" s="24">
        <f>SUM(C2967:C2977)</f>
        <v>0</v>
      </c>
      <c r="D2966" s="24">
        <f t="shared" ref="D2966:E2966" si="538">SUM(D2967:D2977)</f>
        <v>0</v>
      </c>
      <c r="E2966" s="17">
        <f t="shared" si="538"/>
        <v>0</v>
      </c>
    </row>
    <row r="2967" spans="1:5" ht="15" x14ac:dyDescent="0.2">
      <c r="A2967" s="7">
        <v>734001</v>
      </c>
      <c r="B2967" s="3" t="s">
        <v>1436</v>
      </c>
      <c r="C2967" s="25">
        <v>0</v>
      </c>
      <c r="D2967" s="25">
        <v>0</v>
      </c>
      <c r="E2967" s="18">
        <f t="shared" ref="E2967:E2977" si="539">SUM(C2967:D2967)</f>
        <v>0</v>
      </c>
    </row>
    <row r="2968" spans="1:5" ht="15" x14ac:dyDescent="0.2">
      <c r="A2968" s="7">
        <v>734002</v>
      </c>
      <c r="B2968" s="3" t="s">
        <v>1437</v>
      </c>
      <c r="C2968" s="25">
        <v>0</v>
      </c>
      <c r="D2968" s="25">
        <v>0</v>
      </c>
      <c r="E2968" s="18">
        <f t="shared" si="539"/>
        <v>0</v>
      </c>
    </row>
    <row r="2969" spans="1:5" ht="15" x14ac:dyDescent="0.2">
      <c r="A2969" s="7">
        <v>734003</v>
      </c>
      <c r="B2969" s="3" t="s">
        <v>568</v>
      </c>
      <c r="C2969" s="25">
        <v>0</v>
      </c>
      <c r="D2969" s="25">
        <v>0</v>
      </c>
      <c r="E2969" s="18">
        <f t="shared" si="539"/>
        <v>0</v>
      </c>
    </row>
    <row r="2970" spans="1:5" ht="15" x14ac:dyDescent="0.2">
      <c r="A2970" s="7">
        <v>734004</v>
      </c>
      <c r="B2970" s="3" t="s">
        <v>1438</v>
      </c>
      <c r="C2970" s="25">
        <v>0</v>
      </c>
      <c r="D2970" s="25">
        <v>0</v>
      </c>
      <c r="E2970" s="18">
        <f t="shared" si="539"/>
        <v>0</v>
      </c>
    </row>
    <row r="2971" spans="1:5" ht="15" x14ac:dyDescent="0.2">
      <c r="A2971" s="7">
        <v>734005</v>
      </c>
      <c r="B2971" s="3" t="s">
        <v>569</v>
      </c>
      <c r="C2971" s="25">
        <v>0</v>
      </c>
      <c r="D2971" s="25">
        <v>0</v>
      </c>
      <c r="E2971" s="18">
        <f t="shared" si="539"/>
        <v>0</v>
      </c>
    </row>
    <row r="2972" spans="1:5" ht="15" x14ac:dyDescent="0.2">
      <c r="A2972" s="7">
        <v>734006</v>
      </c>
      <c r="B2972" s="3" t="s">
        <v>1439</v>
      </c>
      <c r="C2972" s="25">
        <v>0</v>
      </c>
      <c r="D2972" s="25">
        <v>0</v>
      </c>
      <c r="E2972" s="18">
        <f t="shared" si="539"/>
        <v>0</v>
      </c>
    </row>
    <row r="2973" spans="1:5" ht="15" x14ac:dyDescent="0.2">
      <c r="A2973" s="7">
        <v>734007</v>
      </c>
      <c r="B2973" s="3" t="s">
        <v>1440</v>
      </c>
      <c r="C2973" s="25">
        <v>0</v>
      </c>
      <c r="D2973" s="25">
        <v>0</v>
      </c>
      <c r="E2973" s="18">
        <f t="shared" si="539"/>
        <v>0</v>
      </c>
    </row>
    <row r="2974" spans="1:5" ht="15" x14ac:dyDescent="0.2">
      <c r="A2974" s="7">
        <v>734008</v>
      </c>
      <c r="B2974" s="3" t="s">
        <v>1441</v>
      </c>
      <c r="C2974" s="25">
        <v>0</v>
      </c>
      <c r="D2974" s="25">
        <v>0</v>
      </c>
      <c r="E2974" s="18">
        <f t="shared" si="539"/>
        <v>0</v>
      </c>
    </row>
    <row r="2975" spans="1:5" ht="15" x14ac:dyDescent="0.2">
      <c r="A2975" s="7">
        <v>734009</v>
      </c>
      <c r="B2975" s="3" t="s">
        <v>1442</v>
      </c>
      <c r="C2975" s="25">
        <v>0</v>
      </c>
      <c r="D2975" s="25">
        <v>0</v>
      </c>
      <c r="E2975" s="18">
        <f t="shared" si="539"/>
        <v>0</v>
      </c>
    </row>
    <row r="2976" spans="1:5" ht="15" x14ac:dyDescent="0.2">
      <c r="A2976" s="7">
        <v>734010</v>
      </c>
      <c r="B2976" s="3" t="s">
        <v>1443</v>
      </c>
      <c r="C2976" s="25">
        <v>0</v>
      </c>
      <c r="D2976" s="25">
        <v>0</v>
      </c>
      <c r="E2976" s="18">
        <f t="shared" si="539"/>
        <v>0</v>
      </c>
    </row>
    <row r="2977" spans="1:5" ht="15" x14ac:dyDescent="0.2">
      <c r="A2977" s="7">
        <v>734095</v>
      </c>
      <c r="B2977" s="3" t="s">
        <v>1444</v>
      </c>
      <c r="C2977" s="25">
        <v>0</v>
      </c>
      <c r="D2977" s="25">
        <v>0</v>
      </c>
      <c r="E2977" s="18">
        <f t="shared" si="539"/>
        <v>0</v>
      </c>
    </row>
    <row r="2978" spans="1:5" ht="15" x14ac:dyDescent="0.2">
      <c r="A2978" s="6">
        <v>7341</v>
      </c>
      <c r="B2978" s="2" t="s">
        <v>1473</v>
      </c>
      <c r="C2978" s="24">
        <f>SUM(C2979:C2989)</f>
        <v>0</v>
      </c>
      <c r="D2978" s="24">
        <f t="shared" ref="D2978:E2978" si="540">SUM(D2979:D2989)</f>
        <v>0</v>
      </c>
      <c r="E2978" s="17">
        <f t="shared" si="540"/>
        <v>0</v>
      </c>
    </row>
    <row r="2979" spans="1:5" ht="15" x14ac:dyDescent="0.2">
      <c r="A2979" s="7">
        <v>734101</v>
      </c>
      <c r="B2979" s="3" t="s">
        <v>1436</v>
      </c>
      <c r="C2979" s="25">
        <v>0</v>
      </c>
      <c r="D2979" s="25">
        <v>0</v>
      </c>
      <c r="E2979" s="18">
        <f t="shared" ref="E2979:E2989" si="541">SUM(C2979:D2979)</f>
        <v>0</v>
      </c>
    </row>
    <row r="2980" spans="1:5" ht="15" x14ac:dyDescent="0.2">
      <c r="A2980" s="7">
        <v>734102</v>
      </c>
      <c r="B2980" s="3" t="s">
        <v>1437</v>
      </c>
      <c r="C2980" s="25">
        <v>0</v>
      </c>
      <c r="D2980" s="25">
        <v>0</v>
      </c>
      <c r="E2980" s="18">
        <f t="shared" si="541"/>
        <v>0</v>
      </c>
    </row>
    <row r="2981" spans="1:5" ht="15" x14ac:dyDescent="0.2">
      <c r="A2981" s="7">
        <v>734103</v>
      </c>
      <c r="B2981" s="3" t="s">
        <v>568</v>
      </c>
      <c r="C2981" s="25">
        <v>0</v>
      </c>
      <c r="D2981" s="25">
        <v>0</v>
      </c>
      <c r="E2981" s="18">
        <f t="shared" si="541"/>
        <v>0</v>
      </c>
    </row>
    <row r="2982" spans="1:5" ht="15" x14ac:dyDescent="0.2">
      <c r="A2982" s="7">
        <v>734104</v>
      </c>
      <c r="B2982" s="3" t="s">
        <v>1438</v>
      </c>
      <c r="C2982" s="25">
        <v>0</v>
      </c>
      <c r="D2982" s="25">
        <v>0</v>
      </c>
      <c r="E2982" s="18">
        <f t="shared" si="541"/>
        <v>0</v>
      </c>
    </row>
    <row r="2983" spans="1:5" ht="15" x14ac:dyDescent="0.2">
      <c r="A2983" s="7">
        <v>734105</v>
      </c>
      <c r="B2983" s="3" t="s">
        <v>569</v>
      </c>
      <c r="C2983" s="25">
        <v>0</v>
      </c>
      <c r="D2983" s="25">
        <v>0</v>
      </c>
      <c r="E2983" s="18">
        <f t="shared" si="541"/>
        <v>0</v>
      </c>
    </row>
    <row r="2984" spans="1:5" ht="15" x14ac:dyDescent="0.2">
      <c r="A2984" s="7">
        <v>734106</v>
      </c>
      <c r="B2984" s="3" t="s">
        <v>1439</v>
      </c>
      <c r="C2984" s="25">
        <v>0</v>
      </c>
      <c r="D2984" s="25">
        <v>0</v>
      </c>
      <c r="E2984" s="18">
        <f t="shared" si="541"/>
        <v>0</v>
      </c>
    </row>
    <row r="2985" spans="1:5" ht="15" x14ac:dyDescent="0.2">
      <c r="A2985" s="7">
        <v>734107</v>
      </c>
      <c r="B2985" s="3" t="s">
        <v>1440</v>
      </c>
      <c r="C2985" s="25">
        <v>0</v>
      </c>
      <c r="D2985" s="25">
        <v>0</v>
      </c>
      <c r="E2985" s="18">
        <f t="shared" si="541"/>
        <v>0</v>
      </c>
    </row>
    <row r="2986" spans="1:5" ht="15" x14ac:dyDescent="0.2">
      <c r="A2986" s="7">
        <v>734108</v>
      </c>
      <c r="B2986" s="3" t="s">
        <v>1441</v>
      </c>
      <c r="C2986" s="25">
        <v>0</v>
      </c>
      <c r="D2986" s="25">
        <v>0</v>
      </c>
      <c r="E2986" s="18">
        <f t="shared" si="541"/>
        <v>0</v>
      </c>
    </row>
    <row r="2987" spans="1:5" ht="15" x14ac:dyDescent="0.2">
      <c r="A2987" s="7">
        <v>734109</v>
      </c>
      <c r="B2987" s="3" t="s">
        <v>1442</v>
      </c>
      <c r="C2987" s="25">
        <v>0</v>
      </c>
      <c r="D2987" s="25">
        <v>0</v>
      </c>
      <c r="E2987" s="18">
        <f t="shared" si="541"/>
        <v>0</v>
      </c>
    </row>
    <row r="2988" spans="1:5" ht="15" x14ac:dyDescent="0.2">
      <c r="A2988" s="7">
        <v>734110</v>
      </c>
      <c r="B2988" s="3" t="s">
        <v>1443</v>
      </c>
      <c r="C2988" s="25">
        <v>0</v>
      </c>
      <c r="D2988" s="25">
        <v>0</v>
      </c>
      <c r="E2988" s="18">
        <f t="shared" si="541"/>
        <v>0</v>
      </c>
    </row>
    <row r="2989" spans="1:5" ht="15" x14ac:dyDescent="0.2">
      <c r="A2989" s="7">
        <v>734195</v>
      </c>
      <c r="B2989" s="3" t="s">
        <v>1444</v>
      </c>
      <c r="C2989" s="25">
        <v>0</v>
      </c>
      <c r="D2989" s="25">
        <v>0</v>
      </c>
      <c r="E2989" s="18">
        <f t="shared" si="541"/>
        <v>0</v>
      </c>
    </row>
    <row r="2990" spans="1:5" ht="15" x14ac:dyDescent="0.2">
      <c r="A2990" s="6">
        <v>7342</v>
      </c>
      <c r="B2990" s="2" t="s">
        <v>1474</v>
      </c>
      <c r="C2990" s="24">
        <f>SUM(C2991:C3001)</f>
        <v>0</v>
      </c>
      <c r="D2990" s="24">
        <f t="shared" ref="D2990:E2990" si="542">SUM(D2991:D3001)</f>
        <v>0</v>
      </c>
      <c r="E2990" s="17">
        <f t="shared" si="542"/>
        <v>0</v>
      </c>
    </row>
    <row r="2991" spans="1:5" ht="15" x14ac:dyDescent="0.2">
      <c r="A2991" s="7">
        <v>734201</v>
      </c>
      <c r="B2991" s="3" t="s">
        <v>1436</v>
      </c>
      <c r="C2991" s="25">
        <v>0</v>
      </c>
      <c r="D2991" s="25">
        <v>0</v>
      </c>
      <c r="E2991" s="18">
        <f t="shared" ref="E2991:E3001" si="543">SUM(C2991:D2991)</f>
        <v>0</v>
      </c>
    </row>
    <row r="2992" spans="1:5" ht="15" x14ac:dyDescent="0.2">
      <c r="A2992" s="7">
        <v>734202</v>
      </c>
      <c r="B2992" s="3" t="s">
        <v>1437</v>
      </c>
      <c r="C2992" s="25">
        <v>0</v>
      </c>
      <c r="D2992" s="25">
        <v>0</v>
      </c>
      <c r="E2992" s="18">
        <f t="shared" si="543"/>
        <v>0</v>
      </c>
    </row>
    <row r="2993" spans="1:5" ht="15" x14ac:dyDescent="0.2">
      <c r="A2993" s="7">
        <v>734203</v>
      </c>
      <c r="B2993" s="3" t="s">
        <v>568</v>
      </c>
      <c r="C2993" s="25">
        <v>0</v>
      </c>
      <c r="D2993" s="25">
        <v>0</v>
      </c>
      <c r="E2993" s="18">
        <f t="shared" si="543"/>
        <v>0</v>
      </c>
    </row>
    <row r="2994" spans="1:5" ht="15" x14ac:dyDescent="0.2">
      <c r="A2994" s="7">
        <v>734204</v>
      </c>
      <c r="B2994" s="3" t="s">
        <v>1438</v>
      </c>
      <c r="C2994" s="25">
        <v>0</v>
      </c>
      <c r="D2994" s="25">
        <v>0</v>
      </c>
      <c r="E2994" s="18">
        <f t="shared" si="543"/>
        <v>0</v>
      </c>
    </row>
    <row r="2995" spans="1:5" ht="15" x14ac:dyDescent="0.2">
      <c r="A2995" s="7">
        <v>734205</v>
      </c>
      <c r="B2995" s="3" t="s">
        <v>569</v>
      </c>
      <c r="C2995" s="25">
        <v>0</v>
      </c>
      <c r="D2995" s="25">
        <v>0</v>
      </c>
      <c r="E2995" s="18">
        <f t="shared" si="543"/>
        <v>0</v>
      </c>
    </row>
    <row r="2996" spans="1:5" ht="15" x14ac:dyDescent="0.2">
      <c r="A2996" s="7">
        <v>734206</v>
      </c>
      <c r="B2996" s="3" t="s">
        <v>1439</v>
      </c>
      <c r="C2996" s="25">
        <v>0</v>
      </c>
      <c r="D2996" s="25">
        <v>0</v>
      </c>
      <c r="E2996" s="18">
        <f t="shared" si="543"/>
        <v>0</v>
      </c>
    </row>
    <row r="2997" spans="1:5" ht="15" x14ac:dyDescent="0.2">
      <c r="A2997" s="7">
        <v>734207</v>
      </c>
      <c r="B2997" s="3" t="s">
        <v>1440</v>
      </c>
      <c r="C2997" s="25">
        <v>0</v>
      </c>
      <c r="D2997" s="25">
        <v>0</v>
      </c>
      <c r="E2997" s="18">
        <f t="shared" si="543"/>
        <v>0</v>
      </c>
    </row>
    <row r="2998" spans="1:5" ht="15" x14ac:dyDescent="0.2">
      <c r="A2998" s="7">
        <v>734208</v>
      </c>
      <c r="B2998" s="3" t="s">
        <v>1441</v>
      </c>
      <c r="C2998" s="25">
        <v>0</v>
      </c>
      <c r="D2998" s="25">
        <v>0</v>
      </c>
      <c r="E2998" s="18">
        <f t="shared" si="543"/>
        <v>0</v>
      </c>
    </row>
    <row r="2999" spans="1:5" ht="15" x14ac:dyDescent="0.2">
      <c r="A2999" s="7">
        <v>734209</v>
      </c>
      <c r="B2999" s="3" t="s">
        <v>1442</v>
      </c>
      <c r="C2999" s="25">
        <v>0</v>
      </c>
      <c r="D2999" s="25">
        <v>0</v>
      </c>
      <c r="E2999" s="18">
        <f t="shared" si="543"/>
        <v>0</v>
      </c>
    </row>
    <row r="3000" spans="1:5" ht="15" x14ac:dyDescent="0.2">
      <c r="A3000" s="7">
        <v>734210</v>
      </c>
      <c r="B3000" s="3" t="s">
        <v>1443</v>
      </c>
      <c r="C3000" s="25">
        <v>0</v>
      </c>
      <c r="D3000" s="25">
        <v>0</v>
      </c>
      <c r="E3000" s="18">
        <f t="shared" si="543"/>
        <v>0</v>
      </c>
    </row>
    <row r="3001" spans="1:5" ht="15" x14ac:dyDescent="0.2">
      <c r="A3001" s="7">
        <v>734295</v>
      </c>
      <c r="B3001" s="3" t="s">
        <v>1444</v>
      </c>
      <c r="C3001" s="25">
        <v>0</v>
      </c>
      <c r="D3001" s="25">
        <v>0</v>
      </c>
      <c r="E3001" s="18">
        <f t="shared" si="543"/>
        <v>0</v>
      </c>
    </row>
    <row r="3002" spans="1:5" ht="15" x14ac:dyDescent="0.2">
      <c r="A3002" s="6">
        <v>7343</v>
      </c>
      <c r="B3002" s="2" t="s">
        <v>1475</v>
      </c>
      <c r="C3002" s="24">
        <f>SUM(C3003:C3013)</f>
        <v>0</v>
      </c>
      <c r="D3002" s="24">
        <f t="shared" ref="D3002:E3002" si="544">SUM(D3003:D3013)</f>
        <v>0</v>
      </c>
      <c r="E3002" s="17">
        <f t="shared" si="544"/>
        <v>0</v>
      </c>
    </row>
    <row r="3003" spans="1:5" ht="15" x14ac:dyDescent="0.2">
      <c r="A3003" s="7">
        <v>734301</v>
      </c>
      <c r="B3003" s="3" t="s">
        <v>1436</v>
      </c>
      <c r="C3003" s="25">
        <v>0</v>
      </c>
      <c r="D3003" s="25">
        <v>0</v>
      </c>
      <c r="E3003" s="18">
        <f t="shared" ref="E3003:E3013" si="545">SUM(C3003:D3003)</f>
        <v>0</v>
      </c>
    </row>
    <row r="3004" spans="1:5" ht="15" x14ac:dyDescent="0.2">
      <c r="A3004" s="7">
        <v>734302</v>
      </c>
      <c r="B3004" s="3" t="s">
        <v>1437</v>
      </c>
      <c r="C3004" s="25">
        <v>0</v>
      </c>
      <c r="D3004" s="25">
        <v>0</v>
      </c>
      <c r="E3004" s="18">
        <f t="shared" si="545"/>
        <v>0</v>
      </c>
    </row>
    <row r="3005" spans="1:5" ht="15" x14ac:dyDescent="0.2">
      <c r="A3005" s="7">
        <v>734303</v>
      </c>
      <c r="B3005" s="3" t="s">
        <v>568</v>
      </c>
      <c r="C3005" s="25">
        <v>0</v>
      </c>
      <c r="D3005" s="25">
        <v>0</v>
      </c>
      <c r="E3005" s="18">
        <f t="shared" si="545"/>
        <v>0</v>
      </c>
    </row>
    <row r="3006" spans="1:5" ht="15" x14ac:dyDescent="0.2">
      <c r="A3006" s="7">
        <v>734304</v>
      </c>
      <c r="B3006" s="3" t="s">
        <v>1438</v>
      </c>
      <c r="C3006" s="25">
        <v>0</v>
      </c>
      <c r="D3006" s="25">
        <v>0</v>
      </c>
      <c r="E3006" s="18">
        <f t="shared" si="545"/>
        <v>0</v>
      </c>
    </row>
    <row r="3007" spans="1:5" ht="15" x14ac:dyDescent="0.2">
      <c r="A3007" s="7">
        <v>734305</v>
      </c>
      <c r="B3007" s="3" t="s">
        <v>569</v>
      </c>
      <c r="C3007" s="25">
        <v>0</v>
      </c>
      <c r="D3007" s="25">
        <v>0</v>
      </c>
      <c r="E3007" s="18">
        <f t="shared" si="545"/>
        <v>0</v>
      </c>
    </row>
    <row r="3008" spans="1:5" ht="15" x14ac:dyDescent="0.2">
      <c r="A3008" s="7">
        <v>734306</v>
      </c>
      <c r="B3008" s="3" t="s">
        <v>1439</v>
      </c>
      <c r="C3008" s="25">
        <v>0</v>
      </c>
      <c r="D3008" s="25">
        <v>0</v>
      </c>
      <c r="E3008" s="18">
        <f t="shared" si="545"/>
        <v>0</v>
      </c>
    </row>
    <row r="3009" spans="1:5" ht="15" x14ac:dyDescent="0.2">
      <c r="A3009" s="7">
        <v>734307</v>
      </c>
      <c r="B3009" s="3" t="s">
        <v>1440</v>
      </c>
      <c r="C3009" s="25">
        <v>0</v>
      </c>
      <c r="D3009" s="25">
        <v>0</v>
      </c>
      <c r="E3009" s="18">
        <f t="shared" si="545"/>
        <v>0</v>
      </c>
    </row>
    <row r="3010" spans="1:5" ht="15" x14ac:dyDescent="0.2">
      <c r="A3010" s="7">
        <v>734308</v>
      </c>
      <c r="B3010" s="3" t="s">
        <v>1441</v>
      </c>
      <c r="C3010" s="25">
        <v>0</v>
      </c>
      <c r="D3010" s="25">
        <v>0</v>
      </c>
      <c r="E3010" s="18">
        <f t="shared" si="545"/>
        <v>0</v>
      </c>
    </row>
    <row r="3011" spans="1:5" ht="15" x14ac:dyDescent="0.2">
      <c r="A3011" s="7">
        <v>734309</v>
      </c>
      <c r="B3011" s="3" t="s">
        <v>1442</v>
      </c>
      <c r="C3011" s="25">
        <v>0</v>
      </c>
      <c r="D3011" s="25">
        <v>0</v>
      </c>
      <c r="E3011" s="18">
        <f t="shared" si="545"/>
        <v>0</v>
      </c>
    </row>
    <row r="3012" spans="1:5" ht="15" x14ac:dyDescent="0.2">
      <c r="A3012" s="7">
        <v>734310</v>
      </c>
      <c r="B3012" s="3" t="s">
        <v>1443</v>
      </c>
      <c r="C3012" s="25">
        <v>0</v>
      </c>
      <c r="D3012" s="25">
        <v>0</v>
      </c>
      <c r="E3012" s="18">
        <f t="shared" si="545"/>
        <v>0</v>
      </c>
    </row>
    <row r="3013" spans="1:5" ht="15" x14ac:dyDescent="0.2">
      <c r="A3013" s="7">
        <v>734395</v>
      </c>
      <c r="B3013" s="3" t="s">
        <v>1444</v>
      </c>
      <c r="C3013" s="25">
        <v>0</v>
      </c>
      <c r="D3013" s="25">
        <v>0</v>
      </c>
      <c r="E3013" s="18">
        <f t="shared" si="545"/>
        <v>0</v>
      </c>
    </row>
    <row r="3014" spans="1:5" ht="15" x14ac:dyDescent="0.2">
      <c r="A3014" s="6">
        <v>7349</v>
      </c>
      <c r="B3014" s="2" t="s">
        <v>1476</v>
      </c>
      <c r="C3014" s="24">
        <f>SUM(C3015:C3025)</f>
        <v>0</v>
      </c>
      <c r="D3014" s="24">
        <f t="shared" ref="D3014:E3014" si="546">SUM(D3015:D3025)</f>
        <v>0</v>
      </c>
      <c r="E3014" s="17">
        <f t="shared" si="546"/>
        <v>0</v>
      </c>
    </row>
    <row r="3015" spans="1:5" ht="15" x14ac:dyDescent="0.2">
      <c r="A3015" s="7">
        <v>734901</v>
      </c>
      <c r="B3015" s="3" t="s">
        <v>1436</v>
      </c>
      <c r="C3015" s="25">
        <v>0</v>
      </c>
      <c r="D3015" s="25">
        <v>0</v>
      </c>
      <c r="E3015" s="18">
        <f t="shared" ref="E3015:E3025" si="547">SUM(C3015:D3015)</f>
        <v>0</v>
      </c>
    </row>
    <row r="3016" spans="1:5" ht="15" x14ac:dyDescent="0.2">
      <c r="A3016" s="7">
        <v>734902</v>
      </c>
      <c r="B3016" s="3" t="s">
        <v>1437</v>
      </c>
      <c r="C3016" s="25">
        <v>0</v>
      </c>
      <c r="D3016" s="25">
        <v>0</v>
      </c>
      <c r="E3016" s="18">
        <f t="shared" si="547"/>
        <v>0</v>
      </c>
    </row>
    <row r="3017" spans="1:5" ht="15" x14ac:dyDescent="0.2">
      <c r="A3017" s="7">
        <v>734903</v>
      </c>
      <c r="B3017" s="3" t="s">
        <v>568</v>
      </c>
      <c r="C3017" s="25">
        <v>0</v>
      </c>
      <c r="D3017" s="25">
        <v>0</v>
      </c>
      <c r="E3017" s="18">
        <f t="shared" si="547"/>
        <v>0</v>
      </c>
    </row>
    <row r="3018" spans="1:5" ht="15" x14ac:dyDescent="0.2">
      <c r="A3018" s="7">
        <v>734904</v>
      </c>
      <c r="B3018" s="3" t="s">
        <v>1438</v>
      </c>
      <c r="C3018" s="25">
        <v>0</v>
      </c>
      <c r="D3018" s="25">
        <v>0</v>
      </c>
      <c r="E3018" s="18">
        <f t="shared" si="547"/>
        <v>0</v>
      </c>
    </row>
    <row r="3019" spans="1:5" ht="15" x14ac:dyDescent="0.2">
      <c r="A3019" s="7">
        <v>734905</v>
      </c>
      <c r="B3019" s="3" t="s">
        <v>569</v>
      </c>
      <c r="C3019" s="25">
        <v>0</v>
      </c>
      <c r="D3019" s="25">
        <v>0</v>
      </c>
      <c r="E3019" s="18">
        <f t="shared" si="547"/>
        <v>0</v>
      </c>
    </row>
    <row r="3020" spans="1:5" ht="15" x14ac:dyDescent="0.2">
      <c r="A3020" s="7">
        <v>734906</v>
      </c>
      <c r="B3020" s="3" t="s">
        <v>1439</v>
      </c>
      <c r="C3020" s="25">
        <v>0</v>
      </c>
      <c r="D3020" s="25">
        <v>0</v>
      </c>
      <c r="E3020" s="18">
        <f t="shared" si="547"/>
        <v>0</v>
      </c>
    </row>
    <row r="3021" spans="1:5" ht="15" x14ac:dyDescent="0.2">
      <c r="A3021" s="7">
        <v>734907</v>
      </c>
      <c r="B3021" s="3" t="s">
        <v>1440</v>
      </c>
      <c r="C3021" s="25">
        <v>0</v>
      </c>
      <c r="D3021" s="25">
        <v>0</v>
      </c>
      <c r="E3021" s="18">
        <f t="shared" si="547"/>
        <v>0</v>
      </c>
    </row>
    <row r="3022" spans="1:5" ht="15" x14ac:dyDescent="0.2">
      <c r="A3022" s="7">
        <v>734908</v>
      </c>
      <c r="B3022" s="3" t="s">
        <v>1441</v>
      </c>
      <c r="C3022" s="25">
        <v>0</v>
      </c>
      <c r="D3022" s="25">
        <v>0</v>
      </c>
      <c r="E3022" s="18">
        <f t="shared" si="547"/>
        <v>0</v>
      </c>
    </row>
    <row r="3023" spans="1:5" ht="15" x14ac:dyDescent="0.2">
      <c r="A3023" s="7">
        <v>734909</v>
      </c>
      <c r="B3023" s="3" t="s">
        <v>1442</v>
      </c>
      <c r="C3023" s="25">
        <v>0</v>
      </c>
      <c r="D3023" s="25">
        <v>0</v>
      </c>
      <c r="E3023" s="18">
        <f t="shared" si="547"/>
        <v>0</v>
      </c>
    </row>
    <row r="3024" spans="1:5" ht="15" x14ac:dyDescent="0.2">
      <c r="A3024" s="7">
        <v>734910</v>
      </c>
      <c r="B3024" s="3" t="s">
        <v>1443</v>
      </c>
      <c r="C3024" s="25">
        <v>0</v>
      </c>
      <c r="D3024" s="25">
        <v>0</v>
      </c>
      <c r="E3024" s="18">
        <f t="shared" si="547"/>
        <v>0</v>
      </c>
    </row>
    <row r="3025" spans="1:5" ht="15" x14ac:dyDescent="0.2">
      <c r="A3025" s="7">
        <v>734995</v>
      </c>
      <c r="B3025" s="3" t="s">
        <v>1444</v>
      </c>
      <c r="C3025" s="25">
        <v>0</v>
      </c>
      <c r="D3025" s="25">
        <v>0</v>
      </c>
      <c r="E3025" s="18">
        <f t="shared" si="547"/>
        <v>0</v>
      </c>
    </row>
    <row r="3026" spans="1:5" ht="15" x14ac:dyDescent="0.2">
      <c r="A3026" s="6">
        <v>7350</v>
      </c>
      <c r="B3026" s="2" t="s">
        <v>1477</v>
      </c>
      <c r="C3026" s="24">
        <f>SUM(C3027:C3037)</f>
        <v>0</v>
      </c>
      <c r="D3026" s="24">
        <f t="shared" ref="D3026:E3026" si="548">SUM(D3027:D3037)</f>
        <v>0</v>
      </c>
      <c r="E3026" s="17">
        <f t="shared" si="548"/>
        <v>0</v>
      </c>
    </row>
    <row r="3027" spans="1:5" ht="15" x14ac:dyDescent="0.2">
      <c r="A3027" s="7">
        <v>735001</v>
      </c>
      <c r="B3027" s="3" t="s">
        <v>1436</v>
      </c>
      <c r="C3027" s="25">
        <v>0</v>
      </c>
      <c r="D3027" s="25">
        <v>0</v>
      </c>
      <c r="E3027" s="18">
        <f t="shared" ref="E3027:E3037" si="549">SUM(C3027:D3027)</f>
        <v>0</v>
      </c>
    </row>
    <row r="3028" spans="1:5" ht="15" x14ac:dyDescent="0.2">
      <c r="A3028" s="7">
        <v>735002</v>
      </c>
      <c r="B3028" s="3" t="s">
        <v>1437</v>
      </c>
      <c r="C3028" s="25">
        <v>0</v>
      </c>
      <c r="D3028" s="25">
        <v>0</v>
      </c>
      <c r="E3028" s="18">
        <f t="shared" si="549"/>
        <v>0</v>
      </c>
    </row>
    <row r="3029" spans="1:5" ht="15" x14ac:dyDescent="0.2">
      <c r="A3029" s="7">
        <v>735003</v>
      </c>
      <c r="B3029" s="3" t="s">
        <v>568</v>
      </c>
      <c r="C3029" s="25">
        <v>0</v>
      </c>
      <c r="D3029" s="25">
        <v>0</v>
      </c>
      <c r="E3029" s="18">
        <f t="shared" si="549"/>
        <v>0</v>
      </c>
    </row>
    <row r="3030" spans="1:5" ht="15" x14ac:dyDescent="0.2">
      <c r="A3030" s="7">
        <v>735004</v>
      </c>
      <c r="B3030" s="3" t="s">
        <v>1438</v>
      </c>
      <c r="C3030" s="25">
        <v>0</v>
      </c>
      <c r="D3030" s="25">
        <v>0</v>
      </c>
      <c r="E3030" s="18">
        <f t="shared" si="549"/>
        <v>0</v>
      </c>
    </row>
    <row r="3031" spans="1:5" ht="15" x14ac:dyDescent="0.2">
      <c r="A3031" s="7">
        <v>735005</v>
      </c>
      <c r="B3031" s="3" t="s">
        <v>569</v>
      </c>
      <c r="C3031" s="25">
        <v>0</v>
      </c>
      <c r="D3031" s="25">
        <v>0</v>
      </c>
      <c r="E3031" s="18">
        <f t="shared" si="549"/>
        <v>0</v>
      </c>
    </row>
    <row r="3032" spans="1:5" ht="15" x14ac:dyDescent="0.2">
      <c r="A3032" s="7">
        <v>735006</v>
      </c>
      <c r="B3032" s="3" t="s">
        <v>1439</v>
      </c>
      <c r="C3032" s="25">
        <v>0</v>
      </c>
      <c r="D3032" s="25">
        <v>0</v>
      </c>
      <c r="E3032" s="18">
        <f t="shared" si="549"/>
        <v>0</v>
      </c>
    </row>
    <row r="3033" spans="1:5" ht="15" x14ac:dyDescent="0.2">
      <c r="A3033" s="7">
        <v>735007</v>
      </c>
      <c r="B3033" s="3" t="s">
        <v>1440</v>
      </c>
      <c r="C3033" s="25">
        <v>0</v>
      </c>
      <c r="D3033" s="25">
        <v>0</v>
      </c>
      <c r="E3033" s="18">
        <f t="shared" si="549"/>
        <v>0</v>
      </c>
    </row>
    <row r="3034" spans="1:5" ht="15" x14ac:dyDescent="0.2">
      <c r="A3034" s="7">
        <v>735008</v>
      </c>
      <c r="B3034" s="3" t="s">
        <v>1441</v>
      </c>
      <c r="C3034" s="25">
        <v>0</v>
      </c>
      <c r="D3034" s="25">
        <v>0</v>
      </c>
      <c r="E3034" s="18">
        <f t="shared" si="549"/>
        <v>0</v>
      </c>
    </row>
    <row r="3035" spans="1:5" ht="15" x14ac:dyDescent="0.2">
      <c r="A3035" s="7">
        <v>735009</v>
      </c>
      <c r="B3035" s="3" t="s">
        <v>1442</v>
      </c>
      <c r="C3035" s="25">
        <v>0</v>
      </c>
      <c r="D3035" s="25">
        <v>0</v>
      </c>
      <c r="E3035" s="18">
        <f t="shared" si="549"/>
        <v>0</v>
      </c>
    </row>
    <row r="3036" spans="1:5" ht="15" x14ac:dyDescent="0.2">
      <c r="A3036" s="7">
        <v>735010</v>
      </c>
      <c r="B3036" s="3" t="s">
        <v>1443</v>
      </c>
      <c r="C3036" s="25">
        <v>0</v>
      </c>
      <c r="D3036" s="25">
        <v>0</v>
      </c>
      <c r="E3036" s="18">
        <f t="shared" si="549"/>
        <v>0</v>
      </c>
    </row>
    <row r="3037" spans="1:5" ht="15" x14ac:dyDescent="0.2">
      <c r="A3037" s="7">
        <v>735095</v>
      </c>
      <c r="B3037" s="3" t="s">
        <v>1444</v>
      </c>
      <c r="C3037" s="25">
        <v>0</v>
      </c>
      <c r="D3037" s="25">
        <v>0</v>
      </c>
      <c r="E3037" s="18">
        <f t="shared" si="549"/>
        <v>0</v>
      </c>
    </row>
    <row r="3038" spans="1:5" ht="15" x14ac:dyDescent="0.2">
      <c r="A3038" s="6">
        <v>7351</v>
      </c>
      <c r="B3038" s="2" t="s">
        <v>1478</v>
      </c>
      <c r="C3038" s="24">
        <f>SUM(C3039:C3049)</f>
        <v>0</v>
      </c>
      <c r="D3038" s="24">
        <f t="shared" ref="D3038:E3038" si="550">SUM(D3039:D3049)</f>
        <v>0</v>
      </c>
      <c r="E3038" s="17">
        <f t="shared" si="550"/>
        <v>0</v>
      </c>
    </row>
    <row r="3039" spans="1:5" ht="15" x14ac:dyDescent="0.2">
      <c r="A3039" s="7">
        <v>735101</v>
      </c>
      <c r="B3039" s="3" t="s">
        <v>1436</v>
      </c>
      <c r="C3039" s="25">
        <v>0</v>
      </c>
      <c r="D3039" s="25">
        <v>0</v>
      </c>
      <c r="E3039" s="18">
        <f t="shared" ref="E3039:E3049" si="551">SUM(C3039:D3039)</f>
        <v>0</v>
      </c>
    </row>
    <row r="3040" spans="1:5" ht="15" x14ac:dyDescent="0.2">
      <c r="A3040" s="7">
        <v>735102</v>
      </c>
      <c r="B3040" s="3" t="s">
        <v>1437</v>
      </c>
      <c r="C3040" s="25">
        <v>0</v>
      </c>
      <c r="D3040" s="25">
        <v>0</v>
      </c>
      <c r="E3040" s="18">
        <f t="shared" si="551"/>
        <v>0</v>
      </c>
    </row>
    <row r="3041" spans="1:5" ht="15" x14ac:dyDescent="0.2">
      <c r="A3041" s="7">
        <v>735103</v>
      </c>
      <c r="B3041" s="3" t="s">
        <v>568</v>
      </c>
      <c r="C3041" s="25">
        <v>0</v>
      </c>
      <c r="D3041" s="25">
        <v>0</v>
      </c>
      <c r="E3041" s="18">
        <f t="shared" si="551"/>
        <v>0</v>
      </c>
    </row>
    <row r="3042" spans="1:5" ht="15" x14ac:dyDescent="0.2">
      <c r="A3042" s="7">
        <v>735104</v>
      </c>
      <c r="B3042" s="3" t="s">
        <v>1438</v>
      </c>
      <c r="C3042" s="25">
        <v>0</v>
      </c>
      <c r="D3042" s="25">
        <v>0</v>
      </c>
      <c r="E3042" s="18">
        <f t="shared" si="551"/>
        <v>0</v>
      </c>
    </row>
    <row r="3043" spans="1:5" ht="15" x14ac:dyDescent="0.2">
      <c r="A3043" s="7">
        <v>735105</v>
      </c>
      <c r="B3043" s="3" t="s">
        <v>569</v>
      </c>
      <c r="C3043" s="25">
        <v>0</v>
      </c>
      <c r="D3043" s="25">
        <v>0</v>
      </c>
      <c r="E3043" s="18">
        <f t="shared" si="551"/>
        <v>0</v>
      </c>
    </row>
    <row r="3044" spans="1:5" ht="15" x14ac:dyDescent="0.2">
      <c r="A3044" s="7">
        <v>735106</v>
      </c>
      <c r="B3044" s="3" t="s">
        <v>1439</v>
      </c>
      <c r="C3044" s="25">
        <v>0</v>
      </c>
      <c r="D3044" s="25">
        <v>0</v>
      </c>
      <c r="E3044" s="18">
        <f t="shared" si="551"/>
        <v>0</v>
      </c>
    </row>
    <row r="3045" spans="1:5" ht="15" x14ac:dyDescent="0.2">
      <c r="A3045" s="7">
        <v>735107</v>
      </c>
      <c r="B3045" s="3" t="s">
        <v>1440</v>
      </c>
      <c r="C3045" s="25">
        <v>0</v>
      </c>
      <c r="D3045" s="25">
        <v>0</v>
      </c>
      <c r="E3045" s="18">
        <f t="shared" si="551"/>
        <v>0</v>
      </c>
    </row>
    <row r="3046" spans="1:5" ht="15" x14ac:dyDescent="0.2">
      <c r="A3046" s="7">
        <v>735108</v>
      </c>
      <c r="B3046" s="3" t="s">
        <v>1441</v>
      </c>
      <c r="C3046" s="25">
        <v>0</v>
      </c>
      <c r="D3046" s="25">
        <v>0</v>
      </c>
      <c r="E3046" s="18">
        <f t="shared" si="551"/>
        <v>0</v>
      </c>
    </row>
    <row r="3047" spans="1:5" ht="15" x14ac:dyDescent="0.2">
      <c r="A3047" s="7">
        <v>735109</v>
      </c>
      <c r="B3047" s="3" t="s">
        <v>1442</v>
      </c>
      <c r="C3047" s="25">
        <v>0</v>
      </c>
      <c r="D3047" s="25">
        <v>0</v>
      </c>
      <c r="E3047" s="18">
        <f t="shared" si="551"/>
        <v>0</v>
      </c>
    </row>
    <row r="3048" spans="1:5" ht="15" x14ac:dyDescent="0.2">
      <c r="A3048" s="7">
        <v>735110</v>
      </c>
      <c r="B3048" s="3" t="s">
        <v>1443</v>
      </c>
      <c r="C3048" s="25">
        <v>0</v>
      </c>
      <c r="D3048" s="25">
        <v>0</v>
      </c>
      <c r="E3048" s="18">
        <f t="shared" si="551"/>
        <v>0</v>
      </c>
    </row>
    <row r="3049" spans="1:5" ht="15" x14ac:dyDescent="0.2">
      <c r="A3049" s="7">
        <v>735195</v>
      </c>
      <c r="B3049" s="3" t="s">
        <v>1444</v>
      </c>
      <c r="C3049" s="25">
        <v>0</v>
      </c>
      <c r="D3049" s="25">
        <v>0</v>
      </c>
      <c r="E3049" s="18">
        <f t="shared" si="551"/>
        <v>0</v>
      </c>
    </row>
    <row r="3050" spans="1:5" ht="15" x14ac:dyDescent="0.2">
      <c r="A3050" s="6">
        <v>7352</v>
      </c>
      <c r="B3050" s="2" t="s">
        <v>1479</v>
      </c>
      <c r="C3050" s="24">
        <f>SUM(C3051:C3061)</f>
        <v>0</v>
      </c>
      <c r="D3050" s="24">
        <f t="shared" ref="D3050:E3050" si="552">SUM(D3051:D3061)</f>
        <v>0</v>
      </c>
      <c r="E3050" s="17">
        <f t="shared" si="552"/>
        <v>0</v>
      </c>
    </row>
    <row r="3051" spans="1:5" ht="15" x14ac:dyDescent="0.2">
      <c r="A3051" s="7">
        <v>735201</v>
      </c>
      <c r="B3051" s="3" t="s">
        <v>1436</v>
      </c>
      <c r="C3051" s="25">
        <v>0</v>
      </c>
      <c r="D3051" s="25">
        <v>0</v>
      </c>
      <c r="E3051" s="18">
        <f t="shared" ref="E3051:E3061" si="553">SUM(C3051:D3051)</f>
        <v>0</v>
      </c>
    </row>
    <row r="3052" spans="1:5" ht="15" x14ac:dyDescent="0.2">
      <c r="A3052" s="7">
        <v>735202</v>
      </c>
      <c r="B3052" s="3" t="s">
        <v>1437</v>
      </c>
      <c r="C3052" s="25">
        <v>0</v>
      </c>
      <c r="D3052" s="25">
        <v>0</v>
      </c>
      <c r="E3052" s="18">
        <f t="shared" si="553"/>
        <v>0</v>
      </c>
    </row>
    <row r="3053" spans="1:5" ht="15" x14ac:dyDescent="0.2">
      <c r="A3053" s="7">
        <v>735203</v>
      </c>
      <c r="B3053" s="3" t="s">
        <v>568</v>
      </c>
      <c r="C3053" s="25">
        <v>0</v>
      </c>
      <c r="D3053" s="25">
        <v>0</v>
      </c>
      <c r="E3053" s="18">
        <f t="shared" si="553"/>
        <v>0</v>
      </c>
    </row>
    <row r="3054" spans="1:5" ht="15" x14ac:dyDescent="0.2">
      <c r="A3054" s="7">
        <v>735204</v>
      </c>
      <c r="B3054" s="3" t="s">
        <v>1438</v>
      </c>
      <c r="C3054" s="25">
        <v>0</v>
      </c>
      <c r="D3054" s="25">
        <v>0</v>
      </c>
      <c r="E3054" s="18">
        <f t="shared" si="553"/>
        <v>0</v>
      </c>
    </row>
    <row r="3055" spans="1:5" ht="15" x14ac:dyDescent="0.2">
      <c r="A3055" s="7">
        <v>735205</v>
      </c>
      <c r="B3055" s="3" t="s">
        <v>569</v>
      </c>
      <c r="C3055" s="25">
        <v>0</v>
      </c>
      <c r="D3055" s="25">
        <v>0</v>
      </c>
      <c r="E3055" s="18">
        <f t="shared" si="553"/>
        <v>0</v>
      </c>
    </row>
    <row r="3056" spans="1:5" ht="15" x14ac:dyDescent="0.2">
      <c r="A3056" s="7">
        <v>735206</v>
      </c>
      <c r="B3056" s="3" t="s">
        <v>1439</v>
      </c>
      <c r="C3056" s="25">
        <v>0</v>
      </c>
      <c r="D3056" s="25">
        <v>0</v>
      </c>
      <c r="E3056" s="18">
        <f t="shared" si="553"/>
        <v>0</v>
      </c>
    </row>
    <row r="3057" spans="1:5" ht="15" x14ac:dyDescent="0.2">
      <c r="A3057" s="7">
        <v>735207</v>
      </c>
      <c r="B3057" s="3" t="s">
        <v>1440</v>
      </c>
      <c r="C3057" s="25">
        <v>0</v>
      </c>
      <c r="D3057" s="25">
        <v>0</v>
      </c>
      <c r="E3057" s="18">
        <f t="shared" si="553"/>
        <v>0</v>
      </c>
    </row>
    <row r="3058" spans="1:5" ht="15" x14ac:dyDescent="0.2">
      <c r="A3058" s="7">
        <v>735208</v>
      </c>
      <c r="B3058" s="3" t="s">
        <v>1441</v>
      </c>
      <c r="C3058" s="25">
        <v>0</v>
      </c>
      <c r="D3058" s="25">
        <v>0</v>
      </c>
      <c r="E3058" s="18">
        <f t="shared" si="553"/>
        <v>0</v>
      </c>
    </row>
    <row r="3059" spans="1:5" ht="15" x14ac:dyDescent="0.2">
      <c r="A3059" s="7">
        <v>735209</v>
      </c>
      <c r="B3059" s="3" t="s">
        <v>1442</v>
      </c>
      <c r="C3059" s="25">
        <v>0</v>
      </c>
      <c r="D3059" s="25">
        <v>0</v>
      </c>
      <c r="E3059" s="18">
        <f t="shared" si="553"/>
        <v>0</v>
      </c>
    </row>
    <row r="3060" spans="1:5" ht="15" x14ac:dyDescent="0.2">
      <c r="A3060" s="7">
        <v>735210</v>
      </c>
      <c r="B3060" s="3" t="s">
        <v>1443</v>
      </c>
      <c r="C3060" s="25">
        <v>0</v>
      </c>
      <c r="D3060" s="25">
        <v>0</v>
      </c>
      <c r="E3060" s="18">
        <f t="shared" si="553"/>
        <v>0</v>
      </c>
    </row>
    <row r="3061" spans="1:5" ht="15" x14ac:dyDescent="0.2">
      <c r="A3061" s="7">
        <v>735295</v>
      </c>
      <c r="B3061" s="3" t="s">
        <v>1444</v>
      </c>
      <c r="C3061" s="25">
        <v>0</v>
      </c>
      <c r="D3061" s="25">
        <v>0</v>
      </c>
      <c r="E3061" s="18">
        <f t="shared" si="553"/>
        <v>0</v>
      </c>
    </row>
    <row r="3062" spans="1:5" ht="15" x14ac:dyDescent="0.2">
      <c r="A3062" s="6">
        <v>7353</v>
      </c>
      <c r="B3062" s="2" t="s">
        <v>1480</v>
      </c>
      <c r="C3062" s="24">
        <f>SUM(C3063:C3073)</f>
        <v>0</v>
      </c>
      <c r="D3062" s="24">
        <f t="shared" ref="D3062:E3062" si="554">SUM(D3063:D3073)</f>
        <v>0</v>
      </c>
      <c r="E3062" s="17">
        <f t="shared" si="554"/>
        <v>0</v>
      </c>
    </row>
    <row r="3063" spans="1:5" ht="15" x14ac:dyDescent="0.2">
      <c r="A3063" s="7">
        <v>735301</v>
      </c>
      <c r="B3063" s="3" t="s">
        <v>1436</v>
      </c>
      <c r="C3063" s="25">
        <v>0</v>
      </c>
      <c r="D3063" s="25">
        <v>0</v>
      </c>
      <c r="E3063" s="18">
        <f t="shared" ref="E3063:E3073" si="555">SUM(C3063:D3063)</f>
        <v>0</v>
      </c>
    </row>
    <row r="3064" spans="1:5" ht="15" x14ac:dyDescent="0.2">
      <c r="A3064" s="7">
        <v>735302</v>
      </c>
      <c r="B3064" s="3" t="s">
        <v>1437</v>
      </c>
      <c r="C3064" s="25">
        <v>0</v>
      </c>
      <c r="D3064" s="25">
        <v>0</v>
      </c>
      <c r="E3064" s="18">
        <f t="shared" si="555"/>
        <v>0</v>
      </c>
    </row>
    <row r="3065" spans="1:5" ht="15" x14ac:dyDescent="0.2">
      <c r="A3065" s="7">
        <v>735303</v>
      </c>
      <c r="B3065" s="3" t="s">
        <v>568</v>
      </c>
      <c r="C3065" s="25">
        <v>0</v>
      </c>
      <c r="D3065" s="25">
        <v>0</v>
      </c>
      <c r="E3065" s="18">
        <f t="shared" si="555"/>
        <v>0</v>
      </c>
    </row>
    <row r="3066" spans="1:5" ht="15" x14ac:dyDescent="0.2">
      <c r="A3066" s="7">
        <v>735304</v>
      </c>
      <c r="B3066" s="3" t="s">
        <v>1438</v>
      </c>
      <c r="C3066" s="25">
        <v>0</v>
      </c>
      <c r="D3066" s="25">
        <v>0</v>
      </c>
      <c r="E3066" s="18">
        <f t="shared" si="555"/>
        <v>0</v>
      </c>
    </row>
    <row r="3067" spans="1:5" ht="15" x14ac:dyDescent="0.2">
      <c r="A3067" s="7">
        <v>735305</v>
      </c>
      <c r="B3067" s="3" t="s">
        <v>569</v>
      </c>
      <c r="C3067" s="25">
        <v>0</v>
      </c>
      <c r="D3067" s="25">
        <v>0</v>
      </c>
      <c r="E3067" s="18">
        <f t="shared" si="555"/>
        <v>0</v>
      </c>
    </row>
    <row r="3068" spans="1:5" ht="15" x14ac:dyDescent="0.2">
      <c r="A3068" s="7">
        <v>735306</v>
      </c>
      <c r="B3068" s="3" t="s">
        <v>1439</v>
      </c>
      <c r="C3068" s="25">
        <v>0</v>
      </c>
      <c r="D3068" s="25">
        <v>0</v>
      </c>
      <c r="E3068" s="18">
        <f t="shared" si="555"/>
        <v>0</v>
      </c>
    </row>
    <row r="3069" spans="1:5" ht="15" x14ac:dyDescent="0.2">
      <c r="A3069" s="7">
        <v>735307</v>
      </c>
      <c r="B3069" s="3" t="s">
        <v>1440</v>
      </c>
      <c r="C3069" s="25">
        <v>0</v>
      </c>
      <c r="D3069" s="25">
        <v>0</v>
      </c>
      <c r="E3069" s="18">
        <f t="shared" si="555"/>
        <v>0</v>
      </c>
    </row>
    <row r="3070" spans="1:5" ht="15" x14ac:dyDescent="0.2">
      <c r="A3070" s="7">
        <v>735308</v>
      </c>
      <c r="B3070" s="3" t="s">
        <v>1441</v>
      </c>
      <c r="C3070" s="25">
        <v>0</v>
      </c>
      <c r="D3070" s="25">
        <v>0</v>
      </c>
      <c r="E3070" s="18">
        <f t="shared" si="555"/>
        <v>0</v>
      </c>
    </row>
    <row r="3071" spans="1:5" ht="15" x14ac:dyDescent="0.2">
      <c r="A3071" s="7">
        <v>735309</v>
      </c>
      <c r="B3071" s="3" t="s">
        <v>1442</v>
      </c>
      <c r="C3071" s="25">
        <v>0</v>
      </c>
      <c r="D3071" s="25">
        <v>0</v>
      </c>
      <c r="E3071" s="18">
        <f t="shared" si="555"/>
        <v>0</v>
      </c>
    </row>
    <row r="3072" spans="1:5" ht="15" x14ac:dyDescent="0.2">
      <c r="A3072" s="7">
        <v>735310</v>
      </c>
      <c r="B3072" s="3" t="s">
        <v>1443</v>
      </c>
      <c r="C3072" s="25">
        <v>0</v>
      </c>
      <c r="D3072" s="25">
        <v>0</v>
      </c>
      <c r="E3072" s="18">
        <f t="shared" si="555"/>
        <v>0</v>
      </c>
    </row>
    <row r="3073" spans="1:5" ht="15" x14ac:dyDescent="0.2">
      <c r="A3073" s="7">
        <v>735395</v>
      </c>
      <c r="B3073" s="3" t="s">
        <v>1444</v>
      </c>
      <c r="C3073" s="25">
        <v>0</v>
      </c>
      <c r="D3073" s="25">
        <v>0</v>
      </c>
      <c r="E3073" s="18">
        <f t="shared" si="555"/>
        <v>0</v>
      </c>
    </row>
    <row r="3074" spans="1:5" ht="15" x14ac:dyDescent="0.2">
      <c r="A3074" s="6">
        <v>7354</v>
      </c>
      <c r="B3074" s="2" t="s">
        <v>1481</v>
      </c>
      <c r="C3074" s="24">
        <f>SUM(C3075:C3085)</f>
        <v>0</v>
      </c>
      <c r="D3074" s="24">
        <f t="shared" ref="D3074:E3074" si="556">SUM(D3075:D3085)</f>
        <v>0</v>
      </c>
      <c r="E3074" s="17">
        <f t="shared" si="556"/>
        <v>0</v>
      </c>
    </row>
    <row r="3075" spans="1:5" ht="15" x14ac:dyDescent="0.2">
      <c r="A3075" s="7">
        <v>735401</v>
      </c>
      <c r="B3075" s="3" t="s">
        <v>1436</v>
      </c>
      <c r="C3075" s="25">
        <v>0</v>
      </c>
      <c r="D3075" s="25">
        <v>0</v>
      </c>
      <c r="E3075" s="18">
        <f t="shared" ref="E3075:E3085" si="557">SUM(C3075:D3075)</f>
        <v>0</v>
      </c>
    </row>
    <row r="3076" spans="1:5" ht="15" x14ac:dyDescent="0.2">
      <c r="A3076" s="7">
        <v>735402</v>
      </c>
      <c r="B3076" s="3" t="s">
        <v>1437</v>
      </c>
      <c r="C3076" s="25">
        <v>0</v>
      </c>
      <c r="D3076" s="25">
        <v>0</v>
      </c>
      <c r="E3076" s="18">
        <f t="shared" si="557"/>
        <v>0</v>
      </c>
    </row>
    <row r="3077" spans="1:5" ht="15" x14ac:dyDescent="0.2">
      <c r="A3077" s="7">
        <v>735403</v>
      </c>
      <c r="B3077" s="3" t="s">
        <v>568</v>
      </c>
      <c r="C3077" s="25">
        <v>0</v>
      </c>
      <c r="D3077" s="25">
        <v>0</v>
      </c>
      <c r="E3077" s="18">
        <f t="shared" si="557"/>
        <v>0</v>
      </c>
    </row>
    <row r="3078" spans="1:5" ht="15" x14ac:dyDescent="0.2">
      <c r="A3078" s="7">
        <v>735404</v>
      </c>
      <c r="B3078" s="3" t="s">
        <v>1438</v>
      </c>
      <c r="C3078" s="25">
        <v>0</v>
      </c>
      <c r="D3078" s="25">
        <v>0</v>
      </c>
      <c r="E3078" s="18">
        <f t="shared" si="557"/>
        <v>0</v>
      </c>
    </row>
    <row r="3079" spans="1:5" ht="15" x14ac:dyDescent="0.2">
      <c r="A3079" s="7">
        <v>735405</v>
      </c>
      <c r="B3079" s="3" t="s">
        <v>569</v>
      </c>
      <c r="C3079" s="25">
        <v>0</v>
      </c>
      <c r="D3079" s="25">
        <v>0</v>
      </c>
      <c r="E3079" s="18">
        <f t="shared" si="557"/>
        <v>0</v>
      </c>
    </row>
    <row r="3080" spans="1:5" ht="15" x14ac:dyDescent="0.2">
      <c r="A3080" s="7">
        <v>735406</v>
      </c>
      <c r="B3080" s="3" t="s">
        <v>1439</v>
      </c>
      <c r="C3080" s="25">
        <v>0</v>
      </c>
      <c r="D3080" s="25">
        <v>0</v>
      </c>
      <c r="E3080" s="18">
        <f t="shared" si="557"/>
        <v>0</v>
      </c>
    </row>
    <row r="3081" spans="1:5" ht="15" x14ac:dyDescent="0.2">
      <c r="A3081" s="7">
        <v>735407</v>
      </c>
      <c r="B3081" s="3" t="s">
        <v>1440</v>
      </c>
      <c r="C3081" s="25">
        <v>0</v>
      </c>
      <c r="D3081" s="25">
        <v>0</v>
      </c>
      <c r="E3081" s="18">
        <f t="shared" si="557"/>
        <v>0</v>
      </c>
    </row>
    <row r="3082" spans="1:5" ht="15" x14ac:dyDescent="0.2">
      <c r="A3082" s="7">
        <v>735408</v>
      </c>
      <c r="B3082" s="3" t="s">
        <v>1441</v>
      </c>
      <c r="C3082" s="25">
        <v>0</v>
      </c>
      <c r="D3082" s="25">
        <v>0</v>
      </c>
      <c r="E3082" s="18">
        <f t="shared" si="557"/>
        <v>0</v>
      </c>
    </row>
    <row r="3083" spans="1:5" ht="15" x14ac:dyDescent="0.2">
      <c r="A3083" s="7">
        <v>735409</v>
      </c>
      <c r="B3083" s="3" t="s">
        <v>1442</v>
      </c>
      <c r="C3083" s="25">
        <v>0</v>
      </c>
      <c r="D3083" s="25">
        <v>0</v>
      </c>
      <c r="E3083" s="18">
        <f t="shared" si="557"/>
        <v>0</v>
      </c>
    </row>
    <row r="3084" spans="1:5" ht="15" x14ac:dyDescent="0.2">
      <c r="A3084" s="7">
        <v>735410</v>
      </c>
      <c r="B3084" s="3" t="s">
        <v>1443</v>
      </c>
      <c r="C3084" s="25">
        <v>0</v>
      </c>
      <c r="D3084" s="25">
        <v>0</v>
      </c>
      <c r="E3084" s="18">
        <f t="shared" si="557"/>
        <v>0</v>
      </c>
    </row>
    <row r="3085" spans="1:5" ht="15" x14ac:dyDescent="0.2">
      <c r="A3085" s="7">
        <v>735495</v>
      </c>
      <c r="B3085" s="3" t="s">
        <v>1444</v>
      </c>
      <c r="C3085" s="25">
        <v>0</v>
      </c>
      <c r="D3085" s="25">
        <v>0</v>
      </c>
      <c r="E3085" s="18">
        <f t="shared" si="557"/>
        <v>0</v>
      </c>
    </row>
    <row r="3086" spans="1:5" ht="15" x14ac:dyDescent="0.2">
      <c r="A3086" s="6">
        <v>7355</v>
      </c>
      <c r="B3086" s="2" t="s">
        <v>1482</v>
      </c>
      <c r="C3086" s="24">
        <f>SUM(C3087:C3097)</f>
        <v>0</v>
      </c>
      <c r="D3086" s="24">
        <f t="shared" ref="D3086:E3086" si="558">SUM(D3087:D3097)</f>
        <v>0</v>
      </c>
      <c r="E3086" s="17">
        <f t="shared" si="558"/>
        <v>0</v>
      </c>
    </row>
    <row r="3087" spans="1:5" ht="15" x14ac:dyDescent="0.2">
      <c r="A3087" s="7">
        <v>735501</v>
      </c>
      <c r="B3087" s="3" t="s">
        <v>1436</v>
      </c>
      <c r="C3087" s="25">
        <v>0</v>
      </c>
      <c r="D3087" s="25">
        <v>0</v>
      </c>
      <c r="E3087" s="18">
        <f t="shared" ref="E3087:E3097" si="559">SUM(C3087:D3087)</f>
        <v>0</v>
      </c>
    </row>
    <row r="3088" spans="1:5" ht="15" x14ac:dyDescent="0.2">
      <c r="A3088" s="7">
        <v>735502</v>
      </c>
      <c r="B3088" s="3" t="s">
        <v>1437</v>
      </c>
      <c r="C3088" s="25">
        <v>0</v>
      </c>
      <c r="D3088" s="25">
        <v>0</v>
      </c>
      <c r="E3088" s="18">
        <f t="shared" si="559"/>
        <v>0</v>
      </c>
    </row>
    <row r="3089" spans="1:5" ht="15" x14ac:dyDescent="0.2">
      <c r="A3089" s="7">
        <v>735503</v>
      </c>
      <c r="B3089" s="3" t="s">
        <v>568</v>
      </c>
      <c r="C3089" s="25">
        <v>0</v>
      </c>
      <c r="D3089" s="25">
        <v>0</v>
      </c>
      <c r="E3089" s="18">
        <f t="shared" si="559"/>
        <v>0</v>
      </c>
    </row>
    <row r="3090" spans="1:5" ht="15" x14ac:dyDescent="0.2">
      <c r="A3090" s="7">
        <v>735504</v>
      </c>
      <c r="B3090" s="3" t="s">
        <v>1438</v>
      </c>
      <c r="C3090" s="25">
        <v>0</v>
      </c>
      <c r="D3090" s="25">
        <v>0</v>
      </c>
      <c r="E3090" s="18">
        <f t="shared" si="559"/>
        <v>0</v>
      </c>
    </row>
    <row r="3091" spans="1:5" ht="15" x14ac:dyDescent="0.2">
      <c r="A3091" s="7">
        <v>735505</v>
      </c>
      <c r="B3091" s="3" t="s">
        <v>569</v>
      </c>
      <c r="C3091" s="25">
        <v>0</v>
      </c>
      <c r="D3091" s="25">
        <v>0</v>
      </c>
      <c r="E3091" s="18">
        <f t="shared" si="559"/>
        <v>0</v>
      </c>
    </row>
    <row r="3092" spans="1:5" ht="15" x14ac:dyDescent="0.2">
      <c r="A3092" s="7">
        <v>735506</v>
      </c>
      <c r="B3092" s="3" t="s">
        <v>1439</v>
      </c>
      <c r="C3092" s="25">
        <v>0</v>
      </c>
      <c r="D3092" s="25">
        <v>0</v>
      </c>
      <c r="E3092" s="18">
        <f t="shared" si="559"/>
        <v>0</v>
      </c>
    </row>
    <row r="3093" spans="1:5" ht="15" x14ac:dyDescent="0.2">
      <c r="A3093" s="7">
        <v>735507</v>
      </c>
      <c r="B3093" s="3" t="s">
        <v>1440</v>
      </c>
      <c r="C3093" s="25">
        <v>0</v>
      </c>
      <c r="D3093" s="25">
        <v>0</v>
      </c>
      <c r="E3093" s="18">
        <f t="shared" si="559"/>
        <v>0</v>
      </c>
    </row>
    <row r="3094" spans="1:5" ht="15" x14ac:dyDescent="0.2">
      <c r="A3094" s="7">
        <v>735508</v>
      </c>
      <c r="B3094" s="3" t="s">
        <v>1441</v>
      </c>
      <c r="C3094" s="25">
        <v>0</v>
      </c>
      <c r="D3094" s="25">
        <v>0</v>
      </c>
      <c r="E3094" s="18">
        <f t="shared" si="559"/>
        <v>0</v>
      </c>
    </row>
    <row r="3095" spans="1:5" ht="15" x14ac:dyDescent="0.2">
      <c r="A3095" s="7">
        <v>735509</v>
      </c>
      <c r="B3095" s="3" t="s">
        <v>1442</v>
      </c>
      <c r="C3095" s="25">
        <v>0</v>
      </c>
      <c r="D3095" s="25">
        <v>0</v>
      </c>
      <c r="E3095" s="18">
        <f t="shared" si="559"/>
        <v>0</v>
      </c>
    </row>
    <row r="3096" spans="1:5" ht="15" x14ac:dyDescent="0.2">
      <c r="A3096" s="7">
        <v>735510</v>
      </c>
      <c r="B3096" s="3" t="s">
        <v>1443</v>
      </c>
      <c r="C3096" s="25">
        <v>0</v>
      </c>
      <c r="D3096" s="25">
        <v>0</v>
      </c>
      <c r="E3096" s="18">
        <f t="shared" si="559"/>
        <v>0</v>
      </c>
    </row>
    <row r="3097" spans="1:5" ht="15" x14ac:dyDescent="0.2">
      <c r="A3097" s="7">
        <v>735595</v>
      </c>
      <c r="B3097" s="3" t="s">
        <v>1444</v>
      </c>
      <c r="C3097" s="25">
        <v>0</v>
      </c>
      <c r="D3097" s="25">
        <v>0</v>
      </c>
      <c r="E3097" s="18">
        <f t="shared" si="559"/>
        <v>0</v>
      </c>
    </row>
    <row r="3098" spans="1:5" ht="15" x14ac:dyDescent="0.2">
      <c r="A3098" s="6">
        <v>7356</v>
      </c>
      <c r="B3098" s="2" t="s">
        <v>1483</v>
      </c>
      <c r="C3098" s="24">
        <f>SUM(C3099:C3109)</f>
        <v>0</v>
      </c>
      <c r="D3098" s="24">
        <f t="shared" ref="D3098:E3098" si="560">SUM(D3099:D3109)</f>
        <v>0</v>
      </c>
      <c r="E3098" s="17">
        <f t="shared" si="560"/>
        <v>0</v>
      </c>
    </row>
    <row r="3099" spans="1:5" ht="15" x14ac:dyDescent="0.2">
      <c r="A3099" s="7">
        <v>735601</v>
      </c>
      <c r="B3099" s="3" t="s">
        <v>1436</v>
      </c>
      <c r="C3099" s="25">
        <v>0</v>
      </c>
      <c r="D3099" s="25">
        <v>0</v>
      </c>
      <c r="E3099" s="18">
        <f t="shared" ref="E3099:E3109" si="561">SUM(C3099:D3099)</f>
        <v>0</v>
      </c>
    </row>
    <row r="3100" spans="1:5" ht="15" x14ac:dyDescent="0.2">
      <c r="A3100" s="7">
        <v>735602</v>
      </c>
      <c r="B3100" s="3" t="s">
        <v>1437</v>
      </c>
      <c r="C3100" s="25">
        <v>0</v>
      </c>
      <c r="D3100" s="25">
        <v>0</v>
      </c>
      <c r="E3100" s="18">
        <f t="shared" si="561"/>
        <v>0</v>
      </c>
    </row>
    <row r="3101" spans="1:5" ht="15" x14ac:dyDescent="0.2">
      <c r="A3101" s="7">
        <v>735603</v>
      </c>
      <c r="B3101" s="3" t="s">
        <v>568</v>
      </c>
      <c r="C3101" s="25">
        <v>0</v>
      </c>
      <c r="D3101" s="25">
        <v>0</v>
      </c>
      <c r="E3101" s="18">
        <f t="shared" si="561"/>
        <v>0</v>
      </c>
    </row>
    <row r="3102" spans="1:5" ht="15" x14ac:dyDescent="0.2">
      <c r="A3102" s="7">
        <v>735604</v>
      </c>
      <c r="B3102" s="3" t="s">
        <v>1438</v>
      </c>
      <c r="C3102" s="25">
        <v>0</v>
      </c>
      <c r="D3102" s="25">
        <v>0</v>
      </c>
      <c r="E3102" s="18">
        <f t="shared" si="561"/>
        <v>0</v>
      </c>
    </row>
    <row r="3103" spans="1:5" ht="15" x14ac:dyDescent="0.2">
      <c r="A3103" s="7">
        <v>735605</v>
      </c>
      <c r="B3103" s="3" t="s">
        <v>569</v>
      </c>
      <c r="C3103" s="25">
        <v>0</v>
      </c>
      <c r="D3103" s="25">
        <v>0</v>
      </c>
      <c r="E3103" s="18">
        <f t="shared" si="561"/>
        <v>0</v>
      </c>
    </row>
    <row r="3104" spans="1:5" ht="15" x14ac:dyDescent="0.2">
      <c r="A3104" s="7">
        <v>735606</v>
      </c>
      <c r="B3104" s="3" t="s">
        <v>1439</v>
      </c>
      <c r="C3104" s="25">
        <v>0</v>
      </c>
      <c r="D3104" s="25">
        <v>0</v>
      </c>
      <c r="E3104" s="18">
        <f t="shared" si="561"/>
        <v>0</v>
      </c>
    </row>
    <row r="3105" spans="1:5" ht="15" x14ac:dyDescent="0.2">
      <c r="A3105" s="7">
        <v>735607</v>
      </c>
      <c r="B3105" s="3" t="s">
        <v>1440</v>
      </c>
      <c r="C3105" s="25">
        <v>0</v>
      </c>
      <c r="D3105" s="25">
        <v>0</v>
      </c>
      <c r="E3105" s="18">
        <f t="shared" si="561"/>
        <v>0</v>
      </c>
    </row>
    <row r="3106" spans="1:5" ht="15" x14ac:dyDescent="0.2">
      <c r="A3106" s="7">
        <v>735608</v>
      </c>
      <c r="B3106" s="3" t="s">
        <v>1441</v>
      </c>
      <c r="C3106" s="25">
        <v>0</v>
      </c>
      <c r="D3106" s="25">
        <v>0</v>
      </c>
      <c r="E3106" s="18">
        <f t="shared" si="561"/>
        <v>0</v>
      </c>
    </row>
    <row r="3107" spans="1:5" ht="15" x14ac:dyDescent="0.2">
      <c r="A3107" s="7">
        <v>735609</v>
      </c>
      <c r="B3107" s="3" t="s">
        <v>1442</v>
      </c>
      <c r="C3107" s="25">
        <v>0</v>
      </c>
      <c r="D3107" s="25">
        <v>0</v>
      </c>
      <c r="E3107" s="18">
        <f t="shared" si="561"/>
        <v>0</v>
      </c>
    </row>
    <row r="3108" spans="1:5" ht="15" x14ac:dyDescent="0.2">
      <c r="A3108" s="7">
        <v>735610</v>
      </c>
      <c r="B3108" s="3" t="s">
        <v>1443</v>
      </c>
      <c r="C3108" s="25">
        <v>0</v>
      </c>
      <c r="D3108" s="25">
        <v>0</v>
      </c>
      <c r="E3108" s="18">
        <f t="shared" si="561"/>
        <v>0</v>
      </c>
    </row>
    <row r="3109" spans="1:5" ht="15" x14ac:dyDescent="0.2">
      <c r="A3109" s="7">
        <v>735695</v>
      </c>
      <c r="B3109" s="3" t="s">
        <v>1444</v>
      </c>
      <c r="C3109" s="25">
        <v>0</v>
      </c>
      <c r="D3109" s="25">
        <v>0</v>
      </c>
      <c r="E3109" s="18">
        <f t="shared" si="561"/>
        <v>0</v>
      </c>
    </row>
    <row r="3110" spans="1:5" ht="15" x14ac:dyDescent="0.2">
      <c r="A3110" s="6">
        <v>7380</v>
      </c>
      <c r="B3110" s="2" t="s">
        <v>1484</v>
      </c>
      <c r="C3110" s="24">
        <f>SUM(C3111:C3121)</f>
        <v>0</v>
      </c>
      <c r="D3110" s="24">
        <f t="shared" ref="D3110:E3110" si="562">SUM(D3111:D3121)</f>
        <v>0</v>
      </c>
      <c r="E3110" s="17">
        <f t="shared" si="562"/>
        <v>0</v>
      </c>
    </row>
    <row r="3111" spans="1:5" ht="15" x14ac:dyDescent="0.2">
      <c r="A3111" s="7">
        <v>738001</v>
      </c>
      <c r="B3111" s="3" t="s">
        <v>1436</v>
      </c>
      <c r="C3111" s="25">
        <v>0</v>
      </c>
      <c r="D3111" s="25">
        <v>0</v>
      </c>
      <c r="E3111" s="18">
        <f t="shared" ref="E3111:E3121" si="563">SUM(C3111:D3111)</f>
        <v>0</v>
      </c>
    </row>
    <row r="3112" spans="1:5" ht="15" x14ac:dyDescent="0.2">
      <c r="A3112" s="7">
        <v>738002</v>
      </c>
      <c r="B3112" s="3" t="s">
        <v>1437</v>
      </c>
      <c r="C3112" s="25">
        <v>0</v>
      </c>
      <c r="D3112" s="25">
        <v>0</v>
      </c>
      <c r="E3112" s="18">
        <f t="shared" si="563"/>
        <v>0</v>
      </c>
    </row>
    <row r="3113" spans="1:5" ht="15" x14ac:dyDescent="0.2">
      <c r="A3113" s="7">
        <v>738003</v>
      </c>
      <c r="B3113" s="3" t="s">
        <v>568</v>
      </c>
      <c r="C3113" s="25">
        <v>0</v>
      </c>
      <c r="D3113" s="25">
        <v>0</v>
      </c>
      <c r="E3113" s="18">
        <f t="shared" si="563"/>
        <v>0</v>
      </c>
    </row>
    <row r="3114" spans="1:5" ht="15" x14ac:dyDescent="0.2">
      <c r="A3114" s="7">
        <v>738004</v>
      </c>
      <c r="B3114" s="3" t="s">
        <v>1438</v>
      </c>
      <c r="C3114" s="25">
        <v>0</v>
      </c>
      <c r="D3114" s="25">
        <v>0</v>
      </c>
      <c r="E3114" s="18">
        <f t="shared" si="563"/>
        <v>0</v>
      </c>
    </row>
    <row r="3115" spans="1:5" ht="15" x14ac:dyDescent="0.2">
      <c r="A3115" s="7">
        <v>738005</v>
      </c>
      <c r="B3115" s="3" t="s">
        <v>569</v>
      </c>
      <c r="C3115" s="25">
        <v>0</v>
      </c>
      <c r="D3115" s="25">
        <v>0</v>
      </c>
      <c r="E3115" s="18">
        <f t="shared" si="563"/>
        <v>0</v>
      </c>
    </row>
    <row r="3116" spans="1:5" ht="15" x14ac:dyDescent="0.2">
      <c r="A3116" s="7">
        <v>738006</v>
      </c>
      <c r="B3116" s="3" t="s">
        <v>1439</v>
      </c>
      <c r="C3116" s="25">
        <v>0</v>
      </c>
      <c r="D3116" s="25">
        <v>0</v>
      </c>
      <c r="E3116" s="18">
        <f t="shared" si="563"/>
        <v>0</v>
      </c>
    </row>
    <row r="3117" spans="1:5" ht="15" x14ac:dyDescent="0.2">
      <c r="A3117" s="7">
        <v>738007</v>
      </c>
      <c r="B3117" s="3" t="s">
        <v>1440</v>
      </c>
      <c r="C3117" s="25">
        <v>0</v>
      </c>
      <c r="D3117" s="25">
        <v>0</v>
      </c>
      <c r="E3117" s="18">
        <f t="shared" si="563"/>
        <v>0</v>
      </c>
    </row>
    <row r="3118" spans="1:5" ht="15" x14ac:dyDescent="0.2">
      <c r="A3118" s="7">
        <v>738008</v>
      </c>
      <c r="B3118" s="3" t="s">
        <v>1441</v>
      </c>
      <c r="C3118" s="25">
        <v>0</v>
      </c>
      <c r="D3118" s="25">
        <v>0</v>
      </c>
      <c r="E3118" s="18">
        <f t="shared" si="563"/>
        <v>0</v>
      </c>
    </row>
    <row r="3119" spans="1:5" ht="15" x14ac:dyDescent="0.2">
      <c r="A3119" s="7">
        <v>738009</v>
      </c>
      <c r="B3119" s="3" t="s">
        <v>1442</v>
      </c>
      <c r="C3119" s="25">
        <v>0</v>
      </c>
      <c r="D3119" s="25">
        <v>0</v>
      </c>
      <c r="E3119" s="18">
        <f t="shared" si="563"/>
        <v>0</v>
      </c>
    </row>
    <row r="3120" spans="1:5" ht="15" x14ac:dyDescent="0.2">
      <c r="A3120" s="7">
        <v>738010</v>
      </c>
      <c r="B3120" s="3" t="s">
        <v>1443</v>
      </c>
      <c r="C3120" s="25">
        <v>0</v>
      </c>
      <c r="D3120" s="25">
        <v>0</v>
      </c>
      <c r="E3120" s="18">
        <f t="shared" si="563"/>
        <v>0</v>
      </c>
    </row>
    <row r="3121" spans="1:5" ht="15" x14ac:dyDescent="0.2">
      <c r="A3121" s="7">
        <v>738095</v>
      </c>
      <c r="B3121" s="3" t="s">
        <v>1444</v>
      </c>
      <c r="C3121" s="25">
        <v>0</v>
      </c>
      <c r="D3121" s="25">
        <v>0</v>
      </c>
      <c r="E3121" s="18">
        <f t="shared" si="563"/>
        <v>0</v>
      </c>
    </row>
    <row r="3122" spans="1:5" ht="15" x14ac:dyDescent="0.2">
      <c r="A3122" s="6">
        <v>7381</v>
      </c>
      <c r="B3122" s="2" t="s">
        <v>1485</v>
      </c>
      <c r="C3122" s="24">
        <f>SUM(C3123:C3133)</f>
        <v>0</v>
      </c>
      <c r="D3122" s="24">
        <f t="shared" ref="D3122:E3122" si="564">SUM(D3123:D3133)</f>
        <v>0</v>
      </c>
      <c r="E3122" s="17">
        <f t="shared" si="564"/>
        <v>0</v>
      </c>
    </row>
    <row r="3123" spans="1:5" ht="15" x14ac:dyDescent="0.2">
      <c r="A3123" s="7">
        <v>738101</v>
      </c>
      <c r="B3123" s="3" t="s">
        <v>1436</v>
      </c>
      <c r="C3123" s="25">
        <v>0</v>
      </c>
      <c r="D3123" s="25">
        <v>0</v>
      </c>
      <c r="E3123" s="18">
        <f t="shared" ref="E3123:E3133" si="565">SUM(C3123:D3123)</f>
        <v>0</v>
      </c>
    </row>
    <row r="3124" spans="1:5" ht="15" x14ac:dyDescent="0.2">
      <c r="A3124" s="7">
        <v>738102</v>
      </c>
      <c r="B3124" s="3" t="s">
        <v>1437</v>
      </c>
      <c r="C3124" s="25">
        <v>0</v>
      </c>
      <c r="D3124" s="25">
        <v>0</v>
      </c>
      <c r="E3124" s="18">
        <f t="shared" si="565"/>
        <v>0</v>
      </c>
    </row>
    <row r="3125" spans="1:5" ht="15" x14ac:dyDescent="0.2">
      <c r="A3125" s="7">
        <v>738103</v>
      </c>
      <c r="B3125" s="3" t="s">
        <v>568</v>
      </c>
      <c r="C3125" s="25">
        <v>0</v>
      </c>
      <c r="D3125" s="25">
        <v>0</v>
      </c>
      <c r="E3125" s="18">
        <f t="shared" si="565"/>
        <v>0</v>
      </c>
    </row>
    <row r="3126" spans="1:5" ht="15" x14ac:dyDescent="0.2">
      <c r="A3126" s="7">
        <v>738104</v>
      </c>
      <c r="B3126" s="3" t="s">
        <v>1438</v>
      </c>
      <c r="C3126" s="25">
        <v>0</v>
      </c>
      <c r="D3126" s="25">
        <v>0</v>
      </c>
      <c r="E3126" s="18">
        <f t="shared" si="565"/>
        <v>0</v>
      </c>
    </row>
    <row r="3127" spans="1:5" ht="15" x14ac:dyDescent="0.2">
      <c r="A3127" s="7">
        <v>738105</v>
      </c>
      <c r="B3127" s="3" t="s">
        <v>569</v>
      </c>
      <c r="C3127" s="25">
        <v>0</v>
      </c>
      <c r="D3127" s="25">
        <v>0</v>
      </c>
      <c r="E3127" s="18">
        <f t="shared" si="565"/>
        <v>0</v>
      </c>
    </row>
    <row r="3128" spans="1:5" ht="15" x14ac:dyDescent="0.2">
      <c r="A3128" s="7">
        <v>738106</v>
      </c>
      <c r="B3128" s="3" t="s">
        <v>1439</v>
      </c>
      <c r="C3128" s="25">
        <v>0</v>
      </c>
      <c r="D3128" s="25">
        <v>0</v>
      </c>
      <c r="E3128" s="18">
        <f t="shared" si="565"/>
        <v>0</v>
      </c>
    </row>
    <row r="3129" spans="1:5" ht="15" x14ac:dyDescent="0.2">
      <c r="A3129" s="7">
        <v>738107</v>
      </c>
      <c r="B3129" s="3" t="s">
        <v>1440</v>
      </c>
      <c r="C3129" s="25">
        <v>0</v>
      </c>
      <c r="D3129" s="25">
        <v>0</v>
      </c>
      <c r="E3129" s="18">
        <f t="shared" si="565"/>
        <v>0</v>
      </c>
    </row>
    <row r="3130" spans="1:5" ht="15" x14ac:dyDescent="0.2">
      <c r="A3130" s="7">
        <v>738108</v>
      </c>
      <c r="B3130" s="3" t="s">
        <v>1441</v>
      </c>
      <c r="C3130" s="25">
        <v>0</v>
      </c>
      <c r="D3130" s="25">
        <v>0</v>
      </c>
      <c r="E3130" s="18">
        <f t="shared" si="565"/>
        <v>0</v>
      </c>
    </row>
    <row r="3131" spans="1:5" ht="15" x14ac:dyDescent="0.2">
      <c r="A3131" s="7">
        <v>738109</v>
      </c>
      <c r="B3131" s="3" t="s">
        <v>1442</v>
      </c>
      <c r="C3131" s="25">
        <v>0</v>
      </c>
      <c r="D3131" s="25">
        <v>0</v>
      </c>
      <c r="E3131" s="18">
        <f t="shared" si="565"/>
        <v>0</v>
      </c>
    </row>
    <row r="3132" spans="1:5" ht="15" x14ac:dyDescent="0.2">
      <c r="A3132" s="7">
        <v>738110</v>
      </c>
      <c r="B3132" s="3" t="s">
        <v>1443</v>
      </c>
      <c r="C3132" s="25">
        <v>0</v>
      </c>
      <c r="D3132" s="25">
        <v>0</v>
      </c>
      <c r="E3132" s="18">
        <f t="shared" si="565"/>
        <v>0</v>
      </c>
    </row>
    <row r="3133" spans="1:5" ht="15" x14ac:dyDescent="0.2">
      <c r="A3133" s="7">
        <v>738195</v>
      </c>
      <c r="B3133" s="3" t="s">
        <v>1444</v>
      </c>
      <c r="C3133" s="25">
        <v>0</v>
      </c>
      <c r="D3133" s="25">
        <v>0</v>
      </c>
      <c r="E3133" s="18">
        <f t="shared" si="565"/>
        <v>0</v>
      </c>
    </row>
    <row r="3134" spans="1:5" ht="15" x14ac:dyDescent="0.2">
      <c r="A3134" s="8">
        <v>7382</v>
      </c>
      <c r="B3134" s="5" t="s">
        <v>1486</v>
      </c>
      <c r="C3134" s="24">
        <f>SUM(C3135:C3145)</f>
        <v>0</v>
      </c>
      <c r="D3134" s="24">
        <f t="shared" ref="D3134:E3134" si="566">SUM(D3135:D3145)</f>
        <v>0</v>
      </c>
      <c r="E3134" s="17">
        <f t="shared" si="566"/>
        <v>0</v>
      </c>
    </row>
    <row r="3135" spans="1:5" ht="15" x14ac:dyDescent="0.2">
      <c r="A3135" s="7">
        <v>738201</v>
      </c>
      <c r="B3135" s="3" t="s">
        <v>1436</v>
      </c>
      <c r="C3135" s="25">
        <v>0</v>
      </c>
      <c r="D3135" s="25">
        <v>0</v>
      </c>
      <c r="E3135" s="18">
        <f t="shared" ref="E3135:E3145" si="567">SUM(C3135:D3135)</f>
        <v>0</v>
      </c>
    </row>
    <row r="3136" spans="1:5" ht="15" x14ac:dyDescent="0.2">
      <c r="A3136" s="7">
        <v>738202</v>
      </c>
      <c r="B3136" s="3" t="s">
        <v>1437</v>
      </c>
      <c r="C3136" s="25">
        <v>0</v>
      </c>
      <c r="D3136" s="25">
        <v>0</v>
      </c>
      <c r="E3136" s="18">
        <f t="shared" si="567"/>
        <v>0</v>
      </c>
    </row>
    <row r="3137" spans="1:5" ht="15" x14ac:dyDescent="0.2">
      <c r="A3137" s="7">
        <v>738203</v>
      </c>
      <c r="B3137" s="3" t="s">
        <v>568</v>
      </c>
      <c r="C3137" s="25">
        <v>0</v>
      </c>
      <c r="D3137" s="25">
        <v>0</v>
      </c>
      <c r="E3137" s="18">
        <f t="shared" si="567"/>
        <v>0</v>
      </c>
    </row>
    <row r="3138" spans="1:5" ht="15" x14ac:dyDescent="0.2">
      <c r="A3138" s="7">
        <v>738204</v>
      </c>
      <c r="B3138" s="3" t="s">
        <v>1438</v>
      </c>
      <c r="C3138" s="25">
        <v>0</v>
      </c>
      <c r="D3138" s="25">
        <v>0</v>
      </c>
      <c r="E3138" s="18">
        <f t="shared" si="567"/>
        <v>0</v>
      </c>
    </row>
    <row r="3139" spans="1:5" ht="15" x14ac:dyDescent="0.2">
      <c r="A3139" s="7">
        <v>738205</v>
      </c>
      <c r="B3139" s="3" t="s">
        <v>569</v>
      </c>
      <c r="C3139" s="25">
        <v>0</v>
      </c>
      <c r="D3139" s="25">
        <v>0</v>
      </c>
      <c r="E3139" s="18">
        <f t="shared" si="567"/>
        <v>0</v>
      </c>
    </row>
    <row r="3140" spans="1:5" ht="15" x14ac:dyDescent="0.2">
      <c r="A3140" s="7">
        <v>738206</v>
      </c>
      <c r="B3140" s="3" t="s">
        <v>1439</v>
      </c>
      <c r="C3140" s="25">
        <v>0</v>
      </c>
      <c r="D3140" s="25">
        <v>0</v>
      </c>
      <c r="E3140" s="18">
        <f t="shared" si="567"/>
        <v>0</v>
      </c>
    </row>
    <row r="3141" spans="1:5" ht="15" x14ac:dyDescent="0.2">
      <c r="A3141" s="7">
        <v>738207</v>
      </c>
      <c r="B3141" s="3" t="s">
        <v>1440</v>
      </c>
      <c r="C3141" s="25">
        <v>0</v>
      </c>
      <c r="D3141" s="25">
        <v>0</v>
      </c>
      <c r="E3141" s="18">
        <f t="shared" si="567"/>
        <v>0</v>
      </c>
    </row>
    <row r="3142" spans="1:5" ht="15" x14ac:dyDescent="0.2">
      <c r="A3142" s="7">
        <v>738208</v>
      </c>
      <c r="B3142" s="3" t="s">
        <v>1441</v>
      </c>
      <c r="C3142" s="25">
        <v>0</v>
      </c>
      <c r="D3142" s="25">
        <v>0</v>
      </c>
      <c r="E3142" s="18">
        <f t="shared" si="567"/>
        <v>0</v>
      </c>
    </row>
    <row r="3143" spans="1:5" ht="15" x14ac:dyDescent="0.2">
      <c r="A3143" s="7">
        <v>738209</v>
      </c>
      <c r="B3143" s="3" t="s">
        <v>1442</v>
      </c>
      <c r="C3143" s="25">
        <v>0</v>
      </c>
      <c r="D3143" s="25">
        <v>0</v>
      </c>
      <c r="E3143" s="18">
        <f t="shared" si="567"/>
        <v>0</v>
      </c>
    </row>
    <row r="3144" spans="1:5" ht="15" x14ac:dyDescent="0.2">
      <c r="A3144" s="7">
        <v>738210</v>
      </c>
      <c r="B3144" s="3" t="s">
        <v>1443</v>
      </c>
      <c r="C3144" s="25">
        <v>0</v>
      </c>
      <c r="D3144" s="25">
        <v>0</v>
      </c>
      <c r="E3144" s="18">
        <f t="shared" si="567"/>
        <v>0</v>
      </c>
    </row>
    <row r="3145" spans="1:5" ht="15" x14ac:dyDescent="0.2">
      <c r="A3145" s="7">
        <v>738295</v>
      </c>
      <c r="B3145" s="3" t="s">
        <v>1444</v>
      </c>
      <c r="C3145" s="25">
        <v>0</v>
      </c>
      <c r="D3145" s="25">
        <v>0</v>
      </c>
      <c r="E3145" s="18">
        <f t="shared" si="567"/>
        <v>0</v>
      </c>
    </row>
    <row r="3146" spans="1:5" ht="15" x14ac:dyDescent="0.2">
      <c r="A3146" s="6">
        <v>7383</v>
      </c>
      <c r="B3146" s="2" t="s">
        <v>1487</v>
      </c>
      <c r="C3146" s="24">
        <f>SUM(C3147:C3157)</f>
        <v>0</v>
      </c>
      <c r="D3146" s="24">
        <f t="shared" ref="D3146:E3146" si="568">SUM(D3147:D3157)</f>
        <v>0</v>
      </c>
      <c r="E3146" s="17">
        <f t="shared" si="568"/>
        <v>0</v>
      </c>
    </row>
    <row r="3147" spans="1:5" ht="15" x14ac:dyDescent="0.2">
      <c r="A3147" s="7">
        <v>738301</v>
      </c>
      <c r="B3147" s="3" t="s">
        <v>1436</v>
      </c>
      <c r="C3147" s="25">
        <v>0</v>
      </c>
      <c r="D3147" s="25">
        <v>0</v>
      </c>
      <c r="E3147" s="18">
        <f t="shared" ref="E3147:E3157" si="569">SUM(C3147:D3147)</f>
        <v>0</v>
      </c>
    </row>
    <row r="3148" spans="1:5" ht="15" x14ac:dyDescent="0.2">
      <c r="A3148" s="7">
        <v>738302</v>
      </c>
      <c r="B3148" s="3" t="s">
        <v>1437</v>
      </c>
      <c r="C3148" s="25">
        <v>0</v>
      </c>
      <c r="D3148" s="25">
        <v>0</v>
      </c>
      <c r="E3148" s="18">
        <f t="shared" si="569"/>
        <v>0</v>
      </c>
    </row>
    <row r="3149" spans="1:5" ht="15" x14ac:dyDescent="0.2">
      <c r="A3149" s="7">
        <v>738303</v>
      </c>
      <c r="B3149" s="3" t="s">
        <v>568</v>
      </c>
      <c r="C3149" s="25">
        <v>0</v>
      </c>
      <c r="D3149" s="25">
        <v>0</v>
      </c>
      <c r="E3149" s="18">
        <f t="shared" si="569"/>
        <v>0</v>
      </c>
    </row>
    <row r="3150" spans="1:5" ht="15" x14ac:dyDescent="0.2">
      <c r="A3150" s="7">
        <v>738304</v>
      </c>
      <c r="B3150" s="3" t="s">
        <v>1438</v>
      </c>
      <c r="C3150" s="25">
        <v>0</v>
      </c>
      <c r="D3150" s="25">
        <v>0</v>
      </c>
      <c r="E3150" s="18">
        <f t="shared" si="569"/>
        <v>0</v>
      </c>
    </row>
    <row r="3151" spans="1:5" ht="15" x14ac:dyDescent="0.2">
      <c r="A3151" s="7">
        <v>738305</v>
      </c>
      <c r="B3151" s="3" t="s">
        <v>569</v>
      </c>
      <c r="C3151" s="25">
        <v>0</v>
      </c>
      <c r="D3151" s="25">
        <v>0</v>
      </c>
      <c r="E3151" s="18">
        <f t="shared" si="569"/>
        <v>0</v>
      </c>
    </row>
    <row r="3152" spans="1:5" ht="15" x14ac:dyDescent="0.2">
      <c r="A3152" s="7">
        <v>738306</v>
      </c>
      <c r="B3152" s="3" t="s">
        <v>1439</v>
      </c>
      <c r="C3152" s="25">
        <v>0</v>
      </c>
      <c r="D3152" s="25">
        <v>0</v>
      </c>
      <c r="E3152" s="18">
        <f t="shared" si="569"/>
        <v>0</v>
      </c>
    </row>
    <row r="3153" spans="1:5" ht="15" x14ac:dyDescent="0.2">
      <c r="A3153" s="7">
        <v>738307</v>
      </c>
      <c r="B3153" s="3" t="s">
        <v>1440</v>
      </c>
      <c r="C3153" s="25">
        <v>0</v>
      </c>
      <c r="D3153" s="25">
        <v>0</v>
      </c>
      <c r="E3153" s="18">
        <f t="shared" si="569"/>
        <v>0</v>
      </c>
    </row>
    <row r="3154" spans="1:5" ht="15" x14ac:dyDescent="0.2">
      <c r="A3154" s="7">
        <v>738308</v>
      </c>
      <c r="B3154" s="3" t="s">
        <v>1441</v>
      </c>
      <c r="C3154" s="25">
        <v>0</v>
      </c>
      <c r="D3154" s="25">
        <v>0</v>
      </c>
      <c r="E3154" s="18">
        <f t="shared" si="569"/>
        <v>0</v>
      </c>
    </row>
    <row r="3155" spans="1:5" ht="15" x14ac:dyDescent="0.2">
      <c r="A3155" s="7">
        <v>738309</v>
      </c>
      <c r="B3155" s="3" t="s">
        <v>1442</v>
      </c>
      <c r="C3155" s="25">
        <v>0</v>
      </c>
      <c r="D3155" s="25">
        <v>0</v>
      </c>
      <c r="E3155" s="18">
        <f t="shared" si="569"/>
        <v>0</v>
      </c>
    </row>
    <row r="3156" spans="1:5" ht="15" x14ac:dyDescent="0.2">
      <c r="A3156" s="7">
        <v>738310</v>
      </c>
      <c r="B3156" s="3" t="s">
        <v>1443</v>
      </c>
      <c r="C3156" s="25">
        <v>0</v>
      </c>
      <c r="D3156" s="25">
        <v>0</v>
      </c>
      <c r="E3156" s="18">
        <f t="shared" si="569"/>
        <v>0</v>
      </c>
    </row>
    <row r="3157" spans="1:5" ht="15" x14ac:dyDescent="0.2">
      <c r="A3157" s="7">
        <v>738395</v>
      </c>
      <c r="B3157" s="3" t="s">
        <v>1444</v>
      </c>
      <c r="C3157" s="25">
        <v>0</v>
      </c>
      <c r="D3157" s="25">
        <v>0</v>
      </c>
      <c r="E3157" s="18">
        <f t="shared" si="569"/>
        <v>0</v>
      </c>
    </row>
    <row r="3158" spans="1:5" ht="15" x14ac:dyDescent="0.2">
      <c r="A3158" s="6">
        <v>7384</v>
      </c>
      <c r="B3158" s="2" t="s">
        <v>1488</v>
      </c>
      <c r="C3158" s="24">
        <f>SUM(C3159:C3169)</f>
        <v>0</v>
      </c>
      <c r="D3158" s="24">
        <f t="shared" ref="D3158:E3158" si="570">SUM(D3159:D3169)</f>
        <v>0</v>
      </c>
      <c r="E3158" s="17">
        <f t="shared" si="570"/>
        <v>0</v>
      </c>
    </row>
    <row r="3159" spans="1:5" ht="15" x14ac:dyDescent="0.2">
      <c r="A3159" s="7">
        <v>738401</v>
      </c>
      <c r="B3159" s="3" t="s">
        <v>1436</v>
      </c>
      <c r="C3159" s="25">
        <v>0</v>
      </c>
      <c r="D3159" s="25">
        <v>0</v>
      </c>
      <c r="E3159" s="18">
        <f t="shared" ref="E3159:E3169" si="571">SUM(C3159:D3159)</f>
        <v>0</v>
      </c>
    </row>
    <row r="3160" spans="1:5" ht="15" x14ac:dyDescent="0.2">
      <c r="A3160" s="7">
        <v>738402</v>
      </c>
      <c r="B3160" s="3" t="s">
        <v>1437</v>
      </c>
      <c r="C3160" s="25">
        <v>0</v>
      </c>
      <c r="D3160" s="25">
        <v>0</v>
      </c>
      <c r="E3160" s="18">
        <f t="shared" si="571"/>
        <v>0</v>
      </c>
    </row>
    <row r="3161" spans="1:5" ht="15" x14ac:dyDescent="0.2">
      <c r="A3161" s="7">
        <v>738403</v>
      </c>
      <c r="B3161" s="3" t="s">
        <v>568</v>
      </c>
      <c r="C3161" s="25">
        <v>0</v>
      </c>
      <c r="D3161" s="25">
        <v>0</v>
      </c>
      <c r="E3161" s="18">
        <f t="shared" si="571"/>
        <v>0</v>
      </c>
    </row>
    <row r="3162" spans="1:5" ht="15" x14ac:dyDescent="0.2">
      <c r="A3162" s="7">
        <v>738404</v>
      </c>
      <c r="B3162" s="3" t="s">
        <v>1438</v>
      </c>
      <c r="C3162" s="25">
        <v>0</v>
      </c>
      <c r="D3162" s="25">
        <v>0</v>
      </c>
      <c r="E3162" s="18">
        <f t="shared" si="571"/>
        <v>0</v>
      </c>
    </row>
    <row r="3163" spans="1:5" ht="15" x14ac:dyDescent="0.2">
      <c r="A3163" s="7">
        <v>738405</v>
      </c>
      <c r="B3163" s="3" t="s">
        <v>569</v>
      </c>
      <c r="C3163" s="25">
        <v>0</v>
      </c>
      <c r="D3163" s="25">
        <v>0</v>
      </c>
      <c r="E3163" s="18">
        <f t="shared" si="571"/>
        <v>0</v>
      </c>
    </row>
    <row r="3164" spans="1:5" ht="15" x14ac:dyDescent="0.2">
      <c r="A3164" s="7">
        <v>738406</v>
      </c>
      <c r="B3164" s="3" t="s">
        <v>1439</v>
      </c>
      <c r="C3164" s="25">
        <v>0</v>
      </c>
      <c r="D3164" s="25">
        <v>0</v>
      </c>
      <c r="E3164" s="18">
        <f t="shared" si="571"/>
        <v>0</v>
      </c>
    </row>
    <row r="3165" spans="1:5" ht="15" x14ac:dyDescent="0.2">
      <c r="A3165" s="7">
        <v>738407</v>
      </c>
      <c r="B3165" s="3" t="s">
        <v>1440</v>
      </c>
      <c r="C3165" s="25">
        <v>0</v>
      </c>
      <c r="D3165" s="25">
        <v>0</v>
      </c>
      <c r="E3165" s="18">
        <f t="shared" si="571"/>
        <v>0</v>
      </c>
    </row>
    <row r="3166" spans="1:5" ht="15" x14ac:dyDescent="0.2">
      <c r="A3166" s="7">
        <v>738408</v>
      </c>
      <c r="B3166" s="3" t="s">
        <v>1441</v>
      </c>
      <c r="C3166" s="25">
        <v>0</v>
      </c>
      <c r="D3166" s="25">
        <v>0</v>
      </c>
      <c r="E3166" s="18">
        <f t="shared" si="571"/>
        <v>0</v>
      </c>
    </row>
    <row r="3167" spans="1:5" ht="15" x14ac:dyDescent="0.2">
      <c r="A3167" s="7">
        <v>738409</v>
      </c>
      <c r="B3167" s="3" t="s">
        <v>1442</v>
      </c>
      <c r="C3167" s="25">
        <v>0</v>
      </c>
      <c r="D3167" s="25">
        <v>0</v>
      </c>
      <c r="E3167" s="18">
        <f t="shared" si="571"/>
        <v>0</v>
      </c>
    </row>
    <row r="3168" spans="1:5" ht="15" x14ac:dyDescent="0.2">
      <c r="A3168" s="7">
        <v>738410</v>
      </c>
      <c r="B3168" s="3" t="s">
        <v>1443</v>
      </c>
      <c r="C3168" s="25">
        <v>0</v>
      </c>
      <c r="D3168" s="25">
        <v>0</v>
      </c>
      <c r="E3168" s="18">
        <f t="shared" si="571"/>
        <v>0</v>
      </c>
    </row>
    <row r="3169" spans="1:5" ht="15" x14ac:dyDescent="0.2">
      <c r="A3169" s="7">
        <v>738495</v>
      </c>
      <c r="B3169" s="3" t="s">
        <v>1444</v>
      </c>
      <c r="C3169" s="25">
        <v>0</v>
      </c>
      <c r="D3169" s="25">
        <v>0</v>
      </c>
      <c r="E3169" s="18">
        <f t="shared" si="571"/>
        <v>0</v>
      </c>
    </row>
    <row r="3170" spans="1:5" ht="15" x14ac:dyDescent="0.2">
      <c r="A3170" s="6">
        <v>7385</v>
      </c>
      <c r="B3170" s="2" t="s">
        <v>1489</v>
      </c>
      <c r="C3170" s="24">
        <f>SUM(C3171:C3181)</f>
        <v>0</v>
      </c>
      <c r="D3170" s="24">
        <f t="shared" ref="D3170:E3170" si="572">SUM(D3171:D3181)</f>
        <v>0</v>
      </c>
      <c r="E3170" s="17">
        <f t="shared" si="572"/>
        <v>0</v>
      </c>
    </row>
    <row r="3171" spans="1:5" ht="15" x14ac:dyDescent="0.2">
      <c r="A3171" s="7">
        <v>738501</v>
      </c>
      <c r="B3171" s="3" t="s">
        <v>1436</v>
      </c>
      <c r="C3171" s="25">
        <v>0</v>
      </c>
      <c r="D3171" s="25">
        <v>0</v>
      </c>
      <c r="E3171" s="18">
        <f t="shared" ref="E3171:E3181" si="573">SUM(C3171:D3171)</f>
        <v>0</v>
      </c>
    </row>
    <row r="3172" spans="1:5" ht="15" x14ac:dyDescent="0.2">
      <c r="A3172" s="7">
        <v>738502</v>
      </c>
      <c r="B3172" s="3" t="s">
        <v>1437</v>
      </c>
      <c r="C3172" s="25">
        <v>0</v>
      </c>
      <c r="D3172" s="25">
        <v>0</v>
      </c>
      <c r="E3172" s="18">
        <f t="shared" si="573"/>
        <v>0</v>
      </c>
    </row>
    <row r="3173" spans="1:5" ht="15" x14ac:dyDescent="0.2">
      <c r="A3173" s="7">
        <v>738503</v>
      </c>
      <c r="B3173" s="3" t="s">
        <v>568</v>
      </c>
      <c r="C3173" s="25">
        <v>0</v>
      </c>
      <c r="D3173" s="25">
        <v>0</v>
      </c>
      <c r="E3173" s="18">
        <f t="shared" si="573"/>
        <v>0</v>
      </c>
    </row>
    <row r="3174" spans="1:5" ht="15" x14ac:dyDescent="0.2">
      <c r="A3174" s="7">
        <v>738504</v>
      </c>
      <c r="B3174" s="3" t="s">
        <v>1438</v>
      </c>
      <c r="C3174" s="25">
        <v>0</v>
      </c>
      <c r="D3174" s="25">
        <v>0</v>
      </c>
      <c r="E3174" s="18">
        <f t="shared" si="573"/>
        <v>0</v>
      </c>
    </row>
    <row r="3175" spans="1:5" ht="15" x14ac:dyDescent="0.2">
      <c r="A3175" s="7">
        <v>738505</v>
      </c>
      <c r="B3175" s="3" t="s">
        <v>569</v>
      </c>
      <c r="C3175" s="25">
        <v>0</v>
      </c>
      <c r="D3175" s="25">
        <v>0</v>
      </c>
      <c r="E3175" s="18">
        <f t="shared" si="573"/>
        <v>0</v>
      </c>
    </row>
    <row r="3176" spans="1:5" ht="15" x14ac:dyDescent="0.2">
      <c r="A3176" s="7">
        <v>738506</v>
      </c>
      <c r="B3176" s="3" t="s">
        <v>1439</v>
      </c>
      <c r="C3176" s="25">
        <v>0</v>
      </c>
      <c r="D3176" s="25">
        <v>0</v>
      </c>
      <c r="E3176" s="18">
        <f t="shared" si="573"/>
        <v>0</v>
      </c>
    </row>
    <row r="3177" spans="1:5" ht="15" x14ac:dyDescent="0.2">
      <c r="A3177" s="7">
        <v>738507</v>
      </c>
      <c r="B3177" s="3" t="s">
        <v>1440</v>
      </c>
      <c r="C3177" s="25">
        <v>0</v>
      </c>
      <c r="D3177" s="25">
        <v>0</v>
      </c>
      <c r="E3177" s="18">
        <f t="shared" si="573"/>
        <v>0</v>
      </c>
    </row>
    <row r="3178" spans="1:5" ht="15" x14ac:dyDescent="0.2">
      <c r="A3178" s="7">
        <v>738508</v>
      </c>
      <c r="B3178" s="3" t="s">
        <v>1441</v>
      </c>
      <c r="C3178" s="25">
        <v>0</v>
      </c>
      <c r="D3178" s="25">
        <v>0</v>
      </c>
      <c r="E3178" s="18">
        <f t="shared" si="573"/>
        <v>0</v>
      </c>
    </row>
    <row r="3179" spans="1:5" ht="15" x14ac:dyDescent="0.2">
      <c r="A3179" s="7">
        <v>738509</v>
      </c>
      <c r="B3179" s="3" t="s">
        <v>1442</v>
      </c>
      <c r="C3179" s="25">
        <v>0</v>
      </c>
      <c r="D3179" s="25">
        <v>0</v>
      </c>
      <c r="E3179" s="18">
        <f t="shared" si="573"/>
        <v>0</v>
      </c>
    </row>
    <row r="3180" spans="1:5" ht="15" x14ac:dyDescent="0.2">
      <c r="A3180" s="7">
        <v>738510</v>
      </c>
      <c r="B3180" s="3" t="s">
        <v>1443</v>
      </c>
      <c r="C3180" s="25">
        <v>0</v>
      </c>
      <c r="D3180" s="25">
        <v>0</v>
      </c>
      <c r="E3180" s="18">
        <f t="shared" si="573"/>
        <v>0</v>
      </c>
    </row>
    <row r="3181" spans="1:5" ht="15" x14ac:dyDescent="0.2">
      <c r="A3181" s="7">
        <v>738595</v>
      </c>
      <c r="B3181" s="3" t="s">
        <v>1444</v>
      </c>
      <c r="C3181" s="25">
        <v>0</v>
      </c>
      <c r="D3181" s="25">
        <v>0</v>
      </c>
      <c r="E3181" s="18">
        <f t="shared" si="573"/>
        <v>0</v>
      </c>
    </row>
    <row r="3182" spans="1:5" ht="15" x14ac:dyDescent="0.2">
      <c r="A3182" s="6">
        <v>7386</v>
      </c>
      <c r="B3182" s="2" t="s">
        <v>1490</v>
      </c>
      <c r="C3182" s="24">
        <f>SUM(C3183:C3193)</f>
        <v>0</v>
      </c>
      <c r="D3182" s="24">
        <f t="shared" ref="D3182:E3182" si="574">SUM(D3183:D3193)</f>
        <v>0</v>
      </c>
      <c r="E3182" s="17">
        <f t="shared" si="574"/>
        <v>0</v>
      </c>
    </row>
    <row r="3183" spans="1:5" ht="15" x14ac:dyDescent="0.2">
      <c r="A3183" s="7">
        <v>738601</v>
      </c>
      <c r="B3183" s="3" t="s">
        <v>1436</v>
      </c>
      <c r="C3183" s="25">
        <v>0</v>
      </c>
      <c r="D3183" s="25">
        <v>0</v>
      </c>
      <c r="E3183" s="18">
        <f t="shared" ref="E3183:E3193" si="575">SUM(C3183:D3183)</f>
        <v>0</v>
      </c>
    </row>
    <row r="3184" spans="1:5" ht="15" x14ac:dyDescent="0.2">
      <c r="A3184" s="7">
        <v>738602</v>
      </c>
      <c r="B3184" s="3" t="s">
        <v>1437</v>
      </c>
      <c r="C3184" s="25">
        <v>0</v>
      </c>
      <c r="D3184" s="25">
        <v>0</v>
      </c>
      <c r="E3184" s="18">
        <f t="shared" si="575"/>
        <v>0</v>
      </c>
    </row>
    <row r="3185" spans="1:5" ht="15" x14ac:dyDescent="0.2">
      <c r="A3185" s="7">
        <v>738603</v>
      </c>
      <c r="B3185" s="3" t="s">
        <v>568</v>
      </c>
      <c r="C3185" s="25">
        <v>0</v>
      </c>
      <c r="D3185" s="25">
        <v>0</v>
      </c>
      <c r="E3185" s="18">
        <f t="shared" si="575"/>
        <v>0</v>
      </c>
    </row>
    <row r="3186" spans="1:5" ht="15" x14ac:dyDescent="0.2">
      <c r="A3186" s="7">
        <v>738604</v>
      </c>
      <c r="B3186" s="3" t="s">
        <v>1438</v>
      </c>
      <c r="C3186" s="25">
        <v>0</v>
      </c>
      <c r="D3186" s="25">
        <v>0</v>
      </c>
      <c r="E3186" s="18">
        <f t="shared" si="575"/>
        <v>0</v>
      </c>
    </row>
    <row r="3187" spans="1:5" ht="15" x14ac:dyDescent="0.2">
      <c r="A3187" s="7">
        <v>738605</v>
      </c>
      <c r="B3187" s="3" t="s">
        <v>569</v>
      </c>
      <c r="C3187" s="25">
        <v>0</v>
      </c>
      <c r="D3187" s="25">
        <v>0</v>
      </c>
      <c r="E3187" s="18">
        <f t="shared" si="575"/>
        <v>0</v>
      </c>
    </row>
    <row r="3188" spans="1:5" ht="15" x14ac:dyDescent="0.2">
      <c r="A3188" s="7">
        <v>738606</v>
      </c>
      <c r="B3188" s="3" t="s">
        <v>1439</v>
      </c>
      <c r="C3188" s="25">
        <v>0</v>
      </c>
      <c r="D3188" s="25">
        <v>0</v>
      </c>
      <c r="E3188" s="18">
        <f t="shared" si="575"/>
        <v>0</v>
      </c>
    </row>
    <row r="3189" spans="1:5" ht="15" x14ac:dyDescent="0.2">
      <c r="A3189" s="7">
        <v>738607</v>
      </c>
      <c r="B3189" s="3" t="s">
        <v>1440</v>
      </c>
      <c r="C3189" s="25">
        <v>0</v>
      </c>
      <c r="D3189" s="25">
        <v>0</v>
      </c>
      <c r="E3189" s="18">
        <f t="shared" si="575"/>
        <v>0</v>
      </c>
    </row>
    <row r="3190" spans="1:5" ht="15" x14ac:dyDescent="0.2">
      <c r="A3190" s="7">
        <v>738608</v>
      </c>
      <c r="B3190" s="3" t="s">
        <v>1441</v>
      </c>
      <c r="C3190" s="25">
        <v>0</v>
      </c>
      <c r="D3190" s="25">
        <v>0</v>
      </c>
      <c r="E3190" s="18">
        <f t="shared" si="575"/>
        <v>0</v>
      </c>
    </row>
    <row r="3191" spans="1:5" ht="15" x14ac:dyDescent="0.2">
      <c r="A3191" s="7">
        <v>738609</v>
      </c>
      <c r="B3191" s="3" t="s">
        <v>1442</v>
      </c>
      <c r="C3191" s="25">
        <v>0</v>
      </c>
      <c r="D3191" s="25">
        <v>0</v>
      </c>
      <c r="E3191" s="18">
        <f t="shared" si="575"/>
        <v>0</v>
      </c>
    </row>
    <row r="3192" spans="1:5" ht="15" x14ac:dyDescent="0.2">
      <c r="A3192" s="7">
        <v>738610</v>
      </c>
      <c r="B3192" s="3" t="s">
        <v>1443</v>
      </c>
      <c r="C3192" s="25">
        <v>0</v>
      </c>
      <c r="D3192" s="25">
        <v>0</v>
      </c>
      <c r="E3192" s="18">
        <f t="shared" si="575"/>
        <v>0</v>
      </c>
    </row>
    <row r="3193" spans="1:5" ht="15" x14ac:dyDescent="0.2">
      <c r="A3193" s="7">
        <v>738695</v>
      </c>
      <c r="B3193" s="3" t="s">
        <v>1444</v>
      </c>
      <c r="C3193" s="25">
        <v>0</v>
      </c>
      <c r="D3193" s="25">
        <v>0</v>
      </c>
      <c r="E3193" s="18">
        <f t="shared" si="575"/>
        <v>0</v>
      </c>
    </row>
    <row r="3194" spans="1:5" ht="15" x14ac:dyDescent="0.2">
      <c r="A3194" s="6">
        <v>7387</v>
      </c>
      <c r="B3194" s="2" t="s">
        <v>1491</v>
      </c>
      <c r="C3194" s="24">
        <f>SUM(C3195:C3205)</f>
        <v>0</v>
      </c>
      <c r="D3194" s="24">
        <f t="shared" ref="D3194:E3194" si="576">SUM(D3195:D3205)</f>
        <v>0</v>
      </c>
      <c r="E3194" s="17">
        <f t="shared" si="576"/>
        <v>0</v>
      </c>
    </row>
    <row r="3195" spans="1:5" ht="15" x14ac:dyDescent="0.2">
      <c r="A3195" s="7">
        <v>738701</v>
      </c>
      <c r="B3195" s="3" t="s">
        <v>1436</v>
      </c>
      <c r="C3195" s="25">
        <v>0</v>
      </c>
      <c r="D3195" s="25">
        <v>0</v>
      </c>
      <c r="E3195" s="18">
        <f t="shared" ref="E3195:E3205" si="577">SUM(C3195:D3195)</f>
        <v>0</v>
      </c>
    </row>
    <row r="3196" spans="1:5" ht="15" x14ac:dyDescent="0.2">
      <c r="A3196" s="7">
        <v>738702</v>
      </c>
      <c r="B3196" s="3" t="s">
        <v>1437</v>
      </c>
      <c r="C3196" s="25">
        <v>0</v>
      </c>
      <c r="D3196" s="25">
        <v>0</v>
      </c>
      <c r="E3196" s="18">
        <f t="shared" si="577"/>
        <v>0</v>
      </c>
    </row>
    <row r="3197" spans="1:5" ht="15" x14ac:dyDescent="0.2">
      <c r="A3197" s="7">
        <v>738703</v>
      </c>
      <c r="B3197" s="3" t="s">
        <v>568</v>
      </c>
      <c r="C3197" s="25">
        <v>0</v>
      </c>
      <c r="D3197" s="25">
        <v>0</v>
      </c>
      <c r="E3197" s="18">
        <f t="shared" si="577"/>
        <v>0</v>
      </c>
    </row>
    <row r="3198" spans="1:5" ht="15" x14ac:dyDescent="0.2">
      <c r="A3198" s="7">
        <v>738704</v>
      </c>
      <c r="B3198" s="3" t="s">
        <v>1438</v>
      </c>
      <c r="C3198" s="25">
        <v>0</v>
      </c>
      <c r="D3198" s="25">
        <v>0</v>
      </c>
      <c r="E3198" s="18">
        <f t="shared" si="577"/>
        <v>0</v>
      </c>
    </row>
    <row r="3199" spans="1:5" ht="15" x14ac:dyDescent="0.2">
      <c r="A3199" s="7">
        <v>738705</v>
      </c>
      <c r="B3199" s="3" t="s">
        <v>569</v>
      </c>
      <c r="C3199" s="25">
        <v>0</v>
      </c>
      <c r="D3199" s="25">
        <v>0</v>
      </c>
      <c r="E3199" s="18">
        <f t="shared" si="577"/>
        <v>0</v>
      </c>
    </row>
    <row r="3200" spans="1:5" ht="15" x14ac:dyDescent="0.2">
      <c r="A3200" s="7">
        <v>738706</v>
      </c>
      <c r="B3200" s="3" t="s">
        <v>1439</v>
      </c>
      <c r="C3200" s="25">
        <v>0</v>
      </c>
      <c r="D3200" s="25">
        <v>0</v>
      </c>
      <c r="E3200" s="18">
        <f t="shared" si="577"/>
        <v>0</v>
      </c>
    </row>
    <row r="3201" spans="1:5" ht="15" x14ac:dyDescent="0.2">
      <c r="A3201" s="7">
        <v>738707</v>
      </c>
      <c r="B3201" s="3" t="s">
        <v>1440</v>
      </c>
      <c r="C3201" s="25">
        <v>0</v>
      </c>
      <c r="D3201" s="25">
        <v>0</v>
      </c>
      <c r="E3201" s="18">
        <f t="shared" si="577"/>
        <v>0</v>
      </c>
    </row>
    <row r="3202" spans="1:5" ht="15" x14ac:dyDescent="0.2">
      <c r="A3202" s="7">
        <v>738708</v>
      </c>
      <c r="B3202" s="3" t="s">
        <v>1441</v>
      </c>
      <c r="C3202" s="25">
        <v>0</v>
      </c>
      <c r="D3202" s="25">
        <v>0</v>
      </c>
      <c r="E3202" s="18">
        <f t="shared" si="577"/>
        <v>0</v>
      </c>
    </row>
    <row r="3203" spans="1:5" ht="15" x14ac:dyDescent="0.2">
      <c r="A3203" s="7">
        <v>738709</v>
      </c>
      <c r="B3203" s="3" t="s">
        <v>1442</v>
      </c>
      <c r="C3203" s="25">
        <v>0</v>
      </c>
      <c r="D3203" s="25">
        <v>0</v>
      </c>
      <c r="E3203" s="18">
        <f t="shared" si="577"/>
        <v>0</v>
      </c>
    </row>
    <row r="3204" spans="1:5" ht="15" x14ac:dyDescent="0.2">
      <c r="A3204" s="7">
        <v>738710</v>
      </c>
      <c r="B3204" s="3" t="s">
        <v>1443</v>
      </c>
      <c r="C3204" s="25">
        <v>0</v>
      </c>
      <c r="D3204" s="25">
        <v>0</v>
      </c>
      <c r="E3204" s="18">
        <f t="shared" si="577"/>
        <v>0</v>
      </c>
    </row>
    <row r="3205" spans="1:5" ht="15" x14ac:dyDescent="0.2">
      <c r="A3205" s="7">
        <v>738795</v>
      </c>
      <c r="B3205" s="3" t="s">
        <v>1444</v>
      </c>
      <c r="C3205" s="25">
        <v>0</v>
      </c>
      <c r="D3205" s="25">
        <v>0</v>
      </c>
      <c r="E3205" s="18">
        <f t="shared" si="577"/>
        <v>0</v>
      </c>
    </row>
    <row r="3206" spans="1:5" ht="15" x14ac:dyDescent="0.2">
      <c r="A3206" s="6">
        <v>74</v>
      </c>
      <c r="B3206" s="2" t="s">
        <v>1104</v>
      </c>
      <c r="C3206" s="24">
        <f>SUM(C3207,C3219,C3231,C3243,C3255)</f>
        <v>0</v>
      </c>
      <c r="D3206" s="24">
        <f>SUM(D3207,D3219,D3231,D3243,D3255)</f>
        <v>0</v>
      </c>
      <c r="E3206" s="17">
        <f>SUM(E3207,E3219,E3231,E3243,E3255)</f>
        <v>0</v>
      </c>
    </row>
    <row r="3207" spans="1:5" ht="15" x14ac:dyDescent="0.2">
      <c r="A3207" s="6">
        <v>7401</v>
      </c>
      <c r="B3207" s="2" t="s">
        <v>1492</v>
      </c>
      <c r="C3207" s="24">
        <f>SUM(C3208:C3218)</f>
        <v>0</v>
      </c>
      <c r="D3207" s="24">
        <f t="shared" ref="D3207:E3207" si="578">SUM(D3208:D3218)</f>
        <v>0</v>
      </c>
      <c r="E3207" s="17">
        <f t="shared" si="578"/>
        <v>0</v>
      </c>
    </row>
    <row r="3208" spans="1:5" ht="15" x14ac:dyDescent="0.2">
      <c r="A3208" s="7">
        <v>740101</v>
      </c>
      <c r="B3208" s="3" t="s">
        <v>1436</v>
      </c>
      <c r="C3208" s="25">
        <v>0</v>
      </c>
      <c r="D3208" s="25">
        <v>0</v>
      </c>
      <c r="E3208" s="18">
        <f t="shared" ref="E3208:E3218" si="579">SUM(C3208:D3208)</f>
        <v>0</v>
      </c>
    </row>
    <row r="3209" spans="1:5" ht="15" x14ac:dyDescent="0.2">
      <c r="A3209" s="7">
        <v>740102</v>
      </c>
      <c r="B3209" s="3" t="s">
        <v>1437</v>
      </c>
      <c r="C3209" s="25">
        <v>0</v>
      </c>
      <c r="D3209" s="25">
        <v>0</v>
      </c>
      <c r="E3209" s="18">
        <f t="shared" si="579"/>
        <v>0</v>
      </c>
    </row>
    <row r="3210" spans="1:5" ht="15" x14ac:dyDescent="0.2">
      <c r="A3210" s="7">
        <v>740103</v>
      </c>
      <c r="B3210" s="3" t="s">
        <v>568</v>
      </c>
      <c r="C3210" s="25">
        <v>0</v>
      </c>
      <c r="D3210" s="25">
        <v>0</v>
      </c>
      <c r="E3210" s="18">
        <f t="shared" si="579"/>
        <v>0</v>
      </c>
    </row>
    <row r="3211" spans="1:5" ht="15" x14ac:dyDescent="0.2">
      <c r="A3211" s="7">
        <v>740104</v>
      </c>
      <c r="B3211" s="3" t="s">
        <v>1438</v>
      </c>
      <c r="C3211" s="25">
        <v>0</v>
      </c>
      <c r="D3211" s="25">
        <v>0</v>
      </c>
      <c r="E3211" s="18">
        <f t="shared" si="579"/>
        <v>0</v>
      </c>
    </row>
    <row r="3212" spans="1:5" ht="15" x14ac:dyDescent="0.2">
      <c r="A3212" s="7">
        <v>740105</v>
      </c>
      <c r="B3212" s="3" t="s">
        <v>569</v>
      </c>
      <c r="C3212" s="25">
        <v>0</v>
      </c>
      <c r="D3212" s="25">
        <v>0</v>
      </c>
      <c r="E3212" s="18">
        <f t="shared" si="579"/>
        <v>0</v>
      </c>
    </row>
    <row r="3213" spans="1:5" ht="15" x14ac:dyDescent="0.2">
      <c r="A3213" s="7">
        <v>740106</v>
      </c>
      <c r="B3213" s="3" t="s">
        <v>1439</v>
      </c>
      <c r="C3213" s="25">
        <v>0</v>
      </c>
      <c r="D3213" s="25">
        <v>0</v>
      </c>
      <c r="E3213" s="18">
        <f t="shared" si="579"/>
        <v>0</v>
      </c>
    </row>
    <row r="3214" spans="1:5" ht="15" x14ac:dyDescent="0.2">
      <c r="A3214" s="7">
        <v>740107</v>
      </c>
      <c r="B3214" s="3" t="s">
        <v>1440</v>
      </c>
      <c r="C3214" s="25">
        <v>0</v>
      </c>
      <c r="D3214" s="25">
        <v>0</v>
      </c>
      <c r="E3214" s="18">
        <f t="shared" si="579"/>
        <v>0</v>
      </c>
    </row>
    <row r="3215" spans="1:5" ht="15" x14ac:dyDescent="0.2">
      <c r="A3215" s="7">
        <v>740108</v>
      </c>
      <c r="B3215" s="3" t="s">
        <v>1441</v>
      </c>
      <c r="C3215" s="25">
        <v>0</v>
      </c>
      <c r="D3215" s="25">
        <v>0</v>
      </c>
      <c r="E3215" s="18">
        <f t="shared" si="579"/>
        <v>0</v>
      </c>
    </row>
    <row r="3216" spans="1:5" ht="15" x14ac:dyDescent="0.2">
      <c r="A3216" s="7">
        <v>740109</v>
      </c>
      <c r="B3216" s="3" t="s">
        <v>1442</v>
      </c>
      <c r="C3216" s="25">
        <v>0</v>
      </c>
      <c r="D3216" s="25">
        <v>0</v>
      </c>
      <c r="E3216" s="18">
        <f t="shared" si="579"/>
        <v>0</v>
      </c>
    </row>
    <row r="3217" spans="1:5" ht="15" x14ac:dyDescent="0.2">
      <c r="A3217" s="7">
        <v>740110</v>
      </c>
      <c r="B3217" s="3" t="s">
        <v>1443</v>
      </c>
      <c r="C3217" s="25">
        <v>0</v>
      </c>
      <c r="D3217" s="25">
        <v>0</v>
      </c>
      <c r="E3217" s="18">
        <f t="shared" si="579"/>
        <v>0</v>
      </c>
    </row>
    <row r="3218" spans="1:5" ht="15" x14ac:dyDescent="0.2">
      <c r="A3218" s="7">
        <v>740195</v>
      </c>
      <c r="B3218" s="3" t="s">
        <v>1444</v>
      </c>
      <c r="C3218" s="25">
        <v>0</v>
      </c>
      <c r="D3218" s="25">
        <v>0</v>
      </c>
      <c r="E3218" s="18">
        <f t="shared" si="579"/>
        <v>0</v>
      </c>
    </row>
    <row r="3219" spans="1:5" ht="15" x14ac:dyDescent="0.2">
      <c r="A3219" s="6">
        <v>7402</v>
      </c>
      <c r="B3219" s="2" t="s">
        <v>1493</v>
      </c>
      <c r="C3219" s="24">
        <f>SUM(C3220:C3230)</f>
        <v>0</v>
      </c>
      <c r="D3219" s="24">
        <f t="shared" ref="D3219:E3219" si="580">SUM(D3220:D3230)</f>
        <v>0</v>
      </c>
      <c r="E3219" s="17">
        <f t="shared" si="580"/>
        <v>0</v>
      </c>
    </row>
    <row r="3220" spans="1:5" ht="15" x14ac:dyDescent="0.2">
      <c r="A3220" s="7">
        <v>740201</v>
      </c>
      <c r="B3220" s="3" t="s">
        <v>1436</v>
      </c>
      <c r="C3220" s="25">
        <v>0</v>
      </c>
      <c r="D3220" s="25">
        <v>0</v>
      </c>
      <c r="E3220" s="18">
        <f t="shared" ref="E3220:E3230" si="581">SUM(C3220:D3220)</f>
        <v>0</v>
      </c>
    </row>
    <row r="3221" spans="1:5" ht="15" x14ac:dyDescent="0.2">
      <c r="A3221" s="7">
        <v>740202</v>
      </c>
      <c r="B3221" s="3" t="s">
        <v>1437</v>
      </c>
      <c r="C3221" s="25">
        <v>0</v>
      </c>
      <c r="D3221" s="25">
        <v>0</v>
      </c>
      <c r="E3221" s="18">
        <f t="shared" si="581"/>
        <v>0</v>
      </c>
    </row>
    <row r="3222" spans="1:5" ht="15" x14ac:dyDescent="0.2">
      <c r="A3222" s="7">
        <v>740203</v>
      </c>
      <c r="B3222" s="3" t="s">
        <v>568</v>
      </c>
      <c r="C3222" s="25">
        <v>0</v>
      </c>
      <c r="D3222" s="25">
        <v>0</v>
      </c>
      <c r="E3222" s="18">
        <f t="shared" si="581"/>
        <v>0</v>
      </c>
    </row>
    <row r="3223" spans="1:5" ht="15" x14ac:dyDescent="0.2">
      <c r="A3223" s="7">
        <v>740204</v>
      </c>
      <c r="B3223" s="3" t="s">
        <v>1438</v>
      </c>
      <c r="C3223" s="25">
        <v>0</v>
      </c>
      <c r="D3223" s="25">
        <v>0</v>
      </c>
      <c r="E3223" s="18">
        <f t="shared" si="581"/>
        <v>0</v>
      </c>
    </row>
    <row r="3224" spans="1:5" ht="15" x14ac:dyDescent="0.2">
      <c r="A3224" s="7">
        <v>740205</v>
      </c>
      <c r="B3224" s="3" t="s">
        <v>569</v>
      </c>
      <c r="C3224" s="25">
        <v>0</v>
      </c>
      <c r="D3224" s="25">
        <v>0</v>
      </c>
      <c r="E3224" s="18">
        <f t="shared" si="581"/>
        <v>0</v>
      </c>
    </row>
    <row r="3225" spans="1:5" ht="15" x14ac:dyDescent="0.2">
      <c r="A3225" s="7">
        <v>740206</v>
      </c>
      <c r="B3225" s="3" t="s">
        <v>1439</v>
      </c>
      <c r="C3225" s="25">
        <v>0</v>
      </c>
      <c r="D3225" s="25">
        <v>0</v>
      </c>
      <c r="E3225" s="18">
        <f t="shared" si="581"/>
        <v>0</v>
      </c>
    </row>
    <row r="3226" spans="1:5" ht="15" x14ac:dyDescent="0.2">
      <c r="A3226" s="7">
        <v>740207</v>
      </c>
      <c r="B3226" s="3" t="s">
        <v>1440</v>
      </c>
      <c r="C3226" s="25">
        <v>0</v>
      </c>
      <c r="D3226" s="25">
        <v>0</v>
      </c>
      <c r="E3226" s="18">
        <f t="shared" si="581"/>
        <v>0</v>
      </c>
    </row>
    <row r="3227" spans="1:5" ht="15" x14ac:dyDescent="0.2">
      <c r="A3227" s="7">
        <v>740208</v>
      </c>
      <c r="B3227" s="3" t="s">
        <v>1441</v>
      </c>
      <c r="C3227" s="25">
        <v>0</v>
      </c>
      <c r="D3227" s="25">
        <v>0</v>
      </c>
      <c r="E3227" s="18">
        <f t="shared" si="581"/>
        <v>0</v>
      </c>
    </row>
    <row r="3228" spans="1:5" ht="15" x14ac:dyDescent="0.2">
      <c r="A3228" s="7">
        <v>740209</v>
      </c>
      <c r="B3228" s="3" t="s">
        <v>1442</v>
      </c>
      <c r="C3228" s="25">
        <v>0</v>
      </c>
      <c r="D3228" s="25">
        <v>0</v>
      </c>
      <c r="E3228" s="18">
        <f t="shared" si="581"/>
        <v>0</v>
      </c>
    </row>
    <row r="3229" spans="1:5" ht="15" x14ac:dyDescent="0.2">
      <c r="A3229" s="7">
        <v>740210</v>
      </c>
      <c r="B3229" s="3" t="s">
        <v>1443</v>
      </c>
      <c r="C3229" s="25">
        <v>0</v>
      </c>
      <c r="D3229" s="25">
        <v>0</v>
      </c>
      <c r="E3229" s="18">
        <f t="shared" si="581"/>
        <v>0</v>
      </c>
    </row>
    <row r="3230" spans="1:5" ht="15" x14ac:dyDescent="0.2">
      <c r="A3230" s="7">
        <v>740295</v>
      </c>
      <c r="B3230" s="3" t="s">
        <v>1444</v>
      </c>
      <c r="C3230" s="25">
        <v>0</v>
      </c>
      <c r="D3230" s="25">
        <v>0</v>
      </c>
      <c r="E3230" s="18">
        <f t="shared" si="581"/>
        <v>0</v>
      </c>
    </row>
    <row r="3231" spans="1:5" ht="15" x14ac:dyDescent="0.2">
      <c r="A3231" s="6">
        <v>7403</v>
      </c>
      <c r="B3231" s="2" t="s">
        <v>1494</v>
      </c>
      <c r="C3231" s="24">
        <f>SUM(C3232:C3242)</f>
        <v>0</v>
      </c>
      <c r="D3231" s="24">
        <f t="shared" ref="D3231:E3231" si="582">SUM(D3232:D3242)</f>
        <v>0</v>
      </c>
      <c r="E3231" s="17">
        <f t="shared" si="582"/>
        <v>0</v>
      </c>
    </row>
    <row r="3232" spans="1:5" ht="15" x14ac:dyDescent="0.2">
      <c r="A3232" s="7">
        <v>740301</v>
      </c>
      <c r="B3232" s="3" t="s">
        <v>1436</v>
      </c>
      <c r="C3232" s="25">
        <v>0</v>
      </c>
      <c r="D3232" s="25">
        <v>0</v>
      </c>
      <c r="E3232" s="18">
        <f t="shared" ref="E3232:E3242" si="583">SUM(C3232:D3232)</f>
        <v>0</v>
      </c>
    </row>
    <row r="3233" spans="1:5" ht="15" x14ac:dyDescent="0.2">
      <c r="A3233" s="7">
        <v>740302</v>
      </c>
      <c r="B3233" s="3" t="s">
        <v>1437</v>
      </c>
      <c r="C3233" s="25">
        <v>0</v>
      </c>
      <c r="D3233" s="25">
        <v>0</v>
      </c>
      <c r="E3233" s="18">
        <f t="shared" si="583"/>
        <v>0</v>
      </c>
    </row>
    <row r="3234" spans="1:5" ht="15" x14ac:dyDescent="0.2">
      <c r="A3234" s="7">
        <v>740303</v>
      </c>
      <c r="B3234" s="3" t="s">
        <v>568</v>
      </c>
      <c r="C3234" s="25">
        <v>0</v>
      </c>
      <c r="D3234" s="25">
        <v>0</v>
      </c>
      <c r="E3234" s="18">
        <f t="shared" si="583"/>
        <v>0</v>
      </c>
    </row>
    <row r="3235" spans="1:5" ht="15" x14ac:dyDescent="0.2">
      <c r="A3235" s="7">
        <v>740304</v>
      </c>
      <c r="B3235" s="3" t="s">
        <v>1438</v>
      </c>
      <c r="C3235" s="25">
        <v>0</v>
      </c>
      <c r="D3235" s="25">
        <v>0</v>
      </c>
      <c r="E3235" s="18">
        <f t="shared" si="583"/>
        <v>0</v>
      </c>
    </row>
    <row r="3236" spans="1:5" ht="15" x14ac:dyDescent="0.2">
      <c r="A3236" s="7">
        <v>740305</v>
      </c>
      <c r="B3236" s="3" t="s">
        <v>569</v>
      </c>
      <c r="C3236" s="25">
        <v>0</v>
      </c>
      <c r="D3236" s="25">
        <v>0</v>
      </c>
      <c r="E3236" s="18">
        <f t="shared" si="583"/>
        <v>0</v>
      </c>
    </row>
    <row r="3237" spans="1:5" ht="15" x14ac:dyDescent="0.2">
      <c r="A3237" s="7">
        <v>740306</v>
      </c>
      <c r="B3237" s="3" t="s">
        <v>1439</v>
      </c>
      <c r="C3237" s="25">
        <v>0</v>
      </c>
      <c r="D3237" s="25">
        <v>0</v>
      </c>
      <c r="E3237" s="18">
        <f t="shared" si="583"/>
        <v>0</v>
      </c>
    </row>
    <row r="3238" spans="1:5" ht="15" x14ac:dyDescent="0.2">
      <c r="A3238" s="7">
        <v>740307</v>
      </c>
      <c r="B3238" s="3" t="s">
        <v>1440</v>
      </c>
      <c r="C3238" s="25">
        <v>0</v>
      </c>
      <c r="D3238" s="25">
        <v>0</v>
      </c>
      <c r="E3238" s="18">
        <f t="shared" si="583"/>
        <v>0</v>
      </c>
    </row>
    <row r="3239" spans="1:5" ht="15" x14ac:dyDescent="0.2">
      <c r="A3239" s="7">
        <v>740308</v>
      </c>
      <c r="B3239" s="3" t="s">
        <v>1441</v>
      </c>
      <c r="C3239" s="25">
        <v>0</v>
      </c>
      <c r="D3239" s="25">
        <v>0</v>
      </c>
      <c r="E3239" s="18">
        <f t="shared" si="583"/>
        <v>0</v>
      </c>
    </row>
    <row r="3240" spans="1:5" ht="15" x14ac:dyDescent="0.2">
      <c r="A3240" s="7">
        <v>740309</v>
      </c>
      <c r="B3240" s="3" t="s">
        <v>1442</v>
      </c>
      <c r="C3240" s="25">
        <v>0</v>
      </c>
      <c r="D3240" s="25">
        <v>0</v>
      </c>
      <c r="E3240" s="18">
        <f t="shared" si="583"/>
        <v>0</v>
      </c>
    </row>
    <row r="3241" spans="1:5" ht="15" x14ac:dyDescent="0.2">
      <c r="A3241" s="7">
        <v>740310</v>
      </c>
      <c r="B3241" s="3" t="s">
        <v>1443</v>
      </c>
      <c r="C3241" s="25">
        <v>0</v>
      </c>
      <c r="D3241" s="25">
        <v>0</v>
      </c>
      <c r="E3241" s="18">
        <f t="shared" si="583"/>
        <v>0</v>
      </c>
    </row>
    <row r="3242" spans="1:5" ht="15" x14ac:dyDescent="0.2">
      <c r="A3242" s="7">
        <v>740395</v>
      </c>
      <c r="B3242" s="3" t="s">
        <v>1444</v>
      </c>
      <c r="C3242" s="25">
        <v>0</v>
      </c>
      <c r="D3242" s="25">
        <v>0</v>
      </c>
      <c r="E3242" s="18">
        <f t="shared" si="583"/>
        <v>0</v>
      </c>
    </row>
    <row r="3243" spans="1:5" ht="15" x14ac:dyDescent="0.2">
      <c r="A3243" s="6">
        <v>7405</v>
      </c>
      <c r="B3243" s="2" t="s">
        <v>1495</v>
      </c>
      <c r="C3243" s="24">
        <f>SUM(C3244:C3254)</f>
        <v>0</v>
      </c>
      <c r="D3243" s="24">
        <f t="shared" ref="D3243:E3243" si="584">SUM(D3244:D3254)</f>
        <v>0</v>
      </c>
      <c r="E3243" s="17">
        <f t="shared" si="584"/>
        <v>0</v>
      </c>
    </row>
    <row r="3244" spans="1:5" ht="15" x14ac:dyDescent="0.2">
      <c r="A3244" s="7">
        <v>740501</v>
      </c>
      <c r="B3244" s="3" t="s">
        <v>1436</v>
      </c>
      <c r="C3244" s="25">
        <v>0</v>
      </c>
      <c r="D3244" s="25">
        <v>0</v>
      </c>
      <c r="E3244" s="18">
        <f t="shared" ref="E3244:E3254" si="585">SUM(C3244:D3244)</f>
        <v>0</v>
      </c>
    </row>
    <row r="3245" spans="1:5" ht="15" x14ac:dyDescent="0.2">
      <c r="A3245" s="7">
        <v>740502</v>
      </c>
      <c r="B3245" s="3" t="s">
        <v>1437</v>
      </c>
      <c r="C3245" s="25">
        <v>0</v>
      </c>
      <c r="D3245" s="25">
        <v>0</v>
      </c>
      <c r="E3245" s="18">
        <f t="shared" si="585"/>
        <v>0</v>
      </c>
    </row>
    <row r="3246" spans="1:5" ht="15" x14ac:dyDescent="0.2">
      <c r="A3246" s="7">
        <v>740503</v>
      </c>
      <c r="B3246" s="3" t="s">
        <v>568</v>
      </c>
      <c r="C3246" s="25">
        <v>0</v>
      </c>
      <c r="D3246" s="25">
        <v>0</v>
      </c>
      <c r="E3246" s="18">
        <f t="shared" si="585"/>
        <v>0</v>
      </c>
    </row>
    <row r="3247" spans="1:5" ht="15" x14ac:dyDescent="0.2">
      <c r="A3247" s="7">
        <v>740504</v>
      </c>
      <c r="B3247" s="3" t="s">
        <v>1438</v>
      </c>
      <c r="C3247" s="25">
        <v>0</v>
      </c>
      <c r="D3247" s="25">
        <v>0</v>
      </c>
      <c r="E3247" s="18">
        <f t="shared" si="585"/>
        <v>0</v>
      </c>
    </row>
    <row r="3248" spans="1:5" ht="15" x14ac:dyDescent="0.2">
      <c r="A3248" s="7">
        <v>740505</v>
      </c>
      <c r="B3248" s="3" t="s">
        <v>569</v>
      </c>
      <c r="C3248" s="25">
        <v>0</v>
      </c>
      <c r="D3248" s="25">
        <v>0</v>
      </c>
      <c r="E3248" s="18">
        <f t="shared" si="585"/>
        <v>0</v>
      </c>
    </row>
    <row r="3249" spans="1:5" ht="15" x14ac:dyDescent="0.2">
      <c r="A3249" s="7">
        <v>740506</v>
      </c>
      <c r="B3249" s="3" t="s">
        <v>1439</v>
      </c>
      <c r="C3249" s="25">
        <v>0</v>
      </c>
      <c r="D3249" s="25">
        <v>0</v>
      </c>
      <c r="E3249" s="18">
        <f t="shared" si="585"/>
        <v>0</v>
      </c>
    </row>
    <row r="3250" spans="1:5" ht="15" x14ac:dyDescent="0.2">
      <c r="A3250" s="7">
        <v>740507</v>
      </c>
      <c r="B3250" s="3" t="s">
        <v>1440</v>
      </c>
      <c r="C3250" s="25">
        <v>0</v>
      </c>
      <c r="D3250" s="25">
        <v>0</v>
      </c>
      <c r="E3250" s="18">
        <f t="shared" si="585"/>
        <v>0</v>
      </c>
    </row>
    <row r="3251" spans="1:5" ht="15" x14ac:dyDescent="0.2">
      <c r="A3251" s="7">
        <v>740508</v>
      </c>
      <c r="B3251" s="3" t="s">
        <v>1441</v>
      </c>
      <c r="C3251" s="25">
        <v>0</v>
      </c>
      <c r="D3251" s="25">
        <v>0</v>
      </c>
      <c r="E3251" s="18">
        <f t="shared" si="585"/>
        <v>0</v>
      </c>
    </row>
    <row r="3252" spans="1:5" ht="15" x14ac:dyDescent="0.2">
      <c r="A3252" s="7">
        <v>740509</v>
      </c>
      <c r="B3252" s="3" t="s">
        <v>1442</v>
      </c>
      <c r="C3252" s="25">
        <v>0</v>
      </c>
      <c r="D3252" s="25">
        <v>0</v>
      </c>
      <c r="E3252" s="18">
        <f t="shared" si="585"/>
        <v>0</v>
      </c>
    </row>
    <row r="3253" spans="1:5" ht="15" x14ac:dyDescent="0.2">
      <c r="A3253" s="7">
        <v>740510</v>
      </c>
      <c r="B3253" s="3" t="s">
        <v>1443</v>
      </c>
      <c r="C3253" s="25">
        <v>0</v>
      </c>
      <c r="D3253" s="25">
        <v>0</v>
      </c>
      <c r="E3253" s="18">
        <f t="shared" si="585"/>
        <v>0</v>
      </c>
    </row>
    <row r="3254" spans="1:5" ht="15" x14ac:dyDescent="0.2">
      <c r="A3254" s="7">
        <v>740595</v>
      </c>
      <c r="B3254" s="3" t="s">
        <v>1444</v>
      </c>
      <c r="C3254" s="25">
        <v>0</v>
      </c>
      <c r="D3254" s="25">
        <v>0</v>
      </c>
      <c r="E3254" s="18">
        <f t="shared" si="585"/>
        <v>0</v>
      </c>
    </row>
    <row r="3255" spans="1:5" ht="15" x14ac:dyDescent="0.2">
      <c r="A3255" s="6">
        <v>7490</v>
      </c>
      <c r="B3255" s="2" t="s">
        <v>1496</v>
      </c>
      <c r="C3255" s="24">
        <f>SUM(C3256:C3266)</f>
        <v>0</v>
      </c>
      <c r="D3255" s="24">
        <f t="shared" ref="D3255:E3255" si="586">SUM(D3256:D3266)</f>
        <v>0</v>
      </c>
      <c r="E3255" s="17">
        <f t="shared" si="586"/>
        <v>0</v>
      </c>
    </row>
    <row r="3256" spans="1:5" ht="15" x14ac:dyDescent="0.2">
      <c r="A3256" s="7">
        <v>749001</v>
      </c>
      <c r="B3256" s="3" t="s">
        <v>1436</v>
      </c>
      <c r="C3256" s="25">
        <v>0</v>
      </c>
      <c r="D3256" s="25">
        <v>0</v>
      </c>
      <c r="E3256" s="18">
        <f t="shared" ref="E3256:E3266" si="587">SUM(C3256:D3256)</f>
        <v>0</v>
      </c>
    </row>
    <row r="3257" spans="1:5" ht="15" x14ac:dyDescent="0.2">
      <c r="A3257" s="7">
        <v>749002</v>
      </c>
      <c r="B3257" s="3" t="s">
        <v>1437</v>
      </c>
      <c r="C3257" s="25">
        <v>0</v>
      </c>
      <c r="D3257" s="25">
        <v>0</v>
      </c>
      <c r="E3257" s="18">
        <f t="shared" si="587"/>
        <v>0</v>
      </c>
    </row>
    <row r="3258" spans="1:5" ht="15" x14ac:dyDescent="0.2">
      <c r="A3258" s="7">
        <v>749003</v>
      </c>
      <c r="B3258" s="3" t="s">
        <v>568</v>
      </c>
      <c r="C3258" s="25">
        <v>0</v>
      </c>
      <c r="D3258" s="25">
        <v>0</v>
      </c>
      <c r="E3258" s="18">
        <f t="shared" si="587"/>
        <v>0</v>
      </c>
    </row>
    <row r="3259" spans="1:5" ht="15" x14ac:dyDescent="0.2">
      <c r="A3259" s="7">
        <v>749004</v>
      </c>
      <c r="B3259" s="3" t="s">
        <v>1438</v>
      </c>
      <c r="C3259" s="25">
        <v>0</v>
      </c>
      <c r="D3259" s="25">
        <v>0</v>
      </c>
      <c r="E3259" s="18">
        <f t="shared" si="587"/>
        <v>0</v>
      </c>
    </row>
    <row r="3260" spans="1:5" ht="15" x14ac:dyDescent="0.2">
      <c r="A3260" s="7">
        <v>749005</v>
      </c>
      <c r="B3260" s="3" t="s">
        <v>569</v>
      </c>
      <c r="C3260" s="25">
        <v>0</v>
      </c>
      <c r="D3260" s="25">
        <v>0</v>
      </c>
      <c r="E3260" s="18">
        <f t="shared" si="587"/>
        <v>0</v>
      </c>
    </row>
    <row r="3261" spans="1:5" ht="15" x14ac:dyDescent="0.2">
      <c r="A3261" s="7">
        <v>749006</v>
      </c>
      <c r="B3261" s="3" t="s">
        <v>1439</v>
      </c>
      <c r="C3261" s="25">
        <v>0</v>
      </c>
      <c r="D3261" s="25">
        <v>0</v>
      </c>
      <c r="E3261" s="18">
        <f t="shared" si="587"/>
        <v>0</v>
      </c>
    </row>
    <row r="3262" spans="1:5" ht="15" x14ac:dyDescent="0.2">
      <c r="A3262" s="7">
        <v>749007</v>
      </c>
      <c r="B3262" s="3" t="s">
        <v>1440</v>
      </c>
      <c r="C3262" s="25">
        <v>0</v>
      </c>
      <c r="D3262" s="25">
        <v>0</v>
      </c>
      <c r="E3262" s="18">
        <f t="shared" si="587"/>
        <v>0</v>
      </c>
    </row>
    <row r="3263" spans="1:5" ht="15" x14ac:dyDescent="0.2">
      <c r="A3263" s="7">
        <v>749008</v>
      </c>
      <c r="B3263" s="3" t="s">
        <v>1441</v>
      </c>
      <c r="C3263" s="25">
        <v>0</v>
      </c>
      <c r="D3263" s="25">
        <v>0</v>
      </c>
      <c r="E3263" s="18">
        <f t="shared" si="587"/>
        <v>0</v>
      </c>
    </row>
    <row r="3264" spans="1:5" ht="15" x14ac:dyDescent="0.2">
      <c r="A3264" s="7">
        <v>749009</v>
      </c>
      <c r="B3264" s="3" t="s">
        <v>1442</v>
      </c>
      <c r="C3264" s="25">
        <v>0</v>
      </c>
      <c r="D3264" s="25">
        <v>0</v>
      </c>
      <c r="E3264" s="18">
        <f t="shared" si="587"/>
        <v>0</v>
      </c>
    </row>
    <row r="3265" spans="1:5" ht="15" x14ac:dyDescent="0.2">
      <c r="A3265" s="7">
        <v>749010</v>
      </c>
      <c r="B3265" s="3" t="s">
        <v>1443</v>
      </c>
      <c r="C3265" s="25">
        <v>0</v>
      </c>
      <c r="D3265" s="25">
        <v>0</v>
      </c>
      <c r="E3265" s="18">
        <f t="shared" si="587"/>
        <v>0</v>
      </c>
    </row>
    <row r="3266" spans="1:5" ht="15" x14ac:dyDescent="0.2">
      <c r="A3266" s="7">
        <v>749095</v>
      </c>
      <c r="B3266" s="3" t="s">
        <v>1444</v>
      </c>
      <c r="C3266" s="25">
        <v>0</v>
      </c>
      <c r="D3266" s="25">
        <v>0</v>
      </c>
      <c r="E3266" s="18">
        <f t="shared" si="587"/>
        <v>0</v>
      </c>
    </row>
    <row r="3267" spans="1:5" ht="15" x14ac:dyDescent="0.2">
      <c r="A3267" s="6">
        <v>75</v>
      </c>
      <c r="B3267" s="2" t="s">
        <v>1424</v>
      </c>
      <c r="C3267" s="24">
        <f>SUM(C3268,C3280,C3292,C3304,C3316,C3328)</f>
        <v>0</v>
      </c>
      <c r="D3267" s="24">
        <f>SUM(D3268,D3280,D3292,D3304,D3316,D3328)</f>
        <v>0</v>
      </c>
      <c r="E3267" s="28">
        <f>SUM(E3268,E3280,E3292,E3304,E3316,E3328)</f>
        <v>0</v>
      </c>
    </row>
    <row r="3268" spans="1:5" ht="15" x14ac:dyDescent="0.2">
      <c r="A3268" s="6">
        <v>7501</v>
      </c>
      <c r="B3268" s="2" t="s">
        <v>1497</v>
      </c>
      <c r="C3268" s="24">
        <f>SUM(C3269:C3279)</f>
        <v>0</v>
      </c>
      <c r="D3268" s="24">
        <f t="shared" ref="D3268:E3268" si="588">SUM(D3269:D3279)</f>
        <v>0</v>
      </c>
      <c r="E3268" s="17">
        <f t="shared" si="588"/>
        <v>0</v>
      </c>
    </row>
    <row r="3269" spans="1:5" ht="15" x14ac:dyDescent="0.2">
      <c r="A3269" s="7">
        <v>750101</v>
      </c>
      <c r="B3269" s="3" t="s">
        <v>1436</v>
      </c>
      <c r="C3269" s="25">
        <v>0</v>
      </c>
      <c r="D3269" s="25">
        <v>0</v>
      </c>
      <c r="E3269" s="18">
        <f t="shared" ref="E3269:E3279" si="589">SUM(C3269:D3269)</f>
        <v>0</v>
      </c>
    </row>
    <row r="3270" spans="1:5" ht="15" x14ac:dyDescent="0.2">
      <c r="A3270" s="7">
        <v>750102</v>
      </c>
      <c r="B3270" s="3" t="s">
        <v>1437</v>
      </c>
      <c r="C3270" s="25">
        <v>0</v>
      </c>
      <c r="D3270" s="25">
        <v>0</v>
      </c>
      <c r="E3270" s="18">
        <f t="shared" si="589"/>
        <v>0</v>
      </c>
    </row>
    <row r="3271" spans="1:5" ht="15" x14ac:dyDescent="0.2">
      <c r="A3271" s="7">
        <v>750103</v>
      </c>
      <c r="B3271" s="3" t="s">
        <v>568</v>
      </c>
      <c r="C3271" s="25">
        <v>0</v>
      </c>
      <c r="D3271" s="25">
        <v>0</v>
      </c>
      <c r="E3271" s="18">
        <f t="shared" si="589"/>
        <v>0</v>
      </c>
    </row>
    <row r="3272" spans="1:5" ht="15" x14ac:dyDescent="0.2">
      <c r="A3272" s="7">
        <v>750104</v>
      </c>
      <c r="B3272" s="3" t="s">
        <v>1438</v>
      </c>
      <c r="C3272" s="25">
        <v>0</v>
      </c>
      <c r="D3272" s="25">
        <v>0</v>
      </c>
      <c r="E3272" s="18">
        <f t="shared" si="589"/>
        <v>0</v>
      </c>
    </row>
    <row r="3273" spans="1:5" ht="15" x14ac:dyDescent="0.2">
      <c r="A3273" s="7">
        <v>750105</v>
      </c>
      <c r="B3273" s="3" t="s">
        <v>569</v>
      </c>
      <c r="C3273" s="25">
        <v>0</v>
      </c>
      <c r="D3273" s="25">
        <v>0</v>
      </c>
      <c r="E3273" s="18">
        <f t="shared" si="589"/>
        <v>0</v>
      </c>
    </row>
    <row r="3274" spans="1:5" ht="15" x14ac:dyDescent="0.2">
      <c r="A3274" s="7">
        <v>750106</v>
      </c>
      <c r="B3274" s="3" t="s">
        <v>1439</v>
      </c>
      <c r="C3274" s="25">
        <v>0</v>
      </c>
      <c r="D3274" s="25">
        <v>0</v>
      </c>
      <c r="E3274" s="18">
        <f t="shared" si="589"/>
        <v>0</v>
      </c>
    </row>
    <row r="3275" spans="1:5" ht="15" x14ac:dyDescent="0.2">
      <c r="A3275" s="7">
        <v>750107</v>
      </c>
      <c r="B3275" s="3" t="s">
        <v>1440</v>
      </c>
      <c r="C3275" s="25">
        <v>0</v>
      </c>
      <c r="D3275" s="25">
        <v>0</v>
      </c>
      <c r="E3275" s="18">
        <f t="shared" si="589"/>
        <v>0</v>
      </c>
    </row>
    <row r="3276" spans="1:5" ht="15" x14ac:dyDescent="0.2">
      <c r="A3276" s="7">
        <v>750108</v>
      </c>
      <c r="B3276" s="3" t="s">
        <v>1441</v>
      </c>
      <c r="C3276" s="25">
        <v>0</v>
      </c>
      <c r="D3276" s="25">
        <v>0</v>
      </c>
      <c r="E3276" s="18">
        <f t="shared" si="589"/>
        <v>0</v>
      </c>
    </row>
    <row r="3277" spans="1:5" ht="15" x14ac:dyDescent="0.2">
      <c r="A3277" s="7">
        <v>750109</v>
      </c>
      <c r="B3277" s="3" t="s">
        <v>1442</v>
      </c>
      <c r="C3277" s="25">
        <v>0</v>
      </c>
      <c r="D3277" s="25">
        <v>0</v>
      </c>
      <c r="E3277" s="18">
        <f t="shared" si="589"/>
        <v>0</v>
      </c>
    </row>
    <row r="3278" spans="1:5" ht="15" x14ac:dyDescent="0.2">
      <c r="A3278" s="7">
        <v>750110</v>
      </c>
      <c r="B3278" s="3" t="s">
        <v>1443</v>
      </c>
      <c r="C3278" s="25">
        <v>0</v>
      </c>
      <c r="D3278" s="25">
        <v>0</v>
      </c>
      <c r="E3278" s="18">
        <f t="shared" si="589"/>
        <v>0</v>
      </c>
    </row>
    <row r="3279" spans="1:5" ht="15" x14ac:dyDescent="0.2">
      <c r="A3279" s="7">
        <v>750195</v>
      </c>
      <c r="B3279" s="3" t="s">
        <v>1444</v>
      </c>
      <c r="C3279" s="25">
        <v>0</v>
      </c>
      <c r="D3279" s="25">
        <v>0</v>
      </c>
      <c r="E3279" s="18">
        <f t="shared" si="589"/>
        <v>0</v>
      </c>
    </row>
    <row r="3280" spans="1:5" ht="15" x14ac:dyDescent="0.2">
      <c r="A3280" s="6">
        <v>7502</v>
      </c>
      <c r="B3280" s="2" t="s">
        <v>1498</v>
      </c>
      <c r="C3280" s="24">
        <f>SUM(C3281:C3291)</f>
        <v>0</v>
      </c>
      <c r="D3280" s="24">
        <f t="shared" ref="D3280:E3280" si="590">SUM(D3281:D3291)</f>
        <v>0</v>
      </c>
      <c r="E3280" s="28">
        <f t="shared" si="590"/>
        <v>0</v>
      </c>
    </row>
    <row r="3281" spans="1:5" ht="15" x14ac:dyDescent="0.2">
      <c r="A3281" s="7">
        <v>750201</v>
      </c>
      <c r="B3281" s="3" t="s">
        <v>1436</v>
      </c>
      <c r="C3281" s="25">
        <v>0</v>
      </c>
      <c r="D3281" s="25">
        <v>0</v>
      </c>
      <c r="E3281" s="29">
        <f t="shared" ref="E3281:E3291" si="591">SUM(C3281:D3281)</f>
        <v>0</v>
      </c>
    </row>
    <row r="3282" spans="1:5" ht="15" x14ac:dyDescent="0.2">
      <c r="A3282" s="7">
        <v>750202</v>
      </c>
      <c r="B3282" s="3" t="s">
        <v>1437</v>
      </c>
      <c r="C3282" s="25">
        <v>0</v>
      </c>
      <c r="D3282" s="25">
        <v>0</v>
      </c>
      <c r="E3282" s="29">
        <f t="shared" si="591"/>
        <v>0</v>
      </c>
    </row>
    <row r="3283" spans="1:5" ht="15" x14ac:dyDescent="0.2">
      <c r="A3283" s="7">
        <v>750203</v>
      </c>
      <c r="B3283" s="3" t="s">
        <v>568</v>
      </c>
      <c r="C3283" s="25">
        <v>0</v>
      </c>
      <c r="D3283" s="25">
        <v>0</v>
      </c>
      <c r="E3283" s="29">
        <f t="shared" si="591"/>
        <v>0</v>
      </c>
    </row>
    <row r="3284" spans="1:5" ht="15" x14ac:dyDescent="0.2">
      <c r="A3284" s="7">
        <v>750204</v>
      </c>
      <c r="B3284" s="3" t="s">
        <v>1438</v>
      </c>
      <c r="C3284" s="25">
        <v>0</v>
      </c>
      <c r="D3284" s="25">
        <v>0</v>
      </c>
      <c r="E3284" s="18">
        <f t="shared" si="591"/>
        <v>0</v>
      </c>
    </row>
    <row r="3285" spans="1:5" ht="15" x14ac:dyDescent="0.2">
      <c r="A3285" s="7">
        <v>750205</v>
      </c>
      <c r="B3285" s="3" t="s">
        <v>569</v>
      </c>
      <c r="C3285" s="25">
        <v>0</v>
      </c>
      <c r="D3285" s="25">
        <v>0</v>
      </c>
      <c r="E3285" s="29">
        <f t="shared" si="591"/>
        <v>0</v>
      </c>
    </row>
    <row r="3286" spans="1:5" ht="15" x14ac:dyDescent="0.2">
      <c r="A3286" s="7">
        <v>750206</v>
      </c>
      <c r="B3286" s="3" t="s">
        <v>1439</v>
      </c>
      <c r="C3286" s="25">
        <v>0</v>
      </c>
      <c r="D3286" s="25">
        <v>0</v>
      </c>
      <c r="E3286" s="29">
        <f t="shared" si="591"/>
        <v>0</v>
      </c>
    </row>
    <row r="3287" spans="1:5" ht="15" x14ac:dyDescent="0.2">
      <c r="A3287" s="7">
        <v>750207</v>
      </c>
      <c r="B3287" s="3" t="s">
        <v>1440</v>
      </c>
      <c r="C3287" s="25">
        <v>0</v>
      </c>
      <c r="D3287" s="25">
        <v>0</v>
      </c>
      <c r="E3287" s="18">
        <f t="shared" si="591"/>
        <v>0</v>
      </c>
    </row>
    <row r="3288" spans="1:5" ht="15" x14ac:dyDescent="0.2">
      <c r="A3288" s="7">
        <v>750208</v>
      </c>
      <c r="B3288" s="3" t="s">
        <v>1441</v>
      </c>
      <c r="C3288" s="25">
        <v>0</v>
      </c>
      <c r="D3288" s="25">
        <v>0</v>
      </c>
      <c r="E3288" s="18">
        <f t="shared" si="591"/>
        <v>0</v>
      </c>
    </row>
    <row r="3289" spans="1:5" ht="15" x14ac:dyDescent="0.2">
      <c r="A3289" s="7">
        <v>750209</v>
      </c>
      <c r="B3289" s="3" t="s">
        <v>1442</v>
      </c>
      <c r="C3289" s="25">
        <v>0</v>
      </c>
      <c r="D3289" s="25">
        <v>0</v>
      </c>
      <c r="E3289" s="29">
        <f t="shared" si="591"/>
        <v>0</v>
      </c>
    </row>
    <row r="3290" spans="1:5" ht="15" x14ac:dyDescent="0.2">
      <c r="A3290" s="7">
        <v>750210</v>
      </c>
      <c r="B3290" s="3" t="s">
        <v>1443</v>
      </c>
      <c r="C3290" s="25">
        <v>0</v>
      </c>
      <c r="D3290" s="25">
        <v>0</v>
      </c>
      <c r="E3290" s="18">
        <f t="shared" si="591"/>
        <v>0</v>
      </c>
    </row>
    <row r="3291" spans="1:5" ht="15" x14ac:dyDescent="0.2">
      <c r="A3291" s="7">
        <v>750295</v>
      </c>
      <c r="B3291" s="3" t="s">
        <v>1444</v>
      </c>
      <c r="C3291" s="25">
        <v>0</v>
      </c>
      <c r="D3291" s="25">
        <v>0</v>
      </c>
      <c r="E3291" s="18">
        <f t="shared" si="591"/>
        <v>0</v>
      </c>
    </row>
    <row r="3292" spans="1:5" ht="15" x14ac:dyDescent="0.2">
      <c r="A3292" s="6">
        <v>7503</v>
      </c>
      <c r="B3292" s="2" t="s">
        <v>1499</v>
      </c>
      <c r="C3292" s="24">
        <f>SUM(C3293:C3303)</f>
        <v>0</v>
      </c>
      <c r="D3292" s="24">
        <f t="shared" ref="D3292:E3292" si="592">SUM(D3293:D3303)</f>
        <v>0</v>
      </c>
      <c r="E3292" s="28">
        <f t="shared" si="592"/>
        <v>0</v>
      </c>
    </row>
    <row r="3293" spans="1:5" ht="15" x14ac:dyDescent="0.2">
      <c r="A3293" s="7">
        <v>750301</v>
      </c>
      <c r="B3293" s="3" t="s">
        <v>1436</v>
      </c>
      <c r="C3293" s="25">
        <v>0</v>
      </c>
      <c r="D3293" s="25">
        <v>0</v>
      </c>
      <c r="E3293" s="29">
        <f t="shared" ref="E3293:E3303" si="593">SUM(C3293:D3293)</f>
        <v>0</v>
      </c>
    </row>
    <row r="3294" spans="1:5" ht="15" x14ac:dyDescent="0.2">
      <c r="A3294" s="7">
        <v>750302</v>
      </c>
      <c r="B3294" s="3" t="s">
        <v>1437</v>
      </c>
      <c r="C3294" s="25">
        <v>0</v>
      </c>
      <c r="D3294" s="25">
        <v>0</v>
      </c>
      <c r="E3294" s="29">
        <f t="shared" si="593"/>
        <v>0</v>
      </c>
    </row>
    <row r="3295" spans="1:5" ht="15" x14ac:dyDescent="0.2">
      <c r="A3295" s="7">
        <v>750303</v>
      </c>
      <c r="B3295" s="3" t="s">
        <v>568</v>
      </c>
      <c r="C3295" s="25">
        <v>0</v>
      </c>
      <c r="D3295" s="25">
        <v>0</v>
      </c>
      <c r="E3295" s="29">
        <f t="shared" si="593"/>
        <v>0</v>
      </c>
    </row>
    <row r="3296" spans="1:5" ht="15" x14ac:dyDescent="0.2">
      <c r="A3296" s="7">
        <v>750304</v>
      </c>
      <c r="B3296" s="3" t="s">
        <v>1438</v>
      </c>
      <c r="C3296" s="25">
        <v>0</v>
      </c>
      <c r="D3296" s="25">
        <v>0</v>
      </c>
      <c r="E3296" s="18">
        <f t="shared" si="593"/>
        <v>0</v>
      </c>
    </row>
    <row r="3297" spans="1:5" ht="15" x14ac:dyDescent="0.2">
      <c r="A3297" s="7">
        <v>750305</v>
      </c>
      <c r="B3297" s="3" t="s">
        <v>569</v>
      </c>
      <c r="C3297" s="25">
        <v>0</v>
      </c>
      <c r="D3297" s="25">
        <v>0</v>
      </c>
      <c r="E3297" s="29">
        <f t="shared" si="593"/>
        <v>0</v>
      </c>
    </row>
    <row r="3298" spans="1:5" ht="15" x14ac:dyDescent="0.2">
      <c r="A3298" s="7">
        <v>750306</v>
      </c>
      <c r="B3298" s="3" t="s">
        <v>1439</v>
      </c>
      <c r="C3298" s="25">
        <v>0</v>
      </c>
      <c r="D3298" s="25">
        <v>0</v>
      </c>
      <c r="E3298" s="29">
        <f t="shared" si="593"/>
        <v>0</v>
      </c>
    </row>
    <row r="3299" spans="1:5" ht="15" x14ac:dyDescent="0.2">
      <c r="A3299" s="7">
        <v>750307</v>
      </c>
      <c r="B3299" s="3" t="s">
        <v>1440</v>
      </c>
      <c r="C3299" s="25">
        <v>0</v>
      </c>
      <c r="D3299" s="25">
        <v>0</v>
      </c>
      <c r="E3299" s="18">
        <f t="shared" si="593"/>
        <v>0</v>
      </c>
    </row>
    <row r="3300" spans="1:5" ht="15" x14ac:dyDescent="0.2">
      <c r="A3300" s="7">
        <v>750308</v>
      </c>
      <c r="B3300" s="3" t="s">
        <v>1441</v>
      </c>
      <c r="C3300" s="25">
        <v>0</v>
      </c>
      <c r="D3300" s="25">
        <v>0</v>
      </c>
      <c r="E3300" s="18">
        <f t="shared" si="593"/>
        <v>0</v>
      </c>
    </row>
    <row r="3301" spans="1:5" ht="15" x14ac:dyDescent="0.2">
      <c r="A3301" s="7">
        <v>750309</v>
      </c>
      <c r="B3301" s="3" t="s">
        <v>1442</v>
      </c>
      <c r="C3301" s="25">
        <v>0</v>
      </c>
      <c r="D3301" s="25">
        <v>0</v>
      </c>
      <c r="E3301" s="29">
        <f t="shared" si="593"/>
        <v>0</v>
      </c>
    </row>
    <row r="3302" spans="1:5" ht="15" x14ac:dyDescent="0.2">
      <c r="A3302" s="7">
        <v>750310</v>
      </c>
      <c r="B3302" s="3" t="s">
        <v>1443</v>
      </c>
      <c r="C3302" s="25">
        <v>0</v>
      </c>
      <c r="D3302" s="25">
        <v>0</v>
      </c>
      <c r="E3302" s="18">
        <f t="shared" si="593"/>
        <v>0</v>
      </c>
    </row>
    <row r="3303" spans="1:5" ht="15" x14ac:dyDescent="0.2">
      <c r="A3303" s="7">
        <v>750395</v>
      </c>
      <c r="B3303" s="3" t="s">
        <v>1444</v>
      </c>
      <c r="C3303" s="25">
        <v>0</v>
      </c>
      <c r="D3303" s="25">
        <v>0</v>
      </c>
      <c r="E3303" s="18">
        <f t="shared" si="593"/>
        <v>0</v>
      </c>
    </row>
    <row r="3304" spans="1:5" ht="15" x14ac:dyDescent="0.2">
      <c r="A3304" s="6">
        <v>7504</v>
      </c>
      <c r="B3304" s="2" t="s">
        <v>1500</v>
      </c>
      <c r="C3304" s="24">
        <f>SUM(C3305:C3315)</f>
        <v>0</v>
      </c>
      <c r="D3304" s="24">
        <f t="shared" ref="D3304:E3304" si="594">SUM(D3305:D3315)</f>
        <v>0</v>
      </c>
      <c r="E3304" s="28">
        <f t="shared" si="594"/>
        <v>0</v>
      </c>
    </row>
    <row r="3305" spans="1:5" ht="15" x14ac:dyDescent="0.2">
      <c r="A3305" s="7">
        <v>750401</v>
      </c>
      <c r="B3305" s="3" t="s">
        <v>1436</v>
      </c>
      <c r="C3305" s="25">
        <v>0</v>
      </c>
      <c r="D3305" s="25">
        <v>0</v>
      </c>
      <c r="E3305" s="29">
        <f t="shared" ref="E3305:E3315" si="595">SUM(C3305:D3305)</f>
        <v>0</v>
      </c>
    </row>
    <row r="3306" spans="1:5" ht="15" x14ac:dyDescent="0.2">
      <c r="A3306" s="7">
        <v>750402</v>
      </c>
      <c r="B3306" s="3" t="s">
        <v>1437</v>
      </c>
      <c r="C3306" s="25">
        <v>0</v>
      </c>
      <c r="D3306" s="25">
        <v>0</v>
      </c>
      <c r="E3306" s="29">
        <f t="shared" si="595"/>
        <v>0</v>
      </c>
    </row>
    <row r="3307" spans="1:5" ht="15" x14ac:dyDescent="0.2">
      <c r="A3307" s="7">
        <v>750403</v>
      </c>
      <c r="B3307" s="3" t="s">
        <v>568</v>
      </c>
      <c r="C3307" s="25">
        <v>0</v>
      </c>
      <c r="D3307" s="25">
        <v>0</v>
      </c>
      <c r="E3307" s="29">
        <f t="shared" si="595"/>
        <v>0</v>
      </c>
    </row>
    <row r="3308" spans="1:5" ht="15" x14ac:dyDescent="0.2">
      <c r="A3308" s="7">
        <v>750404</v>
      </c>
      <c r="B3308" s="3" t="s">
        <v>1438</v>
      </c>
      <c r="C3308" s="25">
        <v>0</v>
      </c>
      <c r="D3308" s="25">
        <v>0</v>
      </c>
      <c r="E3308" s="18">
        <f t="shared" si="595"/>
        <v>0</v>
      </c>
    </row>
    <row r="3309" spans="1:5" ht="15" x14ac:dyDescent="0.2">
      <c r="A3309" s="7">
        <v>750405</v>
      </c>
      <c r="B3309" s="3" t="s">
        <v>569</v>
      </c>
      <c r="C3309" s="25">
        <v>0</v>
      </c>
      <c r="D3309" s="25">
        <v>0</v>
      </c>
      <c r="E3309" s="29">
        <f t="shared" si="595"/>
        <v>0</v>
      </c>
    </row>
    <row r="3310" spans="1:5" ht="15" x14ac:dyDescent="0.2">
      <c r="A3310" s="7">
        <v>750406</v>
      </c>
      <c r="B3310" s="3" t="s">
        <v>1439</v>
      </c>
      <c r="C3310" s="25">
        <v>0</v>
      </c>
      <c r="D3310" s="25">
        <v>0</v>
      </c>
      <c r="E3310" s="29">
        <f t="shared" si="595"/>
        <v>0</v>
      </c>
    </row>
    <row r="3311" spans="1:5" ht="15" x14ac:dyDescent="0.2">
      <c r="A3311" s="7">
        <v>750407</v>
      </c>
      <c r="B3311" s="3" t="s">
        <v>1440</v>
      </c>
      <c r="C3311" s="25">
        <v>0</v>
      </c>
      <c r="D3311" s="25">
        <v>0</v>
      </c>
      <c r="E3311" s="18">
        <f t="shared" si="595"/>
        <v>0</v>
      </c>
    </row>
    <row r="3312" spans="1:5" ht="15" x14ac:dyDescent="0.2">
      <c r="A3312" s="7">
        <v>750408</v>
      </c>
      <c r="B3312" s="3" t="s">
        <v>1441</v>
      </c>
      <c r="C3312" s="25">
        <v>0</v>
      </c>
      <c r="D3312" s="25">
        <v>0</v>
      </c>
      <c r="E3312" s="18">
        <f t="shared" si="595"/>
        <v>0</v>
      </c>
    </row>
    <row r="3313" spans="1:5" ht="15" x14ac:dyDescent="0.2">
      <c r="A3313" s="7">
        <v>750409</v>
      </c>
      <c r="B3313" s="3" t="s">
        <v>1442</v>
      </c>
      <c r="C3313" s="25">
        <v>0</v>
      </c>
      <c r="D3313" s="25">
        <v>0</v>
      </c>
      <c r="E3313" s="29">
        <f t="shared" si="595"/>
        <v>0</v>
      </c>
    </row>
    <row r="3314" spans="1:5" ht="15" x14ac:dyDescent="0.2">
      <c r="A3314" s="7">
        <v>750410</v>
      </c>
      <c r="B3314" s="3" t="s">
        <v>1443</v>
      </c>
      <c r="C3314" s="25">
        <v>0</v>
      </c>
      <c r="D3314" s="25">
        <v>0</v>
      </c>
      <c r="E3314" s="18">
        <f t="shared" si="595"/>
        <v>0</v>
      </c>
    </row>
    <row r="3315" spans="1:5" ht="15" x14ac:dyDescent="0.2">
      <c r="A3315" s="7">
        <v>750495</v>
      </c>
      <c r="B3315" s="3" t="s">
        <v>1444</v>
      </c>
      <c r="C3315" s="25">
        <v>0</v>
      </c>
      <c r="D3315" s="25">
        <v>0</v>
      </c>
      <c r="E3315" s="18">
        <f t="shared" si="595"/>
        <v>0</v>
      </c>
    </row>
    <row r="3316" spans="1:5" ht="15" x14ac:dyDescent="0.2">
      <c r="A3316" s="6">
        <v>7505</v>
      </c>
      <c r="B3316" s="2" t="s">
        <v>1501</v>
      </c>
      <c r="C3316" s="24">
        <f>SUM(C3317:C3327)</f>
        <v>0</v>
      </c>
      <c r="D3316" s="24">
        <f t="shared" ref="D3316:E3316" si="596">SUM(D3317:D3327)</f>
        <v>0</v>
      </c>
      <c r="E3316" s="17">
        <f t="shared" si="596"/>
        <v>0</v>
      </c>
    </row>
    <row r="3317" spans="1:5" ht="15" x14ac:dyDescent="0.2">
      <c r="A3317" s="7">
        <v>750501</v>
      </c>
      <c r="B3317" s="3" t="s">
        <v>1436</v>
      </c>
      <c r="C3317" s="25">
        <v>0</v>
      </c>
      <c r="D3317" s="25">
        <v>0</v>
      </c>
      <c r="E3317" s="18">
        <f t="shared" ref="E3317:E3327" si="597">SUM(C3317:D3317)</f>
        <v>0</v>
      </c>
    </row>
    <row r="3318" spans="1:5" ht="15" x14ac:dyDescent="0.2">
      <c r="A3318" s="7">
        <v>750502</v>
      </c>
      <c r="B3318" s="3" t="s">
        <v>1437</v>
      </c>
      <c r="C3318" s="25">
        <v>0</v>
      </c>
      <c r="D3318" s="25">
        <v>0</v>
      </c>
      <c r="E3318" s="18">
        <f t="shared" si="597"/>
        <v>0</v>
      </c>
    </row>
    <row r="3319" spans="1:5" ht="15" x14ac:dyDescent="0.2">
      <c r="A3319" s="7">
        <v>750503</v>
      </c>
      <c r="B3319" s="3" t="s">
        <v>568</v>
      </c>
      <c r="C3319" s="25">
        <v>0</v>
      </c>
      <c r="D3319" s="25">
        <v>0</v>
      </c>
      <c r="E3319" s="18">
        <f t="shared" si="597"/>
        <v>0</v>
      </c>
    </row>
    <row r="3320" spans="1:5" ht="15" x14ac:dyDescent="0.2">
      <c r="A3320" s="7">
        <v>750504</v>
      </c>
      <c r="B3320" s="3" t="s">
        <v>1438</v>
      </c>
      <c r="C3320" s="25">
        <v>0</v>
      </c>
      <c r="D3320" s="25">
        <v>0</v>
      </c>
      <c r="E3320" s="18">
        <f t="shared" si="597"/>
        <v>0</v>
      </c>
    </row>
    <row r="3321" spans="1:5" ht="15" x14ac:dyDescent="0.2">
      <c r="A3321" s="7">
        <v>750505</v>
      </c>
      <c r="B3321" s="3" t="s">
        <v>569</v>
      </c>
      <c r="C3321" s="25">
        <v>0</v>
      </c>
      <c r="D3321" s="25">
        <v>0</v>
      </c>
      <c r="E3321" s="18">
        <f t="shared" si="597"/>
        <v>0</v>
      </c>
    </row>
    <row r="3322" spans="1:5" ht="15" x14ac:dyDescent="0.2">
      <c r="A3322" s="7">
        <v>750506</v>
      </c>
      <c r="B3322" s="3" t="s">
        <v>1439</v>
      </c>
      <c r="C3322" s="25">
        <v>0</v>
      </c>
      <c r="D3322" s="25">
        <v>0</v>
      </c>
      <c r="E3322" s="18">
        <f t="shared" si="597"/>
        <v>0</v>
      </c>
    </row>
    <row r="3323" spans="1:5" ht="15" x14ac:dyDescent="0.2">
      <c r="A3323" s="7">
        <v>750507</v>
      </c>
      <c r="B3323" s="3" t="s">
        <v>1440</v>
      </c>
      <c r="C3323" s="25">
        <v>0</v>
      </c>
      <c r="D3323" s="25">
        <v>0</v>
      </c>
      <c r="E3323" s="18">
        <f t="shared" si="597"/>
        <v>0</v>
      </c>
    </row>
    <row r="3324" spans="1:5" ht="15" x14ac:dyDescent="0.2">
      <c r="A3324" s="7">
        <v>750508</v>
      </c>
      <c r="B3324" s="3" t="s">
        <v>1441</v>
      </c>
      <c r="C3324" s="25">
        <v>0</v>
      </c>
      <c r="D3324" s="25">
        <v>0</v>
      </c>
      <c r="E3324" s="18">
        <f t="shared" si="597"/>
        <v>0</v>
      </c>
    </row>
    <row r="3325" spans="1:5" ht="15" x14ac:dyDescent="0.2">
      <c r="A3325" s="7">
        <v>750509</v>
      </c>
      <c r="B3325" s="3" t="s">
        <v>1442</v>
      </c>
      <c r="C3325" s="25">
        <v>0</v>
      </c>
      <c r="D3325" s="25">
        <v>0</v>
      </c>
      <c r="E3325" s="18">
        <f t="shared" si="597"/>
        <v>0</v>
      </c>
    </row>
    <row r="3326" spans="1:5" ht="15" x14ac:dyDescent="0.2">
      <c r="A3326" s="7">
        <v>750510</v>
      </c>
      <c r="B3326" s="3" t="s">
        <v>1443</v>
      </c>
      <c r="C3326" s="25">
        <v>0</v>
      </c>
      <c r="D3326" s="25">
        <v>0</v>
      </c>
      <c r="E3326" s="18">
        <f t="shared" si="597"/>
        <v>0</v>
      </c>
    </row>
    <row r="3327" spans="1:5" ht="15" x14ac:dyDescent="0.2">
      <c r="A3327" s="7">
        <v>750595</v>
      </c>
      <c r="B3327" s="3" t="s">
        <v>1444</v>
      </c>
      <c r="C3327" s="25">
        <v>0</v>
      </c>
      <c r="D3327" s="25">
        <v>0</v>
      </c>
      <c r="E3327" s="18">
        <f t="shared" si="597"/>
        <v>0</v>
      </c>
    </row>
    <row r="3328" spans="1:5" ht="15" x14ac:dyDescent="0.2">
      <c r="A3328" s="6">
        <v>7506</v>
      </c>
      <c r="B3328" s="2" t="s">
        <v>1502</v>
      </c>
      <c r="C3328" s="24">
        <f>SUM(C3329:C3339)</f>
        <v>0</v>
      </c>
      <c r="D3328" s="24">
        <f t="shared" ref="D3328:E3328" si="598">SUM(D3329:D3339)</f>
        <v>0</v>
      </c>
      <c r="E3328" s="17">
        <f t="shared" si="598"/>
        <v>0</v>
      </c>
    </row>
    <row r="3329" spans="1:5" ht="15" x14ac:dyDescent="0.2">
      <c r="A3329" s="7">
        <v>750601</v>
      </c>
      <c r="B3329" s="3" t="s">
        <v>1436</v>
      </c>
      <c r="C3329" s="25">
        <v>0</v>
      </c>
      <c r="D3329" s="25">
        <v>0</v>
      </c>
      <c r="E3329" s="18">
        <f t="shared" ref="E3329:E3339" si="599">SUM(C3329:D3329)</f>
        <v>0</v>
      </c>
    </row>
    <row r="3330" spans="1:5" ht="15" x14ac:dyDescent="0.2">
      <c r="A3330" s="7">
        <v>750602</v>
      </c>
      <c r="B3330" s="3" t="s">
        <v>1437</v>
      </c>
      <c r="C3330" s="25">
        <v>0</v>
      </c>
      <c r="D3330" s="25">
        <v>0</v>
      </c>
      <c r="E3330" s="18">
        <f t="shared" si="599"/>
        <v>0</v>
      </c>
    </row>
    <row r="3331" spans="1:5" ht="15" x14ac:dyDescent="0.2">
      <c r="A3331" s="7">
        <v>750603</v>
      </c>
      <c r="B3331" s="3" t="s">
        <v>568</v>
      </c>
      <c r="C3331" s="25">
        <v>0</v>
      </c>
      <c r="D3331" s="25">
        <v>0</v>
      </c>
      <c r="E3331" s="18">
        <f t="shared" si="599"/>
        <v>0</v>
      </c>
    </row>
    <row r="3332" spans="1:5" ht="15" x14ac:dyDescent="0.2">
      <c r="A3332" s="7">
        <v>750604</v>
      </c>
      <c r="B3332" s="3" t="s">
        <v>1438</v>
      </c>
      <c r="C3332" s="25">
        <v>0</v>
      </c>
      <c r="D3332" s="25">
        <v>0</v>
      </c>
      <c r="E3332" s="18">
        <f t="shared" si="599"/>
        <v>0</v>
      </c>
    </row>
    <row r="3333" spans="1:5" ht="15" x14ac:dyDescent="0.2">
      <c r="A3333" s="7">
        <v>750605</v>
      </c>
      <c r="B3333" s="3" t="s">
        <v>569</v>
      </c>
      <c r="C3333" s="25">
        <v>0</v>
      </c>
      <c r="D3333" s="25">
        <v>0</v>
      </c>
      <c r="E3333" s="18">
        <f t="shared" si="599"/>
        <v>0</v>
      </c>
    </row>
    <row r="3334" spans="1:5" ht="15" x14ac:dyDescent="0.2">
      <c r="A3334" s="7">
        <v>750606</v>
      </c>
      <c r="B3334" s="3" t="s">
        <v>1439</v>
      </c>
      <c r="C3334" s="25">
        <v>0</v>
      </c>
      <c r="D3334" s="25">
        <v>0</v>
      </c>
      <c r="E3334" s="18">
        <f t="shared" si="599"/>
        <v>0</v>
      </c>
    </row>
    <row r="3335" spans="1:5" ht="15" x14ac:dyDescent="0.2">
      <c r="A3335" s="7">
        <v>750607</v>
      </c>
      <c r="B3335" s="3" t="s">
        <v>1440</v>
      </c>
      <c r="C3335" s="25">
        <v>0</v>
      </c>
      <c r="D3335" s="25">
        <v>0</v>
      </c>
      <c r="E3335" s="18">
        <f t="shared" si="599"/>
        <v>0</v>
      </c>
    </row>
    <row r="3336" spans="1:5" ht="15" x14ac:dyDescent="0.2">
      <c r="A3336" s="7">
        <v>750608</v>
      </c>
      <c r="B3336" s="3" t="s">
        <v>1441</v>
      </c>
      <c r="C3336" s="25">
        <v>0</v>
      </c>
      <c r="D3336" s="25">
        <v>0</v>
      </c>
      <c r="E3336" s="18">
        <f t="shared" si="599"/>
        <v>0</v>
      </c>
    </row>
    <row r="3337" spans="1:5" ht="15" x14ac:dyDescent="0.2">
      <c r="A3337" s="7">
        <v>750609</v>
      </c>
      <c r="B3337" s="3" t="s">
        <v>1442</v>
      </c>
      <c r="C3337" s="25">
        <v>0</v>
      </c>
      <c r="D3337" s="25">
        <v>0</v>
      </c>
      <c r="E3337" s="18">
        <f t="shared" si="599"/>
        <v>0</v>
      </c>
    </row>
    <row r="3338" spans="1:5" ht="15" x14ac:dyDescent="0.2">
      <c r="A3338" s="7">
        <v>750610</v>
      </c>
      <c r="B3338" s="3" t="s">
        <v>1443</v>
      </c>
      <c r="C3338" s="25">
        <v>0</v>
      </c>
      <c r="D3338" s="25">
        <v>0</v>
      </c>
      <c r="E3338" s="18">
        <f t="shared" si="599"/>
        <v>0</v>
      </c>
    </row>
    <row r="3339" spans="1:5" ht="15" x14ac:dyDescent="0.2">
      <c r="A3339" s="7">
        <v>750695</v>
      </c>
      <c r="B3339" s="3" t="s">
        <v>1444</v>
      </c>
      <c r="C3339" s="25">
        <v>0</v>
      </c>
      <c r="D3339" s="25">
        <v>0</v>
      </c>
      <c r="E3339" s="18">
        <f t="shared" si="599"/>
        <v>0</v>
      </c>
    </row>
    <row r="3340" spans="1:5" ht="15" x14ac:dyDescent="0.2">
      <c r="A3340" s="6">
        <v>76</v>
      </c>
      <c r="B3340" s="2" t="s">
        <v>1134</v>
      </c>
      <c r="C3340" s="24">
        <f>SUM(C3341,C3353,C3366)</f>
        <v>0</v>
      </c>
      <c r="D3340" s="24">
        <f>SUM(D3341,D3353,D3366)</f>
        <v>0</v>
      </c>
      <c r="E3340" s="17">
        <f>SUM(E3341,E3353,E3366)</f>
        <v>0</v>
      </c>
    </row>
    <row r="3341" spans="1:5" ht="15" x14ac:dyDescent="0.2">
      <c r="A3341" s="6">
        <v>7601</v>
      </c>
      <c r="B3341" s="2" t="s">
        <v>1503</v>
      </c>
      <c r="C3341" s="24">
        <f>SUM(C3342:C3352)</f>
        <v>0</v>
      </c>
      <c r="D3341" s="24">
        <f t="shared" ref="D3341:E3341" si="600">SUM(D3342:D3352)</f>
        <v>0</v>
      </c>
      <c r="E3341" s="17">
        <f t="shared" si="600"/>
        <v>0</v>
      </c>
    </row>
    <row r="3342" spans="1:5" ht="15" x14ac:dyDescent="0.2">
      <c r="A3342" s="7">
        <v>760101</v>
      </c>
      <c r="B3342" s="3" t="s">
        <v>1436</v>
      </c>
      <c r="C3342" s="25">
        <v>0</v>
      </c>
      <c r="D3342" s="25">
        <v>0</v>
      </c>
      <c r="E3342" s="18">
        <f t="shared" ref="E3342:E3352" si="601">SUM(C3342:D3342)</f>
        <v>0</v>
      </c>
    </row>
    <row r="3343" spans="1:5" ht="15" x14ac:dyDescent="0.2">
      <c r="A3343" s="7">
        <v>760102</v>
      </c>
      <c r="B3343" s="3" t="s">
        <v>1437</v>
      </c>
      <c r="C3343" s="25">
        <v>0</v>
      </c>
      <c r="D3343" s="25">
        <v>0</v>
      </c>
      <c r="E3343" s="18">
        <f t="shared" si="601"/>
        <v>0</v>
      </c>
    </row>
    <row r="3344" spans="1:5" ht="15" x14ac:dyDescent="0.2">
      <c r="A3344" s="7">
        <v>760103</v>
      </c>
      <c r="B3344" s="3" t="s">
        <v>568</v>
      </c>
      <c r="C3344" s="25">
        <v>0</v>
      </c>
      <c r="D3344" s="25">
        <v>0</v>
      </c>
      <c r="E3344" s="18">
        <f t="shared" si="601"/>
        <v>0</v>
      </c>
    </row>
    <row r="3345" spans="1:5" ht="15" x14ac:dyDescent="0.2">
      <c r="A3345" s="7">
        <v>760104</v>
      </c>
      <c r="B3345" s="3" t="s">
        <v>1438</v>
      </c>
      <c r="C3345" s="25">
        <v>0</v>
      </c>
      <c r="D3345" s="25">
        <v>0</v>
      </c>
      <c r="E3345" s="18">
        <f t="shared" si="601"/>
        <v>0</v>
      </c>
    </row>
    <row r="3346" spans="1:5" ht="15" x14ac:dyDescent="0.2">
      <c r="A3346" s="7">
        <v>760105</v>
      </c>
      <c r="B3346" s="3" t="s">
        <v>569</v>
      </c>
      <c r="C3346" s="25">
        <v>0</v>
      </c>
      <c r="D3346" s="25">
        <v>0</v>
      </c>
      <c r="E3346" s="18">
        <f t="shared" si="601"/>
        <v>0</v>
      </c>
    </row>
    <row r="3347" spans="1:5" ht="15" x14ac:dyDescent="0.2">
      <c r="A3347" s="7">
        <v>760106</v>
      </c>
      <c r="B3347" s="3" t="s">
        <v>1439</v>
      </c>
      <c r="C3347" s="25">
        <v>0</v>
      </c>
      <c r="D3347" s="25">
        <v>0</v>
      </c>
      <c r="E3347" s="18">
        <f t="shared" si="601"/>
        <v>0</v>
      </c>
    </row>
    <row r="3348" spans="1:5" ht="15" x14ac:dyDescent="0.2">
      <c r="A3348" s="7">
        <v>760107</v>
      </c>
      <c r="B3348" s="3" t="s">
        <v>1440</v>
      </c>
      <c r="C3348" s="25">
        <v>0</v>
      </c>
      <c r="D3348" s="25">
        <v>0</v>
      </c>
      <c r="E3348" s="18">
        <f t="shared" si="601"/>
        <v>0</v>
      </c>
    </row>
    <row r="3349" spans="1:5" ht="15" x14ac:dyDescent="0.2">
      <c r="A3349" s="7">
        <v>760108</v>
      </c>
      <c r="B3349" s="3" t="s">
        <v>1441</v>
      </c>
      <c r="C3349" s="25">
        <v>0</v>
      </c>
      <c r="D3349" s="25">
        <v>0</v>
      </c>
      <c r="E3349" s="18">
        <f t="shared" si="601"/>
        <v>0</v>
      </c>
    </row>
    <row r="3350" spans="1:5" ht="15" x14ac:dyDescent="0.2">
      <c r="A3350" s="7">
        <v>760109</v>
      </c>
      <c r="B3350" s="3" t="s">
        <v>1442</v>
      </c>
      <c r="C3350" s="25">
        <v>0</v>
      </c>
      <c r="D3350" s="25">
        <v>0</v>
      </c>
      <c r="E3350" s="18">
        <f t="shared" si="601"/>
        <v>0</v>
      </c>
    </row>
    <row r="3351" spans="1:5" ht="15" x14ac:dyDescent="0.2">
      <c r="A3351" s="7">
        <v>760110</v>
      </c>
      <c r="B3351" s="3" t="s">
        <v>1443</v>
      </c>
      <c r="C3351" s="25">
        <v>0</v>
      </c>
      <c r="D3351" s="25">
        <v>0</v>
      </c>
      <c r="E3351" s="18">
        <f t="shared" si="601"/>
        <v>0</v>
      </c>
    </row>
    <row r="3352" spans="1:5" ht="15" x14ac:dyDescent="0.2">
      <c r="A3352" s="7">
        <v>760195</v>
      </c>
      <c r="B3352" s="3" t="s">
        <v>1444</v>
      </c>
      <c r="C3352" s="25">
        <v>0</v>
      </c>
      <c r="D3352" s="25">
        <v>0</v>
      </c>
      <c r="E3352" s="18">
        <f t="shared" si="601"/>
        <v>0</v>
      </c>
    </row>
    <row r="3353" spans="1:5" ht="15" x14ac:dyDescent="0.2">
      <c r="A3353" s="6">
        <v>7602</v>
      </c>
      <c r="B3353" s="2" t="s">
        <v>1504</v>
      </c>
      <c r="C3353" s="24">
        <f>SUM(C3354:C3365)</f>
        <v>0</v>
      </c>
      <c r="D3353" s="24">
        <f t="shared" ref="D3353:E3353" si="602">SUM(D3354:D3365)</f>
        <v>0</v>
      </c>
      <c r="E3353" s="17">
        <f t="shared" si="602"/>
        <v>0</v>
      </c>
    </row>
    <row r="3354" spans="1:5" ht="15" x14ac:dyDescent="0.2">
      <c r="A3354" s="7">
        <v>760201</v>
      </c>
      <c r="B3354" s="3" t="s">
        <v>1435</v>
      </c>
      <c r="C3354" s="25">
        <v>0</v>
      </c>
      <c r="D3354" s="25">
        <v>0</v>
      </c>
      <c r="E3354" s="18">
        <f t="shared" ref="E3354:E3365" si="603">SUM(C3354:D3354)</f>
        <v>0</v>
      </c>
    </row>
    <row r="3355" spans="1:5" ht="15" x14ac:dyDescent="0.2">
      <c r="A3355" s="7">
        <v>760202</v>
      </c>
      <c r="B3355" s="3" t="s">
        <v>1436</v>
      </c>
      <c r="C3355" s="25">
        <v>0</v>
      </c>
      <c r="D3355" s="25">
        <v>0</v>
      </c>
      <c r="E3355" s="18">
        <f t="shared" si="603"/>
        <v>0</v>
      </c>
    </row>
    <row r="3356" spans="1:5" ht="15" x14ac:dyDescent="0.2">
      <c r="A3356" s="7">
        <v>760203</v>
      </c>
      <c r="B3356" s="3" t="s">
        <v>1437</v>
      </c>
      <c r="C3356" s="25">
        <v>0</v>
      </c>
      <c r="D3356" s="25">
        <v>0</v>
      </c>
      <c r="E3356" s="18">
        <f t="shared" si="603"/>
        <v>0</v>
      </c>
    </row>
    <row r="3357" spans="1:5" ht="15" x14ac:dyDescent="0.2">
      <c r="A3357" s="7">
        <v>760204</v>
      </c>
      <c r="B3357" s="3" t="s">
        <v>568</v>
      </c>
      <c r="C3357" s="25">
        <v>0</v>
      </c>
      <c r="D3357" s="25">
        <v>0</v>
      </c>
      <c r="E3357" s="18">
        <f t="shared" si="603"/>
        <v>0</v>
      </c>
    </row>
    <row r="3358" spans="1:5" ht="15" x14ac:dyDescent="0.2">
      <c r="A3358" s="7">
        <v>760205</v>
      </c>
      <c r="B3358" s="3" t="s">
        <v>1438</v>
      </c>
      <c r="C3358" s="25">
        <v>0</v>
      </c>
      <c r="D3358" s="25">
        <v>0</v>
      </c>
      <c r="E3358" s="18">
        <f t="shared" si="603"/>
        <v>0</v>
      </c>
    </row>
    <row r="3359" spans="1:5" ht="15" x14ac:dyDescent="0.2">
      <c r="A3359" s="7">
        <v>760206</v>
      </c>
      <c r="B3359" s="3" t="s">
        <v>569</v>
      </c>
      <c r="C3359" s="25">
        <v>0</v>
      </c>
      <c r="D3359" s="25">
        <v>0</v>
      </c>
      <c r="E3359" s="18">
        <f t="shared" si="603"/>
        <v>0</v>
      </c>
    </row>
    <row r="3360" spans="1:5" ht="15" x14ac:dyDescent="0.2">
      <c r="A3360" s="7">
        <v>760207</v>
      </c>
      <c r="B3360" s="3" t="s">
        <v>1439</v>
      </c>
      <c r="C3360" s="25">
        <v>0</v>
      </c>
      <c r="D3360" s="25">
        <v>0</v>
      </c>
      <c r="E3360" s="18">
        <f t="shared" si="603"/>
        <v>0</v>
      </c>
    </row>
    <row r="3361" spans="1:5" ht="15" x14ac:dyDescent="0.2">
      <c r="A3361" s="7">
        <v>760208</v>
      </c>
      <c r="B3361" s="3" t="s">
        <v>1440</v>
      </c>
      <c r="C3361" s="25">
        <v>0</v>
      </c>
      <c r="D3361" s="25">
        <v>0</v>
      </c>
      <c r="E3361" s="18">
        <f t="shared" si="603"/>
        <v>0</v>
      </c>
    </row>
    <row r="3362" spans="1:5" ht="15" x14ac:dyDescent="0.2">
      <c r="A3362" s="7">
        <v>760209</v>
      </c>
      <c r="B3362" s="3" t="s">
        <v>1441</v>
      </c>
      <c r="C3362" s="25">
        <v>0</v>
      </c>
      <c r="D3362" s="25">
        <v>0</v>
      </c>
      <c r="E3362" s="18">
        <f t="shared" si="603"/>
        <v>0</v>
      </c>
    </row>
    <row r="3363" spans="1:5" ht="15" x14ac:dyDescent="0.2">
      <c r="A3363" s="7">
        <v>760210</v>
      </c>
      <c r="B3363" s="3" t="s">
        <v>1442</v>
      </c>
      <c r="C3363" s="25">
        <v>0</v>
      </c>
      <c r="D3363" s="25">
        <v>0</v>
      </c>
      <c r="E3363" s="18">
        <f t="shared" si="603"/>
        <v>0</v>
      </c>
    </row>
    <row r="3364" spans="1:5" ht="15" x14ac:dyDescent="0.2">
      <c r="A3364" s="7">
        <v>760211</v>
      </c>
      <c r="B3364" s="3" t="s">
        <v>1443</v>
      </c>
      <c r="C3364" s="25">
        <v>0</v>
      </c>
      <c r="D3364" s="25">
        <v>0</v>
      </c>
      <c r="E3364" s="18">
        <f t="shared" si="603"/>
        <v>0</v>
      </c>
    </row>
    <row r="3365" spans="1:5" ht="15" x14ac:dyDescent="0.2">
      <c r="A3365" s="7">
        <v>760295</v>
      </c>
      <c r="B3365" s="3" t="s">
        <v>1444</v>
      </c>
      <c r="C3365" s="25">
        <v>0</v>
      </c>
      <c r="D3365" s="25">
        <v>0</v>
      </c>
      <c r="E3365" s="18">
        <f t="shared" si="603"/>
        <v>0</v>
      </c>
    </row>
    <row r="3366" spans="1:5" ht="15" x14ac:dyDescent="0.2">
      <c r="A3366" s="6">
        <v>7690</v>
      </c>
      <c r="B3366" s="2" t="s">
        <v>1505</v>
      </c>
      <c r="C3366" s="24">
        <f>SUM(C3367:C3377)</f>
        <v>0</v>
      </c>
      <c r="D3366" s="24">
        <f t="shared" ref="D3366:E3366" si="604">SUM(D3367:D3377)</f>
        <v>0</v>
      </c>
      <c r="E3366" s="17">
        <f t="shared" si="604"/>
        <v>0</v>
      </c>
    </row>
    <row r="3367" spans="1:5" ht="15" x14ac:dyDescent="0.2">
      <c r="A3367" s="7">
        <v>769001</v>
      </c>
      <c r="B3367" s="3" t="s">
        <v>1436</v>
      </c>
      <c r="C3367" s="25">
        <v>0</v>
      </c>
      <c r="D3367" s="25">
        <v>0</v>
      </c>
      <c r="E3367" s="18">
        <f t="shared" ref="E3367:E3377" si="605">SUM(C3367:D3367)</f>
        <v>0</v>
      </c>
    </row>
    <row r="3368" spans="1:5" ht="15" x14ac:dyDescent="0.2">
      <c r="A3368" s="7">
        <v>769002</v>
      </c>
      <c r="B3368" s="3" t="s">
        <v>1437</v>
      </c>
      <c r="C3368" s="25">
        <v>0</v>
      </c>
      <c r="D3368" s="25">
        <v>0</v>
      </c>
      <c r="E3368" s="18">
        <f t="shared" si="605"/>
        <v>0</v>
      </c>
    </row>
    <row r="3369" spans="1:5" ht="15" x14ac:dyDescent="0.2">
      <c r="A3369" s="7">
        <v>769003</v>
      </c>
      <c r="B3369" s="3" t="s">
        <v>568</v>
      </c>
      <c r="C3369" s="25">
        <v>0</v>
      </c>
      <c r="D3369" s="25">
        <v>0</v>
      </c>
      <c r="E3369" s="18">
        <f t="shared" si="605"/>
        <v>0</v>
      </c>
    </row>
    <row r="3370" spans="1:5" ht="15" x14ac:dyDescent="0.2">
      <c r="A3370" s="7">
        <v>769004</v>
      </c>
      <c r="B3370" s="3" t="s">
        <v>1438</v>
      </c>
      <c r="C3370" s="25">
        <v>0</v>
      </c>
      <c r="D3370" s="25">
        <v>0</v>
      </c>
      <c r="E3370" s="18">
        <f t="shared" si="605"/>
        <v>0</v>
      </c>
    </row>
    <row r="3371" spans="1:5" ht="15" x14ac:dyDescent="0.2">
      <c r="A3371" s="7">
        <v>769005</v>
      </c>
      <c r="B3371" s="3" t="s">
        <v>569</v>
      </c>
      <c r="C3371" s="25">
        <v>0</v>
      </c>
      <c r="D3371" s="25">
        <v>0</v>
      </c>
      <c r="E3371" s="18">
        <f t="shared" si="605"/>
        <v>0</v>
      </c>
    </row>
    <row r="3372" spans="1:5" ht="15" x14ac:dyDescent="0.2">
      <c r="A3372" s="7">
        <v>769006</v>
      </c>
      <c r="B3372" s="3" t="s">
        <v>1439</v>
      </c>
      <c r="C3372" s="25">
        <v>0</v>
      </c>
      <c r="D3372" s="25">
        <v>0</v>
      </c>
      <c r="E3372" s="18">
        <f t="shared" si="605"/>
        <v>0</v>
      </c>
    </row>
    <row r="3373" spans="1:5" ht="15" x14ac:dyDescent="0.2">
      <c r="A3373" s="7">
        <v>769007</v>
      </c>
      <c r="B3373" s="3" t="s">
        <v>1440</v>
      </c>
      <c r="C3373" s="25">
        <v>0</v>
      </c>
      <c r="D3373" s="25">
        <v>0</v>
      </c>
      <c r="E3373" s="18">
        <f t="shared" si="605"/>
        <v>0</v>
      </c>
    </row>
    <row r="3374" spans="1:5" ht="15" x14ac:dyDescent="0.2">
      <c r="A3374" s="7">
        <v>769008</v>
      </c>
      <c r="B3374" s="3" t="s">
        <v>1441</v>
      </c>
      <c r="C3374" s="25">
        <v>0</v>
      </c>
      <c r="D3374" s="25">
        <v>0</v>
      </c>
      <c r="E3374" s="18">
        <f t="shared" si="605"/>
        <v>0</v>
      </c>
    </row>
    <row r="3375" spans="1:5" ht="15" x14ac:dyDescent="0.2">
      <c r="A3375" s="7">
        <v>769009</v>
      </c>
      <c r="B3375" s="3" t="s">
        <v>1442</v>
      </c>
      <c r="C3375" s="25">
        <v>0</v>
      </c>
      <c r="D3375" s="25">
        <v>0</v>
      </c>
      <c r="E3375" s="18">
        <f t="shared" si="605"/>
        <v>0</v>
      </c>
    </row>
    <row r="3376" spans="1:5" ht="15" x14ac:dyDescent="0.2">
      <c r="A3376" s="7">
        <v>769010</v>
      </c>
      <c r="B3376" s="3" t="s">
        <v>1443</v>
      </c>
      <c r="C3376" s="25">
        <v>0</v>
      </c>
      <c r="D3376" s="25">
        <v>0</v>
      </c>
      <c r="E3376" s="18">
        <f t="shared" si="605"/>
        <v>0</v>
      </c>
    </row>
    <row r="3377" spans="1:5" ht="15" x14ac:dyDescent="0.2">
      <c r="A3377" s="7">
        <v>769095</v>
      </c>
      <c r="B3377" s="3" t="s">
        <v>1444</v>
      </c>
      <c r="C3377" s="25">
        <v>0</v>
      </c>
      <c r="D3377" s="25">
        <v>0</v>
      </c>
      <c r="E3377" s="18">
        <f t="shared" si="605"/>
        <v>0</v>
      </c>
    </row>
    <row r="3378" spans="1:5" ht="15" x14ac:dyDescent="0.2">
      <c r="A3378" s="6">
        <v>79</v>
      </c>
      <c r="B3378" s="2" t="s">
        <v>1146</v>
      </c>
      <c r="C3378" s="24">
        <f>SUM(C3379,C3391,C3403,C3415,C3427,C3439,C3451,C3463,C3475,C3487)</f>
        <v>0</v>
      </c>
      <c r="D3378" s="24">
        <f>SUM(D3379,D3391,D3403,D3415,D3427,D3439,D3451,D3463,D3475,D3487)</f>
        <v>0</v>
      </c>
      <c r="E3378" s="17">
        <f>SUM(E3379,E3391,E3403,E3415,E3427,E3439,E3451,E3463,E3475,E3487)</f>
        <v>0</v>
      </c>
    </row>
    <row r="3379" spans="1:5" ht="15" x14ac:dyDescent="0.2">
      <c r="A3379" s="6">
        <v>7902</v>
      </c>
      <c r="B3379" s="2" t="s">
        <v>1141</v>
      </c>
      <c r="C3379" s="24">
        <f>SUM(C3380:C3390)</f>
        <v>0</v>
      </c>
      <c r="D3379" s="24">
        <f t="shared" ref="D3379:E3379" si="606">SUM(D3380:D3390)</f>
        <v>0</v>
      </c>
      <c r="E3379" s="17">
        <f t="shared" si="606"/>
        <v>0</v>
      </c>
    </row>
    <row r="3380" spans="1:5" ht="15" x14ac:dyDescent="0.2">
      <c r="A3380" s="7">
        <v>790201</v>
      </c>
      <c r="B3380" s="3" t="s">
        <v>1436</v>
      </c>
      <c r="C3380" s="25">
        <v>0</v>
      </c>
      <c r="D3380" s="25">
        <v>0</v>
      </c>
      <c r="E3380" s="18">
        <f t="shared" ref="E3380:E3390" si="607">SUM(C3380:D3380)</f>
        <v>0</v>
      </c>
    </row>
    <row r="3381" spans="1:5" ht="15" x14ac:dyDescent="0.2">
      <c r="A3381" s="7">
        <v>790202</v>
      </c>
      <c r="B3381" s="3" t="s">
        <v>1437</v>
      </c>
      <c r="C3381" s="25">
        <v>0</v>
      </c>
      <c r="D3381" s="25">
        <v>0</v>
      </c>
      <c r="E3381" s="18">
        <f t="shared" si="607"/>
        <v>0</v>
      </c>
    </row>
    <row r="3382" spans="1:5" ht="15" x14ac:dyDescent="0.2">
      <c r="A3382" s="7">
        <v>790203</v>
      </c>
      <c r="B3382" s="3" t="s">
        <v>568</v>
      </c>
      <c r="C3382" s="25">
        <v>0</v>
      </c>
      <c r="D3382" s="25">
        <v>0</v>
      </c>
      <c r="E3382" s="18">
        <f t="shared" si="607"/>
        <v>0</v>
      </c>
    </row>
    <row r="3383" spans="1:5" ht="15" x14ac:dyDescent="0.2">
      <c r="A3383" s="7">
        <v>790204</v>
      </c>
      <c r="B3383" s="3" t="s">
        <v>1438</v>
      </c>
      <c r="C3383" s="25">
        <v>0</v>
      </c>
      <c r="D3383" s="25">
        <v>0</v>
      </c>
      <c r="E3383" s="18">
        <f t="shared" si="607"/>
        <v>0</v>
      </c>
    </row>
    <row r="3384" spans="1:5" ht="15" x14ac:dyDescent="0.2">
      <c r="A3384" s="7">
        <v>790205</v>
      </c>
      <c r="B3384" s="3" t="s">
        <v>569</v>
      </c>
      <c r="C3384" s="25">
        <v>0</v>
      </c>
      <c r="D3384" s="25">
        <v>0</v>
      </c>
      <c r="E3384" s="18">
        <f t="shared" si="607"/>
        <v>0</v>
      </c>
    </row>
    <row r="3385" spans="1:5" ht="15" x14ac:dyDescent="0.2">
      <c r="A3385" s="7">
        <v>790206</v>
      </c>
      <c r="B3385" s="3" t="s">
        <v>1439</v>
      </c>
      <c r="C3385" s="25">
        <v>0</v>
      </c>
      <c r="D3385" s="25">
        <v>0</v>
      </c>
      <c r="E3385" s="18">
        <f t="shared" si="607"/>
        <v>0</v>
      </c>
    </row>
    <row r="3386" spans="1:5" ht="15" x14ac:dyDescent="0.2">
      <c r="A3386" s="7">
        <v>790207</v>
      </c>
      <c r="B3386" s="3" t="s">
        <v>1440</v>
      </c>
      <c r="C3386" s="25">
        <v>0</v>
      </c>
      <c r="D3386" s="25">
        <v>0</v>
      </c>
      <c r="E3386" s="18">
        <f t="shared" si="607"/>
        <v>0</v>
      </c>
    </row>
    <row r="3387" spans="1:5" ht="15" x14ac:dyDescent="0.2">
      <c r="A3387" s="7">
        <v>790208</v>
      </c>
      <c r="B3387" s="3" t="s">
        <v>1441</v>
      </c>
      <c r="C3387" s="25">
        <v>0</v>
      </c>
      <c r="D3387" s="25">
        <v>0</v>
      </c>
      <c r="E3387" s="18">
        <f t="shared" si="607"/>
        <v>0</v>
      </c>
    </row>
    <row r="3388" spans="1:5" ht="15" x14ac:dyDescent="0.2">
      <c r="A3388" s="7">
        <v>790209</v>
      </c>
      <c r="B3388" s="3" t="s">
        <v>1442</v>
      </c>
      <c r="C3388" s="25">
        <v>0</v>
      </c>
      <c r="D3388" s="25">
        <v>0</v>
      </c>
      <c r="E3388" s="18">
        <f t="shared" si="607"/>
        <v>0</v>
      </c>
    </row>
    <row r="3389" spans="1:5" ht="15" x14ac:dyDescent="0.2">
      <c r="A3389" s="7">
        <v>790210</v>
      </c>
      <c r="B3389" s="3" t="s">
        <v>1443</v>
      </c>
      <c r="C3389" s="25">
        <v>0</v>
      </c>
      <c r="D3389" s="25">
        <v>0</v>
      </c>
      <c r="E3389" s="18">
        <f t="shared" si="607"/>
        <v>0</v>
      </c>
    </row>
    <row r="3390" spans="1:5" ht="15" x14ac:dyDescent="0.2">
      <c r="A3390" s="7">
        <v>790295</v>
      </c>
      <c r="B3390" s="3" t="s">
        <v>1444</v>
      </c>
      <c r="C3390" s="25">
        <v>0</v>
      </c>
      <c r="D3390" s="25">
        <v>0</v>
      </c>
      <c r="E3390" s="18">
        <f t="shared" si="607"/>
        <v>0</v>
      </c>
    </row>
    <row r="3391" spans="1:5" ht="15" x14ac:dyDescent="0.2">
      <c r="A3391" s="6">
        <v>7904</v>
      </c>
      <c r="B3391" s="2" t="s">
        <v>1506</v>
      </c>
      <c r="C3391" s="24">
        <f>SUM(C3392:C3402)</f>
        <v>0</v>
      </c>
      <c r="D3391" s="24">
        <f t="shared" ref="D3391:E3391" si="608">SUM(D3392:D3402)</f>
        <v>0</v>
      </c>
      <c r="E3391" s="17">
        <f t="shared" si="608"/>
        <v>0</v>
      </c>
    </row>
    <row r="3392" spans="1:5" ht="15" x14ac:dyDescent="0.2">
      <c r="A3392" s="7">
        <v>790401</v>
      </c>
      <c r="B3392" s="3" t="s">
        <v>1436</v>
      </c>
      <c r="C3392" s="25">
        <v>0</v>
      </c>
      <c r="D3392" s="25">
        <v>0</v>
      </c>
      <c r="E3392" s="18">
        <f t="shared" ref="E3392:E3402" si="609">SUM(C3392:D3392)</f>
        <v>0</v>
      </c>
    </row>
    <row r="3393" spans="1:5" ht="15" x14ac:dyDescent="0.2">
      <c r="A3393" s="7">
        <v>790402</v>
      </c>
      <c r="B3393" s="3" t="s">
        <v>1437</v>
      </c>
      <c r="C3393" s="25">
        <v>0</v>
      </c>
      <c r="D3393" s="25">
        <v>0</v>
      </c>
      <c r="E3393" s="18">
        <f t="shared" si="609"/>
        <v>0</v>
      </c>
    </row>
    <row r="3394" spans="1:5" ht="15" x14ac:dyDescent="0.2">
      <c r="A3394" s="7">
        <v>790403</v>
      </c>
      <c r="B3394" s="3" t="s">
        <v>568</v>
      </c>
      <c r="C3394" s="25">
        <v>0</v>
      </c>
      <c r="D3394" s="25">
        <v>0</v>
      </c>
      <c r="E3394" s="18">
        <f t="shared" si="609"/>
        <v>0</v>
      </c>
    </row>
    <row r="3395" spans="1:5" ht="15" x14ac:dyDescent="0.2">
      <c r="A3395" s="7">
        <v>790404</v>
      </c>
      <c r="B3395" s="3" t="s">
        <v>1438</v>
      </c>
      <c r="C3395" s="25">
        <v>0</v>
      </c>
      <c r="D3395" s="25">
        <v>0</v>
      </c>
      <c r="E3395" s="18">
        <f t="shared" si="609"/>
        <v>0</v>
      </c>
    </row>
    <row r="3396" spans="1:5" ht="15" x14ac:dyDescent="0.2">
      <c r="A3396" s="7">
        <v>790405</v>
      </c>
      <c r="B3396" s="3" t="s">
        <v>569</v>
      </c>
      <c r="C3396" s="25">
        <v>0</v>
      </c>
      <c r="D3396" s="25">
        <v>0</v>
      </c>
      <c r="E3396" s="18">
        <f t="shared" si="609"/>
        <v>0</v>
      </c>
    </row>
    <row r="3397" spans="1:5" ht="15" x14ac:dyDescent="0.2">
      <c r="A3397" s="7">
        <v>790406</v>
      </c>
      <c r="B3397" s="3" t="s">
        <v>1439</v>
      </c>
      <c r="C3397" s="25">
        <v>0</v>
      </c>
      <c r="D3397" s="25">
        <v>0</v>
      </c>
      <c r="E3397" s="18">
        <f t="shared" si="609"/>
        <v>0</v>
      </c>
    </row>
    <row r="3398" spans="1:5" ht="15" x14ac:dyDescent="0.2">
      <c r="A3398" s="7">
        <v>790407</v>
      </c>
      <c r="B3398" s="3" t="s">
        <v>1440</v>
      </c>
      <c r="C3398" s="25">
        <v>0</v>
      </c>
      <c r="D3398" s="25">
        <v>0</v>
      </c>
      <c r="E3398" s="18">
        <f t="shared" si="609"/>
        <v>0</v>
      </c>
    </row>
    <row r="3399" spans="1:5" ht="15" x14ac:dyDescent="0.2">
      <c r="A3399" s="7">
        <v>790408</v>
      </c>
      <c r="B3399" s="3" t="s">
        <v>1441</v>
      </c>
      <c r="C3399" s="25">
        <v>0</v>
      </c>
      <c r="D3399" s="25">
        <v>0</v>
      </c>
      <c r="E3399" s="18">
        <f t="shared" si="609"/>
        <v>0</v>
      </c>
    </row>
    <row r="3400" spans="1:5" ht="15" x14ac:dyDescent="0.2">
      <c r="A3400" s="7">
        <v>790409</v>
      </c>
      <c r="B3400" s="3" t="s">
        <v>1442</v>
      </c>
      <c r="C3400" s="25">
        <v>0</v>
      </c>
      <c r="D3400" s="25">
        <v>0</v>
      </c>
      <c r="E3400" s="18">
        <f t="shared" si="609"/>
        <v>0</v>
      </c>
    </row>
    <row r="3401" spans="1:5" ht="15" x14ac:dyDescent="0.2">
      <c r="A3401" s="7">
        <v>790410</v>
      </c>
      <c r="B3401" s="3" t="s">
        <v>1443</v>
      </c>
      <c r="C3401" s="25">
        <v>0</v>
      </c>
      <c r="D3401" s="25">
        <v>0</v>
      </c>
      <c r="E3401" s="18">
        <f t="shared" si="609"/>
        <v>0</v>
      </c>
    </row>
    <row r="3402" spans="1:5" ht="15" x14ac:dyDescent="0.2">
      <c r="A3402" s="7">
        <v>790495</v>
      </c>
      <c r="B3402" s="3" t="s">
        <v>1444</v>
      </c>
      <c r="C3402" s="25">
        <v>0</v>
      </c>
      <c r="D3402" s="25">
        <v>0</v>
      </c>
      <c r="E3402" s="18">
        <f t="shared" si="609"/>
        <v>0</v>
      </c>
    </row>
    <row r="3403" spans="1:5" ht="15" x14ac:dyDescent="0.2">
      <c r="A3403" s="6">
        <v>7905</v>
      </c>
      <c r="B3403" s="2" t="s">
        <v>1110</v>
      </c>
      <c r="C3403" s="24">
        <f>SUM(C3404:C3414)</f>
        <v>0</v>
      </c>
      <c r="D3403" s="24">
        <f t="shared" ref="D3403:E3403" si="610">SUM(D3404:D3414)</f>
        <v>0</v>
      </c>
      <c r="E3403" s="17">
        <f t="shared" si="610"/>
        <v>0</v>
      </c>
    </row>
    <row r="3404" spans="1:5" ht="15" x14ac:dyDescent="0.2">
      <c r="A3404" s="7">
        <v>790501</v>
      </c>
      <c r="B3404" s="3" t="s">
        <v>1436</v>
      </c>
      <c r="C3404" s="25">
        <v>0</v>
      </c>
      <c r="D3404" s="25">
        <v>0</v>
      </c>
      <c r="E3404" s="18">
        <f t="shared" ref="E3404:E3414" si="611">SUM(C3404:D3404)</f>
        <v>0</v>
      </c>
    </row>
    <row r="3405" spans="1:5" ht="15" x14ac:dyDescent="0.2">
      <c r="A3405" s="7">
        <v>790502</v>
      </c>
      <c r="B3405" s="3" t="s">
        <v>1437</v>
      </c>
      <c r="C3405" s="25">
        <v>0</v>
      </c>
      <c r="D3405" s="25">
        <v>0</v>
      </c>
      <c r="E3405" s="18">
        <f t="shared" si="611"/>
        <v>0</v>
      </c>
    </row>
    <row r="3406" spans="1:5" ht="15" x14ac:dyDescent="0.2">
      <c r="A3406" s="7">
        <v>790503</v>
      </c>
      <c r="B3406" s="3" t="s">
        <v>568</v>
      </c>
      <c r="C3406" s="25">
        <v>0</v>
      </c>
      <c r="D3406" s="25">
        <v>0</v>
      </c>
      <c r="E3406" s="18">
        <f t="shared" si="611"/>
        <v>0</v>
      </c>
    </row>
    <row r="3407" spans="1:5" ht="15" x14ac:dyDescent="0.2">
      <c r="A3407" s="7">
        <v>790504</v>
      </c>
      <c r="B3407" s="3" t="s">
        <v>1438</v>
      </c>
      <c r="C3407" s="25">
        <v>0</v>
      </c>
      <c r="D3407" s="25">
        <v>0</v>
      </c>
      <c r="E3407" s="18">
        <f t="shared" si="611"/>
        <v>0</v>
      </c>
    </row>
    <row r="3408" spans="1:5" ht="15" x14ac:dyDescent="0.2">
      <c r="A3408" s="7">
        <v>790505</v>
      </c>
      <c r="B3408" s="3" t="s">
        <v>569</v>
      </c>
      <c r="C3408" s="25">
        <v>0</v>
      </c>
      <c r="D3408" s="25">
        <v>0</v>
      </c>
      <c r="E3408" s="18">
        <f t="shared" si="611"/>
        <v>0</v>
      </c>
    </row>
    <row r="3409" spans="1:5" ht="15" x14ac:dyDescent="0.2">
      <c r="A3409" s="7">
        <v>790506</v>
      </c>
      <c r="B3409" s="3" t="s">
        <v>1439</v>
      </c>
      <c r="C3409" s="25">
        <v>0</v>
      </c>
      <c r="D3409" s="25">
        <v>0</v>
      </c>
      <c r="E3409" s="18">
        <f t="shared" si="611"/>
        <v>0</v>
      </c>
    </row>
    <row r="3410" spans="1:5" ht="15" x14ac:dyDescent="0.2">
      <c r="A3410" s="7">
        <v>790507</v>
      </c>
      <c r="B3410" s="3" t="s">
        <v>1440</v>
      </c>
      <c r="C3410" s="25">
        <v>0</v>
      </c>
      <c r="D3410" s="25">
        <v>0</v>
      </c>
      <c r="E3410" s="18">
        <f t="shared" si="611"/>
        <v>0</v>
      </c>
    </row>
    <row r="3411" spans="1:5" ht="15" x14ac:dyDescent="0.2">
      <c r="A3411" s="7">
        <v>790508</v>
      </c>
      <c r="B3411" s="3" t="s">
        <v>1441</v>
      </c>
      <c r="C3411" s="25">
        <v>0</v>
      </c>
      <c r="D3411" s="25">
        <v>0</v>
      </c>
      <c r="E3411" s="18">
        <f t="shared" si="611"/>
        <v>0</v>
      </c>
    </row>
    <row r="3412" spans="1:5" ht="15" x14ac:dyDescent="0.2">
      <c r="A3412" s="7">
        <v>790509</v>
      </c>
      <c r="B3412" s="3" t="s">
        <v>1442</v>
      </c>
      <c r="C3412" s="25">
        <v>0</v>
      </c>
      <c r="D3412" s="25">
        <v>0</v>
      </c>
      <c r="E3412" s="18">
        <f t="shared" si="611"/>
        <v>0</v>
      </c>
    </row>
    <row r="3413" spans="1:5" ht="15" x14ac:dyDescent="0.2">
      <c r="A3413" s="7">
        <v>790510</v>
      </c>
      <c r="B3413" s="3" t="s">
        <v>1443</v>
      </c>
      <c r="C3413" s="25">
        <v>0</v>
      </c>
      <c r="D3413" s="25">
        <v>0</v>
      </c>
      <c r="E3413" s="18">
        <f t="shared" si="611"/>
        <v>0</v>
      </c>
    </row>
    <row r="3414" spans="1:5" ht="15" x14ac:dyDescent="0.2">
      <c r="A3414" s="7">
        <v>790595</v>
      </c>
      <c r="B3414" s="3" t="s">
        <v>1444</v>
      </c>
      <c r="C3414" s="25">
        <v>0</v>
      </c>
      <c r="D3414" s="25">
        <v>0</v>
      </c>
      <c r="E3414" s="18">
        <f t="shared" si="611"/>
        <v>0</v>
      </c>
    </row>
    <row r="3415" spans="1:5" ht="15" x14ac:dyDescent="0.2">
      <c r="A3415" s="6">
        <v>7906</v>
      </c>
      <c r="B3415" s="2" t="s">
        <v>1507</v>
      </c>
      <c r="C3415" s="24">
        <f>SUM(C3416:C3426)</f>
        <v>0</v>
      </c>
      <c r="D3415" s="24">
        <f t="shared" ref="D3415:E3415" si="612">SUM(D3416:D3426)</f>
        <v>0</v>
      </c>
      <c r="E3415" s="17">
        <f t="shared" si="612"/>
        <v>0</v>
      </c>
    </row>
    <row r="3416" spans="1:5" ht="15" x14ac:dyDescent="0.2">
      <c r="A3416" s="7">
        <v>790601</v>
      </c>
      <c r="B3416" s="3" t="s">
        <v>1436</v>
      </c>
      <c r="C3416" s="25">
        <v>0</v>
      </c>
      <c r="D3416" s="25">
        <v>0</v>
      </c>
      <c r="E3416" s="18">
        <f t="shared" ref="E3416:E3426" si="613">SUM(C3416:D3416)</f>
        <v>0</v>
      </c>
    </row>
    <row r="3417" spans="1:5" ht="15" x14ac:dyDescent="0.2">
      <c r="A3417" s="7">
        <v>790602</v>
      </c>
      <c r="B3417" s="3" t="s">
        <v>1437</v>
      </c>
      <c r="C3417" s="25">
        <v>0</v>
      </c>
      <c r="D3417" s="25">
        <v>0</v>
      </c>
      <c r="E3417" s="18">
        <f t="shared" si="613"/>
        <v>0</v>
      </c>
    </row>
    <row r="3418" spans="1:5" ht="15" x14ac:dyDescent="0.2">
      <c r="A3418" s="7">
        <v>790603</v>
      </c>
      <c r="B3418" s="3" t="s">
        <v>568</v>
      </c>
      <c r="C3418" s="25">
        <v>0</v>
      </c>
      <c r="D3418" s="25">
        <v>0</v>
      </c>
      <c r="E3418" s="18">
        <f t="shared" si="613"/>
        <v>0</v>
      </c>
    </row>
    <row r="3419" spans="1:5" ht="15" x14ac:dyDescent="0.2">
      <c r="A3419" s="7">
        <v>790604</v>
      </c>
      <c r="B3419" s="3" t="s">
        <v>1438</v>
      </c>
      <c r="C3419" s="25">
        <v>0</v>
      </c>
      <c r="D3419" s="25">
        <v>0</v>
      </c>
      <c r="E3419" s="18">
        <f t="shared" si="613"/>
        <v>0</v>
      </c>
    </row>
    <row r="3420" spans="1:5" ht="15" x14ac:dyDescent="0.2">
      <c r="A3420" s="7">
        <v>790605</v>
      </c>
      <c r="B3420" s="3" t="s">
        <v>569</v>
      </c>
      <c r="C3420" s="25">
        <v>0</v>
      </c>
      <c r="D3420" s="25">
        <v>0</v>
      </c>
      <c r="E3420" s="18">
        <f t="shared" si="613"/>
        <v>0</v>
      </c>
    </row>
    <row r="3421" spans="1:5" ht="15" x14ac:dyDescent="0.2">
      <c r="A3421" s="7">
        <v>790606</v>
      </c>
      <c r="B3421" s="3" t="s">
        <v>1439</v>
      </c>
      <c r="C3421" s="25">
        <v>0</v>
      </c>
      <c r="D3421" s="25">
        <v>0</v>
      </c>
      <c r="E3421" s="18">
        <f t="shared" si="613"/>
        <v>0</v>
      </c>
    </row>
    <row r="3422" spans="1:5" ht="15" x14ac:dyDescent="0.2">
      <c r="A3422" s="7">
        <v>790607</v>
      </c>
      <c r="B3422" s="3" t="s">
        <v>1440</v>
      </c>
      <c r="C3422" s="25">
        <v>0</v>
      </c>
      <c r="D3422" s="25">
        <v>0</v>
      </c>
      <c r="E3422" s="18">
        <f t="shared" si="613"/>
        <v>0</v>
      </c>
    </row>
    <row r="3423" spans="1:5" ht="15" x14ac:dyDescent="0.2">
      <c r="A3423" s="7">
        <v>790608</v>
      </c>
      <c r="B3423" s="3" t="s">
        <v>1441</v>
      </c>
      <c r="C3423" s="25">
        <v>0</v>
      </c>
      <c r="D3423" s="25">
        <v>0</v>
      </c>
      <c r="E3423" s="18">
        <f t="shared" si="613"/>
        <v>0</v>
      </c>
    </row>
    <row r="3424" spans="1:5" ht="15" x14ac:dyDescent="0.2">
      <c r="A3424" s="7">
        <v>790609</v>
      </c>
      <c r="B3424" s="3" t="s">
        <v>1442</v>
      </c>
      <c r="C3424" s="25">
        <v>0</v>
      </c>
      <c r="D3424" s="25">
        <v>0</v>
      </c>
      <c r="E3424" s="18">
        <f t="shared" si="613"/>
        <v>0</v>
      </c>
    </row>
    <row r="3425" spans="1:5" ht="15" x14ac:dyDescent="0.2">
      <c r="A3425" s="7">
        <v>790610</v>
      </c>
      <c r="B3425" s="3" t="s">
        <v>1443</v>
      </c>
      <c r="C3425" s="25">
        <v>0</v>
      </c>
      <c r="D3425" s="25">
        <v>0</v>
      </c>
      <c r="E3425" s="18">
        <f t="shared" si="613"/>
        <v>0</v>
      </c>
    </row>
    <row r="3426" spans="1:5" ht="15" x14ac:dyDescent="0.2">
      <c r="A3426" s="7">
        <v>790695</v>
      </c>
      <c r="B3426" s="3" t="s">
        <v>1444</v>
      </c>
      <c r="C3426" s="25">
        <v>0</v>
      </c>
      <c r="D3426" s="25">
        <v>0</v>
      </c>
      <c r="E3426" s="18">
        <f t="shared" si="613"/>
        <v>0</v>
      </c>
    </row>
    <row r="3427" spans="1:5" ht="15" x14ac:dyDescent="0.2">
      <c r="A3427" s="6">
        <v>7907</v>
      </c>
      <c r="B3427" s="2" t="s">
        <v>1508</v>
      </c>
      <c r="C3427" s="24">
        <f>SUM(C3428:C3438)</f>
        <v>0</v>
      </c>
      <c r="D3427" s="24">
        <f t="shared" ref="D3427:E3427" si="614">SUM(D3428:D3438)</f>
        <v>0</v>
      </c>
      <c r="E3427" s="17">
        <f t="shared" si="614"/>
        <v>0</v>
      </c>
    </row>
    <row r="3428" spans="1:5" ht="15" x14ac:dyDescent="0.2">
      <c r="A3428" s="7">
        <v>790701</v>
      </c>
      <c r="B3428" s="3" t="s">
        <v>1436</v>
      </c>
      <c r="C3428" s="25">
        <v>0</v>
      </c>
      <c r="D3428" s="25">
        <v>0</v>
      </c>
      <c r="E3428" s="18">
        <f t="shared" ref="E3428:E3438" si="615">SUM(C3428:D3428)</f>
        <v>0</v>
      </c>
    </row>
    <row r="3429" spans="1:5" ht="15" x14ac:dyDescent="0.2">
      <c r="A3429" s="7">
        <v>790702</v>
      </c>
      <c r="B3429" s="3" t="s">
        <v>1437</v>
      </c>
      <c r="C3429" s="25">
        <v>0</v>
      </c>
      <c r="D3429" s="25">
        <v>0</v>
      </c>
      <c r="E3429" s="18">
        <f t="shared" si="615"/>
        <v>0</v>
      </c>
    </row>
    <row r="3430" spans="1:5" ht="15" x14ac:dyDescent="0.2">
      <c r="A3430" s="7">
        <v>790703</v>
      </c>
      <c r="B3430" s="3" t="s">
        <v>568</v>
      </c>
      <c r="C3430" s="25">
        <v>0</v>
      </c>
      <c r="D3430" s="25">
        <v>0</v>
      </c>
      <c r="E3430" s="18">
        <f t="shared" si="615"/>
        <v>0</v>
      </c>
    </row>
    <row r="3431" spans="1:5" ht="15" x14ac:dyDescent="0.2">
      <c r="A3431" s="7">
        <v>790704</v>
      </c>
      <c r="B3431" s="3" t="s">
        <v>1438</v>
      </c>
      <c r="C3431" s="25">
        <v>0</v>
      </c>
      <c r="D3431" s="25">
        <v>0</v>
      </c>
      <c r="E3431" s="18">
        <f t="shared" si="615"/>
        <v>0</v>
      </c>
    </row>
    <row r="3432" spans="1:5" ht="15" x14ac:dyDescent="0.2">
      <c r="A3432" s="7">
        <v>790705</v>
      </c>
      <c r="B3432" s="3" t="s">
        <v>569</v>
      </c>
      <c r="C3432" s="25">
        <v>0</v>
      </c>
      <c r="D3432" s="25">
        <v>0</v>
      </c>
      <c r="E3432" s="18">
        <f t="shared" si="615"/>
        <v>0</v>
      </c>
    </row>
    <row r="3433" spans="1:5" ht="15" x14ac:dyDescent="0.2">
      <c r="A3433" s="7">
        <v>790706</v>
      </c>
      <c r="B3433" s="3" t="s">
        <v>1439</v>
      </c>
      <c r="C3433" s="25">
        <v>0</v>
      </c>
      <c r="D3433" s="25">
        <v>0</v>
      </c>
      <c r="E3433" s="18">
        <f t="shared" si="615"/>
        <v>0</v>
      </c>
    </row>
    <row r="3434" spans="1:5" ht="15" x14ac:dyDescent="0.2">
      <c r="A3434" s="7">
        <v>790707</v>
      </c>
      <c r="B3434" s="3" t="s">
        <v>1440</v>
      </c>
      <c r="C3434" s="25">
        <v>0</v>
      </c>
      <c r="D3434" s="25">
        <v>0</v>
      </c>
      <c r="E3434" s="18">
        <f t="shared" si="615"/>
        <v>0</v>
      </c>
    </row>
    <row r="3435" spans="1:5" ht="15" x14ac:dyDescent="0.2">
      <c r="A3435" s="7">
        <v>790708</v>
      </c>
      <c r="B3435" s="3" t="s">
        <v>1441</v>
      </c>
      <c r="C3435" s="25">
        <v>0</v>
      </c>
      <c r="D3435" s="25">
        <v>0</v>
      </c>
      <c r="E3435" s="18">
        <f t="shared" si="615"/>
        <v>0</v>
      </c>
    </row>
    <row r="3436" spans="1:5" ht="15" x14ac:dyDescent="0.2">
      <c r="A3436" s="7">
        <v>790709</v>
      </c>
      <c r="B3436" s="3" t="s">
        <v>1442</v>
      </c>
      <c r="C3436" s="25">
        <v>0</v>
      </c>
      <c r="D3436" s="25">
        <v>0</v>
      </c>
      <c r="E3436" s="18">
        <f t="shared" si="615"/>
        <v>0</v>
      </c>
    </row>
    <row r="3437" spans="1:5" ht="15" x14ac:dyDescent="0.2">
      <c r="A3437" s="7">
        <v>790710</v>
      </c>
      <c r="B3437" s="3" t="s">
        <v>1443</v>
      </c>
      <c r="C3437" s="25">
        <v>0</v>
      </c>
      <c r="D3437" s="25">
        <v>0</v>
      </c>
      <c r="E3437" s="18">
        <f t="shared" si="615"/>
        <v>0</v>
      </c>
    </row>
    <row r="3438" spans="1:5" ht="15" x14ac:dyDescent="0.2">
      <c r="A3438" s="7">
        <v>790795</v>
      </c>
      <c r="B3438" s="3" t="s">
        <v>1444</v>
      </c>
      <c r="C3438" s="25">
        <v>0</v>
      </c>
      <c r="D3438" s="25">
        <v>0</v>
      </c>
      <c r="E3438" s="18">
        <f t="shared" si="615"/>
        <v>0</v>
      </c>
    </row>
    <row r="3439" spans="1:5" ht="15" x14ac:dyDescent="0.2">
      <c r="A3439" s="6">
        <v>7908</v>
      </c>
      <c r="B3439" s="2" t="s">
        <v>1509</v>
      </c>
      <c r="C3439" s="24">
        <f>SUM(C3440:C3450)</f>
        <v>0</v>
      </c>
      <c r="D3439" s="24">
        <f t="shared" ref="D3439:E3439" si="616">SUM(D3440:D3450)</f>
        <v>0</v>
      </c>
      <c r="E3439" s="17">
        <f t="shared" si="616"/>
        <v>0</v>
      </c>
    </row>
    <row r="3440" spans="1:5" ht="15" x14ac:dyDescent="0.2">
      <c r="A3440" s="7">
        <v>790801</v>
      </c>
      <c r="B3440" s="3" t="s">
        <v>1436</v>
      </c>
      <c r="C3440" s="25">
        <v>0</v>
      </c>
      <c r="D3440" s="25">
        <v>0</v>
      </c>
      <c r="E3440" s="18">
        <f t="shared" ref="E3440:E3450" si="617">SUM(C3440:D3440)</f>
        <v>0</v>
      </c>
    </row>
    <row r="3441" spans="1:5" ht="15" x14ac:dyDescent="0.2">
      <c r="A3441" s="7">
        <v>790802</v>
      </c>
      <c r="B3441" s="3" t="s">
        <v>1437</v>
      </c>
      <c r="C3441" s="25">
        <v>0</v>
      </c>
      <c r="D3441" s="25">
        <v>0</v>
      </c>
      <c r="E3441" s="18">
        <f t="shared" si="617"/>
        <v>0</v>
      </c>
    </row>
    <row r="3442" spans="1:5" ht="15" x14ac:dyDescent="0.2">
      <c r="A3442" s="7">
        <v>790803</v>
      </c>
      <c r="B3442" s="3" t="s">
        <v>568</v>
      </c>
      <c r="C3442" s="25">
        <v>0</v>
      </c>
      <c r="D3442" s="25">
        <v>0</v>
      </c>
      <c r="E3442" s="18">
        <f t="shared" si="617"/>
        <v>0</v>
      </c>
    </row>
    <row r="3443" spans="1:5" ht="15" x14ac:dyDescent="0.2">
      <c r="A3443" s="7">
        <v>790804</v>
      </c>
      <c r="B3443" s="3" t="s">
        <v>1438</v>
      </c>
      <c r="C3443" s="25">
        <v>0</v>
      </c>
      <c r="D3443" s="25">
        <v>0</v>
      </c>
      <c r="E3443" s="18">
        <f t="shared" si="617"/>
        <v>0</v>
      </c>
    </row>
    <row r="3444" spans="1:5" ht="15" x14ac:dyDescent="0.2">
      <c r="A3444" s="7">
        <v>790805</v>
      </c>
      <c r="B3444" s="3" t="s">
        <v>569</v>
      </c>
      <c r="C3444" s="25">
        <v>0</v>
      </c>
      <c r="D3444" s="25">
        <v>0</v>
      </c>
      <c r="E3444" s="18">
        <f t="shared" si="617"/>
        <v>0</v>
      </c>
    </row>
    <row r="3445" spans="1:5" ht="15" x14ac:dyDescent="0.2">
      <c r="A3445" s="7">
        <v>790806</v>
      </c>
      <c r="B3445" s="3" t="s">
        <v>1439</v>
      </c>
      <c r="C3445" s="25">
        <v>0</v>
      </c>
      <c r="D3445" s="25">
        <v>0</v>
      </c>
      <c r="E3445" s="18">
        <f t="shared" si="617"/>
        <v>0</v>
      </c>
    </row>
    <row r="3446" spans="1:5" ht="15" x14ac:dyDescent="0.2">
      <c r="A3446" s="7">
        <v>790807</v>
      </c>
      <c r="B3446" s="3" t="s">
        <v>1440</v>
      </c>
      <c r="C3446" s="25">
        <v>0</v>
      </c>
      <c r="D3446" s="25">
        <v>0</v>
      </c>
      <c r="E3446" s="18">
        <f t="shared" si="617"/>
        <v>0</v>
      </c>
    </row>
    <row r="3447" spans="1:5" ht="15" x14ac:dyDescent="0.2">
      <c r="A3447" s="7">
        <v>790808</v>
      </c>
      <c r="B3447" s="3" t="s">
        <v>1441</v>
      </c>
      <c r="C3447" s="25">
        <v>0</v>
      </c>
      <c r="D3447" s="25">
        <v>0</v>
      </c>
      <c r="E3447" s="18">
        <f t="shared" si="617"/>
        <v>0</v>
      </c>
    </row>
    <row r="3448" spans="1:5" ht="15" x14ac:dyDescent="0.2">
      <c r="A3448" s="7">
        <v>790809</v>
      </c>
      <c r="B3448" s="3" t="s">
        <v>1442</v>
      </c>
      <c r="C3448" s="25">
        <v>0</v>
      </c>
      <c r="D3448" s="25">
        <v>0</v>
      </c>
      <c r="E3448" s="18">
        <f t="shared" si="617"/>
        <v>0</v>
      </c>
    </row>
    <row r="3449" spans="1:5" ht="15" x14ac:dyDescent="0.2">
      <c r="A3449" s="7">
        <v>790810</v>
      </c>
      <c r="B3449" s="3" t="s">
        <v>1443</v>
      </c>
      <c r="C3449" s="25">
        <v>0</v>
      </c>
      <c r="D3449" s="25">
        <v>0</v>
      </c>
      <c r="E3449" s="18">
        <f t="shared" si="617"/>
        <v>0</v>
      </c>
    </row>
    <row r="3450" spans="1:5" ht="15" x14ac:dyDescent="0.2">
      <c r="A3450" s="7">
        <v>790895</v>
      </c>
      <c r="B3450" s="3" t="s">
        <v>1444</v>
      </c>
      <c r="C3450" s="25">
        <v>0</v>
      </c>
      <c r="D3450" s="25">
        <v>0</v>
      </c>
      <c r="E3450" s="18">
        <f t="shared" si="617"/>
        <v>0</v>
      </c>
    </row>
    <row r="3451" spans="1:5" ht="15" x14ac:dyDescent="0.2">
      <c r="A3451" s="6">
        <v>7910</v>
      </c>
      <c r="B3451" s="2" t="s">
        <v>1510</v>
      </c>
      <c r="C3451" s="24">
        <f>SUM(C3452:C3462)</f>
        <v>0</v>
      </c>
      <c r="D3451" s="24">
        <f t="shared" ref="D3451:E3451" si="618">SUM(D3452:D3462)</f>
        <v>0</v>
      </c>
      <c r="E3451" s="17">
        <f t="shared" si="618"/>
        <v>0</v>
      </c>
    </row>
    <row r="3452" spans="1:5" ht="15" x14ac:dyDescent="0.2">
      <c r="A3452" s="7">
        <v>791001</v>
      </c>
      <c r="B3452" s="3" t="s">
        <v>1436</v>
      </c>
      <c r="C3452" s="25">
        <v>0</v>
      </c>
      <c r="D3452" s="25">
        <v>0</v>
      </c>
      <c r="E3452" s="18">
        <f t="shared" ref="E3452:E3462" si="619">SUM(C3452:D3452)</f>
        <v>0</v>
      </c>
    </row>
    <row r="3453" spans="1:5" ht="15" x14ac:dyDescent="0.2">
      <c r="A3453" s="7">
        <v>791002</v>
      </c>
      <c r="B3453" s="3" t="s">
        <v>1437</v>
      </c>
      <c r="C3453" s="25">
        <v>0</v>
      </c>
      <c r="D3453" s="25">
        <v>0</v>
      </c>
      <c r="E3453" s="18">
        <f t="shared" si="619"/>
        <v>0</v>
      </c>
    </row>
    <row r="3454" spans="1:5" ht="15" x14ac:dyDescent="0.2">
      <c r="A3454" s="7">
        <v>791003</v>
      </c>
      <c r="B3454" s="3" t="s">
        <v>568</v>
      </c>
      <c r="C3454" s="25">
        <v>0</v>
      </c>
      <c r="D3454" s="25">
        <v>0</v>
      </c>
      <c r="E3454" s="18">
        <f t="shared" si="619"/>
        <v>0</v>
      </c>
    </row>
    <row r="3455" spans="1:5" ht="15" x14ac:dyDescent="0.2">
      <c r="A3455" s="7">
        <v>791004</v>
      </c>
      <c r="B3455" s="3" t="s">
        <v>1438</v>
      </c>
      <c r="C3455" s="25">
        <v>0</v>
      </c>
      <c r="D3455" s="25">
        <v>0</v>
      </c>
      <c r="E3455" s="18">
        <f t="shared" si="619"/>
        <v>0</v>
      </c>
    </row>
    <row r="3456" spans="1:5" ht="15" x14ac:dyDescent="0.2">
      <c r="A3456" s="7">
        <v>791005</v>
      </c>
      <c r="B3456" s="3" t="s">
        <v>569</v>
      </c>
      <c r="C3456" s="25">
        <v>0</v>
      </c>
      <c r="D3456" s="25">
        <v>0</v>
      </c>
      <c r="E3456" s="18">
        <f t="shared" si="619"/>
        <v>0</v>
      </c>
    </row>
    <row r="3457" spans="1:5" ht="15" x14ac:dyDescent="0.2">
      <c r="A3457" s="7">
        <v>791006</v>
      </c>
      <c r="B3457" s="3" t="s">
        <v>1439</v>
      </c>
      <c r="C3457" s="25">
        <v>0</v>
      </c>
      <c r="D3457" s="25">
        <v>0</v>
      </c>
      <c r="E3457" s="18">
        <f t="shared" si="619"/>
        <v>0</v>
      </c>
    </row>
    <row r="3458" spans="1:5" ht="15" x14ac:dyDescent="0.2">
      <c r="A3458" s="7">
        <v>791007</v>
      </c>
      <c r="B3458" s="3" t="s">
        <v>1440</v>
      </c>
      <c r="C3458" s="25">
        <v>0</v>
      </c>
      <c r="D3458" s="25">
        <v>0</v>
      </c>
      <c r="E3458" s="18">
        <f t="shared" si="619"/>
        <v>0</v>
      </c>
    </row>
    <row r="3459" spans="1:5" ht="15" x14ac:dyDescent="0.2">
      <c r="A3459" s="7">
        <v>791008</v>
      </c>
      <c r="B3459" s="3" t="s">
        <v>1441</v>
      </c>
      <c r="C3459" s="25">
        <v>0</v>
      </c>
      <c r="D3459" s="25">
        <v>0</v>
      </c>
      <c r="E3459" s="18">
        <f t="shared" si="619"/>
        <v>0</v>
      </c>
    </row>
    <row r="3460" spans="1:5" ht="15" x14ac:dyDescent="0.2">
      <c r="A3460" s="7">
        <v>791009</v>
      </c>
      <c r="B3460" s="3" t="s">
        <v>1442</v>
      </c>
      <c r="C3460" s="25">
        <v>0</v>
      </c>
      <c r="D3460" s="25">
        <v>0</v>
      </c>
      <c r="E3460" s="18">
        <f t="shared" si="619"/>
        <v>0</v>
      </c>
    </row>
    <row r="3461" spans="1:5" ht="15" x14ac:dyDescent="0.2">
      <c r="A3461" s="7">
        <v>791010</v>
      </c>
      <c r="B3461" s="3" t="s">
        <v>1443</v>
      </c>
      <c r="C3461" s="25">
        <v>0</v>
      </c>
      <c r="D3461" s="25">
        <v>0</v>
      </c>
      <c r="E3461" s="18">
        <f t="shared" si="619"/>
        <v>0</v>
      </c>
    </row>
    <row r="3462" spans="1:5" ht="15" x14ac:dyDescent="0.2">
      <c r="A3462" s="7">
        <v>791095</v>
      </c>
      <c r="B3462" s="3" t="s">
        <v>1444</v>
      </c>
      <c r="C3462" s="25">
        <v>0</v>
      </c>
      <c r="D3462" s="25">
        <v>0</v>
      </c>
      <c r="E3462" s="18">
        <f t="shared" si="619"/>
        <v>0</v>
      </c>
    </row>
    <row r="3463" spans="1:5" ht="15" x14ac:dyDescent="0.2">
      <c r="A3463" s="6">
        <v>7911</v>
      </c>
      <c r="B3463" s="2" t="s">
        <v>1511</v>
      </c>
      <c r="C3463" s="24">
        <f>SUM(C3464:C3474)</f>
        <v>0</v>
      </c>
      <c r="D3463" s="24">
        <f t="shared" ref="D3463:E3463" si="620">SUM(D3464:D3474)</f>
        <v>0</v>
      </c>
      <c r="E3463" s="17">
        <f t="shared" si="620"/>
        <v>0</v>
      </c>
    </row>
    <row r="3464" spans="1:5" ht="15" x14ac:dyDescent="0.2">
      <c r="A3464" s="7">
        <v>791101</v>
      </c>
      <c r="B3464" s="3" t="s">
        <v>1436</v>
      </c>
      <c r="C3464" s="25">
        <v>0</v>
      </c>
      <c r="D3464" s="25">
        <v>0</v>
      </c>
      <c r="E3464" s="18">
        <f t="shared" ref="E3464:E3474" si="621">SUM(C3464:D3464)</f>
        <v>0</v>
      </c>
    </row>
    <row r="3465" spans="1:5" ht="15" x14ac:dyDescent="0.2">
      <c r="A3465" s="7">
        <v>791102</v>
      </c>
      <c r="B3465" s="3" t="s">
        <v>1437</v>
      </c>
      <c r="C3465" s="25">
        <v>0</v>
      </c>
      <c r="D3465" s="25">
        <v>0</v>
      </c>
      <c r="E3465" s="18">
        <f t="shared" si="621"/>
        <v>0</v>
      </c>
    </row>
    <row r="3466" spans="1:5" ht="15" x14ac:dyDescent="0.2">
      <c r="A3466" s="7">
        <v>791103</v>
      </c>
      <c r="B3466" s="3" t="s">
        <v>568</v>
      </c>
      <c r="C3466" s="25">
        <v>0</v>
      </c>
      <c r="D3466" s="25">
        <v>0</v>
      </c>
      <c r="E3466" s="18">
        <f t="shared" si="621"/>
        <v>0</v>
      </c>
    </row>
    <row r="3467" spans="1:5" ht="15" x14ac:dyDescent="0.2">
      <c r="A3467" s="7">
        <v>791104</v>
      </c>
      <c r="B3467" s="3" t="s">
        <v>1438</v>
      </c>
      <c r="C3467" s="25">
        <v>0</v>
      </c>
      <c r="D3467" s="25">
        <v>0</v>
      </c>
      <c r="E3467" s="18">
        <f t="shared" si="621"/>
        <v>0</v>
      </c>
    </row>
    <row r="3468" spans="1:5" ht="15" x14ac:dyDescent="0.2">
      <c r="A3468" s="7">
        <v>791105</v>
      </c>
      <c r="B3468" s="3" t="s">
        <v>569</v>
      </c>
      <c r="C3468" s="25">
        <v>0</v>
      </c>
      <c r="D3468" s="25">
        <v>0</v>
      </c>
      <c r="E3468" s="18">
        <f t="shared" si="621"/>
        <v>0</v>
      </c>
    </row>
    <row r="3469" spans="1:5" ht="15" x14ac:dyDescent="0.2">
      <c r="A3469" s="7">
        <v>791106</v>
      </c>
      <c r="B3469" s="3" t="s">
        <v>1439</v>
      </c>
      <c r="C3469" s="25">
        <v>0</v>
      </c>
      <c r="D3469" s="25">
        <v>0</v>
      </c>
      <c r="E3469" s="18">
        <f t="shared" si="621"/>
        <v>0</v>
      </c>
    </row>
    <row r="3470" spans="1:5" ht="15" x14ac:dyDescent="0.2">
      <c r="A3470" s="7">
        <v>791107</v>
      </c>
      <c r="B3470" s="3" t="s">
        <v>1440</v>
      </c>
      <c r="C3470" s="25">
        <v>0</v>
      </c>
      <c r="D3470" s="25">
        <v>0</v>
      </c>
      <c r="E3470" s="18">
        <f t="shared" si="621"/>
        <v>0</v>
      </c>
    </row>
    <row r="3471" spans="1:5" ht="15" x14ac:dyDescent="0.2">
      <c r="A3471" s="7">
        <v>791108</v>
      </c>
      <c r="B3471" s="3" t="s">
        <v>1441</v>
      </c>
      <c r="C3471" s="25">
        <v>0</v>
      </c>
      <c r="D3471" s="25">
        <v>0</v>
      </c>
      <c r="E3471" s="18">
        <f t="shared" si="621"/>
        <v>0</v>
      </c>
    </row>
    <row r="3472" spans="1:5" ht="15" x14ac:dyDescent="0.2">
      <c r="A3472" s="7">
        <v>791109</v>
      </c>
      <c r="B3472" s="3" t="s">
        <v>1442</v>
      </c>
      <c r="C3472" s="25">
        <v>0</v>
      </c>
      <c r="D3472" s="25">
        <v>0</v>
      </c>
      <c r="E3472" s="18">
        <f t="shared" si="621"/>
        <v>0</v>
      </c>
    </row>
    <row r="3473" spans="1:5" ht="15" x14ac:dyDescent="0.2">
      <c r="A3473" s="7">
        <v>791110</v>
      </c>
      <c r="B3473" s="3" t="s">
        <v>1443</v>
      </c>
      <c r="C3473" s="25">
        <v>0</v>
      </c>
      <c r="D3473" s="25">
        <v>0</v>
      </c>
      <c r="E3473" s="18">
        <f t="shared" si="621"/>
        <v>0</v>
      </c>
    </row>
    <row r="3474" spans="1:5" ht="15" x14ac:dyDescent="0.2">
      <c r="A3474" s="7">
        <v>791195</v>
      </c>
      <c r="B3474" s="3" t="s">
        <v>1444</v>
      </c>
      <c r="C3474" s="25">
        <v>0</v>
      </c>
      <c r="D3474" s="25">
        <v>0</v>
      </c>
      <c r="E3474" s="18">
        <f t="shared" si="621"/>
        <v>0</v>
      </c>
    </row>
    <row r="3475" spans="1:5" ht="15" x14ac:dyDescent="0.2">
      <c r="A3475" s="6">
        <v>7912</v>
      </c>
      <c r="B3475" s="2" t="s">
        <v>1512</v>
      </c>
      <c r="C3475" s="24">
        <f>SUM(C3476:C3486)</f>
        <v>0</v>
      </c>
      <c r="D3475" s="24">
        <f t="shared" ref="D3475:E3475" si="622">SUM(D3476:D3486)</f>
        <v>0</v>
      </c>
      <c r="E3475" s="17">
        <f t="shared" si="622"/>
        <v>0</v>
      </c>
    </row>
    <row r="3476" spans="1:5" ht="15" x14ac:dyDescent="0.2">
      <c r="A3476" s="7">
        <v>791201</v>
      </c>
      <c r="B3476" s="3" t="s">
        <v>1436</v>
      </c>
      <c r="C3476" s="25">
        <v>0</v>
      </c>
      <c r="D3476" s="25">
        <v>0</v>
      </c>
      <c r="E3476" s="18">
        <f t="shared" ref="E3476:E3486" si="623">SUM(C3476:D3476)</f>
        <v>0</v>
      </c>
    </row>
    <row r="3477" spans="1:5" ht="15" x14ac:dyDescent="0.2">
      <c r="A3477" s="7">
        <v>791202</v>
      </c>
      <c r="B3477" s="3" t="s">
        <v>1437</v>
      </c>
      <c r="C3477" s="25">
        <v>0</v>
      </c>
      <c r="D3477" s="25">
        <v>0</v>
      </c>
      <c r="E3477" s="18">
        <f t="shared" si="623"/>
        <v>0</v>
      </c>
    </row>
    <row r="3478" spans="1:5" ht="15" x14ac:dyDescent="0.2">
      <c r="A3478" s="7">
        <v>791203</v>
      </c>
      <c r="B3478" s="3" t="s">
        <v>568</v>
      </c>
      <c r="C3478" s="25">
        <v>0</v>
      </c>
      <c r="D3478" s="25">
        <v>0</v>
      </c>
      <c r="E3478" s="18">
        <f t="shared" si="623"/>
        <v>0</v>
      </c>
    </row>
    <row r="3479" spans="1:5" ht="15" x14ac:dyDescent="0.2">
      <c r="A3479" s="7">
        <v>791204</v>
      </c>
      <c r="B3479" s="3" t="s">
        <v>1438</v>
      </c>
      <c r="C3479" s="25">
        <v>0</v>
      </c>
      <c r="D3479" s="25">
        <v>0</v>
      </c>
      <c r="E3479" s="18">
        <f t="shared" si="623"/>
        <v>0</v>
      </c>
    </row>
    <row r="3480" spans="1:5" ht="15" x14ac:dyDescent="0.2">
      <c r="A3480" s="7">
        <v>791205</v>
      </c>
      <c r="B3480" s="3" t="s">
        <v>569</v>
      </c>
      <c r="C3480" s="25">
        <v>0</v>
      </c>
      <c r="D3480" s="25">
        <v>0</v>
      </c>
      <c r="E3480" s="18">
        <f t="shared" si="623"/>
        <v>0</v>
      </c>
    </row>
    <row r="3481" spans="1:5" ht="15" x14ac:dyDescent="0.2">
      <c r="A3481" s="7">
        <v>791206</v>
      </c>
      <c r="B3481" s="3" t="s">
        <v>1439</v>
      </c>
      <c r="C3481" s="25">
        <v>0</v>
      </c>
      <c r="D3481" s="25">
        <v>0</v>
      </c>
      <c r="E3481" s="18">
        <f t="shared" si="623"/>
        <v>0</v>
      </c>
    </row>
    <row r="3482" spans="1:5" ht="15" x14ac:dyDescent="0.2">
      <c r="A3482" s="7">
        <v>791207</v>
      </c>
      <c r="B3482" s="3" t="s">
        <v>1440</v>
      </c>
      <c r="C3482" s="25">
        <v>0</v>
      </c>
      <c r="D3482" s="25">
        <v>0</v>
      </c>
      <c r="E3482" s="18">
        <f t="shared" si="623"/>
        <v>0</v>
      </c>
    </row>
    <row r="3483" spans="1:5" ht="15" x14ac:dyDescent="0.2">
      <c r="A3483" s="7">
        <v>791208</v>
      </c>
      <c r="B3483" s="3" t="s">
        <v>1441</v>
      </c>
      <c r="C3483" s="25">
        <v>0</v>
      </c>
      <c r="D3483" s="25">
        <v>0</v>
      </c>
      <c r="E3483" s="18">
        <f t="shared" si="623"/>
        <v>0</v>
      </c>
    </row>
    <row r="3484" spans="1:5" ht="15" x14ac:dyDescent="0.2">
      <c r="A3484" s="7">
        <v>791209</v>
      </c>
      <c r="B3484" s="3" t="s">
        <v>1442</v>
      </c>
      <c r="C3484" s="25">
        <v>0</v>
      </c>
      <c r="D3484" s="25">
        <v>0</v>
      </c>
      <c r="E3484" s="18">
        <f t="shared" si="623"/>
        <v>0</v>
      </c>
    </row>
    <row r="3485" spans="1:5" ht="15" x14ac:dyDescent="0.2">
      <c r="A3485" s="7">
        <v>791210</v>
      </c>
      <c r="B3485" s="3" t="s">
        <v>1443</v>
      </c>
      <c r="C3485" s="25">
        <v>0</v>
      </c>
      <c r="D3485" s="25">
        <v>0</v>
      </c>
      <c r="E3485" s="18">
        <f t="shared" si="623"/>
        <v>0</v>
      </c>
    </row>
    <row r="3486" spans="1:5" ht="15" x14ac:dyDescent="0.2">
      <c r="A3486" s="7">
        <v>791295</v>
      </c>
      <c r="B3486" s="3" t="s">
        <v>1444</v>
      </c>
      <c r="C3486" s="25">
        <v>0</v>
      </c>
      <c r="D3486" s="25">
        <v>0</v>
      </c>
      <c r="E3486" s="18">
        <f t="shared" si="623"/>
        <v>0</v>
      </c>
    </row>
    <row r="3487" spans="1:5" ht="15" x14ac:dyDescent="0.2">
      <c r="A3487" s="6">
        <v>7990</v>
      </c>
      <c r="B3487" s="2" t="s">
        <v>1146</v>
      </c>
      <c r="C3487" s="24">
        <f>SUM(C3488:C3498)</f>
        <v>0</v>
      </c>
      <c r="D3487" s="24">
        <f t="shared" ref="D3487:E3487" si="624">SUM(D3488:D3498)</f>
        <v>0</v>
      </c>
      <c r="E3487" s="17">
        <f t="shared" si="624"/>
        <v>0</v>
      </c>
    </row>
    <row r="3488" spans="1:5" ht="15" x14ac:dyDescent="0.2">
      <c r="A3488" s="7">
        <v>799001</v>
      </c>
      <c r="B3488" s="3" t="s">
        <v>1436</v>
      </c>
      <c r="C3488" s="25">
        <v>0</v>
      </c>
      <c r="D3488" s="25">
        <v>0</v>
      </c>
      <c r="E3488" s="18">
        <f t="shared" ref="E3488:E3498" si="625">SUM(C3488:D3488)</f>
        <v>0</v>
      </c>
    </row>
    <row r="3489" spans="1:5" ht="15" x14ac:dyDescent="0.2">
      <c r="A3489" s="7">
        <v>799002</v>
      </c>
      <c r="B3489" s="3" t="s">
        <v>1437</v>
      </c>
      <c r="C3489" s="25">
        <v>0</v>
      </c>
      <c r="D3489" s="25">
        <v>0</v>
      </c>
      <c r="E3489" s="18">
        <f t="shared" si="625"/>
        <v>0</v>
      </c>
    </row>
    <row r="3490" spans="1:5" ht="15" x14ac:dyDescent="0.2">
      <c r="A3490" s="7">
        <v>799003</v>
      </c>
      <c r="B3490" s="3" t="s">
        <v>568</v>
      </c>
      <c r="C3490" s="25">
        <v>0</v>
      </c>
      <c r="D3490" s="25">
        <v>0</v>
      </c>
      <c r="E3490" s="18">
        <f t="shared" si="625"/>
        <v>0</v>
      </c>
    </row>
    <row r="3491" spans="1:5" ht="15" x14ac:dyDescent="0.2">
      <c r="A3491" s="7">
        <v>799004</v>
      </c>
      <c r="B3491" s="3" t="s">
        <v>1438</v>
      </c>
      <c r="C3491" s="25">
        <v>0</v>
      </c>
      <c r="D3491" s="25">
        <v>0</v>
      </c>
      <c r="E3491" s="18">
        <f t="shared" si="625"/>
        <v>0</v>
      </c>
    </row>
    <row r="3492" spans="1:5" ht="15" x14ac:dyDescent="0.2">
      <c r="A3492" s="7">
        <v>799005</v>
      </c>
      <c r="B3492" s="3" t="s">
        <v>569</v>
      </c>
      <c r="C3492" s="25">
        <v>0</v>
      </c>
      <c r="D3492" s="25">
        <v>0</v>
      </c>
      <c r="E3492" s="18">
        <f t="shared" si="625"/>
        <v>0</v>
      </c>
    </row>
    <row r="3493" spans="1:5" ht="15" x14ac:dyDescent="0.2">
      <c r="A3493" s="7">
        <v>799006</v>
      </c>
      <c r="B3493" s="3" t="s">
        <v>1439</v>
      </c>
      <c r="C3493" s="25">
        <v>0</v>
      </c>
      <c r="D3493" s="25">
        <v>0</v>
      </c>
      <c r="E3493" s="18">
        <f t="shared" si="625"/>
        <v>0</v>
      </c>
    </row>
    <row r="3494" spans="1:5" ht="15" x14ac:dyDescent="0.2">
      <c r="A3494" s="7">
        <v>799007</v>
      </c>
      <c r="B3494" s="3" t="s">
        <v>1440</v>
      </c>
      <c r="C3494" s="25">
        <v>0</v>
      </c>
      <c r="D3494" s="25">
        <v>0</v>
      </c>
      <c r="E3494" s="18">
        <f t="shared" si="625"/>
        <v>0</v>
      </c>
    </row>
    <row r="3495" spans="1:5" ht="15" x14ac:dyDescent="0.2">
      <c r="A3495" s="7">
        <v>799008</v>
      </c>
      <c r="B3495" s="3" t="s">
        <v>1441</v>
      </c>
      <c r="C3495" s="25">
        <v>0</v>
      </c>
      <c r="D3495" s="25">
        <v>0</v>
      </c>
      <c r="E3495" s="18">
        <f t="shared" si="625"/>
        <v>0</v>
      </c>
    </row>
    <row r="3496" spans="1:5" ht="15" x14ac:dyDescent="0.2">
      <c r="A3496" s="7">
        <v>799009</v>
      </c>
      <c r="B3496" s="3" t="s">
        <v>1442</v>
      </c>
      <c r="C3496" s="25">
        <v>0</v>
      </c>
      <c r="D3496" s="25">
        <v>0</v>
      </c>
      <c r="E3496" s="18">
        <f t="shared" si="625"/>
        <v>0</v>
      </c>
    </row>
    <row r="3497" spans="1:5" ht="15" x14ac:dyDescent="0.2">
      <c r="A3497" s="7">
        <v>799010</v>
      </c>
      <c r="B3497" s="3" t="s">
        <v>1443</v>
      </c>
      <c r="C3497" s="25">
        <v>0</v>
      </c>
      <c r="D3497" s="25">
        <v>0</v>
      </c>
      <c r="E3497" s="18">
        <f t="shared" si="625"/>
        <v>0</v>
      </c>
    </row>
    <row r="3498" spans="1:5" ht="15" x14ac:dyDescent="0.2">
      <c r="A3498" s="7">
        <v>799095</v>
      </c>
      <c r="B3498" s="3" t="s">
        <v>1444</v>
      </c>
      <c r="C3498" s="25">
        <v>0</v>
      </c>
      <c r="D3498" s="25">
        <v>0</v>
      </c>
      <c r="E3498" s="18">
        <f t="shared" si="625"/>
        <v>0</v>
      </c>
    </row>
    <row r="3499" spans="1:5" ht="15" x14ac:dyDescent="0.2">
      <c r="A3499" s="6">
        <v>8</v>
      </c>
      <c r="B3499" s="2" t="s">
        <v>1513</v>
      </c>
      <c r="C3499" s="24">
        <v>0</v>
      </c>
      <c r="D3499" s="24">
        <v>0</v>
      </c>
      <c r="E3499" s="17">
        <v>0</v>
      </c>
    </row>
    <row r="3500" spans="1:5" ht="15" x14ac:dyDescent="0.2">
      <c r="A3500" s="6">
        <v>81</v>
      </c>
      <c r="B3500" s="2" t="s">
        <v>1514</v>
      </c>
      <c r="C3500" s="24">
        <v>0</v>
      </c>
      <c r="D3500" s="24">
        <v>0</v>
      </c>
      <c r="E3500" s="17">
        <v>0</v>
      </c>
    </row>
    <row r="3501" spans="1:5" ht="15" x14ac:dyDescent="0.2">
      <c r="A3501" s="6">
        <v>8120</v>
      </c>
      <c r="B3501" s="2" t="s">
        <v>1515</v>
      </c>
      <c r="C3501" s="24">
        <f>SUM(C3502:C3507)</f>
        <v>0</v>
      </c>
      <c r="D3501" s="24">
        <f t="shared" ref="D3501:E3501" si="626">SUM(D3502:D3507)</f>
        <v>0</v>
      </c>
      <c r="E3501" s="17">
        <f t="shared" si="626"/>
        <v>0</v>
      </c>
    </row>
    <row r="3502" spans="1:5" ht="15" x14ac:dyDescent="0.2">
      <c r="A3502" s="7">
        <v>812001</v>
      </c>
      <c r="B3502" s="3" t="s">
        <v>912</v>
      </c>
      <c r="C3502" s="25">
        <v>0</v>
      </c>
      <c r="D3502" s="25">
        <v>0</v>
      </c>
      <c r="E3502" s="18">
        <v>0</v>
      </c>
    </row>
    <row r="3503" spans="1:5" ht="15" x14ac:dyDescent="0.2">
      <c r="A3503" s="7">
        <v>812002</v>
      </c>
      <c r="B3503" s="3" t="s">
        <v>916</v>
      </c>
      <c r="C3503" s="25">
        <v>0</v>
      </c>
      <c r="D3503" s="25">
        <v>0</v>
      </c>
      <c r="E3503" s="18">
        <v>0</v>
      </c>
    </row>
    <row r="3504" spans="1:5" ht="15" x14ac:dyDescent="0.2">
      <c r="A3504" s="7">
        <v>812003</v>
      </c>
      <c r="B3504" s="3" t="s">
        <v>913</v>
      </c>
      <c r="C3504" s="25">
        <v>0</v>
      </c>
      <c r="D3504" s="25">
        <v>0</v>
      </c>
      <c r="E3504" s="18">
        <v>0</v>
      </c>
    </row>
    <row r="3505" spans="1:5" ht="15" x14ac:dyDescent="0.2">
      <c r="A3505" s="7">
        <v>812004</v>
      </c>
      <c r="B3505" s="3" t="s">
        <v>914</v>
      </c>
      <c r="C3505" s="25">
        <v>0</v>
      </c>
      <c r="D3505" s="25">
        <v>0</v>
      </c>
      <c r="E3505" s="18">
        <v>0</v>
      </c>
    </row>
    <row r="3506" spans="1:5" ht="15" x14ac:dyDescent="0.2">
      <c r="A3506" s="7">
        <v>812005</v>
      </c>
      <c r="B3506" s="3" t="s">
        <v>1516</v>
      </c>
      <c r="C3506" s="25">
        <v>0</v>
      </c>
      <c r="D3506" s="25">
        <v>0</v>
      </c>
      <c r="E3506" s="18">
        <v>0</v>
      </c>
    </row>
    <row r="3507" spans="1:5" ht="15" x14ac:dyDescent="0.2">
      <c r="A3507" s="7">
        <v>812090</v>
      </c>
      <c r="B3507" s="3" t="s">
        <v>1517</v>
      </c>
      <c r="C3507" s="25">
        <v>0</v>
      </c>
      <c r="D3507" s="25">
        <v>0</v>
      </c>
      <c r="E3507" s="18">
        <v>0</v>
      </c>
    </row>
    <row r="3508" spans="1:5" ht="15" x14ac:dyDescent="0.2">
      <c r="A3508" s="6">
        <v>8128</v>
      </c>
      <c r="B3508" s="2" t="s">
        <v>1518</v>
      </c>
      <c r="C3508" s="24">
        <f>SUM(C3509:C3516)</f>
        <v>0</v>
      </c>
      <c r="D3508" s="24">
        <f t="shared" ref="D3508:E3508" si="627">SUM(D3509:D3516)</f>
        <v>0</v>
      </c>
      <c r="E3508" s="17">
        <f t="shared" si="627"/>
        <v>0</v>
      </c>
    </row>
    <row r="3509" spans="1:5" ht="15" x14ac:dyDescent="0.2">
      <c r="A3509" s="7">
        <v>812801</v>
      </c>
      <c r="B3509" s="3" t="s">
        <v>1519</v>
      </c>
      <c r="C3509" s="25">
        <v>0</v>
      </c>
      <c r="D3509" s="25">
        <v>0</v>
      </c>
      <c r="E3509" s="18">
        <v>0</v>
      </c>
    </row>
    <row r="3510" spans="1:5" ht="15" x14ac:dyDescent="0.2">
      <c r="A3510" s="7">
        <v>812802</v>
      </c>
      <c r="B3510" s="3" t="s">
        <v>1520</v>
      </c>
      <c r="C3510" s="25">
        <v>0</v>
      </c>
      <c r="D3510" s="25">
        <v>0</v>
      </c>
      <c r="E3510" s="18">
        <v>0</v>
      </c>
    </row>
    <row r="3511" spans="1:5" ht="15" x14ac:dyDescent="0.2">
      <c r="A3511" s="7">
        <v>812803</v>
      </c>
      <c r="B3511" s="3" t="s">
        <v>1521</v>
      </c>
      <c r="C3511" s="25">
        <v>0</v>
      </c>
      <c r="D3511" s="25">
        <v>0</v>
      </c>
      <c r="E3511" s="18">
        <v>0</v>
      </c>
    </row>
    <row r="3512" spans="1:5" ht="15" x14ac:dyDescent="0.2">
      <c r="A3512" s="7">
        <v>812804</v>
      </c>
      <c r="B3512" s="3" t="s">
        <v>1522</v>
      </c>
      <c r="C3512" s="25">
        <v>0</v>
      </c>
      <c r="D3512" s="25">
        <v>0</v>
      </c>
      <c r="E3512" s="18">
        <v>0</v>
      </c>
    </row>
    <row r="3513" spans="1:5" ht="15" x14ac:dyDescent="0.2">
      <c r="A3513" s="7">
        <v>812805</v>
      </c>
      <c r="B3513" s="3" t="s">
        <v>1523</v>
      </c>
      <c r="C3513" s="25">
        <v>0</v>
      </c>
      <c r="D3513" s="25">
        <v>0</v>
      </c>
      <c r="E3513" s="18">
        <v>0</v>
      </c>
    </row>
    <row r="3514" spans="1:5" ht="15" x14ac:dyDescent="0.2">
      <c r="A3514" s="7">
        <v>812806</v>
      </c>
      <c r="B3514" s="3" t="s">
        <v>1524</v>
      </c>
      <c r="C3514" s="25">
        <v>0</v>
      </c>
      <c r="D3514" s="25">
        <v>0</v>
      </c>
      <c r="E3514" s="18">
        <v>0</v>
      </c>
    </row>
    <row r="3515" spans="1:5" ht="15" x14ac:dyDescent="0.2">
      <c r="A3515" s="7">
        <v>812807</v>
      </c>
      <c r="B3515" s="3" t="s">
        <v>1525</v>
      </c>
      <c r="C3515" s="25">
        <v>0</v>
      </c>
      <c r="D3515" s="25">
        <v>0</v>
      </c>
      <c r="E3515" s="18">
        <v>0</v>
      </c>
    </row>
    <row r="3516" spans="1:5" ht="15" x14ac:dyDescent="0.2">
      <c r="A3516" s="7">
        <v>812890</v>
      </c>
      <c r="B3516" s="3" t="s">
        <v>1526</v>
      </c>
      <c r="C3516" s="25">
        <v>0</v>
      </c>
      <c r="D3516" s="25">
        <v>0</v>
      </c>
      <c r="E3516" s="18">
        <v>0</v>
      </c>
    </row>
    <row r="3517" spans="1:5" ht="15" x14ac:dyDescent="0.2">
      <c r="A3517" s="6">
        <v>8129</v>
      </c>
      <c r="B3517" s="2" t="s">
        <v>1527</v>
      </c>
      <c r="C3517" s="24">
        <f>SUM(C3518:C3519)</f>
        <v>0</v>
      </c>
      <c r="D3517" s="24">
        <f t="shared" ref="D3517:E3517" si="628">SUM(D3518:D3519)</f>
        <v>0</v>
      </c>
      <c r="E3517" s="17">
        <f t="shared" si="628"/>
        <v>0</v>
      </c>
    </row>
    <row r="3518" spans="1:5" ht="15" x14ac:dyDescent="0.2">
      <c r="A3518" s="7">
        <v>812907</v>
      </c>
      <c r="B3518" s="3" t="s">
        <v>1528</v>
      </c>
      <c r="C3518" s="25">
        <v>0</v>
      </c>
      <c r="D3518" s="25">
        <v>0</v>
      </c>
      <c r="E3518" s="18">
        <v>0</v>
      </c>
    </row>
    <row r="3519" spans="1:5" ht="15" x14ac:dyDescent="0.2">
      <c r="A3519" s="7">
        <v>812908</v>
      </c>
      <c r="B3519" s="3" t="s">
        <v>1529</v>
      </c>
      <c r="C3519" s="25">
        <v>0</v>
      </c>
      <c r="D3519" s="25">
        <v>0</v>
      </c>
      <c r="E3519" s="18">
        <v>0</v>
      </c>
    </row>
    <row r="3520" spans="1:5" ht="15" x14ac:dyDescent="0.2">
      <c r="A3520" s="6">
        <v>8190</v>
      </c>
      <c r="B3520" s="2" t="s">
        <v>1530</v>
      </c>
      <c r="C3520" s="24">
        <f>SUM(C3521:C3523)</f>
        <v>0</v>
      </c>
      <c r="D3520" s="24">
        <f t="shared" ref="D3520:E3520" si="629">SUM(D3521:D3523)</f>
        <v>0</v>
      </c>
      <c r="E3520" s="17">
        <f t="shared" si="629"/>
        <v>0</v>
      </c>
    </row>
    <row r="3521" spans="1:5" ht="15" x14ac:dyDescent="0.2">
      <c r="A3521" s="7">
        <v>819002</v>
      </c>
      <c r="B3521" s="3" t="s">
        <v>1531</v>
      </c>
      <c r="C3521" s="25">
        <v>0</v>
      </c>
      <c r="D3521" s="25">
        <v>0</v>
      </c>
      <c r="E3521" s="18">
        <v>0</v>
      </c>
    </row>
    <row r="3522" spans="1:5" ht="15" x14ac:dyDescent="0.2">
      <c r="A3522" s="7">
        <v>819003</v>
      </c>
      <c r="B3522" s="3" t="s">
        <v>252</v>
      </c>
      <c r="C3522" s="25">
        <v>0</v>
      </c>
      <c r="D3522" s="25">
        <v>0</v>
      </c>
      <c r="E3522" s="18">
        <v>0</v>
      </c>
    </row>
    <row r="3523" spans="1:5" ht="15" x14ac:dyDescent="0.2">
      <c r="A3523" s="7">
        <v>819090</v>
      </c>
      <c r="B3523" s="3" t="s">
        <v>1532</v>
      </c>
      <c r="C3523" s="25">
        <v>0</v>
      </c>
      <c r="D3523" s="25">
        <v>0</v>
      </c>
      <c r="E3523" s="18">
        <v>0</v>
      </c>
    </row>
    <row r="3524" spans="1:5" ht="15" x14ac:dyDescent="0.2">
      <c r="A3524" s="6">
        <v>82</v>
      </c>
      <c r="B3524" s="2" t="s">
        <v>1533</v>
      </c>
      <c r="C3524" s="24">
        <v>0</v>
      </c>
      <c r="D3524" s="24">
        <v>0</v>
      </c>
      <c r="E3524" s="17">
        <v>0</v>
      </c>
    </row>
    <row r="3525" spans="1:5" ht="15" x14ac:dyDescent="0.2">
      <c r="A3525" s="6">
        <v>83</v>
      </c>
      <c r="B3525" s="2" t="s">
        <v>1534</v>
      </c>
      <c r="C3525" s="24">
        <v>0</v>
      </c>
      <c r="D3525" s="24">
        <v>0</v>
      </c>
      <c r="E3525" s="17">
        <v>0</v>
      </c>
    </row>
    <row r="3526" spans="1:5" ht="15" x14ac:dyDescent="0.2">
      <c r="A3526" s="6">
        <v>8301</v>
      </c>
      <c r="B3526" s="2" t="s">
        <v>1535</v>
      </c>
      <c r="C3526" s="24">
        <f>SUM(C3527:C3528)</f>
        <v>0</v>
      </c>
      <c r="D3526" s="24">
        <f t="shared" ref="D3526:E3526" si="630">SUM(D3527:D3528)</f>
        <v>0</v>
      </c>
      <c r="E3526" s="17">
        <f t="shared" si="630"/>
        <v>0</v>
      </c>
    </row>
    <row r="3527" spans="1:5" ht="15" x14ac:dyDescent="0.2">
      <c r="A3527" s="7">
        <v>830101</v>
      </c>
      <c r="B3527" s="3" t="s">
        <v>1536</v>
      </c>
      <c r="C3527" s="25">
        <v>0</v>
      </c>
      <c r="D3527" s="25">
        <v>0</v>
      </c>
      <c r="E3527" s="18">
        <v>0</v>
      </c>
    </row>
    <row r="3528" spans="1:5" ht="15" x14ac:dyDescent="0.2">
      <c r="A3528" s="7">
        <v>830102</v>
      </c>
      <c r="B3528" s="3" t="s">
        <v>619</v>
      </c>
      <c r="C3528" s="25">
        <v>0</v>
      </c>
      <c r="D3528" s="25">
        <v>0</v>
      </c>
      <c r="E3528" s="18">
        <v>0</v>
      </c>
    </row>
    <row r="3529" spans="1:5" ht="15" x14ac:dyDescent="0.2">
      <c r="A3529" s="6">
        <v>8306</v>
      </c>
      <c r="B3529" s="2" t="s">
        <v>1537</v>
      </c>
      <c r="C3529" s="24">
        <f>SUM(C3530:C3535)</f>
        <v>0</v>
      </c>
      <c r="D3529" s="24">
        <f t="shared" ref="D3529:E3529" si="631">SUM(D3530:D3535)</f>
        <v>0</v>
      </c>
      <c r="E3529" s="17">
        <f t="shared" si="631"/>
        <v>0</v>
      </c>
    </row>
    <row r="3530" spans="1:5" ht="15" x14ac:dyDescent="0.2">
      <c r="A3530" s="7">
        <v>830601</v>
      </c>
      <c r="B3530" s="3" t="s">
        <v>551</v>
      </c>
      <c r="C3530" s="25">
        <v>0</v>
      </c>
      <c r="D3530" s="25">
        <v>0</v>
      </c>
      <c r="E3530" s="18">
        <v>0</v>
      </c>
    </row>
    <row r="3531" spans="1:5" ht="15" x14ac:dyDescent="0.2">
      <c r="A3531" s="7">
        <v>830602</v>
      </c>
      <c r="B3531" s="3" t="s">
        <v>638</v>
      </c>
      <c r="C3531" s="25">
        <v>0</v>
      </c>
      <c r="D3531" s="25">
        <v>0</v>
      </c>
      <c r="E3531" s="18">
        <v>0</v>
      </c>
    </row>
    <row r="3532" spans="1:5" ht="15" x14ac:dyDescent="0.2">
      <c r="A3532" s="7">
        <v>830616</v>
      </c>
      <c r="B3532" s="3" t="s">
        <v>1538</v>
      </c>
      <c r="C3532" s="25">
        <v>0</v>
      </c>
      <c r="D3532" s="25">
        <v>0</v>
      </c>
      <c r="E3532" s="18">
        <v>0</v>
      </c>
    </row>
    <row r="3533" spans="1:5" ht="15" x14ac:dyDescent="0.2">
      <c r="A3533" s="7">
        <v>830617</v>
      </c>
      <c r="B3533" s="3" t="s">
        <v>553</v>
      </c>
      <c r="C3533" s="25">
        <v>0</v>
      </c>
      <c r="D3533" s="25">
        <v>0</v>
      </c>
      <c r="E3533" s="18">
        <v>0</v>
      </c>
    </row>
    <row r="3534" spans="1:5" ht="15" x14ac:dyDescent="0.2">
      <c r="A3534" s="7">
        <v>830618</v>
      </c>
      <c r="B3534" s="3" t="s">
        <v>555</v>
      </c>
      <c r="C3534" s="25">
        <v>0</v>
      </c>
      <c r="D3534" s="25">
        <v>0</v>
      </c>
      <c r="E3534" s="18">
        <v>0</v>
      </c>
    </row>
    <row r="3535" spans="1:5" ht="15" x14ac:dyDescent="0.2">
      <c r="A3535" s="7">
        <v>830690</v>
      </c>
      <c r="B3535" s="3" t="s">
        <v>1539</v>
      </c>
      <c r="C3535" s="25">
        <v>0</v>
      </c>
      <c r="D3535" s="25">
        <v>0</v>
      </c>
      <c r="E3535" s="18">
        <v>0</v>
      </c>
    </row>
    <row r="3536" spans="1:5" ht="15" x14ac:dyDescent="0.2">
      <c r="A3536" s="6">
        <v>8310</v>
      </c>
      <c r="B3536" s="2" t="s">
        <v>1540</v>
      </c>
      <c r="C3536" s="24">
        <f>SUM(C3537:C3541)</f>
        <v>0</v>
      </c>
      <c r="D3536" s="24">
        <f t="shared" ref="D3536:E3536" si="632">SUM(D3537:D3541)</f>
        <v>0</v>
      </c>
      <c r="E3536" s="17">
        <f t="shared" si="632"/>
        <v>0</v>
      </c>
    </row>
    <row r="3537" spans="1:5" ht="15" x14ac:dyDescent="0.2">
      <c r="A3537" s="7">
        <v>831001</v>
      </c>
      <c r="B3537" s="3" t="s">
        <v>1541</v>
      </c>
      <c r="C3537" s="25">
        <v>0</v>
      </c>
      <c r="D3537" s="25">
        <v>0</v>
      </c>
      <c r="E3537" s="18">
        <v>0</v>
      </c>
    </row>
    <row r="3538" spans="1:5" ht="15" x14ac:dyDescent="0.2">
      <c r="A3538" s="7">
        <v>831002</v>
      </c>
      <c r="B3538" s="3" t="s">
        <v>1542</v>
      </c>
      <c r="C3538" s="25">
        <v>0</v>
      </c>
      <c r="D3538" s="25">
        <v>0</v>
      </c>
      <c r="E3538" s="18">
        <v>0</v>
      </c>
    </row>
    <row r="3539" spans="1:5" ht="15" x14ac:dyDescent="0.2">
      <c r="A3539" s="7">
        <v>831003</v>
      </c>
      <c r="B3539" s="3" t="s">
        <v>1543</v>
      </c>
      <c r="C3539" s="25">
        <v>0</v>
      </c>
      <c r="D3539" s="25">
        <v>0</v>
      </c>
      <c r="E3539" s="18">
        <v>0</v>
      </c>
    </row>
    <row r="3540" spans="1:5" ht="15" x14ac:dyDescent="0.2">
      <c r="A3540" s="7">
        <v>831005</v>
      </c>
      <c r="B3540" s="3" t="s">
        <v>113</v>
      </c>
      <c r="C3540" s="25">
        <v>0</v>
      </c>
      <c r="D3540" s="25">
        <v>0</v>
      </c>
      <c r="E3540" s="18">
        <v>0</v>
      </c>
    </row>
    <row r="3541" spans="1:5" ht="15" x14ac:dyDescent="0.2">
      <c r="A3541" s="7">
        <v>831090</v>
      </c>
      <c r="B3541" s="3" t="s">
        <v>1544</v>
      </c>
      <c r="C3541" s="25">
        <v>0</v>
      </c>
      <c r="D3541" s="25">
        <v>0</v>
      </c>
      <c r="E3541" s="18">
        <v>0</v>
      </c>
    </row>
    <row r="3542" spans="1:5" ht="15" x14ac:dyDescent="0.2">
      <c r="A3542" s="6">
        <v>8312</v>
      </c>
      <c r="B3542" s="2" t="s">
        <v>1545</v>
      </c>
      <c r="C3542" s="24">
        <f>SUM(C3543:C3546)</f>
        <v>0</v>
      </c>
      <c r="D3542" s="24">
        <f t="shared" ref="D3542:E3542" si="633">SUM(D3543:D3546)</f>
        <v>0</v>
      </c>
      <c r="E3542" s="17">
        <f t="shared" si="633"/>
        <v>0</v>
      </c>
    </row>
    <row r="3543" spans="1:5" ht="15" x14ac:dyDescent="0.2">
      <c r="A3543" s="7">
        <v>831201</v>
      </c>
      <c r="B3543" s="3" t="s">
        <v>57</v>
      </c>
      <c r="C3543" s="25">
        <v>0</v>
      </c>
      <c r="D3543" s="25">
        <v>0</v>
      </c>
      <c r="E3543" s="18">
        <v>0</v>
      </c>
    </row>
    <row r="3544" spans="1:5" ht="15" x14ac:dyDescent="0.2">
      <c r="A3544" s="7">
        <v>831202</v>
      </c>
      <c r="B3544" s="3" t="s">
        <v>1546</v>
      </c>
      <c r="C3544" s="25">
        <v>0</v>
      </c>
      <c r="D3544" s="25">
        <v>0</v>
      </c>
      <c r="E3544" s="18">
        <v>0</v>
      </c>
    </row>
    <row r="3545" spans="1:5" ht="15" x14ac:dyDescent="0.2">
      <c r="A3545" s="7">
        <v>831203</v>
      </c>
      <c r="B3545" s="3" t="s">
        <v>1547</v>
      </c>
      <c r="C3545" s="25">
        <v>0</v>
      </c>
      <c r="D3545" s="25">
        <v>0</v>
      </c>
      <c r="E3545" s="18">
        <v>0</v>
      </c>
    </row>
    <row r="3546" spans="1:5" ht="15" x14ac:dyDescent="0.2">
      <c r="A3546" s="7">
        <v>831290</v>
      </c>
      <c r="B3546" s="3" t="s">
        <v>1548</v>
      </c>
      <c r="C3546" s="25">
        <v>0</v>
      </c>
      <c r="D3546" s="25">
        <v>0</v>
      </c>
      <c r="E3546" s="18">
        <v>0</v>
      </c>
    </row>
    <row r="3547" spans="1:5" ht="15" x14ac:dyDescent="0.2">
      <c r="A3547" s="6">
        <v>8313</v>
      </c>
      <c r="B3547" s="2" t="s">
        <v>1549</v>
      </c>
      <c r="C3547" s="24">
        <f>SUM(C3548)</f>
        <v>0</v>
      </c>
      <c r="D3547" s="24">
        <f t="shared" ref="D3547:E3547" si="634">SUM(D3548)</f>
        <v>0</v>
      </c>
      <c r="E3547" s="17">
        <f t="shared" si="634"/>
        <v>0</v>
      </c>
    </row>
    <row r="3548" spans="1:5" ht="15" x14ac:dyDescent="0.2">
      <c r="A3548" s="7">
        <v>831301</v>
      </c>
      <c r="B3548" s="3" t="s">
        <v>1550</v>
      </c>
      <c r="C3548" s="25">
        <v>0</v>
      </c>
      <c r="D3548" s="25">
        <v>0</v>
      </c>
      <c r="E3548" s="18">
        <v>0</v>
      </c>
    </row>
    <row r="3549" spans="1:5" ht="15" x14ac:dyDescent="0.2">
      <c r="A3549" s="6">
        <v>8315</v>
      </c>
      <c r="B3549" s="2" t="s">
        <v>1551</v>
      </c>
      <c r="C3549" s="24">
        <f>SUM(C3550:C3557)</f>
        <v>0</v>
      </c>
      <c r="D3549" s="24">
        <f t="shared" ref="D3549:E3549" si="635">SUM(D3550:D3557)</f>
        <v>0</v>
      </c>
      <c r="E3549" s="17">
        <f t="shared" si="635"/>
        <v>0</v>
      </c>
    </row>
    <row r="3550" spans="1:5" ht="15" x14ac:dyDescent="0.2">
      <c r="A3550" s="7">
        <v>831510</v>
      </c>
      <c r="B3550" s="3" t="s">
        <v>553</v>
      </c>
      <c r="C3550" s="25">
        <v>0</v>
      </c>
      <c r="D3550" s="25">
        <v>0</v>
      </c>
      <c r="E3550" s="18">
        <v>0</v>
      </c>
    </row>
    <row r="3551" spans="1:5" ht="15" x14ac:dyDescent="0.2">
      <c r="A3551" s="7">
        <v>831532</v>
      </c>
      <c r="B3551" s="3" t="s">
        <v>1552</v>
      </c>
      <c r="C3551" s="25">
        <v>0</v>
      </c>
      <c r="D3551" s="25">
        <v>0</v>
      </c>
      <c r="E3551" s="18">
        <v>0</v>
      </c>
    </row>
    <row r="3552" spans="1:5" ht="15" x14ac:dyDescent="0.2">
      <c r="A3552" s="7">
        <v>831533</v>
      </c>
      <c r="B3552" s="3" t="s">
        <v>1553</v>
      </c>
      <c r="C3552" s="25">
        <v>0</v>
      </c>
      <c r="D3552" s="25">
        <v>0</v>
      </c>
      <c r="E3552" s="18">
        <v>0</v>
      </c>
    </row>
    <row r="3553" spans="1:5" ht="15" x14ac:dyDescent="0.2">
      <c r="A3553" s="7">
        <v>831534</v>
      </c>
      <c r="B3553" s="3" t="s">
        <v>551</v>
      </c>
      <c r="C3553" s="25">
        <v>0</v>
      </c>
      <c r="D3553" s="25">
        <v>0</v>
      </c>
      <c r="E3553" s="18">
        <v>0</v>
      </c>
    </row>
    <row r="3554" spans="1:5" ht="15" x14ac:dyDescent="0.2">
      <c r="A3554" s="7">
        <v>831535</v>
      </c>
      <c r="B3554" s="3" t="s">
        <v>226</v>
      </c>
      <c r="C3554" s="25">
        <v>0</v>
      </c>
      <c r="D3554" s="25">
        <v>0</v>
      </c>
      <c r="E3554" s="18">
        <v>0</v>
      </c>
    </row>
    <row r="3555" spans="1:5" ht="15" x14ac:dyDescent="0.2">
      <c r="A3555" s="7">
        <v>831536</v>
      </c>
      <c r="B3555" s="3" t="s">
        <v>287</v>
      </c>
      <c r="C3555" s="25">
        <v>0</v>
      </c>
      <c r="D3555" s="25">
        <v>0</v>
      </c>
      <c r="E3555" s="18">
        <v>0</v>
      </c>
    </row>
    <row r="3556" spans="1:5" ht="15" x14ac:dyDescent="0.2">
      <c r="A3556" s="7">
        <v>831537</v>
      </c>
      <c r="B3556" s="3" t="s">
        <v>638</v>
      </c>
      <c r="C3556" s="25">
        <v>0</v>
      </c>
      <c r="D3556" s="25">
        <v>0</v>
      </c>
      <c r="E3556" s="18">
        <v>0</v>
      </c>
    </row>
    <row r="3557" spans="1:5" ht="15" x14ac:dyDescent="0.2">
      <c r="A3557" s="7">
        <v>831590</v>
      </c>
      <c r="B3557" s="3" t="s">
        <v>1554</v>
      </c>
      <c r="C3557" s="25">
        <v>0</v>
      </c>
      <c r="D3557" s="25">
        <v>0</v>
      </c>
      <c r="E3557" s="18">
        <v>0</v>
      </c>
    </row>
    <row r="3558" spans="1:5" ht="15" x14ac:dyDescent="0.2">
      <c r="A3558" s="6">
        <v>8333</v>
      </c>
      <c r="B3558" s="2" t="s">
        <v>1555</v>
      </c>
      <c r="C3558" s="24">
        <f>SUM(C3559:C3574)</f>
        <v>0</v>
      </c>
      <c r="D3558" s="24">
        <f t="shared" ref="D3558:E3558" si="636">SUM(D3559:D3574)</f>
        <v>0</v>
      </c>
      <c r="E3558" s="17">
        <f t="shared" si="636"/>
        <v>0</v>
      </c>
    </row>
    <row r="3559" spans="1:5" ht="15" x14ac:dyDescent="0.2">
      <c r="A3559" s="7">
        <v>833301</v>
      </c>
      <c r="B3559" s="3" t="s">
        <v>1556</v>
      </c>
      <c r="C3559" s="25">
        <v>0</v>
      </c>
      <c r="D3559" s="25">
        <v>0</v>
      </c>
      <c r="E3559" s="18">
        <v>0</v>
      </c>
    </row>
    <row r="3560" spans="1:5" ht="15" x14ac:dyDescent="0.2">
      <c r="A3560" s="7">
        <v>833302</v>
      </c>
      <c r="B3560" s="3" t="s">
        <v>1557</v>
      </c>
      <c r="C3560" s="25">
        <v>0</v>
      </c>
      <c r="D3560" s="25">
        <v>0</v>
      </c>
      <c r="E3560" s="18">
        <v>0</v>
      </c>
    </row>
    <row r="3561" spans="1:5" ht="15" x14ac:dyDescent="0.2">
      <c r="A3561" s="7">
        <v>833303</v>
      </c>
      <c r="B3561" s="3" t="s">
        <v>1558</v>
      </c>
      <c r="C3561" s="25">
        <v>0</v>
      </c>
      <c r="D3561" s="25">
        <v>0</v>
      </c>
      <c r="E3561" s="18">
        <v>0</v>
      </c>
    </row>
    <row r="3562" spans="1:5" ht="15" x14ac:dyDescent="0.2">
      <c r="A3562" s="7">
        <v>833304</v>
      </c>
      <c r="B3562" s="3" t="s">
        <v>1559</v>
      </c>
      <c r="C3562" s="25">
        <v>0</v>
      </c>
      <c r="D3562" s="25">
        <v>0</v>
      </c>
      <c r="E3562" s="18">
        <v>0</v>
      </c>
    </row>
    <row r="3563" spans="1:5" ht="15" x14ac:dyDescent="0.2">
      <c r="A3563" s="7">
        <v>833305</v>
      </c>
      <c r="B3563" s="3" t="s">
        <v>1560</v>
      </c>
      <c r="C3563" s="25">
        <v>0</v>
      </c>
      <c r="D3563" s="25">
        <v>0</v>
      </c>
      <c r="E3563" s="18">
        <v>0</v>
      </c>
    </row>
    <row r="3564" spans="1:5" ht="15" x14ac:dyDescent="0.2">
      <c r="A3564" s="7">
        <v>833306</v>
      </c>
      <c r="B3564" s="3" t="s">
        <v>1561</v>
      </c>
      <c r="C3564" s="25">
        <v>0</v>
      </c>
      <c r="D3564" s="25">
        <v>0</v>
      </c>
      <c r="E3564" s="18">
        <v>0</v>
      </c>
    </row>
    <row r="3565" spans="1:5" ht="15" x14ac:dyDescent="0.2">
      <c r="A3565" s="7">
        <v>833307</v>
      </c>
      <c r="B3565" s="3" t="s">
        <v>1562</v>
      </c>
      <c r="C3565" s="25">
        <v>0</v>
      </c>
      <c r="D3565" s="25">
        <v>0</v>
      </c>
      <c r="E3565" s="18">
        <v>0</v>
      </c>
    </row>
    <row r="3566" spans="1:5" ht="15" x14ac:dyDescent="0.2">
      <c r="A3566" s="7">
        <v>833308</v>
      </c>
      <c r="B3566" s="3" t="s">
        <v>1563</v>
      </c>
      <c r="C3566" s="25">
        <v>0</v>
      </c>
      <c r="D3566" s="25">
        <v>0</v>
      </c>
      <c r="E3566" s="18">
        <v>0</v>
      </c>
    </row>
    <row r="3567" spans="1:5" ht="15" x14ac:dyDescent="0.2">
      <c r="A3567" s="7">
        <v>833309</v>
      </c>
      <c r="B3567" s="3" t="s">
        <v>1564</v>
      </c>
      <c r="C3567" s="25">
        <v>0</v>
      </c>
      <c r="D3567" s="25">
        <v>0</v>
      </c>
      <c r="E3567" s="18">
        <v>0</v>
      </c>
    </row>
    <row r="3568" spans="1:5" ht="15" x14ac:dyDescent="0.2">
      <c r="A3568" s="7">
        <v>833310</v>
      </c>
      <c r="B3568" s="3" t="s">
        <v>1565</v>
      </c>
      <c r="C3568" s="25">
        <v>0</v>
      </c>
      <c r="D3568" s="25">
        <v>0</v>
      </c>
      <c r="E3568" s="18">
        <v>0</v>
      </c>
    </row>
    <row r="3569" spans="1:5" ht="15" x14ac:dyDescent="0.2">
      <c r="A3569" s="7">
        <v>833311</v>
      </c>
      <c r="B3569" s="3" t="s">
        <v>1566</v>
      </c>
      <c r="C3569" s="25">
        <v>0</v>
      </c>
      <c r="D3569" s="25">
        <v>0</v>
      </c>
      <c r="E3569" s="18">
        <v>0</v>
      </c>
    </row>
    <row r="3570" spans="1:5" ht="15" x14ac:dyDescent="0.2">
      <c r="A3570" s="7">
        <v>833312</v>
      </c>
      <c r="B3570" s="3" t="s">
        <v>1567</v>
      </c>
      <c r="C3570" s="25">
        <v>0</v>
      </c>
      <c r="D3570" s="25">
        <v>0</v>
      </c>
      <c r="E3570" s="18">
        <v>0</v>
      </c>
    </row>
    <row r="3571" spans="1:5" ht="15" x14ac:dyDescent="0.2">
      <c r="A3571" s="7">
        <v>833313</v>
      </c>
      <c r="B3571" s="4" t="s">
        <v>1568</v>
      </c>
      <c r="C3571" s="26">
        <v>0</v>
      </c>
      <c r="D3571" s="26">
        <v>0</v>
      </c>
      <c r="E3571" s="19">
        <v>0</v>
      </c>
    </row>
    <row r="3572" spans="1:5" ht="15" x14ac:dyDescent="0.2">
      <c r="A3572" s="7">
        <v>833314</v>
      </c>
      <c r="B3572" s="3" t="s">
        <v>193</v>
      </c>
      <c r="C3572" s="25">
        <v>0</v>
      </c>
      <c r="D3572" s="25">
        <v>0</v>
      </c>
      <c r="E3572" s="18">
        <v>0</v>
      </c>
    </row>
    <row r="3573" spans="1:5" ht="15" x14ac:dyDescent="0.2">
      <c r="A3573" s="7">
        <v>833315</v>
      </c>
      <c r="B3573" s="3" t="s">
        <v>1569</v>
      </c>
      <c r="C3573" s="25">
        <v>0</v>
      </c>
      <c r="D3573" s="25">
        <v>0</v>
      </c>
      <c r="E3573" s="18">
        <v>0</v>
      </c>
    </row>
    <row r="3574" spans="1:5" ht="15" x14ac:dyDescent="0.2">
      <c r="A3574" s="7">
        <v>833390</v>
      </c>
      <c r="B3574" s="3" t="s">
        <v>195</v>
      </c>
      <c r="C3574" s="25">
        <v>0</v>
      </c>
      <c r="D3574" s="25">
        <v>0</v>
      </c>
      <c r="E3574" s="18">
        <v>0</v>
      </c>
    </row>
    <row r="3575" spans="1:5" ht="15" x14ac:dyDescent="0.2">
      <c r="A3575" s="6">
        <v>8344</v>
      </c>
      <c r="B3575" s="2" t="s">
        <v>1570</v>
      </c>
      <c r="C3575" s="24">
        <f>SUM(C3576:C3577)</f>
        <v>0</v>
      </c>
      <c r="D3575" s="24">
        <f t="shared" ref="D3575:E3575" si="637">SUM(D3576:D3577)</f>
        <v>0</v>
      </c>
      <c r="E3575" s="17">
        <f t="shared" si="637"/>
        <v>0</v>
      </c>
    </row>
    <row r="3576" spans="1:5" ht="15" x14ac:dyDescent="0.2">
      <c r="A3576" s="7">
        <v>834404</v>
      </c>
      <c r="B3576" s="3" t="s">
        <v>1571</v>
      </c>
      <c r="C3576" s="25">
        <v>0</v>
      </c>
      <c r="D3576" s="25">
        <v>0</v>
      </c>
      <c r="E3576" s="18">
        <v>0</v>
      </c>
    </row>
    <row r="3577" spans="1:5" ht="15" x14ac:dyDescent="0.2">
      <c r="A3577" s="7">
        <v>834405</v>
      </c>
      <c r="B3577" s="3" t="s">
        <v>1572</v>
      </c>
      <c r="C3577" s="25">
        <v>0</v>
      </c>
      <c r="D3577" s="25">
        <v>0</v>
      </c>
      <c r="E3577" s="18">
        <v>0</v>
      </c>
    </row>
    <row r="3578" spans="1:5" ht="15" x14ac:dyDescent="0.2">
      <c r="A3578" s="6">
        <v>8347</v>
      </c>
      <c r="B3578" s="2" t="s">
        <v>1573</v>
      </c>
      <c r="C3578" s="24">
        <f>SUM(C3579:C3582)</f>
        <v>0</v>
      </c>
      <c r="D3578" s="24">
        <f t="shared" ref="D3578:E3578" si="638">SUM(D3579:D3582)</f>
        <v>0</v>
      </c>
      <c r="E3578" s="17">
        <f t="shared" si="638"/>
        <v>0</v>
      </c>
    </row>
    <row r="3579" spans="1:5" ht="15" x14ac:dyDescent="0.2">
      <c r="A3579" s="7">
        <v>834704</v>
      </c>
      <c r="B3579" s="3" t="s">
        <v>553</v>
      </c>
      <c r="C3579" s="25">
        <v>0</v>
      </c>
      <c r="D3579" s="25">
        <v>0</v>
      </c>
      <c r="E3579" s="18">
        <v>0</v>
      </c>
    </row>
    <row r="3580" spans="1:5" ht="15" x14ac:dyDescent="0.2">
      <c r="A3580" s="7">
        <v>834705</v>
      </c>
      <c r="B3580" s="3" t="s">
        <v>1574</v>
      </c>
      <c r="C3580" s="25">
        <v>0</v>
      </c>
      <c r="D3580" s="25">
        <v>0</v>
      </c>
      <c r="E3580" s="18">
        <v>0</v>
      </c>
    </row>
    <row r="3581" spans="1:5" ht="15" x14ac:dyDescent="0.2">
      <c r="A3581" s="7">
        <v>834707</v>
      </c>
      <c r="B3581" s="3" t="s">
        <v>639</v>
      </c>
      <c r="C3581" s="25">
        <v>0</v>
      </c>
      <c r="D3581" s="25">
        <v>0</v>
      </c>
      <c r="E3581" s="18">
        <v>0</v>
      </c>
    </row>
    <row r="3582" spans="1:5" ht="15" x14ac:dyDescent="0.2">
      <c r="A3582" s="7">
        <v>834790</v>
      </c>
      <c r="B3582" s="3" t="s">
        <v>1575</v>
      </c>
      <c r="C3582" s="25">
        <v>0</v>
      </c>
      <c r="D3582" s="25">
        <v>0</v>
      </c>
      <c r="E3582" s="18">
        <v>0</v>
      </c>
    </row>
    <row r="3583" spans="1:5" ht="15" x14ac:dyDescent="0.2">
      <c r="A3583" s="6">
        <v>8350</v>
      </c>
      <c r="B3583" s="2" t="s">
        <v>1576</v>
      </c>
      <c r="C3583" s="24">
        <f>SUM(C3584:C3585)</f>
        <v>0</v>
      </c>
      <c r="D3583" s="24">
        <f t="shared" ref="D3583:E3583" si="639">SUM(D3584:D3585)</f>
        <v>0</v>
      </c>
      <c r="E3583" s="17">
        <f t="shared" si="639"/>
        <v>0</v>
      </c>
    </row>
    <row r="3584" spans="1:5" ht="15" x14ac:dyDescent="0.2">
      <c r="A3584" s="7">
        <v>835013</v>
      </c>
      <c r="B3584" s="3" t="s">
        <v>1577</v>
      </c>
      <c r="C3584" s="25">
        <v>0</v>
      </c>
      <c r="D3584" s="25">
        <v>0</v>
      </c>
      <c r="E3584" s="18">
        <v>0</v>
      </c>
    </row>
    <row r="3585" spans="1:5" ht="15" x14ac:dyDescent="0.2">
      <c r="A3585" s="7">
        <v>835014</v>
      </c>
      <c r="B3585" s="3" t="s">
        <v>1578</v>
      </c>
      <c r="C3585" s="25">
        <v>0</v>
      </c>
      <c r="D3585" s="25">
        <v>0</v>
      </c>
      <c r="E3585" s="18">
        <v>0</v>
      </c>
    </row>
    <row r="3586" spans="1:5" ht="15" x14ac:dyDescent="0.2">
      <c r="A3586" s="6">
        <v>8355</v>
      </c>
      <c r="B3586" s="2" t="s">
        <v>1579</v>
      </c>
      <c r="C3586" s="24">
        <f>SUM(C3587:C3588)</f>
        <v>0</v>
      </c>
      <c r="D3586" s="24">
        <f t="shared" ref="D3586:E3586" si="640">SUM(D3587:D3588)</f>
        <v>0</v>
      </c>
      <c r="E3586" s="17">
        <f t="shared" si="640"/>
        <v>0</v>
      </c>
    </row>
    <row r="3587" spans="1:5" ht="15" x14ac:dyDescent="0.2">
      <c r="A3587" s="7">
        <v>835510</v>
      </c>
      <c r="B3587" s="3" t="s">
        <v>1571</v>
      </c>
      <c r="C3587" s="25">
        <v>0</v>
      </c>
      <c r="D3587" s="25">
        <v>0</v>
      </c>
      <c r="E3587" s="18">
        <v>0</v>
      </c>
    </row>
    <row r="3588" spans="1:5" ht="15" x14ac:dyDescent="0.2">
      <c r="A3588" s="7">
        <v>835511</v>
      </c>
      <c r="B3588" s="3" t="s">
        <v>1580</v>
      </c>
      <c r="C3588" s="25">
        <v>0</v>
      </c>
      <c r="D3588" s="25">
        <v>0</v>
      </c>
      <c r="E3588" s="18">
        <v>0</v>
      </c>
    </row>
    <row r="3589" spans="1:5" ht="15" x14ac:dyDescent="0.2">
      <c r="A3589" s="6">
        <v>8361</v>
      </c>
      <c r="B3589" s="2" t="s">
        <v>1581</v>
      </c>
      <c r="C3589" s="24">
        <f>SUM(C3590:C3591)</f>
        <v>0</v>
      </c>
      <c r="D3589" s="24">
        <f t="shared" ref="D3589:E3589" si="641">SUM(D3590:D3591)</f>
        <v>0</v>
      </c>
      <c r="E3589" s="17">
        <f t="shared" si="641"/>
        <v>0</v>
      </c>
    </row>
    <row r="3590" spans="1:5" ht="15" x14ac:dyDescent="0.2">
      <c r="A3590" s="7">
        <v>836101</v>
      </c>
      <c r="B3590" s="3" t="s">
        <v>1582</v>
      </c>
      <c r="C3590" s="25">
        <v>0</v>
      </c>
      <c r="D3590" s="25">
        <v>0</v>
      </c>
      <c r="E3590" s="18">
        <v>0</v>
      </c>
    </row>
    <row r="3591" spans="1:5" ht="15" x14ac:dyDescent="0.2">
      <c r="A3591" s="7">
        <v>836102</v>
      </c>
      <c r="B3591" s="3" t="s">
        <v>1583</v>
      </c>
      <c r="C3591" s="25">
        <v>0</v>
      </c>
      <c r="D3591" s="25">
        <v>0</v>
      </c>
      <c r="E3591" s="18">
        <v>0</v>
      </c>
    </row>
    <row r="3592" spans="1:5" ht="15" x14ac:dyDescent="0.2">
      <c r="A3592" s="6">
        <v>8366</v>
      </c>
      <c r="B3592" s="2" t="s">
        <v>1584</v>
      </c>
      <c r="C3592" s="24">
        <f>SUM(C3593:C3594)</f>
        <v>0</v>
      </c>
      <c r="D3592" s="24">
        <f t="shared" ref="D3592:E3592" si="642">SUM(D3593:D3594)</f>
        <v>0</v>
      </c>
      <c r="E3592" s="17">
        <f t="shared" si="642"/>
        <v>0</v>
      </c>
    </row>
    <row r="3593" spans="1:5" ht="15" x14ac:dyDescent="0.2">
      <c r="A3593" s="7">
        <v>836601</v>
      </c>
      <c r="B3593" s="3" t="s">
        <v>1585</v>
      </c>
      <c r="C3593" s="25">
        <v>0</v>
      </c>
      <c r="D3593" s="25">
        <v>0</v>
      </c>
      <c r="E3593" s="18">
        <v>0</v>
      </c>
    </row>
    <row r="3594" spans="1:5" ht="15" x14ac:dyDescent="0.2">
      <c r="A3594" s="7">
        <v>836602</v>
      </c>
      <c r="B3594" s="3" t="s">
        <v>1586</v>
      </c>
      <c r="C3594" s="25">
        <v>0</v>
      </c>
      <c r="D3594" s="25">
        <v>0</v>
      </c>
      <c r="E3594" s="18">
        <v>0</v>
      </c>
    </row>
    <row r="3595" spans="1:5" ht="15" x14ac:dyDescent="0.2">
      <c r="A3595" s="6">
        <v>8367</v>
      </c>
      <c r="B3595" s="2" t="s">
        <v>1587</v>
      </c>
      <c r="C3595" s="24">
        <f>SUM(C3596:C3603)</f>
        <v>0</v>
      </c>
      <c r="D3595" s="24">
        <f t="shared" ref="D3595:E3595" si="643">SUM(D3596:D3603)</f>
        <v>0</v>
      </c>
      <c r="E3595" s="17">
        <f t="shared" si="643"/>
        <v>0</v>
      </c>
    </row>
    <row r="3596" spans="1:5" ht="15" x14ac:dyDescent="0.2">
      <c r="A3596" s="7">
        <v>836701</v>
      </c>
      <c r="B3596" s="3" t="s">
        <v>1588</v>
      </c>
      <c r="C3596" s="25">
        <v>0</v>
      </c>
      <c r="D3596" s="25">
        <v>0</v>
      </c>
      <c r="E3596" s="18">
        <v>0</v>
      </c>
    </row>
    <row r="3597" spans="1:5" ht="15" x14ac:dyDescent="0.2">
      <c r="A3597" s="7">
        <v>836702</v>
      </c>
      <c r="B3597" s="3" t="s">
        <v>1589</v>
      </c>
      <c r="C3597" s="25">
        <v>0</v>
      </c>
      <c r="D3597" s="25">
        <v>0</v>
      </c>
      <c r="E3597" s="18">
        <v>0</v>
      </c>
    </row>
    <row r="3598" spans="1:5" ht="15" x14ac:dyDescent="0.2">
      <c r="A3598" s="7">
        <v>836703</v>
      </c>
      <c r="B3598" s="3" t="s">
        <v>1590</v>
      </c>
      <c r="C3598" s="25">
        <v>0</v>
      </c>
      <c r="D3598" s="25">
        <v>0</v>
      </c>
      <c r="E3598" s="18">
        <v>0</v>
      </c>
    </row>
    <row r="3599" spans="1:5" ht="15" x14ac:dyDescent="0.2">
      <c r="A3599" s="7">
        <v>836704</v>
      </c>
      <c r="B3599" s="3" t="s">
        <v>1591</v>
      </c>
      <c r="C3599" s="25">
        <v>0</v>
      </c>
      <c r="D3599" s="25">
        <v>0</v>
      </c>
      <c r="E3599" s="18">
        <v>0</v>
      </c>
    </row>
    <row r="3600" spans="1:5" ht="15" x14ac:dyDescent="0.2">
      <c r="A3600" s="7">
        <v>836705</v>
      </c>
      <c r="B3600" s="3" t="s">
        <v>1592</v>
      </c>
      <c r="C3600" s="25">
        <v>0</v>
      </c>
      <c r="D3600" s="25">
        <v>0</v>
      </c>
      <c r="E3600" s="18">
        <v>0</v>
      </c>
    </row>
    <row r="3601" spans="1:5" ht="15" x14ac:dyDescent="0.2">
      <c r="A3601" s="7">
        <v>836706</v>
      </c>
      <c r="B3601" s="3" t="s">
        <v>385</v>
      </c>
      <c r="C3601" s="25">
        <v>0</v>
      </c>
      <c r="D3601" s="25">
        <v>0</v>
      </c>
      <c r="E3601" s="18">
        <v>0</v>
      </c>
    </row>
    <row r="3602" spans="1:5" ht="15" x14ac:dyDescent="0.2">
      <c r="A3602" s="7">
        <v>836707</v>
      </c>
      <c r="B3602" s="3" t="s">
        <v>1593</v>
      </c>
      <c r="C3602" s="25">
        <v>0</v>
      </c>
      <c r="D3602" s="25">
        <v>0</v>
      </c>
      <c r="E3602" s="18">
        <v>0</v>
      </c>
    </row>
    <row r="3603" spans="1:5" ht="15" x14ac:dyDescent="0.2">
      <c r="A3603" s="7">
        <v>836790</v>
      </c>
      <c r="B3603" s="3" t="s">
        <v>1594</v>
      </c>
      <c r="C3603" s="25">
        <v>0</v>
      </c>
      <c r="D3603" s="25">
        <v>0</v>
      </c>
      <c r="E3603" s="18">
        <v>0</v>
      </c>
    </row>
    <row r="3604" spans="1:5" ht="15" x14ac:dyDescent="0.2">
      <c r="A3604" s="6">
        <v>8368</v>
      </c>
      <c r="B3604" s="2" t="s">
        <v>1595</v>
      </c>
      <c r="C3604" s="24">
        <f>SUM(C3605:C3611)</f>
        <v>0</v>
      </c>
      <c r="D3604" s="24">
        <f t="shared" ref="D3604:E3604" si="644">SUM(D3605:D3611)</f>
        <v>0</v>
      </c>
      <c r="E3604" s="17">
        <f t="shared" si="644"/>
        <v>0</v>
      </c>
    </row>
    <row r="3605" spans="1:5" ht="15" x14ac:dyDescent="0.2">
      <c r="A3605" s="7">
        <v>836801</v>
      </c>
      <c r="B3605" s="3" t="s">
        <v>1596</v>
      </c>
      <c r="C3605" s="25">
        <v>0</v>
      </c>
      <c r="D3605" s="25">
        <v>0</v>
      </c>
      <c r="E3605" s="18">
        <v>0</v>
      </c>
    </row>
    <row r="3606" spans="1:5" ht="15" x14ac:dyDescent="0.2">
      <c r="A3606" s="7">
        <v>836802</v>
      </c>
      <c r="B3606" s="3" t="s">
        <v>1593</v>
      </c>
      <c r="C3606" s="25">
        <v>0</v>
      </c>
      <c r="D3606" s="25">
        <v>0</v>
      </c>
      <c r="E3606" s="18">
        <v>0</v>
      </c>
    </row>
    <row r="3607" spans="1:5" ht="15" x14ac:dyDescent="0.2">
      <c r="A3607" s="7">
        <v>836803</v>
      </c>
      <c r="B3607" s="3" t="s">
        <v>525</v>
      </c>
      <c r="C3607" s="25">
        <v>0</v>
      </c>
      <c r="D3607" s="25">
        <v>0</v>
      </c>
      <c r="E3607" s="18">
        <v>0</v>
      </c>
    </row>
    <row r="3608" spans="1:5" ht="15" x14ac:dyDescent="0.2">
      <c r="A3608" s="7">
        <v>836804</v>
      </c>
      <c r="B3608" s="3" t="s">
        <v>1597</v>
      </c>
      <c r="C3608" s="25">
        <v>0</v>
      </c>
      <c r="D3608" s="25">
        <v>0</v>
      </c>
      <c r="E3608" s="18">
        <v>0</v>
      </c>
    </row>
    <row r="3609" spans="1:5" ht="15" x14ac:dyDescent="0.2">
      <c r="A3609" s="7">
        <v>836808</v>
      </c>
      <c r="B3609" s="3" t="s">
        <v>528</v>
      </c>
      <c r="C3609" s="25">
        <v>0</v>
      </c>
      <c r="D3609" s="25">
        <v>0</v>
      </c>
      <c r="E3609" s="18">
        <v>0</v>
      </c>
    </row>
    <row r="3610" spans="1:5" ht="15" x14ac:dyDescent="0.2">
      <c r="A3610" s="7">
        <v>836809</v>
      </c>
      <c r="B3610" s="3" t="s">
        <v>1598</v>
      </c>
      <c r="C3610" s="25">
        <v>0</v>
      </c>
      <c r="D3610" s="25">
        <v>0</v>
      </c>
      <c r="E3610" s="18">
        <v>0</v>
      </c>
    </row>
    <row r="3611" spans="1:5" ht="15" x14ac:dyDescent="0.2">
      <c r="A3611" s="7">
        <v>836890</v>
      </c>
      <c r="B3611" s="3" t="s">
        <v>1599</v>
      </c>
      <c r="C3611" s="25">
        <v>0</v>
      </c>
      <c r="D3611" s="25">
        <v>0</v>
      </c>
      <c r="E3611" s="18">
        <v>0</v>
      </c>
    </row>
    <row r="3612" spans="1:5" ht="15" x14ac:dyDescent="0.2">
      <c r="A3612" s="6">
        <v>8390</v>
      </c>
      <c r="B3612" s="2" t="s">
        <v>1600</v>
      </c>
      <c r="C3612" s="24">
        <f>SUM(C3613:C3614)</f>
        <v>0</v>
      </c>
      <c r="D3612" s="24">
        <f t="shared" ref="D3612:E3612" si="645">SUM(D3613:D3614)</f>
        <v>0</v>
      </c>
      <c r="E3612" s="17">
        <f t="shared" si="645"/>
        <v>0</v>
      </c>
    </row>
    <row r="3613" spans="1:5" ht="15" x14ac:dyDescent="0.2">
      <c r="A3613" s="7">
        <v>839004</v>
      </c>
      <c r="B3613" s="3" t="s">
        <v>241</v>
      </c>
      <c r="C3613" s="25">
        <v>0</v>
      </c>
      <c r="D3613" s="25">
        <v>0</v>
      </c>
      <c r="E3613" s="18">
        <v>0</v>
      </c>
    </row>
    <row r="3614" spans="1:5" ht="15" x14ac:dyDescent="0.2">
      <c r="A3614" s="7">
        <v>839090</v>
      </c>
      <c r="B3614" s="3" t="s">
        <v>1601</v>
      </c>
      <c r="C3614" s="25">
        <v>0</v>
      </c>
      <c r="D3614" s="25">
        <v>0</v>
      </c>
      <c r="E3614" s="18">
        <v>0</v>
      </c>
    </row>
    <row r="3615" spans="1:5" ht="15" x14ac:dyDescent="0.2">
      <c r="A3615" s="6">
        <v>89</v>
      </c>
      <c r="B3615" s="2" t="s">
        <v>1602</v>
      </c>
      <c r="C3615" s="24">
        <v>0</v>
      </c>
      <c r="D3615" s="24">
        <v>0</v>
      </c>
      <c r="E3615" s="17">
        <v>0</v>
      </c>
    </row>
    <row r="3616" spans="1:5" ht="15" x14ac:dyDescent="0.2">
      <c r="A3616" s="6">
        <v>8905</v>
      </c>
      <c r="B3616" s="2" t="s">
        <v>1603</v>
      </c>
      <c r="C3616" s="24">
        <f>SUM(C3617:C3620)</f>
        <v>0</v>
      </c>
      <c r="D3616" s="24">
        <v>0</v>
      </c>
      <c r="E3616" s="17">
        <v>0</v>
      </c>
    </row>
    <row r="3617" spans="1:5" ht="15" x14ac:dyDescent="0.2">
      <c r="A3617" s="7">
        <v>890506</v>
      </c>
      <c r="B3617" s="3" t="s">
        <v>1604</v>
      </c>
      <c r="C3617" s="25">
        <v>0</v>
      </c>
      <c r="D3617" s="25">
        <v>0</v>
      </c>
      <c r="E3617" s="18">
        <v>0</v>
      </c>
    </row>
    <row r="3618" spans="1:5" ht="15" x14ac:dyDescent="0.2">
      <c r="A3618" s="7">
        <v>890509</v>
      </c>
      <c r="B3618" s="3" t="s">
        <v>919</v>
      </c>
      <c r="C3618" s="25">
        <v>0</v>
      </c>
      <c r="D3618" s="25">
        <v>0</v>
      </c>
      <c r="E3618" s="18">
        <v>0</v>
      </c>
    </row>
    <row r="3619" spans="1:5" ht="15" x14ac:dyDescent="0.2">
      <c r="A3619" s="7">
        <v>890512</v>
      </c>
      <c r="B3619" s="3" t="s">
        <v>1605</v>
      </c>
      <c r="C3619" s="25">
        <v>0</v>
      </c>
      <c r="D3619" s="25">
        <v>0</v>
      </c>
      <c r="E3619" s="18">
        <v>0</v>
      </c>
    </row>
    <row r="3620" spans="1:5" ht="15" x14ac:dyDescent="0.2">
      <c r="A3620" s="7">
        <v>890590</v>
      </c>
      <c r="B3620" s="3" t="s">
        <v>1606</v>
      </c>
      <c r="C3620" s="25">
        <v>0</v>
      </c>
      <c r="D3620" s="25">
        <v>0</v>
      </c>
      <c r="E3620" s="18">
        <v>0</v>
      </c>
    </row>
    <row r="3621" spans="1:5" ht="15" x14ac:dyDescent="0.2">
      <c r="A3621" s="6">
        <v>8910</v>
      </c>
      <c r="B3621" s="2" t="s">
        <v>1607</v>
      </c>
      <c r="C3621" s="24">
        <f>SUM(C3622)</f>
        <v>0</v>
      </c>
      <c r="D3621" s="24">
        <f t="shared" ref="D3621:E3621" si="646">SUM(D3622)</f>
        <v>0</v>
      </c>
      <c r="E3621" s="17">
        <f t="shared" si="646"/>
        <v>0</v>
      </c>
    </row>
    <row r="3622" spans="1:5" ht="15" x14ac:dyDescent="0.2">
      <c r="A3622" s="7">
        <v>891001</v>
      </c>
      <c r="B3622" s="3" t="s">
        <v>1608</v>
      </c>
      <c r="C3622" s="25">
        <v>0</v>
      </c>
      <c r="D3622" s="25">
        <v>0</v>
      </c>
      <c r="E3622" s="18">
        <v>0</v>
      </c>
    </row>
    <row r="3623" spans="1:5" ht="15" x14ac:dyDescent="0.2">
      <c r="A3623" s="6">
        <v>8915</v>
      </c>
      <c r="B3623" s="2" t="s">
        <v>1609</v>
      </c>
      <c r="C3623" s="24">
        <f>SUM(C3624:C3639)</f>
        <v>0</v>
      </c>
      <c r="D3623" s="24">
        <f t="shared" ref="D3623:E3623" si="647">SUM(D3624:D3639)</f>
        <v>0</v>
      </c>
      <c r="E3623" s="17">
        <f t="shared" si="647"/>
        <v>0</v>
      </c>
    </row>
    <row r="3624" spans="1:5" ht="15" x14ac:dyDescent="0.2">
      <c r="A3624" s="7">
        <v>891502</v>
      </c>
      <c r="B3624" s="3" t="s">
        <v>1610</v>
      </c>
      <c r="C3624" s="25">
        <v>0</v>
      </c>
      <c r="D3624" s="25">
        <v>0</v>
      </c>
      <c r="E3624" s="18">
        <v>0</v>
      </c>
    </row>
    <row r="3625" spans="1:5" ht="15" x14ac:dyDescent="0.2">
      <c r="A3625" s="7">
        <v>891503</v>
      </c>
      <c r="B3625" s="3" t="s">
        <v>1611</v>
      </c>
      <c r="C3625" s="25">
        <v>0</v>
      </c>
      <c r="D3625" s="25">
        <v>0</v>
      </c>
      <c r="E3625" s="18">
        <v>0</v>
      </c>
    </row>
    <row r="3626" spans="1:5" ht="15" x14ac:dyDescent="0.2">
      <c r="A3626" s="7">
        <v>891504</v>
      </c>
      <c r="B3626" s="3" t="s">
        <v>1612</v>
      </c>
      <c r="C3626" s="25">
        <v>0</v>
      </c>
      <c r="D3626" s="25">
        <v>0</v>
      </c>
      <c r="E3626" s="18">
        <v>0</v>
      </c>
    </row>
    <row r="3627" spans="1:5" ht="15" x14ac:dyDescent="0.2">
      <c r="A3627" s="7">
        <v>891505</v>
      </c>
      <c r="B3627" s="3" t="s">
        <v>1550</v>
      </c>
      <c r="C3627" s="25">
        <v>0</v>
      </c>
      <c r="D3627" s="25">
        <v>0</v>
      </c>
      <c r="E3627" s="18">
        <v>0</v>
      </c>
    </row>
    <row r="3628" spans="1:5" ht="15" x14ac:dyDescent="0.2">
      <c r="A3628" s="7">
        <v>891506</v>
      </c>
      <c r="B3628" s="3" t="s">
        <v>1613</v>
      </c>
      <c r="C3628" s="25">
        <v>0</v>
      </c>
      <c r="D3628" s="25">
        <v>0</v>
      </c>
      <c r="E3628" s="18">
        <v>0</v>
      </c>
    </row>
    <row r="3629" spans="1:5" ht="15" x14ac:dyDescent="0.2">
      <c r="A3629" s="7">
        <v>891513</v>
      </c>
      <c r="B3629" s="3" t="s">
        <v>1614</v>
      </c>
      <c r="C3629" s="25">
        <v>0</v>
      </c>
      <c r="D3629" s="25">
        <v>0</v>
      </c>
      <c r="E3629" s="18">
        <v>0</v>
      </c>
    </row>
    <row r="3630" spans="1:5" ht="15" x14ac:dyDescent="0.2">
      <c r="A3630" s="7">
        <v>891515</v>
      </c>
      <c r="B3630" s="3" t="s">
        <v>1615</v>
      </c>
      <c r="C3630" s="25">
        <v>0</v>
      </c>
      <c r="D3630" s="25">
        <v>0</v>
      </c>
      <c r="E3630" s="18">
        <v>0</v>
      </c>
    </row>
    <row r="3631" spans="1:5" ht="15" x14ac:dyDescent="0.2">
      <c r="A3631" s="7">
        <v>891516</v>
      </c>
      <c r="B3631" s="3" t="s">
        <v>1616</v>
      </c>
      <c r="C3631" s="25">
        <v>0</v>
      </c>
      <c r="D3631" s="25">
        <v>0</v>
      </c>
      <c r="E3631" s="18">
        <v>0</v>
      </c>
    </row>
    <row r="3632" spans="1:5" ht="15" x14ac:dyDescent="0.2">
      <c r="A3632" s="7">
        <v>891517</v>
      </c>
      <c r="B3632" s="3" t="s">
        <v>1617</v>
      </c>
      <c r="C3632" s="25">
        <v>0</v>
      </c>
      <c r="D3632" s="25">
        <v>0</v>
      </c>
      <c r="E3632" s="18">
        <v>0</v>
      </c>
    </row>
    <row r="3633" spans="1:5" ht="15" x14ac:dyDescent="0.2">
      <c r="A3633" s="7">
        <v>891518</v>
      </c>
      <c r="B3633" s="3" t="s">
        <v>1618</v>
      </c>
      <c r="C3633" s="25">
        <v>0</v>
      </c>
      <c r="D3633" s="25">
        <v>0</v>
      </c>
      <c r="E3633" s="18">
        <v>0</v>
      </c>
    </row>
    <row r="3634" spans="1:5" ht="15" x14ac:dyDescent="0.2">
      <c r="A3634" s="7">
        <v>891521</v>
      </c>
      <c r="B3634" s="3" t="s">
        <v>1619</v>
      </c>
      <c r="C3634" s="25">
        <v>0</v>
      </c>
      <c r="D3634" s="25">
        <v>0</v>
      </c>
      <c r="E3634" s="18">
        <v>0</v>
      </c>
    </row>
    <row r="3635" spans="1:5" ht="15" x14ac:dyDescent="0.2">
      <c r="A3635" s="7">
        <v>891525</v>
      </c>
      <c r="B3635" s="3" t="s">
        <v>1620</v>
      </c>
      <c r="C3635" s="25">
        <v>0</v>
      </c>
      <c r="D3635" s="25">
        <v>0</v>
      </c>
      <c r="E3635" s="18">
        <v>0</v>
      </c>
    </row>
    <row r="3636" spans="1:5" ht="15" x14ac:dyDescent="0.2">
      <c r="A3636" s="7">
        <v>891529</v>
      </c>
      <c r="B3636" s="3" t="s">
        <v>1621</v>
      </c>
      <c r="C3636" s="25">
        <v>0</v>
      </c>
      <c r="D3636" s="25">
        <v>0</v>
      </c>
      <c r="E3636" s="18">
        <v>0</v>
      </c>
    </row>
    <row r="3637" spans="1:5" ht="15" x14ac:dyDescent="0.2">
      <c r="A3637" s="7">
        <v>891531</v>
      </c>
      <c r="B3637" s="3" t="s">
        <v>1552</v>
      </c>
      <c r="C3637" s="25">
        <v>0</v>
      </c>
      <c r="D3637" s="25">
        <v>0</v>
      </c>
      <c r="E3637" s="18">
        <v>0</v>
      </c>
    </row>
    <row r="3638" spans="1:5" ht="15" x14ac:dyDescent="0.2">
      <c r="A3638" s="7">
        <v>891532</v>
      </c>
      <c r="B3638" s="3" t="s">
        <v>1622</v>
      </c>
      <c r="C3638" s="25">
        <v>0</v>
      </c>
      <c r="D3638" s="25">
        <v>0</v>
      </c>
      <c r="E3638" s="18">
        <v>0</v>
      </c>
    </row>
    <row r="3639" spans="1:5" ht="15" x14ac:dyDescent="0.2">
      <c r="A3639" s="7">
        <v>891590</v>
      </c>
      <c r="B3639" s="3" t="s">
        <v>1623</v>
      </c>
      <c r="C3639" s="25">
        <v>0</v>
      </c>
      <c r="D3639" s="25">
        <v>0</v>
      </c>
      <c r="E3639" s="18">
        <v>0</v>
      </c>
    </row>
    <row r="3640" spans="1:5" ht="15" x14ac:dyDescent="0.2">
      <c r="A3640" s="6">
        <v>9</v>
      </c>
      <c r="B3640" s="2" t="s">
        <v>1624</v>
      </c>
      <c r="C3640" s="24">
        <v>0</v>
      </c>
      <c r="D3640" s="24">
        <v>0</v>
      </c>
      <c r="E3640" s="17">
        <v>0</v>
      </c>
    </row>
    <row r="3641" spans="1:5" ht="15" x14ac:dyDescent="0.2">
      <c r="A3641" s="6">
        <v>91</v>
      </c>
      <c r="B3641" s="2" t="s">
        <v>1625</v>
      </c>
      <c r="C3641" s="24">
        <v>0</v>
      </c>
      <c r="D3641" s="24">
        <v>0</v>
      </c>
      <c r="E3641" s="17">
        <v>0</v>
      </c>
    </row>
    <row r="3642" spans="1:5" ht="15" x14ac:dyDescent="0.2">
      <c r="A3642" s="6">
        <v>9120</v>
      </c>
      <c r="B3642" s="2" t="s">
        <v>1515</v>
      </c>
      <c r="C3642" s="24">
        <f>SUM(C3643:C3647)</f>
        <v>0</v>
      </c>
      <c r="D3642" s="24">
        <f t="shared" ref="D3642:E3642" si="648">SUM(D3643:D3647)</f>
        <v>0</v>
      </c>
      <c r="E3642" s="17">
        <f t="shared" si="648"/>
        <v>0</v>
      </c>
    </row>
    <row r="3643" spans="1:5" ht="15" x14ac:dyDescent="0.2">
      <c r="A3643" s="7">
        <v>912001</v>
      </c>
      <c r="B3643" s="3" t="s">
        <v>912</v>
      </c>
      <c r="C3643" s="25">
        <v>0</v>
      </c>
      <c r="D3643" s="25">
        <v>0</v>
      </c>
      <c r="E3643" s="18">
        <v>0</v>
      </c>
    </row>
    <row r="3644" spans="1:5" ht="15" x14ac:dyDescent="0.2">
      <c r="A3644" s="7">
        <v>912002</v>
      </c>
      <c r="B3644" s="3" t="s">
        <v>916</v>
      </c>
      <c r="C3644" s="25">
        <v>0</v>
      </c>
      <c r="D3644" s="25">
        <v>0</v>
      </c>
      <c r="E3644" s="18">
        <v>0</v>
      </c>
    </row>
    <row r="3645" spans="1:5" ht="15" x14ac:dyDescent="0.2">
      <c r="A3645" s="7">
        <v>912004</v>
      </c>
      <c r="B3645" s="3" t="s">
        <v>1626</v>
      </c>
      <c r="C3645" s="25">
        <v>0</v>
      </c>
      <c r="D3645" s="25">
        <v>0</v>
      </c>
      <c r="E3645" s="18">
        <v>0</v>
      </c>
    </row>
    <row r="3646" spans="1:5" ht="15" x14ac:dyDescent="0.2">
      <c r="A3646" s="7">
        <v>912005</v>
      </c>
      <c r="B3646" s="3" t="s">
        <v>915</v>
      </c>
      <c r="C3646" s="25">
        <v>0</v>
      </c>
      <c r="D3646" s="25">
        <v>0</v>
      </c>
      <c r="E3646" s="18">
        <v>0</v>
      </c>
    </row>
    <row r="3647" spans="1:5" ht="15" x14ac:dyDescent="0.2">
      <c r="A3647" s="7">
        <v>912090</v>
      </c>
      <c r="B3647" s="3" t="s">
        <v>1517</v>
      </c>
      <c r="C3647" s="25">
        <v>0</v>
      </c>
      <c r="D3647" s="25">
        <v>0</v>
      </c>
      <c r="E3647" s="18">
        <v>0</v>
      </c>
    </row>
    <row r="3648" spans="1:5" ht="15" x14ac:dyDescent="0.2">
      <c r="A3648" s="6">
        <v>9128</v>
      </c>
      <c r="B3648" s="2" t="s">
        <v>1518</v>
      </c>
      <c r="C3648" s="24">
        <f>SUM(C3649:C3656)</f>
        <v>0</v>
      </c>
      <c r="D3648" s="24">
        <f t="shared" ref="D3648:E3648" si="649">SUM(D3649:D3656)</f>
        <v>0</v>
      </c>
      <c r="E3648" s="17">
        <f t="shared" si="649"/>
        <v>0</v>
      </c>
    </row>
    <row r="3649" spans="1:5" ht="15" x14ac:dyDescent="0.2">
      <c r="A3649" s="7">
        <v>912801</v>
      </c>
      <c r="B3649" s="3" t="s">
        <v>1519</v>
      </c>
      <c r="C3649" s="25">
        <v>0</v>
      </c>
      <c r="D3649" s="25">
        <v>0</v>
      </c>
      <c r="E3649" s="18">
        <v>0</v>
      </c>
    </row>
    <row r="3650" spans="1:5" ht="15" x14ac:dyDescent="0.2">
      <c r="A3650" s="7">
        <v>912802</v>
      </c>
      <c r="B3650" s="3" t="s">
        <v>1520</v>
      </c>
      <c r="C3650" s="25">
        <v>0</v>
      </c>
      <c r="D3650" s="25">
        <v>0</v>
      </c>
      <c r="E3650" s="18">
        <v>0</v>
      </c>
    </row>
    <row r="3651" spans="1:5" ht="15" x14ac:dyDescent="0.2">
      <c r="A3651" s="7">
        <v>912803</v>
      </c>
      <c r="B3651" s="3" t="s">
        <v>1521</v>
      </c>
      <c r="C3651" s="25">
        <v>0</v>
      </c>
      <c r="D3651" s="25">
        <v>0</v>
      </c>
      <c r="E3651" s="18">
        <v>0</v>
      </c>
    </row>
    <row r="3652" spans="1:5" ht="15" x14ac:dyDescent="0.2">
      <c r="A3652" s="7">
        <v>912804</v>
      </c>
      <c r="B3652" s="3" t="s">
        <v>1522</v>
      </c>
      <c r="C3652" s="25">
        <v>0</v>
      </c>
      <c r="D3652" s="25">
        <v>0</v>
      </c>
      <c r="E3652" s="18">
        <v>0</v>
      </c>
    </row>
    <row r="3653" spans="1:5" ht="15" x14ac:dyDescent="0.2">
      <c r="A3653" s="7">
        <v>912805</v>
      </c>
      <c r="B3653" s="3" t="s">
        <v>1523</v>
      </c>
      <c r="C3653" s="25">
        <v>0</v>
      </c>
      <c r="D3653" s="25">
        <v>0</v>
      </c>
      <c r="E3653" s="18">
        <v>0</v>
      </c>
    </row>
    <row r="3654" spans="1:5" ht="15" x14ac:dyDescent="0.2">
      <c r="A3654" s="7">
        <v>912806</v>
      </c>
      <c r="B3654" s="3" t="s">
        <v>1524</v>
      </c>
      <c r="C3654" s="25">
        <v>0</v>
      </c>
      <c r="D3654" s="25">
        <v>0</v>
      </c>
      <c r="E3654" s="18">
        <v>0</v>
      </c>
    </row>
    <row r="3655" spans="1:5" ht="15" x14ac:dyDescent="0.2">
      <c r="A3655" s="7">
        <v>912807</v>
      </c>
      <c r="B3655" s="3" t="s">
        <v>1525</v>
      </c>
      <c r="C3655" s="25">
        <v>0</v>
      </c>
      <c r="D3655" s="25">
        <v>0</v>
      </c>
      <c r="E3655" s="18">
        <v>0</v>
      </c>
    </row>
    <row r="3656" spans="1:5" ht="15" x14ac:dyDescent="0.2">
      <c r="A3656" s="7">
        <v>912890</v>
      </c>
      <c r="B3656" s="3" t="s">
        <v>1526</v>
      </c>
      <c r="C3656" s="25">
        <v>0</v>
      </c>
      <c r="D3656" s="25">
        <v>0</v>
      </c>
      <c r="E3656" s="18">
        <v>0</v>
      </c>
    </row>
    <row r="3657" spans="1:5" ht="15" x14ac:dyDescent="0.2">
      <c r="A3657" s="6">
        <v>9129</v>
      </c>
      <c r="B3657" s="2" t="s">
        <v>1627</v>
      </c>
      <c r="C3657" s="24">
        <f>SUM(C3658:C3659)</f>
        <v>0</v>
      </c>
      <c r="D3657" s="24">
        <f t="shared" ref="D3657:E3657" si="650">SUM(D3658:D3659)</f>
        <v>0</v>
      </c>
      <c r="E3657" s="17">
        <f t="shared" si="650"/>
        <v>0</v>
      </c>
    </row>
    <row r="3658" spans="1:5" ht="15" x14ac:dyDescent="0.2">
      <c r="A3658" s="7">
        <v>912907</v>
      </c>
      <c r="B3658" s="3" t="s">
        <v>1528</v>
      </c>
      <c r="C3658" s="25">
        <v>0</v>
      </c>
      <c r="D3658" s="25">
        <v>0</v>
      </c>
      <c r="E3658" s="18">
        <v>0</v>
      </c>
    </row>
    <row r="3659" spans="1:5" ht="15" x14ac:dyDescent="0.2">
      <c r="A3659" s="7">
        <v>912908</v>
      </c>
      <c r="B3659" s="3" t="s">
        <v>1529</v>
      </c>
      <c r="C3659" s="25">
        <v>0</v>
      </c>
      <c r="D3659" s="25">
        <v>0</v>
      </c>
      <c r="E3659" s="18">
        <v>0</v>
      </c>
    </row>
    <row r="3660" spans="1:5" ht="15" x14ac:dyDescent="0.2">
      <c r="A3660" s="6">
        <v>9190</v>
      </c>
      <c r="B3660" s="2" t="s">
        <v>1628</v>
      </c>
      <c r="C3660" s="24">
        <f>SUM(C3661:C3664)</f>
        <v>0</v>
      </c>
      <c r="D3660" s="24">
        <f t="shared" ref="D3660:E3660" si="651">SUM(D3661:D3664)</f>
        <v>0</v>
      </c>
      <c r="E3660" s="17">
        <f t="shared" si="651"/>
        <v>0</v>
      </c>
    </row>
    <row r="3661" spans="1:5" ht="15" x14ac:dyDescent="0.2">
      <c r="A3661" s="7">
        <v>919001</v>
      </c>
      <c r="B3661" s="3" t="s">
        <v>1629</v>
      </c>
      <c r="C3661" s="25">
        <v>0</v>
      </c>
      <c r="D3661" s="25">
        <v>0</v>
      </c>
      <c r="E3661" s="18">
        <v>0</v>
      </c>
    </row>
    <row r="3662" spans="1:5" ht="15" x14ac:dyDescent="0.2">
      <c r="A3662" s="7">
        <v>919002</v>
      </c>
      <c r="B3662" s="3" t="s">
        <v>1630</v>
      </c>
      <c r="C3662" s="25">
        <v>0</v>
      </c>
      <c r="D3662" s="25">
        <v>0</v>
      </c>
      <c r="E3662" s="18">
        <v>0</v>
      </c>
    </row>
    <row r="3663" spans="1:5" ht="15" x14ac:dyDescent="0.2">
      <c r="A3663" s="7">
        <v>919003</v>
      </c>
      <c r="B3663" s="3" t="s">
        <v>1631</v>
      </c>
      <c r="C3663" s="25">
        <v>0</v>
      </c>
      <c r="D3663" s="25">
        <v>0</v>
      </c>
      <c r="E3663" s="18">
        <v>0</v>
      </c>
    </row>
    <row r="3664" spans="1:5" ht="15" x14ac:dyDescent="0.2">
      <c r="A3664" s="7">
        <v>919090</v>
      </c>
      <c r="B3664" s="3" t="s">
        <v>1632</v>
      </c>
      <c r="C3664" s="25">
        <v>0</v>
      </c>
      <c r="D3664" s="25">
        <v>0</v>
      </c>
      <c r="E3664" s="18">
        <v>0</v>
      </c>
    </row>
    <row r="3665" spans="1:5" ht="15" x14ac:dyDescent="0.2">
      <c r="A3665" s="6">
        <v>92</v>
      </c>
      <c r="B3665" s="2" t="s">
        <v>1633</v>
      </c>
      <c r="C3665" s="24">
        <v>0</v>
      </c>
      <c r="D3665" s="24">
        <v>0</v>
      </c>
      <c r="E3665" s="17">
        <v>0</v>
      </c>
    </row>
    <row r="3666" spans="1:5" ht="15" x14ac:dyDescent="0.2">
      <c r="A3666" s="6">
        <v>93</v>
      </c>
      <c r="B3666" s="2" t="s">
        <v>1634</v>
      </c>
      <c r="C3666" s="24">
        <v>0</v>
      </c>
      <c r="D3666" s="24">
        <v>0</v>
      </c>
      <c r="E3666" s="17">
        <v>0</v>
      </c>
    </row>
    <row r="3667" spans="1:5" ht="15" x14ac:dyDescent="0.2">
      <c r="A3667" s="6">
        <v>9301</v>
      </c>
      <c r="B3667" s="2" t="s">
        <v>1635</v>
      </c>
      <c r="C3667" s="24">
        <f>SUM(C3668:C3669)</f>
        <v>0</v>
      </c>
      <c r="D3667" s="24">
        <f t="shared" ref="D3667:E3667" si="652">SUM(D3668:D3669)</f>
        <v>0</v>
      </c>
      <c r="E3667" s="17">
        <f t="shared" si="652"/>
        <v>0</v>
      </c>
    </row>
    <row r="3668" spans="1:5" ht="15" x14ac:dyDescent="0.2">
      <c r="A3668" s="7">
        <v>930101</v>
      </c>
      <c r="B3668" s="3" t="s">
        <v>1536</v>
      </c>
      <c r="C3668" s="25">
        <v>0</v>
      </c>
      <c r="D3668" s="25">
        <v>0</v>
      </c>
      <c r="E3668" s="18">
        <v>0</v>
      </c>
    </row>
    <row r="3669" spans="1:5" ht="15" x14ac:dyDescent="0.2">
      <c r="A3669" s="7">
        <v>930102</v>
      </c>
      <c r="B3669" s="3" t="s">
        <v>619</v>
      </c>
      <c r="C3669" s="25">
        <v>0</v>
      </c>
      <c r="D3669" s="25">
        <v>0</v>
      </c>
      <c r="E3669" s="18">
        <v>0</v>
      </c>
    </row>
    <row r="3670" spans="1:5" ht="15" x14ac:dyDescent="0.2">
      <c r="A3670" s="6">
        <v>9302</v>
      </c>
      <c r="B3670" s="2" t="s">
        <v>1636</v>
      </c>
      <c r="C3670" s="24">
        <f>SUM(C3671:C3673)</f>
        <v>0</v>
      </c>
      <c r="D3670" s="24">
        <f t="shared" ref="D3670:E3670" si="653">SUM(D3671:D3673)</f>
        <v>0</v>
      </c>
      <c r="E3670" s="17">
        <f t="shared" si="653"/>
        <v>0</v>
      </c>
    </row>
    <row r="3671" spans="1:5" ht="15" x14ac:dyDescent="0.2">
      <c r="A3671" s="7">
        <v>930201</v>
      </c>
      <c r="B3671" s="3" t="s">
        <v>1637</v>
      </c>
      <c r="C3671" s="25">
        <v>0</v>
      </c>
      <c r="D3671" s="25">
        <v>0</v>
      </c>
      <c r="E3671" s="18">
        <v>0</v>
      </c>
    </row>
    <row r="3672" spans="1:5" ht="15" x14ac:dyDescent="0.2">
      <c r="A3672" s="7">
        <v>930202</v>
      </c>
      <c r="B3672" s="3" t="s">
        <v>1638</v>
      </c>
      <c r="C3672" s="25">
        <v>0</v>
      </c>
      <c r="D3672" s="25">
        <v>0</v>
      </c>
      <c r="E3672" s="18">
        <v>0</v>
      </c>
    </row>
    <row r="3673" spans="1:5" ht="15" x14ac:dyDescent="0.2">
      <c r="A3673" s="7">
        <v>930203</v>
      </c>
      <c r="B3673" s="3" t="s">
        <v>1639</v>
      </c>
      <c r="C3673" s="25">
        <v>0</v>
      </c>
      <c r="D3673" s="25">
        <v>0</v>
      </c>
      <c r="E3673" s="18">
        <v>0</v>
      </c>
    </row>
    <row r="3674" spans="1:5" ht="15" x14ac:dyDescent="0.2">
      <c r="A3674" s="6">
        <v>9306</v>
      </c>
      <c r="B3674" s="2" t="s">
        <v>1640</v>
      </c>
      <c r="C3674" s="24">
        <f>SUM(C3675:C3680)</f>
        <v>0</v>
      </c>
      <c r="D3674" s="24">
        <f t="shared" ref="D3674:E3674" si="654">SUM(D3675:D3680)</f>
        <v>0</v>
      </c>
      <c r="E3674" s="17">
        <f t="shared" si="654"/>
        <v>0</v>
      </c>
    </row>
    <row r="3675" spans="1:5" ht="15" x14ac:dyDescent="0.2">
      <c r="A3675" s="7">
        <v>930601</v>
      </c>
      <c r="B3675" s="3" t="s">
        <v>551</v>
      </c>
      <c r="C3675" s="25">
        <v>0</v>
      </c>
      <c r="D3675" s="25">
        <v>0</v>
      </c>
      <c r="E3675" s="18">
        <v>0</v>
      </c>
    </row>
    <row r="3676" spans="1:5" ht="15" x14ac:dyDescent="0.2">
      <c r="A3676" s="7">
        <v>930602</v>
      </c>
      <c r="B3676" s="3" t="s">
        <v>638</v>
      </c>
      <c r="C3676" s="25">
        <v>0</v>
      </c>
      <c r="D3676" s="25">
        <v>0</v>
      </c>
      <c r="E3676" s="18">
        <v>0</v>
      </c>
    </row>
    <row r="3677" spans="1:5" ht="15" x14ac:dyDescent="0.2">
      <c r="A3677" s="7">
        <v>930616</v>
      </c>
      <c r="B3677" s="3" t="s">
        <v>1538</v>
      </c>
      <c r="C3677" s="25">
        <v>0</v>
      </c>
      <c r="D3677" s="25">
        <v>0</v>
      </c>
      <c r="E3677" s="18">
        <v>0</v>
      </c>
    </row>
    <row r="3678" spans="1:5" ht="15" x14ac:dyDescent="0.2">
      <c r="A3678" s="7">
        <v>930617</v>
      </c>
      <c r="B3678" s="3" t="s">
        <v>553</v>
      </c>
      <c r="C3678" s="25">
        <v>0</v>
      </c>
      <c r="D3678" s="25">
        <v>0</v>
      </c>
      <c r="E3678" s="18">
        <v>0</v>
      </c>
    </row>
    <row r="3679" spans="1:5" ht="15" x14ac:dyDescent="0.2">
      <c r="A3679" s="7">
        <v>930618</v>
      </c>
      <c r="B3679" s="3" t="s">
        <v>555</v>
      </c>
      <c r="C3679" s="25">
        <v>0</v>
      </c>
      <c r="D3679" s="25">
        <v>0</v>
      </c>
      <c r="E3679" s="18">
        <v>0</v>
      </c>
    </row>
    <row r="3680" spans="1:5" ht="15" x14ac:dyDescent="0.2">
      <c r="A3680" s="7">
        <v>930690</v>
      </c>
      <c r="B3680" s="3" t="s">
        <v>1641</v>
      </c>
      <c r="C3680" s="25">
        <v>0</v>
      </c>
      <c r="D3680" s="25">
        <v>0</v>
      </c>
      <c r="E3680" s="18">
        <v>0</v>
      </c>
    </row>
    <row r="3681" spans="1:5" ht="15" x14ac:dyDescent="0.2">
      <c r="A3681" s="6">
        <v>9308</v>
      </c>
      <c r="B3681" s="2" t="s">
        <v>1642</v>
      </c>
      <c r="C3681" s="24">
        <f>SUM(C3682:C3686)</f>
        <v>0</v>
      </c>
      <c r="D3681" s="24">
        <f t="shared" ref="D3681:E3681" si="655">SUM(D3682:D3686)</f>
        <v>0</v>
      </c>
      <c r="E3681" s="17">
        <f t="shared" si="655"/>
        <v>0</v>
      </c>
    </row>
    <row r="3682" spans="1:5" ht="15" x14ac:dyDescent="0.2">
      <c r="A3682" s="7">
        <v>930802</v>
      </c>
      <c r="B3682" s="3" t="s">
        <v>551</v>
      </c>
      <c r="C3682" s="25">
        <v>0</v>
      </c>
      <c r="D3682" s="25">
        <v>0</v>
      </c>
      <c r="E3682" s="18">
        <v>0</v>
      </c>
    </row>
    <row r="3683" spans="1:5" ht="15" x14ac:dyDescent="0.2">
      <c r="A3683" s="7">
        <v>930803</v>
      </c>
      <c r="B3683" s="3" t="s">
        <v>1643</v>
      </c>
      <c r="C3683" s="25">
        <v>0</v>
      </c>
      <c r="D3683" s="25">
        <v>0</v>
      </c>
      <c r="E3683" s="18">
        <v>0</v>
      </c>
    </row>
    <row r="3684" spans="1:5" ht="15" x14ac:dyDescent="0.2">
      <c r="A3684" s="7">
        <v>930804</v>
      </c>
      <c r="B3684" s="3" t="s">
        <v>1644</v>
      </c>
      <c r="C3684" s="25">
        <v>0</v>
      </c>
      <c r="D3684" s="25">
        <v>0</v>
      </c>
      <c r="E3684" s="18">
        <v>0</v>
      </c>
    </row>
    <row r="3685" spans="1:5" ht="15" x14ac:dyDescent="0.2">
      <c r="A3685" s="7">
        <v>930805</v>
      </c>
      <c r="B3685" s="3" t="s">
        <v>619</v>
      </c>
      <c r="C3685" s="25">
        <v>0</v>
      </c>
      <c r="D3685" s="25">
        <v>0</v>
      </c>
      <c r="E3685" s="18">
        <v>0</v>
      </c>
    </row>
    <row r="3686" spans="1:5" ht="15" x14ac:dyDescent="0.2">
      <c r="A3686" s="7">
        <v>930806</v>
      </c>
      <c r="B3686" s="3" t="s">
        <v>1536</v>
      </c>
      <c r="C3686" s="25">
        <v>0</v>
      </c>
      <c r="D3686" s="25">
        <v>0</v>
      </c>
      <c r="E3686" s="18">
        <v>0</v>
      </c>
    </row>
    <row r="3687" spans="1:5" ht="15" x14ac:dyDescent="0.2">
      <c r="A3687" s="6">
        <v>9311</v>
      </c>
      <c r="B3687" s="2" t="s">
        <v>1645</v>
      </c>
      <c r="C3687" s="24">
        <f>SUM(C3688:C3692)</f>
        <v>0</v>
      </c>
      <c r="D3687" s="24">
        <f t="shared" ref="D3687:E3687" si="656">SUM(D3688:D3692)</f>
        <v>0</v>
      </c>
      <c r="E3687" s="17">
        <f t="shared" si="656"/>
        <v>0</v>
      </c>
    </row>
    <row r="3688" spans="1:5" ht="15" x14ac:dyDescent="0.2">
      <c r="A3688" s="7">
        <v>931101</v>
      </c>
      <c r="B3688" s="3" t="s">
        <v>1646</v>
      </c>
      <c r="C3688" s="25">
        <v>0</v>
      </c>
      <c r="D3688" s="25">
        <v>0</v>
      </c>
      <c r="E3688" s="18">
        <v>0</v>
      </c>
    </row>
    <row r="3689" spans="1:5" ht="15" x14ac:dyDescent="0.2">
      <c r="A3689" s="7">
        <v>931102</v>
      </c>
      <c r="B3689" s="3" t="s">
        <v>234</v>
      </c>
      <c r="C3689" s="25">
        <v>0</v>
      </c>
      <c r="D3689" s="25">
        <v>0</v>
      </c>
      <c r="E3689" s="18">
        <v>0</v>
      </c>
    </row>
    <row r="3690" spans="1:5" ht="15" x14ac:dyDescent="0.2">
      <c r="A3690" s="7">
        <v>931103</v>
      </c>
      <c r="B3690" s="3" t="s">
        <v>1647</v>
      </c>
      <c r="C3690" s="25">
        <v>0</v>
      </c>
      <c r="D3690" s="25">
        <v>0</v>
      </c>
      <c r="E3690" s="18">
        <v>0</v>
      </c>
    </row>
    <row r="3691" spans="1:5" ht="15" x14ac:dyDescent="0.2">
      <c r="A3691" s="7">
        <v>931104</v>
      </c>
      <c r="B3691" s="3" t="s">
        <v>1648</v>
      </c>
      <c r="C3691" s="25">
        <v>0</v>
      </c>
      <c r="D3691" s="25">
        <v>0</v>
      </c>
      <c r="E3691" s="18">
        <v>0</v>
      </c>
    </row>
    <row r="3692" spans="1:5" ht="15" x14ac:dyDescent="0.2">
      <c r="A3692" s="7">
        <v>931105</v>
      </c>
      <c r="B3692" s="3" t="s">
        <v>1649</v>
      </c>
      <c r="C3692" s="25">
        <v>0</v>
      </c>
      <c r="D3692" s="25">
        <v>0</v>
      </c>
      <c r="E3692" s="18">
        <v>0</v>
      </c>
    </row>
    <row r="3693" spans="1:5" ht="15" x14ac:dyDescent="0.2">
      <c r="A3693" s="7">
        <v>931106</v>
      </c>
      <c r="B3693" s="3" t="s">
        <v>1650</v>
      </c>
      <c r="C3693" s="25">
        <v>0</v>
      </c>
      <c r="D3693" s="25">
        <v>0</v>
      </c>
      <c r="E3693" s="18">
        <v>0</v>
      </c>
    </row>
    <row r="3694" spans="1:5" ht="15" x14ac:dyDescent="0.2">
      <c r="A3694" s="6">
        <v>9312</v>
      </c>
      <c r="B3694" s="2" t="s">
        <v>1651</v>
      </c>
      <c r="C3694" s="24">
        <f>SUM(C3695)</f>
        <v>0</v>
      </c>
      <c r="D3694" s="24">
        <f t="shared" ref="D3694:E3694" si="657">SUM(D3695)</f>
        <v>0</v>
      </c>
      <c r="E3694" s="17">
        <f t="shared" si="657"/>
        <v>0</v>
      </c>
    </row>
    <row r="3695" spans="1:5" ht="15" x14ac:dyDescent="0.2">
      <c r="A3695" s="7">
        <v>931202</v>
      </c>
      <c r="B3695" s="3" t="s">
        <v>1652</v>
      </c>
      <c r="C3695" s="25">
        <v>0</v>
      </c>
      <c r="D3695" s="25">
        <v>0</v>
      </c>
      <c r="E3695" s="18">
        <v>0</v>
      </c>
    </row>
    <row r="3696" spans="1:5" ht="15" x14ac:dyDescent="0.2">
      <c r="A3696" s="6">
        <v>9313</v>
      </c>
      <c r="B3696" s="2" t="s">
        <v>1653</v>
      </c>
      <c r="C3696" s="24">
        <f t="shared" ref="C3696:E3696" si="658">SUM(C3697)</f>
        <v>0</v>
      </c>
      <c r="D3696" s="24">
        <f t="shared" si="658"/>
        <v>0</v>
      </c>
      <c r="E3696" s="17">
        <f t="shared" si="658"/>
        <v>0</v>
      </c>
    </row>
    <row r="3697" spans="1:5" ht="15" x14ac:dyDescent="0.2">
      <c r="A3697" s="7">
        <v>931301</v>
      </c>
      <c r="B3697" s="3" t="s">
        <v>1654</v>
      </c>
      <c r="C3697" s="25">
        <v>0</v>
      </c>
      <c r="D3697" s="25">
        <v>0</v>
      </c>
      <c r="E3697" s="18">
        <v>0</v>
      </c>
    </row>
    <row r="3698" spans="1:5" ht="15" x14ac:dyDescent="0.2">
      <c r="A3698" s="6">
        <v>9350</v>
      </c>
      <c r="B3698" s="2" t="s">
        <v>1655</v>
      </c>
      <c r="C3698" s="24">
        <f>SUM(C3699:C3704)</f>
        <v>0</v>
      </c>
      <c r="D3698" s="24">
        <f t="shared" ref="D3698:E3698" si="659">SUM(D3699:D3704)</f>
        <v>0</v>
      </c>
      <c r="E3698" s="17">
        <f t="shared" si="659"/>
        <v>0</v>
      </c>
    </row>
    <row r="3699" spans="1:5" ht="15" x14ac:dyDescent="0.2">
      <c r="A3699" s="7">
        <v>935001</v>
      </c>
      <c r="B3699" s="3" t="s">
        <v>1656</v>
      </c>
      <c r="C3699" s="25">
        <v>0</v>
      </c>
      <c r="D3699" s="25">
        <v>0</v>
      </c>
      <c r="E3699" s="18">
        <v>0</v>
      </c>
    </row>
    <row r="3700" spans="1:5" ht="15" x14ac:dyDescent="0.2">
      <c r="A3700" s="7">
        <v>935002</v>
      </c>
      <c r="B3700" s="3" t="s">
        <v>1657</v>
      </c>
      <c r="C3700" s="25">
        <v>0</v>
      </c>
      <c r="D3700" s="25">
        <v>0</v>
      </c>
      <c r="E3700" s="18">
        <v>0</v>
      </c>
    </row>
    <row r="3701" spans="1:5" ht="15" x14ac:dyDescent="0.2">
      <c r="A3701" s="7">
        <v>935003</v>
      </c>
      <c r="B3701" s="3" t="s">
        <v>1658</v>
      </c>
      <c r="C3701" s="25">
        <v>0</v>
      </c>
      <c r="D3701" s="25">
        <v>0</v>
      </c>
      <c r="E3701" s="18">
        <v>0</v>
      </c>
    </row>
    <row r="3702" spans="1:5" ht="15" x14ac:dyDescent="0.2">
      <c r="A3702" s="7">
        <v>935004</v>
      </c>
      <c r="B3702" s="3" t="s">
        <v>1659</v>
      </c>
      <c r="C3702" s="25">
        <v>0</v>
      </c>
      <c r="D3702" s="25">
        <v>0</v>
      </c>
      <c r="E3702" s="18">
        <v>0</v>
      </c>
    </row>
    <row r="3703" spans="1:5" ht="15" x14ac:dyDescent="0.2">
      <c r="A3703" s="7">
        <v>935005</v>
      </c>
      <c r="B3703" s="3" t="s">
        <v>1660</v>
      </c>
      <c r="C3703" s="25">
        <v>0</v>
      </c>
      <c r="D3703" s="25">
        <v>0</v>
      </c>
      <c r="E3703" s="18">
        <v>0</v>
      </c>
    </row>
    <row r="3704" spans="1:5" ht="15" x14ac:dyDescent="0.2">
      <c r="A3704" s="7">
        <v>935090</v>
      </c>
      <c r="B3704" s="3" t="s">
        <v>1661</v>
      </c>
      <c r="C3704" s="25">
        <v>0</v>
      </c>
      <c r="D3704" s="25">
        <v>0</v>
      </c>
      <c r="E3704" s="18">
        <v>0</v>
      </c>
    </row>
    <row r="3705" spans="1:5" ht="15" x14ac:dyDescent="0.2">
      <c r="A3705" s="6">
        <v>9355</v>
      </c>
      <c r="B3705" s="2" t="s">
        <v>1579</v>
      </c>
      <c r="C3705" s="24">
        <f>SUM(C3706:C3707)</f>
        <v>0</v>
      </c>
      <c r="D3705" s="24">
        <f t="shared" ref="D3705:E3705" si="660">SUM(D3706:D3707)</f>
        <v>0</v>
      </c>
      <c r="E3705" s="17">
        <f t="shared" si="660"/>
        <v>0</v>
      </c>
    </row>
    <row r="3706" spans="1:5" ht="15" x14ac:dyDescent="0.2">
      <c r="A3706" s="7">
        <v>935501</v>
      </c>
      <c r="B3706" s="3" t="s">
        <v>1662</v>
      </c>
      <c r="C3706" s="25">
        <v>0</v>
      </c>
      <c r="D3706" s="25">
        <v>0</v>
      </c>
      <c r="E3706" s="18">
        <v>0</v>
      </c>
    </row>
    <row r="3707" spans="1:5" ht="15" x14ac:dyDescent="0.2">
      <c r="A3707" s="7">
        <v>935502</v>
      </c>
      <c r="B3707" s="3" t="s">
        <v>1663</v>
      </c>
      <c r="C3707" s="25">
        <v>0</v>
      </c>
      <c r="D3707" s="25">
        <v>0</v>
      </c>
      <c r="E3707" s="18">
        <v>0</v>
      </c>
    </row>
    <row r="3708" spans="1:5" ht="15" x14ac:dyDescent="0.2">
      <c r="A3708" s="6">
        <v>9390</v>
      </c>
      <c r="B3708" s="2" t="s">
        <v>1664</v>
      </c>
      <c r="C3708" s="24">
        <f>SUM(C3709:C3716)</f>
        <v>0</v>
      </c>
      <c r="D3708" s="24">
        <f t="shared" ref="D3708:E3708" si="661">SUM(D3709:D3716)</f>
        <v>0</v>
      </c>
      <c r="E3708" s="17">
        <f t="shared" si="661"/>
        <v>0</v>
      </c>
    </row>
    <row r="3709" spans="1:5" ht="15" x14ac:dyDescent="0.2">
      <c r="A3709" s="7">
        <v>939002</v>
      </c>
      <c r="B3709" s="3" t="s">
        <v>1665</v>
      </c>
      <c r="C3709" s="25">
        <v>0</v>
      </c>
      <c r="D3709" s="25">
        <v>0</v>
      </c>
      <c r="E3709" s="18">
        <v>0</v>
      </c>
    </row>
    <row r="3710" spans="1:5" ht="15" x14ac:dyDescent="0.2">
      <c r="A3710" s="7">
        <v>939004</v>
      </c>
      <c r="B3710" s="3" t="s">
        <v>1666</v>
      </c>
      <c r="C3710" s="25">
        <v>0</v>
      </c>
      <c r="D3710" s="25">
        <v>0</v>
      </c>
      <c r="E3710" s="18">
        <v>0</v>
      </c>
    </row>
    <row r="3711" spans="1:5" ht="15" x14ac:dyDescent="0.2">
      <c r="A3711" s="7">
        <v>939010</v>
      </c>
      <c r="B3711" s="3" t="s">
        <v>817</v>
      </c>
      <c r="C3711" s="25">
        <v>0</v>
      </c>
      <c r="D3711" s="25">
        <v>0</v>
      </c>
      <c r="E3711" s="18">
        <v>0</v>
      </c>
    </row>
    <row r="3712" spans="1:5" ht="15" x14ac:dyDescent="0.2">
      <c r="A3712" s="7">
        <v>939011</v>
      </c>
      <c r="B3712" s="3" t="s">
        <v>1667</v>
      </c>
      <c r="C3712" s="25">
        <v>0</v>
      </c>
      <c r="D3712" s="25">
        <v>0</v>
      </c>
      <c r="E3712" s="18">
        <v>0</v>
      </c>
    </row>
    <row r="3713" spans="1:5" ht="15" x14ac:dyDescent="0.2">
      <c r="A3713" s="7">
        <v>939012</v>
      </c>
      <c r="B3713" s="3" t="s">
        <v>1668</v>
      </c>
      <c r="C3713" s="25">
        <v>0</v>
      </c>
      <c r="D3713" s="25">
        <v>0</v>
      </c>
      <c r="E3713" s="18">
        <v>0</v>
      </c>
    </row>
    <row r="3714" spans="1:5" ht="15" x14ac:dyDescent="0.2">
      <c r="A3714" s="7">
        <v>939013</v>
      </c>
      <c r="B3714" s="3" t="s">
        <v>1669</v>
      </c>
      <c r="C3714" s="25">
        <v>0</v>
      </c>
      <c r="D3714" s="25">
        <v>0</v>
      </c>
      <c r="E3714" s="18">
        <v>0</v>
      </c>
    </row>
    <row r="3715" spans="1:5" ht="15" x14ac:dyDescent="0.2">
      <c r="A3715" s="7">
        <v>939017</v>
      </c>
      <c r="B3715" s="3" t="s">
        <v>689</v>
      </c>
      <c r="C3715" s="25">
        <v>0</v>
      </c>
      <c r="D3715" s="25">
        <v>0</v>
      </c>
      <c r="E3715" s="18">
        <v>0</v>
      </c>
    </row>
    <row r="3716" spans="1:5" ht="15" x14ac:dyDescent="0.2">
      <c r="A3716" s="7">
        <v>939090</v>
      </c>
      <c r="B3716" s="3" t="s">
        <v>1670</v>
      </c>
      <c r="C3716" s="25">
        <v>0</v>
      </c>
      <c r="D3716" s="25">
        <v>0</v>
      </c>
      <c r="E3716" s="18">
        <v>0</v>
      </c>
    </row>
    <row r="3717" spans="1:5" ht="15" x14ac:dyDescent="0.2">
      <c r="A3717" s="6">
        <v>99</v>
      </c>
      <c r="B3717" s="2" t="s">
        <v>1671</v>
      </c>
      <c r="C3717" s="24">
        <v>0</v>
      </c>
      <c r="D3717" s="24">
        <v>0</v>
      </c>
      <c r="E3717" s="17">
        <v>0</v>
      </c>
    </row>
    <row r="3718" spans="1:5" ht="15" x14ac:dyDescent="0.2">
      <c r="A3718" s="6">
        <v>9905</v>
      </c>
      <c r="B3718" s="2" t="s">
        <v>1672</v>
      </c>
      <c r="C3718" s="24">
        <f>SUM(C3719:C3722)</f>
        <v>0</v>
      </c>
      <c r="D3718" s="24">
        <f t="shared" ref="D3718:E3718" si="662">SUM(D3719:D3722)</f>
        <v>0</v>
      </c>
      <c r="E3718" s="17">
        <f t="shared" si="662"/>
        <v>0</v>
      </c>
    </row>
    <row r="3719" spans="1:5" ht="15" x14ac:dyDescent="0.2">
      <c r="A3719" s="7">
        <v>990505</v>
      </c>
      <c r="B3719" s="3" t="s">
        <v>1604</v>
      </c>
      <c r="C3719" s="25">
        <v>0</v>
      </c>
      <c r="D3719" s="25">
        <v>0</v>
      </c>
      <c r="E3719" s="18">
        <v>0</v>
      </c>
    </row>
    <row r="3720" spans="1:5" ht="15" x14ac:dyDescent="0.2">
      <c r="A3720" s="7">
        <v>990511</v>
      </c>
      <c r="B3720" s="3" t="s">
        <v>919</v>
      </c>
      <c r="C3720" s="25">
        <v>0</v>
      </c>
      <c r="D3720" s="25">
        <v>0</v>
      </c>
      <c r="E3720" s="18">
        <v>0</v>
      </c>
    </row>
    <row r="3721" spans="1:5" ht="15" x14ac:dyDescent="0.2">
      <c r="A3721" s="7">
        <v>990514</v>
      </c>
      <c r="B3721" s="3" t="s">
        <v>1673</v>
      </c>
      <c r="C3721" s="25">
        <v>0</v>
      </c>
      <c r="D3721" s="25">
        <v>0</v>
      </c>
      <c r="E3721" s="18">
        <v>0</v>
      </c>
    </row>
    <row r="3722" spans="1:5" ht="15" x14ac:dyDescent="0.2">
      <c r="A3722" s="7">
        <v>990590</v>
      </c>
      <c r="B3722" s="3" t="s">
        <v>1674</v>
      </c>
      <c r="C3722" s="25">
        <v>0</v>
      </c>
      <c r="D3722" s="25">
        <v>0</v>
      </c>
      <c r="E3722" s="18">
        <v>0</v>
      </c>
    </row>
    <row r="3723" spans="1:5" ht="15" x14ac:dyDescent="0.2">
      <c r="A3723" s="6">
        <v>9910</v>
      </c>
      <c r="B3723" s="2" t="s">
        <v>1675</v>
      </c>
      <c r="C3723" s="24">
        <f>SUM(C3724)</f>
        <v>0</v>
      </c>
      <c r="D3723" s="24">
        <f t="shared" ref="D3723:E3723" si="663">SUM(D3724)</f>
        <v>0</v>
      </c>
      <c r="E3723" s="17">
        <f t="shared" si="663"/>
        <v>0</v>
      </c>
    </row>
    <row r="3724" spans="1:5" ht="15" x14ac:dyDescent="0.2">
      <c r="A3724" s="7">
        <v>991001</v>
      </c>
      <c r="B3724" s="3" t="s">
        <v>1676</v>
      </c>
      <c r="C3724" s="25">
        <v>0</v>
      </c>
      <c r="D3724" s="25">
        <v>0</v>
      </c>
      <c r="E3724" s="18">
        <v>0</v>
      </c>
    </row>
    <row r="3725" spans="1:5" ht="15" x14ac:dyDescent="0.2">
      <c r="A3725" s="6">
        <v>9915</v>
      </c>
      <c r="B3725" s="2" t="s">
        <v>1677</v>
      </c>
      <c r="C3725" s="24">
        <f>SUM(C3726:C3735)</f>
        <v>0</v>
      </c>
      <c r="D3725" s="24">
        <f t="shared" ref="D3725:E3725" si="664">SUM(D3726:D3735)</f>
        <v>0</v>
      </c>
      <c r="E3725" s="17">
        <f t="shared" si="664"/>
        <v>0</v>
      </c>
    </row>
    <row r="3726" spans="1:5" ht="15" x14ac:dyDescent="0.2">
      <c r="A3726" s="7">
        <v>991502</v>
      </c>
      <c r="B3726" s="3" t="s">
        <v>1678</v>
      </c>
      <c r="C3726" s="25">
        <v>0</v>
      </c>
      <c r="D3726" s="25">
        <v>0</v>
      </c>
      <c r="E3726" s="18">
        <v>0</v>
      </c>
    </row>
    <row r="3727" spans="1:5" ht="15" x14ac:dyDescent="0.2">
      <c r="A3727" s="7">
        <v>991503</v>
      </c>
      <c r="B3727" s="3" t="s">
        <v>1654</v>
      </c>
      <c r="C3727" s="25">
        <v>0</v>
      </c>
      <c r="D3727" s="25">
        <v>0</v>
      </c>
      <c r="E3727" s="18">
        <v>0</v>
      </c>
    </row>
    <row r="3728" spans="1:5" ht="15" x14ac:dyDescent="0.2">
      <c r="A3728" s="7">
        <v>991507</v>
      </c>
      <c r="B3728" s="3" t="s">
        <v>1679</v>
      </c>
      <c r="C3728" s="25">
        <v>0</v>
      </c>
      <c r="D3728" s="25">
        <v>0</v>
      </c>
      <c r="E3728" s="18">
        <v>0</v>
      </c>
    </row>
    <row r="3729" spans="1:5" ht="15" x14ac:dyDescent="0.2">
      <c r="A3729" s="7">
        <v>991510</v>
      </c>
      <c r="B3729" s="3" t="s">
        <v>1680</v>
      </c>
      <c r="C3729" s="25">
        <v>0</v>
      </c>
      <c r="D3729" s="25">
        <v>0</v>
      </c>
      <c r="E3729" s="18">
        <v>0</v>
      </c>
    </row>
    <row r="3730" spans="1:5" ht="15" x14ac:dyDescent="0.2">
      <c r="A3730" s="7">
        <v>991511</v>
      </c>
      <c r="B3730" s="3" t="s">
        <v>1681</v>
      </c>
      <c r="C3730" s="25">
        <v>0</v>
      </c>
      <c r="D3730" s="25">
        <v>0</v>
      </c>
      <c r="E3730" s="18">
        <v>0</v>
      </c>
    </row>
    <row r="3731" spans="1:5" ht="15" x14ac:dyDescent="0.2">
      <c r="A3731" s="7">
        <v>991522</v>
      </c>
      <c r="B3731" s="3" t="s">
        <v>1616</v>
      </c>
      <c r="C3731" s="25">
        <v>0</v>
      </c>
      <c r="D3731" s="25">
        <v>0</v>
      </c>
      <c r="E3731" s="18">
        <v>0</v>
      </c>
    </row>
    <row r="3732" spans="1:5" ht="15" x14ac:dyDescent="0.2">
      <c r="A3732" s="7">
        <v>991524</v>
      </c>
      <c r="B3732" s="3" t="s">
        <v>1682</v>
      </c>
      <c r="C3732" s="25">
        <v>0</v>
      </c>
      <c r="D3732" s="25">
        <v>0</v>
      </c>
      <c r="E3732" s="18">
        <v>0</v>
      </c>
    </row>
    <row r="3733" spans="1:5" ht="15" x14ac:dyDescent="0.2">
      <c r="A3733" s="7">
        <v>991530</v>
      </c>
      <c r="B3733" s="3" t="s">
        <v>1683</v>
      </c>
      <c r="C3733" s="25">
        <v>0</v>
      </c>
      <c r="D3733" s="25">
        <v>0</v>
      </c>
      <c r="E3733" s="18">
        <v>0</v>
      </c>
    </row>
    <row r="3734" spans="1:5" ht="15" x14ac:dyDescent="0.2">
      <c r="A3734" s="7">
        <v>991532</v>
      </c>
      <c r="B3734" s="3" t="s">
        <v>1684</v>
      </c>
      <c r="C3734" s="25">
        <v>0</v>
      </c>
      <c r="D3734" s="25">
        <v>0</v>
      </c>
      <c r="E3734" s="18">
        <v>0</v>
      </c>
    </row>
    <row r="3735" spans="1:5" ht="15" x14ac:dyDescent="0.2">
      <c r="A3735" s="12">
        <v>991590</v>
      </c>
      <c r="B3735" s="14" t="s">
        <v>1685</v>
      </c>
      <c r="C3735" s="27">
        <v>0</v>
      </c>
      <c r="D3735" s="27">
        <v>0</v>
      </c>
      <c r="E3735" s="20">
        <v>0</v>
      </c>
    </row>
    <row r="3737" spans="1:5" x14ac:dyDescent="0.2">
      <c r="D3737" s="37" t="s">
        <v>1571</v>
      </c>
      <c r="E3737" s="22">
        <f>E2</f>
        <v>65921694.549999997</v>
      </c>
    </row>
    <row r="3738" spans="1:5" x14ac:dyDescent="0.2">
      <c r="D3738" s="37" t="s">
        <v>1662</v>
      </c>
      <c r="E3738" s="22">
        <f>E984</f>
        <v>904954759</v>
      </c>
    </row>
    <row r="3739" spans="1:5" x14ac:dyDescent="0.2">
      <c r="D3739" s="37" t="s">
        <v>1687</v>
      </c>
      <c r="E3739" s="22">
        <f>E1417</f>
        <v>-839033064.45000005</v>
      </c>
    </row>
    <row r="3740" spans="1:5" x14ac:dyDescent="0.2">
      <c r="D3740" s="37" t="s">
        <v>1688</v>
      </c>
      <c r="E3740" s="22">
        <f>E3737-(E3738+E3739)</f>
        <v>0</v>
      </c>
    </row>
    <row r="3741" spans="1:5" x14ac:dyDescent="0.2">
      <c r="D3741" s="37" t="s">
        <v>1663</v>
      </c>
      <c r="E3741" s="22">
        <f>E1487</f>
        <v>384363903</v>
      </c>
    </row>
    <row r="3742" spans="1:5" x14ac:dyDescent="0.2">
      <c r="D3742" s="37" t="s">
        <v>1580</v>
      </c>
      <c r="E3742" s="22">
        <f>E1887</f>
        <v>79199853</v>
      </c>
    </row>
    <row r="3743" spans="1:5" x14ac:dyDescent="0.2">
      <c r="D3743" s="37" t="s">
        <v>1689</v>
      </c>
      <c r="E3743" s="22">
        <f>E2492</f>
        <v>308706824</v>
      </c>
    </row>
    <row r="3744" spans="1:5" x14ac:dyDescent="0.2">
      <c r="D3744" s="37" t="s">
        <v>1690</v>
      </c>
      <c r="E3744" s="22">
        <f>E3741-(E3742+E3743)</f>
        <v>-3542774</v>
      </c>
    </row>
  </sheetData>
  <printOptions horizontalCentered="1"/>
  <pageMargins left="0.19685039370078741" right="0.19685039370078741" top="0.19685039370078741" bottom="0.19685039370078741" header="0.31496062992125984" footer="0.31496062992125984"/>
  <pageSetup scale="7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0089-A329-4EF7-B53B-EC8E17F495CE}">
  <dimension ref="A1:F3751"/>
  <sheetViews>
    <sheetView tabSelected="1" workbookViewId="0">
      <selection activeCell="E15" sqref="E15"/>
    </sheetView>
  </sheetViews>
  <sheetFormatPr baseColWidth="10" defaultRowHeight="12.75" x14ac:dyDescent="0.2"/>
  <cols>
    <col min="1" max="1" width="12.1640625" customWidth="1"/>
    <col min="2" max="2" width="100.5" customWidth="1"/>
    <col min="3" max="6" width="20.83203125" customWidth="1"/>
  </cols>
  <sheetData>
    <row r="1" spans="1:6" ht="15" x14ac:dyDescent="0.2">
      <c r="A1" s="9" t="s">
        <v>3</v>
      </c>
      <c r="B1" s="13" t="s">
        <v>4</v>
      </c>
      <c r="C1" s="9" t="s">
        <v>1425</v>
      </c>
      <c r="D1" s="9" t="s">
        <v>1426</v>
      </c>
      <c r="E1" s="9" t="s">
        <v>1427</v>
      </c>
      <c r="F1" s="23" t="s">
        <v>2</v>
      </c>
    </row>
    <row r="2" spans="1:6" ht="15" x14ac:dyDescent="0.2">
      <c r="A2" s="6">
        <v>1</v>
      </c>
      <c r="B2" s="2" t="s">
        <v>5</v>
      </c>
      <c r="C2" s="28">
        <f>ROUND(Balances[[#This Row],[Total]]*40%,0)</f>
        <v>26368678</v>
      </c>
      <c r="D2" s="28">
        <f>ROUND(Balances[[#This Row],[Total]]*20%,0)</f>
        <v>13184339</v>
      </c>
      <c r="E2" s="28">
        <f>ROUND(Balances[[#This Row],[Total]]*40%,0)</f>
        <v>26368678</v>
      </c>
      <c r="F2" s="28">
        <f>SUM(Acueducto[[#This Row],[Acueducto]:[Aseo]])</f>
        <v>65921695</v>
      </c>
    </row>
    <row r="3" spans="1:6" ht="15" x14ac:dyDescent="0.2">
      <c r="A3" s="6">
        <v>11</v>
      </c>
      <c r="B3" s="2" t="s">
        <v>6</v>
      </c>
      <c r="C3" s="28">
        <f>ROUND(Balances[[#This Row],[Total]]*40%,0)</f>
        <v>9168934</v>
      </c>
      <c r="D3" s="28">
        <f>ROUND(Balances[[#This Row],[Total]]*20%,0)</f>
        <v>4584467</v>
      </c>
      <c r="E3" s="28">
        <f>ROUND(Balances[[#This Row],[Total]]*40%,0)</f>
        <v>9168934</v>
      </c>
      <c r="F3" s="28">
        <f>SUM(Acueducto[[#This Row],[Acueducto]:[Aseo]])</f>
        <v>22922335</v>
      </c>
    </row>
    <row r="4" spans="1:6" ht="15" x14ac:dyDescent="0.2">
      <c r="A4" s="6">
        <v>1105</v>
      </c>
      <c r="B4" s="2" t="s">
        <v>7</v>
      </c>
      <c r="C4" s="28">
        <f>ROUND(Balances[[#This Row],[Total]]*40%,0)</f>
        <v>0</v>
      </c>
      <c r="D4" s="28">
        <f>ROUND(Balances[[#This Row],[Total]]*20%,0)</f>
        <v>0</v>
      </c>
      <c r="E4" s="28">
        <f>ROUND(Balances[[#This Row],[Total]]*40%,0)</f>
        <v>0</v>
      </c>
      <c r="F4" s="17">
        <f>SUM(Acueducto[[#This Row],[Acueducto]:[Aseo]])</f>
        <v>0</v>
      </c>
    </row>
    <row r="5" spans="1:6" ht="15" x14ac:dyDescent="0.2">
      <c r="A5" s="7">
        <v>110501</v>
      </c>
      <c r="B5" s="3" t="s">
        <v>8</v>
      </c>
      <c r="C5" s="29">
        <f>ROUND(Balances[[#This Row],[Total]]*40%,0)</f>
        <v>0</v>
      </c>
      <c r="D5" s="29">
        <f>ROUND(Balances[[#This Row],[Total]]*20%,0)</f>
        <v>0</v>
      </c>
      <c r="E5" s="29">
        <f>ROUND(Balances[[#This Row],[Total]]*40%,0)</f>
        <v>0</v>
      </c>
      <c r="F5" s="18">
        <f>SUM(Acueducto[[#This Row],[Acueducto]:[Aseo]])</f>
        <v>0</v>
      </c>
    </row>
    <row r="6" spans="1:6" ht="15" x14ac:dyDescent="0.2">
      <c r="A6" s="7">
        <v>110502</v>
      </c>
      <c r="B6" s="3" t="s">
        <v>9</v>
      </c>
      <c r="C6" s="29">
        <f>ROUND(Balances[[#This Row],[Total]]*40%,0)</f>
        <v>0</v>
      </c>
      <c r="D6" s="29">
        <f>ROUND(Balances[[#This Row],[Total]]*20%,0)</f>
        <v>0</v>
      </c>
      <c r="E6" s="29">
        <f>ROUND(Balances[[#This Row],[Total]]*40%,0)</f>
        <v>0</v>
      </c>
      <c r="F6" s="18">
        <f>SUM(Acueducto[[#This Row],[Acueducto]:[Aseo]])</f>
        <v>0</v>
      </c>
    </row>
    <row r="7" spans="1:6" ht="15" x14ac:dyDescent="0.2">
      <c r="A7" s="6">
        <v>1110</v>
      </c>
      <c r="B7" s="2" t="s">
        <v>10</v>
      </c>
      <c r="C7" s="28">
        <f>ROUND(Balances[[#This Row],[Total]]*40%,0)</f>
        <v>9168934</v>
      </c>
      <c r="D7" s="28">
        <f>ROUND(Balances[[#This Row],[Total]]*20%,0)</f>
        <v>4584467</v>
      </c>
      <c r="E7" s="28">
        <f>ROUND(Balances[[#This Row],[Total]]*40%,0)</f>
        <v>9168934</v>
      </c>
      <c r="F7" s="28">
        <f>SUM(Acueducto[[#This Row],[Acueducto]:[Aseo]])</f>
        <v>22922335</v>
      </c>
    </row>
    <row r="8" spans="1:6" ht="15" x14ac:dyDescent="0.2">
      <c r="A8" s="7">
        <v>111005</v>
      </c>
      <c r="B8" s="3" t="s">
        <v>11</v>
      </c>
      <c r="C8" s="29">
        <f>ROUND(Balances[[#This Row],[Total]]*40%,0)</f>
        <v>5521951</v>
      </c>
      <c r="D8" s="29">
        <f>ROUND(Balances[[#This Row],[Total]]*20%,0)</f>
        <v>2760976</v>
      </c>
      <c r="E8" s="29">
        <f>ROUND(Balances[[#This Row],[Total]]*40%,0)</f>
        <v>5521951</v>
      </c>
      <c r="F8" s="29">
        <f>SUM(Acueducto[[#This Row],[Acueducto]:[Aseo]])</f>
        <v>13804878</v>
      </c>
    </row>
    <row r="9" spans="1:6" ht="15" x14ac:dyDescent="0.2">
      <c r="A9" s="7">
        <v>111006</v>
      </c>
      <c r="B9" s="3" t="s">
        <v>12</v>
      </c>
      <c r="C9" s="29">
        <f>ROUND(Balances[[#This Row],[Total]]*40%,0)</f>
        <v>3646983</v>
      </c>
      <c r="D9" s="29">
        <f>ROUND(Balances[[#This Row],[Total]]*20%,0)</f>
        <v>1823491</v>
      </c>
      <c r="E9" s="29">
        <f>ROUND(Balances[[#This Row],[Total]]*40%,0)</f>
        <v>3646983</v>
      </c>
      <c r="F9" s="18">
        <f>SUM(Acueducto[[#This Row],[Acueducto]:[Aseo]])</f>
        <v>9117457</v>
      </c>
    </row>
    <row r="10" spans="1:6" ht="15" x14ac:dyDescent="0.2">
      <c r="A10" s="7">
        <v>111009</v>
      </c>
      <c r="B10" s="3" t="s">
        <v>13</v>
      </c>
      <c r="C10" s="29">
        <f>ROUND(Balances[[#This Row],[Total]]*40%,0)</f>
        <v>0</v>
      </c>
      <c r="D10" s="29">
        <f>ROUND(Balances[[#This Row],[Total]]*20%,0)</f>
        <v>0</v>
      </c>
      <c r="E10" s="29">
        <f>ROUND(Balances[[#This Row],[Total]]*40%,0)</f>
        <v>0</v>
      </c>
      <c r="F10" s="18">
        <f>SUM(Acueducto[[#This Row],[Acueducto]:[Aseo]])</f>
        <v>0</v>
      </c>
    </row>
    <row r="11" spans="1:6" ht="15" x14ac:dyDescent="0.2">
      <c r="A11" s="7">
        <v>111010</v>
      </c>
      <c r="B11" s="3" t="s">
        <v>14</v>
      </c>
      <c r="C11" s="29">
        <f>ROUND(Balances[[#This Row],[Total]]*40%,0)</f>
        <v>0</v>
      </c>
      <c r="D11" s="29">
        <f>ROUND(Balances[[#This Row],[Total]]*20%,0)</f>
        <v>0</v>
      </c>
      <c r="E11" s="29">
        <f>ROUND(Balances[[#This Row],[Total]]*40%,0)</f>
        <v>0</v>
      </c>
      <c r="F11" s="18">
        <f>SUM(Acueducto[[#This Row],[Acueducto]:[Aseo]])</f>
        <v>0</v>
      </c>
    </row>
    <row r="12" spans="1:6" ht="15" x14ac:dyDescent="0.2">
      <c r="A12" s="7">
        <v>111011</v>
      </c>
      <c r="B12" s="3" t="s">
        <v>15</v>
      </c>
      <c r="C12" s="29">
        <f>ROUND(Balances[[#This Row],[Total]]*40%,0)</f>
        <v>0</v>
      </c>
      <c r="D12" s="29">
        <f>ROUND(Balances[[#This Row],[Total]]*20%,0)</f>
        <v>0</v>
      </c>
      <c r="E12" s="29">
        <f>ROUND(Balances[[#This Row],[Total]]*40%,0)</f>
        <v>0</v>
      </c>
      <c r="F12" s="18">
        <f>SUM(Acueducto[[#This Row],[Acueducto]:[Aseo]])</f>
        <v>0</v>
      </c>
    </row>
    <row r="13" spans="1:6" ht="15" x14ac:dyDescent="0.2">
      <c r="A13" s="7">
        <v>111012</v>
      </c>
      <c r="B13" s="3" t="s">
        <v>16</v>
      </c>
      <c r="C13" s="29">
        <f>ROUND(Balances[[#This Row],[Total]]*40%,0)</f>
        <v>0</v>
      </c>
      <c r="D13" s="29">
        <f>ROUND(Balances[[#This Row],[Total]]*20%,0)</f>
        <v>0</v>
      </c>
      <c r="E13" s="29">
        <f>ROUND(Balances[[#This Row],[Total]]*40%,0)</f>
        <v>0</v>
      </c>
      <c r="F13" s="18">
        <f>SUM(Acueducto[[#This Row],[Acueducto]:[Aseo]])</f>
        <v>0</v>
      </c>
    </row>
    <row r="14" spans="1:6" ht="15" x14ac:dyDescent="0.2">
      <c r="A14" s="7">
        <v>111090</v>
      </c>
      <c r="B14" s="3" t="s">
        <v>17</v>
      </c>
      <c r="C14" s="29">
        <f>ROUND(Balances[[#This Row],[Total]]*40%,0)</f>
        <v>0</v>
      </c>
      <c r="D14" s="29">
        <f>ROUND(Balances[[#This Row],[Total]]*20%,0)</f>
        <v>0</v>
      </c>
      <c r="E14" s="29">
        <f>ROUND(Balances[[#This Row],[Total]]*40%,0)</f>
        <v>0</v>
      </c>
      <c r="F14" s="18">
        <f>SUM(Acueducto[[#This Row],[Acueducto]:[Aseo]])</f>
        <v>0</v>
      </c>
    </row>
    <row r="15" spans="1:6" ht="15" x14ac:dyDescent="0.2">
      <c r="A15" s="6">
        <v>1120</v>
      </c>
      <c r="B15" s="2" t="s">
        <v>18</v>
      </c>
      <c r="C15" s="28">
        <f>ROUND(Balances[[#This Row],[Total]]*40%,0)</f>
        <v>0</v>
      </c>
      <c r="D15" s="28">
        <f>ROUND(Balances[[#This Row],[Total]]*20%,0)</f>
        <v>0</v>
      </c>
      <c r="E15" s="28">
        <f>ROUND(Balances[[#This Row],[Total]]*40%,0)</f>
        <v>0</v>
      </c>
      <c r="F15" s="17">
        <f>SUM(Acueducto[[#This Row],[Acueducto]:[Aseo]])</f>
        <v>0</v>
      </c>
    </row>
    <row r="16" spans="1:6" ht="15" x14ac:dyDescent="0.2">
      <c r="A16" s="7">
        <v>112005</v>
      </c>
      <c r="B16" s="3" t="s">
        <v>11</v>
      </c>
      <c r="C16" s="29">
        <f>ROUND(Balances[[#This Row],[Total]]*40%,0)</f>
        <v>0</v>
      </c>
      <c r="D16" s="29">
        <f>ROUND(Balances[[#This Row],[Total]]*20%,0)</f>
        <v>0</v>
      </c>
      <c r="E16" s="29">
        <f>ROUND(Balances[[#This Row],[Total]]*40%,0)</f>
        <v>0</v>
      </c>
      <c r="F16" s="18">
        <f>SUM(Acueducto[[#This Row],[Acueducto]:[Aseo]])</f>
        <v>0</v>
      </c>
    </row>
    <row r="17" spans="1:6" ht="15" x14ac:dyDescent="0.2">
      <c r="A17" s="7">
        <v>112006</v>
      </c>
      <c r="B17" s="3" t="s">
        <v>12</v>
      </c>
      <c r="C17" s="29">
        <f>ROUND(Balances[[#This Row],[Total]]*40%,0)</f>
        <v>0</v>
      </c>
      <c r="D17" s="29">
        <f>ROUND(Balances[[#This Row],[Total]]*20%,0)</f>
        <v>0</v>
      </c>
      <c r="E17" s="29">
        <f>ROUND(Balances[[#This Row],[Total]]*40%,0)</f>
        <v>0</v>
      </c>
      <c r="F17" s="18">
        <f>SUM(Acueducto[[#This Row],[Acueducto]:[Aseo]])</f>
        <v>0</v>
      </c>
    </row>
    <row r="18" spans="1:6" ht="15" x14ac:dyDescent="0.2">
      <c r="A18" s="7">
        <v>112090</v>
      </c>
      <c r="B18" s="3" t="s">
        <v>19</v>
      </c>
      <c r="C18" s="29">
        <f>ROUND(Balances[[#This Row],[Total]]*40%,0)</f>
        <v>0</v>
      </c>
      <c r="D18" s="29">
        <f>ROUND(Balances[[#This Row],[Total]]*20%,0)</f>
        <v>0</v>
      </c>
      <c r="E18" s="29">
        <f>ROUND(Balances[[#This Row],[Total]]*40%,0)</f>
        <v>0</v>
      </c>
      <c r="F18" s="18">
        <f>SUM(Acueducto[[#This Row],[Acueducto]:[Aseo]])</f>
        <v>0</v>
      </c>
    </row>
    <row r="19" spans="1:6" ht="15" x14ac:dyDescent="0.2">
      <c r="A19" s="6">
        <v>1132</v>
      </c>
      <c r="B19" s="2" t="s">
        <v>20</v>
      </c>
      <c r="C19" s="28">
        <f>ROUND(Balances[[#This Row],[Total]]*40%,0)</f>
        <v>0</v>
      </c>
      <c r="D19" s="28">
        <f>ROUND(Balances[[#This Row],[Total]]*20%,0)</f>
        <v>0</v>
      </c>
      <c r="E19" s="28">
        <f>ROUND(Balances[[#This Row],[Total]]*40%,0)</f>
        <v>0</v>
      </c>
      <c r="F19" s="17">
        <f>SUM(Acueducto[[#This Row],[Acueducto]:[Aseo]])</f>
        <v>0</v>
      </c>
    </row>
    <row r="20" spans="1:6" ht="15" x14ac:dyDescent="0.2">
      <c r="A20" s="7">
        <v>113205</v>
      </c>
      <c r="B20" s="3" t="s">
        <v>21</v>
      </c>
      <c r="C20" s="29">
        <f>ROUND(Balances[[#This Row],[Total]]*40%,0)</f>
        <v>0</v>
      </c>
      <c r="D20" s="29">
        <f>ROUND(Balances[[#This Row],[Total]]*20%,0)</f>
        <v>0</v>
      </c>
      <c r="E20" s="29">
        <f>ROUND(Balances[[#This Row],[Total]]*40%,0)</f>
        <v>0</v>
      </c>
      <c r="F20" s="18">
        <f>SUM(Acueducto[[#This Row],[Acueducto]:[Aseo]])</f>
        <v>0</v>
      </c>
    </row>
    <row r="21" spans="1:6" ht="15" x14ac:dyDescent="0.2">
      <c r="A21" s="7">
        <v>113210</v>
      </c>
      <c r="B21" s="3" t="s">
        <v>22</v>
      </c>
      <c r="C21" s="29">
        <f>ROUND(Balances[[#This Row],[Total]]*40%,0)</f>
        <v>0</v>
      </c>
      <c r="D21" s="29">
        <f>ROUND(Balances[[#This Row],[Total]]*20%,0)</f>
        <v>0</v>
      </c>
      <c r="E21" s="29">
        <f>ROUND(Balances[[#This Row],[Total]]*40%,0)</f>
        <v>0</v>
      </c>
      <c r="F21" s="18">
        <f>SUM(Acueducto[[#This Row],[Acueducto]:[Aseo]])</f>
        <v>0</v>
      </c>
    </row>
    <row r="22" spans="1:6" ht="15" x14ac:dyDescent="0.2">
      <c r="A22" s="7">
        <v>113220</v>
      </c>
      <c r="B22" s="3" t="s">
        <v>23</v>
      </c>
      <c r="C22" s="29">
        <f>ROUND(Balances[[#This Row],[Total]]*40%,0)</f>
        <v>0</v>
      </c>
      <c r="D22" s="29">
        <f>ROUND(Balances[[#This Row],[Total]]*20%,0)</f>
        <v>0</v>
      </c>
      <c r="E22" s="29">
        <f>ROUND(Balances[[#This Row],[Total]]*40%,0)</f>
        <v>0</v>
      </c>
      <c r="F22" s="18">
        <f>SUM(Acueducto[[#This Row],[Acueducto]:[Aseo]])</f>
        <v>0</v>
      </c>
    </row>
    <row r="23" spans="1:6" ht="15" x14ac:dyDescent="0.2">
      <c r="A23" s="6">
        <v>1133</v>
      </c>
      <c r="B23" s="2" t="s">
        <v>24</v>
      </c>
      <c r="C23" s="28">
        <f>ROUND(Balances[[#This Row],[Total]]*40%,0)</f>
        <v>0</v>
      </c>
      <c r="D23" s="28">
        <f>ROUND(Balances[[#This Row],[Total]]*20%,0)</f>
        <v>0</v>
      </c>
      <c r="E23" s="28">
        <f>ROUND(Balances[[#This Row],[Total]]*40%,0)</f>
        <v>0</v>
      </c>
      <c r="F23" s="17">
        <f>SUM(Acueducto[[#This Row],[Acueducto]:[Aseo]])</f>
        <v>0</v>
      </c>
    </row>
    <row r="24" spans="1:6" ht="15" x14ac:dyDescent="0.2">
      <c r="A24" s="7">
        <v>113301</v>
      </c>
      <c r="B24" s="3" t="s">
        <v>25</v>
      </c>
      <c r="C24" s="29">
        <f>ROUND(Balances[[#This Row],[Total]]*40%,0)</f>
        <v>0</v>
      </c>
      <c r="D24" s="29">
        <f>ROUND(Balances[[#This Row],[Total]]*20%,0)</f>
        <v>0</v>
      </c>
      <c r="E24" s="29">
        <f>ROUND(Balances[[#This Row],[Total]]*40%,0)</f>
        <v>0</v>
      </c>
      <c r="F24" s="18">
        <f>SUM(Acueducto[[#This Row],[Acueducto]:[Aseo]])</f>
        <v>0</v>
      </c>
    </row>
    <row r="25" spans="1:6" ht="15" x14ac:dyDescent="0.2">
      <c r="A25" s="7">
        <v>113302</v>
      </c>
      <c r="B25" s="3" t="s">
        <v>26</v>
      </c>
      <c r="C25" s="29">
        <f>ROUND(Balances[[#This Row],[Total]]*40%,0)</f>
        <v>0</v>
      </c>
      <c r="D25" s="29">
        <f>ROUND(Balances[[#This Row],[Total]]*20%,0)</f>
        <v>0</v>
      </c>
      <c r="E25" s="29">
        <f>ROUND(Balances[[#This Row],[Total]]*40%,0)</f>
        <v>0</v>
      </c>
      <c r="F25" s="18">
        <f>SUM(Acueducto[[#This Row],[Acueducto]:[Aseo]])</f>
        <v>0</v>
      </c>
    </row>
    <row r="26" spans="1:6" ht="15" x14ac:dyDescent="0.2">
      <c r="A26" s="7">
        <v>113303</v>
      </c>
      <c r="B26" s="3" t="s">
        <v>27</v>
      </c>
      <c r="C26" s="29">
        <f>ROUND(Balances[[#This Row],[Total]]*40%,0)</f>
        <v>0</v>
      </c>
      <c r="D26" s="29">
        <f>ROUND(Balances[[#This Row],[Total]]*20%,0)</f>
        <v>0</v>
      </c>
      <c r="E26" s="29">
        <f>ROUND(Balances[[#This Row],[Total]]*40%,0)</f>
        <v>0</v>
      </c>
      <c r="F26" s="18">
        <f>SUM(Acueducto[[#This Row],[Acueducto]:[Aseo]])</f>
        <v>0</v>
      </c>
    </row>
    <row r="27" spans="1:6" ht="15" x14ac:dyDescent="0.2">
      <c r="A27" s="7">
        <v>113304</v>
      </c>
      <c r="B27" s="3" t="s">
        <v>28</v>
      </c>
      <c r="C27" s="29">
        <f>ROUND(Balances[[#This Row],[Total]]*40%,0)</f>
        <v>0</v>
      </c>
      <c r="D27" s="29">
        <f>ROUND(Balances[[#This Row],[Total]]*20%,0)</f>
        <v>0</v>
      </c>
      <c r="E27" s="29">
        <f>ROUND(Balances[[#This Row],[Total]]*40%,0)</f>
        <v>0</v>
      </c>
      <c r="F27" s="18">
        <f>SUM(Acueducto[[#This Row],[Acueducto]:[Aseo]])</f>
        <v>0</v>
      </c>
    </row>
    <row r="28" spans="1:6" ht="15" x14ac:dyDescent="0.2">
      <c r="A28" s="7">
        <v>113305</v>
      </c>
      <c r="B28" s="3" t="s">
        <v>29</v>
      </c>
      <c r="C28" s="29">
        <f>ROUND(Balances[[#This Row],[Total]]*40%,0)</f>
        <v>0</v>
      </c>
      <c r="D28" s="29">
        <f>ROUND(Balances[[#This Row],[Total]]*20%,0)</f>
        <v>0</v>
      </c>
      <c r="E28" s="29">
        <f>ROUND(Balances[[#This Row],[Total]]*40%,0)</f>
        <v>0</v>
      </c>
      <c r="F28" s="18">
        <f>SUM(Acueducto[[#This Row],[Acueducto]:[Aseo]])</f>
        <v>0</v>
      </c>
    </row>
    <row r="29" spans="1:6" ht="15" x14ac:dyDescent="0.2">
      <c r="A29" s="7">
        <v>113306</v>
      </c>
      <c r="B29" s="3" t="s">
        <v>30</v>
      </c>
      <c r="C29" s="29">
        <f>ROUND(Balances[[#This Row],[Total]]*40%,0)</f>
        <v>0</v>
      </c>
      <c r="D29" s="29">
        <f>ROUND(Balances[[#This Row],[Total]]*20%,0)</f>
        <v>0</v>
      </c>
      <c r="E29" s="29">
        <f>ROUND(Balances[[#This Row],[Total]]*40%,0)</f>
        <v>0</v>
      </c>
      <c r="F29" s="18">
        <f>SUM(Acueducto[[#This Row],[Acueducto]:[Aseo]])</f>
        <v>0</v>
      </c>
    </row>
    <row r="30" spans="1:6" ht="15" x14ac:dyDescent="0.2">
      <c r="A30" s="7">
        <v>113307</v>
      </c>
      <c r="B30" s="3" t="s">
        <v>31</v>
      </c>
      <c r="C30" s="29">
        <f>ROUND(Balances[[#This Row],[Total]]*40%,0)</f>
        <v>0</v>
      </c>
      <c r="D30" s="29">
        <f>ROUND(Balances[[#This Row],[Total]]*20%,0)</f>
        <v>0</v>
      </c>
      <c r="E30" s="29">
        <f>ROUND(Balances[[#This Row],[Total]]*40%,0)</f>
        <v>0</v>
      </c>
      <c r="F30" s="18">
        <f>SUM(Acueducto[[#This Row],[Acueducto]:[Aseo]])</f>
        <v>0</v>
      </c>
    </row>
    <row r="31" spans="1:6" ht="15" x14ac:dyDescent="0.2">
      <c r="A31" s="7">
        <v>113390</v>
      </c>
      <c r="B31" s="3" t="s">
        <v>32</v>
      </c>
      <c r="C31" s="29">
        <f>ROUND(Balances[[#This Row],[Total]]*40%,0)</f>
        <v>0</v>
      </c>
      <c r="D31" s="29">
        <f>ROUND(Balances[[#This Row],[Total]]*20%,0)</f>
        <v>0</v>
      </c>
      <c r="E31" s="29">
        <f>ROUND(Balances[[#This Row],[Total]]*40%,0)</f>
        <v>0</v>
      </c>
      <c r="F31" s="18">
        <f>SUM(Acueducto[[#This Row],[Acueducto]:[Aseo]])</f>
        <v>0</v>
      </c>
    </row>
    <row r="32" spans="1:6" ht="15" x14ac:dyDescent="0.2">
      <c r="A32" s="6">
        <v>12</v>
      </c>
      <c r="B32" s="2" t="s">
        <v>33</v>
      </c>
      <c r="C32" s="28">
        <f>ROUND(Balances[[#This Row],[Total]]*40%,0)</f>
        <v>0</v>
      </c>
      <c r="D32" s="28">
        <f>ROUND(Balances[[#This Row],[Total]]*20%,0)</f>
        <v>0</v>
      </c>
      <c r="E32" s="28">
        <f>ROUND(Balances[[#This Row],[Total]]*40%,0)</f>
        <v>0</v>
      </c>
      <c r="F32" s="17">
        <f>SUM(Acueducto[[#This Row],[Acueducto]:[Aseo]])</f>
        <v>0</v>
      </c>
    </row>
    <row r="33" spans="1:6" ht="15" x14ac:dyDescent="0.2">
      <c r="A33" s="6">
        <v>1216</v>
      </c>
      <c r="B33" s="2" t="s">
        <v>34</v>
      </c>
      <c r="C33" s="28">
        <f>ROUND(Balances[[#This Row],[Total]]*40%,0)</f>
        <v>0</v>
      </c>
      <c r="D33" s="28">
        <f>ROUND(Balances[[#This Row],[Total]]*20%,0)</f>
        <v>0</v>
      </c>
      <c r="E33" s="28">
        <f>ROUND(Balances[[#This Row],[Total]]*40%,0)</f>
        <v>0</v>
      </c>
      <c r="F33" s="17">
        <f>SUM(Acueducto[[#This Row],[Acueducto]:[Aseo]])</f>
        <v>0</v>
      </c>
    </row>
    <row r="34" spans="1:6" ht="15" x14ac:dyDescent="0.2">
      <c r="A34" s="7">
        <v>121601</v>
      </c>
      <c r="B34" s="3" t="s">
        <v>35</v>
      </c>
      <c r="C34" s="29">
        <f>ROUND(Balances[[#This Row],[Total]]*40%,0)</f>
        <v>0</v>
      </c>
      <c r="D34" s="29">
        <f>ROUND(Balances[[#This Row],[Total]]*20%,0)</f>
        <v>0</v>
      </c>
      <c r="E34" s="29">
        <f>ROUND(Balances[[#This Row],[Total]]*40%,0)</f>
        <v>0</v>
      </c>
      <c r="F34" s="18">
        <f>SUM(Acueducto[[#This Row],[Acueducto]:[Aseo]])</f>
        <v>0</v>
      </c>
    </row>
    <row r="35" spans="1:6" ht="15" x14ac:dyDescent="0.2">
      <c r="A35" s="7">
        <v>121602</v>
      </c>
      <c r="B35" s="3" t="s">
        <v>36</v>
      </c>
      <c r="C35" s="29">
        <f>ROUND(Balances[[#This Row],[Total]]*40%,0)</f>
        <v>0</v>
      </c>
      <c r="D35" s="29">
        <f>ROUND(Balances[[#This Row],[Total]]*20%,0)</f>
        <v>0</v>
      </c>
      <c r="E35" s="29">
        <f>ROUND(Balances[[#This Row],[Total]]*40%,0)</f>
        <v>0</v>
      </c>
      <c r="F35" s="18">
        <f>SUM(Acueducto[[#This Row],[Acueducto]:[Aseo]])</f>
        <v>0</v>
      </c>
    </row>
    <row r="36" spans="1:6" ht="15" x14ac:dyDescent="0.2">
      <c r="A36" s="7">
        <v>121603</v>
      </c>
      <c r="B36" s="3" t="s">
        <v>37</v>
      </c>
      <c r="C36" s="29">
        <f>ROUND(Balances[[#This Row],[Total]]*40%,0)</f>
        <v>0</v>
      </c>
      <c r="D36" s="29">
        <f>ROUND(Balances[[#This Row],[Total]]*20%,0)</f>
        <v>0</v>
      </c>
      <c r="E36" s="29">
        <f>ROUND(Balances[[#This Row],[Total]]*40%,0)</f>
        <v>0</v>
      </c>
      <c r="F36" s="18">
        <f>SUM(Acueducto[[#This Row],[Acueducto]:[Aseo]])</f>
        <v>0</v>
      </c>
    </row>
    <row r="37" spans="1:6" ht="15" x14ac:dyDescent="0.2">
      <c r="A37" s="7">
        <v>121604</v>
      </c>
      <c r="B37" s="3" t="s">
        <v>38</v>
      </c>
      <c r="C37" s="29">
        <f>ROUND(Balances[[#This Row],[Total]]*40%,0)</f>
        <v>0</v>
      </c>
      <c r="D37" s="29">
        <f>ROUND(Balances[[#This Row],[Total]]*20%,0)</f>
        <v>0</v>
      </c>
      <c r="E37" s="29">
        <f>ROUND(Balances[[#This Row],[Total]]*40%,0)</f>
        <v>0</v>
      </c>
      <c r="F37" s="18">
        <f>SUM(Acueducto[[#This Row],[Acueducto]:[Aseo]])</f>
        <v>0</v>
      </c>
    </row>
    <row r="38" spans="1:6" ht="15" x14ac:dyDescent="0.2">
      <c r="A38" s="7">
        <v>121605</v>
      </c>
      <c r="B38" s="3" t="s">
        <v>39</v>
      </c>
      <c r="C38" s="29">
        <f>ROUND(Balances[[#This Row],[Total]]*40%,0)</f>
        <v>0</v>
      </c>
      <c r="D38" s="29">
        <f>ROUND(Balances[[#This Row],[Total]]*20%,0)</f>
        <v>0</v>
      </c>
      <c r="E38" s="29">
        <f>ROUND(Balances[[#This Row],[Total]]*40%,0)</f>
        <v>0</v>
      </c>
      <c r="F38" s="18">
        <f>SUM(Acueducto[[#This Row],[Acueducto]:[Aseo]])</f>
        <v>0</v>
      </c>
    </row>
    <row r="39" spans="1:6" ht="15" x14ac:dyDescent="0.2">
      <c r="A39" s="7">
        <v>121606</v>
      </c>
      <c r="B39" s="3" t="s">
        <v>40</v>
      </c>
      <c r="C39" s="29">
        <f>ROUND(Balances[[#This Row],[Total]]*40%,0)</f>
        <v>0</v>
      </c>
      <c r="D39" s="29">
        <f>ROUND(Balances[[#This Row],[Total]]*20%,0)</f>
        <v>0</v>
      </c>
      <c r="E39" s="29">
        <f>ROUND(Balances[[#This Row],[Total]]*40%,0)</f>
        <v>0</v>
      </c>
      <c r="F39" s="18">
        <f>SUM(Acueducto[[#This Row],[Acueducto]:[Aseo]])</f>
        <v>0</v>
      </c>
    </row>
    <row r="40" spans="1:6" ht="15" x14ac:dyDescent="0.2">
      <c r="A40" s="6">
        <v>1220</v>
      </c>
      <c r="B40" s="2" t="s">
        <v>41</v>
      </c>
      <c r="C40" s="28">
        <f>ROUND(Balances[[#This Row],[Total]]*40%,0)</f>
        <v>0</v>
      </c>
      <c r="D40" s="28">
        <f>ROUND(Balances[[#This Row],[Total]]*20%,0)</f>
        <v>0</v>
      </c>
      <c r="E40" s="28">
        <f>ROUND(Balances[[#This Row],[Total]]*40%,0)</f>
        <v>0</v>
      </c>
      <c r="F40" s="17">
        <f>SUM(Acueducto[[#This Row],[Acueducto]:[Aseo]])</f>
        <v>0</v>
      </c>
    </row>
    <row r="41" spans="1:6" ht="15" x14ac:dyDescent="0.2">
      <c r="A41" s="7">
        <v>122015</v>
      </c>
      <c r="B41" s="3" t="s">
        <v>42</v>
      </c>
      <c r="C41" s="29">
        <f>ROUND(Balances[[#This Row],[Total]]*40%,0)</f>
        <v>0</v>
      </c>
      <c r="D41" s="29">
        <f>ROUND(Balances[[#This Row],[Total]]*20%,0)</f>
        <v>0</v>
      </c>
      <c r="E41" s="29">
        <f>ROUND(Balances[[#This Row],[Total]]*40%,0)</f>
        <v>0</v>
      </c>
      <c r="F41" s="18">
        <f>SUM(Acueducto[[#This Row],[Acueducto]:[Aseo]])</f>
        <v>0</v>
      </c>
    </row>
    <row r="42" spans="1:6" ht="15" x14ac:dyDescent="0.2">
      <c r="A42" s="7">
        <v>122016</v>
      </c>
      <c r="B42" s="3" t="s">
        <v>43</v>
      </c>
      <c r="C42" s="29">
        <f>ROUND(Balances[[#This Row],[Total]]*40%,0)</f>
        <v>0</v>
      </c>
      <c r="D42" s="29">
        <f>ROUND(Balances[[#This Row],[Total]]*20%,0)</f>
        <v>0</v>
      </c>
      <c r="E42" s="29">
        <f>ROUND(Balances[[#This Row],[Total]]*40%,0)</f>
        <v>0</v>
      </c>
      <c r="F42" s="18">
        <f>SUM(Acueducto[[#This Row],[Acueducto]:[Aseo]])</f>
        <v>0</v>
      </c>
    </row>
    <row r="43" spans="1:6" ht="15" x14ac:dyDescent="0.2">
      <c r="A43" s="7">
        <v>122017</v>
      </c>
      <c r="B43" s="3" t="s">
        <v>44</v>
      </c>
      <c r="C43" s="29">
        <f>ROUND(Balances[[#This Row],[Total]]*40%,0)</f>
        <v>0</v>
      </c>
      <c r="D43" s="29">
        <f>ROUND(Balances[[#This Row],[Total]]*20%,0)</f>
        <v>0</v>
      </c>
      <c r="E43" s="29">
        <f>ROUND(Balances[[#This Row],[Total]]*40%,0)</f>
        <v>0</v>
      </c>
      <c r="F43" s="18">
        <f>SUM(Acueducto[[#This Row],[Acueducto]:[Aseo]])</f>
        <v>0</v>
      </c>
    </row>
    <row r="44" spans="1:6" ht="15" x14ac:dyDescent="0.2">
      <c r="A44" s="7">
        <v>122018</v>
      </c>
      <c r="B44" s="3" t="s">
        <v>45</v>
      </c>
      <c r="C44" s="29">
        <f>ROUND(Balances[[#This Row],[Total]]*40%,0)</f>
        <v>0</v>
      </c>
      <c r="D44" s="29">
        <f>ROUND(Balances[[#This Row],[Total]]*20%,0)</f>
        <v>0</v>
      </c>
      <c r="E44" s="29">
        <f>ROUND(Balances[[#This Row],[Total]]*40%,0)</f>
        <v>0</v>
      </c>
      <c r="F44" s="18">
        <f>SUM(Acueducto[[#This Row],[Acueducto]:[Aseo]])</f>
        <v>0</v>
      </c>
    </row>
    <row r="45" spans="1:6" ht="15" x14ac:dyDescent="0.2">
      <c r="A45" s="6">
        <v>1221</v>
      </c>
      <c r="B45" s="2" t="s">
        <v>46</v>
      </c>
      <c r="C45" s="28">
        <f>ROUND(Balances[[#This Row],[Total]]*40%,0)</f>
        <v>0</v>
      </c>
      <c r="D45" s="28">
        <f>ROUND(Balances[[#This Row],[Total]]*20%,0)</f>
        <v>0</v>
      </c>
      <c r="E45" s="28">
        <f>ROUND(Balances[[#This Row],[Total]]*40%,0)</f>
        <v>0</v>
      </c>
      <c r="F45" s="17">
        <f>SUM(Acueducto[[#This Row],[Acueducto]:[Aseo]])</f>
        <v>0</v>
      </c>
    </row>
    <row r="46" spans="1:6" ht="15" x14ac:dyDescent="0.2">
      <c r="A46" s="7">
        <v>122101</v>
      </c>
      <c r="B46" s="3" t="s">
        <v>47</v>
      </c>
      <c r="C46" s="29">
        <f>ROUND(Balances[[#This Row],[Total]]*40%,0)</f>
        <v>0</v>
      </c>
      <c r="D46" s="29">
        <f>ROUND(Balances[[#This Row],[Total]]*20%,0)</f>
        <v>0</v>
      </c>
      <c r="E46" s="29">
        <f>ROUND(Balances[[#This Row],[Total]]*40%,0)</f>
        <v>0</v>
      </c>
      <c r="F46" s="18">
        <f>SUM(Acueducto[[#This Row],[Acueducto]:[Aseo]])</f>
        <v>0</v>
      </c>
    </row>
    <row r="47" spans="1:6" ht="15" x14ac:dyDescent="0.2">
      <c r="A47" s="7">
        <v>122102</v>
      </c>
      <c r="B47" s="3" t="s">
        <v>48</v>
      </c>
      <c r="C47" s="29">
        <f>ROUND(Balances[[#This Row],[Total]]*40%,0)</f>
        <v>0</v>
      </c>
      <c r="D47" s="29">
        <f>ROUND(Balances[[#This Row],[Total]]*20%,0)</f>
        <v>0</v>
      </c>
      <c r="E47" s="29">
        <f>ROUND(Balances[[#This Row],[Total]]*40%,0)</f>
        <v>0</v>
      </c>
      <c r="F47" s="18">
        <f>SUM(Acueducto[[#This Row],[Acueducto]:[Aseo]])</f>
        <v>0</v>
      </c>
    </row>
    <row r="48" spans="1:6" ht="15" x14ac:dyDescent="0.2">
      <c r="A48" s="7">
        <v>122103</v>
      </c>
      <c r="B48" s="3" t="s">
        <v>49</v>
      </c>
      <c r="C48" s="29">
        <f>ROUND(Balances[[#This Row],[Total]]*40%,0)</f>
        <v>0</v>
      </c>
      <c r="D48" s="29">
        <f>ROUND(Balances[[#This Row],[Total]]*20%,0)</f>
        <v>0</v>
      </c>
      <c r="E48" s="29">
        <f>ROUND(Balances[[#This Row],[Total]]*40%,0)</f>
        <v>0</v>
      </c>
      <c r="F48" s="18">
        <f>SUM(Acueducto[[#This Row],[Acueducto]:[Aseo]])</f>
        <v>0</v>
      </c>
    </row>
    <row r="49" spans="1:6" ht="15" x14ac:dyDescent="0.2">
      <c r="A49" s="7">
        <v>122104</v>
      </c>
      <c r="B49" s="3" t="s">
        <v>50</v>
      </c>
      <c r="C49" s="29">
        <f>ROUND(Balances[[#This Row],[Total]]*40%,0)</f>
        <v>0</v>
      </c>
      <c r="D49" s="29">
        <f>ROUND(Balances[[#This Row],[Total]]*20%,0)</f>
        <v>0</v>
      </c>
      <c r="E49" s="29">
        <f>ROUND(Balances[[#This Row],[Total]]*40%,0)</f>
        <v>0</v>
      </c>
      <c r="F49" s="18">
        <f>SUM(Acueducto[[#This Row],[Acueducto]:[Aseo]])</f>
        <v>0</v>
      </c>
    </row>
    <row r="50" spans="1:6" ht="15" x14ac:dyDescent="0.2">
      <c r="A50" s="7">
        <v>122105</v>
      </c>
      <c r="B50" s="3" t="s">
        <v>51</v>
      </c>
      <c r="C50" s="29">
        <f>ROUND(Balances[[#This Row],[Total]]*40%,0)</f>
        <v>0</v>
      </c>
      <c r="D50" s="29">
        <f>ROUND(Balances[[#This Row],[Total]]*20%,0)</f>
        <v>0</v>
      </c>
      <c r="E50" s="29">
        <f>ROUND(Balances[[#This Row],[Total]]*40%,0)</f>
        <v>0</v>
      </c>
      <c r="F50" s="18">
        <f>SUM(Acueducto[[#This Row],[Acueducto]:[Aseo]])</f>
        <v>0</v>
      </c>
    </row>
    <row r="51" spans="1:6" ht="15" x14ac:dyDescent="0.2">
      <c r="A51" s="7">
        <v>122106</v>
      </c>
      <c r="B51" s="3" t="s">
        <v>52</v>
      </c>
      <c r="C51" s="29">
        <f>ROUND(Balances[[#This Row],[Total]]*40%,0)</f>
        <v>0</v>
      </c>
      <c r="D51" s="29">
        <f>ROUND(Balances[[#This Row],[Total]]*20%,0)</f>
        <v>0</v>
      </c>
      <c r="E51" s="29">
        <f>ROUND(Balances[[#This Row],[Total]]*40%,0)</f>
        <v>0</v>
      </c>
      <c r="F51" s="18">
        <f>SUM(Acueducto[[#This Row],[Acueducto]:[Aseo]])</f>
        <v>0</v>
      </c>
    </row>
    <row r="52" spans="1:6" ht="15" x14ac:dyDescent="0.2">
      <c r="A52" s="7">
        <v>122107</v>
      </c>
      <c r="B52" s="3" t="s">
        <v>53</v>
      </c>
      <c r="C52" s="29">
        <f>ROUND(Balances[[#This Row],[Total]]*40%,0)</f>
        <v>0</v>
      </c>
      <c r="D52" s="29">
        <f>ROUND(Balances[[#This Row],[Total]]*20%,0)</f>
        <v>0</v>
      </c>
      <c r="E52" s="29">
        <f>ROUND(Balances[[#This Row],[Total]]*40%,0)</f>
        <v>0</v>
      </c>
      <c r="F52" s="18">
        <f>SUM(Acueducto[[#This Row],[Acueducto]:[Aseo]])</f>
        <v>0</v>
      </c>
    </row>
    <row r="53" spans="1:6" ht="15" x14ac:dyDescent="0.2">
      <c r="A53" s="7">
        <v>122108</v>
      </c>
      <c r="B53" s="3" t="s">
        <v>54</v>
      </c>
      <c r="C53" s="29">
        <f>ROUND(Balances[[#This Row],[Total]]*40%,0)</f>
        <v>0</v>
      </c>
      <c r="D53" s="29">
        <f>ROUND(Balances[[#This Row],[Total]]*20%,0)</f>
        <v>0</v>
      </c>
      <c r="E53" s="29">
        <f>ROUND(Balances[[#This Row],[Total]]*40%,0)</f>
        <v>0</v>
      </c>
      <c r="F53" s="18">
        <f>SUM(Acueducto[[#This Row],[Acueducto]:[Aseo]])</f>
        <v>0</v>
      </c>
    </row>
    <row r="54" spans="1:6" ht="15" x14ac:dyDescent="0.2">
      <c r="A54" s="7">
        <v>122109</v>
      </c>
      <c r="B54" s="3" t="s">
        <v>55</v>
      </c>
      <c r="C54" s="29">
        <f>ROUND(Balances[[#This Row],[Total]]*40%,0)</f>
        <v>0</v>
      </c>
      <c r="D54" s="29">
        <f>ROUND(Balances[[#This Row],[Total]]*20%,0)</f>
        <v>0</v>
      </c>
      <c r="E54" s="29">
        <f>ROUND(Balances[[#This Row],[Total]]*40%,0)</f>
        <v>0</v>
      </c>
      <c r="F54" s="18">
        <f>SUM(Acueducto[[#This Row],[Acueducto]:[Aseo]])</f>
        <v>0</v>
      </c>
    </row>
    <row r="55" spans="1:6" ht="15" x14ac:dyDescent="0.2">
      <c r="A55" s="7">
        <v>122110</v>
      </c>
      <c r="B55" s="3" t="s">
        <v>56</v>
      </c>
      <c r="C55" s="29">
        <f>ROUND(Balances[[#This Row],[Total]]*40%,0)</f>
        <v>0</v>
      </c>
      <c r="D55" s="29">
        <f>ROUND(Balances[[#This Row],[Total]]*20%,0)</f>
        <v>0</v>
      </c>
      <c r="E55" s="29">
        <f>ROUND(Balances[[#This Row],[Total]]*40%,0)</f>
        <v>0</v>
      </c>
      <c r="F55" s="18">
        <f>SUM(Acueducto[[#This Row],[Acueducto]:[Aseo]])</f>
        <v>0</v>
      </c>
    </row>
    <row r="56" spans="1:6" ht="15" x14ac:dyDescent="0.2">
      <c r="A56" s="7">
        <v>122111</v>
      </c>
      <c r="B56" s="3" t="s">
        <v>57</v>
      </c>
      <c r="C56" s="29">
        <f>ROUND(Balances[[#This Row],[Total]]*40%,0)</f>
        <v>0</v>
      </c>
      <c r="D56" s="29">
        <f>ROUND(Balances[[#This Row],[Total]]*20%,0)</f>
        <v>0</v>
      </c>
      <c r="E56" s="29">
        <f>ROUND(Balances[[#This Row],[Total]]*40%,0)</f>
        <v>0</v>
      </c>
      <c r="F56" s="18">
        <f>SUM(Acueducto[[#This Row],[Acueducto]:[Aseo]])</f>
        <v>0</v>
      </c>
    </row>
    <row r="57" spans="1:6" ht="15" x14ac:dyDescent="0.2">
      <c r="A57" s="7">
        <v>122112</v>
      </c>
      <c r="B57" s="3" t="s">
        <v>58</v>
      </c>
      <c r="C57" s="29">
        <f>ROUND(Balances[[#This Row],[Total]]*40%,0)</f>
        <v>0</v>
      </c>
      <c r="D57" s="29">
        <f>ROUND(Balances[[#This Row],[Total]]*20%,0)</f>
        <v>0</v>
      </c>
      <c r="E57" s="29">
        <f>ROUND(Balances[[#This Row],[Total]]*40%,0)</f>
        <v>0</v>
      </c>
      <c r="F57" s="18">
        <f>SUM(Acueducto[[#This Row],[Acueducto]:[Aseo]])</f>
        <v>0</v>
      </c>
    </row>
    <row r="58" spans="1:6" ht="15" x14ac:dyDescent="0.2">
      <c r="A58" s="7">
        <v>122113</v>
      </c>
      <c r="B58" s="3" t="s">
        <v>59</v>
      </c>
      <c r="C58" s="29">
        <f>ROUND(Balances[[#This Row],[Total]]*40%,0)</f>
        <v>0</v>
      </c>
      <c r="D58" s="29">
        <f>ROUND(Balances[[#This Row],[Total]]*20%,0)</f>
        <v>0</v>
      </c>
      <c r="E58" s="29">
        <f>ROUND(Balances[[#This Row],[Total]]*40%,0)</f>
        <v>0</v>
      </c>
      <c r="F58" s="18">
        <f>SUM(Acueducto[[#This Row],[Acueducto]:[Aseo]])</f>
        <v>0</v>
      </c>
    </row>
    <row r="59" spans="1:6" ht="15" x14ac:dyDescent="0.2">
      <c r="A59" s="7">
        <v>122114</v>
      </c>
      <c r="B59" s="3" t="s">
        <v>60</v>
      </c>
      <c r="C59" s="29">
        <f>ROUND(Balances[[#This Row],[Total]]*40%,0)</f>
        <v>0</v>
      </c>
      <c r="D59" s="29">
        <f>ROUND(Balances[[#This Row],[Total]]*20%,0)</f>
        <v>0</v>
      </c>
      <c r="E59" s="29">
        <f>ROUND(Balances[[#This Row],[Total]]*40%,0)</f>
        <v>0</v>
      </c>
      <c r="F59" s="18">
        <f>SUM(Acueducto[[#This Row],[Acueducto]:[Aseo]])</f>
        <v>0</v>
      </c>
    </row>
    <row r="60" spans="1:6" ht="15" x14ac:dyDescent="0.2">
      <c r="A60" s="7">
        <v>122115</v>
      </c>
      <c r="B60" s="3" t="s">
        <v>61</v>
      </c>
      <c r="C60" s="29">
        <f>ROUND(Balances[[#This Row],[Total]]*40%,0)</f>
        <v>0</v>
      </c>
      <c r="D60" s="29">
        <f>ROUND(Balances[[#This Row],[Total]]*20%,0)</f>
        <v>0</v>
      </c>
      <c r="E60" s="29">
        <f>ROUND(Balances[[#This Row],[Total]]*40%,0)</f>
        <v>0</v>
      </c>
      <c r="F60" s="18">
        <f>SUM(Acueducto[[#This Row],[Acueducto]:[Aseo]])</f>
        <v>0</v>
      </c>
    </row>
    <row r="61" spans="1:6" ht="15" x14ac:dyDescent="0.2">
      <c r="A61" s="7">
        <v>122116</v>
      </c>
      <c r="B61" s="3" t="s">
        <v>62</v>
      </c>
      <c r="C61" s="29">
        <f>ROUND(Balances[[#This Row],[Total]]*40%,0)</f>
        <v>0</v>
      </c>
      <c r="D61" s="29">
        <f>ROUND(Balances[[#This Row],[Total]]*20%,0)</f>
        <v>0</v>
      </c>
      <c r="E61" s="29">
        <f>ROUND(Balances[[#This Row],[Total]]*40%,0)</f>
        <v>0</v>
      </c>
      <c r="F61" s="18">
        <f>SUM(Acueducto[[#This Row],[Acueducto]:[Aseo]])</f>
        <v>0</v>
      </c>
    </row>
    <row r="62" spans="1:6" ht="15" x14ac:dyDescent="0.2">
      <c r="A62" s="7">
        <v>122117</v>
      </c>
      <c r="B62" s="3" t="s">
        <v>63</v>
      </c>
      <c r="C62" s="29">
        <f>ROUND(Balances[[#This Row],[Total]]*40%,0)</f>
        <v>0</v>
      </c>
      <c r="D62" s="29">
        <f>ROUND(Balances[[#This Row],[Total]]*20%,0)</f>
        <v>0</v>
      </c>
      <c r="E62" s="29">
        <f>ROUND(Balances[[#This Row],[Total]]*40%,0)</f>
        <v>0</v>
      </c>
      <c r="F62" s="18">
        <f>SUM(Acueducto[[#This Row],[Acueducto]:[Aseo]])</f>
        <v>0</v>
      </c>
    </row>
    <row r="63" spans="1:6" ht="15" x14ac:dyDescent="0.2">
      <c r="A63" s="7">
        <v>122119</v>
      </c>
      <c r="B63" s="3" t="s">
        <v>64</v>
      </c>
      <c r="C63" s="29">
        <f>ROUND(Balances[[#This Row],[Total]]*40%,0)</f>
        <v>0</v>
      </c>
      <c r="D63" s="29">
        <f>ROUND(Balances[[#This Row],[Total]]*20%,0)</f>
        <v>0</v>
      </c>
      <c r="E63" s="29">
        <f>ROUND(Balances[[#This Row],[Total]]*40%,0)</f>
        <v>0</v>
      </c>
      <c r="F63" s="18">
        <f>SUM(Acueducto[[#This Row],[Acueducto]:[Aseo]])</f>
        <v>0</v>
      </c>
    </row>
    <row r="64" spans="1:6" ht="15" x14ac:dyDescent="0.2">
      <c r="A64" s="7">
        <v>122190</v>
      </c>
      <c r="B64" s="3" t="s">
        <v>65</v>
      </c>
      <c r="C64" s="29">
        <f>ROUND(Balances[[#This Row],[Total]]*40%,0)</f>
        <v>0</v>
      </c>
      <c r="D64" s="29">
        <f>ROUND(Balances[[#This Row],[Total]]*20%,0)</f>
        <v>0</v>
      </c>
      <c r="E64" s="29">
        <f>ROUND(Balances[[#This Row],[Total]]*40%,0)</f>
        <v>0</v>
      </c>
      <c r="F64" s="18">
        <f>SUM(Acueducto[[#This Row],[Acueducto]:[Aseo]])</f>
        <v>0</v>
      </c>
    </row>
    <row r="65" spans="1:6" ht="15" x14ac:dyDescent="0.2">
      <c r="A65" s="6">
        <v>1222</v>
      </c>
      <c r="B65" s="2" t="s">
        <v>66</v>
      </c>
      <c r="C65" s="28">
        <f>ROUND(Balances[[#This Row],[Total]]*40%,0)</f>
        <v>0</v>
      </c>
      <c r="D65" s="28">
        <f>ROUND(Balances[[#This Row],[Total]]*20%,0)</f>
        <v>0</v>
      </c>
      <c r="E65" s="28">
        <f>ROUND(Balances[[#This Row],[Total]]*40%,0)</f>
        <v>0</v>
      </c>
      <c r="F65" s="17">
        <f>SUM(Acueducto[[#This Row],[Acueducto]:[Aseo]])</f>
        <v>0</v>
      </c>
    </row>
    <row r="66" spans="1:6" ht="15" x14ac:dyDescent="0.2">
      <c r="A66" s="7">
        <v>122201</v>
      </c>
      <c r="B66" s="3" t="s">
        <v>67</v>
      </c>
      <c r="C66" s="29">
        <f>ROUND(Balances[[#This Row],[Total]]*40%,0)</f>
        <v>0</v>
      </c>
      <c r="D66" s="29">
        <f>ROUND(Balances[[#This Row],[Total]]*20%,0)</f>
        <v>0</v>
      </c>
      <c r="E66" s="29">
        <f>ROUND(Balances[[#This Row],[Total]]*40%,0)</f>
        <v>0</v>
      </c>
      <c r="F66" s="18">
        <f>SUM(Acueducto[[#This Row],[Acueducto]:[Aseo]])</f>
        <v>0</v>
      </c>
    </row>
    <row r="67" spans="1:6" ht="15" x14ac:dyDescent="0.2">
      <c r="A67" s="7">
        <v>122202</v>
      </c>
      <c r="B67" s="3" t="s">
        <v>68</v>
      </c>
      <c r="C67" s="29">
        <f>ROUND(Balances[[#This Row],[Total]]*40%,0)</f>
        <v>0</v>
      </c>
      <c r="D67" s="29">
        <f>ROUND(Balances[[#This Row],[Total]]*20%,0)</f>
        <v>0</v>
      </c>
      <c r="E67" s="29">
        <f>ROUND(Balances[[#This Row],[Total]]*40%,0)</f>
        <v>0</v>
      </c>
      <c r="F67" s="18">
        <f>SUM(Acueducto[[#This Row],[Acueducto]:[Aseo]])</f>
        <v>0</v>
      </c>
    </row>
    <row r="68" spans="1:6" ht="15" x14ac:dyDescent="0.2">
      <c r="A68" s="7">
        <v>122203</v>
      </c>
      <c r="B68" s="3" t="s">
        <v>69</v>
      </c>
      <c r="C68" s="29">
        <f>ROUND(Balances[[#This Row],[Total]]*40%,0)</f>
        <v>0</v>
      </c>
      <c r="D68" s="29">
        <f>ROUND(Balances[[#This Row],[Total]]*20%,0)</f>
        <v>0</v>
      </c>
      <c r="E68" s="29">
        <f>ROUND(Balances[[#This Row],[Total]]*40%,0)</f>
        <v>0</v>
      </c>
      <c r="F68" s="18">
        <f>SUM(Acueducto[[#This Row],[Acueducto]:[Aseo]])</f>
        <v>0</v>
      </c>
    </row>
    <row r="69" spans="1:6" ht="15" x14ac:dyDescent="0.2">
      <c r="A69" s="7">
        <v>122204</v>
      </c>
      <c r="B69" s="3" t="s">
        <v>70</v>
      </c>
      <c r="C69" s="29">
        <f>ROUND(Balances[[#This Row],[Total]]*40%,0)</f>
        <v>0</v>
      </c>
      <c r="D69" s="29">
        <f>ROUND(Balances[[#This Row],[Total]]*20%,0)</f>
        <v>0</v>
      </c>
      <c r="E69" s="29">
        <f>ROUND(Balances[[#This Row],[Total]]*40%,0)</f>
        <v>0</v>
      </c>
      <c r="F69" s="18">
        <f>SUM(Acueducto[[#This Row],[Acueducto]:[Aseo]])</f>
        <v>0</v>
      </c>
    </row>
    <row r="70" spans="1:6" ht="15" x14ac:dyDescent="0.2">
      <c r="A70" s="7">
        <v>122205</v>
      </c>
      <c r="B70" s="3" t="s">
        <v>71</v>
      </c>
      <c r="C70" s="29">
        <f>ROUND(Balances[[#This Row],[Total]]*40%,0)</f>
        <v>0</v>
      </c>
      <c r="D70" s="29">
        <f>ROUND(Balances[[#This Row],[Total]]*20%,0)</f>
        <v>0</v>
      </c>
      <c r="E70" s="29">
        <f>ROUND(Balances[[#This Row],[Total]]*40%,0)</f>
        <v>0</v>
      </c>
      <c r="F70" s="18">
        <f>SUM(Acueducto[[#This Row],[Acueducto]:[Aseo]])</f>
        <v>0</v>
      </c>
    </row>
    <row r="71" spans="1:6" ht="15" x14ac:dyDescent="0.2">
      <c r="A71" s="7">
        <v>122206</v>
      </c>
      <c r="B71" s="3" t="s">
        <v>72</v>
      </c>
      <c r="C71" s="29">
        <f>ROUND(Balances[[#This Row],[Total]]*40%,0)</f>
        <v>0</v>
      </c>
      <c r="D71" s="29">
        <f>ROUND(Balances[[#This Row],[Total]]*20%,0)</f>
        <v>0</v>
      </c>
      <c r="E71" s="29">
        <f>ROUND(Balances[[#This Row],[Total]]*40%,0)</f>
        <v>0</v>
      </c>
      <c r="F71" s="18">
        <f>SUM(Acueducto[[#This Row],[Acueducto]:[Aseo]])</f>
        <v>0</v>
      </c>
    </row>
    <row r="72" spans="1:6" ht="15" x14ac:dyDescent="0.2">
      <c r="A72" s="7">
        <v>122218</v>
      </c>
      <c r="B72" s="3" t="s">
        <v>62</v>
      </c>
      <c r="C72" s="29">
        <f>ROUND(Balances[[#This Row],[Total]]*40%,0)</f>
        <v>0</v>
      </c>
      <c r="D72" s="29">
        <f>ROUND(Balances[[#This Row],[Total]]*20%,0)</f>
        <v>0</v>
      </c>
      <c r="E72" s="29">
        <f>ROUND(Balances[[#This Row],[Total]]*40%,0)</f>
        <v>0</v>
      </c>
      <c r="F72" s="18">
        <f>SUM(Acueducto[[#This Row],[Acueducto]:[Aseo]])</f>
        <v>0</v>
      </c>
    </row>
    <row r="73" spans="1:6" ht="15" x14ac:dyDescent="0.2">
      <c r="A73" s="7">
        <v>122290</v>
      </c>
      <c r="B73" s="3" t="s">
        <v>73</v>
      </c>
      <c r="C73" s="29">
        <f>ROUND(Balances[[#This Row],[Total]]*40%,0)</f>
        <v>0</v>
      </c>
      <c r="D73" s="29">
        <f>ROUND(Balances[[#This Row],[Total]]*20%,0)</f>
        <v>0</v>
      </c>
      <c r="E73" s="29">
        <f>ROUND(Balances[[#This Row],[Total]]*40%,0)</f>
        <v>0</v>
      </c>
      <c r="F73" s="18">
        <f>SUM(Acueducto[[#This Row],[Acueducto]:[Aseo]])</f>
        <v>0</v>
      </c>
    </row>
    <row r="74" spans="1:6" ht="15" x14ac:dyDescent="0.2">
      <c r="A74" s="6">
        <v>1223</v>
      </c>
      <c r="B74" s="2" t="s">
        <v>74</v>
      </c>
      <c r="C74" s="28">
        <f>ROUND(Balances[[#This Row],[Total]]*40%,0)</f>
        <v>0</v>
      </c>
      <c r="D74" s="28">
        <f>ROUND(Balances[[#This Row],[Total]]*20%,0)</f>
        <v>0</v>
      </c>
      <c r="E74" s="28">
        <f>ROUND(Balances[[#This Row],[Total]]*40%,0)</f>
        <v>0</v>
      </c>
      <c r="F74" s="17">
        <f>SUM(Acueducto[[#This Row],[Acueducto]:[Aseo]])</f>
        <v>0</v>
      </c>
    </row>
    <row r="75" spans="1:6" ht="15" x14ac:dyDescent="0.2">
      <c r="A75" s="7">
        <v>122301</v>
      </c>
      <c r="B75" s="3" t="s">
        <v>47</v>
      </c>
      <c r="C75" s="29">
        <f>ROUND(Balances[[#This Row],[Total]]*40%,0)</f>
        <v>0</v>
      </c>
      <c r="D75" s="29">
        <f>ROUND(Balances[[#This Row],[Total]]*20%,0)</f>
        <v>0</v>
      </c>
      <c r="E75" s="29">
        <f>ROUND(Balances[[#This Row],[Total]]*40%,0)</f>
        <v>0</v>
      </c>
      <c r="F75" s="18">
        <f>SUM(Acueducto[[#This Row],[Acueducto]:[Aseo]])</f>
        <v>0</v>
      </c>
    </row>
    <row r="76" spans="1:6" ht="15" x14ac:dyDescent="0.2">
      <c r="A76" s="7">
        <v>122302</v>
      </c>
      <c r="B76" s="3" t="s">
        <v>48</v>
      </c>
      <c r="C76" s="29">
        <f>ROUND(Balances[[#This Row],[Total]]*40%,0)</f>
        <v>0</v>
      </c>
      <c r="D76" s="29">
        <f>ROUND(Balances[[#This Row],[Total]]*20%,0)</f>
        <v>0</v>
      </c>
      <c r="E76" s="29">
        <f>ROUND(Balances[[#This Row],[Total]]*40%,0)</f>
        <v>0</v>
      </c>
      <c r="F76" s="18">
        <f>SUM(Acueducto[[#This Row],[Acueducto]:[Aseo]])</f>
        <v>0</v>
      </c>
    </row>
    <row r="77" spans="1:6" ht="15" x14ac:dyDescent="0.2">
      <c r="A77" s="7">
        <v>122303</v>
      </c>
      <c r="B77" s="3" t="s">
        <v>49</v>
      </c>
      <c r="C77" s="29">
        <f>ROUND(Balances[[#This Row],[Total]]*40%,0)</f>
        <v>0</v>
      </c>
      <c r="D77" s="29">
        <f>ROUND(Balances[[#This Row],[Total]]*20%,0)</f>
        <v>0</v>
      </c>
      <c r="E77" s="29">
        <f>ROUND(Balances[[#This Row],[Total]]*40%,0)</f>
        <v>0</v>
      </c>
      <c r="F77" s="18">
        <f>SUM(Acueducto[[#This Row],[Acueducto]:[Aseo]])</f>
        <v>0</v>
      </c>
    </row>
    <row r="78" spans="1:6" ht="15" x14ac:dyDescent="0.2">
      <c r="A78" s="7">
        <v>122304</v>
      </c>
      <c r="B78" s="3" t="s">
        <v>50</v>
      </c>
      <c r="C78" s="29">
        <f>ROUND(Balances[[#This Row],[Total]]*40%,0)</f>
        <v>0</v>
      </c>
      <c r="D78" s="29">
        <f>ROUND(Balances[[#This Row],[Total]]*20%,0)</f>
        <v>0</v>
      </c>
      <c r="E78" s="29">
        <f>ROUND(Balances[[#This Row],[Total]]*40%,0)</f>
        <v>0</v>
      </c>
      <c r="F78" s="18">
        <f>SUM(Acueducto[[#This Row],[Acueducto]:[Aseo]])</f>
        <v>0</v>
      </c>
    </row>
    <row r="79" spans="1:6" ht="15" x14ac:dyDescent="0.2">
      <c r="A79" s="7">
        <v>122305</v>
      </c>
      <c r="B79" s="3" t="s">
        <v>51</v>
      </c>
      <c r="C79" s="29">
        <f>ROUND(Balances[[#This Row],[Total]]*40%,0)</f>
        <v>0</v>
      </c>
      <c r="D79" s="29">
        <f>ROUND(Balances[[#This Row],[Total]]*20%,0)</f>
        <v>0</v>
      </c>
      <c r="E79" s="29">
        <f>ROUND(Balances[[#This Row],[Total]]*40%,0)</f>
        <v>0</v>
      </c>
      <c r="F79" s="18">
        <f>SUM(Acueducto[[#This Row],[Acueducto]:[Aseo]])</f>
        <v>0</v>
      </c>
    </row>
    <row r="80" spans="1:6" ht="15" x14ac:dyDescent="0.2">
      <c r="A80" s="7">
        <v>122306</v>
      </c>
      <c r="B80" s="3" t="s">
        <v>52</v>
      </c>
      <c r="C80" s="29">
        <f>ROUND(Balances[[#This Row],[Total]]*40%,0)</f>
        <v>0</v>
      </c>
      <c r="D80" s="29">
        <f>ROUND(Balances[[#This Row],[Total]]*20%,0)</f>
        <v>0</v>
      </c>
      <c r="E80" s="29">
        <f>ROUND(Balances[[#This Row],[Total]]*40%,0)</f>
        <v>0</v>
      </c>
      <c r="F80" s="18">
        <f>SUM(Acueducto[[#This Row],[Acueducto]:[Aseo]])</f>
        <v>0</v>
      </c>
    </row>
    <row r="81" spans="1:6" ht="15" x14ac:dyDescent="0.2">
      <c r="A81" s="7">
        <v>122307</v>
      </c>
      <c r="B81" s="3" t="s">
        <v>75</v>
      </c>
      <c r="C81" s="29">
        <f>ROUND(Balances[[#This Row],[Total]]*40%,0)</f>
        <v>0</v>
      </c>
      <c r="D81" s="29">
        <f>ROUND(Balances[[#This Row],[Total]]*20%,0)</f>
        <v>0</v>
      </c>
      <c r="E81" s="29">
        <f>ROUND(Balances[[#This Row],[Total]]*40%,0)</f>
        <v>0</v>
      </c>
      <c r="F81" s="18">
        <f>SUM(Acueducto[[#This Row],[Acueducto]:[Aseo]])</f>
        <v>0</v>
      </c>
    </row>
    <row r="82" spans="1:6" ht="15" x14ac:dyDescent="0.2">
      <c r="A82" s="7">
        <v>122308</v>
      </c>
      <c r="B82" s="3" t="s">
        <v>54</v>
      </c>
      <c r="C82" s="29">
        <f>ROUND(Balances[[#This Row],[Total]]*40%,0)</f>
        <v>0</v>
      </c>
      <c r="D82" s="29">
        <f>ROUND(Balances[[#This Row],[Total]]*20%,0)</f>
        <v>0</v>
      </c>
      <c r="E82" s="29">
        <f>ROUND(Balances[[#This Row],[Total]]*40%,0)</f>
        <v>0</v>
      </c>
      <c r="F82" s="18">
        <f>SUM(Acueducto[[#This Row],[Acueducto]:[Aseo]])</f>
        <v>0</v>
      </c>
    </row>
    <row r="83" spans="1:6" ht="15" x14ac:dyDescent="0.2">
      <c r="A83" s="7">
        <v>122310</v>
      </c>
      <c r="B83" s="3" t="s">
        <v>58</v>
      </c>
      <c r="C83" s="29">
        <f>ROUND(Balances[[#This Row],[Total]]*40%,0)</f>
        <v>0</v>
      </c>
      <c r="D83" s="29">
        <f>ROUND(Balances[[#This Row],[Total]]*20%,0)</f>
        <v>0</v>
      </c>
      <c r="E83" s="29">
        <f>ROUND(Balances[[#This Row],[Total]]*40%,0)</f>
        <v>0</v>
      </c>
      <c r="F83" s="18">
        <f>SUM(Acueducto[[#This Row],[Acueducto]:[Aseo]])</f>
        <v>0</v>
      </c>
    </row>
    <row r="84" spans="1:6" ht="15" x14ac:dyDescent="0.2">
      <c r="A84" s="7">
        <v>122311</v>
      </c>
      <c r="B84" s="3" t="s">
        <v>64</v>
      </c>
      <c r="C84" s="29">
        <f>ROUND(Balances[[#This Row],[Total]]*40%,0)</f>
        <v>0</v>
      </c>
      <c r="D84" s="29">
        <f>ROUND(Balances[[#This Row],[Total]]*20%,0)</f>
        <v>0</v>
      </c>
      <c r="E84" s="29">
        <f>ROUND(Balances[[#This Row],[Total]]*40%,0)</f>
        <v>0</v>
      </c>
      <c r="F84" s="18">
        <f>SUM(Acueducto[[#This Row],[Acueducto]:[Aseo]])</f>
        <v>0</v>
      </c>
    </row>
    <row r="85" spans="1:6" ht="15" x14ac:dyDescent="0.2">
      <c r="A85" s="7">
        <v>122312</v>
      </c>
      <c r="B85" s="3" t="s">
        <v>57</v>
      </c>
      <c r="C85" s="29">
        <f>ROUND(Balances[[#This Row],[Total]]*40%,0)</f>
        <v>0</v>
      </c>
      <c r="D85" s="29">
        <f>ROUND(Balances[[#This Row],[Total]]*20%,0)</f>
        <v>0</v>
      </c>
      <c r="E85" s="29">
        <f>ROUND(Balances[[#This Row],[Total]]*40%,0)</f>
        <v>0</v>
      </c>
      <c r="F85" s="18">
        <f>SUM(Acueducto[[#This Row],[Acueducto]:[Aseo]])</f>
        <v>0</v>
      </c>
    </row>
    <row r="86" spans="1:6" ht="15" x14ac:dyDescent="0.2">
      <c r="A86" s="7">
        <v>122313</v>
      </c>
      <c r="B86" s="3" t="s">
        <v>56</v>
      </c>
      <c r="C86" s="29">
        <f>ROUND(Balances[[#This Row],[Total]]*40%,0)</f>
        <v>0</v>
      </c>
      <c r="D86" s="29">
        <f>ROUND(Balances[[#This Row],[Total]]*20%,0)</f>
        <v>0</v>
      </c>
      <c r="E86" s="29">
        <f>ROUND(Balances[[#This Row],[Total]]*40%,0)</f>
        <v>0</v>
      </c>
      <c r="F86" s="18">
        <f>SUM(Acueducto[[#This Row],[Acueducto]:[Aseo]])</f>
        <v>0</v>
      </c>
    </row>
    <row r="87" spans="1:6" ht="15" x14ac:dyDescent="0.2">
      <c r="A87" s="7">
        <v>122390</v>
      </c>
      <c r="B87" s="3" t="s">
        <v>76</v>
      </c>
      <c r="C87" s="29">
        <f>ROUND(Balances[[#This Row],[Total]]*40%,0)</f>
        <v>0</v>
      </c>
      <c r="D87" s="29">
        <f>ROUND(Balances[[#This Row],[Total]]*20%,0)</f>
        <v>0</v>
      </c>
      <c r="E87" s="29">
        <f>ROUND(Balances[[#This Row],[Total]]*40%,0)</f>
        <v>0</v>
      </c>
      <c r="F87" s="18">
        <f>SUM(Acueducto[[#This Row],[Acueducto]:[Aseo]])</f>
        <v>0</v>
      </c>
    </row>
    <row r="88" spans="1:6" ht="15" x14ac:dyDescent="0.2">
      <c r="A88" s="6">
        <v>1224</v>
      </c>
      <c r="B88" s="2" t="s">
        <v>77</v>
      </c>
      <c r="C88" s="28">
        <f>ROUND(Balances[[#This Row],[Total]]*40%,0)</f>
        <v>0</v>
      </c>
      <c r="D88" s="28">
        <f>ROUND(Balances[[#This Row],[Total]]*20%,0)</f>
        <v>0</v>
      </c>
      <c r="E88" s="28">
        <f>ROUND(Balances[[#This Row],[Total]]*40%,0)</f>
        <v>0</v>
      </c>
      <c r="F88" s="17">
        <f>SUM(Acueducto[[#This Row],[Acueducto]:[Aseo]])</f>
        <v>0</v>
      </c>
    </row>
    <row r="89" spans="1:6" ht="15" x14ac:dyDescent="0.2">
      <c r="A89" s="7">
        <v>122403</v>
      </c>
      <c r="B89" s="3" t="s">
        <v>49</v>
      </c>
      <c r="C89" s="29">
        <f>ROUND(Balances[[#This Row],[Total]]*40%,0)</f>
        <v>0</v>
      </c>
      <c r="D89" s="29">
        <f>ROUND(Balances[[#This Row],[Total]]*20%,0)</f>
        <v>0</v>
      </c>
      <c r="E89" s="29">
        <f>ROUND(Balances[[#This Row],[Total]]*40%,0)</f>
        <v>0</v>
      </c>
      <c r="F89" s="18">
        <f>SUM(Acueducto[[#This Row],[Acueducto]:[Aseo]])</f>
        <v>0</v>
      </c>
    </row>
    <row r="90" spans="1:6" ht="15" x14ac:dyDescent="0.2">
      <c r="A90" s="7">
        <v>122404</v>
      </c>
      <c r="B90" s="3" t="s">
        <v>50</v>
      </c>
      <c r="C90" s="29">
        <f>ROUND(Balances[[#This Row],[Total]]*40%,0)</f>
        <v>0</v>
      </c>
      <c r="D90" s="29">
        <f>ROUND(Balances[[#This Row],[Total]]*20%,0)</f>
        <v>0</v>
      </c>
      <c r="E90" s="29">
        <f>ROUND(Balances[[#This Row],[Total]]*40%,0)</f>
        <v>0</v>
      </c>
      <c r="F90" s="18">
        <f>SUM(Acueducto[[#This Row],[Acueducto]:[Aseo]])</f>
        <v>0</v>
      </c>
    </row>
    <row r="91" spans="1:6" ht="15" x14ac:dyDescent="0.2">
      <c r="A91" s="7">
        <v>122405</v>
      </c>
      <c r="B91" s="3" t="s">
        <v>51</v>
      </c>
      <c r="C91" s="29">
        <f>ROUND(Balances[[#This Row],[Total]]*40%,0)</f>
        <v>0</v>
      </c>
      <c r="D91" s="29">
        <f>ROUND(Balances[[#This Row],[Total]]*20%,0)</f>
        <v>0</v>
      </c>
      <c r="E91" s="29">
        <f>ROUND(Balances[[#This Row],[Total]]*40%,0)</f>
        <v>0</v>
      </c>
      <c r="F91" s="18">
        <f>SUM(Acueducto[[#This Row],[Acueducto]:[Aseo]])</f>
        <v>0</v>
      </c>
    </row>
    <row r="92" spans="1:6" ht="15" x14ac:dyDescent="0.2">
      <c r="A92" s="7">
        <v>122406</v>
      </c>
      <c r="B92" s="3" t="s">
        <v>52</v>
      </c>
      <c r="C92" s="29">
        <f>ROUND(Balances[[#This Row],[Total]]*40%,0)</f>
        <v>0</v>
      </c>
      <c r="D92" s="29">
        <f>ROUND(Balances[[#This Row],[Total]]*20%,0)</f>
        <v>0</v>
      </c>
      <c r="E92" s="29">
        <f>ROUND(Balances[[#This Row],[Total]]*40%,0)</f>
        <v>0</v>
      </c>
      <c r="F92" s="18">
        <f>SUM(Acueducto[[#This Row],[Acueducto]:[Aseo]])</f>
        <v>0</v>
      </c>
    </row>
    <row r="93" spans="1:6" ht="15" x14ac:dyDescent="0.2">
      <c r="A93" s="7">
        <v>122407</v>
      </c>
      <c r="B93" s="3" t="s">
        <v>75</v>
      </c>
      <c r="C93" s="29">
        <f>ROUND(Balances[[#This Row],[Total]]*40%,0)</f>
        <v>0</v>
      </c>
      <c r="D93" s="29">
        <f>ROUND(Balances[[#This Row],[Total]]*20%,0)</f>
        <v>0</v>
      </c>
      <c r="E93" s="29">
        <f>ROUND(Balances[[#This Row],[Total]]*40%,0)</f>
        <v>0</v>
      </c>
      <c r="F93" s="18">
        <f>SUM(Acueducto[[#This Row],[Acueducto]:[Aseo]])</f>
        <v>0</v>
      </c>
    </row>
    <row r="94" spans="1:6" ht="15" x14ac:dyDescent="0.2">
      <c r="A94" s="7">
        <v>122408</v>
      </c>
      <c r="B94" s="3" t="s">
        <v>54</v>
      </c>
      <c r="C94" s="29">
        <f>ROUND(Balances[[#This Row],[Total]]*40%,0)</f>
        <v>0</v>
      </c>
      <c r="D94" s="29">
        <f>ROUND(Balances[[#This Row],[Total]]*20%,0)</f>
        <v>0</v>
      </c>
      <c r="E94" s="29">
        <f>ROUND(Balances[[#This Row],[Total]]*40%,0)</f>
        <v>0</v>
      </c>
      <c r="F94" s="18">
        <f>SUM(Acueducto[[#This Row],[Acueducto]:[Aseo]])</f>
        <v>0</v>
      </c>
    </row>
    <row r="95" spans="1:6" ht="15" x14ac:dyDescent="0.2">
      <c r="A95" s="7">
        <v>122409</v>
      </c>
      <c r="B95" s="3" t="s">
        <v>55</v>
      </c>
      <c r="C95" s="29">
        <f>ROUND(Balances[[#This Row],[Total]]*40%,0)</f>
        <v>0</v>
      </c>
      <c r="D95" s="29">
        <f>ROUND(Balances[[#This Row],[Total]]*20%,0)</f>
        <v>0</v>
      </c>
      <c r="E95" s="29">
        <f>ROUND(Balances[[#This Row],[Total]]*40%,0)</f>
        <v>0</v>
      </c>
      <c r="F95" s="18">
        <f>SUM(Acueducto[[#This Row],[Acueducto]:[Aseo]])</f>
        <v>0</v>
      </c>
    </row>
    <row r="96" spans="1:6" ht="15" x14ac:dyDescent="0.2">
      <c r="A96" s="7">
        <v>122410</v>
      </c>
      <c r="B96" s="3" t="s">
        <v>56</v>
      </c>
      <c r="C96" s="29">
        <f>ROUND(Balances[[#This Row],[Total]]*40%,0)</f>
        <v>0</v>
      </c>
      <c r="D96" s="29">
        <f>ROUND(Balances[[#This Row],[Total]]*20%,0)</f>
        <v>0</v>
      </c>
      <c r="E96" s="29">
        <f>ROUND(Balances[[#This Row],[Total]]*40%,0)</f>
        <v>0</v>
      </c>
      <c r="F96" s="18">
        <f>SUM(Acueducto[[#This Row],[Acueducto]:[Aseo]])</f>
        <v>0</v>
      </c>
    </row>
    <row r="97" spans="1:6" ht="15" x14ac:dyDescent="0.2">
      <c r="A97" s="7">
        <v>122411</v>
      </c>
      <c r="B97" s="3" t="s">
        <v>57</v>
      </c>
      <c r="C97" s="29">
        <f>ROUND(Balances[[#This Row],[Total]]*40%,0)</f>
        <v>0</v>
      </c>
      <c r="D97" s="29">
        <f>ROUND(Balances[[#This Row],[Total]]*20%,0)</f>
        <v>0</v>
      </c>
      <c r="E97" s="29">
        <f>ROUND(Balances[[#This Row],[Total]]*40%,0)</f>
        <v>0</v>
      </c>
      <c r="F97" s="18">
        <f>SUM(Acueducto[[#This Row],[Acueducto]:[Aseo]])</f>
        <v>0</v>
      </c>
    </row>
    <row r="98" spans="1:6" ht="15" x14ac:dyDescent="0.2">
      <c r="A98" s="7">
        <v>122412</v>
      </c>
      <c r="B98" s="3" t="s">
        <v>58</v>
      </c>
      <c r="C98" s="29">
        <f>ROUND(Balances[[#This Row],[Total]]*40%,0)</f>
        <v>0</v>
      </c>
      <c r="D98" s="29">
        <f>ROUND(Balances[[#This Row],[Total]]*20%,0)</f>
        <v>0</v>
      </c>
      <c r="E98" s="29">
        <f>ROUND(Balances[[#This Row],[Total]]*40%,0)</f>
        <v>0</v>
      </c>
      <c r="F98" s="18">
        <f>SUM(Acueducto[[#This Row],[Acueducto]:[Aseo]])</f>
        <v>0</v>
      </c>
    </row>
    <row r="99" spans="1:6" ht="15" x14ac:dyDescent="0.2">
      <c r="A99" s="7">
        <v>122413</v>
      </c>
      <c r="B99" s="3" t="s">
        <v>59</v>
      </c>
      <c r="C99" s="29">
        <f>ROUND(Balances[[#This Row],[Total]]*40%,0)</f>
        <v>0</v>
      </c>
      <c r="D99" s="29">
        <f>ROUND(Balances[[#This Row],[Total]]*20%,0)</f>
        <v>0</v>
      </c>
      <c r="E99" s="29">
        <f>ROUND(Balances[[#This Row],[Total]]*40%,0)</f>
        <v>0</v>
      </c>
      <c r="F99" s="18">
        <f>SUM(Acueducto[[#This Row],[Acueducto]:[Aseo]])</f>
        <v>0</v>
      </c>
    </row>
    <row r="100" spans="1:6" ht="15" x14ac:dyDescent="0.2">
      <c r="A100" s="7">
        <v>122414</v>
      </c>
      <c r="B100" s="3" t="s">
        <v>60</v>
      </c>
      <c r="C100" s="29">
        <f>ROUND(Balances[[#This Row],[Total]]*40%,0)</f>
        <v>0</v>
      </c>
      <c r="D100" s="29">
        <f>ROUND(Balances[[#This Row],[Total]]*20%,0)</f>
        <v>0</v>
      </c>
      <c r="E100" s="29">
        <f>ROUND(Balances[[#This Row],[Total]]*40%,0)</f>
        <v>0</v>
      </c>
      <c r="F100" s="18">
        <f>SUM(Acueducto[[#This Row],[Acueducto]:[Aseo]])</f>
        <v>0</v>
      </c>
    </row>
    <row r="101" spans="1:6" ht="15" x14ac:dyDescent="0.2">
      <c r="A101" s="7">
        <v>122415</v>
      </c>
      <c r="B101" s="3" t="s">
        <v>61</v>
      </c>
      <c r="C101" s="29">
        <f>ROUND(Balances[[#This Row],[Total]]*40%,0)</f>
        <v>0</v>
      </c>
      <c r="D101" s="29">
        <f>ROUND(Balances[[#This Row],[Total]]*20%,0)</f>
        <v>0</v>
      </c>
      <c r="E101" s="29">
        <f>ROUND(Balances[[#This Row],[Total]]*40%,0)</f>
        <v>0</v>
      </c>
      <c r="F101" s="18">
        <f>SUM(Acueducto[[#This Row],[Acueducto]:[Aseo]])</f>
        <v>0</v>
      </c>
    </row>
    <row r="102" spans="1:6" ht="15" x14ac:dyDescent="0.2">
      <c r="A102" s="7">
        <v>122416</v>
      </c>
      <c r="B102" s="3" t="s">
        <v>62</v>
      </c>
      <c r="C102" s="29">
        <f>ROUND(Balances[[#This Row],[Total]]*40%,0)</f>
        <v>0</v>
      </c>
      <c r="D102" s="29">
        <f>ROUND(Balances[[#This Row],[Total]]*20%,0)</f>
        <v>0</v>
      </c>
      <c r="E102" s="29">
        <f>ROUND(Balances[[#This Row],[Total]]*40%,0)</f>
        <v>0</v>
      </c>
      <c r="F102" s="18">
        <f>SUM(Acueducto[[#This Row],[Acueducto]:[Aseo]])</f>
        <v>0</v>
      </c>
    </row>
    <row r="103" spans="1:6" ht="15" x14ac:dyDescent="0.2">
      <c r="A103" s="7">
        <v>122417</v>
      </c>
      <c r="B103" s="3" t="s">
        <v>63</v>
      </c>
      <c r="C103" s="29">
        <f>ROUND(Balances[[#This Row],[Total]]*40%,0)</f>
        <v>0</v>
      </c>
      <c r="D103" s="29">
        <f>ROUND(Balances[[#This Row],[Total]]*20%,0)</f>
        <v>0</v>
      </c>
      <c r="E103" s="29">
        <f>ROUND(Balances[[#This Row],[Total]]*40%,0)</f>
        <v>0</v>
      </c>
      <c r="F103" s="18">
        <f>SUM(Acueducto[[#This Row],[Acueducto]:[Aseo]])</f>
        <v>0</v>
      </c>
    </row>
    <row r="104" spans="1:6" ht="15" x14ac:dyDescent="0.2">
      <c r="A104" s="7">
        <v>122418</v>
      </c>
      <c r="B104" s="3" t="s">
        <v>64</v>
      </c>
      <c r="C104" s="29">
        <f>ROUND(Balances[[#This Row],[Total]]*40%,0)</f>
        <v>0</v>
      </c>
      <c r="D104" s="29">
        <f>ROUND(Balances[[#This Row],[Total]]*20%,0)</f>
        <v>0</v>
      </c>
      <c r="E104" s="29">
        <f>ROUND(Balances[[#This Row],[Total]]*40%,0)</f>
        <v>0</v>
      </c>
      <c r="F104" s="18">
        <f>SUM(Acueducto[[#This Row],[Acueducto]:[Aseo]])</f>
        <v>0</v>
      </c>
    </row>
    <row r="105" spans="1:6" ht="15" x14ac:dyDescent="0.2">
      <c r="A105" s="7">
        <v>122419</v>
      </c>
      <c r="B105" s="3" t="s">
        <v>78</v>
      </c>
      <c r="C105" s="29">
        <f>ROUND(Balances[[#This Row],[Total]]*40%,0)</f>
        <v>0</v>
      </c>
      <c r="D105" s="29">
        <f>ROUND(Balances[[#This Row],[Total]]*20%,0)</f>
        <v>0</v>
      </c>
      <c r="E105" s="29">
        <f>ROUND(Balances[[#This Row],[Total]]*40%,0)</f>
        <v>0</v>
      </c>
      <c r="F105" s="18">
        <f>SUM(Acueducto[[#This Row],[Acueducto]:[Aseo]])</f>
        <v>0</v>
      </c>
    </row>
    <row r="106" spans="1:6" ht="15" x14ac:dyDescent="0.2">
      <c r="A106" s="7">
        <v>122490</v>
      </c>
      <c r="B106" s="3" t="s">
        <v>79</v>
      </c>
      <c r="C106" s="29">
        <f>ROUND(Balances[[#This Row],[Total]]*40%,0)</f>
        <v>0</v>
      </c>
      <c r="D106" s="29">
        <f>ROUND(Balances[[#This Row],[Total]]*20%,0)</f>
        <v>0</v>
      </c>
      <c r="E106" s="29">
        <f>ROUND(Balances[[#This Row],[Total]]*40%,0)</f>
        <v>0</v>
      </c>
      <c r="F106" s="18">
        <f>SUM(Acueducto[[#This Row],[Acueducto]:[Aseo]])</f>
        <v>0</v>
      </c>
    </row>
    <row r="107" spans="1:6" ht="15" x14ac:dyDescent="0.2">
      <c r="A107" s="6">
        <v>1227</v>
      </c>
      <c r="B107" s="2" t="s">
        <v>80</v>
      </c>
      <c r="C107" s="28">
        <f>ROUND(Balances[[#This Row],[Total]]*40%,0)</f>
        <v>0</v>
      </c>
      <c r="D107" s="28">
        <f>ROUND(Balances[[#This Row],[Total]]*20%,0)</f>
        <v>0</v>
      </c>
      <c r="E107" s="28">
        <f>ROUND(Balances[[#This Row],[Total]]*40%,0)</f>
        <v>0</v>
      </c>
      <c r="F107" s="17">
        <f>SUM(Acueducto[[#This Row],[Acueducto]:[Aseo]])</f>
        <v>0</v>
      </c>
    </row>
    <row r="108" spans="1:6" ht="15" x14ac:dyDescent="0.2">
      <c r="A108" s="7">
        <v>122701</v>
      </c>
      <c r="B108" s="3" t="s">
        <v>38</v>
      </c>
      <c r="C108" s="29">
        <f>ROUND(Balances[[#This Row],[Total]]*40%,0)</f>
        <v>0</v>
      </c>
      <c r="D108" s="29">
        <f>ROUND(Balances[[#This Row],[Total]]*20%,0)</f>
        <v>0</v>
      </c>
      <c r="E108" s="29">
        <f>ROUND(Balances[[#This Row],[Total]]*40%,0)</f>
        <v>0</v>
      </c>
      <c r="F108" s="18">
        <f>SUM(Acueducto[[#This Row],[Acueducto]:[Aseo]])</f>
        <v>0</v>
      </c>
    </row>
    <row r="109" spans="1:6" ht="15" x14ac:dyDescent="0.2">
      <c r="A109" s="7">
        <v>122702</v>
      </c>
      <c r="B109" s="3" t="s">
        <v>39</v>
      </c>
      <c r="C109" s="29">
        <f>ROUND(Balances[[#This Row],[Total]]*40%,0)</f>
        <v>0</v>
      </c>
      <c r="D109" s="29">
        <f>ROUND(Balances[[#This Row],[Total]]*20%,0)</f>
        <v>0</v>
      </c>
      <c r="E109" s="29">
        <f>ROUND(Balances[[#This Row],[Total]]*40%,0)</f>
        <v>0</v>
      </c>
      <c r="F109" s="18">
        <f>SUM(Acueducto[[#This Row],[Acueducto]:[Aseo]])</f>
        <v>0</v>
      </c>
    </row>
    <row r="110" spans="1:6" ht="15" x14ac:dyDescent="0.2">
      <c r="A110" s="7">
        <v>122703</v>
      </c>
      <c r="B110" s="3" t="s">
        <v>35</v>
      </c>
      <c r="C110" s="29">
        <f>ROUND(Balances[[#This Row],[Total]]*40%,0)</f>
        <v>0</v>
      </c>
      <c r="D110" s="29">
        <f>ROUND(Balances[[#This Row],[Total]]*20%,0)</f>
        <v>0</v>
      </c>
      <c r="E110" s="29">
        <f>ROUND(Balances[[#This Row],[Total]]*40%,0)</f>
        <v>0</v>
      </c>
      <c r="F110" s="18">
        <f>SUM(Acueducto[[#This Row],[Acueducto]:[Aseo]])</f>
        <v>0</v>
      </c>
    </row>
    <row r="111" spans="1:6" ht="15" x14ac:dyDescent="0.2">
      <c r="A111" s="7">
        <v>122704</v>
      </c>
      <c r="B111" s="3" t="s">
        <v>36</v>
      </c>
      <c r="C111" s="29">
        <f>ROUND(Balances[[#This Row],[Total]]*40%,0)</f>
        <v>0</v>
      </c>
      <c r="D111" s="29">
        <f>ROUND(Balances[[#This Row],[Total]]*20%,0)</f>
        <v>0</v>
      </c>
      <c r="E111" s="29">
        <f>ROUND(Balances[[#This Row],[Total]]*40%,0)</f>
        <v>0</v>
      </c>
      <c r="F111" s="18">
        <f>SUM(Acueducto[[#This Row],[Acueducto]:[Aseo]])</f>
        <v>0</v>
      </c>
    </row>
    <row r="112" spans="1:6" ht="15" x14ac:dyDescent="0.2">
      <c r="A112" s="7">
        <v>122705</v>
      </c>
      <c r="B112" s="3" t="s">
        <v>37</v>
      </c>
      <c r="C112" s="29">
        <f>ROUND(Balances[[#This Row],[Total]]*40%,0)</f>
        <v>0</v>
      </c>
      <c r="D112" s="29">
        <f>ROUND(Balances[[#This Row],[Total]]*20%,0)</f>
        <v>0</v>
      </c>
      <c r="E112" s="29">
        <f>ROUND(Balances[[#This Row],[Total]]*40%,0)</f>
        <v>0</v>
      </c>
      <c r="F112" s="18">
        <f>SUM(Acueducto[[#This Row],[Acueducto]:[Aseo]])</f>
        <v>0</v>
      </c>
    </row>
    <row r="113" spans="1:6" ht="15" x14ac:dyDescent="0.2">
      <c r="A113" s="6">
        <v>1230</v>
      </c>
      <c r="B113" s="2" t="s">
        <v>81</v>
      </c>
      <c r="C113" s="28">
        <f>ROUND(Balances[[#This Row],[Total]]*40%,0)</f>
        <v>0</v>
      </c>
      <c r="D113" s="28">
        <f>ROUND(Balances[[#This Row],[Total]]*20%,0)</f>
        <v>0</v>
      </c>
      <c r="E113" s="28">
        <f>ROUND(Balances[[#This Row],[Total]]*40%,0)</f>
        <v>0</v>
      </c>
      <c r="F113" s="17">
        <f>SUM(Acueducto[[#This Row],[Acueducto]:[Aseo]])</f>
        <v>0</v>
      </c>
    </row>
    <row r="114" spans="1:6" ht="15" x14ac:dyDescent="0.2">
      <c r="A114" s="7">
        <v>123001</v>
      </c>
      <c r="B114" s="3" t="s">
        <v>38</v>
      </c>
      <c r="C114" s="29">
        <f>ROUND(Balances[[#This Row],[Total]]*40%,0)</f>
        <v>0</v>
      </c>
      <c r="D114" s="29">
        <f>ROUND(Balances[[#This Row],[Total]]*20%,0)</f>
        <v>0</v>
      </c>
      <c r="E114" s="29">
        <f>ROUND(Balances[[#This Row],[Total]]*40%,0)</f>
        <v>0</v>
      </c>
      <c r="F114" s="18">
        <f>SUM(Acueducto[[#This Row],[Acueducto]:[Aseo]])</f>
        <v>0</v>
      </c>
    </row>
    <row r="115" spans="1:6" ht="15" x14ac:dyDescent="0.2">
      <c r="A115" s="7">
        <v>123002</v>
      </c>
      <c r="B115" s="3" t="s">
        <v>39</v>
      </c>
      <c r="C115" s="29">
        <f>ROUND(Balances[[#This Row],[Total]]*40%,0)</f>
        <v>0</v>
      </c>
      <c r="D115" s="29">
        <f>ROUND(Balances[[#This Row],[Total]]*20%,0)</f>
        <v>0</v>
      </c>
      <c r="E115" s="29">
        <f>ROUND(Balances[[#This Row],[Total]]*40%,0)</f>
        <v>0</v>
      </c>
      <c r="F115" s="18">
        <f>SUM(Acueducto[[#This Row],[Acueducto]:[Aseo]])</f>
        <v>0</v>
      </c>
    </row>
    <row r="116" spans="1:6" ht="15" x14ac:dyDescent="0.2">
      <c r="A116" s="7">
        <v>123003</v>
      </c>
      <c r="B116" s="3" t="s">
        <v>35</v>
      </c>
      <c r="C116" s="29">
        <f>ROUND(Balances[[#This Row],[Total]]*40%,0)</f>
        <v>0</v>
      </c>
      <c r="D116" s="29">
        <f>ROUND(Balances[[#This Row],[Total]]*20%,0)</f>
        <v>0</v>
      </c>
      <c r="E116" s="29">
        <f>ROUND(Balances[[#This Row],[Total]]*40%,0)</f>
        <v>0</v>
      </c>
      <c r="F116" s="18">
        <f>SUM(Acueducto[[#This Row],[Acueducto]:[Aseo]])</f>
        <v>0</v>
      </c>
    </row>
    <row r="117" spans="1:6" ht="15" x14ac:dyDescent="0.2">
      <c r="A117" s="7">
        <v>123004</v>
      </c>
      <c r="B117" s="3" t="s">
        <v>36</v>
      </c>
      <c r="C117" s="29">
        <f>ROUND(Balances[[#This Row],[Total]]*40%,0)</f>
        <v>0</v>
      </c>
      <c r="D117" s="29">
        <f>ROUND(Balances[[#This Row],[Total]]*20%,0)</f>
        <v>0</v>
      </c>
      <c r="E117" s="29">
        <f>ROUND(Balances[[#This Row],[Total]]*40%,0)</f>
        <v>0</v>
      </c>
      <c r="F117" s="18">
        <f>SUM(Acueducto[[#This Row],[Acueducto]:[Aseo]])</f>
        <v>0</v>
      </c>
    </row>
    <row r="118" spans="1:6" ht="15" x14ac:dyDescent="0.2">
      <c r="A118" s="7">
        <v>123005</v>
      </c>
      <c r="B118" s="3" t="s">
        <v>37</v>
      </c>
      <c r="C118" s="29">
        <f>ROUND(Balances[[#This Row],[Total]]*40%,0)</f>
        <v>0</v>
      </c>
      <c r="D118" s="29">
        <f>ROUND(Balances[[#This Row],[Total]]*20%,0)</f>
        <v>0</v>
      </c>
      <c r="E118" s="29">
        <f>ROUND(Balances[[#This Row],[Total]]*40%,0)</f>
        <v>0</v>
      </c>
      <c r="F118" s="18">
        <f>SUM(Acueducto[[#This Row],[Acueducto]:[Aseo]])</f>
        <v>0</v>
      </c>
    </row>
    <row r="119" spans="1:6" ht="15" x14ac:dyDescent="0.2">
      <c r="A119" s="6">
        <v>1233</v>
      </c>
      <c r="B119" s="2" t="s">
        <v>82</v>
      </c>
      <c r="C119" s="28">
        <f>ROUND(Balances[[#This Row],[Total]]*40%,0)</f>
        <v>0</v>
      </c>
      <c r="D119" s="28">
        <f>ROUND(Balances[[#This Row],[Total]]*20%,0)</f>
        <v>0</v>
      </c>
      <c r="E119" s="28">
        <f>ROUND(Balances[[#This Row],[Total]]*40%,0)</f>
        <v>0</v>
      </c>
      <c r="F119" s="17">
        <f>SUM(Acueducto[[#This Row],[Acueducto]:[Aseo]])</f>
        <v>0</v>
      </c>
    </row>
    <row r="120" spans="1:6" ht="15" x14ac:dyDescent="0.2">
      <c r="A120" s="7">
        <v>123301</v>
      </c>
      <c r="B120" s="3" t="s">
        <v>38</v>
      </c>
      <c r="C120" s="29">
        <f>ROUND(Balances[[#This Row],[Total]]*40%,0)</f>
        <v>0</v>
      </c>
      <c r="D120" s="29">
        <f>ROUND(Balances[[#This Row],[Total]]*20%,0)</f>
        <v>0</v>
      </c>
      <c r="E120" s="29">
        <f>ROUND(Balances[[#This Row],[Total]]*40%,0)</f>
        <v>0</v>
      </c>
      <c r="F120" s="18">
        <f>SUM(Acueducto[[#This Row],[Acueducto]:[Aseo]])</f>
        <v>0</v>
      </c>
    </row>
    <row r="121" spans="1:6" ht="15" x14ac:dyDescent="0.2">
      <c r="A121" s="7">
        <v>123302</v>
      </c>
      <c r="B121" s="3" t="s">
        <v>39</v>
      </c>
      <c r="C121" s="29">
        <f>ROUND(Balances[[#This Row],[Total]]*40%,0)</f>
        <v>0</v>
      </c>
      <c r="D121" s="29">
        <f>ROUND(Balances[[#This Row],[Total]]*20%,0)</f>
        <v>0</v>
      </c>
      <c r="E121" s="29">
        <f>ROUND(Balances[[#This Row],[Total]]*40%,0)</f>
        <v>0</v>
      </c>
      <c r="F121" s="18">
        <f>SUM(Acueducto[[#This Row],[Acueducto]:[Aseo]])</f>
        <v>0</v>
      </c>
    </row>
    <row r="122" spans="1:6" ht="15" x14ac:dyDescent="0.2">
      <c r="A122" s="7">
        <v>123303</v>
      </c>
      <c r="B122" s="3" t="s">
        <v>35</v>
      </c>
      <c r="C122" s="29">
        <f>ROUND(Balances[[#This Row],[Total]]*40%,0)</f>
        <v>0</v>
      </c>
      <c r="D122" s="29">
        <f>ROUND(Balances[[#This Row],[Total]]*20%,0)</f>
        <v>0</v>
      </c>
      <c r="E122" s="29">
        <f>ROUND(Balances[[#This Row],[Total]]*40%,0)</f>
        <v>0</v>
      </c>
      <c r="F122" s="18">
        <f>SUM(Acueducto[[#This Row],[Acueducto]:[Aseo]])</f>
        <v>0</v>
      </c>
    </row>
    <row r="123" spans="1:6" ht="15" x14ac:dyDescent="0.2">
      <c r="A123" s="7">
        <v>123304</v>
      </c>
      <c r="B123" s="3" t="s">
        <v>36</v>
      </c>
      <c r="C123" s="29">
        <f>ROUND(Balances[[#This Row],[Total]]*40%,0)</f>
        <v>0</v>
      </c>
      <c r="D123" s="29">
        <f>ROUND(Balances[[#This Row],[Total]]*20%,0)</f>
        <v>0</v>
      </c>
      <c r="E123" s="29">
        <f>ROUND(Balances[[#This Row],[Total]]*40%,0)</f>
        <v>0</v>
      </c>
      <c r="F123" s="18">
        <f>SUM(Acueducto[[#This Row],[Acueducto]:[Aseo]])</f>
        <v>0</v>
      </c>
    </row>
    <row r="124" spans="1:6" ht="15" x14ac:dyDescent="0.2">
      <c r="A124" s="7">
        <v>123305</v>
      </c>
      <c r="B124" s="3" t="s">
        <v>37</v>
      </c>
      <c r="C124" s="29">
        <f>ROUND(Balances[[#This Row],[Total]]*40%,0)</f>
        <v>0</v>
      </c>
      <c r="D124" s="29">
        <f>ROUND(Balances[[#This Row],[Total]]*20%,0)</f>
        <v>0</v>
      </c>
      <c r="E124" s="29">
        <f>ROUND(Balances[[#This Row],[Total]]*40%,0)</f>
        <v>0</v>
      </c>
      <c r="F124" s="18">
        <f>SUM(Acueducto[[#This Row],[Acueducto]:[Aseo]])</f>
        <v>0</v>
      </c>
    </row>
    <row r="125" spans="1:6" ht="15" x14ac:dyDescent="0.2">
      <c r="A125" s="6">
        <v>1234</v>
      </c>
      <c r="B125" s="2" t="s">
        <v>83</v>
      </c>
      <c r="C125" s="28">
        <f>ROUND(Balances[[#This Row],[Total]]*40%,0)</f>
        <v>0</v>
      </c>
      <c r="D125" s="28">
        <f>ROUND(Balances[[#This Row],[Total]]*20%,0)</f>
        <v>0</v>
      </c>
      <c r="E125" s="28">
        <f>ROUND(Balances[[#This Row],[Total]]*40%,0)</f>
        <v>0</v>
      </c>
      <c r="F125" s="17">
        <f>SUM(Acueducto[[#This Row],[Acueducto]:[Aseo]])</f>
        <v>0</v>
      </c>
    </row>
    <row r="126" spans="1:6" ht="15" x14ac:dyDescent="0.2">
      <c r="A126" s="7">
        <v>123401</v>
      </c>
      <c r="B126" s="3" t="s">
        <v>84</v>
      </c>
      <c r="C126" s="29">
        <f>ROUND(Balances[[#This Row],[Total]]*40%,0)</f>
        <v>0</v>
      </c>
      <c r="D126" s="29">
        <f>ROUND(Balances[[#This Row],[Total]]*20%,0)</f>
        <v>0</v>
      </c>
      <c r="E126" s="29">
        <f>ROUND(Balances[[#This Row],[Total]]*40%,0)</f>
        <v>0</v>
      </c>
      <c r="F126" s="18">
        <f>SUM(Acueducto[[#This Row],[Acueducto]:[Aseo]])</f>
        <v>0</v>
      </c>
    </row>
    <row r="127" spans="1:6" ht="15" x14ac:dyDescent="0.2">
      <c r="A127" s="7">
        <v>123402</v>
      </c>
      <c r="B127" s="3" t="s">
        <v>85</v>
      </c>
      <c r="C127" s="29">
        <f>ROUND(Balances[[#This Row],[Total]]*40%,0)</f>
        <v>0</v>
      </c>
      <c r="D127" s="29">
        <f>ROUND(Balances[[#This Row],[Total]]*20%,0)</f>
        <v>0</v>
      </c>
      <c r="E127" s="29">
        <f>ROUND(Balances[[#This Row],[Total]]*40%,0)</f>
        <v>0</v>
      </c>
      <c r="F127" s="18">
        <f>SUM(Acueducto[[#This Row],[Acueducto]:[Aseo]])</f>
        <v>0</v>
      </c>
    </row>
    <row r="128" spans="1:6" ht="15" x14ac:dyDescent="0.2">
      <c r="A128" s="7">
        <v>123403</v>
      </c>
      <c r="B128" s="3" t="s">
        <v>86</v>
      </c>
      <c r="C128" s="29">
        <f>ROUND(Balances[[#This Row],[Total]]*40%,0)</f>
        <v>0</v>
      </c>
      <c r="D128" s="29">
        <f>ROUND(Balances[[#This Row],[Total]]*20%,0)</f>
        <v>0</v>
      </c>
      <c r="E128" s="29">
        <f>ROUND(Balances[[#This Row],[Total]]*40%,0)</f>
        <v>0</v>
      </c>
      <c r="F128" s="18">
        <f>SUM(Acueducto[[#This Row],[Acueducto]:[Aseo]])</f>
        <v>0</v>
      </c>
    </row>
    <row r="129" spans="1:6" ht="15" x14ac:dyDescent="0.2">
      <c r="A129" s="7">
        <v>123404</v>
      </c>
      <c r="B129" s="3" t="s">
        <v>87</v>
      </c>
      <c r="C129" s="29">
        <f>ROUND(Balances[[#This Row],[Total]]*40%,0)</f>
        <v>0</v>
      </c>
      <c r="D129" s="29">
        <f>ROUND(Balances[[#This Row],[Total]]*20%,0)</f>
        <v>0</v>
      </c>
      <c r="E129" s="29">
        <f>ROUND(Balances[[#This Row],[Total]]*40%,0)</f>
        <v>0</v>
      </c>
      <c r="F129" s="18">
        <f>SUM(Acueducto[[#This Row],[Acueducto]:[Aseo]])</f>
        <v>0</v>
      </c>
    </row>
    <row r="130" spans="1:6" ht="15" x14ac:dyDescent="0.2">
      <c r="A130" s="7">
        <v>123405</v>
      </c>
      <c r="B130" s="3" t="s">
        <v>88</v>
      </c>
      <c r="C130" s="29">
        <f>ROUND(Balances[[#This Row],[Total]]*40%,0)</f>
        <v>0</v>
      </c>
      <c r="D130" s="29">
        <f>ROUND(Balances[[#This Row],[Total]]*20%,0)</f>
        <v>0</v>
      </c>
      <c r="E130" s="29">
        <f>ROUND(Balances[[#This Row],[Total]]*40%,0)</f>
        <v>0</v>
      </c>
      <c r="F130" s="18">
        <f>SUM(Acueducto[[#This Row],[Acueducto]:[Aseo]])</f>
        <v>0</v>
      </c>
    </row>
    <row r="131" spans="1:6" ht="15" x14ac:dyDescent="0.2">
      <c r="A131" s="7">
        <v>123406</v>
      </c>
      <c r="B131" s="3" t="s">
        <v>89</v>
      </c>
      <c r="C131" s="29">
        <f>ROUND(Balances[[#This Row],[Total]]*40%,0)</f>
        <v>0</v>
      </c>
      <c r="D131" s="29">
        <f>ROUND(Balances[[#This Row],[Total]]*20%,0)</f>
        <v>0</v>
      </c>
      <c r="E131" s="29">
        <f>ROUND(Balances[[#This Row],[Total]]*40%,0)</f>
        <v>0</v>
      </c>
      <c r="F131" s="18">
        <f>SUM(Acueducto[[#This Row],[Acueducto]:[Aseo]])</f>
        <v>0</v>
      </c>
    </row>
    <row r="132" spans="1:6" ht="15" x14ac:dyDescent="0.2">
      <c r="A132" s="7">
        <v>123407</v>
      </c>
      <c r="B132" s="3" t="s">
        <v>90</v>
      </c>
      <c r="C132" s="29">
        <f>ROUND(Balances[[#This Row],[Total]]*40%,0)</f>
        <v>0</v>
      </c>
      <c r="D132" s="29">
        <f>ROUND(Balances[[#This Row],[Total]]*20%,0)</f>
        <v>0</v>
      </c>
      <c r="E132" s="29">
        <f>ROUND(Balances[[#This Row],[Total]]*40%,0)</f>
        <v>0</v>
      </c>
      <c r="F132" s="18">
        <f>SUM(Acueducto[[#This Row],[Acueducto]:[Aseo]])</f>
        <v>0</v>
      </c>
    </row>
    <row r="133" spans="1:6" ht="15" x14ac:dyDescent="0.2">
      <c r="A133" s="7">
        <v>123408</v>
      </c>
      <c r="B133" s="3" t="s">
        <v>91</v>
      </c>
      <c r="C133" s="29">
        <f>ROUND(Balances[[#This Row],[Total]]*40%,0)</f>
        <v>0</v>
      </c>
      <c r="D133" s="29">
        <f>ROUND(Balances[[#This Row],[Total]]*20%,0)</f>
        <v>0</v>
      </c>
      <c r="E133" s="29">
        <f>ROUND(Balances[[#This Row],[Total]]*40%,0)</f>
        <v>0</v>
      </c>
      <c r="F133" s="18">
        <f>SUM(Acueducto[[#This Row],[Acueducto]:[Aseo]])</f>
        <v>0</v>
      </c>
    </row>
    <row r="134" spans="1:6" ht="15" x14ac:dyDescent="0.2">
      <c r="A134" s="7">
        <v>123409</v>
      </c>
      <c r="B134" s="3" t="s">
        <v>92</v>
      </c>
      <c r="C134" s="29">
        <f>ROUND(Balances[[#This Row],[Total]]*40%,0)</f>
        <v>0</v>
      </c>
      <c r="D134" s="29">
        <f>ROUND(Balances[[#This Row],[Total]]*20%,0)</f>
        <v>0</v>
      </c>
      <c r="E134" s="29">
        <f>ROUND(Balances[[#This Row],[Total]]*40%,0)</f>
        <v>0</v>
      </c>
      <c r="F134" s="18">
        <f>SUM(Acueducto[[#This Row],[Acueducto]:[Aseo]])</f>
        <v>0</v>
      </c>
    </row>
    <row r="135" spans="1:6" ht="15" x14ac:dyDescent="0.2">
      <c r="A135" s="7">
        <v>123410</v>
      </c>
      <c r="B135" s="3" t="s">
        <v>93</v>
      </c>
      <c r="C135" s="29">
        <f>ROUND(Balances[[#This Row],[Total]]*40%,0)</f>
        <v>0</v>
      </c>
      <c r="D135" s="29">
        <f>ROUND(Balances[[#This Row],[Total]]*20%,0)</f>
        <v>0</v>
      </c>
      <c r="E135" s="29">
        <f>ROUND(Balances[[#This Row],[Total]]*40%,0)</f>
        <v>0</v>
      </c>
      <c r="F135" s="18">
        <f>SUM(Acueducto[[#This Row],[Acueducto]:[Aseo]])</f>
        <v>0</v>
      </c>
    </row>
    <row r="136" spans="1:6" ht="15" x14ac:dyDescent="0.2">
      <c r="A136" s="6">
        <v>1235</v>
      </c>
      <c r="B136" s="2" t="s">
        <v>94</v>
      </c>
      <c r="C136" s="28">
        <f>ROUND(Balances[[#This Row],[Total]]*40%,0)</f>
        <v>0</v>
      </c>
      <c r="D136" s="28">
        <f>ROUND(Balances[[#This Row],[Total]]*20%,0)</f>
        <v>0</v>
      </c>
      <c r="E136" s="28">
        <f>ROUND(Balances[[#This Row],[Total]]*40%,0)</f>
        <v>0</v>
      </c>
      <c r="F136" s="17">
        <f>SUM(Acueducto[[#This Row],[Acueducto]:[Aseo]])</f>
        <v>0</v>
      </c>
    </row>
    <row r="137" spans="1:6" ht="15" x14ac:dyDescent="0.2">
      <c r="A137" s="7">
        <v>123501</v>
      </c>
      <c r="B137" s="3" t="s">
        <v>84</v>
      </c>
      <c r="C137" s="29">
        <f>ROUND(Balances[[#This Row],[Total]]*40%,0)</f>
        <v>0</v>
      </c>
      <c r="D137" s="29">
        <f>ROUND(Balances[[#This Row],[Total]]*20%,0)</f>
        <v>0</v>
      </c>
      <c r="E137" s="29">
        <f>ROUND(Balances[[#This Row],[Total]]*40%,0)</f>
        <v>0</v>
      </c>
      <c r="F137" s="18">
        <f>SUM(Acueducto[[#This Row],[Acueducto]:[Aseo]])</f>
        <v>0</v>
      </c>
    </row>
    <row r="138" spans="1:6" ht="15" x14ac:dyDescent="0.2">
      <c r="A138" s="7">
        <v>123502</v>
      </c>
      <c r="B138" s="3" t="s">
        <v>85</v>
      </c>
      <c r="C138" s="29">
        <f>ROUND(Balances[[#This Row],[Total]]*40%,0)</f>
        <v>0</v>
      </c>
      <c r="D138" s="29">
        <f>ROUND(Balances[[#This Row],[Total]]*20%,0)</f>
        <v>0</v>
      </c>
      <c r="E138" s="29">
        <f>ROUND(Balances[[#This Row],[Total]]*40%,0)</f>
        <v>0</v>
      </c>
      <c r="F138" s="18">
        <f>SUM(Acueducto[[#This Row],[Acueducto]:[Aseo]])</f>
        <v>0</v>
      </c>
    </row>
    <row r="139" spans="1:6" ht="15" x14ac:dyDescent="0.2">
      <c r="A139" s="7">
        <v>123503</v>
      </c>
      <c r="B139" s="3" t="s">
        <v>86</v>
      </c>
      <c r="C139" s="29">
        <f>ROUND(Balances[[#This Row],[Total]]*40%,0)</f>
        <v>0</v>
      </c>
      <c r="D139" s="29">
        <f>ROUND(Balances[[#This Row],[Total]]*20%,0)</f>
        <v>0</v>
      </c>
      <c r="E139" s="29">
        <f>ROUND(Balances[[#This Row],[Total]]*40%,0)</f>
        <v>0</v>
      </c>
      <c r="F139" s="18">
        <f>SUM(Acueducto[[#This Row],[Acueducto]:[Aseo]])</f>
        <v>0</v>
      </c>
    </row>
    <row r="140" spans="1:6" ht="15" x14ac:dyDescent="0.2">
      <c r="A140" s="7">
        <v>123504</v>
      </c>
      <c r="B140" s="3" t="s">
        <v>87</v>
      </c>
      <c r="C140" s="29">
        <f>ROUND(Balances[[#This Row],[Total]]*40%,0)</f>
        <v>0</v>
      </c>
      <c r="D140" s="29">
        <f>ROUND(Balances[[#This Row],[Total]]*20%,0)</f>
        <v>0</v>
      </c>
      <c r="E140" s="29">
        <f>ROUND(Balances[[#This Row],[Total]]*40%,0)</f>
        <v>0</v>
      </c>
      <c r="F140" s="18">
        <f>SUM(Acueducto[[#This Row],[Acueducto]:[Aseo]])</f>
        <v>0</v>
      </c>
    </row>
    <row r="141" spans="1:6" ht="15" x14ac:dyDescent="0.2">
      <c r="A141" s="7">
        <v>123505</v>
      </c>
      <c r="B141" s="3" t="s">
        <v>88</v>
      </c>
      <c r="C141" s="29">
        <f>ROUND(Balances[[#This Row],[Total]]*40%,0)</f>
        <v>0</v>
      </c>
      <c r="D141" s="29">
        <f>ROUND(Balances[[#This Row],[Total]]*20%,0)</f>
        <v>0</v>
      </c>
      <c r="E141" s="29">
        <f>ROUND(Balances[[#This Row],[Total]]*40%,0)</f>
        <v>0</v>
      </c>
      <c r="F141" s="18">
        <f>SUM(Acueducto[[#This Row],[Acueducto]:[Aseo]])</f>
        <v>0</v>
      </c>
    </row>
    <row r="142" spans="1:6" ht="15" x14ac:dyDescent="0.2">
      <c r="A142" s="7">
        <v>123506</v>
      </c>
      <c r="B142" s="3" t="s">
        <v>89</v>
      </c>
      <c r="C142" s="29">
        <f>ROUND(Balances[[#This Row],[Total]]*40%,0)</f>
        <v>0</v>
      </c>
      <c r="D142" s="29">
        <f>ROUND(Balances[[#This Row],[Total]]*20%,0)</f>
        <v>0</v>
      </c>
      <c r="E142" s="29">
        <f>ROUND(Balances[[#This Row],[Total]]*40%,0)</f>
        <v>0</v>
      </c>
      <c r="F142" s="18">
        <f>SUM(Acueducto[[#This Row],[Acueducto]:[Aseo]])</f>
        <v>0</v>
      </c>
    </row>
    <row r="143" spans="1:6" ht="15" x14ac:dyDescent="0.2">
      <c r="A143" s="7">
        <v>123507</v>
      </c>
      <c r="B143" s="3" t="s">
        <v>90</v>
      </c>
      <c r="C143" s="29">
        <f>ROUND(Balances[[#This Row],[Total]]*40%,0)</f>
        <v>0</v>
      </c>
      <c r="D143" s="29">
        <f>ROUND(Balances[[#This Row],[Total]]*20%,0)</f>
        <v>0</v>
      </c>
      <c r="E143" s="29">
        <f>ROUND(Balances[[#This Row],[Total]]*40%,0)</f>
        <v>0</v>
      </c>
      <c r="F143" s="18">
        <f>SUM(Acueducto[[#This Row],[Acueducto]:[Aseo]])</f>
        <v>0</v>
      </c>
    </row>
    <row r="144" spans="1:6" ht="15" x14ac:dyDescent="0.2">
      <c r="A144" s="7">
        <v>123508</v>
      </c>
      <c r="B144" s="3" t="s">
        <v>91</v>
      </c>
      <c r="C144" s="29">
        <f>ROUND(Balances[[#This Row],[Total]]*40%,0)</f>
        <v>0</v>
      </c>
      <c r="D144" s="29">
        <f>ROUND(Balances[[#This Row],[Total]]*20%,0)</f>
        <v>0</v>
      </c>
      <c r="E144" s="29">
        <f>ROUND(Balances[[#This Row],[Total]]*40%,0)</f>
        <v>0</v>
      </c>
      <c r="F144" s="18">
        <f>SUM(Acueducto[[#This Row],[Acueducto]:[Aseo]])</f>
        <v>0</v>
      </c>
    </row>
    <row r="145" spans="1:6" ht="15" x14ac:dyDescent="0.2">
      <c r="A145" s="7">
        <v>123509</v>
      </c>
      <c r="B145" s="3" t="s">
        <v>92</v>
      </c>
      <c r="C145" s="29">
        <f>ROUND(Balances[[#This Row],[Total]]*40%,0)</f>
        <v>0</v>
      </c>
      <c r="D145" s="29">
        <f>ROUND(Balances[[#This Row],[Total]]*20%,0)</f>
        <v>0</v>
      </c>
      <c r="E145" s="29">
        <f>ROUND(Balances[[#This Row],[Total]]*40%,0)</f>
        <v>0</v>
      </c>
      <c r="F145" s="18">
        <f>SUM(Acueducto[[#This Row],[Acueducto]:[Aseo]])</f>
        <v>0</v>
      </c>
    </row>
    <row r="146" spans="1:6" ht="15" x14ac:dyDescent="0.2">
      <c r="A146" s="7">
        <v>123510</v>
      </c>
      <c r="B146" s="3" t="s">
        <v>93</v>
      </c>
      <c r="C146" s="29">
        <f>ROUND(Balances[[#This Row],[Total]]*40%,0)</f>
        <v>0</v>
      </c>
      <c r="D146" s="29">
        <f>ROUND(Balances[[#This Row],[Total]]*20%,0)</f>
        <v>0</v>
      </c>
      <c r="E146" s="29">
        <f>ROUND(Balances[[#This Row],[Total]]*40%,0)</f>
        <v>0</v>
      </c>
      <c r="F146" s="18">
        <f>SUM(Acueducto[[#This Row],[Acueducto]:[Aseo]])</f>
        <v>0</v>
      </c>
    </row>
    <row r="147" spans="1:6" ht="15" x14ac:dyDescent="0.2">
      <c r="A147" s="6">
        <v>1236</v>
      </c>
      <c r="B147" s="2" t="s">
        <v>95</v>
      </c>
      <c r="C147" s="28">
        <f>ROUND(Balances[[#This Row],[Total]]*40%,0)</f>
        <v>0</v>
      </c>
      <c r="D147" s="28">
        <f>ROUND(Balances[[#This Row],[Total]]*20%,0)</f>
        <v>0</v>
      </c>
      <c r="E147" s="28">
        <f>ROUND(Balances[[#This Row],[Total]]*40%,0)</f>
        <v>0</v>
      </c>
      <c r="F147" s="17">
        <f>SUM(Acueducto[[#This Row],[Acueducto]:[Aseo]])</f>
        <v>0</v>
      </c>
    </row>
    <row r="148" spans="1:6" ht="15" x14ac:dyDescent="0.2">
      <c r="A148" s="7">
        <v>123601</v>
      </c>
      <c r="B148" s="3" t="s">
        <v>84</v>
      </c>
      <c r="C148" s="29">
        <f>ROUND(Balances[[#This Row],[Total]]*40%,0)</f>
        <v>0</v>
      </c>
      <c r="D148" s="29">
        <f>ROUND(Balances[[#This Row],[Total]]*20%,0)</f>
        <v>0</v>
      </c>
      <c r="E148" s="29">
        <f>ROUND(Balances[[#This Row],[Total]]*40%,0)</f>
        <v>0</v>
      </c>
      <c r="F148" s="18">
        <f>SUM(Acueducto[[#This Row],[Acueducto]:[Aseo]])</f>
        <v>0</v>
      </c>
    </row>
    <row r="149" spans="1:6" ht="15" x14ac:dyDescent="0.2">
      <c r="A149" s="7">
        <v>123602</v>
      </c>
      <c r="B149" s="3" t="s">
        <v>85</v>
      </c>
      <c r="C149" s="29">
        <f>ROUND(Balances[[#This Row],[Total]]*40%,0)</f>
        <v>0</v>
      </c>
      <c r="D149" s="29">
        <f>ROUND(Balances[[#This Row],[Total]]*20%,0)</f>
        <v>0</v>
      </c>
      <c r="E149" s="29">
        <f>ROUND(Balances[[#This Row],[Total]]*40%,0)</f>
        <v>0</v>
      </c>
      <c r="F149" s="18">
        <f>SUM(Acueducto[[#This Row],[Acueducto]:[Aseo]])</f>
        <v>0</v>
      </c>
    </row>
    <row r="150" spans="1:6" ht="15" x14ac:dyDescent="0.2">
      <c r="A150" s="7">
        <v>123603</v>
      </c>
      <c r="B150" s="3" t="s">
        <v>86</v>
      </c>
      <c r="C150" s="29">
        <f>ROUND(Balances[[#This Row],[Total]]*40%,0)</f>
        <v>0</v>
      </c>
      <c r="D150" s="29">
        <f>ROUND(Balances[[#This Row],[Total]]*20%,0)</f>
        <v>0</v>
      </c>
      <c r="E150" s="29">
        <f>ROUND(Balances[[#This Row],[Total]]*40%,0)</f>
        <v>0</v>
      </c>
      <c r="F150" s="18">
        <f>SUM(Acueducto[[#This Row],[Acueducto]:[Aseo]])</f>
        <v>0</v>
      </c>
    </row>
    <row r="151" spans="1:6" ht="15" x14ac:dyDescent="0.2">
      <c r="A151" s="7">
        <v>123604</v>
      </c>
      <c r="B151" s="3" t="s">
        <v>87</v>
      </c>
      <c r="C151" s="29">
        <f>ROUND(Balances[[#This Row],[Total]]*40%,0)</f>
        <v>0</v>
      </c>
      <c r="D151" s="29">
        <f>ROUND(Balances[[#This Row],[Total]]*20%,0)</f>
        <v>0</v>
      </c>
      <c r="E151" s="29">
        <f>ROUND(Balances[[#This Row],[Total]]*40%,0)</f>
        <v>0</v>
      </c>
      <c r="F151" s="18">
        <f>SUM(Acueducto[[#This Row],[Acueducto]:[Aseo]])</f>
        <v>0</v>
      </c>
    </row>
    <row r="152" spans="1:6" ht="15" x14ac:dyDescent="0.2">
      <c r="A152" s="7">
        <v>123605</v>
      </c>
      <c r="B152" s="3" t="s">
        <v>88</v>
      </c>
      <c r="C152" s="29">
        <f>ROUND(Balances[[#This Row],[Total]]*40%,0)</f>
        <v>0</v>
      </c>
      <c r="D152" s="29">
        <f>ROUND(Balances[[#This Row],[Total]]*20%,0)</f>
        <v>0</v>
      </c>
      <c r="E152" s="29">
        <f>ROUND(Balances[[#This Row],[Total]]*40%,0)</f>
        <v>0</v>
      </c>
      <c r="F152" s="18">
        <f>SUM(Acueducto[[#This Row],[Acueducto]:[Aseo]])</f>
        <v>0</v>
      </c>
    </row>
    <row r="153" spans="1:6" ht="15" x14ac:dyDescent="0.2">
      <c r="A153" s="7">
        <v>123606</v>
      </c>
      <c r="B153" s="3" t="s">
        <v>96</v>
      </c>
      <c r="C153" s="29">
        <f>ROUND(Balances[[#This Row],[Total]]*40%,0)</f>
        <v>0</v>
      </c>
      <c r="D153" s="29">
        <f>ROUND(Balances[[#This Row],[Total]]*20%,0)</f>
        <v>0</v>
      </c>
      <c r="E153" s="29">
        <f>ROUND(Balances[[#This Row],[Total]]*40%,0)</f>
        <v>0</v>
      </c>
      <c r="F153" s="18">
        <f>SUM(Acueducto[[#This Row],[Acueducto]:[Aseo]])</f>
        <v>0</v>
      </c>
    </row>
    <row r="154" spans="1:6" ht="15" x14ac:dyDescent="0.2">
      <c r="A154" s="7">
        <v>123607</v>
      </c>
      <c r="B154" s="3" t="s">
        <v>90</v>
      </c>
      <c r="C154" s="29">
        <f>ROUND(Balances[[#This Row],[Total]]*40%,0)</f>
        <v>0</v>
      </c>
      <c r="D154" s="29">
        <f>ROUND(Balances[[#This Row],[Total]]*20%,0)</f>
        <v>0</v>
      </c>
      <c r="E154" s="29">
        <f>ROUND(Balances[[#This Row],[Total]]*40%,0)</f>
        <v>0</v>
      </c>
      <c r="F154" s="18">
        <f>SUM(Acueducto[[#This Row],[Acueducto]:[Aseo]])</f>
        <v>0</v>
      </c>
    </row>
    <row r="155" spans="1:6" ht="15" x14ac:dyDescent="0.2">
      <c r="A155" s="7">
        <v>123608</v>
      </c>
      <c r="B155" s="3" t="s">
        <v>91</v>
      </c>
      <c r="C155" s="29">
        <f>ROUND(Balances[[#This Row],[Total]]*40%,0)</f>
        <v>0</v>
      </c>
      <c r="D155" s="29">
        <f>ROUND(Balances[[#This Row],[Total]]*20%,0)</f>
        <v>0</v>
      </c>
      <c r="E155" s="29">
        <f>ROUND(Balances[[#This Row],[Total]]*40%,0)</f>
        <v>0</v>
      </c>
      <c r="F155" s="18">
        <f>SUM(Acueducto[[#This Row],[Acueducto]:[Aseo]])</f>
        <v>0</v>
      </c>
    </row>
    <row r="156" spans="1:6" ht="15" x14ac:dyDescent="0.2">
      <c r="A156" s="7">
        <v>123609</v>
      </c>
      <c r="B156" s="3" t="s">
        <v>92</v>
      </c>
      <c r="C156" s="29">
        <f>ROUND(Balances[[#This Row],[Total]]*40%,0)</f>
        <v>0</v>
      </c>
      <c r="D156" s="29">
        <f>ROUND(Balances[[#This Row],[Total]]*20%,0)</f>
        <v>0</v>
      </c>
      <c r="E156" s="29">
        <f>ROUND(Balances[[#This Row],[Total]]*40%,0)</f>
        <v>0</v>
      </c>
      <c r="F156" s="18">
        <f>SUM(Acueducto[[#This Row],[Acueducto]:[Aseo]])</f>
        <v>0</v>
      </c>
    </row>
    <row r="157" spans="1:6" ht="15" x14ac:dyDescent="0.2">
      <c r="A157" s="7">
        <v>123610</v>
      </c>
      <c r="B157" s="3" t="s">
        <v>93</v>
      </c>
      <c r="C157" s="29">
        <f>ROUND(Balances[[#This Row],[Total]]*40%,0)</f>
        <v>0</v>
      </c>
      <c r="D157" s="29">
        <f>ROUND(Balances[[#This Row],[Total]]*20%,0)</f>
        <v>0</v>
      </c>
      <c r="E157" s="29">
        <f>ROUND(Balances[[#This Row],[Total]]*40%,0)</f>
        <v>0</v>
      </c>
      <c r="F157" s="18">
        <f>SUM(Acueducto[[#This Row],[Acueducto]:[Aseo]])</f>
        <v>0</v>
      </c>
    </row>
    <row r="158" spans="1:6" ht="15" x14ac:dyDescent="0.2">
      <c r="A158" s="6">
        <v>1237</v>
      </c>
      <c r="B158" s="2" t="s">
        <v>97</v>
      </c>
      <c r="C158" s="28">
        <f>ROUND(Balances[[#This Row],[Total]]*40%,0)</f>
        <v>0</v>
      </c>
      <c r="D158" s="28">
        <f>ROUND(Balances[[#This Row],[Total]]*20%,0)</f>
        <v>0</v>
      </c>
      <c r="E158" s="28">
        <f>ROUND(Balances[[#This Row],[Total]]*40%,0)</f>
        <v>0</v>
      </c>
      <c r="F158" s="17">
        <f>SUM(Acueducto[[#This Row],[Acueducto]:[Aseo]])</f>
        <v>0</v>
      </c>
    </row>
    <row r="159" spans="1:6" ht="15" x14ac:dyDescent="0.2">
      <c r="A159" s="7">
        <v>123701</v>
      </c>
      <c r="B159" s="3" t="s">
        <v>84</v>
      </c>
      <c r="C159" s="29">
        <f>ROUND(Balances[[#This Row],[Total]]*40%,0)</f>
        <v>0</v>
      </c>
      <c r="D159" s="29">
        <f>ROUND(Balances[[#This Row],[Total]]*20%,0)</f>
        <v>0</v>
      </c>
      <c r="E159" s="29">
        <f>ROUND(Balances[[#This Row],[Total]]*40%,0)</f>
        <v>0</v>
      </c>
      <c r="F159" s="18">
        <f>SUM(Acueducto[[#This Row],[Acueducto]:[Aseo]])</f>
        <v>0</v>
      </c>
    </row>
    <row r="160" spans="1:6" ht="15" x14ac:dyDescent="0.2">
      <c r="A160" s="7">
        <v>123702</v>
      </c>
      <c r="B160" s="3" t="s">
        <v>85</v>
      </c>
      <c r="C160" s="29">
        <f>ROUND(Balances[[#This Row],[Total]]*40%,0)</f>
        <v>0</v>
      </c>
      <c r="D160" s="29">
        <f>ROUND(Balances[[#This Row],[Total]]*20%,0)</f>
        <v>0</v>
      </c>
      <c r="E160" s="29">
        <f>ROUND(Balances[[#This Row],[Total]]*40%,0)</f>
        <v>0</v>
      </c>
      <c r="F160" s="18">
        <f>SUM(Acueducto[[#This Row],[Acueducto]:[Aseo]])</f>
        <v>0</v>
      </c>
    </row>
    <row r="161" spans="1:6" ht="15" x14ac:dyDescent="0.2">
      <c r="A161" s="7">
        <v>123703</v>
      </c>
      <c r="B161" s="3" t="s">
        <v>86</v>
      </c>
      <c r="C161" s="29">
        <f>ROUND(Balances[[#This Row],[Total]]*40%,0)</f>
        <v>0</v>
      </c>
      <c r="D161" s="29">
        <f>ROUND(Balances[[#This Row],[Total]]*20%,0)</f>
        <v>0</v>
      </c>
      <c r="E161" s="29">
        <f>ROUND(Balances[[#This Row],[Total]]*40%,0)</f>
        <v>0</v>
      </c>
      <c r="F161" s="18">
        <f>SUM(Acueducto[[#This Row],[Acueducto]:[Aseo]])</f>
        <v>0</v>
      </c>
    </row>
    <row r="162" spans="1:6" ht="15" x14ac:dyDescent="0.2">
      <c r="A162" s="7">
        <v>123704</v>
      </c>
      <c r="B162" s="3" t="s">
        <v>87</v>
      </c>
      <c r="C162" s="29">
        <f>ROUND(Balances[[#This Row],[Total]]*40%,0)</f>
        <v>0</v>
      </c>
      <c r="D162" s="29">
        <f>ROUND(Balances[[#This Row],[Total]]*20%,0)</f>
        <v>0</v>
      </c>
      <c r="E162" s="29">
        <f>ROUND(Balances[[#This Row],[Total]]*40%,0)</f>
        <v>0</v>
      </c>
      <c r="F162" s="18">
        <f>SUM(Acueducto[[#This Row],[Acueducto]:[Aseo]])</f>
        <v>0</v>
      </c>
    </row>
    <row r="163" spans="1:6" ht="15" x14ac:dyDescent="0.2">
      <c r="A163" s="7">
        <v>123705</v>
      </c>
      <c r="B163" s="3" t="s">
        <v>88</v>
      </c>
      <c r="C163" s="29">
        <f>ROUND(Balances[[#This Row],[Total]]*40%,0)</f>
        <v>0</v>
      </c>
      <c r="D163" s="29">
        <f>ROUND(Balances[[#This Row],[Total]]*20%,0)</f>
        <v>0</v>
      </c>
      <c r="E163" s="29">
        <f>ROUND(Balances[[#This Row],[Total]]*40%,0)</f>
        <v>0</v>
      </c>
      <c r="F163" s="18">
        <f>SUM(Acueducto[[#This Row],[Acueducto]:[Aseo]])</f>
        <v>0</v>
      </c>
    </row>
    <row r="164" spans="1:6" ht="15" x14ac:dyDescent="0.2">
      <c r="A164" s="7">
        <v>123706</v>
      </c>
      <c r="B164" s="3" t="s">
        <v>89</v>
      </c>
      <c r="C164" s="29">
        <f>ROUND(Balances[[#This Row],[Total]]*40%,0)</f>
        <v>0</v>
      </c>
      <c r="D164" s="29">
        <f>ROUND(Balances[[#This Row],[Total]]*20%,0)</f>
        <v>0</v>
      </c>
      <c r="E164" s="29">
        <f>ROUND(Balances[[#This Row],[Total]]*40%,0)</f>
        <v>0</v>
      </c>
      <c r="F164" s="18">
        <f>SUM(Acueducto[[#This Row],[Acueducto]:[Aseo]])</f>
        <v>0</v>
      </c>
    </row>
    <row r="165" spans="1:6" ht="15" x14ac:dyDescent="0.2">
      <c r="A165" s="7">
        <v>123707</v>
      </c>
      <c r="B165" s="3" t="s">
        <v>90</v>
      </c>
      <c r="C165" s="29">
        <f>ROUND(Balances[[#This Row],[Total]]*40%,0)</f>
        <v>0</v>
      </c>
      <c r="D165" s="29">
        <f>ROUND(Balances[[#This Row],[Total]]*20%,0)</f>
        <v>0</v>
      </c>
      <c r="E165" s="29">
        <f>ROUND(Balances[[#This Row],[Total]]*40%,0)</f>
        <v>0</v>
      </c>
      <c r="F165" s="18">
        <f>SUM(Acueducto[[#This Row],[Acueducto]:[Aseo]])</f>
        <v>0</v>
      </c>
    </row>
    <row r="166" spans="1:6" ht="15" x14ac:dyDescent="0.2">
      <c r="A166" s="7">
        <v>123708</v>
      </c>
      <c r="B166" s="3" t="s">
        <v>91</v>
      </c>
      <c r="C166" s="29">
        <f>ROUND(Balances[[#This Row],[Total]]*40%,0)</f>
        <v>0</v>
      </c>
      <c r="D166" s="29">
        <f>ROUND(Balances[[#This Row],[Total]]*20%,0)</f>
        <v>0</v>
      </c>
      <c r="E166" s="29">
        <f>ROUND(Balances[[#This Row],[Total]]*40%,0)</f>
        <v>0</v>
      </c>
      <c r="F166" s="18">
        <f>SUM(Acueducto[[#This Row],[Acueducto]:[Aseo]])</f>
        <v>0</v>
      </c>
    </row>
    <row r="167" spans="1:6" ht="15" x14ac:dyDescent="0.2">
      <c r="A167" s="7">
        <v>123709</v>
      </c>
      <c r="B167" s="3" t="s">
        <v>92</v>
      </c>
      <c r="C167" s="29">
        <f>ROUND(Balances[[#This Row],[Total]]*40%,0)</f>
        <v>0</v>
      </c>
      <c r="D167" s="29">
        <f>ROUND(Balances[[#This Row],[Total]]*20%,0)</f>
        <v>0</v>
      </c>
      <c r="E167" s="29">
        <f>ROUND(Balances[[#This Row],[Total]]*40%,0)</f>
        <v>0</v>
      </c>
      <c r="F167" s="18">
        <f>SUM(Acueducto[[#This Row],[Acueducto]:[Aseo]])</f>
        <v>0</v>
      </c>
    </row>
    <row r="168" spans="1:6" ht="15" x14ac:dyDescent="0.2">
      <c r="A168" s="7">
        <v>123710</v>
      </c>
      <c r="B168" s="3" t="s">
        <v>93</v>
      </c>
      <c r="C168" s="29">
        <f>ROUND(Balances[[#This Row],[Total]]*40%,0)</f>
        <v>0</v>
      </c>
      <c r="D168" s="29">
        <f>ROUND(Balances[[#This Row],[Total]]*20%,0)</f>
        <v>0</v>
      </c>
      <c r="E168" s="29">
        <f>ROUND(Balances[[#This Row],[Total]]*40%,0)</f>
        <v>0</v>
      </c>
      <c r="F168" s="18">
        <f>SUM(Acueducto[[#This Row],[Acueducto]:[Aseo]])</f>
        <v>0</v>
      </c>
    </row>
    <row r="169" spans="1:6" ht="15" x14ac:dyDescent="0.2">
      <c r="A169" s="6">
        <v>1238</v>
      </c>
      <c r="B169" s="2" t="s">
        <v>98</v>
      </c>
      <c r="C169" s="28">
        <f>ROUND(Balances[[#This Row],[Total]]*40%,0)</f>
        <v>0</v>
      </c>
      <c r="D169" s="28">
        <f>ROUND(Balances[[#This Row],[Total]]*20%,0)</f>
        <v>0</v>
      </c>
      <c r="E169" s="28">
        <f>ROUND(Balances[[#This Row],[Total]]*40%,0)</f>
        <v>0</v>
      </c>
      <c r="F169" s="17">
        <f>SUM(Acueducto[[#This Row],[Acueducto]:[Aseo]])</f>
        <v>0</v>
      </c>
    </row>
    <row r="170" spans="1:6" ht="15" x14ac:dyDescent="0.2">
      <c r="A170" s="7">
        <v>123801</v>
      </c>
      <c r="B170" s="4" t="s">
        <v>99</v>
      </c>
      <c r="C170" s="29">
        <f>ROUND(Balances[[#This Row],[Total]]*40%,0)</f>
        <v>0</v>
      </c>
      <c r="D170" s="29">
        <f>ROUND(Balances[[#This Row],[Total]]*20%,0)</f>
        <v>0</v>
      </c>
      <c r="E170" s="29">
        <f>ROUND(Balances[[#This Row],[Total]]*40%,0)</f>
        <v>0</v>
      </c>
      <c r="F170" s="18">
        <f>SUM(Acueducto[[#This Row],[Acueducto]:[Aseo]])</f>
        <v>0</v>
      </c>
    </row>
    <row r="171" spans="1:6" ht="15" x14ac:dyDescent="0.2">
      <c r="A171" s="7">
        <v>123802</v>
      </c>
      <c r="B171" s="4" t="s">
        <v>100</v>
      </c>
      <c r="C171" s="29">
        <f>ROUND(Balances[[#This Row],[Total]]*40%,0)</f>
        <v>0</v>
      </c>
      <c r="D171" s="29">
        <f>ROUND(Balances[[#This Row],[Total]]*20%,0)</f>
        <v>0</v>
      </c>
      <c r="E171" s="29">
        <f>ROUND(Balances[[#This Row],[Total]]*40%,0)</f>
        <v>0</v>
      </c>
      <c r="F171" s="18">
        <f>SUM(Acueducto[[#This Row],[Acueducto]:[Aseo]])</f>
        <v>0</v>
      </c>
    </row>
    <row r="172" spans="1:6" ht="15" x14ac:dyDescent="0.2">
      <c r="A172" s="7">
        <v>123803</v>
      </c>
      <c r="B172" s="3" t="s">
        <v>101</v>
      </c>
      <c r="C172" s="29">
        <f>ROUND(Balances[[#This Row],[Total]]*40%,0)</f>
        <v>0</v>
      </c>
      <c r="D172" s="29">
        <f>ROUND(Balances[[#This Row],[Total]]*20%,0)</f>
        <v>0</v>
      </c>
      <c r="E172" s="29">
        <f>ROUND(Balances[[#This Row],[Total]]*40%,0)</f>
        <v>0</v>
      </c>
      <c r="F172" s="18">
        <f>SUM(Acueducto[[#This Row],[Acueducto]:[Aseo]])</f>
        <v>0</v>
      </c>
    </row>
    <row r="173" spans="1:6" ht="15" x14ac:dyDescent="0.2">
      <c r="A173" s="6">
        <v>1239</v>
      </c>
      <c r="B173" s="2" t="s">
        <v>102</v>
      </c>
      <c r="C173" s="28">
        <f>ROUND(Balances[[#This Row],[Total]]*40%,0)</f>
        <v>0</v>
      </c>
      <c r="D173" s="28">
        <f>ROUND(Balances[[#This Row],[Total]]*20%,0)</f>
        <v>0</v>
      </c>
      <c r="E173" s="28">
        <f>ROUND(Balances[[#This Row],[Total]]*40%,0)</f>
        <v>0</v>
      </c>
      <c r="F173" s="17">
        <f>SUM(Acueducto[[#This Row],[Acueducto]:[Aseo]])</f>
        <v>0</v>
      </c>
    </row>
    <row r="174" spans="1:6" ht="15" x14ac:dyDescent="0.2">
      <c r="A174" s="7">
        <v>123901</v>
      </c>
      <c r="B174" s="3" t="s">
        <v>103</v>
      </c>
      <c r="C174" s="29">
        <f>ROUND(Balances[[#This Row],[Total]]*40%,0)</f>
        <v>0</v>
      </c>
      <c r="D174" s="29">
        <f>ROUND(Balances[[#This Row],[Total]]*20%,0)</f>
        <v>0</v>
      </c>
      <c r="E174" s="29">
        <f>ROUND(Balances[[#This Row],[Total]]*40%,0)</f>
        <v>0</v>
      </c>
      <c r="F174" s="18">
        <f>SUM(Acueducto[[#This Row],[Acueducto]:[Aseo]])</f>
        <v>0</v>
      </c>
    </row>
    <row r="175" spans="1:6" ht="15" x14ac:dyDescent="0.2">
      <c r="A175" s="7">
        <v>123902</v>
      </c>
      <c r="B175" s="3" t="s">
        <v>104</v>
      </c>
      <c r="C175" s="29">
        <f>ROUND(Balances[[#This Row],[Total]]*40%,0)</f>
        <v>0</v>
      </c>
      <c r="D175" s="29">
        <f>ROUND(Balances[[#This Row],[Total]]*20%,0)</f>
        <v>0</v>
      </c>
      <c r="E175" s="29">
        <f>ROUND(Balances[[#This Row],[Total]]*40%,0)</f>
        <v>0</v>
      </c>
      <c r="F175" s="18">
        <f>SUM(Acueducto[[#This Row],[Acueducto]:[Aseo]])</f>
        <v>0</v>
      </c>
    </row>
    <row r="176" spans="1:6" ht="15" x14ac:dyDescent="0.2">
      <c r="A176" s="6">
        <v>1280</v>
      </c>
      <c r="B176" s="2" t="s">
        <v>105</v>
      </c>
      <c r="C176" s="28">
        <f>ROUND(Balances[[#This Row],[Total]]*40%,0)</f>
        <v>0</v>
      </c>
      <c r="D176" s="28">
        <f>ROUND(Balances[[#This Row],[Total]]*20%,0)</f>
        <v>0</v>
      </c>
      <c r="E176" s="28">
        <f>ROUND(Balances[[#This Row],[Total]]*40%,0)</f>
        <v>0</v>
      </c>
      <c r="F176" s="17">
        <f>SUM(Acueducto[[#This Row],[Acueducto]:[Aseo]])</f>
        <v>0</v>
      </c>
    </row>
    <row r="177" spans="1:6" ht="15" x14ac:dyDescent="0.2">
      <c r="A177" s="7">
        <v>128040</v>
      </c>
      <c r="B177" s="3" t="s">
        <v>43</v>
      </c>
      <c r="C177" s="29">
        <f>ROUND(Balances[[#This Row],[Total]]*40%,0)</f>
        <v>0</v>
      </c>
      <c r="D177" s="29">
        <f>ROUND(Balances[[#This Row],[Total]]*20%,0)</f>
        <v>0</v>
      </c>
      <c r="E177" s="29">
        <f>ROUND(Balances[[#This Row],[Total]]*40%,0)</f>
        <v>0</v>
      </c>
      <c r="F177" s="18">
        <f>SUM(Acueducto[[#This Row],[Acueducto]:[Aseo]])</f>
        <v>0</v>
      </c>
    </row>
    <row r="178" spans="1:6" ht="15" x14ac:dyDescent="0.2">
      <c r="A178" s="7">
        <v>128041</v>
      </c>
      <c r="B178" s="3" t="s">
        <v>44</v>
      </c>
      <c r="C178" s="29">
        <f>ROUND(Balances[[#This Row],[Total]]*40%,0)</f>
        <v>0</v>
      </c>
      <c r="D178" s="29">
        <f>ROUND(Balances[[#This Row],[Total]]*20%,0)</f>
        <v>0</v>
      </c>
      <c r="E178" s="29">
        <f>ROUND(Balances[[#This Row],[Total]]*40%,0)</f>
        <v>0</v>
      </c>
      <c r="F178" s="18">
        <f>SUM(Acueducto[[#This Row],[Acueducto]:[Aseo]])</f>
        <v>0</v>
      </c>
    </row>
    <row r="179" spans="1:6" ht="15" x14ac:dyDescent="0.2">
      <c r="A179" s="7">
        <v>128042</v>
      </c>
      <c r="B179" s="3" t="s">
        <v>45</v>
      </c>
      <c r="C179" s="29">
        <f>ROUND(Balances[[#This Row],[Total]]*40%,0)</f>
        <v>0</v>
      </c>
      <c r="D179" s="29">
        <f>ROUND(Balances[[#This Row],[Total]]*20%,0)</f>
        <v>0</v>
      </c>
      <c r="E179" s="29">
        <f>ROUND(Balances[[#This Row],[Total]]*40%,0)</f>
        <v>0</v>
      </c>
      <c r="F179" s="18">
        <f>SUM(Acueducto[[#This Row],[Acueducto]:[Aseo]])</f>
        <v>0</v>
      </c>
    </row>
    <row r="180" spans="1:6" ht="15" x14ac:dyDescent="0.2">
      <c r="A180" s="7">
        <v>128044</v>
      </c>
      <c r="B180" s="3" t="s">
        <v>106</v>
      </c>
      <c r="C180" s="29">
        <f>ROUND(Balances[[#This Row],[Total]]*40%,0)</f>
        <v>0</v>
      </c>
      <c r="D180" s="29">
        <f>ROUND(Balances[[#This Row],[Total]]*20%,0)</f>
        <v>0</v>
      </c>
      <c r="E180" s="29">
        <f>ROUND(Balances[[#This Row],[Total]]*40%,0)</f>
        <v>0</v>
      </c>
      <c r="F180" s="18">
        <f>SUM(Acueducto[[#This Row],[Acueducto]:[Aseo]])</f>
        <v>0</v>
      </c>
    </row>
    <row r="181" spans="1:6" ht="15" x14ac:dyDescent="0.2">
      <c r="A181" s="7">
        <v>128046</v>
      </c>
      <c r="B181" s="3" t="s">
        <v>107</v>
      </c>
      <c r="C181" s="29">
        <f>ROUND(Balances[[#This Row],[Total]]*40%,0)</f>
        <v>0</v>
      </c>
      <c r="D181" s="29">
        <f>ROUND(Balances[[#This Row],[Total]]*20%,0)</f>
        <v>0</v>
      </c>
      <c r="E181" s="29">
        <f>ROUND(Balances[[#This Row],[Total]]*40%,0)</f>
        <v>0</v>
      </c>
      <c r="F181" s="18">
        <f>SUM(Acueducto[[#This Row],[Acueducto]:[Aseo]])</f>
        <v>0</v>
      </c>
    </row>
    <row r="182" spans="1:6" ht="15" x14ac:dyDescent="0.2">
      <c r="A182" s="7">
        <v>128048</v>
      </c>
      <c r="B182" s="3" t="s">
        <v>108</v>
      </c>
      <c r="C182" s="29">
        <f>ROUND(Balances[[#This Row],[Total]]*40%,0)</f>
        <v>0</v>
      </c>
      <c r="D182" s="29">
        <f>ROUND(Balances[[#This Row],[Total]]*20%,0)</f>
        <v>0</v>
      </c>
      <c r="E182" s="29">
        <f>ROUND(Balances[[#This Row],[Total]]*40%,0)</f>
        <v>0</v>
      </c>
      <c r="F182" s="18">
        <f>SUM(Acueducto[[#This Row],[Acueducto]:[Aseo]])</f>
        <v>0</v>
      </c>
    </row>
    <row r="183" spans="1:6" ht="15" x14ac:dyDescent="0.2">
      <c r="A183" s="6">
        <v>13</v>
      </c>
      <c r="B183" s="2" t="s">
        <v>109</v>
      </c>
      <c r="C183" s="28">
        <f>ROUND(Balances[[#This Row],[Total]]*40%,0)</f>
        <v>10618940</v>
      </c>
      <c r="D183" s="28">
        <f>ROUND(Balances[[#This Row],[Total]]*20%,0)</f>
        <v>5309470</v>
      </c>
      <c r="E183" s="28">
        <f>ROUND(Balances[[#This Row],[Total]]*40%,0)</f>
        <v>10618940</v>
      </c>
      <c r="F183" s="28">
        <f>SUM(Acueducto[[#This Row],[Acueducto]:[Aseo]])</f>
        <v>26547350</v>
      </c>
    </row>
    <row r="184" spans="1:6" ht="15" x14ac:dyDescent="0.2">
      <c r="A184" s="6">
        <v>1311</v>
      </c>
      <c r="B184" s="2" t="s">
        <v>110</v>
      </c>
      <c r="C184" s="28">
        <f>ROUND(Balances[[#This Row],[Total]]*40%,0)</f>
        <v>0</v>
      </c>
      <c r="D184" s="28">
        <f>ROUND(Balances[[#This Row],[Total]]*20%,0)</f>
        <v>0</v>
      </c>
      <c r="E184" s="28">
        <f>ROUND(Balances[[#This Row],[Total]]*40%,0)</f>
        <v>0</v>
      </c>
      <c r="F184" s="17">
        <f>SUM(Acueducto[[#This Row],[Acueducto]:[Aseo]])</f>
        <v>0</v>
      </c>
    </row>
    <row r="185" spans="1:6" ht="15" x14ac:dyDescent="0.2">
      <c r="A185" s="7">
        <v>131102</v>
      </c>
      <c r="B185" s="3" t="s">
        <v>111</v>
      </c>
      <c r="C185" s="29">
        <f>ROUND(Balances[[#This Row],[Total]]*40%,0)</f>
        <v>0</v>
      </c>
      <c r="D185" s="29">
        <f>ROUND(Balances[[#This Row],[Total]]*20%,0)</f>
        <v>0</v>
      </c>
      <c r="E185" s="29">
        <f>ROUND(Balances[[#This Row],[Total]]*40%,0)</f>
        <v>0</v>
      </c>
      <c r="F185" s="18">
        <f>SUM(Acueducto[[#This Row],[Acueducto]:[Aseo]])</f>
        <v>0</v>
      </c>
    </row>
    <row r="186" spans="1:6" ht="15" x14ac:dyDescent="0.2">
      <c r="A186" s="7">
        <v>131104</v>
      </c>
      <c r="B186" s="3" t="s">
        <v>112</v>
      </c>
      <c r="C186" s="29">
        <f>ROUND(Balances[[#This Row],[Total]]*40%,0)</f>
        <v>0</v>
      </c>
      <c r="D186" s="29">
        <f>ROUND(Balances[[#This Row],[Total]]*20%,0)</f>
        <v>0</v>
      </c>
      <c r="E186" s="29">
        <f>ROUND(Balances[[#This Row],[Total]]*40%,0)</f>
        <v>0</v>
      </c>
      <c r="F186" s="18">
        <f>SUM(Acueducto[[#This Row],[Acueducto]:[Aseo]])</f>
        <v>0</v>
      </c>
    </row>
    <row r="187" spans="1:6" ht="15" x14ac:dyDescent="0.2">
      <c r="A187" s="7">
        <v>131113</v>
      </c>
      <c r="B187" s="3" t="s">
        <v>113</v>
      </c>
      <c r="C187" s="29">
        <f>ROUND(Balances[[#This Row],[Total]]*40%,0)</f>
        <v>0</v>
      </c>
      <c r="D187" s="29">
        <f>ROUND(Balances[[#This Row],[Total]]*20%,0)</f>
        <v>0</v>
      </c>
      <c r="E187" s="29">
        <f>ROUND(Balances[[#This Row],[Total]]*40%,0)</f>
        <v>0</v>
      </c>
      <c r="F187" s="18">
        <f>SUM(Acueducto[[#This Row],[Acueducto]:[Aseo]])</f>
        <v>0</v>
      </c>
    </row>
    <row r="188" spans="1:6" ht="15" x14ac:dyDescent="0.2">
      <c r="A188" s="7">
        <v>131117</v>
      </c>
      <c r="B188" s="3" t="s">
        <v>114</v>
      </c>
      <c r="C188" s="29">
        <f>ROUND(Balances[[#This Row],[Total]]*40%,0)</f>
        <v>0</v>
      </c>
      <c r="D188" s="29">
        <f>ROUND(Balances[[#This Row],[Total]]*20%,0)</f>
        <v>0</v>
      </c>
      <c r="E188" s="29">
        <f>ROUND(Balances[[#This Row],[Total]]*40%,0)</f>
        <v>0</v>
      </c>
      <c r="F188" s="18">
        <f>SUM(Acueducto[[#This Row],[Acueducto]:[Aseo]])</f>
        <v>0</v>
      </c>
    </row>
    <row r="189" spans="1:6" ht="15" x14ac:dyDescent="0.2">
      <c r="A189" s="6">
        <v>1316</v>
      </c>
      <c r="B189" s="2" t="s">
        <v>115</v>
      </c>
      <c r="C189" s="28">
        <f>ROUND(Balances[[#This Row],[Total]]*40%,0)</f>
        <v>0</v>
      </c>
      <c r="D189" s="28">
        <f>ROUND(Balances[[#This Row],[Total]]*20%,0)</f>
        <v>0</v>
      </c>
      <c r="E189" s="28">
        <f>ROUND(Balances[[#This Row],[Total]]*40%,0)</f>
        <v>0</v>
      </c>
      <c r="F189" s="17">
        <f>SUM(Acueducto[[#This Row],[Acueducto]:[Aseo]])</f>
        <v>0</v>
      </c>
    </row>
    <row r="190" spans="1:6" ht="15" x14ac:dyDescent="0.2">
      <c r="A190" s="7">
        <v>131601</v>
      </c>
      <c r="B190" s="3" t="s">
        <v>116</v>
      </c>
      <c r="C190" s="29">
        <f>ROUND(Balances[[#This Row],[Total]]*40%,0)</f>
        <v>0</v>
      </c>
      <c r="D190" s="29">
        <f>ROUND(Balances[[#This Row],[Total]]*20%,0)</f>
        <v>0</v>
      </c>
      <c r="E190" s="29">
        <f>ROUND(Balances[[#This Row],[Total]]*40%,0)</f>
        <v>0</v>
      </c>
      <c r="F190" s="18">
        <f>SUM(Acueducto[[#This Row],[Acueducto]:[Aseo]])</f>
        <v>0</v>
      </c>
    </row>
    <row r="191" spans="1:6" ht="15" x14ac:dyDescent="0.2">
      <c r="A191" s="7">
        <v>131602</v>
      </c>
      <c r="B191" s="3" t="s">
        <v>117</v>
      </c>
      <c r="C191" s="29">
        <f>ROUND(Balances[[#This Row],[Total]]*40%,0)</f>
        <v>0</v>
      </c>
      <c r="D191" s="29">
        <f>ROUND(Balances[[#This Row],[Total]]*20%,0)</f>
        <v>0</v>
      </c>
      <c r="E191" s="29">
        <f>ROUND(Balances[[#This Row],[Total]]*40%,0)</f>
        <v>0</v>
      </c>
      <c r="F191" s="18">
        <f>SUM(Acueducto[[#This Row],[Acueducto]:[Aseo]])</f>
        <v>0</v>
      </c>
    </row>
    <row r="192" spans="1:6" ht="15" x14ac:dyDescent="0.2">
      <c r="A192" s="7">
        <v>131603</v>
      </c>
      <c r="B192" s="3" t="s">
        <v>118</v>
      </c>
      <c r="C192" s="29">
        <f>ROUND(Balances[[#This Row],[Total]]*40%,0)</f>
        <v>0</v>
      </c>
      <c r="D192" s="29">
        <f>ROUND(Balances[[#This Row],[Total]]*20%,0)</f>
        <v>0</v>
      </c>
      <c r="E192" s="29">
        <f>ROUND(Balances[[#This Row],[Total]]*40%,0)</f>
        <v>0</v>
      </c>
      <c r="F192" s="18">
        <f>SUM(Acueducto[[#This Row],[Acueducto]:[Aseo]])</f>
        <v>0</v>
      </c>
    </row>
    <row r="193" spans="1:6" ht="15" x14ac:dyDescent="0.2">
      <c r="A193" s="7">
        <v>131604</v>
      </c>
      <c r="B193" s="3" t="s">
        <v>119</v>
      </c>
      <c r="C193" s="29">
        <f>ROUND(Balances[[#This Row],[Total]]*40%,0)</f>
        <v>0</v>
      </c>
      <c r="D193" s="29">
        <f>ROUND(Balances[[#This Row],[Total]]*20%,0)</f>
        <v>0</v>
      </c>
      <c r="E193" s="29">
        <f>ROUND(Balances[[#This Row],[Total]]*40%,0)</f>
        <v>0</v>
      </c>
      <c r="F193" s="18">
        <f>SUM(Acueducto[[#This Row],[Acueducto]:[Aseo]])</f>
        <v>0</v>
      </c>
    </row>
    <row r="194" spans="1:6" ht="15" x14ac:dyDescent="0.2">
      <c r="A194" s="7">
        <v>131605</v>
      </c>
      <c r="B194" s="3" t="s">
        <v>120</v>
      </c>
      <c r="C194" s="29">
        <f>ROUND(Balances[[#This Row],[Total]]*40%,0)</f>
        <v>0</v>
      </c>
      <c r="D194" s="29">
        <f>ROUND(Balances[[#This Row],[Total]]*20%,0)</f>
        <v>0</v>
      </c>
      <c r="E194" s="29">
        <f>ROUND(Balances[[#This Row],[Total]]*40%,0)</f>
        <v>0</v>
      </c>
      <c r="F194" s="18">
        <f>SUM(Acueducto[[#This Row],[Acueducto]:[Aseo]])</f>
        <v>0</v>
      </c>
    </row>
    <row r="195" spans="1:6" ht="15" x14ac:dyDescent="0.2">
      <c r="A195" s="7">
        <v>131606</v>
      </c>
      <c r="B195" s="3" t="s">
        <v>121</v>
      </c>
      <c r="C195" s="29">
        <f>ROUND(Balances[[#This Row],[Total]]*40%,0)</f>
        <v>0</v>
      </c>
      <c r="D195" s="29">
        <f>ROUND(Balances[[#This Row],[Total]]*20%,0)</f>
        <v>0</v>
      </c>
      <c r="E195" s="29">
        <f>ROUND(Balances[[#This Row],[Total]]*40%,0)</f>
        <v>0</v>
      </c>
      <c r="F195" s="18">
        <f>SUM(Acueducto[[#This Row],[Acueducto]:[Aseo]])</f>
        <v>0</v>
      </c>
    </row>
    <row r="196" spans="1:6" ht="15" x14ac:dyDescent="0.2">
      <c r="A196" s="6">
        <v>1317</v>
      </c>
      <c r="B196" s="2" t="s">
        <v>122</v>
      </c>
      <c r="C196" s="28">
        <f>ROUND(Balances[[#This Row],[Total]]*40%,0)</f>
        <v>0</v>
      </c>
      <c r="D196" s="28">
        <f>ROUND(Balances[[#This Row],[Total]]*20%,0)</f>
        <v>0</v>
      </c>
      <c r="E196" s="28">
        <f>ROUND(Balances[[#This Row],[Total]]*40%,0)</f>
        <v>0</v>
      </c>
      <c r="F196" s="17">
        <f>SUM(Acueducto[[#This Row],[Acueducto]:[Aseo]])</f>
        <v>0</v>
      </c>
    </row>
    <row r="197" spans="1:6" ht="15" x14ac:dyDescent="0.2">
      <c r="A197" s="7">
        <v>131702</v>
      </c>
      <c r="B197" s="3" t="s">
        <v>123</v>
      </c>
      <c r="C197" s="29">
        <f>ROUND(Balances[[#This Row],[Total]]*40%,0)</f>
        <v>0</v>
      </c>
      <c r="D197" s="29">
        <f>ROUND(Balances[[#This Row],[Total]]*20%,0)</f>
        <v>0</v>
      </c>
      <c r="E197" s="29">
        <f>ROUND(Balances[[#This Row],[Total]]*40%,0)</f>
        <v>0</v>
      </c>
      <c r="F197" s="18">
        <f>SUM(Acueducto[[#This Row],[Acueducto]:[Aseo]])</f>
        <v>0</v>
      </c>
    </row>
    <row r="198" spans="1:6" ht="15" x14ac:dyDescent="0.2">
      <c r="A198" s="7">
        <v>131703</v>
      </c>
      <c r="B198" s="3" t="s">
        <v>124</v>
      </c>
      <c r="C198" s="29">
        <f>ROUND(Balances[[#This Row],[Total]]*40%,0)</f>
        <v>0</v>
      </c>
      <c r="D198" s="29">
        <f>ROUND(Balances[[#This Row],[Total]]*20%,0)</f>
        <v>0</v>
      </c>
      <c r="E198" s="29">
        <f>ROUND(Balances[[#This Row],[Total]]*40%,0)</f>
        <v>0</v>
      </c>
      <c r="F198" s="18">
        <f>SUM(Acueducto[[#This Row],[Acueducto]:[Aseo]])</f>
        <v>0</v>
      </c>
    </row>
    <row r="199" spans="1:6" ht="15" x14ac:dyDescent="0.2">
      <c r="A199" s="7">
        <v>131704</v>
      </c>
      <c r="B199" s="3" t="s">
        <v>125</v>
      </c>
      <c r="C199" s="29">
        <f>ROUND(Balances[[#This Row],[Total]]*40%,0)</f>
        <v>0</v>
      </c>
      <c r="D199" s="29">
        <f>ROUND(Balances[[#This Row],[Total]]*20%,0)</f>
        <v>0</v>
      </c>
      <c r="E199" s="29">
        <f>ROUND(Balances[[#This Row],[Total]]*40%,0)</f>
        <v>0</v>
      </c>
      <c r="F199" s="18">
        <f>SUM(Acueducto[[#This Row],[Acueducto]:[Aseo]])</f>
        <v>0</v>
      </c>
    </row>
    <row r="200" spans="1:6" ht="15" x14ac:dyDescent="0.2">
      <c r="A200" s="7">
        <v>131705</v>
      </c>
      <c r="B200" s="3" t="s">
        <v>126</v>
      </c>
      <c r="C200" s="29">
        <f>ROUND(Balances[[#This Row],[Total]]*40%,0)</f>
        <v>0</v>
      </c>
      <c r="D200" s="29">
        <f>ROUND(Balances[[#This Row],[Total]]*20%,0)</f>
        <v>0</v>
      </c>
      <c r="E200" s="29">
        <f>ROUND(Balances[[#This Row],[Total]]*40%,0)</f>
        <v>0</v>
      </c>
      <c r="F200" s="18">
        <f>SUM(Acueducto[[#This Row],[Acueducto]:[Aseo]])</f>
        <v>0</v>
      </c>
    </row>
    <row r="201" spans="1:6" ht="15" x14ac:dyDescent="0.2">
      <c r="A201" s="7">
        <v>131708</v>
      </c>
      <c r="B201" s="3" t="s">
        <v>127</v>
      </c>
      <c r="C201" s="29">
        <f>ROUND(Balances[[#This Row],[Total]]*40%,0)</f>
        <v>0</v>
      </c>
      <c r="D201" s="29">
        <f>ROUND(Balances[[#This Row],[Total]]*20%,0)</f>
        <v>0</v>
      </c>
      <c r="E201" s="29">
        <f>ROUND(Balances[[#This Row],[Total]]*40%,0)</f>
        <v>0</v>
      </c>
      <c r="F201" s="18">
        <f>SUM(Acueducto[[#This Row],[Acueducto]:[Aseo]])</f>
        <v>0</v>
      </c>
    </row>
    <row r="202" spans="1:6" ht="15" x14ac:dyDescent="0.2">
      <c r="A202" s="7">
        <v>131710</v>
      </c>
      <c r="B202" s="3" t="s">
        <v>128</v>
      </c>
      <c r="C202" s="29">
        <f>ROUND(Balances[[#This Row],[Total]]*40%,0)</f>
        <v>0</v>
      </c>
      <c r="D202" s="29">
        <f>ROUND(Balances[[#This Row],[Total]]*20%,0)</f>
        <v>0</v>
      </c>
      <c r="E202" s="29">
        <f>ROUND(Balances[[#This Row],[Total]]*40%,0)</f>
        <v>0</v>
      </c>
      <c r="F202" s="18">
        <f>SUM(Acueducto[[#This Row],[Acueducto]:[Aseo]])</f>
        <v>0</v>
      </c>
    </row>
    <row r="203" spans="1:6" ht="15" x14ac:dyDescent="0.2">
      <c r="A203" s="7">
        <v>131711</v>
      </c>
      <c r="B203" s="3" t="s">
        <v>129</v>
      </c>
      <c r="C203" s="29">
        <f>ROUND(Balances[[#This Row],[Total]]*40%,0)</f>
        <v>0</v>
      </c>
      <c r="D203" s="29">
        <f>ROUND(Balances[[#This Row],[Total]]*20%,0)</f>
        <v>0</v>
      </c>
      <c r="E203" s="29">
        <f>ROUND(Balances[[#This Row],[Total]]*40%,0)</f>
        <v>0</v>
      </c>
      <c r="F203" s="18">
        <f>SUM(Acueducto[[#This Row],[Acueducto]:[Aseo]])</f>
        <v>0</v>
      </c>
    </row>
    <row r="204" spans="1:6" ht="15" x14ac:dyDescent="0.2">
      <c r="A204" s="7">
        <v>131712</v>
      </c>
      <c r="B204" s="3" t="s">
        <v>130</v>
      </c>
      <c r="C204" s="29">
        <f>ROUND(Balances[[#This Row],[Total]]*40%,0)</f>
        <v>0</v>
      </c>
      <c r="D204" s="29">
        <f>ROUND(Balances[[#This Row],[Total]]*20%,0)</f>
        <v>0</v>
      </c>
      <c r="E204" s="29">
        <f>ROUND(Balances[[#This Row],[Total]]*40%,0)</f>
        <v>0</v>
      </c>
      <c r="F204" s="18">
        <f>SUM(Acueducto[[#This Row],[Acueducto]:[Aseo]])</f>
        <v>0</v>
      </c>
    </row>
    <row r="205" spans="1:6" ht="15" x14ac:dyDescent="0.2">
      <c r="A205" s="7">
        <v>131713</v>
      </c>
      <c r="B205" s="3" t="s">
        <v>131</v>
      </c>
      <c r="C205" s="29">
        <f>ROUND(Balances[[#This Row],[Total]]*40%,0)</f>
        <v>0</v>
      </c>
      <c r="D205" s="29">
        <f>ROUND(Balances[[#This Row],[Total]]*20%,0)</f>
        <v>0</v>
      </c>
      <c r="E205" s="29">
        <f>ROUND(Balances[[#This Row],[Total]]*40%,0)</f>
        <v>0</v>
      </c>
      <c r="F205" s="18">
        <f>SUM(Acueducto[[#This Row],[Acueducto]:[Aseo]])</f>
        <v>0</v>
      </c>
    </row>
    <row r="206" spans="1:6" ht="15" x14ac:dyDescent="0.2">
      <c r="A206" s="7">
        <v>131714</v>
      </c>
      <c r="B206" s="3" t="s">
        <v>132</v>
      </c>
      <c r="C206" s="29">
        <f>ROUND(Balances[[#This Row],[Total]]*40%,0)</f>
        <v>0</v>
      </c>
      <c r="D206" s="29">
        <f>ROUND(Balances[[#This Row],[Total]]*20%,0)</f>
        <v>0</v>
      </c>
      <c r="E206" s="29">
        <f>ROUND(Balances[[#This Row],[Total]]*40%,0)</f>
        <v>0</v>
      </c>
      <c r="F206" s="18">
        <f>SUM(Acueducto[[#This Row],[Acueducto]:[Aseo]])</f>
        <v>0</v>
      </c>
    </row>
    <row r="207" spans="1:6" ht="15" x14ac:dyDescent="0.2">
      <c r="A207" s="7">
        <v>131715</v>
      </c>
      <c r="B207" s="3" t="s">
        <v>133</v>
      </c>
      <c r="C207" s="29">
        <f>ROUND(Balances[[#This Row],[Total]]*40%,0)</f>
        <v>0</v>
      </c>
      <c r="D207" s="29">
        <f>ROUND(Balances[[#This Row],[Total]]*20%,0)</f>
        <v>0</v>
      </c>
      <c r="E207" s="29">
        <f>ROUND(Balances[[#This Row],[Total]]*40%,0)</f>
        <v>0</v>
      </c>
      <c r="F207" s="18">
        <f>SUM(Acueducto[[#This Row],[Acueducto]:[Aseo]])</f>
        <v>0</v>
      </c>
    </row>
    <row r="208" spans="1:6" ht="15" x14ac:dyDescent="0.2">
      <c r="A208" s="7">
        <v>131716</v>
      </c>
      <c r="B208" s="3" t="s">
        <v>134</v>
      </c>
      <c r="C208" s="29">
        <f>ROUND(Balances[[#This Row],[Total]]*40%,0)</f>
        <v>0</v>
      </c>
      <c r="D208" s="29">
        <f>ROUND(Balances[[#This Row],[Total]]*20%,0)</f>
        <v>0</v>
      </c>
      <c r="E208" s="29">
        <f>ROUND(Balances[[#This Row],[Total]]*40%,0)</f>
        <v>0</v>
      </c>
      <c r="F208" s="18">
        <f>SUM(Acueducto[[#This Row],[Acueducto]:[Aseo]])</f>
        <v>0</v>
      </c>
    </row>
    <row r="209" spans="1:6" ht="15" x14ac:dyDescent="0.2">
      <c r="A209" s="7">
        <v>131717</v>
      </c>
      <c r="B209" s="3" t="s">
        <v>135</v>
      </c>
      <c r="C209" s="29">
        <f>ROUND(Balances[[#This Row],[Total]]*40%,0)</f>
        <v>0</v>
      </c>
      <c r="D209" s="29">
        <f>ROUND(Balances[[#This Row],[Total]]*20%,0)</f>
        <v>0</v>
      </c>
      <c r="E209" s="29">
        <f>ROUND(Balances[[#This Row],[Total]]*40%,0)</f>
        <v>0</v>
      </c>
      <c r="F209" s="18">
        <f>SUM(Acueducto[[#This Row],[Acueducto]:[Aseo]])</f>
        <v>0</v>
      </c>
    </row>
    <row r="210" spans="1:6" ht="15" x14ac:dyDescent="0.2">
      <c r="A210" s="7">
        <v>131718</v>
      </c>
      <c r="B210" s="3" t="s">
        <v>136</v>
      </c>
      <c r="C210" s="29">
        <f>ROUND(Balances[[#This Row],[Total]]*40%,0)</f>
        <v>0</v>
      </c>
      <c r="D210" s="29">
        <f>ROUND(Balances[[#This Row],[Total]]*20%,0)</f>
        <v>0</v>
      </c>
      <c r="E210" s="29">
        <f>ROUND(Balances[[#This Row],[Total]]*40%,0)</f>
        <v>0</v>
      </c>
      <c r="F210" s="18">
        <f>SUM(Acueducto[[#This Row],[Acueducto]:[Aseo]])</f>
        <v>0</v>
      </c>
    </row>
    <row r="211" spans="1:6" ht="15" x14ac:dyDescent="0.2">
      <c r="A211" s="7">
        <v>131719</v>
      </c>
      <c r="B211" s="3" t="s">
        <v>137</v>
      </c>
      <c r="C211" s="29">
        <f>ROUND(Balances[[#This Row],[Total]]*40%,0)</f>
        <v>0</v>
      </c>
      <c r="D211" s="29">
        <f>ROUND(Balances[[#This Row],[Total]]*20%,0)</f>
        <v>0</v>
      </c>
      <c r="E211" s="29">
        <f>ROUND(Balances[[#This Row],[Total]]*40%,0)</f>
        <v>0</v>
      </c>
      <c r="F211" s="18">
        <f>SUM(Acueducto[[#This Row],[Acueducto]:[Aseo]])</f>
        <v>0</v>
      </c>
    </row>
    <row r="212" spans="1:6" ht="15" x14ac:dyDescent="0.2">
      <c r="A212" s="7">
        <v>131720</v>
      </c>
      <c r="B212" s="3" t="s">
        <v>138</v>
      </c>
      <c r="C212" s="29">
        <f>ROUND(Balances[[#This Row],[Total]]*40%,0)</f>
        <v>0</v>
      </c>
      <c r="D212" s="29">
        <f>ROUND(Balances[[#This Row],[Total]]*20%,0)</f>
        <v>0</v>
      </c>
      <c r="E212" s="29">
        <f>ROUND(Balances[[#This Row],[Total]]*40%,0)</f>
        <v>0</v>
      </c>
      <c r="F212" s="18">
        <f>SUM(Acueducto[[#This Row],[Acueducto]:[Aseo]])</f>
        <v>0</v>
      </c>
    </row>
    <row r="213" spans="1:6" ht="15" x14ac:dyDescent="0.2">
      <c r="A213" s="7">
        <v>131721</v>
      </c>
      <c r="B213" s="3" t="s">
        <v>139</v>
      </c>
      <c r="C213" s="29">
        <f>ROUND(Balances[[#This Row],[Total]]*40%,0)</f>
        <v>0</v>
      </c>
      <c r="D213" s="29">
        <f>ROUND(Balances[[#This Row],[Total]]*20%,0)</f>
        <v>0</v>
      </c>
      <c r="E213" s="29">
        <f>ROUND(Balances[[#This Row],[Total]]*40%,0)</f>
        <v>0</v>
      </c>
      <c r="F213" s="18">
        <f>SUM(Acueducto[[#This Row],[Acueducto]:[Aseo]])</f>
        <v>0</v>
      </c>
    </row>
    <row r="214" spans="1:6" ht="15" x14ac:dyDescent="0.2">
      <c r="A214" s="7">
        <v>131722</v>
      </c>
      <c r="B214" s="3" t="s">
        <v>140</v>
      </c>
      <c r="C214" s="29">
        <f>ROUND(Balances[[#This Row],[Total]]*40%,0)</f>
        <v>0</v>
      </c>
      <c r="D214" s="29">
        <f>ROUND(Balances[[#This Row],[Total]]*20%,0)</f>
        <v>0</v>
      </c>
      <c r="E214" s="29">
        <f>ROUND(Balances[[#This Row],[Total]]*40%,0)</f>
        <v>0</v>
      </c>
      <c r="F214" s="18">
        <f>SUM(Acueducto[[#This Row],[Acueducto]:[Aseo]])</f>
        <v>0</v>
      </c>
    </row>
    <row r="215" spans="1:6" ht="15" x14ac:dyDescent="0.2">
      <c r="A215" s="7">
        <v>131723</v>
      </c>
      <c r="B215" s="3" t="s">
        <v>141</v>
      </c>
      <c r="C215" s="29">
        <f>ROUND(Balances[[#This Row],[Total]]*40%,0)</f>
        <v>0</v>
      </c>
      <c r="D215" s="29">
        <f>ROUND(Balances[[#This Row],[Total]]*20%,0)</f>
        <v>0</v>
      </c>
      <c r="E215" s="29">
        <f>ROUND(Balances[[#This Row],[Total]]*40%,0)</f>
        <v>0</v>
      </c>
      <c r="F215" s="18">
        <f>SUM(Acueducto[[#This Row],[Acueducto]:[Aseo]])</f>
        <v>0</v>
      </c>
    </row>
    <row r="216" spans="1:6" ht="15" x14ac:dyDescent="0.2">
      <c r="A216" s="7">
        <v>131724</v>
      </c>
      <c r="B216" s="3" t="s">
        <v>142</v>
      </c>
      <c r="C216" s="29">
        <f>ROUND(Balances[[#This Row],[Total]]*40%,0)</f>
        <v>0</v>
      </c>
      <c r="D216" s="29">
        <f>ROUND(Balances[[#This Row],[Total]]*20%,0)</f>
        <v>0</v>
      </c>
      <c r="E216" s="29">
        <f>ROUND(Balances[[#This Row],[Total]]*40%,0)</f>
        <v>0</v>
      </c>
      <c r="F216" s="18">
        <f>SUM(Acueducto[[#This Row],[Acueducto]:[Aseo]])</f>
        <v>0</v>
      </c>
    </row>
    <row r="217" spans="1:6" ht="15" x14ac:dyDescent="0.2">
      <c r="A217" s="7">
        <v>131725</v>
      </c>
      <c r="B217" s="3" t="s">
        <v>143</v>
      </c>
      <c r="C217" s="29">
        <f>ROUND(Balances[[#This Row],[Total]]*40%,0)</f>
        <v>0</v>
      </c>
      <c r="D217" s="29">
        <f>ROUND(Balances[[#This Row],[Total]]*20%,0)</f>
        <v>0</v>
      </c>
      <c r="E217" s="29">
        <f>ROUND(Balances[[#This Row],[Total]]*40%,0)</f>
        <v>0</v>
      </c>
      <c r="F217" s="18">
        <f>SUM(Acueducto[[#This Row],[Acueducto]:[Aseo]])</f>
        <v>0</v>
      </c>
    </row>
    <row r="218" spans="1:6" ht="15" x14ac:dyDescent="0.2">
      <c r="A218" s="7">
        <v>131726</v>
      </c>
      <c r="B218" s="3" t="s">
        <v>144</v>
      </c>
      <c r="C218" s="29">
        <f>ROUND(Balances[[#This Row],[Total]]*40%,0)</f>
        <v>0</v>
      </c>
      <c r="D218" s="29">
        <f>ROUND(Balances[[#This Row],[Total]]*20%,0)</f>
        <v>0</v>
      </c>
      <c r="E218" s="29">
        <f>ROUND(Balances[[#This Row],[Total]]*40%,0)</f>
        <v>0</v>
      </c>
      <c r="F218" s="18">
        <f>SUM(Acueducto[[#This Row],[Acueducto]:[Aseo]])</f>
        <v>0</v>
      </c>
    </row>
    <row r="219" spans="1:6" ht="15" x14ac:dyDescent="0.2">
      <c r="A219" s="7">
        <v>131727</v>
      </c>
      <c r="B219" s="3" t="s">
        <v>145</v>
      </c>
      <c r="C219" s="29">
        <f>ROUND(Balances[[#This Row],[Total]]*40%,0)</f>
        <v>0</v>
      </c>
      <c r="D219" s="29">
        <f>ROUND(Balances[[#This Row],[Total]]*20%,0)</f>
        <v>0</v>
      </c>
      <c r="E219" s="29">
        <f>ROUND(Balances[[#This Row],[Total]]*40%,0)</f>
        <v>0</v>
      </c>
      <c r="F219" s="18">
        <f>SUM(Acueducto[[#This Row],[Acueducto]:[Aseo]])</f>
        <v>0</v>
      </c>
    </row>
    <row r="220" spans="1:6" ht="15" x14ac:dyDescent="0.2">
      <c r="A220" s="7">
        <v>131728</v>
      </c>
      <c r="B220" s="3" t="s">
        <v>146</v>
      </c>
      <c r="C220" s="29">
        <f>ROUND(Balances[[#This Row],[Total]]*40%,0)</f>
        <v>0</v>
      </c>
      <c r="D220" s="29">
        <f>ROUND(Balances[[#This Row],[Total]]*20%,0)</f>
        <v>0</v>
      </c>
      <c r="E220" s="29">
        <f>ROUND(Balances[[#This Row],[Total]]*40%,0)</f>
        <v>0</v>
      </c>
      <c r="F220" s="18">
        <f>SUM(Acueducto[[#This Row],[Acueducto]:[Aseo]])</f>
        <v>0</v>
      </c>
    </row>
    <row r="221" spans="1:6" ht="15" x14ac:dyDescent="0.2">
      <c r="A221" s="7">
        <v>131729</v>
      </c>
      <c r="B221" s="3" t="s">
        <v>147</v>
      </c>
      <c r="C221" s="29">
        <f>ROUND(Balances[[#This Row],[Total]]*40%,0)</f>
        <v>0</v>
      </c>
      <c r="D221" s="29">
        <f>ROUND(Balances[[#This Row],[Total]]*20%,0)</f>
        <v>0</v>
      </c>
      <c r="E221" s="29">
        <f>ROUND(Balances[[#This Row],[Total]]*40%,0)</f>
        <v>0</v>
      </c>
      <c r="F221" s="18">
        <f>SUM(Acueducto[[#This Row],[Acueducto]:[Aseo]])</f>
        <v>0</v>
      </c>
    </row>
    <row r="222" spans="1:6" ht="15" x14ac:dyDescent="0.2">
      <c r="A222" s="7">
        <v>131730</v>
      </c>
      <c r="B222" s="3" t="s">
        <v>148</v>
      </c>
      <c r="C222" s="29">
        <f>ROUND(Balances[[#This Row],[Total]]*40%,0)</f>
        <v>0</v>
      </c>
      <c r="D222" s="29">
        <f>ROUND(Balances[[#This Row],[Total]]*20%,0)</f>
        <v>0</v>
      </c>
      <c r="E222" s="29">
        <f>ROUND(Balances[[#This Row],[Total]]*40%,0)</f>
        <v>0</v>
      </c>
      <c r="F222" s="18">
        <f>SUM(Acueducto[[#This Row],[Acueducto]:[Aseo]])</f>
        <v>0</v>
      </c>
    </row>
    <row r="223" spans="1:6" ht="15" x14ac:dyDescent="0.2">
      <c r="A223" s="7">
        <v>131731</v>
      </c>
      <c r="B223" s="3" t="s">
        <v>149</v>
      </c>
      <c r="C223" s="29">
        <f>ROUND(Balances[[#This Row],[Total]]*40%,0)</f>
        <v>0</v>
      </c>
      <c r="D223" s="29">
        <f>ROUND(Balances[[#This Row],[Total]]*20%,0)</f>
        <v>0</v>
      </c>
      <c r="E223" s="29">
        <f>ROUND(Balances[[#This Row],[Total]]*40%,0)</f>
        <v>0</v>
      </c>
      <c r="F223" s="18">
        <f>SUM(Acueducto[[#This Row],[Acueducto]:[Aseo]])</f>
        <v>0</v>
      </c>
    </row>
    <row r="224" spans="1:6" ht="15" x14ac:dyDescent="0.2">
      <c r="A224" s="7">
        <v>131790</v>
      </c>
      <c r="B224" s="3" t="s">
        <v>150</v>
      </c>
      <c r="C224" s="29">
        <f>ROUND(Balances[[#This Row],[Total]]*40%,0)</f>
        <v>0</v>
      </c>
      <c r="D224" s="29">
        <f>ROUND(Balances[[#This Row],[Total]]*20%,0)</f>
        <v>0</v>
      </c>
      <c r="E224" s="29">
        <f>ROUND(Balances[[#This Row],[Total]]*40%,0)</f>
        <v>0</v>
      </c>
      <c r="F224" s="18">
        <f>SUM(Acueducto[[#This Row],[Acueducto]:[Aseo]])</f>
        <v>0</v>
      </c>
    </row>
    <row r="225" spans="1:6" ht="15" x14ac:dyDescent="0.2">
      <c r="A225" s="6">
        <v>1318</v>
      </c>
      <c r="B225" s="2" t="s">
        <v>151</v>
      </c>
      <c r="C225" s="24">
        <f>ROUND(Balances[[#This Row],[Total]]*40%,0)</f>
        <v>10618940</v>
      </c>
      <c r="D225" s="24">
        <f>ROUND(Balances[[#This Row],[Total]]*20%,0)</f>
        <v>5309470</v>
      </c>
      <c r="E225" s="24">
        <f>ROUND(Balances[[#This Row],[Total]]*40%,0)</f>
        <v>10618940</v>
      </c>
      <c r="F225" s="24">
        <f>SUM(Acueducto[[#This Row],[Acueducto]:[Aseo]])</f>
        <v>26547350</v>
      </c>
    </row>
    <row r="226" spans="1:6" ht="15" x14ac:dyDescent="0.2">
      <c r="A226" s="7">
        <v>131801</v>
      </c>
      <c r="B226" s="3" t="s">
        <v>152</v>
      </c>
      <c r="C226" s="29">
        <f>ROUND(Balances[[#This Row],[Total]]*40%,0)</f>
        <v>0</v>
      </c>
      <c r="D226" s="29">
        <f>ROUND(Balances[[#This Row],[Total]]*20%,0)</f>
        <v>0</v>
      </c>
      <c r="E226" s="29">
        <f>ROUND(Balances[[#This Row],[Total]]*40%,0)</f>
        <v>0</v>
      </c>
      <c r="F226" s="18">
        <f>SUM(Acueducto[[#This Row],[Acueducto]:[Aseo]])</f>
        <v>0</v>
      </c>
    </row>
    <row r="227" spans="1:6" ht="15" x14ac:dyDescent="0.2">
      <c r="A227" s="7">
        <v>131802</v>
      </c>
      <c r="B227" s="3" t="s">
        <v>153</v>
      </c>
      <c r="C227" s="29">
        <f>ROUND(Balances[[#This Row],[Total]]*40%,0)</f>
        <v>5506451</v>
      </c>
      <c r="D227" s="29">
        <f>ROUND(Balances[[#This Row],[Total]]*20%,0)</f>
        <v>2753226</v>
      </c>
      <c r="E227" s="29">
        <f>ROUND(Balances[[#This Row],[Total]]*40%,0)</f>
        <v>5506451</v>
      </c>
      <c r="F227" s="29">
        <f>SUM(Acueducto[[#This Row],[Acueducto]:[Aseo]])</f>
        <v>13766128</v>
      </c>
    </row>
    <row r="228" spans="1:6" ht="15" x14ac:dyDescent="0.2">
      <c r="A228" s="7">
        <v>131803</v>
      </c>
      <c r="B228" s="3" t="s">
        <v>154</v>
      </c>
      <c r="C228" s="29">
        <f>ROUND(Balances[[#This Row],[Total]]*40%,0)</f>
        <v>2753824</v>
      </c>
      <c r="D228" s="29">
        <f>ROUND(Balances[[#This Row],[Total]]*20%,0)</f>
        <v>1376912</v>
      </c>
      <c r="E228" s="29">
        <f>ROUND(Balances[[#This Row],[Total]]*40%,0)</f>
        <v>2753824</v>
      </c>
      <c r="F228" s="29">
        <f>SUM(Acueducto[[#This Row],[Acueducto]:[Aseo]])</f>
        <v>6884560</v>
      </c>
    </row>
    <row r="229" spans="1:6" ht="15" x14ac:dyDescent="0.2">
      <c r="A229" s="7">
        <v>131804</v>
      </c>
      <c r="B229" s="3" t="s">
        <v>155</v>
      </c>
      <c r="C229" s="29">
        <f>ROUND(Balances[[#This Row],[Total]]*40%,0)</f>
        <v>2358664</v>
      </c>
      <c r="D229" s="29">
        <f>ROUND(Balances[[#This Row],[Total]]*20%,0)</f>
        <v>1179332</v>
      </c>
      <c r="E229" s="29">
        <f>ROUND(Balances[[#This Row],[Total]]*40%,0)</f>
        <v>2358664</v>
      </c>
      <c r="F229" s="29">
        <f>SUM(Acueducto[[#This Row],[Acueducto]:[Aseo]])</f>
        <v>5896660</v>
      </c>
    </row>
    <row r="230" spans="1:6" ht="15" x14ac:dyDescent="0.2">
      <c r="A230" s="7">
        <v>131805</v>
      </c>
      <c r="B230" s="3" t="s">
        <v>156</v>
      </c>
      <c r="C230" s="29">
        <f>ROUND(Balances[[#This Row],[Total]]*40%,0)</f>
        <v>0</v>
      </c>
      <c r="D230" s="29">
        <f>ROUND(Balances[[#This Row],[Total]]*20%,0)</f>
        <v>0</v>
      </c>
      <c r="E230" s="29">
        <f>ROUND(Balances[[#This Row],[Total]]*40%,0)</f>
        <v>0</v>
      </c>
      <c r="F230" s="18">
        <f>SUM(Acueducto[[#This Row],[Acueducto]:[Aseo]])</f>
        <v>0</v>
      </c>
    </row>
    <row r="231" spans="1:6" ht="15" x14ac:dyDescent="0.2">
      <c r="A231" s="7">
        <v>131806</v>
      </c>
      <c r="B231" s="3" t="s">
        <v>157</v>
      </c>
      <c r="C231" s="29">
        <f>ROUND(Balances[[#This Row],[Total]]*40%,0)</f>
        <v>0</v>
      </c>
      <c r="D231" s="29">
        <f>ROUND(Balances[[#This Row],[Total]]*20%,0)</f>
        <v>0</v>
      </c>
      <c r="E231" s="29">
        <f>ROUND(Balances[[#This Row],[Total]]*40%,0)</f>
        <v>0</v>
      </c>
      <c r="F231" s="18">
        <f>SUM(Acueducto[[#This Row],[Acueducto]:[Aseo]])</f>
        <v>0</v>
      </c>
    </row>
    <row r="232" spans="1:6" ht="15" x14ac:dyDescent="0.2">
      <c r="A232" s="7">
        <v>131807</v>
      </c>
      <c r="B232" s="3" t="s">
        <v>158</v>
      </c>
      <c r="C232" s="29">
        <f>ROUND(Balances[[#This Row],[Total]]*40%,0)</f>
        <v>0</v>
      </c>
      <c r="D232" s="29">
        <f>ROUND(Balances[[#This Row],[Total]]*20%,0)</f>
        <v>0</v>
      </c>
      <c r="E232" s="29">
        <f>ROUND(Balances[[#This Row],[Total]]*40%,0)</f>
        <v>0</v>
      </c>
      <c r="F232" s="18">
        <f>SUM(Acueducto[[#This Row],[Acueducto]:[Aseo]])</f>
        <v>0</v>
      </c>
    </row>
    <row r="233" spans="1:6" ht="15" x14ac:dyDescent="0.2">
      <c r="A233" s="7">
        <v>131808</v>
      </c>
      <c r="B233" s="3" t="s">
        <v>159</v>
      </c>
      <c r="C233" s="29">
        <f>ROUND(Balances[[#This Row],[Total]]*40%,0)</f>
        <v>0</v>
      </c>
      <c r="D233" s="29">
        <f>ROUND(Balances[[#This Row],[Total]]*20%,0)</f>
        <v>0</v>
      </c>
      <c r="E233" s="29">
        <f>ROUND(Balances[[#This Row],[Total]]*40%,0)</f>
        <v>0</v>
      </c>
      <c r="F233" s="18">
        <f>SUM(Acueducto[[#This Row],[Acueducto]:[Aseo]])</f>
        <v>0</v>
      </c>
    </row>
    <row r="234" spans="1:6" ht="15" x14ac:dyDescent="0.2">
      <c r="A234" s="7">
        <v>131809</v>
      </c>
      <c r="B234" s="3" t="s">
        <v>160</v>
      </c>
      <c r="C234" s="29">
        <f>ROUND(Balances[[#This Row],[Total]]*40%,0)</f>
        <v>0</v>
      </c>
      <c r="D234" s="29">
        <f>ROUND(Balances[[#This Row],[Total]]*20%,0)</f>
        <v>0</v>
      </c>
      <c r="E234" s="29">
        <f>ROUND(Balances[[#This Row],[Total]]*40%,0)</f>
        <v>0</v>
      </c>
      <c r="F234" s="18">
        <f>SUM(Acueducto[[#This Row],[Acueducto]:[Aseo]])</f>
        <v>0</v>
      </c>
    </row>
    <row r="235" spans="1:6" ht="15" x14ac:dyDescent="0.2">
      <c r="A235" s="7">
        <v>131810</v>
      </c>
      <c r="B235" s="3" t="s">
        <v>161</v>
      </c>
      <c r="C235" s="29">
        <f>ROUND(Balances[[#This Row],[Total]]*40%,0)</f>
        <v>0</v>
      </c>
      <c r="D235" s="29">
        <f>ROUND(Balances[[#This Row],[Total]]*20%,0)</f>
        <v>0</v>
      </c>
      <c r="E235" s="29">
        <f>ROUND(Balances[[#This Row],[Total]]*40%,0)</f>
        <v>0</v>
      </c>
      <c r="F235" s="18">
        <f>SUM(Acueducto[[#This Row],[Acueducto]:[Aseo]])</f>
        <v>0</v>
      </c>
    </row>
    <row r="236" spans="1:6" ht="15" x14ac:dyDescent="0.2">
      <c r="A236" s="7">
        <v>131811</v>
      </c>
      <c r="B236" s="3" t="s">
        <v>162</v>
      </c>
      <c r="C236" s="29">
        <f>ROUND(Balances[[#This Row],[Total]]*40%,0)</f>
        <v>0</v>
      </c>
      <c r="D236" s="29">
        <f>ROUND(Balances[[#This Row],[Total]]*20%,0)</f>
        <v>0</v>
      </c>
      <c r="E236" s="29">
        <f>ROUND(Balances[[#This Row],[Total]]*40%,0)</f>
        <v>0</v>
      </c>
      <c r="F236" s="18">
        <f>SUM(Acueducto[[#This Row],[Acueducto]:[Aseo]])</f>
        <v>0</v>
      </c>
    </row>
    <row r="237" spans="1:6" ht="15" x14ac:dyDescent="0.2">
      <c r="A237" s="7">
        <v>131812</v>
      </c>
      <c r="B237" s="3" t="s">
        <v>163</v>
      </c>
      <c r="C237" s="29">
        <f>ROUND(Balances[[#This Row],[Total]]*40%,0)</f>
        <v>0</v>
      </c>
      <c r="D237" s="29">
        <f>ROUND(Balances[[#This Row],[Total]]*20%,0)</f>
        <v>0</v>
      </c>
      <c r="E237" s="29">
        <f>ROUND(Balances[[#This Row],[Total]]*40%,0)</f>
        <v>0</v>
      </c>
      <c r="F237" s="18">
        <f>SUM(Acueducto[[#This Row],[Acueducto]:[Aseo]])</f>
        <v>0</v>
      </c>
    </row>
    <row r="238" spans="1:6" ht="15" x14ac:dyDescent="0.2">
      <c r="A238" s="6">
        <v>1319</v>
      </c>
      <c r="B238" s="2" t="s">
        <v>164</v>
      </c>
      <c r="C238" s="28">
        <f>ROUND(Balances[[#This Row],[Total]]*40%,0)</f>
        <v>0</v>
      </c>
      <c r="D238" s="28">
        <f>ROUND(Balances[[#This Row],[Total]]*20%,0)</f>
        <v>0</v>
      </c>
      <c r="E238" s="28">
        <f>ROUND(Balances[[#This Row],[Total]]*40%,0)</f>
        <v>0</v>
      </c>
      <c r="F238" s="17">
        <f>SUM(Acueducto[[#This Row],[Acueducto]:[Aseo]])</f>
        <v>0</v>
      </c>
    </row>
    <row r="239" spans="1:6" ht="15" x14ac:dyDescent="0.2">
      <c r="A239" s="7">
        <v>131901</v>
      </c>
      <c r="B239" s="3" t="s">
        <v>165</v>
      </c>
      <c r="C239" s="29">
        <f>ROUND(Balances[[#This Row],[Total]]*40%,0)</f>
        <v>0</v>
      </c>
      <c r="D239" s="29">
        <f>ROUND(Balances[[#This Row],[Total]]*20%,0)</f>
        <v>0</v>
      </c>
      <c r="E239" s="29">
        <f>ROUND(Balances[[#This Row],[Total]]*40%,0)</f>
        <v>0</v>
      </c>
      <c r="F239" s="18">
        <f>SUM(Acueducto[[#This Row],[Acueducto]:[Aseo]])</f>
        <v>0</v>
      </c>
    </row>
    <row r="240" spans="1:6" ht="15" x14ac:dyDescent="0.2">
      <c r="A240" s="7">
        <v>131902</v>
      </c>
      <c r="B240" s="3" t="s">
        <v>166</v>
      </c>
      <c r="C240" s="29">
        <f>ROUND(Balances[[#This Row],[Total]]*40%,0)</f>
        <v>0</v>
      </c>
      <c r="D240" s="29">
        <f>ROUND(Balances[[#This Row],[Total]]*20%,0)</f>
        <v>0</v>
      </c>
      <c r="E240" s="29">
        <f>ROUND(Balances[[#This Row],[Total]]*40%,0)</f>
        <v>0</v>
      </c>
      <c r="F240" s="18">
        <f>SUM(Acueducto[[#This Row],[Acueducto]:[Aseo]])</f>
        <v>0</v>
      </c>
    </row>
    <row r="241" spans="1:6" ht="15" x14ac:dyDescent="0.2">
      <c r="A241" s="7">
        <v>131903</v>
      </c>
      <c r="B241" s="3" t="s">
        <v>167</v>
      </c>
      <c r="C241" s="29">
        <f>ROUND(Balances[[#This Row],[Total]]*40%,0)</f>
        <v>0</v>
      </c>
      <c r="D241" s="29">
        <f>ROUND(Balances[[#This Row],[Total]]*20%,0)</f>
        <v>0</v>
      </c>
      <c r="E241" s="29">
        <f>ROUND(Balances[[#This Row],[Total]]*40%,0)</f>
        <v>0</v>
      </c>
      <c r="F241" s="18">
        <f>SUM(Acueducto[[#This Row],[Acueducto]:[Aseo]])</f>
        <v>0</v>
      </c>
    </row>
    <row r="242" spans="1:6" ht="15" x14ac:dyDescent="0.2">
      <c r="A242" s="7">
        <v>131904</v>
      </c>
      <c r="B242" s="3" t="s">
        <v>168</v>
      </c>
      <c r="C242" s="29">
        <f>ROUND(Balances[[#This Row],[Total]]*40%,0)</f>
        <v>0</v>
      </c>
      <c r="D242" s="29">
        <f>ROUND(Balances[[#This Row],[Total]]*20%,0)</f>
        <v>0</v>
      </c>
      <c r="E242" s="29">
        <f>ROUND(Balances[[#This Row],[Total]]*40%,0)</f>
        <v>0</v>
      </c>
      <c r="F242" s="18">
        <f>SUM(Acueducto[[#This Row],[Acueducto]:[Aseo]])</f>
        <v>0</v>
      </c>
    </row>
    <row r="243" spans="1:6" ht="15" x14ac:dyDescent="0.2">
      <c r="A243" s="7">
        <v>131905</v>
      </c>
      <c r="B243" s="3" t="s">
        <v>169</v>
      </c>
      <c r="C243" s="29">
        <f>ROUND(Balances[[#This Row],[Total]]*40%,0)</f>
        <v>0</v>
      </c>
      <c r="D243" s="29">
        <f>ROUND(Balances[[#This Row],[Total]]*20%,0)</f>
        <v>0</v>
      </c>
      <c r="E243" s="29">
        <f>ROUND(Balances[[#This Row],[Total]]*40%,0)</f>
        <v>0</v>
      </c>
      <c r="F243" s="18">
        <f>SUM(Acueducto[[#This Row],[Acueducto]:[Aseo]])</f>
        <v>0</v>
      </c>
    </row>
    <row r="244" spans="1:6" ht="15" x14ac:dyDescent="0.2">
      <c r="A244" s="7">
        <v>131906</v>
      </c>
      <c r="B244" s="3" t="s">
        <v>170</v>
      </c>
      <c r="C244" s="29">
        <f>ROUND(Balances[[#This Row],[Total]]*40%,0)</f>
        <v>0</v>
      </c>
      <c r="D244" s="29">
        <f>ROUND(Balances[[#This Row],[Total]]*20%,0)</f>
        <v>0</v>
      </c>
      <c r="E244" s="29">
        <f>ROUND(Balances[[#This Row],[Total]]*40%,0)</f>
        <v>0</v>
      </c>
      <c r="F244" s="18">
        <f>SUM(Acueducto[[#This Row],[Acueducto]:[Aseo]])</f>
        <v>0</v>
      </c>
    </row>
    <row r="245" spans="1:6" ht="15" x14ac:dyDescent="0.2">
      <c r="A245" s="7">
        <v>131907</v>
      </c>
      <c r="B245" s="3" t="s">
        <v>171</v>
      </c>
      <c r="C245" s="29">
        <f>ROUND(Balances[[#This Row],[Total]]*40%,0)</f>
        <v>0</v>
      </c>
      <c r="D245" s="29">
        <f>ROUND(Balances[[#This Row],[Total]]*20%,0)</f>
        <v>0</v>
      </c>
      <c r="E245" s="29">
        <f>ROUND(Balances[[#This Row],[Total]]*40%,0)</f>
        <v>0</v>
      </c>
      <c r="F245" s="18">
        <f>SUM(Acueducto[[#This Row],[Acueducto]:[Aseo]])</f>
        <v>0</v>
      </c>
    </row>
    <row r="246" spans="1:6" ht="15" x14ac:dyDescent="0.2">
      <c r="A246" s="7">
        <v>131908</v>
      </c>
      <c r="B246" s="3" t="s">
        <v>172</v>
      </c>
      <c r="C246" s="29">
        <f>ROUND(Balances[[#This Row],[Total]]*40%,0)</f>
        <v>0</v>
      </c>
      <c r="D246" s="29">
        <f>ROUND(Balances[[#This Row],[Total]]*20%,0)</f>
        <v>0</v>
      </c>
      <c r="E246" s="29">
        <f>ROUND(Balances[[#This Row],[Total]]*40%,0)</f>
        <v>0</v>
      </c>
      <c r="F246" s="18">
        <f>SUM(Acueducto[[#This Row],[Acueducto]:[Aseo]])</f>
        <v>0</v>
      </c>
    </row>
    <row r="247" spans="1:6" ht="15" x14ac:dyDescent="0.2">
      <c r="A247" s="7">
        <v>131909</v>
      </c>
      <c r="B247" s="3" t="s">
        <v>173</v>
      </c>
      <c r="C247" s="29">
        <f>ROUND(Balances[[#This Row],[Total]]*40%,0)</f>
        <v>0</v>
      </c>
      <c r="D247" s="29">
        <f>ROUND(Balances[[#This Row],[Total]]*20%,0)</f>
        <v>0</v>
      </c>
      <c r="E247" s="29">
        <f>ROUND(Balances[[#This Row],[Total]]*40%,0)</f>
        <v>0</v>
      </c>
      <c r="F247" s="18">
        <f>SUM(Acueducto[[#This Row],[Acueducto]:[Aseo]])</f>
        <v>0</v>
      </c>
    </row>
    <row r="248" spans="1:6" ht="15" x14ac:dyDescent="0.2">
      <c r="A248" s="7">
        <v>131910</v>
      </c>
      <c r="B248" s="3" t="s">
        <v>174</v>
      </c>
      <c r="C248" s="29">
        <f>ROUND(Balances[[#This Row],[Total]]*40%,0)</f>
        <v>0</v>
      </c>
      <c r="D248" s="29">
        <f>ROUND(Balances[[#This Row],[Total]]*20%,0)</f>
        <v>0</v>
      </c>
      <c r="E248" s="29">
        <f>ROUND(Balances[[#This Row],[Total]]*40%,0)</f>
        <v>0</v>
      </c>
      <c r="F248" s="18">
        <f>SUM(Acueducto[[#This Row],[Acueducto]:[Aseo]])</f>
        <v>0</v>
      </c>
    </row>
    <row r="249" spans="1:6" ht="15" x14ac:dyDescent="0.2">
      <c r="A249" s="7">
        <v>131911</v>
      </c>
      <c r="B249" s="3" t="s">
        <v>175</v>
      </c>
      <c r="C249" s="29">
        <f>ROUND(Balances[[#This Row],[Total]]*40%,0)</f>
        <v>0</v>
      </c>
      <c r="D249" s="29">
        <f>ROUND(Balances[[#This Row],[Total]]*20%,0)</f>
        <v>0</v>
      </c>
      <c r="E249" s="29">
        <f>ROUND(Balances[[#This Row],[Total]]*40%,0)</f>
        <v>0</v>
      </c>
      <c r="F249" s="18">
        <f>SUM(Acueducto[[#This Row],[Acueducto]:[Aseo]])</f>
        <v>0</v>
      </c>
    </row>
    <row r="250" spans="1:6" ht="15" x14ac:dyDescent="0.2">
      <c r="A250" s="7">
        <v>131912</v>
      </c>
      <c r="B250" s="3" t="s">
        <v>176</v>
      </c>
      <c r="C250" s="29">
        <f>ROUND(Balances[[#This Row],[Total]]*40%,0)</f>
        <v>0</v>
      </c>
      <c r="D250" s="29">
        <f>ROUND(Balances[[#This Row],[Total]]*20%,0)</f>
        <v>0</v>
      </c>
      <c r="E250" s="29">
        <f>ROUND(Balances[[#This Row],[Total]]*40%,0)</f>
        <v>0</v>
      </c>
      <c r="F250" s="18">
        <f>SUM(Acueducto[[#This Row],[Acueducto]:[Aseo]])</f>
        <v>0</v>
      </c>
    </row>
    <row r="251" spans="1:6" ht="15" x14ac:dyDescent="0.2">
      <c r="A251" s="7">
        <v>131913</v>
      </c>
      <c r="B251" s="3" t="s">
        <v>177</v>
      </c>
      <c r="C251" s="29">
        <f>ROUND(Balances[[#This Row],[Total]]*40%,0)</f>
        <v>0</v>
      </c>
      <c r="D251" s="29">
        <f>ROUND(Balances[[#This Row],[Total]]*20%,0)</f>
        <v>0</v>
      </c>
      <c r="E251" s="29">
        <f>ROUND(Balances[[#This Row],[Total]]*40%,0)</f>
        <v>0</v>
      </c>
      <c r="F251" s="18">
        <f>SUM(Acueducto[[#This Row],[Acueducto]:[Aseo]])</f>
        <v>0</v>
      </c>
    </row>
    <row r="252" spans="1:6" ht="15" x14ac:dyDescent="0.2">
      <c r="A252" s="7">
        <v>131914</v>
      </c>
      <c r="B252" s="3" t="s">
        <v>178</v>
      </c>
      <c r="C252" s="29">
        <f>ROUND(Balances[[#This Row],[Total]]*40%,0)</f>
        <v>0</v>
      </c>
      <c r="D252" s="29">
        <f>ROUND(Balances[[#This Row],[Total]]*20%,0)</f>
        <v>0</v>
      </c>
      <c r="E252" s="29">
        <f>ROUND(Balances[[#This Row],[Total]]*40%,0)</f>
        <v>0</v>
      </c>
      <c r="F252" s="18">
        <f>SUM(Acueducto[[#This Row],[Acueducto]:[Aseo]])</f>
        <v>0</v>
      </c>
    </row>
    <row r="253" spans="1:6" ht="15" x14ac:dyDescent="0.2">
      <c r="A253" s="7">
        <v>131915</v>
      </c>
      <c r="B253" s="3" t="s">
        <v>179</v>
      </c>
      <c r="C253" s="29">
        <f>ROUND(Balances[[#This Row],[Total]]*40%,0)</f>
        <v>0</v>
      </c>
      <c r="D253" s="29">
        <f>ROUND(Balances[[#This Row],[Total]]*20%,0)</f>
        <v>0</v>
      </c>
      <c r="E253" s="29">
        <f>ROUND(Balances[[#This Row],[Total]]*40%,0)</f>
        <v>0</v>
      </c>
      <c r="F253" s="18">
        <f>SUM(Acueducto[[#This Row],[Acueducto]:[Aseo]])</f>
        <v>0</v>
      </c>
    </row>
    <row r="254" spans="1:6" ht="15" x14ac:dyDescent="0.2">
      <c r="A254" s="7">
        <v>131916</v>
      </c>
      <c r="B254" s="3" t="s">
        <v>180</v>
      </c>
      <c r="C254" s="29">
        <f>ROUND(Balances[[#This Row],[Total]]*40%,0)</f>
        <v>0</v>
      </c>
      <c r="D254" s="29">
        <f>ROUND(Balances[[#This Row],[Total]]*20%,0)</f>
        <v>0</v>
      </c>
      <c r="E254" s="29">
        <f>ROUND(Balances[[#This Row],[Total]]*40%,0)</f>
        <v>0</v>
      </c>
      <c r="F254" s="18">
        <f>SUM(Acueducto[[#This Row],[Acueducto]:[Aseo]])</f>
        <v>0</v>
      </c>
    </row>
    <row r="255" spans="1:6" ht="15" x14ac:dyDescent="0.2">
      <c r="A255" s="7">
        <v>131917</v>
      </c>
      <c r="B255" s="3" t="s">
        <v>181</v>
      </c>
      <c r="C255" s="29">
        <f>ROUND(Balances[[#This Row],[Total]]*40%,0)</f>
        <v>0</v>
      </c>
      <c r="D255" s="29">
        <f>ROUND(Balances[[#This Row],[Total]]*20%,0)</f>
        <v>0</v>
      </c>
      <c r="E255" s="29">
        <f>ROUND(Balances[[#This Row],[Total]]*40%,0)</f>
        <v>0</v>
      </c>
      <c r="F255" s="18">
        <f>SUM(Acueducto[[#This Row],[Acueducto]:[Aseo]])</f>
        <v>0</v>
      </c>
    </row>
    <row r="256" spans="1:6" ht="15" x14ac:dyDescent="0.2">
      <c r="A256" s="7">
        <v>131918</v>
      </c>
      <c r="B256" s="4" t="s">
        <v>182</v>
      </c>
      <c r="C256" s="29">
        <f>ROUND(Balances[[#This Row],[Total]]*40%,0)</f>
        <v>0</v>
      </c>
      <c r="D256" s="29">
        <f>ROUND(Balances[[#This Row],[Total]]*20%,0)</f>
        <v>0</v>
      </c>
      <c r="E256" s="29">
        <f>ROUND(Balances[[#This Row],[Total]]*40%,0)</f>
        <v>0</v>
      </c>
      <c r="F256" s="18">
        <f>SUM(Acueducto[[#This Row],[Acueducto]:[Aseo]])</f>
        <v>0</v>
      </c>
    </row>
    <row r="257" spans="1:6" ht="15" x14ac:dyDescent="0.2">
      <c r="A257" s="7">
        <v>131919</v>
      </c>
      <c r="B257" s="4" t="s">
        <v>183</v>
      </c>
      <c r="C257" s="29">
        <f>ROUND(Balances[[#This Row],[Total]]*40%,0)</f>
        <v>0</v>
      </c>
      <c r="D257" s="29">
        <f>ROUND(Balances[[#This Row],[Total]]*20%,0)</f>
        <v>0</v>
      </c>
      <c r="E257" s="29">
        <f>ROUND(Balances[[#This Row],[Total]]*40%,0)</f>
        <v>0</v>
      </c>
      <c r="F257" s="18">
        <f>SUM(Acueducto[[#This Row],[Acueducto]:[Aseo]])</f>
        <v>0</v>
      </c>
    </row>
    <row r="258" spans="1:6" ht="15" x14ac:dyDescent="0.2">
      <c r="A258" s="7">
        <v>131920</v>
      </c>
      <c r="B258" s="4" t="s">
        <v>184</v>
      </c>
      <c r="C258" s="29">
        <f>ROUND(Balances[[#This Row],[Total]]*40%,0)</f>
        <v>0</v>
      </c>
      <c r="D258" s="29">
        <f>ROUND(Balances[[#This Row],[Total]]*20%,0)</f>
        <v>0</v>
      </c>
      <c r="E258" s="29">
        <f>ROUND(Balances[[#This Row],[Total]]*40%,0)</f>
        <v>0</v>
      </c>
      <c r="F258" s="18">
        <f>SUM(Acueducto[[#This Row],[Acueducto]:[Aseo]])</f>
        <v>0</v>
      </c>
    </row>
    <row r="259" spans="1:6" ht="15" x14ac:dyDescent="0.2">
      <c r="A259" s="7">
        <v>131921</v>
      </c>
      <c r="B259" s="4" t="s">
        <v>185</v>
      </c>
      <c r="C259" s="29">
        <f>ROUND(Balances[[#This Row],[Total]]*40%,0)</f>
        <v>0</v>
      </c>
      <c r="D259" s="29">
        <f>ROUND(Balances[[#This Row],[Total]]*20%,0)</f>
        <v>0</v>
      </c>
      <c r="E259" s="29">
        <f>ROUND(Balances[[#This Row],[Total]]*40%,0)</f>
        <v>0</v>
      </c>
      <c r="F259" s="18">
        <f>SUM(Acueducto[[#This Row],[Acueducto]:[Aseo]])</f>
        <v>0</v>
      </c>
    </row>
    <row r="260" spans="1:6" ht="15" x14ac:dyDescent="0.2">
      <c r="A260" s="7">
        <v>131922</v>
      </c>
      <c r="B260" s="3" t="s">
        <v>186</v>
      </c>
      <c r="C260" s="29">
        <f>ROUND(Balances[[#This Row],[Total]]*40%,0)</f>
        <v>0</v>
      </c>
      <c r="D260" s="29">
        <f>ROUND(Balances[[#This Row],[Total]]*20%,0)</f>
        <v>0</v>
      </c>
      <c r="E260" s="29">
        <f>ROUND(Balances[[#This Row],[Total]]*40%,0)</f>
        <v>0</v>
      </c>
      <c r="F260" s="18">
        <f>SUM(Acueducto[[#This Row],[Acueducto]:[Aseo]])</f>
        <v>0</v>
      </c>
    </row>
    <row r="261" spans="1:6" ht="15" x14ac:dyDescent="0.2">
      <c r="A261" s="7">
        <v>131923</v>
      </c>
      <c r="B261" s="3" t="s">
        <v>187</v>
      </c>
      <c r="C261" s="29">
        <f>ROUND(Balances[[#This Row],[Total]]*40%,0)</f>
        <v>0</v>
      </c>
      <c r="D261" s="29">
        <f>ROUND(Balances[[#This Row],[Total]]*20%,0)</f>
        <v>0</v>
      </c>
      <c r="E261" s="29">
        <f>ROUND(Balances[[#This Row],[Total]]*40%,0)</f>
        <v>0</v>
      </c>
      <c r="F261" s="18">
        <f>SUM(Acueducto[[#This Row],[Acueducto]:[Aseo]])</f>
        <v>0</v>
      </c>
    </row>
    <row r="262" spans="1:6" ht="15" x14ac:dyDescent="0.2">
      <c r="A262" s="7">
        <v>131924</v>
      </c>
      <c r="B262" s="3" t="s">
        <v>188</v>
      </c>
      <c r="C262" s="29">
        <f>ROUND(Balances[[#This Row],[Total]]*40%,0)</f>
        <v>0</v>
      </c>
      <c r="D262" s="29">
        <f>ROUND(Balances[[#This Row],[Total]]*20%,0)</f>
        <v>0</v>
      </c>
      <c r="E262" s="29">
        <f>ROUND(Balances[[#This Row],[Total]]*40%,0)</f>
        <v>0</v>
      </c>
      <c r="F262" s="18">
        <f>SUM(Acueducto[[#This Row],[Acueducto]:[Aseo]])</f>
        <v>0</v>
      </c>
    </row>
    <row r="263" spans="1:6" ht="15" x14ac:dyDescent="0.2">
      <c r="A263" s="7">
        <v>131925</v>
      </c>
      <c r="B263" s="3" t="s">
        <v>189</v>
      </c>
      <c r="C263" s="29">
        <f>ROUND(Balances[[#This Row],[Total]]*40%,0)</f>
        <v>0</v>
      </c>
      <c r="D263" s="29">
        <f>ROUND(Balances[[#This Row],[Total]]*20%,0)</f>
        <v>0</v>
      </c>
      <c r="E263" s="29">
        <f>ROUND(Balances[[#This Row],[Total]]*40%,0)</f>
        <v>0</v>
      </c>
      <c r="F263" s="18">
        <f>SUM(Acueducto[[#This Row],[Acueducto]:[Aseo]])</f>
        <v>0</v>
      </c>
    </row>
    <row r="264" spans="1:6" ht="15" x14ac:dyDescent="0.2">
      <c r="A264" s="7">
        <v>131926</v>
      </c>
      <c r="B264" s="16" t="s">
        <v>1686</v>
      </c>
      <c r="C264" s="29">
        <f>ROUND(Balances[[#This Row],[Total]]*40%,0)</f>
        <v>0</v>
      </c>
      <c r="D264" s="29">
        <f>ROUND(Balances[[#This Row],[Total]]*20%,0)</f>
        <v>0</v>
      </c>
      <c r="E264" s="29">
        <f>ROUND(Balances[[#This Row],[Total]]*40%,0)</f>
        <v>0</v>
      </c>
      <c r="F264" s="18">
        <f>SUM(Acueducto[[#This Row],[Acueducto]:[Aseo]])</f>
        <v>0</v>
      </c>
    </row>
    <row r="265" spans="1:6" ht="15" x14ac:dyDescent="0.2">
      <c r="A265" s="7">
        <v>131927</v>
      </c>
      <c r="B265" s="3" t="s">
        <v>190</v>
      </c>
      <c r="C265" s="29">
        <f>ROUND(Balances[[#This Row],[Total]]*40%,0)</f>
        <v>0</v>
      </c>
      <c r="D265" s="29">
        <f>ROUND(Balances[[#This Row],[Total]]*20%,0)</f>
        <v>0</v>
      </c>
      <c r="E265" s="29">
        <f>ROUND(Balances[[#This Row],[Total]]*40%,0)</f>
        <v>0</v>
      </c>
      <c r="F265" s="18">
        <f>SUM(Acueducto[[#This Row],[Acueducto]:[Aseo]])</f>
        <v>0</v>
      </c>
    </row>
    <row r="266" spans="1:6" ht="15" x14ac:dyDescent="0.2">
      <c r="A266" s="7">
        <v>131928</v>
      </c>
      <c r="B266" s="4" t="s">
        <v>191</v>
      </c>
      <c r="C266" s="29">
        <f>ROUND(Balances[[#This Row],[Total]]*40%,0)</f>
        <v>0</v>
      </c>
      <c r="D266" s="29">
        <f>ROUND(Balances[[#This Row],[Total]]*20%,0)</f>
        <v>0</v>
      </c>
      <c r="E266" s="29">
        <f>ROUND(Balances[[#This Row],[Total]]*40%,0)</f>
        <v>0</v>
      </c>
      <c r="F266" s="18">
        <f>SUM(Acueducto[[#This Row],[Acueducto]:[Aseo]])</f>
        <v>0</v>
      </c>
    </row>
    <row r="267" spans="1:6" ht="15" x14ac:dyDescent="0.2">
      <c r="A267" s="7">
        <v>131929</v>
      </c>
      <c r="B267" s="3" t="s">
        <v>192</v>
      </c>
      <c r="C267" s="29">
        <f>ROUND(Balances[[#This Row],[Total]]*40%,0)</f>
        <v>0</v>
      </c>
      <c r="D267" s="29">
        <f>ROUND(Balances[[#This Row],[Total]]*20%,0)</f>
        <v>0</v>
      </c>
      <c r="E267" s="29">
        <f>ROUND(Balances[[#This Row],[Total]]*40%,0)</f>
        <v>0</v>
      </c>
      <c r="F267" s="18">
        <f>SUM(Acueducto[[#This Row],[Acueducto]:[Aseo]])</f>
        <v>0</v>
      </c>
    </row>
    <row r="268" spans="1:6" ht="15" x14ac:dyDescent="0.2">
      <c r="A268" s="7">
        <v>131930</v>
      </c>
      <c r="B268" s="3" t="s">
        <v>193</v>
      </c>
      <c r="C268" s="29">
        <f>ROUND(Balances[[#This Row],[Total]]*40%,0)</f>
        <v>0</v>
      </c>
      <c r="D268" s="29">
        <f>ROUND(Balances[[#This Row],[Total]]*20%,0)</f>
        <v>0</v>
      </c>
      <c r="E268" s="29">
        <f>ROUND(Balances[[#This Row],[Total]]*40%,0)</f>
        <v>0</v>
      </c>
      <c r="F268" s="18">
        <f>SUM(Acueducto[[#This Row],[Acueducto]:[Aseo]])</f>
        <v>0</v>
      </c>
    </row>
    <row r="269" spans="1:6" ht="15" x14ac:dyDescent="0.2">
      <c r="A269" s="7">
        <v>131980</v>
      </c>
      <c r="B269" s="3" t="s">
        <v>194</v>
      </c>
      <c r="C269" s="29">
        <f>ROUND(Balances[[#This Row],[Total]]*40%,0)</f>
        <v>0</v>
      </c>
      <c r="D269" s="29">
        <f>ROUND(Balances[[#This Row],[Total]]*20%,0)</f>
        <v>0</v>
      </c>
      <c r="E269" s="29">
        <f>ROUND(Balances[[#This Row],[Total]]*40%,0)</f>
        <v>0</v>
      </c>
      <c r="F269" s="18">
        <f>SUM(Acueducto[[#This Row],[Acueducto]:[Aseo]])</f>
        <v>0</v>
      </c>
    </row>
    <row r="270" spans="1:6" ht="15" x14ac:dyDescent="0.2">
      <c r="A270" s="7">
        <v>131990</v>
      </c>
      <c r="B270" s="3" t="s">
        <v>195</v>
      </c>
      <c r="C270" s="29">
        <f>ROUND(Balances[[#This Row],[Total]]*40%,0)</f>
        <v>0</v>
      </c>
      <c r="D270" s="29">
        <f>ROUND(Balances[[#This Row],[Total]]*20%,0)</f>
        <v>0</v>
      </c>
      <c r="E270" s="29">
        <f>ROUND(Balances[[#This Row],[Total]]*40%,0)</f>
        <v>0</v>
      </c>
      <c r="F270" s="18">
        <f>SUM(Acueducto[[#This Row],[Acueducto]:[Aseo]])</f>
        <v>0</v>
      </c>
    </row>
    <row r="271" spans="1:6" ht="15" x14ac:dyDescent="0.2">
      <c r="A271" s="6">
        <v>1322</v>
      </c>
      <c r="B271" s="2" t="s">
        <v>196</v>
      </c>
      <c r="C271" s="28">
        <f>ROUND(Balances[[#This Row],[Total]]*40%,0)</f>
        <v>0</v>
      </c>
      <c r="D271" s="28">
        <f>ROUND(Balances[[#This Row],[Total]]*20%,0)</f>
        <v>0</v>
      </c>
      <c r="E271" s="28">
        <f>ROUND(Balances[[#This Row],[Total]]*40%,0)</f>
        <v>0</v>
      </c>
      <c r="F271" s="17">
        <f>SUM(Acueducto[[#This Row],[Acueducto]:[Aseo]])</f>
        <v>0</v>
      </c>
    </row>
    <row r="272" spans="1:6" ht="15" x14ac:dyDescent="0.2">
      <c r="A272" s="7">
        <v>132201</v>
      </c>
      <c r="B272" s="3" t="s">
        <v>197</v>
      </c>
      <c r="C272" s="29">
        <f>ROUND(Balances[[#This Row],[Total]]*40%,0)</f>
        <v>0</v>
      </c>
      <c r="D272" s="29">
        <f>ROUND(Balances[[#This Row],[Total]]*20%,0)</f>
        <v>0</v>
      </c>
      <c r="E272" s="29">
        <f>ROUND(Balances[[#This Row],[Total]]*40%,0)</f>
        <v>0</v>
      </c>
      <c r="F272" s="18">
        <f>SUM(Acueducto[[#This Row],[Acueducto]:[Aseo]])</f>
        <v>0</v>
      </c>
    </row>
    <row r="273" spans="1:6" ht="15" x14ac:dyDescent="0.2">
      <c r="A273" s="7">
        <v>132202</v>
      </c>
      <c r="B273" s="3" t="s">
        <v>198</v>
      </c>
      <c r="C273" s="29">
        <f>ROUND(Balances[[#This Row],[Total]]*40%,0)</f>
        <v>0</v>
      </c>
      <c r="D273" s="29">
        <f>ROUND(Balances[[#This Row],[Total]]*20%,0)</f>
        <v>0</v>
      </c>
      <c r="E273" s="29">
        <f>ROUND(Balances[[#This Row],[Total]]*40%,0)</f>
        <v>0</v>
      </c>
      <c r="F273" s="18">
        <f>SUM(Acueducto[[#This Row],[Acueducto]:[Aseo]])</f>
        <v>0</v>
      </c>
    </row>
    <row r="274" spans="1:6" ht="15" x14ac:dyDescent="0.2">
      <c r="A274" s="7">
        <v>132203</v>
      </c>
      <c r="B274" s="3" t="s">
        <v>199</v>
      </c>
      <c r="C274" s="29">
        <f>ROUND(Balances[[#This Row],[Total]]*40%,0)</f>
        <v>0</v>
      </c>
      <c r="D274" s="29">
        <f>ROUND(Balances[[#This Row],[Total]]*20%,0)</f>
        <v>0</v>
      </c>
      <c r="E274" s="29">
        <f>ROUND(Balances[[#This Row],[Total]]*40%,0)</f>
        <v>0</v>
      </c>
      <c r="F274" s="18">
        <f>SUM(Acueducto[[#This Row],[Acueducto]:[Aseo]])</f>
        <v>0</v>
      </c>
    </row>
    <row r="275" spans="1:6" ht="15" x14ac:dyDescent="0.2">
      <c r="A275" s="7">
        <v>132204</v>
      </c>
      <c r="B275" s="3" t="s">
        <v>200</v>
      </c>
      <c r="C275" s="29">
        <f>ROUND(Balances[[#This Row],[Total]]*40%,0)</f>
        <v>0</v>
      </c>
      <c r="D275" s="29">
        <f>ROUND(Balances[[#This Row],[Total]]*20%,0)</f>
        <v>0</v>
      </c>
      <c r="E275" s="29">
        <f>ROUND(Balances[[#This Row],[Total]]*40%,0)</f>
        <v>0</v>
      </c>
      <c r="F275" s="18">
        <f>SUM(Acueducto[[#This Row],[Acueducto]:[Aseo]])</f>
        <v>0</v>
      </c>
    </row>
    <row r="276" spans="1:6" ht="15" x14ac:dyDescent="0.2">
      <c r="A276" s="7">
        <v>132205</v>
      </c>
      <c r="B276" s="3" t="s">
        <v>201</v>
      </c>
      <c r="C276" s="29">
        <f>ROUND(Balances[[#This Row],[Total]]*40%,0)</f>
        <v>0</v>
      </c>
      <c r="D276" s="29">
        <f>ROUND(Balances[[#This Row],[Total]]*20%,0)</f>
        <v>0</v>
      </c>
      <c r="E276" s="29">
        <f>ROUND(Balances[[#This Row],[Total]]*40%,0)</f>
        <v>0</v>
      </c>
      <c r="F276" s="18">
        <f>SUM(Acueducto[[#This Row],[Acueducto]:[Aseo]])</f>
        <v>0</v>
      </c>
    </row>
    <row r="277" spans="1:6" ht="15" x14ac:dyDescent="0.2">
      <c r="A277" s="7">
        <v>132206</v>
      </c>
      <c r="B277" s="3" t="s">
        <v>202</v>
      </c>
      <c r="C277" s="29">
        <f>ROUND(Balances[[#This Row],[Total]]*40%,0)</f>
        <v>0</v>
      </c>
      <c r="D277" s="29">
        <f>ROUND(Balances[[#This Row],[Total]]*20%,0)</f>
        <v>0</v>
      </c>
      <c r="E277" s="29">
        <f>ROUND(Balances[[#This Row],[Total]]*40%,0)</f>
        <v>0</v>
      </c>
      <c r="F277" s="18">
        <f>SUM(Acueducto[[#This Row],[Acueducto]:[Aseo]])</f>
        <v>0</v>
      </c>
    </row>
    <row r="278" spans="1:6" ht="15" x14ac:dyDescent="0.2">
      <c r="A278" s="7">
        <v>132207</v>
      </c>
      <c r="B278" s="3" t="s">
        <v>203</v>
      </c>
      <c r="C278" s="29">
        <f>ROUND(Balances[[#This Row],[Total]]*40%,0)</f>
        <v>0</v>
      </c>
      <c r="D278" s="29">
        <f>ROUND(Balances[[#This Row],[Total]]*20%,0)</f>
        <v>0</v>
      </c>
      <c r="E278" s="29">
        <f>ROUND(Balances[[#This Row],[Total]]*40%,0)</f>
        <v>0</v>
      </c>
      <c r="F278" s="18">
        <f>SUM(Acueducto[[#This Row],[Acueducto]:[Aseo]])</f>
        <v>0</v>
      </c>
    </row>
    <row r="279" spans="1:6" ht="15" x14ac:dyDescent="0.2">
      <c r="A279" s="7">
        <v>132208</v>
      </c>
      <c r="B279" s="3" t="s">
        <v>204</v>
      </c>
      <c r="C279" s="29">
        <f>ROUND(Balances[[#This Row],[Total]]*40%,0)</f>
        <v>0</v>
      </c>
      <c r="D279" s="29">
        <f>ROUND(Balances[[#This Row],[Total]]*20%,0)</f>
        <v>0</v>
      </c>
      <c r="E279" s="29">
        <f>ROUND(Balances[[#This Row],[Total]]*40%,0)</f>
        <v>0</v>
      </c>
      <c r="F279" s="18">
        <f>SUM(Acueducto[[#This Row],[Acueducto]:[Aseo]])</f>
        <v>0</v>
      </c>
    </row>
    <row r="280" spans="1:6" ht="15" x14ac:dyDescent="0.2">
      <c r="A280" s="7">
        <v>132209</v>
      </c>
      <c r="B280" s="3" t="s">
        <v>205</v>
      </c>
      <c r="C280" s="29">
        <f>ROUND(Balances[[#This Row],[Total]]*40%,0)</f>
        <v>0</v>
      </c>
      <c r="D280" s="29">
        <f>ROUND(Balances[[#This Row],[Total]]*20%,0)</f>
        <v>0</v>
      </c>
      <c r="E280" s="29">
        <f>ROUND(Balances[[#This Row],[Total]]*40%,0)</f>
        <v>0</v>
      </c>
      <c r="F280" s="18">
        <f>SUM(Acueducto[[#This Row],[Acueducto]:[Aseo]])</f>
        <v>0</v>
      </c>
    </row>
    <row r="281" spans="1:6" ht="15" x14ac:dyDescent="0.2">
      <c r="A281" s="7">
        <v>132210</v>
      </c>
      <c r="B281" s="3" t="s">
        <v>206</v>
      </c>
      <c r="C281" s="29">
        <f>ROUND(Balances[[#This Row],[Total]]*40%,0)</f>
        <v>0</v>
      </c>
      <c r="D281" s="29">
        <f>ROUND(Balances[[#This Row],[Total]]*20%,0)</f>
        <v>0</v>
      </c>
      <c r="E281" s="29">
        <f>ROUND(Balances[[#This Row],[Total]]*40%,0)</f>
        <v>0</v>
      </c>
      <c r="F281" s="18">
        <f>SUM(Acueducto[[#This Row],[Acueducto]:[Aseo]])</f>
        <v>0</v>
      </c>
    </row>
    <row r="282" spans="1:6" ht="15" x14ac:dyDescent="0.2">
      <c r="A282" s="7">
        <v>132211</v>
      </c>
      <c r="B282" s="3" t="s">
        <v>207</v>
      </c>
      <c r="C282" s="29">
        <f>ROUND(Balances[[#This Row],[Total]]*40%,0)</f>
        <v>0</v>
      </c>
      <c r="D282" s="29">
        <f>ROUND(Balances[[#This Row],[Total]]*20%,0)</f>
        <v>0</v>
      </c>
      <c r="E282" s="29">
        <f>ROUND(Balances[[#This Row],[Total]]*40%,0)</f>
        <v>0</v>
      </c>
      <c r="F282" s="18">
        <f>SUM(Acueducto[[#This Row],[Acueducto]:[Aseo]])</f>
        <v>0</v>
      </c>
    </row>
    <row r="283" spans="1:6" ht="15" x14ac:dyDescent="0.2">
      <c r="A283" s="7">
        <v>132212</v>
      </c>
      <c r="B283" s="3" t="s">
        <v>208</v>
      </c>
      <c r="C283" s="29">
        <f>ROUND(Balances[[#This Row],[Total]]*40%,0)</f>
        <v>0</v>
      </c>
      <c r="D283" s="29">
        <f>ROUND(Balances[[#This Row],[Total]]*20%,0)</f>
        <v>0</v>
      </c>
      <c r="E283" s="29">
        <f>ROUND(Balances[[#This Row],[Total]]*40%,0)</f>
        <v>0</v>
      </c>
      <c r="F283" s="18">
        <f>SUM(Acueducto[[#This Row],[Acueducto]:[Aseo]])</f>
        <v>0</v>
      </c>
    </row>
    <row r="284" spans="1:6" ht="15" x14ac:dyDescent="0.2">
      <c r="A284" s="7">
        <v>132213</v>
      </c>
      <c r="B284" s="3" t="s">
        <v>209</v>
      </c>
      <c r="C284" s="29">
        <f>ROUND(Balances[[#This Row],[Total]]*40%,0)</f>
        <v>0</v>
      </c>
      <c r="D284" s="29">
        <f>ROUND(Balances[[#This Row],[Total]]*20%,0)</f>
        <v>0</v>
      </c>
      <c r="E284" s="29">
        <f>ROUND(Balances[[#This Row],[Total]]*40%,0)</f>
        <v>0</v>
      </c>
      <c r="F284" s="18">
        <f>SUM(Acueducto[[#This Row],[Acueducto]:[Aseo]])</f>
        <v>0</v>
      </c>
    </row>
    <row r="285" spans="1:6" ht="15" x14ac:dyDescent="0.2">
      <c r="A285" s="7">
        <v>132214</v>
      </c>
      <c r="B285" s="3" t="s">
        <v>210</v>
      </c>
      <c r="C285" s="29">
        <f>ROUND(Balances[[#This Row],[Total]]*40%,0)</f>
        <v>0</v>
      </c>
      <c r="D285" s="29">
        <f>ROUND(Balances[[#This Row],[Total]]*20%,0)</f>
        <v>0</v>
      </c>
      <c r="E285" s="29">
        <f>ROUND(Balances[[#This Row],[Total]]*40%,0)</f>
        <v>0</v>
      </c>
      <c r="F285" s="18">
        <f>SUM(Acueducto[[#This Row],[Acueducto]:[Aseo]])</f>
        <v>0</v>
      </c>
    </row>
    <row r="286" spans="1:6" ht="15" x14ac:dyDescent="0.2">
      <c r="A286" s="7">
        <v>132215</v>
      </c>
      <c r="B286" s="3" t="s">
        <v>211</v>
      </c>
      <c r="C286" s="29">
        <f>ROUND(Balances[[#This Row],[Total]]*40%,0)</f>
        <v>0</v>
      </c>
      <c r="D286" s="29">
        <f>ROUND(Balances[[#This Row],[Total]]*20%,0)</f>
        <v>0</v>
      </c>
      <c r="E286" s="29">
        <f>ROUND(Balances[[#This Row],[Total]]*40%,0)</f>
        <v>0</v>
      </c>
      <c r="F286" s="18">
        <f>SUM(Acueducto[[#This Row],[Acueducto]:[Aseo]])</f>
        <v>0</v>
      </c>
    </row>
    <row r="287" spans="1:6" ht="15" x14ac:dyDescent="0.2">
      <c r="A287" s="7">
        <v>132216</v>
      </c>
      <c r="B287" s="3" t="s">
        <v>212</v>
      </c>
      <c r="C287" s="29">
        <f>ROUND(Balances[[#This Row],[Total]]*40%,0)</f>
        <v>0</v>
      </c>
      <c r="D287" s="29">
        <f>ROUND(Balances[[#This Row],[Total]]*20%,0)</f>
        <v>0</v>
      </c>
      <c r="E287" s="29">
        <f>ROUND(Balances[[#This Row],[Total]]*40%,0)</f>
        <v>0</v>
      </c>
      <c r="F287" s="18">
        <f>SUM(Acueducto[[#This Row],[Acueducto]:[Aseo]])</f>
        <v>0</v>
      </c>
    </row>
    <row r="288" spans="1:6" ht="15" x14ac:dyDescent="0.2">
      <c r="A288" s="7">
        <v>132217</v>
      </c>
      <c r="B288" s="3" t="s">
        <v>213</v>
      </c>
      <c r="C288" s="29">
        <f>ROUND(Balances[[#This Row],[Total]]*40%,0)</f>
        <v>0</v>
      </c>
      <c r="D288" s="29">
        <f>ROUND(Balances[[#This Row],[Total]]*20%,0)</f>
        <v>0</v>
      </c>
      <c r="E288" s="29">
        <f>ROUND(Balances[[#This Row],[Total]]*40%,0)</f>
        <v>0</v>
      </c>
      <c r="F288" s="18">
        <f>SUM(Acueducto[[#This Row],[Acueducto]:[Aseo]])</f>
        <v>0</v>
      </c>
    </row>
    <row r="289" spans="1:6" ht="15" x14ac:dyDescent="0.2">
      <c r="A289" s="7">
        <v>132218</v>
      </c>
      <c r="B289" s="3" t="s">
        <v>214</v>
      </c>
      <c r="C289" s="29">
        <f>ROUND(Balances[[#This Row],[Total]]*40%,0)</f>
        <v>0</v>
      </c>
      <c r="D289" s="29">
        <f>ROUND(Balances[[#This Row],[Total]]*20%,0)</f>
        <v>0</v>
      </c>
      <c r="E289" s="29">
        <f>ROUND(Balances[[#This Row],[Total]]*40%,0)</f>
        <v>0</v>
      </c>
      <c r="F289" s="18">
        <f>SUM(Acueducto[[#This Row],[Acueducto]:[Aseo]])</f>
        <v>0</v>
      </c>
    </row>
    <row r="290" spans="1:6" ht="15" x14ac:dyDescent="0.2">
      <c r="A290" s="7">
        <v>132219</v>
      </c>
      <c r="B290" s="3" t="s">
        <v>215</v>
      </c>
      <c r="C290" s="29">
        <f>ROUND(Balances[[#This Row],[Total]]*40%,0)</f>
        <v>0</v>
      </c>
      <c r="D290" s="29">
        <f>ROUND(Balances[[#This Row],[Total]]*20%,0)</f>
        <v>0</v>
      </c>
      <c r="E290" s="29">
        <f>ROUND(Balances[[#This Row],[Total]]*40%,0)</f>
        <v>0</v>
      </c>
      <c r="F290" s="18">
        <f>SUM(Acueducto[[#This Row],[Acueducto]:[Aseo]])</f>
        <v>0</v>
      </c>
    </row>
    <row r="291" spans="1:6" ht="15" x14ac:dyDescent="0.2">
      <c r="A291" s="7">
        <v>132220</v>
      </c>
      <c r="B291" s="3" t="s">
        <v>216</v>
      </c>
      <c r="C291" s="29">
        <f>ROUND(Balances[[#This Row],[Total]]*40%,0)</f>
        <v>0</v>
      </c>
      <c r="D291" s="29">
        <f>ROUND(Balances[[#This Row],[Total]]*20%,0)</f>
        <v>0</v>
      </c>
      <c r="E291" s="29">
        <f>ROUND(Balances[[#This Row],[Total]]*40%,0)</f>
        <v>0</v>
      </c>
      <c r="F291" s="18">
        <f>SUM(Acueducto[[#This Row],[Acueducto]:[Aseo]])</f>
        <v>0</v>
      </c>
    </row>
    <row r="292" spans="1:6" ht="15" x14ac:dyDescent="0.2">
      <c r="A292" s="7">
        <v>132222</v>
      </c>
      <c r="B292" s="3" t="s">
        <v>217</v>
      </c>
      <c r="C292" s="29">
        <f>ROUND(Balances[[#This Row],[Total]]*40%,0)</f>
        <v>0</v>
      </c>
      <c r="D292" s="29">
        <f>ROUND(Balances[[#This Row],[Total]]*20%,0)</f>
        <v>0</v>
      </c>
      <c r="E292" s="29">
        <f>ROUND(Balances[[#This Row],[Total]]*40%,0)</f>
        <v>0</v>
      </c>
      <c r="F292" s="18">
        <f>SUM(Acueducto[[#This Row],[Acueducto]:[Aseo]])</f>
        <v>0</v>
      </c>
    </row>
    <row r="293" spans="1:6" ht="15" x14ac:dyDescent="0.2">
      <c r="A293" s="7">
        <v>132223</v>
      </c>
      <c r="B293" s="3" t="s">
        <v>218</v>
      </c>
      <c r="C293" s="29">
        <f>ROUND(Balances[[#This Row],[Total]]*40%,0)</f>
        <v>0</v>
      </c>
      <c r="D293" s="29">
        <f>ROUND(Balances[[#This Row],[Total]]*20%,0)</f>
        <v>0</v>
      </c>
      <c r="E293" s="29">
        <f>ROUND(Balances[[#This Row],[Total]]*40%,0)</f>
        <v>0</v>
      </c>
      <c r="F293" s="18">
        <f>SUM(Acueducto[[#This Row],[Acueducto]:[Aseo]])</f>
        <v>0</v>
      </c>
    </row>
    <row r="294" spans="1:6" ht="15" x14ac:dyDescent="0.2">
      <c r="A294" s="7">
        <v>132281</v>
      </c>
      <c r="B294" s="3" t="s">
        <v>219</v>
      </c>
      <c r="C294" s="29">
        <f>ROUND(Balances[[#This Row],[Total]]*40%,0)</f>
        <v>0</v>
      </c>
      <c r="D294" s="29">
        <f>ROUND(Balances[[#This Row],[Total]]*20%,0)</f>
        <v>0</v>
      </c>
      <c r="E294" s="29">
        <f>ROUND(Balances[[#This Row],[Total]]*40%,0)</f>
        <v>0</v>
      </c>
      <c r="F294" s="18">
        <f>SUM(Acueducto[[#This Row],[Acueducto]:[Aseo]])</f>
        <v>0</v>
      </c>
    </row>
    <row r="295" spans="1:6" ht="15" x14ac:dyDescent="0.2">
      <c r="A295" s="7">
        <v>132290</v>
      </c>
      <c r="B295" s="3" t="s">
        <v>220</v>
      </c>
      <c r="C295" s="29">
        <f>ROUND(Balances[[#This Row],[Total]]*40%,0)</f>
        <v>0</v>
      </c>
      <c r="D295" s="29">
        <f>ROUND(Balances[[#This Row],[Total]]*20%,0)</f>
        <v>0</v>
      </c>
      <c r="E295" s="29">
        <f>ROUND(Balances[[#This Row],[Total]]*40%,0)</f>
        <v>0</v>
      </c>
      <c r="F295" s="18">
        <f>SUM(Acueducto[[#This Row],[Acueducto]:[Aseo]])</f>
        <v>0</v>
      </c>
    </row>
    <row r="296" spans="1:6" ht="15" x14ac:dyDescent="0.2">
      <c r="A296" s="6">
        <v>1324</v>
      </c>
      <c r="B296" s="2" t="s">
        <v>221</v>
      </c>
      <c r="C296" s="28">
        <f>ROUND(Balances[[#This Row],[Total]]*40%,0)</f>
        <v>0</v>
      </c>
      <c r="D296" s="28">
        <f>ROUND(Balances[[#This Row],[Total]]*20%,0)</f>
        <v>0</v>
      </c>
      <c r="E296" s="28">
        <f>ROUND(Balances[[#This Row],[Total]]*40%,0)</f>
        <v>0</v>
      </c>
      <c r="F296" s="17">
        <f>SUM(Acueducto[[#This Row],[Acueducto]:[Aseo]])</f>
        <v>0</v>
      </c>
    </row>
    <row r="297" spans="1:6" ht="15" x14ac:dyDescent="0.2">
      <c r="A297" s="7">
        <v>132415</v>
      </c>
      <c r="B297" s="3" t="s">
        <v>222</v>
      </c>
      <c r="C297" s="29">
        <f>ROUND(Balances[[#This Row],[Total]]*40%,0)</f>
        <v>0</v>
      </c>
      <c r="D297" s="29">
        <f>ROUND(Balances[[#This Row],[Total]]*20%,0)</f>
        <v>0</v>
      </c>
      <c r="E297" s="29">
        <f>ROUND(Balances[[#This Row],[Total]]*40%,0)</f>
        <v>0</v>
      </c>
      <c r="F297" s="18">
        <f>SUM(Acueducto[[#This Row],[Acueducto]:[Aseo]])</f>
        <v>0</v>
      </c>
    </row>
    <row r="298" spans="1:6" ht="15" x14ac:dyDescent="0.2">
      <c r="A298" s="7">
        <v>132416</v>
      </c>
      <c r="B298" s="3" t="s">
        <v>223</v>
      </c>
      <c r="C298" s="29">
        <f>ROUND(Balances[[#This Row],[Total]]*40%,0)</f>
        <v>0</v>
      </c>
      <c r="D298" s="29">
        <f>ROUND(Balances[[#This Row],[Total]]*20%,0)</f>
        <v>0</v>
      </c>
      <c r="E298" s="29">
        <f>ROUND(Balances[[#This Row],[Total]]*40%,0)</f>
        <v>0</v>
      </c>
      <c r="F298" s="18">
        <f>SUM(Acueducto[[#This Row],[Acueducto]:[Aseo]])</f>
        <v>0</v>
      </c>
    </row>
    <row r="299" spans="1:6" ht="15" x14ac:dyDescent="0.2">
      <c r="A299" s="7">
        <v>132495</v>
      </c>
      <c r="B299" s="3" t="s">
        <v>224</v>
      </c>
      <c r="C299" s="29">
        <f>ROUND(Balances[[#This Row],[Total]]*40%,0)</f>
        <v>0</v>
      </c>
      <c r="D299" s="29">
        <f>ROUND(Balances[[#This Row],[Total]]*20%,0)</f>
        <v>0</v>
      </c>
      <c r="E299" s="29">
        <f>ROUND(Balances[[#This Row],[Total]]*40%,0)</f>
        <v>0</v>
      </c>
      <c r="F299" s="18">
        <f>SUM(Acueducto[[#This Row],[Acueducto]:[Aseo]])</f>
        <v>0</v>
      </c>
    </row>
    <row r="300" spans="1:6" ht="15" x14ac:dyDescent="0.2">
      <c r="A300" s="6">
        <v>1333</v>
      </c>
      <c r="B300" s="2" t="s">
        <v>225</v>
      </c>
      <c r="C300" s="28">
        <f>ROUND(Balances[[#This Row],[Total]]*40%,0)</f>
        <v>0</v>
      </c>
      <c r="D300" s="28">
        <f>ROUND(Balances[[#This Row],[Total]]*20%,0)</f>
        <v>0</v>
      </c>
      <c r="E300" s="28">
        <f>ROUND(Balances[[#This Row],[Total]]*40%,0)</f>
        <v>0</v>
      </c>
      <c r="F300" s="17">
        <f>SUM(Acueducto[[#This Row],[Acueducto]:[Aseo]])</f>
        <v>0</v>
      </c>
    </row>
    <row r="301" spans="1:6" ht="15" x14ac:dyDescent="0.2">
      <c r="A301" s="7">
        <v>133301</v>
      </c>
      <c r="B301" s="3" t="s">
        <v>226</v>
      </c>
      <c r="C301" s="29">
        <f>ROUND(Balances[[#This Row],[Total]]*40%,0)</f>
        <v>0</v>
      </c>
      <c r="D301" s="29">
        <f>ROUND(Balances[[#This Row],[Total]]*20%,0)</f>
        <v>0</v>
      </c>
      <c r="E301" s="29">
        <f>ROUND(Balances[[#This Row],[Total]]*40%,0)</f>
        <v>0</v>
      </c>
      <c r="F301" s="18">
        <f>SUM(Acueducto[[#This Row],[Acueducto]:[Aseo]])</f>
        <v>0</v>
      </c>
    </row>
    <row r="302" spans="1:6" ht="15" x14ac:dyDescent="0.2">
      <c r="A302" s="6">
        <v>1384</v>
      </c>
      <c r="B302" s="2" t="s">
        <v>227</v>
      </c>
      <c r="C302" s="28">
        <f>ROUND(Balances[[#This Row],[Total]]*40%,0)</f>
        <v>0</v>
      </c>
      <c r="D302" s="28">
        <f>ROUND(Balances[[#This Row],[Total]]*20%,0)</f>
        <v>0</v>
      </c>
      <c r="E302" s="28">
        <f>ROUND(Balances[[#This Row],[Total]]*40%,0)</f>
        <v>0</v>
      </c>
      <c r="F302" s="28">
        <f>SUM(Acueducto[[#This Row],[Acueducto]:[Aseo]])</f>
        <v>0</v>
      </c>
    </row>
    <row r="303" spans="1:6" ht="15" x14ac:dyDescent="0.2">
      <c r="A303" s="7">
        <v>138401</v>
      </c>
      <c r="B303" s="3" t="s">
        <v>228</v>
      </c>
      <c r="C303" s="29">
        <f>ROUND(Balances[[#This Row],[Total]]*40%,0)</f>
        <v>0</v>
      </c>
      <c r="D303" s="29">
        <f>ROUND(Balances[[#This Row],[Total]]*20%,0)</f>
        <v>0</v>
      </c>
      <c r="E303" s="29">
        <f>ROUND(Balances[[#This Row],[Total]]*40%,0)</f>
        <v>0</v>
      </c>
      <c r="F303" s="18">
        <f>SUM(Acueducto[[#This Row],[Acueducto]:[Aseo]])</f>
        <v>0</v>
      </c>
    </row>
    <row r="304" spans="1:6" ht="15" x14ac:dyDescent="0.2">
      <c r="A304" s="7">
        <v>138403</v>
      </c>
      <c r="B304" s="3" t="s">
        <v>229</v>
      </c>
      <c r="C304" s="29">
        <f>ROUND(Balances[[#This Row],[Total]]*40%,0)</f>
        <v>0</v>
      </c>
      <c r="D304" s="29">
        <f>ROUND(Balances[[#This Row],[Total]]*20%,0)</f>
        <v>0</v>
      </c>
      <c r="E304" s="29">
        <f>ROUND(Balances[[#This Row],[Total]]*40%,0)</f>
        <v>0</v>
      </c>
      <c r="F304" s="18">
        <f>SUM(Acueducto[[#This Row],[Acueducto]:[Aseo]])</f>
        <v>0</v>
      </c>
    </row>
    <row r="305" spans="1:6" ht="15" x14ac:dyDescent="0.2">
      <c r="A305" s="7">
        <v>138404</v>
      </c>
      <c r="B305" s="3" t="s">
        <v>230</v>
      </c>
      <c r="C305" s="29">
        <f>ROUND(Balances[[#This Row],[Total]]*40%,0)</f>
        <v>0</v>
      </c>
      <c r="D305" s="29">
        <f>ROUND(Balances[[#This Row],[Total]]*20%,0)</f>
        <v>0</v>
      </c>
      <c r="E305" s="29">
        <f>ROUND(Balances[[#This Row],[Total]]*40%,0)</f>
        <v>0</v>
      </c>
      <c r="F305" s="18">
        <f>SUM(Acueducto[[#This Row],[Acueducto]:[Aseo]])</f>
        <v>0</v>
      </c>
    </row>
    <row r="306" spans="1:6" ht="15" x14ac:dyDescent="0.2">
      <c r="A306" s="7">
        <v>138405</v>
      </c>
      <c r="B306" s="3" t="s">
        <v>231</v>
      </c>
      <c r="C306" s="29">
        <f>ROUND(Balances[[#This Row],[Total]]*40%,0)</f>
        <v>0</v>
      </c>
      <c r="D306" s="29">
        <f>ROUND(Balances[[#This Row],[Total]]*20%,0)</f>
        <v>0</v>
      </c>
      <c r="E306" s="29">
        <f>ROUND(Balances[[#This Row],[Total]]*40%,0)</f>
        <v>0</v>
      </c>
      <c r="F306" s="18">
        <f>SUM(Acueducto[[#This Row],[Acueducto]:[Aseo]])</f>
        <v>0</v>
      </c>
    </row>
    <row r="307" spans="1:6" ht="15" x14ac:dyDescent="0.2">
      <c r="A307" s="7">
        <v>138406</v>
      </c>
      <c r="B307" s="3" t="s">
        <v>232</v>
      </c>
      <c r="C307" s="29">
        <f>ROUND(Balances[[#This Row],[Total]]*40%,0)</f>
        <v>0</v>
      </c>
      <c r="D307" s="29">
        <f>ROUND(Balances[[#This Row],[Total]]*20%,0)</f>
        <v>0</v>
      </c>
      <c r="E307" s="29">
        <f>ROUND(Balances[[#This Row],[Total]]*40%,0)</f>
        <v>0</v>
      </c>
      <c r="F307" s="18">
        <f>SUM(Acueducto[[#This Row],[Acueducto]:[Aseo]])</f>
        <v>0</v>
      </c>
    </row>
    <row r="308" spans="1:6" ht="15" x14ac:dyDescent="0.2">
      <c r="A308" s="7">
        <v>138407</v>
      </c>
      <c r="B308" s="3" t="s">
        <v>233</v>
      </c>
      <c r="C308" s="29">
        <f>ROUND(Balances[[#This Row],[Total]]*40%,0)</f>
        <v>0</v>
      </c>
      <c r="D308" s="29">
        <f>ROUND(Balances[[#This Row],[Total]]*20%,0)</f>
        <v>0</v>
      </c>
      <c r="E308" s="29">
        <f>ROUND(Balances[[#This Row],[Total]]*40%,0)</f>
        <v>0</v>
      </c>
      <c r="F308" s="18">
        <f>SUM(Acueducto[[#This Row],[Acueducto]:[Aseo]])</f>
        <v>0</v>
      </c>
    </row>
    <row r="309" spans="1:6" ht="15" x14ac:dyDescent="0.2">
      <c r="A309" s="7">
        <v>138408</v>
      </c>
      <c r="B309" s="3" t="s">
        <v>234</v>
      </c>
      <c r="C309" s="29">
        <f>ROUND(Balances[[#This Row],[Total]]*40%,0)</f>
        <v>0</v>
      </c>
      <c r="D309" s="29">
        <f>ROUND(Balances[[#This Row],[Total]]*20%,0)</f>
        <v>0</v>
      </c>
      <c r="E309" s="29">
        <f>ROUND(Balances[[#This Row],[Total]]*40%,0)</f>
        <v>0</v>
      </c>
      <c r="F309" s="18">
        <f>SUM(Acueducto[[#This Row],[Acueducto]:[Aseo]])</f>
        <v>0</v>
      </c>
    </row>
    <row r="310" spans="1:6" ht="15" x14ac:dyDescent="0.2">
      <c r="A310" s="7">
        <v>138409</v>
      </c>
      <c r="B310" s="3" t="s">
        <v>235</v>
      </c>
      <c r="C310" s="29">
        <f>ROUND(Balances[[#This Row],[Total]]*40%,0)</f>
        <v>0</v>
      </c>
      <c r="D310" s="29">
        <f>ROUND(Balances[[#This Row],[Total]]*20%,0)</f>
        <v>0</v>
      </c>
      <c r="E310" s="29">
        <f>ROUND(Balances[[#This Row],[Total]]*40%,0)</f>
        <v>0</v>
      </c>
      <c r="F310" s="18">
        <f>SUM(Acueducto[[#This Row],[Acueducto]:[Aseo]])</f>
        <v>0</v>
      </c>
    </row>
    <row r="311" spans="1:6" ht="15" x14ac:dyDescent="0.2">
      <c r="A311" s="7">
        <v>138410</v>
      </c>
      <c r="B311" s="3" t="s">
        <v>236</v>
      </c>
      <c r="C311" s="29">
        <f>ROUND(Balances[[#This Row],[Total]]*40%,0)</f>
        <v>0</v>
      </c>
      <c r="D311" s="29">
        <f>ROUND(Balances[[#This Row],[Total]]*20%,0)</f>
        <v>0</v>
      </c>
      <c r="E311" s="29">
        <f>ROUND(Balances[[#This Row],[Total]]*40%,0)</f>
        <v>0</v>
      </c>
      <c r="F311" s="18">
        <f>SUM(Acueducto[[#This Row],[Acueducto]:[Aseo]])</f>
        <v>0</v>
      </c>
    </row>
    <row r="312" spans="1:6" ht="15" x14ac:dyDescent="0.2">
      <c r="A312" s="7">
        <v>138411</v>
      </c>
      <c r="B312" s="3" t="s">
        <v>237</v>
      </c>
      <c r="C312" s="29">
        <f>ROUND(Balances[[#This Row],[Total]]*40%,0)</f>
        <v>0</v>
      </c>
      <c r="D312" s="29">
        <f>ROUND(Balances[[#This Row],[Total]]*20%,0)</f>
        <v>0</v>
      </c>
      <c r="E312" s="29">
        <f>ROUND(Balances[[#This Row],[Total]]*40%,0)</f>
        <v>0</v>
      </c>
      <c r="F312" s="18">
        <f>SUM(Acueducto[[#This Row],[Acueducto]:[Aseo]])</f>
        <v>0</v>
      </c>
    </row>
    <row r="313" spans="1:6" ht="15" x14ac:dyDescent="0.2">
      <c r="A313" s="7">
        <v>138412</v>
      </c>
      <c r="B313" s="3" t="s">
        <v>238</v>
      </c>
      <c r="C313" s="29">
        <f>ROUND(Balances[[#This Row],[Total]]*40%,0)</f>
        <v>0</v>
      </c>
      <c r="D313" s="29">
        <f>ROUND(Balances[[#This Row],[Total]]*20%,0)</f>
        <v>0</v>
      </c>
      <c r="E313" s="29">
        <f>ROUND(Balances[[#This Row],[Total]]*40%,0)</f>
        <v>0</v>
      </c>
      <c r="F313" s="18">
        <f>SUM(Acueducto[[#This Row],[Acueducto]:[Aseo]])</f>
        <v>0</v>
      </c>
    </row>
    <row r="314" spans="1:6" ht="15" x14ac:dyDescent="0.2">
      <c r="A314" s="7">
        <v>138414</v>
      </c>
      <c r="B314" s="3" t="s">
        <v>239</v>
      </c>
      <c r="C314" s="29">
        <f>ROUND(Balances[[#This Row],[Total]]*40%,0)</f>
        <v>0</v>
      </c>
      <c r="D314" s="29">
        <f>ROUND(Balances[[#This Row],[Total]]*20%,0)</f>
        <v>0</v>
      </c>
      <c r="E314" s="29">
        <f>ROUND(Balances[[#This Row],[Total]]*40%,0)</f>
        <v>0</v>
      </c>
      <c r="F314" s="18">
        <f>SUM(Acueducto[[#This Row],[Acueducto]:[Aseo]])</f>
        <v>0</v>
      </c>
    </row>
    <row r="315" spans="1:6" ht="15" x14ac:dyDescent="0.2">
      <c r="A315" s="7">
        <v>138416</v>
      </c>
      <c r="B315" s="3" t="s">
        <v>240</v>
      </c>
      <c r="C315" s="29">
        <f>ROUND(Balances[[#This Row],[Total]]*40%,0)</f>
        <v>0</v>
      </c>
      <c r="D315" s="29">
        <f>ROUND(Balances[[#This Row],[Total]]*20%,0)</f>
        <v>0</v>
      </c>
      <c r="E315" s="29">
        <f>ROUND(Balances[[#This Row],[Total]]*40%,0)</f>
        <v>0</v>
      </c>
      <c r="F315" s="18">
        <f>SUM(Acueducto[[#This Row],[Acueducto]:[Aseo]])</f>
        <v>0</v>
      </c>
    </row>
    <row r="316" spans="1:6" ht="15" x14ac:dyDescent="0.2">
      <c r="A316" s="7">
        <v>138417</v>
      </c>
      <c r="B316" s="3" t="s">
        <v>241</v>
      </c>
      <c r="C316" s="29">
        <f>ROUND(Balances[[#This Row],[Total]]*40%,0)</f>
        <v>0</v>
      </c>
      <c r="D316" s="29">
        <f>ROUND(Balances[[#This Row],[Total]]*20%,0)</f>
        <v>0</v>
      </c>
      <c r="E316" s="29">
        <f>ROUND(Balances[[#This Row],[Total]]*40%,0)</f>
        <v>0</v>
      </c>
      <c r="F316" s="18">
        <f>SUM(Acueducto[[#This Row],[Acueducto]:[Aseo]])</f>
        <v>0</v>
      </c>
    </row>
    <row r="317" spans="1:6" ht="15" x14ac:dyDescent="0.2">
      <c r="A317" s="7">
        <v>138420</v>
      </c>
      <c r="B317" s="3" t="s">
        <v>242</v>
      </c>
      <c r="C317" s="29">
        <f>ROUND(Balances[[#This Row],[Total]]*40%,0)</f>
        <v>0</v>
      </c>
      <c r="D317" s="29">
        <f>ROUND(Balances[[#This Row],[Total]]*20%,0)</f>
        <v>0</v>
      </c>
      <c r="E317" s="29">
        <f>ROUND(Balances[[#This Row],[Total]]*40%,0)</f>
        <v>0</v>
      </c>
      <c r="F317" s="18">
        <f>SUM(Acueducto[[#This Row],[Acueducto]:[Aseo]])</f>
        <v>0</v>
      </c>
    </row>
    <row r="318" spans="1:6" ht="15" x14ac:dyDescent="0.2">
      <c r="A318" s="7">
        <v>138421</v>
      </c>
      <c r="B318" s="3" t="s">
        <v>243</v>
      </c>
      <c r="C318" s="29">
        <f>ROUND(Balances[[#This Row],[Total]]*40%,0)</f>
        <v>0</v>
      </c>
      <c r="D318" s="29">
        <f>ROUND(Balances[[#This Row],[Total]]*20%,0)</f>
        <v>0</v>
      </c>
      <c r="E318" s="29">
        <f>ROUND(Balances[[#This Row],[Total]]*40%,0)</f>
        <v>0</v>
      </c>
      <c r="F318" s="18">
        <f>SUM(Acueducto[[#This Row],[Acueducto]:[Aseo]])</f>
        <v>0</v>
      </c>
    </row>
    <row r="319" spans="1:6" ht="15" x14ac:dyDescent="0.2">
      <c r="A319" s="7">
        <v>138422</v>
      </c>
      <c r="B319" s="3" t="s">
        <v>244</v>
      </c>
      <c r="C319" s="29">
        <f>ROUND(Balances[[#This Row],[Total]]*40%,0)</f>
        <v>0</v>
      </c>
      <c r="D319" s="29">
        <f>ROUND(Balances[[#This Row],[Total]]*20%,0)</f>
        <v>0</v>
      </c>
      <c r="E319" s="29">
        <f>ROUND(Balances[[#This Row],[Total]]*40%,0)</f>
        <v>0</v>
      </c>
      <c r="F319" s="18">
        <f>SUM(Acueducto[[#This Row],[Acueducto]:[Aseo]])</f>
        <v>0</v>
      </c>
    </row>
    <row r="320" spans="1:6" ht="15" x14ac:dyDescent="0.2">
      <c r="A320" s="7">
        <v>138423</v>
      </c>
      <c r="B320" s="3" t="s">
        <v>245</v>
      </c>
      <c r="C320" s="29">
        <f>ROUND(Balances[[#This Row],[Total]]*40%,0)</f>
        <v>0</v>
      </c>
      <c r="D320" s="29">
        <f>ROUND(Balances[[#This Row],[Total]]*20%,0)</f>
        <v>0</v>
      </c>
      <c r="E320" s="29">
        <f>ROUND(Balances[[#This Row],[Total]]*40%,0)</f>
        <v>0</v>
      </c>
      <c r="F320" s="18">
        <f>SUM(Acueducto[[#This Row],[Acueducto]:[Aseo]])</f>
        <v>0</v>
      </c>
    </row>
    <row r="321" spans="1:6" ht="15" x14ac:dyDescent="0.2">
      <c r="A321" s="7">
        <v>138424</v>
      </c>
      <c r="B321" s="3" t="s">
        <v>246</v>
      </c>
      <c r="C321" s="29">
        <f>ROUND(Balances[[#This Row],[Total]]*40%,0)</f>
        <v>0</v>
      </c>
      <c r="D321" s="29">
        <f>ROUND(Balances[[#This Row],[Total]]*20%,0)</f>
        <v>0</v>
      </c>
      <c r="E321" s="29">
        <f>ROUND(Balances[[#This Row],[Total]]*40%,0)</f>
        <v>0</v>
      </c>
      <c r="F321" s="18">
        <f>SUM(Acueducto[[#This Row],[Acueducto]:[Aseo]])</f>
        <v>0</v>
      </c>
    </row>
    <row r="322" spans="1:6" ht="15" x14ac:dyDescent="0.2">
      <c r="A322" s="7">
        <v>138425</v>
      </c>
      <c r="B322" s="3" t="s">
        <v>247</v>
      </c>
      <c r="C322" s="29">
        <f>ROUND(Balances[[#This Row],[Total]]*40%,0)</f>
        <v>0</v>
      </c>
      <c r="D322" s="29">
        <f>ROUND(Balances[[#This Row],[Total]]*20%,0)</f>
        <v>0</v>
      </c>
      <c r="E322" s="29">
        <f>ROUND(Balances[[#This Row],[Total]]*40%,0)</f>
        <v>0</v>
      </c>
      <c r="F322" s="18">
        <f>SUM(Acueducto[[#This Row],[Acueducto]:[Aseo]])</f>
        <v>0</v>
      </c>
    </row>
    <row r="323" spans="1:6" ht="15" x14ac:dyDescent="0.2">
      <c r="A323" s="7">
        <v>138426</v>
      </c>
      <c r="B323" s="3" t="s">
        <v>248</v>
      </c>
      <c r="C323" s="29">
        <f>ROUND(Balances[[#This Row],[Total]]*40%,0)</f>
        <v>0</v>
      </c>
      <c r="D323" s="29">
        <f>ROUND(Balances[[#This Row],[Total]]*20%,0)</f>
        <v>0</v>
      </c>
      <c r="E323" s="29">
        <f>ROUND(Balances[[#This Row],[Total]]*40%,0)</f>
        <v>0</v>
      </c>
      <c r="F323" s="18">
        <f>SUM(Acueducto[[#This Row],[Acueducto]:[Aseo]])</f>
        <v>0</v>
      </c>
    </row>
    <row r="324" spans="1:6" ht="15" x14ac:dyDescent="0.2">
      <c r="A324" s="7">
        <v>138427</v>
      </c>
      <c r="B324" s="3" t="s">
        <v>249</v>
      </c>
      <c r="C324" s="29">
        <f>ROUND(Balances[[#This Row],[Total]]*40%,0)</f>
        <v>0</v>
      </c>
      <c r="D324" s="29">
        <f>ROUND(Balances[[#This Row],[Total]]*20%,0)</f>
        <v>0</v>
      </c>
      <c r="E324" s="29">
        <f>ROUND(Balances[[#This Row],[Total]]*40%,0)</f>
        <v>0</v>
      </c>
      <c r="F324" s="18">
        <f>SUM(Acueducto[[#This Row],[Acueducto]:[Aseo]])</f>
        <v>0</v>
      </c>
    </row>
    <row r="325" spans="1:6" ht="15" x14ac:dyDescent="0.2">
      <c r="A325" s="7">
        <v>138431</v>
      </c>
      <c r="B325" s="3" t="s">
        <v>250</v>
      </c>
      <c r="C325" s="29">
        <f>ROUND(Balances[[#This Row],[Total]]*40%,0)</f>
        <v>0</v>
      </c>
      <c r="D325" s="29">
        <f>ROUND(Balances[[#This Row],[Total]]*20%,0)</f>
        <v>0</v>
      </c>
      <c r="E325" s="29">
        <f>ROUND(Balances[[#This Row],[Total]]*40%,0)</f>
        <v>0</v>
      </c>
      <c r="F325" s="18">
        <f>SUM(Acueducto[[#This Row],[Acueducto]:[Aseo]])</f>
        <v>0</v>
      </c>
    </row>
    <row r="326" spans="1:6" ht="15" x14ac:dyDescent="0.2">
      <c r="A326" s="7">
        <v>138432</v>
      </c>
      <c r="B326" s="3" t="s">
        <v>251</v>
      </c>
      <c r="C326" s="29">
        <f>ROUND(Balances[[#This Row],[Total]]*40%,0)</f>
        <v>0</v>
      </c>
      <c r="D326" s="29">
        <f>ROUND(Balances[[#This Row],[Total]]*20%,0)</f>
        <v>0</v>
      </c>
      <c r="E326" s="29">
        <f>ROUND(Balances[[#This Row],[Total]]*40%,0)</f>
        <v>0</v>
      </c>
      <c r="F326" s="18">
        <f>SUM(Acueducto[[#This Row],[Acueducto]:[Aseo]])</f>
        <v>0</v>
      </c>
    </row>
    <row r="327" spans="1:6" ht="15" x14ac:dyDescent="0.2">
      <c r="A327" s="7">
        <v>138435</v>
      </c>
      <c r="B327" s="3" t="s">
        <v>252</v>
      </c>
      <c r="C327" s="29">
        <f>ROUND(Balances[[#This Row],[Total]]*40%,0)</f>
        <v>0</v>
      </c>
      <c r="D327" s="29">
        <f>ROUND(Balances[[#This Row],[Total]]*20%,0)</f>
        <v>0</v>
      </c>
      <c r="E327" s="29">
        <f>ROUND(Balances[[#This Row],[Total]]*40%,0)</f>
        <v>0</v>
      </c>
      <c r="F327" s="18">
        <f>SUM(Acueducto[[#This Row],[Acueducto]:[Aseo]])</f>
        <v>0</v>
      </c>
    </row>
    <row r="328" spans="1:6" ht="15" x14ac:dyDescent="0.2">
      <c r="A328" s="7">
        <v>138436</v>
      </c>
      <c r="B328" s="3" t="s">
        <v>253</v>
      </c>
      <c r="C328" s="29">
        <f>ROUND(Balances[[#This Row],[Total]]*40%,0)</f>
        <v>0</v>
      </c>
      <c r="D328" s="29">
        <f>ROUND(Balances[[#This Row],[Total]]*20%,0)</f>
        <v>0</v>
      </c>
      <c r="E328" s="29">
        <f>ROUND(Balances[[#This Row],[Total]]*40%,0)</f>
        <v>0</v>
      </c>
      <c r="F328" s="18">
        <f>SUM(Acueducto[[#This Row],[Acueducto]:[Aseo]])</f>
        <v>0</v>
      </c>
    </row>
    <row r="329" spans="1:6" ht="15" x14ac:dyDescent="0.2">
      <c r="A329" s="7">
        <v>138437</v>
      </c>
      <c r="B329" s="3" t="s">
        <v>254</v>
      </c>
      <c r="C329" s="29">
        <f>ROUND(Balances[[#This Row],[Total]]*40%,0)</f>
        <v>0</v>
      </c>
      <c r="D329" s="29">
        <f>ROUND(Balances[[#This Row],[Total]]*20%,0)</f>
        <v>0</v>
      </c>
      <c r="E329" s="29">
        <f>ROUND(Balances[[#This Row],[Total]]*40%,0)</f>
        <v>0</v>
      </c>
      <c r="F329" s="18">
        <f>SUM(Acueducto[[#This Row],[Acueducto]:[Aseo]])</f>
        <v>0</v>
      </c>
    </row>
    <row r="330" spans="1:6" ht="15" x14ac:dyDescent="0.2">
      <c r="A330" s="7">
        <v>138438</v>
      </c>
      <c r="B330" s="3" t="s">
        <v>255</v>
      </c>
      <c r="C330" s="29">
        <f>ROUND(Balances[[#This Row],[Total]]*40%,0)</f>
        <v>0</v>
      </c>
      <c r="D330" s="29">
        <f>ROUND(Balances[[#This Row],[Total]]*20%,0)</f>
        <v>0</v>
      </c>
      <c r="E330" s="29">
        <f>ROUND(Balances[[#This Row],[Total]]*40%,0)</f>
        <v>0</v>
      </c>
      <c r="F330" s="18">
        <f>SUM(Acueducto[[#This Row],[Acueducto]:[Aseo]])</f>
        <v>0</v>
      </c>
    </row>
    <row r="331" spans="1:6" ht="15" x14ac:dyDescent="0.2">
      <c r="A331" s="7">
        <v>138439</v>
      </c>
      <c r="B331" s="3" t="s">
        <v>256</v>
      </c>
      <c r="C331" s="29">
        <f>ROUND(Balances[[#This Row],[Total]]*40%,0)</f>
        <v>0</v>
      </c>
      <c r="D331" s="29">
        <f>ROUND(Balances[[#This Row],[Total]]*20%,0)</f>
        <v>0</v>
      </c>
      <c r="E331" s="29">
        <f>ROUND(Balances[[#This Row],[Total]]*40%,0)</f>
        <v>0</v>
      </c>
      <c r="F331" s="18">
        <f>SUM(Acueducto[[#This Row],[Acueducto]:[Aseo]])</f>
        <v>0</v>
      </c>
    </row>
    <row r="332" spans="1:6" ht="15" x14ac:dyDescent="0.2">
      <c r="A332" s="7">
        <v>138445</v>
      </c>
      <c r="B332" s="3" t="s">
        <v>257</v>
      </c>
      <c r="C332" s="29">
        <f>ROUND(Balances[[#This Row],[Total]]*40%,0)</f>
        <v>0</v>
      </c>
      <c r="D332" s="29">
        <f>ROUND(Balances[[#This Row],[Total]]*20%,0)</f>
        <v>0</v>
      </c>
      <c r="E332" s="29">
        <f>ROUND(Balances[[#This Row],[Total]]*40%,0)</f>
        <v>0</v>
      </c>
      <c r="F332" s="18">
        <f>SUM(Acueducto[[#This Row],[Acueducto]:[Aseo]])</f>
        <v>0</v>
      </c>
    </row>
    <row r="333" spans="1:6" ht="15" x14ac:dyDescent="0.2">
      <c r="A333" s="7">
        <v>138490</v>
      </c>
      <c r="B333" s="3" t="s">
        <v>258</v>
      </c>
      <c r="C333" s="29">
        <f>ROUND(Balances[[#This Row],[Total]]*40%,0)</f>
        <v>0</v>
      </c>
      <c r="D333" s="29">
        <f>ROUND(Balances[[#This Row],[Total]]*20%,0)</f>
        <v>0</v>
      </c>
      <c r="E333" s="29">
        <f>ROUND(Balances[[#This Row],[Total]]*40%,0)</f>
        <v>0</v>
      </c>
      <c r="F333" s="29">
        <f>SUM(Acueducto[[#This Row],[Acueducto]:[Aseo]])</f>
        <v>0</v>
      </c>
    </row>
    <row r="334" spans="1:6" ht="15" x14ac:dyDescent="0.2">
      <c r="A334" s="6">
        <v>1385</v>
      </c>
      <c r="B334" s="2" t="s">
        <v>259</v>
      </c>
      <c r="C334" s="28">
        <f>ROUND(Balances[[#This Row],[Total]]*40%,0)</f>
        <v>0</v>
      </c>
      <c r="D334" s="28">
        <f>ROUND(Balances[[#This Row],[Total]]*20%,0)</f>
        <v>0</v>
      </c>
      <c r="E334" s="28">
        <f>ROUND(Balances[[#This Row],[Total]]*40%,0)</f>
        <v>0</v>
      </c>
      <c r="F334" s="17">
        <f>SUM(Acueducto[[#This Row],[Acueducto]:[Aseo]])</f>
        <v>0</v>
      </c>
    </row>
    <row r="335" spans="1:6" ht="15" x14ac:dyDescent="0.2">
      <c r="A335" s="7">
        <v>138501</v>
      </c>
      <c r="B335" s="3" t="s">
        <v>260</v>
      </c>
      <c r="C335" s="29">
        <f>ROUND(Balances[[#This Row],[Total]]*40%,0)</f>
        <v>0</v>
      </c>
      <c r="D335" s="29">
        <f>ROUND(Balances[[#This Row],[Total]]*20%,0)</f>
        <v>0</v>
      </c>
      <c r="E335" s="29">
        <f>ROUND(Balances[[#This Row],[Total]]*40%,0)</f>
        <v>0</v>
      </c>
      <c r="F335" s="18">
        <f>SUM(Acueducto[[#This Row],[Acueducto]:[Aseo]])</f>
        <v>0</v>
      </c>
    </row>
    <row r="336" spans="1:6" ht="15" x14ac:dyDescent="0.2">
      <c r="A336" s="7">
        <v>138502</v>
      </c>
      <c r="B336" s="3" t="s">
        <v>261</v>
      </c>
      <c r="C336" s="29">
        <f>ROUND(Balances[[#This Row],[Total]]*40%,0)</f>
        <v>0</v>
      </c>
      <c r="D336" s="29">
        <f>ROUND(Balances[[#This Row],[Total]]*20%,0)</f>
        <v>0</v>
      </c>
      <c r="E336" s="29">
        <f>ROUND(Balances[[#This Row],[Total]]*40%,0)</f>
        <v>0</v>
      </c>
      <c r="F336" s="18">
        <f>SUM(Acueducto[[#This Row],[Acueducto]:[Aseo]])</f>
        <v>0</v>
      </c>
    </row>
    <row r="337" spans="1:6" ht="15" x14ac:dyDescent="0.2">
      <c r="A337" s="7">
        <v>138503</v>
      </c>
      <c r="B337" s="3" t="s">
        <v>152</v>
      </c>
      <c r="C337" s="29">
        <f>ROUND(Balances[[#This Row],[Total]]*40%,0)</f>
        <v>0</v>
      </c>
      <c r="D337" s="29">
        <f>ROUND(Balances[[#This Row],[Total]]*20%,0)</f>
        <v>0</v>
      </c>
      <c r="E337" s="29">
        <f>ROUND(Balances[[#This Row],[Total]]*40%,0)</f>
        <v>0</v>
      </c>
      <c r="F337" s="18">
        <f>SUM(Acueducto[[#This Row],[Acueducto]:[Aseo]])</f>
        <v>0</v>
      </c>
    </row>
    <row r="338" spans="1:6" ht="15" x14ac:dyDescent="0.2">
      <c r="A338" s="7">
        <v>138504</v>
      </c>
      <c r="B338" s="3" t="s">
        <v>153</v>
      </c>
      <c r="C338" s="29">
        <f>ROUND(Balances[[#This Row],[Total]]*40%,0)</f>
        <v>0</v>
      </c>
      <c r="D338" s="29">
        <f>ROUND(Balances[[#This Row],[Total]]*20%,0)</f>
        <v>0</v>
      </c>
      <c r="E338" s="29">
        <f>ROUND(Balances[[#This Row],[Total]]*40%,0)</f>
        <v>0</v>
      </c>
      <c r="F338" s="18">
        <f>SUM(Acueducto[[#This Row],[Acueducto]:[Aseo]])</f>
        <v>0</v>
      </c>
    </row>
    <row r="339" spans="1:6" ht="15" x14ac:dyDescent="0.2">
      <c r="A339" s="7">
        <v>138505</v>
      </c>
      <c r="B339" s="3" t="s">
        <v>154</v>
      </c>
      <c r="C339" s="29">
        <f>ROUND(Balances[[#This Row],[Total]]*40%,0)</f>
        <v>0</v>
      </c>
      <c r="D339" s="29">
        <f>ROUND(Balances[[#This Row],[Total]]*20%,0)</f>
        <v>0</v>
      </c>
      <c r="E339" s="29">
        <f>ROUND(Balances[[#This Row],[Total]]*40%,0)</f>
        <v>0</v>
      </c>
      <c r="F339" s="18">
        <f>SUM(Acueducto[[#This Row],[Acueducto]:[Aseo]])</f>
        <v>0</v>
      </c>
    </row>
    <row r="340" spans="1:6" ht="15" x14ac:dyDescent="0.2">
      <c r="A340" s="7">
        <v>138506</v>
      </c>
      <c r="B340" s="3" t="s">
        <v>155</v>
      </c>
      <c r="C340" s="29">
        <f>ROUND(Balances[[#This Row],[Total]]*40%,0)</f>
        <v>0</v>
      </c>
      <c r="D340" s="29">
        <f>ROUND(Balances[[#This Row],[Total]]*20%,0)</f>
        <v>0</v>
      </c>
      <c r="E340" s="29">
        <f>ROUND(Balances[[#This Row],[Total]]*40%,0)</f>
        <v>0</v>
      </c>
      <c r="F340" s="18">
        <f>SUM(Acueducto[[#This Row],[Acueducto]:[Aseo]])</f>
        <v>0</v>
      </c>
    </row>
    <row r="341" spans="1:6" ht="15" x14ac:dyDescent="0.2">
      <c r="A341" s="7">
        <v>138507</v>
      </c>
      <c r="B341" s="3" t="s">
        <v>156</v>
      </c>
      <c r="C341" s="29">
        <f>ROUND(Balances[[#This Row],[Total]]*40%,0)</f>
        <v>0</v>
      </c>
      <c r="D341" s="29">
        <f>ROUND(Balances[[#This Row],[Total]]*20%,0)</f>
        <v>0</v>
      </c>
      <c r="E341" s="29">
        <f>ROUND(Balances[[#This Row],[Total]]*40%,0)</f>
        <v>0</v>
      </c>
      <c r="F341" s="18">
        <f>SUM(Acueducto[[#This Row],[Acueducto]:[Aseo]])</f>
        <v>0</v>
      </c>
    </row>
    <row r="342" spans="1:6" ht="15" x14ac:dyDescent="0.2">
      <c r="A342" s="7">
        <v>138508</v>
      </c>
      <c r="B342" s="3" t="s">
        <v>157</v>
      </c>
      <c r="C342" s="29">
        <f>ROUND(Balances[[#This Row],[Total]]*40%,0)</f>
        <v>0</v>
      </c>
      <c r="D342" s="29">
        <f>ROUND(Balances[[#This Row],[Total]]*20%,0)</f>
        <v>0</v>
      </c>
      <c r="E342" s="29">
        <f>ROUND(Balances[[#This Row],[Total]]*40%,0)</f>
        <v>0</v>
      </c>
      <c r="F342" s="18">
        <f>SUM(Acueducto[[#This Row],[Acueducto]:[Aseo]])</f>
        <v>0</v>
      </c>
    </row>
    <row r="343" spans="1:6" ht="15" x14ac:dyDescent="0.2">
      <c r="A343" s="7">
        <v>138509</v>
      </c>
      <c r="B343" s="3" t="s">
        <v>262</v>
      </c>
      <c r="C343" s="29">
        <f>ROUND(Balances[[#This Row],[Total]]*40%,0)</f>
        <v>0</v>
      </c>
      <c r="D343" s="29">
        <f>ROUND(Balances[[#This Row],[Total]]*20%,0)</f>
        <v>0</v>
      </c>
      <c r="E343" s="29">
        <f>ROUND(Balances[[#This Row],[Total]]*40%,0)</f>
        <v>0</v>
      </c>
      <c r="F343" s="18">
        <f>SUM(Acueducto[[#This Row],[Acueducto]:[Aseo]])</f>
        <v>0</v>
      </c>
    </row>
    <row r="344" spans="1:6" ht="15" x14ac:dyDescent="0.2">
      <c r="A344" s="7">
        <v>138510</v>
      </c>
      <c r="B344" s="3" t="s">
        <v>263</v>
      </c>
      <c r="C344" s="29">
        <f>ROUND(Balances[[#This Row],[Total]]*40%,0)</f>
        <v>0</v>
      </c>
      <c r="D344" s="29">
        <f>ROUND(Balances[[#This Row],[Total]]*20%,0)</f>
        <v>0</v>
      </c>
      <c r="E344" s="29">
        <f>ROUND(Balances[[#This Row],[Total]]*40%,0)</f>
        <v>0</v>
      </c>
      <c r="F344" s="18">
        <f>SUM(Acueducto[[#This Row],[Acueducto]:[Aseo]])</f>
        <v>0</v>
      </c>
    </row>
    <row r="345" spans="1:6" ht="15" x14ac:dyDescent="0.2">
      <c r="A345" s="7">
        <v>138515</v>
      </c>
      <c r="B345" s="3" t="s">
        <v>264</v>
      </c>
      <c r="C345" s="29">
        <f>ROUND(Balances[[#This Row],[Total]]*40%,0)</f>
        <v>0</v>
      </c>
      <c r="D345" s="29">
        <f>ROUND(Balances[[#This Row],[Total]]*20%,0)</f>
        <v>0</v>
      </c>
      <c r="E345" s="29">
        <f>ROUND(Balances[[#This Row],[Total]]*40%,0)</f>
        <v>0</v>
      </c>
      <c r="F345" s="18">
        <f>SUM(Acueducto[[#This Row],[Acueducto]:[Aseo]])</f>
        <v>0</v>
      </c>
    </row>
    <row r="346" spans="1:6" ht="15" x14ac:dyDescent="0.2">
      <c r="A346" s="7">
        <v>138590</v>
      </c>
      <c r="B346" s="3" t="s">
        <v>265</v>
      </c>
      <c r="C346" s="29">
        <f>ROUND(Balances[[#This Row],[Total]]*40%,0)</f>
        <v>0</v>
      </c>
      <c r="D346" s="29">
        <f>ROUND(Balances[[#This Row],[Total]]*20%,0)</f>
        <v>0</v>
      </c>
      <c r="E346" s="29">
        <f>ROUND(Balances[[#This Row],[Total]]*40%,0)</f>
        <v>0</v>
      </c>
      <c r="F346" s="18">
        <f>SUM(Acueducto[[#This Row],[Acueducto]:[Aseo]])</f>
        <v>0</v>
      </c>
    </row>
    <row r="347" spans="1:6" ht="15" x14ac:dyDescent="0.2">
      <c r="A347" s="6">
        <v>1386</v>
      </c>
      <c r="B347" s="2" t="s">
        <v>266</v>
      </c>
      <c r="C347" s="28">
        <f>ROUND(Balances[[#This Row],[Total]]*40%,0)</f>
        <v>0</v>
      </c>
      <c r="D347" s="28">
        <f>ROUND(Balances[[#This Row],[Total]]*20%,0)</f>
        <v>0</v>
      </c>
      <c r="E347" s="28">
        <f>ROUND(Balances[[#This Row],[Total]]*40%,0)</f>
        <v>0</v>
      </c>
      <c r="F347" s="17">
        <f>SUM(Acueducto[[#This Row],[Acueducto]:[Aseo]])</f>
        <v>0</v>
      </c>
    </row>
    <row r="348" spans="1:6" ht="15" x14ac:dyDescent="0.2">
      <c r="A348" s="7">
        <v>138601</v>
      </c>
      <c r="B348" s="3" t="s">
        <v>260</v>
      </c>
      <c r="C348" s="29">
        <f>ROUND(Balances[[#This Row],[Total]]*40%,0)</f>
        <v>0</v>
      </c>
      <c r="D348" s="29">
        <f>ROUND(Balances[[#This Row],[Total]]*20%,0)</f>
        <v>0</v>
      </c>
      <c r="E348" s="29">
        <f>ROUND(Balances[[#This Row],[Total]]*40%,0)</f>
        <v>0</v>
      </c>
      <c r="F348" s="18">
        <f>SUM(Acueducto[[#This Row],[Acueducto]:[Aseo]])</f>
        <v>0</v>
      </c>
    </row>
    <row r="349" spans="1:6" ht="15" x14ac:dyDescent="0.2">
      <c r="A349" s="7">
        <v>138602</v>
      </c>
      <c r="B349" s="3" t="s">
        <v>261</v>
      </c>
      <c r="C349" s="29">
        <f>ROUND(Balances[[#This Row],[Total]]*40%,0)</f>
        <v>0</v>
      </c>
      <c r="D349" s="29">
        <f>ROUND(Balances[[#This Row],[Total]]*20%,0)</f>
        <v>0</v>
      </c>
      <c r="E349" s="29">
        <f>ROUND(Balances[[#This Row],[Total]]*40%,0)</f>
        <v>0</v>
      </c>
      <c r="F349" s="18">
        <f>SUM(Acueducto[[#This Row],[Acueducto]:[Aseo]])</f>
        <v>0</v>
      </c>
    </row>
    <row r="350" spans="1:6" ht="15" x14ac:dyDescent="0.2">
      <c r="A350" s="7">
        <v>138603</v>
      </c>
      <c r="B350" s="3" t="s">
        <v>152</v>
      </c>
      <c r="C350" s="29">
        <f>ROUND(Balances[[#This Row],[Total]]*40%,0)</f>
        <v>0</v>
      </c>
      <c r="D350" s="29">
        <f>ROUND(Balances[[#This Row],[Total]]*20%,0)</f>
        <v>0</v>
      </c>
      <c r="E350" s="29">
        <f>ROUND(Balances[[#This Row],[Total]]*40%,0)</f>
        <v>0</v>
      </c>
      <c r="F350" s="18">
        <f>SUM(Acueducto[[#This Row],[Acueducto]:[Aseo]])</f>
        <v>0</v>
      </c>
    </row>
    <row r="351" spans="1:6" ht="15" x14ac:dyDescent="0.2">
      <c r="A351" s="7">
        <v>138604</v>
      </c>
      <c r="B351" s="3" t="s">
        <v>153</v>
      </c>
      <c r="C351" s="29">
        <f>ROUND(Balances[[#This Row],[Total]]*40%,0)</f>
        <v>0</v>
      </c>
      <c r="D351" s="29">
        <f>ROUND(Balances[[#This Row],[Total]]*20%,0)</f>
        <v>0</v>
      </c>
      <c r="E351" s="29">
        <f>ROUND(Balances[[#This Row],[Total]]*40%,0)</f>
        <v>0</v>
      </c>
      <c r="F351" s="18">
        <f>SUM(Acueducto[[#This Row],[Acueducto]:[Aseo]])</f>
        <v>0</v>
      </c>
    </row>
    <row r="352" spans="1:6" ht="15" x14ac:dyDescent="0.2">
      <c r="A352" s="7">
        <v>138605</v>
      </c>
      <c r="B352" s="3" t="s">
        <v>154</v>
      </c>
      <c r="C352" s="29">
        <f>ROUND(Balances[[#This Row],[Total]]*40%,0)</f>
        <v>0</v>
      </c>
      <c r="D352" s="29">
        <f>ROUND(Balances[[#This Row],[Total]]*20%,0)</f>
        <v>0</v>
      </c>
      <c r="E352" s="29">
        <f>ROUND(Balances[[#This Row],[Total]]*40%,0)</f>
        <v>0</v>
      </c>
      <c r="F352" s="18">
        <f>SUM(Acueducto[[#This Row],[Acueducto]:[Aseo]])</f>
        <v>0</v>
      </c>
    </row>
    <row r="353" spans="1:6" ht="15" x14ac:dyDescent="0.2">
      <c r="A353" s="7">
        <v>138606</v>
      </c>
      <c r="B353" s="3" t="s">
        <v>155</v>
      </c>
      <c r="C353" s="29">
        <f>ROUND(Balances[[#This Row],[Total]]*40%,0)</f>
        <v>0</v>
      </c>
      <c r="D353" s="29">
        <f>ROUND(Balances[[#This Row],[Total]]*20%,0)</f>
        <v>0</v>
      </c>
      <c r="E353" s="29">
        <f>ROUND(Balances[[#This Row],[Total]]*40%,0)</f>
        <v>0</v>
      </c>
      <c r="F353" s="18">
        <f>SUM(Acueducto[[#This Row],[Acueducto]:[Aseo]])</f>
        <v>0</v>
      </c>
    </row>
    <row r="354" spans="1:6" ht="15" x14ac:dyDescent="0.2">
      <c r="A354" s="7">
        <v>138607</v>
      </c>
      <c r="B354" s="3" t="s">
        <v>156</v>
      </c>
      <c r="C354" s="29">
        <f>ROUND(Balances[[#This Row],[Total]]*40%,0)</f>
        <v>0</v>
      </c>
      <c r="D354" s="29">
        <f>ROUND(Balances[[#This Row],[Total]]*20%,0)</f>
        <v>0</v>
      </c>
      <c r="E354" s="29">
        <f>ROUND(Balances[[#This Row],[Total]]*40%,0)</f>
        <v>0</v>
      </c>
      <c r="F354" s="18">
        <f>SUM(Acueducto[[#This Row],[Acueducto]:[Aseo]])</f>
        <v>0</v>
      </c>
    </row>
    <row r="355" spans="1:6" ht="15" x14ac:dyDescent="0.2">
      <c r="A355" s="7">
        <v>138608</v>
      </c>
      <c r="B355" s="3" t="s">
        <v>157</v>
      </c>
      <c r="C355" s="29">
        <f>ROUND(Balances[[#This Row],[Total]]*40%,0)</f>
        <v>0</v>
      </c>
      <c r="D355" s="29">
        <f>ROUND(Balances[[#This Row],[Total]]*20%,0)</f>
        <v>0</v>
      </c>
      <c r="E355" s="29">
        <f>ROUND(Balances[[#This Row],[Total]]*40%,0)</f>
        <v>0</v>
      </c>
      <c r="F355" s="18">
        <f>SUM(Acueducto[[#This Row],[Acueducto]:[Aseo]])</f>
        <v>0</v>
      </c>
    </row>
    <row r="356" spans="1:6" ht="15" x14ac:dyDescent="0.2">
      <c r="A356" s="7">
        <v>138609</v>
      </c>
      <c r="B356" s="3" t="s">
        <v>262</v>
      </c>
      <c r="C356" s="29">
        <f>ROUND(Balances[[#This Row],[Total]]*40%,0)</f>
        <v>0</v>
      </c>
      <c r="D356" s="29">
        <f>ROUND(Balances[[#This Row],[Total]]*20%,0)</f>
        <v>0</v>
      </c>
      <c r="E356" s="29">
        <f>ROUND(Balances[[#This Row],[Total]]*40%,0)</f>
        <v>0</v>
      </c>
      <c r="F356" s="18">
        <f>SUM(Acueducto[[#This Row],[Acueducto]:[Aseo]])</f>
        <v>0</v>
      </c>
    </row>
    <row r="357" spans="1:6" ht="15" x14ac:dyDescent="0.2">
      <c r="A357" s="7">
        <v>138610</v>
      </c>
      <c r="B357" s="3" t="s">
        <v>263</v>
      </c>
      <c r="C357" s="29">
        <f>ROUND(Balances[[#This Row],[Total]]*40%,0)</f>
        <v>0</v>
      </c>
      <c r="D357" s="29">
        <f>ROUND(Balances[[#This Row],[Total]]*20%,0)</f>
        <v>0</v>
      </c>
      <c r="E357" s="29">
        <f>ROUND(Balances[[#This Row],[Total]]*40%,0)</f>
        <v>0</v>
      </c>
      <c r="F357" s="18">
        <f>SUM(Acueducto[[#This Row],[Acueducto]:[Aseo]])</f>
        <v>0</v>
      </c>
    </row>
    <row r="358" spans="1:6" ht="15" x14ac:dyDescent="0.2">
      <c r="A358" s="7">
        <v>138614</v>
      </c>
      <c r="B358" s="3" t="s">
        <v>267</v>
      </c>
      <c r="C358" s="29">
        <f>ROUND(Balances[[#This Row],[Total]]*40%,0)</f>
        <v>0</v>
      </c>
      <c r="D358" s="29">
        <f>ROUND(Balances[[#This Row],[Total]]*20%,0)</f>
        <v>0</v>
      </c>
      <c r="E358" s="29">
        <f>ROUND(Balances[[#This Row],[Total]]*40%,0)</f>
        <v>0</v>
      </c>
      <c r="F358" s="18">
        <f>SUM(Acueducto[[#This Row],[Acueducto]:[Aseo]])</f>
        <v>0</v>
      </c>
    </row>
    <row r="359" spans="1:6" ht="15" x14ac:dyDescent="0.2">
      <c r="A359" s="7">
        <v>138690</v>
      </c>
      <c r="B359" s="3" t="s">
        <v>258</v>
      </c>
      <c r="C359" s="29">
        <f>ROUND(Balances[[#This Row],[Total]]*40%,0)</f>
        <v>0</v>
      </c>
      <c r="D359" s="29">
        <f>ROUND(Balances[[#This Row],[Total]]*20%,0)</f>
        <v>0</v>
      </c>
      <c r="E359" s="29">
        <f>ROUND(Balances[[#This Row],[Total]]*40%,0)</f>
        <v>0</v>
      </c>
      <c r="F359" s="18">
        <f>SUM(Acueducto[[#This Row],[Acueducto]:[Aseo]])</f>
        <v>0</v>
      </c>
    </row>
    <row r="360" spans="1:6" ht="15" x14ac:dyDescent="0.2">
      <c r="A360" s="6">
        <v>1387</v>
      </c>
      <c r="B360" s="2" t="s">
        <v>268</v>
      </c>
      <c r="C360" s="28">
        <f>ROUND(Balances[[#This Row],[Total]]*40%,0)</f>
        <v>0</v>
      </c>
      <c r="D360" s="28">
        <f>ROUND(Balances[[#This Row],[Total]]*20%,0)</f>
        <v>0</v>
      </c>
      <c r="E360" s="28">
        <f>ROUND(Balances[[#This Row],[Total]]*40%,0)</f>
        <v>0</v>
      </c>
      <c r="F360" s="17">
        <f>SUM(Acueducto[[#This Row],[Acueducto]:[Aseo]])</f>
        <v>0</v>
      </c>
    </row>
    <row r="361" spans="1:6" ht="15" x14ac:dyDescent="0.2">
      <c r="A361" s="7">
        <v>138701</v>
      </c>
      <c r="B361" s="3" t="s">
        <v>260</v>
      </c>
      <c r="C361" s="29">
        <f>ROUND(Balances[[#This Row],[Total]]*40%,0)</f>
        <v>0</v>
      </c>
      <c r="D361" s="29">
        <f>ROUND(Balances[[#This Row],[Total]]*20%,0)</f>
        <v>0</v>
      </c>
      <c r="E361" s="29">
        <f>ROUND(Balances[[#This Row],[Total]]*40%,0)</f>
        <v>0</v>
      </c>
      <c r="F361" s="18">
        <f>SUM(Acueducto[[#This Row],[Acueducto]:[Aseo]])</f>
        <v>0</v>
      </c>
    </row>
    <row r="362" spans="1:6" ht="15" x14ac:dyDescent="0.2">
      <c r="A362" s="7">
        <v>138702</v>
      </c>
      <c r="B362" s="3" t="s">
        <v>261</v>
      </c>
      <c r="C362" s="29">
        <f>ROUND(Balances[[#This Row],[Total]]*40%,0)</f>
        <v>0</v>
      </c>
      <c r="D362" s="29">
        <f>ROUND(Balances[[#This Row],[Total]]*20%,0)</f>
        <v>0</v>
      </c>
      <c r="E362" s="29">
        <f>ROUND(Balances[[#This Row],[Total]]*40%,0)</f>
        <v>0</v>
      </c>
      <c r="F362" s="18">
        <f>SUM(Acueducto[[#This Row],[Acueducto]:[Aseo]])</f>
        <v>0</v>
      </c>
    </row>
    <row r="363" spans="1:6" ht="15" x14ac:dyDescent="0.2">
      <c r="A363" s="7">
        <v>138703</v>
      </c>
      <c r="B363" s="3" t="s">
        <v>152</v>
      </c>
      <c r="C363" s="29">
        <f>ROUND(Balances[[#This Row],[Total]]*40%,0)</f>
        <v>0</v>
      </c>
      <c r="D363" s="29">
        <f>ROUND(Balances[[#This Row],[Total]]*20%,0)</f>
        <v>0</v>
      </c>
      <c r="E363" s="29">
        <f>ROUND(Balances[[#This Row],[Total]]*40%,0)</f>
        <v>0</v>
      </c>
      <c r="F363" s="18">
        <f>SUM(Acueducto[[#This Row],[Acueducto]:[Aseo]])</f>
        <v>0</v>
      </c>
    </row>
    <row r="364" spans="1:6" ht="15" x14ac:dyDescent="0.2">
      <c r="A364" s="7">
        <v>138704</v>
      </c>
      <c r="B364" s="3" t="s">
        <v>153</v>
      </c>
      <c r="C364" s="29">
        <f>ROUND(Balances[[#This Row],[Total]]*40%,0)</f>
        <v>0</v>
      </c>
      <c r="D364" s="29">
        <f>ROUND(Balances[[#This Row],[Total]]*20%,0)</f>
        <v>0</v>
      </c>
      <c r="E364" s="29">
        <f>ROUND(Balances[[#This Row],[Total]]*40%,0)</f>
        <v>0</v>
      </c>
      <c r="F364" s="18">
        <f>SUM(Acueducto[[#This Row],[Acueducto]:[Aseo]])</f>
        <v>0</v>
      </c>
    </row>
    <row r="365" spans="1:6" ht="15" x14ac:dyDescent="0.2">
      <c r="A365" s="7">
        <v>138705</v>
      </c>
      <c r="B365" s="3" t="s">
        <v>154</v>
      </c>
      <c r="C365" s="29">
        <f>ROUND(Balances[[#This Row],[Total]]*40%,0)</f>
        <v>0</v>
      </c>
      <c r="D365" s="29">
        <f>ROUND(Balances[[#This Row],[Total]]*20%,0)</f>
        <v>0</v>
      </c>
      <c r="E365" s="29">
        <f>ROUND(Balances[[#This Row],[Total]]*40%,0)</f>
        <v>0</v>
      </c>
      <c r="F365" s="18">
        <f>SUM(Acueducto[[#This Row],[Acueducto]:[Aseo]])</f>
        <v>0</v>
      </c>
    </row>
    <row r="366" spans="1:6" ht="15" x14ac:dyDescent="0.2">
      <c r="A366" s="7">
        <v>138706</v>
      </c>
      <c r="B366" s="3" t="s">
        <v>155</v>
      </c>
      <c r="C366" s="29">
        <f>ROUND(Balances[[#This Row],[Total]]*40%,0)</f>
        <v>0</v>
      </c>
      <c r="D366" s="29">
        <f>ROUND(Balances[[#This Row],[Total]]*20%,0)</f>
        <v>0</v>
      </c>
      <c r="E366" s="29">
        <f>ROUND(Balances[[#This Row],[Total]]*40%,0)</f>
        <v>0</v>
      </c>
      <c r="F366" s="18">
        <f>SUM(Acueducto[[#This Row],[Acueducto]:[Aseo]])</f>
        <v>0</v>
      </c>
    </row>
    <row r="367" spans="1:6" ht="15" x14ac:dyDescent="0.2">
      <c r="A367" s="7">
        <v>138707</v>
      </c>
      <c r="B367" s="3" t="s">
        <v>156</v>
      </c>
      <c r="C367" s="29">
        <f>ROUND(Balances[[#This Row],[Total]]*40%,0)</f>
        <v>0</v>
      </c>
      <c r="D367" s="29">
        <f>ROUND(Balances[[#This Row],[Total]]*20%,0)</f>
        <v>0</v>
      </c>
      <c r="E367" s="29">
        <f>ROUND(Balances[[#This Row],[Total]]*40%,0)</f>
        <v>0</v>
      </c>
      <c r="F367" s="18">
        <f>SUM(Acueducto[[#This Row],[Acueducto]:[Aseo]])</f>
        <v>0</v>
      </c>
    </row>
    <row r="368" spans="1:6" ht="15" x14ac:dyDescent="0.2">
      <c r="A368" s="7">
        <v>138708</v>
      </c>
      <c r="B368" s="3" t="s">
        <v>157</v>
      </c>
      <c r="C368" s="29">
        <f>ROUND(Balances[[#This Row],[Total]]*40%,0)</f>
        <v>0</v>
      </c>
      <c r="D368" s="29">
        <f>ROUND(Balances[[#This Row],[Total]]*20%,0)</f>
        <v>0</v>
      </c>
      <c r="E368" s="29">
        <f>ROUND(Balances[[#This Row],[Total]]*40%,0)</f>
        <v>0</v>
      </c>
      <c r="F368" s="18">
        <f>SUM(Acueducto[[#This Row],[Acueducto]:[Aseo]])</f>
        <v>0</v>
      </c>
    </row>
    <row r="369" spans="1:6" ht="15" x14ac:dyDescent="0.2">
      <c r="A369" s="7">
        <v>138709</v>
      </c>
      <c r="B369" s="3" t="s">
        <v>262</v>
      </c>
      <c r="C369" s="29">
        <f>ROUND(Balances[[#This Row],[Total]]*40%,0)</f>
        <v>0</v>
      </c>
      <c r="D369" s="29">
        <f>ROUND(Balances[[#This Row],[Total]]*20%,0)</f>
        <v>0</v>
      </c>
      <c r="E369" s="29">
        <f>ROUND(Balances[[#This Row],[Total]]*40%,0)</f>
        <v>0</v>
      </c>
      <c r="F369" s="18">
        <f>SUM(Acueducto[[#This Row],[Acueducto]:[Aseo]])</f>
        <v>0</v>
      </c>
    </row>
    <row r="370" spans="1:6" ht="15" x14ac:dyDescent="0.2">
      <c r="A370" s="7">
        <v>138790</v>
      </c>
      <c r="B370" s="3" t="s">
        <v>269</v>
      </c>
      <c r="C370" s="29">
        <f>ROUND(Balances[[#This Row],[Total]]*40%,0)</f>
        <v>0</v>
      </c>
      <c r="D370" s="29">
        <f>ROUND(Balances[[#This Row],[Total]]*20%,0)</f>
        <v>0</v>
      </c>
      <c r="E370" s="29">
        <f>ROUND(Balances[[#This Row],[Total]]*40%,0)</f>
        <v>0</v>
      </c>
      <c r="F370" s="18">
        <f>SUM(Acueducto[[#This Row],[Acueducto]:[Aseo]])</f>
        <v>0</v>
      </c>
    </row>
    <row r="371" spans="1:6" ht="15" x14ac:dyDescent="0.2">
      <c r="A371" s="6">
        <v>1388</v>
      </c>
      <c r="B371" s="2" t="s">
        <v>270</v>
      </c>
      <c r="C371" s="28">
        <f>ROUND(Balances[[#This Row],[Total]]*40%,0)</f>
        <v>0</v>
      </c>
      <c r="D371" s="28">
        <f>ROUND(Balances[[#This Row],[Total]]*20%,0)</f>
        <v>0</v>
      </c>
      <c r="E371" s="28">
        <f>ROUND(Balances[[#This Row],[Total]]*40%,0)</f>
        <v>0</v>
      </c>
      <c r="F371" s="17">
        <f>SUM(Acueducto[[#This Row],[Acueducto]:[Aseo]])</f>
        <v>0</v>
      </c>
    </row>
    <row r="372" spans="1:6" ht="15" x14ac:dyDescent="0.2">
      <c r="A372" s="7">
        <v>138801</v>
      </c>
      <c r="B372" s="3" t="s">
        <v>260</v>
      </c>
      <c r="C372" s="29">
        <f>ROUND(Balances[[#This Row],[Total]]*40%,0)</f>
        <v>0</v>
      </c>
      <c r="D372" s="29">
        <f>ROUND(Balances[[#This Row],[Total]]*20%,0)</f>
        <v>0</v>
      </c>
      <c r="E372" s="29">
        <f>ROUND(Balances[[#This Row],[Total]]*40%,0)</f>
        <v>0</v>
      </c>
      <c r="F372" s="18">
        <f>SUM(Acueducto[[#This Row],[Acueducto]:[Aseo]])</f>
        <v>0</v>
      </c>
    </row>
    <row r="373" spans="1:6" ht="15" x14ac:dyDescent="0.2">
      <c r="A373" s="7">
        <v>138802</v>
      </c>
      <c r="B373" s="3" t="s">
        <v>261</v>
      </c>
      <c r="C373" s="29">
        <f>ROUND(Balances[[#This Row],[Total]]*40%,0)</f>
        <v>0</v>
      </c>
      <c r="D373" s="29">
        <f>ROUND(Balances[[#This Row],[Total]]*20%,0)</f>
        <v>0</v>
      </c>
      <c r="E373" s="29">
        <f>ROUND(Balances[[#This Row],[Total]]*40%,0)</f>
        <v>0</v>
      </c>
      <c r="F373" s="18">
        <f>SUM(Acueducto[[#This Row],[Acueducto]:[Aseo]])</f>
        <v>0</v>
      </c>
    </row>
    <row r="374" spans="1:6" ht="15" x14ac:dyDescent="0.2">
      <c r="A374" s="7">
        <v>138803</v>
      </c>
      <c r="B374" s="3" t="s">
        <v>152</v>
      </c>
      <c r="C374" s="29">
        <f>ROUND(Balances[[#This Row],[Total]]*40%,0)</f>
        <v>0</v>
      </c>
      <c r="D374" s="29">
        <f>ROUND(Balances[[#This Row],[Total]]*20%,0)</f>
        <v>0</v>
      </c>
      <c r="E374" s="29">
        <f>ROUND(Balances[[#This Row],[Total]]*40%,0)</f>
        <v>0</v>
      </c>
      <c r="F374" s="18">
        <f>SUM(Acueducto[[#This Row],[Acueducto]:[Aseo]])</f>
        <v>0</v>
      </c>
    </row>
    <row r="375" spans="1:6" ht="15" x14ac:dyDescent="0.2">
      <c r="A375" s="7">
        <v>138804</v>
      </c>
      <c r="B375" s="3" t="s">
        <v>153</v>
      </c>
      <c r="C375" s="29">
        <f>ROUND(Balances[[#This Row],[Total]]*40%,0)</f>
        <v>0</v>
      </c>
      <c r="D375" s="29">
        <f>ROUND(Balances[[#This Row],[Total]]*20%,0)</f>
        <v>0</v>
      </c>
      <c r="E375" s="29">
        <f>ROUND(Balances[[#This Row],[Total]]*40%,0)</f>
        <v>0</v>
      </c>
      <c r="F375" s="18">
        <f>SUM(Acueducto[[#This Row],[Acueducto]:[Aseo]])</f>
        <v>0</v>
      </c>
    </row>
    <row r="376" spans="1:6" ht="15" x14ac:dyDescent="0.2">
      <c r="A376" s="7">
        <v>138805</v>
      </c>
      <c r="B376" s="3" t="s">
        <v>154</v>
      </c>
      <c r="C376" s="29">
        <f>ROUND(Balances[[#This Row],[Total]]*40%,0)</f>
        <v>0</v>
      </c>
      <c r="D376" s="29">
        <f>ROUND(Balances[[#This Row],[Total]]*20%,0)</f>
        <v>0</v>
      </c>
      <c r="E376" s="29">
        <f>ROUND(Balances[[#This Row],[Total]]*40%,0)</f>
        <v>0</v>
      </c>
      <c r="F376" s="18">
        <f>SUM(Acueducto[[#This Row],[Acueducto]:[Aseo]])</f>
        <v>0</v>
      </c>
    </row>
    <row r="377" spans="1:6" ht="15" x14ac:dyDescent="0.2">
      <c r="A377" s="7">
        <v>138806</v>
      </c>
      <c r="B377" s="3" t="s">
        <v>155</v>
      </c>
      <c r="C377" s="29">
        <f>ROUND(Balances[[#This Row],[Total]]*40%,0)</f>
        <v>0</v>
      </c>
      <c r="D377" s="29">
        <f>ROUND(Balances[[#This Row],[Total]]*20%,0)</f>
        <v>0</v>
      </c>
      <c r="E377" s="29">
        <f>ROUND(Balances[[#This Row],[Total]]*40%,0)</f>
        <v>0</v>
      </c>
      <c r="F377" s="18">
        <f>SUM(Acueducto[[#This Row],[Acueducto]:[Aseo]])</f>
        <v>0</v>
      </c>
    </row>
    <row r="378" spans="1:6" ht="15" x14ac:dyDescent="0.2">
      <c r="A378" s="7">
        <v>138807</v>
      </c>
      <c r="B378" s="3" t="s">
        <v>156</v>
      </c>
      <c r="C378" s="29">
        <f>ROUND(Balances[[#This Row],[Total]]*40%,0)</f>
        <v>0</v>
      </c>
      <c r="D378" s="29">
        <f>ROUND(Balances[[#This Row],[Total]]*20%,0)</f>
        <v>0</v>
      </c>
      <c r="E378" s="29">
        <f>ROUND(Balances[[#This Row],[Total]]*40%,0)</f>
        <v>0</v>
      </c>
      <c r="F378" s="18">
        <f>SUM(Acueducto[[#This Row],[Acueducto]:[Aseo]])</f>
        <v>0</v>
      </c>
    </row>
    <row r="379" spans="1:6" ht="15" x14ac:dyDescent="0.2">
      <c r="A379" s="7">
        <v>138808</v>
      </c>
      <c r="B379" s="3" t="s">
        <v>157</v>
      </c>
      <c r="C379" s="29">
        <f>ROUND(Balances[[#This Row],[Total]]*40%,0)</f>
        <v>0</v>
      </c>
      <c r="D379" s="29">
        <f>ROUND(Balances[[#This Row],[Total]]*20%,0)</f>
        <v>0</v>
      </c>
      <c r="E379" s="29">
        <f>ROUND(Balances[[#This Row],[Total]]*40%,0)</f>
        <v>0</v>
      </c>
      <c r="F379" s="18">
        <f>SUM(Acueducto[[#This Row],[Acueducto]:[Aseo]])</f>
        <v>0</v>
      </c>
    </row>
    <row r="380" spans="1:6" ht="15" x14ac:dyDescent="0.2">
      <c r="A380" s="7">
        <v>138809</v>
      </c>
      <c r="B380" s="3" t="s">
        <v>262</v>
      </c>
      <c r="C380" s="29">
        <f>ROUND(Balances[[#This Row],[Total]]*40%,0)</f>
        <v>0</v>
      </c>
      <c r="D380" s="29">
        <f>ROUND(Balances[[#This Row],[Total]]*20%,0)</f>
        <v>0</v>
      </c>
      <c r="E380" s="29">
        <f>ROUND(Balances[[#This Row],[Total]]*40%,0)</f>
        <v>0</v>
      </c>
      <c r="F380" s="18">
        <f>SUM(Acueducto[[#This Row],[Acueducto]:[Aseo]])</f>
        <v>0</v>
      </c>
    </row>
    <row r="381" spans="1:6" ht="15" x14ac:dyDescent="0.2">
      <c r="A381" s="7">
        <v>138890</v>
      </c>
      <c r="B381" s="3" t="s">
        <v>269</v>
      </c>
      <c r="C381" s="29">
        <f>ROUND(Balances[[#This Row],[Total]]*40%,0)</f>
        <v>0</v>
      </c>
      <c r="D381" s="29">
        <f>ROUND(Balances[[#This Row],[Total]]*20%,0)</f>
        <v>0</v>
      </c>
      <c r="E381" s="29">
        <f>ROUND(Balances[[#This Row],[Total]]*40%,0)</f>
        <v>0</v>
      </c>
      <c r="F381" s="18">
        <f>SUM(Acueducto[[#This Row],[Acueducto]:[Aseo]])</f>
        <v>0</v>
      </c>
    </row>
    <row r="382" spans="1:6" ht="15" x14ac:dyDescent="0.2">
      <c r="A382" s="6">
        <v>14</v>
      </c>
      <c r="B382" s="2" t="s">
        <v>271</v>
      </c>
      <c r="C382" s="28">
        <f>ROUND(Balances[[#This Row],[Total]]*40%,0)</f>
        <v>0</v>
      </c>
      <c r="D382" s="28">
        <f>ROUND(Balances[[#This Row],[Total]]*20%,0)</f>
        <v>0</v>
      </c>
      <c r="E382" s="28">
        <f>ROUND(Balances[[#This Row],[Total]]*40%,0)</f>
        <v>0</v>
      </c>
      <c r="F382" s="17">
        <f>SUM(Acueducto[[#This Row],[Acueducto]:[Aseo]])</f>
        <v>0</v>
      </c>
    </row>
    <row r="383" spans="1:6" ht="15" x14ac:dyDescent="0.2">
      <c r="A383" s="6">
        <v>1415</v>
      </c>
      <c r="B383" s="2" t="s">
        <v>272</v>
      </c>
      <c r="C383" s="28">
        <f>ROUND(Balances[[#This Row],[Total]]*40%,0)</f>
        <v>0</v>
      </c>
      <c r="D383" s="28">
        <f>ROUND(Balances[[#This Row],[Total]]*20%,0)</f>
        <v>0</v>
      </c>
      <c r="E383" s="28">
        <f>ROUND(Balances[[#This Row],[Total]]*40%,0)</f>
        <v>0</v>
      </c>
      <c r="F383" s="17">
        <f>SUM(Acueducto[[#This Row],[Acueducto]:[Aseo]])</f>
        <v>0</v>
      </c>
    </row>
    <row r="384" spans="1:6" ht="15" x14ac:dyDescent="0.2">
      <c r="A384" s="7">
        <v>141507</v>
      </c>
      <c r="B384" s="3" t="s">
        <v>273</v>
      </c>
      <c r="C384" s="29">
        <f>ROUND(Balances[[#This Row],[Total]]*40%,0)</f>
        <v>0</v>
      </c>
      <c r="D384" s="29">
        <f>ROUND(Balances[[#This Row],[Total]]*20%,0)</f>
        <v>0</v>
      </c>
      <c r="E384" s="29">
        <f>ROUND(Balances[[#This Row],[Total]]*40%,0)</f>
        <v>0</v>
      </c>
      <c r="F384" s="18">
        <f>SUM(Acueducto[[#This Row],[Acueducto]:[Aseo]])</f>
        <v>0</v>
      </c>
    </row>
    <row r="385" spans="1:6" ht="15" x14ac:dyDescent="0.2">
      <c r="A385" s="7">
        <v>141509</v>
      </c>
      <c r="B385" s="3" t="s">
        <v>274</v>
      </c>
      <c r="C385" s="29">
        <f>ROUND(Balances[[#This Row],[Total]]*40%,0)</f>
        <v>0</v>
      </c>
      <c r="D385" s="29">
        <f>ROUND(Balances[[#This Row],[Total]]*20%,0)</f>
        <v>0</v>
      </c>
      <c r="E385" s="29">
        <f>ROUND(Balances[[#This Row],[Total]]*40%,0)</f>
        <v>0</v>
      </c>
      <c r="F385" s="18">
        <f>SUM(Acueducto[[#This Row],[Acueducto]:[Aseo]])</f>
        <v>0</v>
      </c>
    </row>
    <row r="386" spans="1:6" ht="15" x14ac:dyDescent="0.2">
      <c r="A386" s="7">
        <v>141510</v>
      </c>
      <c r="B386" s="3" t="s">
        <v>275</v>
      </c>
      <c r="C386" s="29">
        <f>ROUND(Balances[[#This Row],[Total]]*40%,0)</f>
        <v>0</v>
      </c>
      <c r="D386" s="29">
        <f>ROUND(Balances[[#This Row],[Total]]*20%,0)</f>
        <v>0</v>
      </c>
      <c r="E386" s="29">
        <f>ROUND(Balances[[#This Row],[Total]]*40%,0)</f>
        <v>0</v>
      </c>
      <c r="F386" s="18">
        <f>SUM(Acueducto[[#This Row],[Acueducto]:[Aseo]])</f>
        <v>0</v>
      </c>
    </row>
    <row r="387" spans="1:6" ht="15" x14ac:dyDescent="0.2">
      <c r="A387" s="7">
        <v>141520</v>
      </c>
      <c r="B387" s="3" t="s">
        <v>276</v>
      </c>
      <c r="C387" s="29">
        <f>ROUND(Balances[[#This Row],[Total]]*40%,0)</f>
        <v>0</v>
      </c>
      <c r="D387" s="29">
        <f>ROUND(Balances[[#This Row],[Total]]*20%,0)</f>
        <v>0</v>
      </c>
      <c r="E387" s="29">
        <f>ROUND(Balances[[#This Row],[Total]]*40%,0)</f>
        <v>0</v>
      </c>
      <c r="F387" s="18">
        <f>SUM(Acueducto[[#This Row],[Acueducto]:[Aseo]])</f>
        <v>0</v>
      </c>
    </row>
    <row r="388" spans="1:6" ht="15" x14ac:dyDescent="0.2">
      <c r="A388" s="7">
        <v>141521</v>
      </c>
      <c r="B388" s="3" t="s">
        <v>277</v>
      </c>
      <c r="C388" s="29">
        <f>ROUND(Balances[[#This Row],[Total]]*40%,0)</f>
        <v>0</v>
      </c>
      <c r="D388" s="29">
        <f>ROUND(Balances[[#This Row],[Total]]*20%,0)</f>
        <v>0</v>
      </c>
      <c r="E388" s="29">
        <f>ROUND(Balances[[#This Row],[Total]]*40%,0)</f>
        <v>0</v>
      </c>
      <c r="F388" s="18">
        <f>SUM(Acueducto[[#This Row],[Acueducto]:[Aseo]])</f>
        <v>0</v>
      </c>
    </row>
    <row r="389" spans="1:6" ht="15" x14ac:dyDescent="0.2">
      <c r="A389" s="7">
        <v>141522</v>
      </c>
      <c r="B389" s="3" t="s">
        <v>278</v>
      </c>
      <c r="C389" s="29">
        <f>ROUND(Balances[[#This Row],[Total]]*40%,0)</f>
        <v>0</v>
      </c>
      <c r="D389" s="29">
        <f>ROUND(Balances[[#This Row],[Total]]*20%,0)</f>
        <v>0</v>
      </c>
      <c r="E389" s="29">
        <f>ROUND(Balances[[#This Row],[Total]]*40%,0)</f>
        <v>0</v>
      </c>
      <c r="F389" s="18">
        <f>SUM(Acueducto[[#This Row],[Acueducto]:[Aseo]])</f>
        <v>0</v>
      </c>
    </row>
    <row r="390" spans="1:6" ht="15" x14ac:dyDescent="0.2">
      <c r="A390" s="7">
        <v>141523</v>
      </c>
      <c r="B390" s="3" t="s">
        <v>279</v>
      </c>
      <c r="C390" s="29">
        <f>ROUND(Balances[[#This Row],[Total]]*40%,0)</f>
        <v>0</v>
      </c>
      <c r="D390" s="29">
        <f>ROUND(Balances[[#This Row],[Total]]*20%,0)</f>
        <v>0</v>
      </c>
      <c r="E390" s="29">
        <f>ROUND(Balances[[#This Row],[Total]]*40%,0)</f>
        <v>0</v>
      </c>
      <c r="F390" s="18">
        <f>SUM(Acueducto[[#This Row],[Acueducto]:[Aseo]])</f>
        <v>0</v>
      </c>
    </row>
    <row r="391" spans="1:6" ht="15" x14ac:dyDescent="0.2">
      <c r="A391" s="7">
        <v>141524</v>
      </c>
      <c r="B391" s="3" t="s">
        <v>280</v>
      </c>
      <c r="C391" s="29">
        <f>ROUND(Balances[[#This Row],[Total]]*40%,0)</f>
        <v>0</v>
      </c>
      <c r="D391" s="29">
        <f>ROUND(Balances[[#This Row],[Total]]*20%,0)</f>
        <v>0</v>
      </c>
      <c r="E391" s="29">
        <f>ROUND(Balances[[#This Row],[Total]]*40%,0)</f>
        <v>0</v>
      </c>
      <c r="F391" s="18">
        <f>SUM(Acueducto[[#This Row],[Acueducto]:[Aseo]])</f>
        <v>0</v>
      </c>
    </row>
    <row r="392" spans="1:6" ht="15" x14ac:dyDescent="0.2">
      <c r="A392" s="7">
        <v>141525</v>
      </c>
      <c r="B392" s="3" t="s">
        <v>281</v>
      </c>
      <c r="C392" s="29">
        <f>ROUND(Balances[[#This Row],[Total]]*40%,0)</f>
        <v>0</v>
      </c>
      <c r="D392" s="29">
        <f>ROUND(Balances[[#This Row],[Total]]*20%,0)</f>
        <v>0</v>
      </c>
      <c r="E392" s="29">
        <f>ROUND(Balances[[#This Row],[Total]]*40%,0)</f>
        <v>0</v>
      </c>
      <c r="F392" s="18">
        <f>SUM(Acueducto[[#This Row],[Acueducto]:[Aseo]])</f>
        <v>0</v>
      </c>
    </row>
    <row r="393" spans="1:6" ht="15" x14ac:dyDescent="0.2">
      <c r="A393" s="7">
        <v>141526</v>
      </c>
      <c r="B393" s="3" t="s">
        <v>282</v>
      </c>
      <c r="C393" s="29">
        <f>ROUND(Balances[[#This Row],[Total]]*40%,0)</f>
        <v>0</v>
      </c>
      <c r="D393" s="29">
        <f>ROUND(Balances[[#This Row],[Total]]*20%,0)</f>
        <v>0</v>
      </c>
      <c r="E393" s="29">
        <f>ROUND(Balances[[#This Row],[Total]]*40%,0)</f>
        <v>0</v>
      </c>
      <c r="F393" s="18">
        <f>SUM(Acueducto[[#This Row],[Acueducto]:[Aseo]])</f>
        <v>0</v>
      </c>
    </row>
    <row r="394" spans="1:6" ht="15" x14ac:dyDescent="0.2">
      <c r="A394" s="7">
        <v>141529</v>
      </c>
      <c r="B394" s="3" t="s">
        <v>283</v>
      </c>
      <c r="C394" s="29">
        <f>ROUND(Balances[[#This Row],[Total]]*40%,0)</f>
        <v>0</v>
      </c>
      <c r="D394" s="29">
        <f>ROUND(Balances[[#This Row],[Total]]*20%,0)</f>
        <v>0</v>
      </c>
      <c r="E394" s="29">
        <f>ROUND(Balances[[#This Row],[Total]]*40%,0)</f>
        <v>0</v>
      </c>
      <c r="F394" s="18">
        <f>SUM(Acueducto[[#This Row],[Acueducto]:[Aseo]])</f>
        <v>0</v>
      </c>
    </row>
    <row r="395" spans="1:6" ht="15" x14ac:dyDescent="0.2">
      <c r="A395" s="7">
        <v>141530</v>
      </c>
      <c r="B395" s="3" t="s">
        <v>284</v>
      </c>
      <c r="C395" s="29">
        <f>ROUND(Balances[[#This Row],[Total]]*40%,0)</f>
        <v>0</v>
      </c>
      <c r="D395" s="29">
        <f>ROUND(Balances[[#This Row],[Total]]*20%,0)</f>
        <v>0</v>
      </c>
      <c r="E395" s="29">
        <f>ROUND(Balances[[#This Row],[Total]]*40%,0)</f>
        <v>0</v>
      </c>
      <c r="F395" s="18">
        <f>SUM(Acueducto[[#This Row],[Acueducto]:[Aseo]])</f>
        <v>0</v>
      </c>
    </row>
    <row r="396" spans="1:6" ht="15" x14ac:dyDescent="0.2">
      <c r="A396" s="7">
        <v>141590</v>
      </c>
      <c r="B396" s="3" t="s">
        <v>285</v>
      </c>
      <c r="C396" s="29">
        <f>ROUND(Balances[[#This Row],[Total]]*40%,0)</f>
        <v>0</v>
      </c>
      <c r="D396" s="29">
        <f>ROUND(Balances[[#This Row],[Total]]*20%,0)</f>
        <v>0</v>
      </c>
      <c r="E396" s="29">
        <f>ROUND(Balances[[#This Row],[Total]]*40%,0)</f>
        <v>0</v>
      </c>
      <c r="F396" s="18">
        <f>SUM(Acueducto[[#This Row],[Acueducto]:[Aseo]])</f>
        <v>0</v>
      </c>
    </row>
    <row r="397" spans="1:6" ht="15" x14ac:dyDescent="0.2">
      <c r="A397" s="6">
        <v>1427</v>
      </c>
      <c r="B397" s="2" t="s">
        <v>286</v>
      </c>
      <c r="C397" s="28">
        <f>ROUND(Balances[[#This Row],[Total]]*40%,0)</f>
        <v>0</v>
      </c>
      <c r="D397" s="28">
        <f>ROUND(Balances[[#This Row],[Total]]*20%,0)</f>
        <v>0</v>
      </c>
      <c r="E397" s="28">
        <f>ROUND(Balances[[#This Row],[Total]]*40%,0)</f>
        <v>0</v>
      </c>
      <c r="F397" s="17">
        <f>SUM(Acueducto[[#This Row],[Acueducto]:[Aseo]])</f>
        <v>0</v>
      </c>
    </row>
    <row r="398" spans="1:6" ht="15" x14ac:dyDescent="0.2">
      <c r="A398" s="7">
        <v>142707</v>
      </c>
      <c r="B398" s="3" t="s">
        <v>287</v>
      </c>
      <c r="C398" s="29">
        <f>ROUND(Balances[[#This Row],[Total]]*40%,0)</f>
        <v>0</v>
      </c>
      <c r="D398" s="29">
        <f>ROUND(Balances[[#This Row],[Total]]*20%,0)</f>
        <v>0</v>
      </c>
      <c r="E398" s="29">
        <f>ROUND(Balances[[#This Row],[Total]]*40%,0)</f>
        <v>0</v>
      </c>
      <c r="F398" s="18">
        <f>SUM(Acueducto[[#This Row],[Acueducto]:[Aseo]])</f>
        <v>0</v>
      </c>
    </row>
    <row r="399" spans="1:6" ht="15" x14ac:dyDescent="0.2">
      <c r="A399" s="6">
        <v>1477</v>
      </c>
      <c r="B399" s="2" t="s">
        <v>288</v>
      </c>
      <c r="C399" s="28">
        <f>ROUND(Balances[[#This Row],[Total]]*40%,0)</f>
        <v>0</v>
      </c>
      <c r="D399" s="28">
        <f>ROUND(Balances[[#This Row],[Total]]*20%,0)</f>
        <v>0</v>
      </c>
      <c r="E399" s="28">
        <f>ROUND(Balances[[#This Row],[Total]]*40%,0)</f>
        <v>0</v>
      </c>
      <c r="F399" s="17">
        <f>SUM(Acueducto[[#This Row],[Acueducto]:[Aseo]])</f>
        <v>0</v>
      </c>
    </row>
    <row r="400" spans="1:6" ht="15" x14ac:dyDescent="0.2">
      <c r="A400" s="7">
        <v>147701</v>
      </c>
      <c r="B400" s="3" t="s">
        <v>289</v>
      </c>
      <c r="C400" s="29">
        <f>ROUND(Balances[[#This Row],[Total]]*40%,0)</f>
        <v>0</v>
      </c>
      <c r="D400" s="29">
        <f>ROUND(Balances[[#This Row],[Total]]*20%,0)</f>
        <v>0</v>
      </c>
      <c r="E400" s="29">
        <f>ROUND(Balances[[#This Row],[Total]]*40%,0)</f>
        <v>0</v>
      </c>
      <c r="F400" s="18">
        <f>SUM(Acueducto[[#This Row],[Acueducto]:[Aseo]])</f>
        <v>0</v>
      </c>
    </row>
    <row r="401" spans="1:6" ht="15" x14ac:dyDescent="0.2">
      <c r="A401" s="6">
        <v>1480</v>
      </c>
      <c r="B401" s="2" t="s">
        <v>290</v>
      </c>
      <c r="C401" s="28">
        <f>ROUND(Balances[[#This Row],[Total]]*40%,0)</f>
        <v>0</v>
      </c>
      <c r="D401" s="28">
        <f>ROUND(Balances[[#This Row],[Total]]*20%,0)</f>
        <v>0</v>
      </c>
      <c r="E401" s="28">
        <f>ROUND(Balances[[#This Row],[Total]]*40%,0)</f>
        <v>0</v>
      </c>
      <c r="F401" s="17">
        <f>SUM(Acueducto[[#This Row],[Acueducto]:[Aseo]])</f>
        <v>0</v>
      </c>
    </row>
    <row r="402" spans="1:6" ht="15" x14ac:dyDescent="0.2">
      <c r="A402" s="7">
        <v>148003</v>
      </c>
      <c r="B402" s="3" t="s">
        <v>289</v>
      </c>
      <c r="C402" s="29">
        <f>ROUND(Balances[[#This Row],[Total]]*40%,0)</f>
        <v>0</v>
      </c>
      <c r="D402" s="29">
        <f>ROUND(Balances[[#This Row],[Total]]*20%,0)</f>
        <v>0</v>
      </c>
      <c r="E402" s="29">
        <f>ROUND(Balances[[#This Row],[Total]]*40%,0)</f>
        <v>0</v>
      </c>
      <c r="F402" s="18">
        <f>SUM(Acueducto[[#This Row],[Acueducto]:[Aseo]])</f>
        <v>0</v>
      </c>
    </row>
    <row r="403" spans="1:6" ht="15" x14ac:dyDescent="0.2">
      <c r="A403" s="6">
        <v>15</v>
      </c>
      <c r="B403" s="2" t="s">
        <v>291</v>
      </c>
      <c r="C403" s="28">
        <f>ROUND(Balances[[#This Row],[Total]]*40%,0)</f>
        <v>0</v>
      </c>
      <c r="D403" s="28">
        <f>ROUND(Balances[[#This Row],[Total]]*20%,0)</f>
        <v>0</v>
      </c>
      <c r="E403" s="28">
        <f>ROUND(Balances[[#This Row],[Total]]*40%,0)</f>
        <v>0</v>
      </c>
      <c r="F403" s="17">
        <f>SUM(Acueducto[[#This Row],[Acueducto]:[Aseo]])</f>
        <v>0</v>
      </c>
    </row>
    <row r="404" spans="1:6" ht="15" x14ac:dyDescent="0.2">
      <c r="A404" s="6">
        <v>1505</v>
      </c>
      <c r="B404" s="2" t="s">
        <v>292</v>
      </c>
      <c r="C404" s="28">
        <f>ROUND(Balances[[#This Row],[Total]]*40%,0)</f>
        <v>0</v>
      </c>
      <c r="D404" s="28">
        <f>ROUND(Balances[[#This Row],[Total]]*20%,0)</f>
        <v>0</v>
      </c>
      <c r="E404" s="28">
        <f>ROUND(Balances[[#This Row],[Total]]*40%,0)</f>
        <v>0</v>
      </c>
      <c r="F404" s="17">
        <f>SUM(Acueducto[[#This Row],[Acueducto]:[Aseo]])</f>
        <v>0</v>
      </c>
    </row>
    <row r="405" spans="1:6" ht="15" x14ac:dyDescent="0.2">
      <c r="A405" s="7">
        <v>150502</v>
      </c>
      <c r="B405" s="3" t="s">
        <v>120</v>
      </c>
      <c r="C405" s="29">
        <f>ROUND(Balances[[#This Row],[Total]]*40%,0)</f>
        <v>0</v>
      </c>
      <c r="D405" s="29">
        <f>ROUND(Balances[[#This Row],[Total]]*20%,0)</f>
        <v>0</v>
      </c>
      <c r="E405" s="29">
        <f>ROUND(Balances[[#This Row],[Total]]*40%,0)</f>
        <v>0</v>
      </c>
      <c r="F405" s="18">
        <f>SUM(Acueducto[[#This Row],[Acueducto]:[Aseo]])</f>
        <v>0</v>
      </c>
    </row>
    <row r="406" spans="1:6" ht="15" x14ac:dyDescent="0.2">
      <c r="A406" s="7">
        <v>150506</v>
      </c>
      <c r="B406" s="3" t="s">
        <v>293</v>
      </c>
      <c r="C406" s="29">
        <f>ROUND(Balances[[#This Row],[Total]]*40%,0)</f>
        <v>0</v>
      </c>
      <c r="D406" s="29">
        <f>ROUND(Balances[[#This Row],[Total]]*20%,0)</f>
        <v>0</v>
      </c>
      <c r="E406" s="29">
        <f>ROUND(Balances[[#This Row],[Total]]*40%,0)</f>
        <v>0</v>
      </c>
      <c r="F406" s="18">
        <f>SUM(Acueducto[[#This Row],[Acueducto]:[Aseo]])</f>
        <v>0</v>
      </c>
    </row>
    <row r="407" spans="1:6" ht="15" x14ac:dyDescent="0.2">
      <c r="A407" s="7">
        <v>150507</v>
      </c>
      <c r="B407" s="3" t="s">
        <v>294</v>
      </c>
      <c r="C407" s="29">
        <f>ROUND(Balances[[#This Row],[Total]]*40%,0)</f>
        <v>0</v>
      </c>
      <c r="D407" s="29">
        <f>ROUND(Balances[[#This Row],[Total]]*20%,0)</f>
        <v>0</v>
      </c>
      <c r="E407" s="29">
        <f>ROUND(Balances[[#This Row],[Total]]*40%,0)</f>
        <v>0</v>
      </c>
      <c r="F407" s="18">
        <f>SUM(Acueducto[[#This Row],[Acueducto]:[Aseo]])</f>
        <v>0</v>
      </c>
    </row>
    <row r="408" spans="1:6" ht="15" x14ac:dyDescent="0.2">
      <c r="A408" s="7">
        <v>150511</v>
      </c>
      <c r="B408" s="3" t="s">
        <v>295</v>
      </c>
      <c r="C408" s="29">
        <f>ROUND(Balances[[#This Row],[Total]]*40%,0)</f>
        <v>0</v>
      </c>
      <c r="D408" s="29">
        <f>ROUND(Balances[[#This Row],[Total]]*20%,0)</f>
        <v>0</v>
      </c>
      <c r="E408" s="29">
        <f>ROUND(Balances[[#This Row],[Total]]*40%,0)</f>
        <v>0</v>
      </c>
      <c r="F408" s="18">
        <f>SUM(Acueducto[[#This Row],[Acueducto]:[Aseo]])</f>
        <v>0</v>
      </c>
    </row>
    <row r="409" spans="1:6" ht="15" x14ac:dyDescent="0.2">
      <c r="A409" s="7">
        <v>150517</v>
      </c>
      <c r="B409" s="3" t="s">
        <v>296</v>
      </c>
      <c r="C409" s="29">
        <f>ROUND(Balances[[#This Row],[Total]]*40%,0)</f>
        <v>0</v>
      </c>
      <c r="D409" s="29">
        <f>ROUND(Balances[[#This Row],[Total]]*20%,0)</f>
        <v>0</v>
      </c>
      <c r="E409" s="29">
        <f>ROUND(Balances[[#This Row],[Total]]*40%,0)</f>
        <v>0</v>
      </c>
      <c r="F409" s="18">
        <f>SUM(Acueducto[[#This Row],[Acueducto]:[Aseo]])</f>
        <v>0</v>
      </c>
    </row>
    <row r="410" spans="1:6" ht="15" x14ac:dyDescent="0.2">
      <c r="A410" s="7">
        <v>150518</v>
      </c>
      <c r="B410" s="3" t="s">
        <v>297</v>
      </c>
      <c r="C410" s="29">
        <f>ROUND(Balances[[#This Row],[Total]]*40%,0)</f>
        <v>0</v>
      </c>
      <c r="D410" s="29">
        <f>ROUND(Balances[[#This Row],[Total]]*20%,0)</f>
        <v>0</v>
      </c>
      <c r="E410" s="29">
        <f>ROUND(Balances[[#This Row],[Total]]*40%,0)</f>
        <v>0</v>
      </c>
      <c r="F410" s="18">
        <f>SUM(Acueducto[[#This Row],[Acueducto]:[Aseo]])</f>
        <v>0</v>
      </c>
    </row>
    <row r="411" spans="1:6" ht="15" x14ac:dyDescent="0.2">
      <c r="A411" s="7">
        <v>150519</v>
      </c>
      <c r="B411" s="3" t="s">
        <v>298</v>
      </c>
      <c r="C411" s="29">
        <f>ROUND(Balances[[#This Row],[Total]]*40%,0)</f>
        <v>0</v>
      </c>
      <c r="D411" s="29">
        <f>ROUND(Balances[[#This Row],[Total]]*20%,0)</f>
        <v>0</v>
      </c>
      <c r="E411" s="29">
        <f>ROUND(Balances[[#This Row],[Total]]*40%,0)</f>
        <v>0</v>
      </c>
      <c r="F411" s="18">
        <f>SUM(Acueducto[[#This Row],[Acueducto]:[Aseo]])</f>
        <v>0</v>
      </c>
    </row>
    <row r="412" spans="1:6" ht="15" x14ac:dyDescent="0.2">
      <c r="A412" s="7">
        <v>150520</v>
      </c>
      <c r="B412" s="3" t="s">
        <v>299</v>
      </c>
      <c r="C412" s="29">
        <f>ROUND(Balances[[#This Row],[Total]]*40%,0)</f>
        <v>0</v>
      </c>
      <c r="D412" s="29">
        <f>ROUND(Balances[[#This Row],[Total]]*20%,0)</f>
        <v>0</v>
      </c>
      <c r="E412" s="29">
        <f>ROUND(Balances[[#This Row],[Total]]*40%,0)</f>
        <v>0</v>
      </c>
      <c r="F412" s="18">
        <f>SUM(Acueducto[[#This Row],[Acueducto]:[Aseo]])</f>
        <v>0</v>
      </c>
    </row>
    <row r="413" spans="1:6" ht="15" x14ac:dyDescent="0.2">
      <c r="A413" s="7">
        <v>150521</v>
      </c>
      <c r="B413" s="3" t="s">
        <v>300</v>
      </c>
      <c r="C413" s="29">
        <f>ROUND(Balances[[#This Row],[Total]]*40%,0)</f>
        <v>0</v>
      </c>
      <c r="D413" s="29">
        <f>ROUND(Balances[[#This Row],[Total]]*20%,0)</f>
        <v>0</v>
      </c>
      <c r="E413" s="29">
        <f>ROUND(Balances[[#This Row],[Total]]*40%,0)</f>
        <v>0</v>
      </c>
      <c r="F413" s="18">
        <f>SUM(Acueducto[[#This Row],[Acueducto]:[Aseo]])</f>
        <v>0</v>
      </c>
    </row>
    <row r="414" spans="1:6" ht="15" x14ac:dyDescent="0.2">
      <c r="A414" s="7">
        <v>150535</v>
      </c>
      <c r="B414" s="3" t="s">
        <v>301</v>
      </c>
      <c r="C414" s="29">
        <f>ROUND(Balances[[#This Row],[Total]]*40%,0)</f>
        <v>0</v>
      </c>
      <c r="D414" s="29">
        <f>ROUND(Balances[[#This Row],[Total]]*20%,0)</f>
        <v>0</v>
      </c>
      <c r="E414" s="29">
        <f>ROUND(Balances[[#This Row],[Total]]*40%,0)</f>
        <v>0</v>
      </c>
      <c r="F414" s="18">
        <f>SUM(Acueducto[[#This Row],[Acueducto]:[Aseo]])</f>
        <v>0</v>
      </c>
    </row>
    <row r="415" spans="1:6" ht="15" x14ac:dyDescent="0.2">
      <c r="A415" s="7">
        <v>150536</v>
      </c>
      <c r="B415" s="3" t="s">
        <v>302</v>
      </c>
      <c r="C415" s="29">
        <f>ROUND(Balances[[#This Row],[Total]]*40%,0)</f>
        <v>0</v>
      </c>
      <c r="D415" s="29">
        <f>ROUND(Balances[[#This Row],[Total]]*20%,0)</f>
        <v>0</v>
      </c>
      <c r="E415" s="29">
        <f>ROUND(Balances[[#This Row],[Total]]*40%,0)</f>
        <v>0</v>
      </c>
      <c r="F415" s="18">
        <f>SUM(Acueducto[[#This Row],[Acueducto]:[Aseo]])</f>
        <v>0</v>
      </c>
    </row>
    <row r="416" spans="1:6" ht="15" x14ac:dyDescent="0.2">
      <c r="A416" s="7">
        <v>150541</v>
      </c>
      <c r="B416" s="3" t="s">
        <v>303</v>
      </c>
      <c r="C416" s="29">
        <f>ROUND(Balances[[#This Row],[Total]]*40%,0)</f>
        <v>0</v>
      </c>
      <c r="D416" s="29">
        <f>ROUND(Balances[[#This Row],[Total]]*20%,0)</f>
        <v>0</v>
      </c>
      <c r="E416" s="29">
        <f>ROUND(Balances[[#This Row],[Total]]*40%,0)</f>
        <v>0</v>
      </c>
      <c r="F416" s="18">
        <f>SUM(Acueducto[[#This Row],[Acueducto]:[Aseo]])</f>
        <v>0</v>
      </c>
    </row>
    <row r="417" spans="1:6" ht="15" x14ac:dyDescent="0.2">
      <c r="A417" s="7">
        <v>150543</v>
      </c>
      <c r="B417" s="3" t="s">
        <v>116</v>
      </c>
      <c r="C417" s="29">
        <f>ROUND(Balances[[#This Row],[Total]]*40%,0)</f>
        <v>0</v>
      </c>
      <c r="D417" s="29">
        <f>ROUND(Balances[[#This Row],[Total]]*20%,0)</f>
        <v>0</v>
      </c>
      <c r="E417" s="29">
        <f>ROUND(Balances[[#This Row],[Total]]*40%,0)</f>
        <v>0</v>
      </c>
      <c r="F417" s="18">
        <f>SUM(Acueducto[[#This Row],[Acueducto]:[Aseo]])</f>
        <v>0</v>
      </c>
    </row>
    <row r="418" spans="1:6" ht="15" x14ac:dyDescent="0.2">
      <c r="A418" s="7">
        <v>150590</v>
      </c>
      <c r="B418" s="3" t="s">
        <v>304</v>
      </c>
      <c r="C418" s="29">
        <f>ROUND(Balances[[#This Row],[Total]]*40%,0)</f>
        <v>0</v>
      </c>
      <c r="D418" s="29">
        <f>ROUND(Balances[[#This Row],[Total]]*20%,0)</f>
        <v>0</v>
      </c>
      <c r="E418" s="29">
        <f>ROUND(Balances[[#This Row],[Total]]*40%,0)</f>
        <v>0</v>
      </c>
      <c r="F418" s="18">
        <f>SUM(Acueducto[[#This Row],[Acueducto]:[Aseo]])</f>
        <v>0</v>
      </c>
    </row>
    <row r="419" spans="1:6" ht="15" x14ac:dyDescent="0.2">
      <c r="A419" s="6">
        <v>1510</v>
      </c>
      <c r="B419" s="2" t="s">
        <v>305</v>
      </c>
      <c r="C419" s="28">
        <f>ROUND(Balances[[#This Row],[Total]]*40%,0)</f>
        <v>0</v>
      </c>
      <c r="D419" s="28">
        <f>ROUND(Balances[[#This Row],[Total]]*20%,0)</f>
        <v>0</v>
      </c>
      <c r="E419" s="28">
        <f>ROUND(Balances[[#This Row],[Total]]*40%,0)</f>
        <v>0</v>
      </c>
      <c r="F419" s="17">
        <f>SUM(Acueducto[[#This Row],[Acueducto]:[Aseo]])</f>
        <v>0</v>
      </c>
    </row>
    <row r="420" spans="1:6" ht="15" x14ac:dyDescent="0.2">
      <c r="A420" s="7">
        <v>151002</v>
      </c>
      <c r="B420" s="3" t="s">
        <v>306</v>
      </c>
      <c r="C420" s="29">
        <f>ROUND(Balances[[#This Row],[Total]]*40%,0)</f>
        <v>0</v>
      </c>
      <c r="D420" s="29">
        <f>ROUND(Balances[[#This Row],[Total]]*20%,0)</f>
        <v>0</v>
      </c>
      <c r="E420" s="29">
        <f>ROUND(Balances[[#This Row],[Total]]*40%,0)</f>
        <v>0</v>
      </c>
      <c r="F420" s="18">
        <f>SUM(Acueducto[[#This Row],[Acueducto]:[Aseo]])</f>
        <v>0</v>
      </c>
    </row>
    <row r="421" spans="1:6" ht="15" x14ac:dyDescent="0.2">
      <c r="A421" s="7">
        <v>151003</v>
      </c>
      <c r="B421" s="3" t="s">
        <v>120</v>
      </c>
      <c r="C421" s="29">
        <f>ROUND(Balances[[#This Row],[Total]]*40%,0)</f>
        <v>0</v>
      </c>
      <c r="D421" s="29">
        <f>ROUND(Balances[[#This Row],[Total]]*20%,0)</f>
        <v>0</v>
      </c>
      <c r="E421" s="29">
        <f>ROUND(Balances[[#This Row],[Total]]*40%,0)</f>
        <v>0</v>
      </c>
      <c r="F421" s="18">
        <f>SUM(Acueducto[[#This Row],[Acueducto]:[Aseo]])</f>
        <v>0</v>
      </c>
    </row>
    <row r="422" spans="1:6" ht="15" x14ac:dyDescent="0.2">
      <c r="A422" s="7">
        <v>151004</v>
      </c>
      <c r="B422" s="3" t="s">
        <v>293</v>
      </c>
      <c r="C422" s="29">
        <f>ROUND(Balances[[#This Row],[Total]]*40%,0)</f>
        <v>0</v>
      </c>
      <c r="D422" s="29">
        <f>ROUND(Balances[[#This Row],[Total]]*20%,0)</f>
        <v>0</v>
      </c>
      <c r="E422" s="29">
        <f>ROUND(Balances[[#This Row],[Total]]*40%,0)</f>
        <v>0</v>
      </c>
      <c r="F422" s="18">
        <f>SUM(Acueducto[[#This Row],[Acueducto]:[Aseo]])</f>
        <v>0</v>
      </c>
    </row>
    <row r="423" spans="1:6" ht="15" x14ac:dyDescent="0.2">
      <c r="A423" s="7">
        <v>151009</v>
      </c>
      <c r="B423" s="3" t="s">
        <v>295</v>
      </c>
      <c r="C423" s="29">
        <f>ROUND(Balances[[#This Row],[Total]]*40%,0)</f>
        <v>0</v>
      </c>
      <c r="D423" s="29">
        <f>ROUND(Balances[[#This Row],[Total]]*20%,0)</f>
        <v>0</v>
      </c>
      <c r="E423" s="29">
        <f>ROUND(Balances[[#This Row],[Total]]*40%,0)</f>
        <v>0</v>
      </c>
      <c r="F423" s="18">
        <f>SUM(Acueducto[[#This Row],[Acueducto]:[Aseo]])</f>
        <v>0</v>
      </c>
    </row>
    <row r="424" spans="1:6" ht="15" x14ac:dyDescent="0.2">
      <c r="A424" s="7">
        <v>151012</v>
      </c>
      <c r="B424" s="3" t="s">
        <v>307</v>
      </c>
      <c r="C424" s="29">
        <f>ROUND(Balances[[#This Row],[Total]]*40%,0)</f>
        <v>0</v>
      </c>
      <c r="D424" s="29">
        <f>ROUND(Balances[[#This Row],[Total]]*20%,0)</f>
        <v>0</v>
      </c>
      <c r="E424" s="29">
        <f>ROUND(Balances[[#This Row],[Total]]*40%,0)</f>
        <v>0</v>
      </c>
      <c r="F424" s="18">
        <f>SUM(Acueducto[[#This Row],[Acueducto]:[Aseo]])</f>
        <v>0</v>
      </c>
    </row>
    <row r="425" spans="1:6" ht="15" x14ac:dyDescent="0.2">
      <c r="A425" s="7">
        <v>151013</v>
      </c>
      <c r="B425" s="3" t="s">
        <v>308</v>
      </c>
      <c r="C425" s="29">
        <f>ROUND(Balances[[#This Row],[Total]]*40%,0)</f>
        <v>0</v>
      </c>
      <c r="D425" s="29">
        <f>ROUND(Balances[[#This Row],[Total]]*20%,0)</f>
        <v>0</v>
      </c>
      <c r="E425" s="29">
        <f>ROUND(Balances[[#This Row],[Total]]*40%,0)</f>
        <v>0</v>
      </c>
      <c r="F425" s="18">
        <f>SUM(Acueducto[[#This Row],[Acueducto]:[Aseo]])</f>
        <v>0</v>
      </c>
    </row>
    <row r="426" spans="1:6" ht="15" x14ac:dyDescent="0.2">
      <c r="A426" s="7">
        <v>151014</v>
      </c>
      <c r="B426" s="3" t="s">
        <v>309</v>
      </c>
      <c r="C426" s="29">
        <f>ROUND(Balances[[#This Row],[Total]]*40%,0)</f>
        <v>0</v>
      </c>
      <c r="D426" s="29">
        <f>ROUND(Balances[[#This Row],[Total]]*20%,0)</f>
        <v>0</v>
      </c>
      <c r="E426" s="29">
        <f>ROUND(Balances[[#This Row],[Total]]*40%,0)</f>
        <v>0</v>
      </c>
      <c r="F426" s="18">
        <f>SUM(Acueducto[[#This Row],[Acueducto]:[Aseo]])</f>
        <v>0</v>
      </c>
    </row>
    <row r="427" spans="1:6" ht="15" x14ac:dyDescent="0.2">
      <c r="A427" s="7">
        <v>151015</v>
      </c>
      <c r="B427" s="3" t="s">
        <v>294</v>
      </c>
      <c r="C427" s="29">
        <f>ROUND(Balances[[#This Row],[Total]]*40%,0)</f>
        <v>0</v>
      </c>
      <c r="D427" s="29">
        <f>ROUND(Balances[[#This Row],[Total]]*20%,0)</f>
        <v>0</v>
      </c>
      <c r="E427" s="29">
        <f>ROUND(Balances[[#This Row],[Total]]*40%,0)</f>
        <v>0</v>
      </c>
      <c r="F427" s="18">
        <f>SUM(Acueducto[[#This Row],[Acueducto]:[Aseo]])</f>
        <v>0</v>
      </c>
    </row>
    <row r="428" spans="1:6" ht="15" x14ac:dyDescent="0.2">
      <c r="A428" s="7">
        <v>151022</v>
      </c>
      <c r="B428" s="3" t="s">
        <v>297</v>
      </c>
      <c r="C428" s="29">
        <f>ROUND(Balances[[#This Row],[Total]]*40%,0)</f>
        <v>0</v>
      </c>
      <c r="D428" s="29">
        <f>ROUND(Balances[[#This Row],[Total]]*20%,0)</f>
        <v>0</v>
      </c>
      <c r="E428" s="29">
        <f>ROUND(Balances[[#This Row],[Total]]*40%,0)</f>
        <v>0</v>
      </c>
      <c r="F428" s="18">
        <f>SUM(Acueducto[[#This Row],[Acueducto]:[Aseo]])</f>
        <v>0</v>
      </c>
    </row>
    <row r="429" spans="1:6" ht="15" x14ac:dyDescent="0.2">
      <c r="A429" s="7">
        <v>151023</v>
      </c>
      <c r="B429" s="3" t="s">
        <v>299</v>
      </c>
      <c r="C429" s="29">
        <f>ROUND(Balances[[#This Row],[Total]]*40%,0)</f>
        <v>0</v>
      </c>
      <c r="D429" s="29">
        <f>ROUND(Balances[[#This Row],[Total]]*20%,0)</f>
        <v>0</v>
      </c>
      <c r="E429" s="29">
        <f>ROUND(Balances[[#This Row],[Total]]*40%,0)</f>
        <v>0</v>
      </c>
      <c r="F429" s="18">
        <f>SUM(Acueducto[[#This Row],[Acueducto]:[Aseo]])</f>
        <v>0</v>
      </c>
    </row>
    <row r="430" spans="1:6" ht="15" x14ac:dyDescent="0.2">
      <c r="A430" s="7">
        <v>151024</v>
      </c>
      <c r="B430" s="3" t="s">
        <v>310</v>
      </c>
      <c r="C430" s="29">
        <f>ROUND(Balances[[#This Row],[Total]]*40%,0)</f>
        <v>0</v>
      </c>
      <c r="D430" s="29">
        <f>ROUND(Balances[[#This Row],[Total]]*20%,0)</f>
        <v>0</v>
      </c>
      <c r="E430" s="29">
        <f>ROUND(Balances[[#This Row],[Total]]*40%,0)</f>
        <v>0</v>
      </c>
      <c r="F430" s="18">
        <f>SUM(Acueducto[[#This Row],[Acueducto]:[Aseo]])</f>
        <v>0</v>
      </c>
    </row>
    <row r="431" spans="1:6" ht="15" x14ac:dyDescent="0.2">
      <c r="A431" s="7">
        <v>151030</v>
      </c>
      <c r="B431" s="3" t="s">
        <v>311</v>
      </c>
      <c r="C431" s="29">
        <f>ROUND(Balances[[#This Row],[Total]]*40%,0)</f>
        <v>0</v>
      </c>
      <c r="D431" s="29">
        <f>ROUND(Balances[[#This Row],[Total]]*20%,0)</f>
        <v>0</v>
      </c>
      <c r="E431" s="29">
        <f>ROUND(Balances[[#This Row],[Total]]*40%,0)</f>
        <v>0</v>
      </c>
      <c r="F431" s="18">
        <f>SUM(Acueducto[[#This Row],[Acueducto]:[Aseo]])</f>
        <v>0</v>
      </c>
    </row>
    <row r="432" spans="1:6" ht="15" x14ac:dyDescent="0.2">
      <c r="A432" s="7">
        <v>151031</v>
      </c>
      <c r="B432" s="3" t="s">
        <v>312</v>
      </c>
      <c r="C432" s="29">
        <f>ROUND(Balances[[#This Row],[Total]]*40%,0)</f>
        <v>0</v>
      </c>
      <c r="D432" s="29">
        <f>ROUND(Balances[[#This Row],[Total]]*20%,0)</f>
        <v>0</v>
      </c>
      <c r="E432" s="29">
        <f>ROUND(Balances[[#This Row],[Total]]*40%,0)</f>
        <v>0</v>
      </c>
      <c r="F432" s="18">
        <f>SUM(Acueducto[[#This Row],[Acueducto]:[Aseo]])</f>
        <v>0</v>
      </c>
    </row>
    <row r="433" spans="1:6" ht="15" x14ac:dyDescent="0.2">
      <c r="A433" s="7">
        <v>151032</v>
      </c>
      <c r="B433" s="3" t="s">
        <v>313</v>
      </c>
      <c r="C433" s="29">
        <f>ROUND(Balances[[#This Row],[Total]]*40%,0)</f>
        <v>0</v>
      </c>
      <c r="D433" s="29">
        <f>ROUND(Balances[[#This Row],[Total]]*20%,0)</f>
        <v>0</v>
      </c>
      <c r="E433" s="29">
        <f>ROUND(Balances[[#This Row],[Total]]*40%,0)</f>
        <v>0</v>
      </c>
      <c r="F433" s="18">
        <f>SUM(Acueducto[[#This Row],[Acueducto]:[Aseo]])</f>
        <v>0</v>
      </c>
    </row>
    <row r="434" spans="1:6" ht="15" x14ac:dyDescent="0.2">
      <c r="A434" s="7">
        <v>151033</v>
      </c>
      <c r="B434" s="3" t="s">
        <v>314</v>
      </c>
      <c r="C434" s="29">
        <f>ROUND(Balances[[#This Row],[Total]]*40%,0)</f>
        <v>0</v>
      </c>
      <c r="D434" s="29">
        <f>ROUND(Balances[[#This Row],[Total]]*20%,0)</f>
        <v>0</v>
      </c>
      <c r="E434" s="29">
        <f>ROUND(Balances[[#This Row],[Total]]*40%,0)</f>
        <v>0</v>
      </c>
      <c r="F434" s="18">
        <f>SUM(Acueducto[[#This Row],[Acueducto]:[Aseo]])</f>
        <v>0</v>
      </c>
    </row>
    <row r="435" spans="1:6" ht="15" x14ac:dyDescent="0.2">
      <c r="A435" s="7">
        <v>151035</v>
      </c>
      <c r="B435" s="3" t="s">
        <v>315</v>
      </c>
      <c r="C435" s="29">
        <f>ROUND(Balances[[#This Row],[Total]]*40%,0)</f>
        <v>0</v>
      </c>
      <c r="D435" s="29">
        <f>ROUND(Balances[[#This Row],[Total]]*20%,0)</f>
        <v>0</v>
      </c>
      <c r="E435" s="29">
        <f>ROUND(Balances[[#This Row],[Total]]*40%,0)</f>
        <v>0</v>
      </c>
      <c r="F435" s="18">
        <f>SUM(Acueducto[[#This Row],[Acueducto]:[Aseo]])</f>
        <v>0</v>
      </c>
    </row>
    <row r="436" spans="1:6" ht="15" x14ac:dyDescent="0.2">
      <c r="A436" s="7">
        <v>151037</v>
      </c>
      <c r="B436" s="3" t="s">
        <v>316</v>
      </c>
      <c r="C436" s="29">
        <f>ROUND(Balances[[#This Row],[Total]]*40%,0)</f>
        <v>0</v>
      </c>
      <c r="D436" s="29">
        <f>ROUND(Balances[[#This Row],[Total]]*20%,0)</f>
        <v>0</v>
      </c>
      <c r="E436" s="29">
        <f>ROUND(Balances[[#This Row],[Total]]*40%,0)</f>
        <v>0</v>
      </c>
      <c r="F436" s="18">
        <f>SUM(Acueducto[[#This Row],[Acueducto]:[Aseo]])</f>
        <v>0</v>
      </c>
    </row>
    <row r="437" spans="1:6" ht="15" x14ac:dyDescent="0.2">
      <c r="A437" s="7">
        <v>151039</v>
      </c>
      <c r="B437" s="3" t="s">
        <v>317</v>
      </c>
      <c r="C437" s="29">
        <f>ROUND(Balances[[#This Row],[Total]]*40%,0)</f>
        <v>0</v>
      </c>
      <c r="D437" s="29">
        <f>ROUND(Balances[[#This Row],[Total]]*20%,0)</f>
        <v>0</v>
      </c>
      <c r="E437" s="29">
        <f>ROUND(Balances[[#This Row],[Total]]*40%,0)</f>
        <v>0</v>
      </c>
      <c r="F437" s="18">
        <f>SUM(Acueducto[[#This Row],[Acueducto]:[Aseo]])</f>
        <v>0</v>
      </c>
    </row>
    <row r="438" spans="1:6" ht="15" x14ac:dyDescent="0.2">
      <c r="A438" s="7">
        <v>151041</v>
      </c>
      <c r="B438" s="3" t="s">
        <v>318</v>
      </c>
      <c r="C438" s="29">
        <f>ROUND(Balances[[#This Row],[Total]]*40%,0)</f>
        <v>0</v>
      </c>
      <c r="D438" s="29">
        <f>ROUND(Balances[[#This Row],[Total]]*20%,0)</f>
        <v>0</v>
      </c>
      <c r="E438" s="29">
        <f>ROUND(Balances[[#This Row],[Total]]*40%,0)</f>
        <v>0</v>
      </c>
      <c r="F438" s="18">
        <f>SUM(Acueducto[[#This Row],[Acueducto]:[Aseo]])</f>
        <v>0</v>
      </c>
    </row>
    <row r="439" spans="1:6" ht="15" x14ac:dyDescent="0.2">
      <c r="A439" s="7">
        <v>151042</v>
      </c>
      <c r="B439" s="3" t="s">
        <v>116</v>
      </c>
      <c r="C439" s="29">
        <f>ROUND(Balances[[#This Row],[Total]]*40%,0)</f>
        <v>0</v>
      </c>
      <c r="D439" s="29">
        <f>ROUND(Balances[[#This Row],[Total]]*20%,0)</f>
        <v>0</v>
      </c>
      <c r="E439" s="29">
        <f>ROUND(Balances[[#This Row],[Total]]*40%,0)</f>
        <v>0</v>
      </c>
      <c r="F439" s="18">
        <f>SUM(Acueducto[[#This Row],[Acueducto]:[Aseo]])</f>
        <v>0</v>
      </c>
    </row>
    <row r="440" spans="1:6" ht="15" x14ac:dyDescent="0.2">
      <c r="A440" s="7">
        <v>151060</v>
      </c>
      <c r="B440" s="3" t="s">
        <v>296</v>
      </c>
      <c r="C440" s="29">
        <f>ROUND(Balances[[#This Row],[Total]]*40%,0)</f>
        <v>0</v>
      </c>
      <c r="D440" s="29">
        <f>ROUND(Balances[[#This Row],[Total]]*20%,0)</f>
        <v>0</v>
      </c>
      <c r="E440" s="29">
        <f>ROUND(Balances[[#This Row],[Total]]*40%,0)</f>
        <v>0</v>
      </c>
      <c r="F440" s="18">
        <f>SUM(Acueducto[[#This Row],[Acueducto]:[Aseo]])</f>
        <v>0</v>
      </c>
    </row>
    <row r="441" spans="1:6" ht="15" x14ac:dyDescent="0.2">
      <c r="A441" s="7">
        <v>151061</v>
      </c>
      <c r="B441" s="3" t="s">
        <v>319</v>
      </c>
      <c r="C441" s="29">
        <f>ROUND(Balances[[#This Row],[Total]]*40%,0)</f>
        <v>0</v>
      </c>
      <c r="D441" s="29">
        <f>ROUND(Balances[[#This Row],[Total]]*20%,0)</f>
        <v>0</v>
      </c>
      <c r="E441" s="29">
        <f>ROUND(Balances[[#This Row],[Total]]*40%,0)</f>
        <v>0</v>
      </c>
      <c r="F441" s="18">
        <f>SUM(Acueducto[[#This Row],[Acueducto]:[Aseo]])</f>
        <v>0</v>
      </c>
    </row>
    <row r="442" spans="1:6" ht="15" x14ac:dyDescent="0.2">
      <c r="A442" s="7">
        <v>151065</v>
      </c>
      <c r="B442" s="3" t="s">
        <v>320</v>
      </c>
      <c r="C442" s="29">
        <f>ROUND(Balances[[#This Row],[Total]]*40%,0)</f>
        <v>0</v>
      </c>
      <c r="D442" s="29">
        <f>ROUND(Balances[[#This Row],[Total]]*20%,0)</f>
        <v>0</v>
      </c>
      <c r="E442" s="29">
        <f>ROUND(Balances[[#This Row],[Total]]*40%,0)</f>
        <v>0</v>
      </c>
      <c r="F442" s="18">
        <f>SUM(Acueducto[[#This Row],[Acueducto]:[Aseo]])</f>
        <v>0</v>
      </c>
    </row>
    <row r="443" spans="1:6" ht="15" x14ac:dyDescent="0.2">
      <c r="A443" s="7">
        <v>151090</v>
      </c>
      <c r="B443" s="3" t="s">
        <v>321</v>
      </c>
      <c r="C443" s="29">
        <f>ROUND(Balances[[#This Row],[Total]]*40%,0)</f>
        <v>0</v>
      </c>
      <c r="D443" s="29">
        <f>ROUND(Balances[[#This Row],[Total]]*20%,0)</f>
        <v>0</v>
      </c>
      <c r="E443" s="29">
        <f>ROUND(Balances[[#This Row],[Total]]*40%,0)</f>
        <v>0</v>
      </c>
      <c r="F443" s="18">
        <f>SUM(Acueducto[[#This Row],[Acueducto]:[Aseo]])</f>
        <v>0</v>
      </c>
    </row>
    <row r="444" spans="1:6" ht="15" x14ac:dyDescent="0.2">
      <c r="A444" s="6">
        <v>1511</v>
      </c>
      <c r="B444" s="2" t="s">
        <v>322</v>
      </c>
      <c r="C444" s="28">
        <f>ROUND(Balances[[#This Row],[Total]]*40%,0)</f>
        <v>0</v>
      </c>
      <c r="D444" s="28">
        <f>ROUND(Balances[[#This Row],[Total]]*20%,0)</f>
        <v>0</v>
      </c>
      <c r="E444" s="28">
        <f>ROUND(Balances[[#This Row],[Total]]*40%,0)</f>
        <v>0</v>
      </c>
      <c r="F444" s="17">
        <f>SUM(Acueducto[[#This Row],[Acueducto]:[Aseo]])</f>
        <v>0</v>
      </c>
    </row>
    <row r="445" spans="1:6" ht="15" x14ac:dyDescent="0.2">
      <c r="A445" s="7">
        <v>151101</v>
      </c>
      <c r="B445" s="3" t="s">
        <v>323</v>
      </c>
      <c r="C445" s="29">
        <f>ROUND(Balances[[#This Row],[Total]]*40%,0)</f>
        <v>0</v>
      </c>
      <c r="D445" s="29">
        <f>ROUND(Balances[[#This Row],[Total]]*20%,0)</f>
        <v>0</v>
      </c>
      <c r="E445" s="29">
        <f>ROUND(Balances[[#This Row],[Total]]*40%,0)</f>
        <v>0</v>
      </c>
      <c r="F445" s="18">
        <f>SUM(Acueducto[[#This Row],[Acueducto]:[Aseo]])</f>
        <v>0</v>
      </c>
    </row>
    <row r="446" spans="1:6" ht="15" x14ac:dyDescent="0.2">
      <c r="A446" s="7">
        <v>151102</v>
      </c>
      <c r="B446" s="3" t="s">
        <v>148</v>
      </c>
      <c r="C446" s="29">
        <f>ROUND(Balances[[#This Row],[Total]]*40%,0)</f>
        <v>0</v>
      </c>
      <c r="D446" s="29">
        <f>ROUND(Balances[[#This Row],[Total]]*20%,0)</f>
        <v>0</v>
      </c>
      <c r="E446" s="29">
        <f>ROUND(Balances[[#This Row],[Total]]*40%,0)</f>
        <v>0</v>
      </c>
      <c r="F446" s="18">
        <f>SUM(Acueducto[[#This Row],[Acueducto]:[Aseo]])</f>
        <v>0</v>
      </c>
    </row>
    <row r="447" spans="1:6" ht="15" x14ac:dyDescent="0.2">
      <c r="A447" s="7">
        <v>151190</v>
      </c>
      <c r="B447" s="3" t="s">
        <v>324</v>
      </c>
      <c r="C447" s="29">
        <f>ROUND(Balances[[#This Row],[Total]]*40%,0)</f>
        <v>0</v>
      </c>
      <c r="D447" s="29">
        <f>ROUND(Balances[[#This Row],[Total]]*20%,0)</f>
        <v>0</v>
      </c>
      <c r="E447" s="29">
        <f>ROUND(Balances[[#This Row],[Total]]*40%,0)</f>
        <v>0</v>
      </c>
      <c r="F447" s="18">
        <f>SUM(Acueducto[[#This Row],[Acueducto]:[Aseo]])</f>
        <v>0</v>
      </c>
    </row>
    <row r="448" spans="1:6" ht="15" x14ac:dyDescent="0.2">
      <c r="A448" s="6">
        <v>1512</v>
      </c>
      <c r="B448" s="2" t="s">
        <v>325</v>
      </c>
      <c r="C448" s="28">
        <f>ROUND(Balances[[#This Row],[Total]]*40%,0)</f>
        <v>0</v>
      </c>
      <c r="D448" s="28">
        <f>ROUND(Balances[[#This Row],[Total]]*20%,0)</f>
        <v>0</v>
      </c>
      <c r="E448" s="28">
        <f>ROUND(Balances[[#This Row],[Total]]*40%,0)</f>
        <v>0</v>
      </c>
      <c r="F448" s="17">
        <f>SUM(Acueducto[[#This Row],[Acueducto]:[Aseo]])</f>
        <v>0</v>
      </c>
    </row>
    <row r="449" spans="1:6" ht="15" x14ac:dyDescent="0.2">
      <c r="A449" s="7">
        <v>151201</v>
      </c>
      <c r="B449" s="3" t="s">
        <v>326</v>
      </c>
      <c r="C449" s="29">
        <f>ROUND(Balances[[#This Row],[Total]]*40%,0)</f>
        <v>0</v>
      </c>
      <c r="D449" s="29">
        <f>ROUND(Balances[[#This Row],[Total]]*20%,0)</f>
        <v>0</v>
      </c>
      <c r="E449" s="29">
        <f>ROUND(Balances[[#This Row],[Total]]*40%,0)</f>
        <v>0</v>
      </c>
      <c r="F449" s="18">
        <f>SUM(Acueducto[[#This Row],[Acueducto]:[Aseo]])</f>
        <v>0</v>
      </c>
    </row>
    <row r="450" spans="1:6" ht="15" x14ac:dyDescent="0.2">
      <c r="A450" s="6">
        <v>1514</v>
      </c>
      <c r="B450" s="2" t="s">
        <v>327</v>
      </c>
      <c r="C450" s="28">
        <f>ROUND(Balances[[#This Row],[Total]]*40%,0)</f>
        <v>0</v>
      </c>
      <c r="D450" s="28">
        <f>ROUND(Balances[[#This Row],[Total]]*20%,0)</f>
        <v>0</v>
      </c>
      <c r="E450" s="28">
        <f>ROUND(Balances[[#This Row],[Total]]*40%,0)</f>
        <v>0</v>
      </c>
      <c r="F450" s="17">
        <f>SUM(Acueducto[[#This Row],[Acueducto]:[Aseo]])</f>
        <v>0</v>
      </c>
    </row>
    <row r="451" spans="1:6" ht="15" x14ac:dyDescent="0.2">
      <c r="A451" s="7">
        <v>151401</v>
      </c>
      <c r="B451" s="3" t="s">
        <v>328</v>
      </c>
      <c r="C451" s="29">
        <f>ROUND(Balances[[#This Row],[Total]]*40%,0)</f>
        <v>0</v>
      </c>
      <c r="D451" s="29">
        <f>ROUND(Balances[[#This Row],[Total]]*20%,0)</f>
        <v>0</v>
      </c>
      <c r="E451" s="29">
        <f>ROUND(Balances[[#This Row],[Total]]*40%,0)</f>
        <v>0</v>
      </c>
      <c r="F451" s="18">
        <f>SUM(Acueducto[[#This Row],[Acueducto]:[Aseo]])</f>
        <v>0</v>
      </c>
    </row>
    <row r="452" spans="1:6" ht="15" x14ac:dyDescent="0.2">
      <c r="A452" s="7">
        <v>151402</v>
      </c>
      <c r="B452" s="3" t="s">
        <v>329</v>
      </c>
      <c r="C452" s="29">
        <f>ROUND(Balances[[#This Row],[Total]]*40%,0)</f>
        <v>0</v>
      </c>
      <c r="D452" s="29">
        <f>ROUND(Balances[[#This Row],[Total]]*20%,0)</f>
        <v>0</v>
      </c>
      <c r="E452" s="29">
        <f>ROUND(Balances[[#This Row],[Total]]*40%,0)</f>
        <v>0</v>
      </c>
      <c r="F452" s="18">
        <f>SUM(Acueducto[[#This Row],[Acueducto]:[Aseo]])</f>
        <v>0</v>
      </c>
    </row>
    <row r="453" spans="1:6" ht="15" x14ac:dyDescent="0.2">
      <c r="A453" s="7">
        <v>151403</v>
      </c>
      <c r="B453" s="3" t="s">
        <v>296</v>
      </c>
      <c r="C453" s="29">
        <f>ROUND(Balances[[#This Row],[Total]]*40%,0)</f>
        <v>0</v>
      </c>
      <c r="D453" s="29">
        <f>ROUND(Balances[[#This Row],[Total]]*20%,0)</f>
        <v>0</v>
      </c>
      <c r="E453" s="29">
        <f>ROUND(Balances[[#This Row],[Total]]*40%,0)</f>
        <v>0</v>
      </c>
      <c r="F453" s="18">
        <f>SUM(Acueducto[[#This Row],[Acueducto]:[Aseo]])</f>
        <v>0</v>
      </c>
    </row>
    <row r="454" spans="1:6" ht="15" x14ac:dyDescent="0.2">
      <c r="A454" s="7">
        <v>151404</v>
      </c>
      <c r="B454" s="3" t="s">
        <v>319</v>
      </c>
      <c r="C454" s="29">
        <f>ROUND(Balances[[#This Row],[Total]]*40%,0)</f>
        <v>0</v>
      </c>
      <c r="D454" s="29">
        <f>ROUND(Balances[[#This Row],[Total]]*20%,0)</f>
        <v>0</v>
      </c>
      <c r="E454" s="29">
        <f>ROUND(Balances[[#This Row],[Total]]*40%,0)</f>
        <v>0</v>
      </c>
      <c r="F454" s="18">
        <f>SUM(Acueducto[[#This Row],[Acueducto]:[Aseo]])</f>
        <v>0</v>
      </c>
    </row>
    <row r="455" spans="1:6" ht="15" x14ac:dyDescent="0.2">
      <c r="A455" s="7">
        <v>151405</v>
      </c>
      <c r="B455" s="3" t="s">
        <v>330</v>
      </c>
      <c r="C455" s="29">
        <f>ROUND(Balances[[#This Row],[Total]]*40%,0)</f>
        <v>0</v>
      </c>
      <c r="D455" s="29">
        <f>ROUND(Balances[[#This Row],[Total]]*20%,0)</f>
        <v>0</v>
      </c>
      <c r="E455" s="29">
        <f>ROUND(Balances[[#This Row],[Total]]*40%,0)</f>
        <v>0</v>
      </c>
      <c r="F455" s="18">
        <f>SUM(Acueducto[[#This Row],[Acueducto]:[Aseo]])</f>
        <v>0</v>
      </c>
    </row>
    <row r="456" spans="1:6" ht="15" x14ac:dyDescent="0.2">
      <c r="A456" s="7">
        <v>151406</v>
      </c>
      <c r="B456" s="3" t="s">
        <v>331</v>
      </c>
      <c r="C456" s="29">
        <f>ROUND(Balances[[#This Row],[Total]]*40%,0)</f>
        <v>0</v>
      </c>
      <c r="D456" s="29">
        <f>ROUND(Balances[[#This Row],[Total]]*20%,0)</f>
        <v>0</v>
      </c>
      <c r="E456" s="29">
        <f>ROUND(Balances[[#This Row],[Total]]*40%,0)</f>
        <v>0</v>
      </c>
      <c r="F456" s="18">
        <f>SUM(Acueducto[[#This Row],[Acueducto]:[Aseo]])</f>
        <v>0</v>
      </c>
    </row>
    <row r="457" spans="1:6" ht="15" x14ac:dyDescent="0.2">
      <c r="A457" s="7">
        <v>151407</v>
      </c>
      <c r="B457" s="3" t="s">
        <v>332</v>
      </c>
      <c r="C457" s="29">
        <f>ROUND(Balances[[#This Row],[Total]]*40%,0)</f>
        <v>0</v>
      </c>
      <c r="D457" s="29">
        <f>ROUND(Balances[[#This Row],[Total]]*20%,0)</f>
        <v>0</v>
      </c>
      <c r="E457" s="29">
        <f>ROUND(Balances[[#This Row],[Total]]*40%,0)</f>
        <v>0</v>
      </c>
      <c r="F457" s="18">
        <f>SUM(Acueducto[[#This Row],[Acueducto]:[Aseo]])</f>
        <v>0</v>
      </c>
    </row>
    <row r="458" spans="1:6" ht="15" x14ac:dyDescent="0.2">
      <c r="A458" s="7">
        <v>151408</v>
      </c>
      <c r="B458" s="3" t="s">
        <v>320</v>
      </c>
      <c r="C458" s="29">
        <f>ROUND(Balances[[#This Row],[Total]]*40%,0)</f>
        <v>0</v>
      </c>
      <c r="D458" s="29">
        <f>ROUND(Balances[[#This Row],[Total]]*20%,0)</f>
        <v>0</v>
      </c>
      <c r="E458" s="29">
        <f>ROUND(Balances[[#This Row],[Total]]*40%,0)</f>
        <v>0</v>
      </c>
      <c r="F458" s="18">
        <f>SUM(Acueducto[[#This Row],[Acueducto]:[Aseo]])</f>
        <v>0</v>
      </c>
    </row>
    <row r="459" spans="1:6" ht="15" x14ac:dyDescent="0.2">
      <c r="A459" s="7">
        <v>151409</v>
      </c>
      <c r="B459" s="3" t="s">
        <v>333</v>
      </c>
      <c r="C459" s="29">
        <f>ROUND(Balances[[#This Row],[Total]]*40%,0)</f>
        <v>0</v>
      </c>
      <c r="D459" s="29">
        <f>ROUND(Balances[[#This Row],[Total]]*20%,0)</f>
        <v>0</v>
      </c>
      <c r="E459" s="29">
        <f>ROUND(Balances[[#This Row],[Total]]*40%,0)</f>
        <v>0</v>
      </c>
      <c r="F459" s="18">
        <f>SUM(Acueducto[[#This Row],[Acueducto]:[Aseo]])</f>
        <v>0</v>
      </c>
    </row>
    <row r="460" spans="1:6" ht="15" x14ac:dyDescent="0.2">
      <c r="A460" s="7">
        <v>151410</v>
      </c>
      <c r="B460" s="3" t="s">
        <v>334</v>
      </c>
      <c r="C460" s="29">
        <f>ROUND(Balances[[#This Row],[Total]]*40%,0)</f>
        <v>0</v>
      </c>
      <c r="D460" s="29">
        <f>ROUND(Balances[[#This Row],[Total]]*20%,0)</f>
        <v>0</v>
      </c>
      <c r="E460" s="29">
        <f>ROUND(Balances[[#This Row],[Total]]*40%,0)</f>
        <v>0</v>
      </c>
      <c r="F460" s="18">
        <f>SUM(Acueducto[[#This Row],[Acueducto]:[Aseo]])</f>
        <v>0</v>
      </c>
    </row>
    <row r="461" spans="1:6" ht="15" x14ac:dyDescent="0.2">
      <c r="A461" s="7">
        <v>151411</v>
      </c>
      <c r="B461" s="3" t="s">
        <v>335</v>
      </c>
      <c r="C461" s="29">
        <f>ROUND(Balances[[#This Row],[Total]]*40%,0)</f>
        <v>0</v>
      </c>
      <c r="D461" s="29">
        <f>ROUND(Balances[[#This Row],[Total]]*20%,0)</f>
        <v>0</v>
      </c>
      <c r="E461" s="29">
        <f>ROUND(Balances[[#This Row],[Total]]*40%,0)</f>
        <v>0</v>
      </c>
      <c r="F461" s="18">
        <f>SUM(Acueducto[[#This Row],[Acueducto]:[Aseo]])</f>
        <v>0</v>
      </c>
    </row>
    <row r="462" spans="1:6" ht="15" x14ac:dyDescent="0.2">
      <c r="A462" s="7">
        <v>151412</v>
      </c>
      <c r="B462" s="3" t="s">
        <v>336</v>
      </c>
      <c r="C462" s="29">
        <f>ROUND(Balances[[#This Row],[Total]]*40%,0)</f>
        <v>0</v>
      </c>
      <c r="D462" s="29">
        <f>ROUND(Balances[[#This Row],[Total]]*20%,0)</f>
        <v>0</v>
      </c>
      <c r="E462" s="29">
        <f>ROUND(Balances[[#This Row],[Total]]*40%,0)</f>
        <v>0</v>
      </c>
      <c r="F462" s="18">
        <f>SUM(Acueducto[[#This Row],[Acueducto]:[Aseo]])</f>
        <v>0</v>
      </c>
    </row>
    <row r="463" spans="1:6" ht="15" x14ac:dyDescent="0.2">
      <c r="A463" s="7">
        <v>151413</v>
      </c>
      <c r="B463" s="3" t="s">
        <v>337</v>
      </c>
      <c r="C463" s="29">
        <f>ROUND(Balances[[#This Row],[Total]]*40%,0)</f>
        <v>0</v>
      </c>
      <c r="D463" s="29">
        <f>ROUND(Balances[[#This Row],[Total]]*20%,0)</f>
        <v>0</v>
      </c>
      <c r="E463" s="29">
        <f>ROUND(Balances[[#This Row],[Total]]*40%,0)</f>
        <v>0</v>
      </c>
      <c r="F463" s="18">
        <f>SUM(Acueducto[[#This Row],[Acueducto]:[Aseo]])</f>
        <v>0</v>
      </c>
    </row>
    <row r="464" spans="1:6" ht="15" x14ac:dyDescent="0.2">
      <c r="A464" s="7">
        <v>151414</v>
      </c>
      <c r="B464" s="3" t="s">
        <v>338</v>
      </c>
      <c r="C464" s="29">
        <f>ROUND(Balances[[#This Row],[Total]]*40%,0)</f>
        <v>0</v>
      </c>
      <c r="D464" s="29">
        <f>ROUND(Balances[[#This Row],[Total]]*20%,0)</f>
        <v>0</v>
      </c>
      <c r="E464" s="29">
        <f>ROUND(Balances[[#This Row],[Total]]*40%,0)</f>
        <v>0</v>
      </c>
      <c r="F464" s="18">
        <f>SUM(Acueducto[[#This Row],[Acueducto]:[Aseo]])</f>
        <v>0</v>
      </c>
    </row>
    <row r="465" spans="1:6" ht="15" x14ac:dyDescent="0.2">
      <c r="A465" s="7">
        <v>151415</v>
      </c>
      <c r="B465" s="3" t="s">
        <v>339</v>
      </c>
      <c r="C465" s="29">
        <f>ROUND(Balances[[#This Row],[Total]]*40%,0)</f>
        <v>0</v>
      </c>
      <c r="D465" s="29">
        <f>ROUND(Balances[[#This Row],[Total]]*20%,0)</f>
        <v>0</v>
      </c>
      <c r="E465" s="29">
        <f>ROUND(Balances[[#This Row],[Total]]*40%,0)</f>
        <v>0</v>
      </c>
      <c r="F465" s="18">
        <f>SUM(Acueducto[[#This Row],[Acueducto]:[Aseo]])</f>
        <v>0</v>
      </c>
    </row>
    <row r="466" spans="1:6" ht="15" x14ac:dyDescent="0.2">
      <c r="A466" s="7">
        <v>151417</v>
      </c>
      <c r="B466" s="3" t="s">
        <v>340</v>
      </c>
      <c r="C466" s="29">
        <f>ROUND(Balances[[#This Row],[Total]]*40%,0)</f>
        <v>0</v>
      </c>
      <c r="D466" s="29">
        <f>ROUND(Balances[[#This Row],[Total]]*20%,0)</f>
        <v>0</v>
      </c>
      <c r="E466" s="29">
        <f>ROUND(Balances[[#This Row],[Total]]*40%,0)</f>
        <v>0</v>
      </c>
      <c r="F466" s="18">
        <f>SUM(Acueducto[[#This Row],[Acueducto]:[Aseo]])</f>
        <v>0</v>
      </c>
    </row>
    <row r="467" spans="1:6" ht="15" x14ac:dyDescent="0.2">
      <c r="A467" s="7">
        <v>151418</v>
      </c>
      <c r="B467" s="3" t="s">
        <v>341</v>
      </c>
      <c r="C467" s="29">
        <f>ROUND(Balances[[#This Row],[Total]]*40%,0)</f>
        <v>0</v>
      </c>
      <c r="D467" s="29">
        <f>ROUND(Balances[[#This Row],[Total]]*20%,0)</f>
        <v>0</v>
      </c>
      <c r="E467" s="29">
        <f>ROUND(Balances[[#This Row],[Total]]*40%,0)</f>
        <v>0</v>
      </c>
      <c r="F467" s="18">
        <f>SUM(Acueducto[[#This Row],[Acueducto]:[Aseo]])</f>
        <v>0</v>
      </c>
    </row>
    <row r="468" spans="1:6" ht="15" x14ac:dyDescent="0.2">
      <c r="A468" s="7">
        <v>151419</v>
      </c>
      <c r="B468" s="3" t="s">
        <v>342</v>
      </c>
      <c r="C468" s="29">
        <f>ROUND(Balances[[#This Row],[Total]]*40%,0)</f>
        <v>0</v>
      </c>
      <c r="D468" s="29">
        <f>ROUND(Balances[[#This Row],[Total]]*20%,0)</f>
        <v>0</v>
      </c>
      <c r="E468" s="29">
        <f>ROUND(Balances[[#This Row],[Total]]*40%,0)</f>
        <v>0</v>
      </c>
      <c r="F468" s="18">
        <f>SUM(Acueducto[[#This Row],[Acueducto]:[Aseo]])</f>
        <v>0</v>
      </c>
    </row>
    <row r="469" spans="1:6" ht="15" x14ac:dyDescent="0.2">
      <c r="A469" s="7">
        <v>151421</v>
      </c>
      <c r="B469" s="3" t="s">
        <v>343</v>
      </c>
      <c r="C469" s="29">
        <f>ROUND(Balances[[#This Row],[Total]]*40%,0)</f>
        <v>0</v>
      </c>
      <c r="D469" s="29">
        <f>ROUND(Balances[[#This Row],[Total]]*20%,0)</f>
        <v>0</v>
      </c>
      <c r="E469" s="29">
        <f>ROUND(Balances[[#This Row],[Total]]*40%,0)</f>
        <v>0</v>
      </c>
      <c r="F469" s="18">
        <f>SUM(Acueducto[[#This Row],[Acueducto]:[Aseo]])</f>
        <v>0</v>
      </c>
    </row>
    <row r="470" spans="1:6" ht="15" x14ac:dyDescent="0.2">
      <c r="A470" s="7">
        <v>151422</v>
      </c>
      <c r="B470" s="3" t="s">
        <v>344</v>
      </c>
      <c r="C470" s="29">
        <f>ROUND(Balances[[#This Row],[Total]]*40%,0)</f>
        <v>0</v>
      </c>
      <c r="D470" s="29">
        <f>ROUND(Balances[[#This Row],[Total]]*20%,0)</f>
        <v>0</v>
      </c>
      <c r="E470" s="29">
        <f>ROUND(Balances[[#This Row],[Total]]*40%,0)</f>
        <v>0</v>
      </c>
      <c r="F470" s="18">
        <f>SUM(Acueducto[[#This Row],[Acueducto]:[Aseo]])</f>
        <v>0</v>
      </c>
    </row>
    <row r="471" spans="1:6" ht="15" x14ac:dyDescent="0.2">
      <c r="A471" s="7">
        <v>151423</v>
      </c>
      <c r="B471" s="3" t="s">
        <v>345</v>
      </c>
      <c r="C471" s="29">
        <f>ROUND(Balances[[#This Row],[Total]]*40%,0)</f>
        <v>0</v>
      </c>
      <c r="D471" s="29">
        <f>ROUND(Balances[[#This Row],[Total]]*20%,0)</f>
        <v>0</v>
      </c>
      <c r="E471" s="29">
        <f>ROUND(Balances[[#This Row],[Total]]*40%,0)</f>
        <v>0</v>
      </c>
      <c r="F471" s="18">
        <f>SUM(Acueducto[[#This Row],[Acueducto]:[Aseo]])</f>
        <v>0</v>
      </c>
    </row>
    <row r="472" spans="1:6" ht="15" x14ac:dyDescent="0.2">
      <c r="A472" s="7">
        <v>151424</v>
      </c>
      <c r="B472" s="3" t="s">
        <v>346</v>
      </c>
      <c r="C472" s="29">
        <f>ROUND(Balances[[#This Row],[Total]]*40%,0)</f>
        <v>0</v>
      </c>
      <c r="D472" s="29">
        <f>ROUND(Balances[[#This Row],[Total]]*20%,0)</f>
        <v>0</v>
      </c>
      <c r="E472" s="29">
        <f>ROUND(Balances[[#This Row],[Total]]*40%,0)</f>
        <v>0</v>
      </c>
      <c r="F472" s="18">
        <f>SUM(Acueducto[[#This Row],[Acueducto]:[Aseo]])</f>
        <v>0</v>
      </c>
    </row>
    <row r="473" spans="1:6" ht="15" x14ac:dyDescent="0.2">
      <c r="A473" s="7">
        <v>151490</v>
      </c>
      <c r="B473" s="3" t="s">
        <v>347</v>
      </c>
      <c r="C473" s="29">
        <f>ROUND(Balances[[#This Row],[Total]]*40%,0)</f>
        <v>0</v>
      </c>
      <c r="D473" s="29">
        <f>ROUND(Balances[[#This Row],[Total]]*20%,0)</f>
        <v>0</v>
      </c>
      <c r="E473" s="29">
        <f>ROUND(Balances[[#This Row],[Total]]*40%,0)</f>
        <v>0</v>
      </c>
      <c r="F473" s="18">
        <f>SUM(Acueducto[[#This Row],[Acueducto]:[Aseo]])</f>
        <v>0</v>
      </c>
    </row>
    <row r="474" spans="1:6" ht="15" x14ac:dyDescent="0.2">
      <c r="A474" s="6">
        <v>1520</v>
      </c>
      <c r="B474" s="2" t="s">
        <v>348</v>
      </c>
      <c r="C474" s="28">
        <f>ROUND(Balances[[#This Row],[Total]]*40%,0)</f>
        <v>0</v>
      </c>
      <c r="D474" s="28">
        <f>ROUND(Balances[[#This Row],[Total]]*20%,0)</f>
        <v>0</v>
      </c>
      <c r="E474" s="28">
        <f>ROUND(Balances[[#This Row],[Total]]*40%,0)</f>
        <v>0</v>
      </c>
      <c r="F474" s="17">
        <f>SUM(Acueducto[[#This Row],[Acueducto]:[Aseo]])</f>
        <v>0</v>
      </c>
    </row>
    <row r="475" spans="1:6" ht="15" x14ac:dyDescent="0.2">
      <c r="A475" s="7">
        <v>152002</v>
      </c>
      <c r="B475" s="3" t="s">
        <v>120</v>
      </c>
      <c r="C475" s="29">
        <f>ROUND(Balances[[#This Row],[Total]]*40%,0)</f>
        <v>0</v>
      </c>
      <c r="D475" s="29">
        <f>ROUND(Balances[[#This Row],[Total]]*20%,0)</f>
        <v>0</v>
      </c>
      <c r="E475" s="29">
        <f>ROUND(Balances[[#This Row],[Total]]*40%,0)</f>
        <v>0</v>
      </c>
      <c r="F475" s="18">
        <f>SUM(Acueducto[[#This Row],[Acueducto]:[Aseo]])</f>
        <v>0</v>
      </c>
    </row>
    <row r="476" spans="1:6" ht="15" x14ac:dyDescent="0.2">
      <c r="A476" s="7">
        <v>152007</v>
      </c>
      <c r="B476" s="3" t="s">
        <v>293</v>
      </c>
      <c r="C476" s="29">
        <f>ROUND(Balances[[#This Row],[Total]]*40%,0)</f>
        <v>0</v>
      </c>
      <c r="D476" s="29">
        <f>ROUND(Balances[[#This Row],[Total]]*20%,0)</f>
        <v>0</v>
      </c>
      <c r="E476" s="29">
        <f>ROUND(Balances[[#This Row],[Total]]*40%,0)</f>
        <v>0</v>
      </c>
      <c r="F476" s="18">
        <f>SUM(Acueducto[[#This Row],[Acueducto]:[Aseo]])</f>
        <v>0</v>
      </c>
    </row>
    <row r="477" spans="1:6" ht="15" x14ac:dyDescent="0.2">
      <c r="A477" s="7">
        <v>152008</v>
      </c>
      <c r="B477" s="3" t="s">
        <v>296</v>
      </c>
      <c r="C477" s="29">
        <f>ROUND(Balances[[#This Row],[Total]]*40%,0)</f>
        <v>0</v>
      </c>
      <c r="D477" s="29">
        <f>ROUND(Balances[[#This Row],[Total]]*20%,0)</f>
        <v>0</v>
      </c>
      <c r="E477" s="29">
        <f>ROUND(Balances[[#This Row],[Total]]*40%,0)</f>
        <v>0</v>
      </c>
      <c r="F477" s="18">
        <f>SUM(Acueducto[[#This Row],[Acueducto]:[Aseo]])</f>
        <v>0</v>
      </c>
    </row>
    <row r="478" spans="1:6" ht="15" x14ac:dyDescent="0.2">
      <c r="A478" s="7">
        <v>152009</v>
      </c>
      <c r="B478" s="3" t="s">
        <v>294</v>
      </c>
      <c r="C478" s="29">
        <f>ROUND(Balances[[#This Row],[Total]]*40%,0)</f>
        <v>0</v>
      </c>
      <c r="D478" s="29">
        <f>ROUND(Balances[[#This Row],[Total]]*20%,0)</f>
        <v>0</v>
      </c>
      <c r="E478" s="29">
        <f>ROUND(Balances[[#This Row],[Total]]*40%,0)</f>
        <v>0</v>
      </c>
      <c r="F478" s="18">
        <f>SUM(Acueducto[[#This Row],[Acueducto]:[Aseo]])</f>
        <v>0</v>
      </c>
    </row>
    <row r="479" spans="1:6" ht="15" x14ac:dyDescent="0.2">
      <c r="A479" s="7">
        <v>152013</v>
      </c>
      <c r="B479" s="3" t="s">
        <v>295</v>
      </c>
      <c r="C479" s="29">
        <f>ROUND(Balances[[#This Row],[Total]]*40%,0)</f>
        <v>0</v>
      </c>
      <c r="D479" s="29">
        <f>ROUND(Balances[[#This Row],[Total]]*20%,0)</f>
        <v>0</v>
      </c>
      <c r="E479" s="29">
        <f>ROUND(Balances[[#This Row],[Total]]*40%,0)</f>
        <v>0</v>
      </c>
      <c r="F479" s="18">
        <f>SUM(Acueducto[[#This Row],[Acueducto]:[Aseo]])</f>
        <v>0</v>
      </c>
    </row>
    <row r="480" spans="1:6" ht="15" x14ac:dyDescent="0.2">
      <c r="A480" s="7">
        <v>152018</v>
      </c>
      <c r="B480" s="3" t="s">
        <v>298</v>
      </c>
      <c r="C480" s="29">
        <f>ROUND(Balances[[#This Row],[Total]]*40%,0)</f>
        <v>0</v>
      </c>
      <c r="D480" s="29">
        <f>ROUND(Balances[[#This Row],[Total]]*20%,0)</f>
        <v>0</v>
      </c>
      <c r="E480" s="29">
        <f>ROUND(Balances[[#This Row],[Total]]*40%,0)</f>
        <v>0</v>
      </c>
      <c r="F480" s="18">
        <f>SUM(Acueducto[[#This Row],[Acueducto]:[Aseo]])</f>
        <v>0</v>
      </c>
    </row>
    <row r="481" spans="1:6" ht="15" x14ac:dyDescent="0.2">
      <c r="A481" s="7">
        <v>152019</v>
      </c>
      <c r="B481" s="3" t="s">
        <v>299</v>
      </c>
      <c r="C481" s="29">
        <f>ROUND(Balances[[#This Row],[Total]]*40%,0)</f>
        <v>0</v>
      </c>
      <c r="D481" s="29">
        <f>ROUND(Balances[[#This Row],[Total]]*20%,0)</f>
        <v>0</v>
      </c>
      <c r="E481" s="29">
        <f>ROUND(Balances[[#This Row],[Total]]*40%,0)</f>
        <v>0</v>
      </c>
      <c r="F481" s="18">
        <f>SUM(Acueducto[[#This Row],[Acueducto]:[Aseo]])</f>
        <v>0</v>
      </c>
    </row>
    <row r="482" spans="1:6" ht="15" x14ac:dyDescent="0.2">
      <c r="A482" s="7">
        <v>152020</v>
      </c>
      <c r="B482" s="3" t="s">
        <v>297</v>
      </c>
      <c r="C482" s="29">
        <f>ROUND(Balances[[#This Row],[Total]]*40%,0)</f>
        <v>0</v>
      </c>
      <c r="D482" s="29">
        <f>ROUND(Balances[[#This Row],[Total]]*20%,0)</f>
        <v>0</v>
      </c>
      <c r="E482" s="29">
        <f>ROUND(Balances[[#This Row],[Total]]*40%,0)</f>
        <v>0</v>
      </c>
      <c r="F482" s="18">
        <f>SUM(Acueducto[[#This Row],[Acueducto]:[Aseo]])</f>
        <v>0</v>
      </c>
    </row>
    <row r="483" spans="1:6" ht="15" x14ac:dyDescent="0.2">
      <c r="A483" s="7">
        <v>152021</v>
      </c>
      <c r="B483" s="3" t="s">
        <v>300</v>
      </c>
      <c r="C483" s="29">
        <f>ROUND(Balances[[#This Row],[Total]]*40%,0)</f>
        <v>0</v>
      </c>
      <c r="D483" s="29">
        <f>ROUND(Balances[[#This Row],[Total]]*20%,0)</f>
        <v>0</v>
      </c>
      <c r="E483" s="29">
        <f>ROUND(Balances[[#This Row],[Total]]*40%,0)</f>
        <v>0</v>
      </c>
      <c r="F483" s="18">
        <f>SUM(Acueducto[[#This Row],[Acueducto]:[Aseo]])</f>
        <v>0</v>
      </c>
    </row>
    <row r="484" spans="1:6" ht="15" x14ac:dyDescent="0.2">
      <c r="A484" s="7">
        <v>152025</v>
      </c>
      <c r="B484" s="3" t="s">
        <v>301</v>
      </c>
      <c r="C484" s="29">
        <f>ROUND(Balances[[#This Row],[Total]]*40%,0)</f>
        <v>0</v>
      </c>
      <c r="D484" s="29">
        <f>ROUND(Balances[[#This Row],[Total]]*20%,0)</f>
        <v>0</v>
      </c>
      <c r="E484" s="29">
        <f>ROUND(Balances[[#This Row],[Total]]*40%,0)</f>
        <v>0</v>
      </c>
      <c r="F484" s="18">
        <f>SUM(Acueducto[[#This Row],[Acueducto]:[Aseo]])</f>
        <v>0</v>
      </c>
    </row>
    <row r="485" spans="1:6" ht="15" x14ac:dyDescent="0.2">
      <c r="A485" s="7">
        <v>152026</v>
      </c>
      <c r="B485" s="3" t="s">
        <v>302</v>
      </c>
      <c r="C485" s="29">
        <f>ROUND(Balances[[#This Row],[Total]]*40%,0)</f>
        <v>0</v>
      </c>
      <c r="D485" s="29">
        <f>ROUND(Balances[[#This Row],[Total]]*20%,0)</f>
        <v>0</v>
      </c>
      <c r="E485" s="29">
        <f>ROUND(Balances[[#This Row],[Total]]*40%,0)</f>
        <v>0</v>
      </c>
      <c r="F485" s="18">
        <f>SUM(Acueducto[[#This Row],[Acueducto]:[Aseo]])</f>
        <v>0</v>
      </c>
    </row>
    <row r="486" spans="1:6" ht="15" x14ac:dyDescent="0.2">
      <c r="A486" s="7">
        <v>152032</v>
      </c>
      <c r="B486" s="3" t="s">
        <v>303</v>
      </c>
      <c r="C486" s="29">
        <f>ROUND(Balances[[#This Row],[Total]]*40%,0)</f>
        <v>0</v>
      </c>
      <c r="D486" s="29">
        <f>ROUND(Balances[[#This Row],[Total]]*20%,0)</f>
        <v>0</v>
      </c>
      <c r="E486" s="29">
        <f>ROUND(Balances[[#This Row],[Total]]*40%,0)</f>
        <v>0</v>
      </c>
      <c r="F486" s="18">
        <f>SUM(Acueducto[[#This Row],[Acueducto]:[Aseo]])</f>
        <v>0</v>
      </c>
    </row>
    <row r="487" spans="1:6" ht="15" x14ac:dyDescent="0.2">
      <c r="A487" s="7">
        <v>152034</v>
      </c>
      <c r="B487" s="3" t="s">
        <v>116</v>
      </c>
      <c r="C487" s="29">
        <f>ROUND(Balances[[#This Row],[Total]]*40%,0)</f>
        <v>0</v>
      </c>
      <c r="D487" s="29">
        <f>ROUND(Balances[[#This Row],[Total]]*20%,0)</f>
        <v>0</v>
      </c>
      <c r="E487" s="29">
        <f>ROUND(Balances[[#This Row],[Total]]*40%,0)</f>
        <v>0</v>
      </c>
      <c r="F487" s="18">
        <f>SUM(Acueducto[[#This Row],[Acueducto]:[Aseo]])</f>
        <v>0</v>
      </c>
    </row>
    <row r="488" spans="1:6" ht="15" x14ac:dyDescent="0.2">
      <c r="A488" s="7">
        <v>152090</v>
      </c>
      <c r="B488" s="3" t="s">
        <v>349</v>
      </c>
      <c r="C488" s="29">
        <f>ROUND(Balances[[#This Row],[Total]]*40%,0)</f>
        <v>0</v>
      </c>
      <c r="D488" s="29">
        <f>ROUND(Balances[[#This Row],[Total]]*20%,0)</f>
        <v>0</v>
      </c>
      <c r="E488" s="29">
        <f>ROUND(Balances[[#This Row],[Total]]*40%,0)</f>
        <v>0</v>
      </c>
      <c r="F488" s="18">
        <f>SUM(Acueducto[[#This Row],[Acueducto]:[Aseo]])</f>
        <v>0</v>
      </c>
    </row>
    <row r="489" spans="1:6" ht="15" x14ac:dyDescent="0.2">
      <c r="A489" s="6">
        <v>1525</v>
      </c>
      <c r="B489" s="2" t="s">
        <v>350</v>
      </c>
      <c r="C489" s="28">
        <f>ROUND(Balances[[#This Row],[Total]]*40%,0)</f>
        <v>0</v>
      </c>
      <c r="D489" s="28">
        <f>ROUND(Balances[[#This Row],[Total]]*20%,0)</f>
        <v>0</v>
      </c>
      <c r="E489" s="28">
        <f>ROUND(Balances[[#This Row],[Total]]*40%,0)</f>
        <v>0</v>
      </c>
      <c r="F489" s="17">
        <f>SUM(Acueducto[[#This Row],[Acueducto]:[Aseo]])</f>
        <v>0</v>
      </c>
    </row>
    <row r="490" spans="1:6" ht="15" x14ac:dyDescent="0.2">
      <c r="A490" s="7">
        <v>152502</v>
      </c>
      <c r="B490" s="3" t="s">
        <v>326</v>
      </c>
      <c r="C490" s="29">
        <f>ROUND(Balances[[#This Row],[Total]]*40%,0)</f>
        <v>0</v>
      </c>
      <c r="D490" s="29">
        <f>ROUND(Balances[[#This Row],[Total]]*20%,0)</f>
        <v>0</v>
      </c>
      <c r="E490" s="29">
        <f>ROUND(Balances[[#This Row],[Total]]*40%,0)</f>
        <v>0</v>
      </c>
      <c r="F490" s="18">
        <f>SUM(Acueducto[[#This Row],[Acueducto]:[Aseo]])</f>
        <v>0</v>
      </c>
    </row>
    <row r="491" spans="1:6" ht="15" x14ac:dyDescent="0.2">
      <c r="A491" s="7">
        <v>152505</v>
      </c>
      <c r="B491" s="3" t="s">
        <v>328</v>
      </c>
      <c r="C491" s="29">
        <f>ROUND(Balances[[#This Row],[Total]]*40%,0)</f>
        <v>0</v>
      </c>
      <c r="D491" s="29">
        <f>ROUND(Balances[[#This Row],[Total]]*20%,0)</f>
        <v>0</v>
      </c>
      <c r="E491" s="29">
        <f>ROUND(Balances[[#This Row],[Total]]*40%,0)</f>
        <v>0</v>
      </c>
      <c r="F491" s="18">
        <f>SUM(Acueducto[[#This Row],[Acueducto]:[Aseo]])</f>
        <v>0</v>
      </c>
    </row>
    <row r="492" spans="1:6" ht="15" x14ac:dyDescent="0.2">
      <c r="A492" s="7">
        <v>152507</v>
      </c>
      <c r="B492" s="3" t="s">
        <v>296</v>
      </c>
      <c r="C492" s="29">
        <f>ROUND(Balances[[#This Row],[Total]]*40%,0)</f>
        <v>0</v>
      </c>
      <c r="D492" s="29">
        <f>ROUND(Balances[[#This Row],[Total]]*20%,0)</f>
        <v>0</v>
      </c>
      <c r="E492" s="29">
        <f>ROUND(Balances[[#This Row],[Total]]*40%,0)</f>
        <v>0</v>
      </c>
      <c r="F492" s="18">
        <f>SUM(Acueducto[[#This Row],[Acueducto]:[Aseo]])</f>
        <v>0</v>
      </c>
    </row>
    <row r="493" spans="1:6" ht="15" x14ac:dyDescent="0.2">
      <c r="A493" s="7">
        <v>152508</v>
      </c>
      <c r="B493" s="3" t="s">
        <v>319</v>
      </c>
      <c r="C493" s="29">
        <f>ROUND(Balances[[#This Row],[Total]]*40%,0)</f>
        <v>0</v>
      </c>
      <c r="D493" s="29">
        <f>ROUND(Balances[[#This Row],[Total]]*20%,0)</f>
        <v>0</v>
      </c>
      <c r="E493" s="29">
        <f>ROUND(Balances[[#This Row],[Total]]*40%,0)</f>
        <v>0</v>
      </c>
      <c r="F493" s="18">
        <f>SUM(Acueducto[[#This Row],[Acueducto]:[Aseo]])</f>
        <v>0</v>
      </c>
    </row>
    <row r="494" spans="1:6" ht="15" x14ac:dyDescent="0.2">
      <c r="A494" s="7">
        <v>152512</v>
      </c>
      <c r="B494" s="3" t="s">
        <v>320</v>
      </c>
      <c r="C494" s="29">
        <f>ROUND(Balances[[#This Row],[Total]]*40%,0)</f>
        <v>0</v>
      </c>
      <c r="D494" s="29">
        <f>ROUND(Balances[[#This Row],[Total]]*20%,0)</f>
        <v>0</v>
      </c>
      <c r="E494" s="29">
        <f>ROUND(Balances[[#This Row],[Total]]*40%,0)</f>
        <v>0</v>
      </c>
      <c r="F494" s="18">
        <f>SUM(Acueducto[[#This Row],[Acueducto]:[Aseo]])</f>
        <v>0</v>
      </c>
    </row>
    <row r="495" spans="1:6" ht="15" x14ac:dyDescent="0.2">
      <c r="A495" s="7">
        <v>152519</v>
      </c>
      <c r="B495" s="3" t="s">
        <v>329</v>
      </c>
      <c r="C495" s="29">
        <f>ROUND(Balances[[#This Row],[Total]]*40%,0)</f>
        <v>0</v>
      </c>
      <c r="D495" s="29">
        <f>ROUND(Balances[[#This Row],[Total]]*20%,0)</f>
        <v>0</v>
      </c>
      <c r="E495" s="29">
        <f>ROUND(Balances[[#This Row],[Total]]*40%,0)</f>
        <v>0</v>
      </c>
      <c r="F495" s="18">
        <f>SUM(Acueducto[[#This Row],[Acueducto]:[Aseo]])</f>
        <v>0</v>
      </c>
    </row>
    <row r="496" spans="1:6" ht="15" x14ac:dyDescent="0.2">
      <c r="A496" s="7">
        <v>152520</v>
      </c>
      <c r="B496" s="3" t="s">
        <v>293</v>
      </c>
      <c r="C496" s="29">
        <f>ROUND(Balances[[#This Row],[Total]]*40%,0)</f>
        <v>0</v>
      </c>
      <c r="D496" s="29">
        <f>ROUND(Balances[[#This Row],[Total]]*20%,0)</f>
        <v>0</v>
      </c>
      <c r="E496" s="29">
        <f>ROUND(Balances[[#This Row],[Total]]*40%,0)</f>
        <v>0</v>
      </c>
      <c r="F496" s="18">
        <f>SUM(Acueducto[[#This Row],[Acueducto]:[Aseo]])</f>
        <v>0</v>
      </c>
    </row>
    <row r="497" spans="1:6" ht="15" x14ac:dyDescent="0.2">
      <c r="A497" s="7">
        <v>152521</v>
      </c>
      <c r="B497" s="3" t="s">
        <v>351</v>
      </c>
      <c r="C497" s="29">
        <f>ROUND(Balances[[#This Row],[Total]]*40%,0)</f>
        <v>0</v>
      </c>
      <c r="D497" s="29">
        <f>ROUND(Balances[[#This Row],[Total]]*20%,0)</f>
        <v>0</v>
      </c>
      <c r="E497" s="29">
        <f>ROUND(Balances[[#This Row],[Total]]*40%,0)</f>
        <v>0</v>
      </c>
      <c r="F497" s="18">
        <f>SUM(Acueducto[[#This Row],[Acueducto]:[Aseo]])</f>
        <v>0</v>
      </c>
    </row>
    <row r="498" spans="1:6" ht="15" x14ac:dyDescent="0.2">
      <c r="A498" s="7">
        <v>152522</v>
      </c>
      <c r="B498" s="3" t="s">
        <v>116</v>
      </c>
      <c r="C498" s="29">
        <f>ROUND(Balances[[#This Row],[Total]]*40%,0)</f>
        <v>0</v>
      </c>
      <c r="D498" s="29">
        <f>ROUND(Balances[[#This Row],[Total]]*20%,0)</f>
        <v>0</v>
      </c>
      <c r="E498" s="29">
        <f>ROUND(Balances[[#This Row],[Total]]*40%,0)</f>
        <v>0</v>
      </c>
      <c r="F498" s="18">
        <f>SUM(Acueducto[[#This Row],[Acueducto]:[Aseo]])</f>
        <v>0</v>
      </c>
    </row>
    <row r="499" spans="1:6" ht="15" x14ac:dyDescent="0.2">
      <c r="A499" s="7">
        <v>152525</v>
      </c>
      <c r="B499" s="3" t="s">
        <v>295</v>
      </c>
      <c r="C499" s="29">
        <f>ROUND(Balances[[#This Row],[Total]]*40%,0)</f>
        <v>0</v>
      </c>
      <c r="D499" s="29">
        <f>ROUND(Balances[[#This Row],[Total]]*20%,0)</f>
        <v>0</v>
      </c>
      <c r="E499" s="29">
        <f>ROUND(Balances[[#This Row],[Total]]*40%,0)</f>
        <v>0</v>
      </c>
      <c r="F499" s="18">
        <f>SUM(Acueducto[[#This Row],[Acueducto]:[Aseo]])</f>
        <v>0</v>
      </c>
    </row>
    <row r="500" spans="1:6" ht="15" x14ac:dyDescent="0.2">
      <c r="A500" s="7">
        <v>152528</v>
      </c>
      <c r="B500" s="3" t="s">
        <v>308</v>
      </c>
      <c r="C500" s="29">
        <f>ROUND(Balances[[#This Row],[Total]]*40%,0)</f>
        <v>0</v>
      </c>
      <c r="D500" s="29">
        <f>ROUND(Balances[[#This Row],[Total]]*20%,0)</f>
        <v>0</v>
      </c>
      <c r="E500" s="29">
        <f>ROUND(Balances[[#This Row],[Total]]*40%,0)</f>
        <v>0</v>
      </c>
      <c r="F500" s="18">
        <f>SUM(Acueducto[[#This Row],[Acueducto]:[Aseo]])</f>
        <v>0</v>
      </c>
    </row>
    <row r="501" spans="1:6" ht="15" x14ac:dyDescent="0.2">
      <c r="A501" s="7">
        <v>152529</v>
      </c>
      <c r="B501" s="3" t="s">
        <v>309</v>
      </c>
      <c r="C501" s="29">
        <f>ROUND(Balances[[#This Row],[Total]]*40%,0)</f>
        <v>0</v>
      </c>
      <c r="D501" s="29">
        <f>ROUND(Balances[[#This Row],[Total]]*20%,0)</f>
        <v>0</v>
      </c>
      <c r="E501" s="29">
        <f>ROUND(Balances[[#This Row],[Total]]*40%,0)</f>
        <v>0</v>
      </c>
      <c r="F501" s="18">
        <f>SUM(Acueducto[[#This Row],[Acueducto]:[Aseo]])</f>
        <v>0</v>
      </c>
    </row>
    <row r="502" spans="1:6" ht="15" x14ac:dyDescent="0.2">
      <c r="A502" s="7">
        <v>152530</v>
      </c>
      <c r="B502" s="3" t="s">
        <v>307</v>
      </c>
      <c r="C502" s="29">
        <f>ROUND(Balances[[#This Row],[Total]]*40%,0)</f>
        <v>0</v>
      </c>
      <c r="D502" s="29">
        <f>ROUND(Balances[[#This Row],[Total]]*20%,0)</f>
        <v>0</v>
      </c>
      <c r="E502" s="29">
        <f>ROUND(Balances[[#This Row],[Total]]*40%,0)</f>
        <v>0</v>
      </c>
      <c r="F502" s="18">
        <f>SUM(Acueducto[[#This Row],[Acueducto]:[Aseo]])</f>
        <v>0</v>
      </c>
    </row>
    <row r="503" spans="1:6" ht="15" x14ac:dyDescent="0.2">
      <c r="A503" s="7">
        <v>152531</v>
      </c>
      <c r="B503" s="3" t="s">
        <v>294</v>
      </c>
      <c r="C503" s="29">
        <f>ROUND(Balances[[#This Row],[Total]]*40%,0)</f>
        <v>0</v>
      </c>
      <c r="D503" s="29">
        <f>ROUND(Balances[[#This Row],[Total]]*20%,0)</f>
        <v>0</v>
      </c>
      <c r="E503" s="29">
        <f>ROUND(Balances[[#This Row],[Total]]*40%,0)</f>
        <v>0</v>
      </c>
      <c r="F503" s="18">
        <f>SUM(Acueducto[[#This Row],[Acueducto]:[Aseo]])</f>
        <v>0</v>
      </c>
    </row>
    <row r="504" spans="1:6" ht="15" x14ac:dyDescent="0.2">
      <c r="A504" s="7">
        <v>152534</v>
      </c>
      <c r="B504" s="3" t="s">
        <v>299</v>
      </c>
      <c r="C504" s="29">
        <f>ROUND(Balances[[#This Row],[Total]]*40%,0)</f>
        <v>0</v>
      </c>
      <c r="D504" s="29">
        <f>ROUND(Balances[[#This Row],[Total]]*20%,0)</f>
        <v>0</v>
      </c>
      <c r="E504" s="29">
        <f>ROUND(Balances[[#This Row],[Total]]*40%,0)</f>
        <v>0</v>
      </c>
      <c r="F504" s="18">
        <f>SUM(Acueducto[[#This Row],[Acueducto]:[Aseo]])</f>
        <v>0</v>
      </c>
    </row>
    <row r="505" spans="1:6" ht="15" x14ac:dyDescent="0.2">
      <c r="A505" s="7">
        <v>152535</v>
      </c>
      <c r="B505" s="3" t="s">
        <v>352</v>
      </c>
      <c r="C505" s="29">
        <f>ROUND(Balances[[#This Row],[Total]]*40%,0)</f>
        <v>0</v>
      </c>
      <c r="D505" s="29">
        <f>ROUND(Balances[[#This Row],[Total]]*20%,0)</f>
        <v>0</v>
      </c>
      <c r="E505" s="29">
        <f>ROUND(Balances[[#This Row],[Total]]*40%,0)</f>
        <v>0</v>
      </c>
      <c r="F505" s="18">
        <f>SUM(Acueducto[[#This Row],[Acueducto]:[Aseo]])</f>
        <v>0</v>
      </c>
    </row>
    <row r="506" spans="1:6" ht="15" x14ac:dyDescent="0.2">
      <c r="A506" s="7">
        <v>152537</v>
      </c>
      <c r="B506" s="3" t="s">
        <v>353</v>
      </c>
      <c r="C506" s="29">
        <f>ROUND(Balances[[#This Row],[Total]]*40%,0)</f>
        <v>0</v>
      </c>
      <c r="D506" s="29">
        <f>ROUND(Balances[[#This Row],[Total]]*20%,0)</f>
        <v>0</v>
      </c>
      <c r="E506" s="29">
        <f>ROUND(Balances[[#This Row],[Total]]*40%,0)</f>
        <v>0</v>
      </c>
      <c r="F506" s="18">
        <f>SUM(Acueducto[[#This Row],[Acueducto]:[Aseo]])</f>
        <v>0</v>
      </c>
    </row>
    <row r="507" spans="1:6" ht="15" x14ac:dyDescent="0.2">
      <c r="A507" s="7">
        <v>152543</v>
      </c>
      <c r="B507" s="3" t="s">
        <v>311</v>
      </c>
      <c r="C507" s="29">
        <f>ROUND(Balances[[#This Row],[Total]]*40%,0)</f>
        <v>0</v>
      </c>
      <c r="D507" s="29">
        <f>ROUND(Balances[[#This Row],[Total]]*20%,0)</f>
        <v>0</v>
      </c>
      <c r="E507" s="29">
        <f>ROUND(Balances[[#This Row],[Total]]*40%,0)</f>
        <v>0</v>
      </c>
      <c r="F507" s="18">
        <f>SUM(Acueducto[[#This Row],[Acueducto]:[Aseo]])</f>
        <v>0</v>
      </c>
    </row>
    <row r="508" spans="1:6" ht="15" x14ac:dyDescent="0.2">
      <c r="A508" s="7">
        <v>152544</v>
      </c>
      <c r="B508" s="3" t="s">
        <v>312</v>
      </c>
      <c r="C508" s="29">
        <f>ROUND(Balances[[#This Row],[Total]]*40%,0)</f>
        <v>0</v>
      </c>
      <c r="D508" s="29">
        <f>ROUND(Balances[[#This Row],[Total]]*20%,0)</f>
        <v>0</v>
      </c>
      <c r="E508" s="29">
        <f>ROUND(Balances[[#This Row],[Total]]*40%,0)</f>
        <v>0</v>
      </c>
      <c r="F508" s="18">
        <f>SUM(Acueducto[[#This Row],[Acueducto]:[Aseo]])</f>
        <v>0</v>
      </c>
    </row>
    <row r="509" spans="1:6" ht="15" x14ac:dyDescent="0.2">
      <c r="A509" s="7">
        <v>152545</v>
      </c>
      <c r="B509" s="3" t="s">
        <v>313</v>
      </c>
      <c r="C509" s="29">
        <f>ROUND(Balances[[#This Row],[Total]]*40%,0)</f>
        <v>0</v>
      </c>
      <c r="D509" s="29">
        <f>ROUND(Balances[[#This Row],[Total]]*20%,0)</f>
        <v>0</v>
      </c>
      <c r="E509" s="29">
        <f>ROUND(Balances[[#This Row],[Total]]*40%,0)</f>
        <v>0</v>
      </c>
      <c r="F509" s="18">
        <f>SUM(Acueducto[[#This Row],[Acueducto]:[Aseo]])</f>
        <v>0</v>
      </c>
    </row>
    <row r="510" spans="1:6" ht="15" x14ac:dyDescent="0.2">
      <c r="A510" s="7">
        <v>152546</v>
      </c>
      <c r="B510" s="3" t="s">
        <v>120</v>
      </c>
      <c r="C510" s="29">
        <f>ROUND(Balances[[#This Row],[Total]]*40%,0)</f>
        <v>0</v>
      </c>
      <c r="D510" s="29">
        <f>ROUND(Balances[[#This Row],[Total]]*20%,0)</f>
        <v>0</v>
      </c>
      <c r="E510" s="29">
        <f>ROUND(Balances[[#This Row],[Total]]*40%,0)</f>
        <v>0</v>
      </c>
      <c r="F510" s="18">
        <f>SUM(Acueducto[[#This Row],[Acueducto]:[Aseo]])</f>
        <v>0</v>
      </c>
    </row>
    <row r="511" spans="1:6" ht="15" x14ac:dyDescent="0.2">
      <c r="A511" s="7">
        <v>152590</v>
      </c>
      <c r="B511" s="3" t="s">
        <v>354</v>
      </c>
      <c r="C511" s="29">
        <f>ROUND(Balances[[#This Row],[Total]]*40%,0)</f>
        <v>0</v>
      </c>
      <c r="D511" s="29">
        <f>ROUND(Balances[[#This Row],[Total]]*20%,0)</f>
        <v>0</v>
      </c>
      <c r="E511" s="29">
        <f>ROUND(Balances[[#This Row],[Total]]*40%,0)</f>
        <v>0</v>
      </c>
      <c r="F511" s="18">
        <f>SUM(Acueducto[[#This Row],[Acueducto]:[Aseo]])</f>
        <v>0</v>
      </c>
    </row>
    <row r="512" spans="1:6" ht="15" x14ac:dyDescent="0.2">
      <c r="A512" s="6">
        <v>1530</v>
      </c>
      <c r="B512" s="2" t="s">
        <v>355</v>
      </c>
      <c r="C512" s="28">
        <f>ROUND(Balances[[#This Row],[Total]]*40%,0)</f>
        <v>0</v>
      </c>
      <c r="D512" s="28">
        <f>ROUND(Balances[[#This Row],[Total]]*20%,0)</f>
        <v>0</v>
      </c>
      <c r="E512" s="28">
        <f>ROUND(Balances[[#This Row],[Total]]*40%,0)</f>
        <v>0</v>
      </c>
      <c r="F512" s="17">
        <f>SUM(Acueducto[[#This Row],[Acueducto]:[Aseo]])</f>
        <v>0</v>
      </c>
    </row>
    <row r="513" spans="1:6" ht="15" x14ac:dyDescent="0.2">
      <c r="A513" s="7">
        <v>153005</v>
      </c>
      <c r="B513" s="3" t="s">
        <v>293</v>
      </c>
      <c r="C513" s="29">
        <f>ROUND(Balances[[#This Row],[Total]]*40%,0)</f>
        <v>0</v>
      </c>
      <c r="D513" s="29">
        <f>ROUND(Balances[[#This Row],[Total]]*20%,0)</f>
        <v>0</v>
      </c>
      <c r="E513" s="29">
        <f>ROUND(Balances[[#This Row],[Total]]*40%,0)</f>
        <v>0</v>
      </c>
      <c r="F513" s="18">
        <f>SUM(Acueducto[[#This Row],[Acueducto]:[Aseo]])</f>
        <v>0</v>
      </c>
    </row>
    <row r="514" spans="1:6" ht="15" x14ac:dyDescent="0.2">
      <c r="A514" s="7">
        <v>153006</v>
      </c>
      <c r="B514" s="3" t="s">
        <v>296</v>
      </c>
      <c r="C514" s="29">
        <f>ROUND(Balances[[#This Row],[Total]]*40%,0)</f>
        <v>0</v>
      </c>
      <c r="D514" s="29">
        <f>ROUND(Balances[[#This Row],[Total]]*20%,0)</f>
        <v>0</v>
      </c>
      <c r="E514" s="29">
        <f>ROUND(Balances[[#This Row],[Total]]*40%,0)</f>
        <v>0</v>
      </c>
      <c r="F514" s="18">
        <f>SUM(Acueducto[[#This Row],[Acueducto]:[Aseo]])</f>
        <v>0</v>
      </c>
    </row>
    <row r="515" spans="1:6" ht="15" x14ac:dyDescent="0.2">
      <c r="A515" s="7">
        <v>153007</v>
      </c>
      <c r="B515" s="3" t="s">
        <v>326</v>
      </c>
      <c r="C515" s="29">
        <f>ROUND(Balances[[#This Row],[Total]]*40%,0)</f>
        <v>0</v>
      </c>
      <c r="D515" s="29">
        <f>ROUND(Balances[[#This Row],[Total]]*20%,0)</f>
        <v>0</v>
      </c>
      <c r="E515" s="29">
        <f>ROUND(Balances[[#This Row],[Total]]*40%,0)</f>
        <v>0</v>
      </c>
      <c r="F515" s="18">
        <f>SUM(Acueducto[[#This Row],[Acueducto]:[Aseo]])</f>
        <v>0</v>
      </c>
    </row>
    <row r="516" spans="1:6" ht="15" x14ac:dyDescent="0.2">
      <c r="A516" s="7">
        <v>153008</v>
      </c>
      <c r="B516" s="3" t="s">
        <v>329</v>
      </c>
      <c r="C516" s="29">
        <f>ROUND(Balances[[#This Row],[Total]]*40%,0)</f>
        <v>0</v>
      </c>
      <c r="D516" s="29">
        <f>ROUND(Balances[[#This Row],[Total]]*20%,0)</f>
        <v>0</v>
      </c>
      <c r="E516" s="29">
        <f>ROUND(Balances[[#This Row],[Total]]*40%,0)</f>
        <v>0</v>
      </c>
      <c r="F516" s="18">
        <f>SUM(Acueducto[[#This Row],[Acueducto]:[Aseo]])</f>
        <v>0</v>
      </c>
    </row>
    <row r="517" spans="1:6" ht="15" x14ac:dyDescent="0.2">
      <c r="A517" s="7">
        <v>153009</v>
      </c>
      <c r="B517" s="3" t="s">
        <v>353</v>
      </c>
      <c r="C517" s="29">
        <f>ROUND(Balances[[#This Row],[Total]]*40%,0)</f>
        <v>0</v>
      </c>
      <c r="D517" s="29">
        <f>ROUND(Balances[[#This Row],[Total]]*20%,0)</f>
        <v>0</v>
      </c>
      <c r="E517" s="29">
        <f>ROUND(Balances[[#This Row],[Total]]*40%,0)</f>
        <v>0</v>
      </c>
      <c r="F517" s="18">
        <f>SUM(Acueducto[[#This Row],[Acueducto]:[Aseo]])</f>
        <v>0</v>
      </c>
    </row>
    <row r="518" spans="1:6" ht="15" x14ac:dyDescent="0.2">
      <c r="A518" s="7">
        <v>153010</v>
      </c>
      <c r="B518" s="3" t="s">
        <v>120</v>
      </c>
      <c r="C518" s="29">
        <f>ROUND(Balances[[#This Row],[Total]]*40%,0)</f>
        <v>0</v>
      </c>
      <c r="D518" s="29">
        <f>ROUND(Balances[[#This Row],[Total]]*20%,0)</f>
        <v>0</v>
      </c>
      <c r="E518" s="29">
        <f>ROUND(Balances[[#This Row],[Total]]*40%,0)</f>
        <v>0</v>
      </c>
      <c r="F518" s="18">
        <f>SUM(Acueducto[[#This Row],[Acueducto]:[Aseo]])</f>
        <v>0</v>
      </c>
    </row>
    <row r="519" spans="1:6" ht="15" x14ac:dyDescent="0.2">
      <c r="A519" s="7">
        <v>153013</v>
      </c>
      <c r="B519" s="3" t="s">
        <v>309</v>
      </c>
      <c r="C519" s="29">
        <f>ROUND(Balances[[#This Row],[Total]]*40%,0)</f>
        <v>0</v>
      </c>
      <c r="D519" s="29">
        <f>ROUND(Balances[[#This Row],[Total]]*20%,0)</f>
        <v>0</v>
      </c>
      <c r="E519" s="29">
        <f>ROUND(Balances[[#This Row],[Total]]*40%,0)</f>
        <v>0</v>
      </c>
      <c r="F519" s="18">
        <f>SUM(Acueducto[[#This Row],[Acueducto]:[Aseo]])</f>
        <v>0</v>
      </c>
    </row>
    <row r="520" spans="1:6" ht="15" x14ac:dyDescent="0.2">
      <c r="A520" s="7">
        <v>153014</v>
      </c>
      <c r="B520" s="3" t="s">
        <v>294</v>
      </c>
      <c r="C520" s="29">
        <f>ROUND(Balances[[#This Row],[Total]]*40%,0)</f>
        <v>0</v>
      </c>
      <c r="D520" s="29">
        <f>ROUND(Balances[[#This Row],[Total]]*20%,0)</f>
        <v>0</v>
      </c>
      <c r="E520" s="29">
        <f>ROUND(Balances[[#This Row],[Total]]*40%,0)</f>
        <v>0</v>
      </c>
      <c r="F520" s="18">
        <f>SUM(Acueducto[[#This Row],[Acueducto]:[Aseo]])</f>
        <v>0</v>
      </c>
    </row>
    <row r="521" spans="1:6" ht="15" x14ac:dyDescent="0.2">
      <c r="A521" s="7">
        <v>153015</v>
      </c>
      <c r="B521" s="3" t="s">
        <v>116</v>
      </c>
      <c r="C521" s="29">
        <f>ROUND(Balances[[#This Row],[Total]]*40%,0)</f>
        <v>0</v>
      </c>
      <c r="D521" s="29">
        <f>ROUND(Balances[[#This Row],[Total]]*20%,0)</f>
        <v>0</v>
      </c>
      <c r="E521" s="29">
        <f>ROUND(Balances[[#This Row],[Total]]*40%,0)</f>
        <v>0</v>
      </c>
      <c r="F521" s="18">
        <f>SUM(Acueducto[[#This Row],[Acueducto]:[Aseo]])</f>
        <v>0</v>
      </c>
    </row>
    <row r="522" spans="1:6" ht="15" x14ac:dyDescent="0.2">
      <c r="A522" s="7">
        <v>153018</v>
      </c>
      <c r="B522" s="3" t="s">
        <v>295</v>
      </c>
      <c r="C522" s="29">
        <f>ROUND(Balances[[#This Row],[Total]]*40%,0)</f>
        <v>0</v>
      </c>
      <c r="D522" s="29">
        <f>ROUND(Balances[[#This Row],[Total]]*20%,0)</f>
        <v>0</v>
      </c>
      <c r="E522" s="29">
        <f>ROUND(Balances[[#This Row],[Total]]*40%,0)</f>
        <v>0</v>
      </c>
      <c r="F522" s="18">
        <f>SUM(Acueducto[[#This Row],[Acueducto]:[Aseo]])</f>
        <v>0</v>
      </c>
    </row>
    <row r="523" spans="1:6" ht="15" x14ac:dyDescent="0.2">
      <c r="A523" s="7">
        <v>153021</v>
      </c>
      <c r="B523" s="3" t="s">
        <v>356</v>
      </c>
      <c r="C523" s="29">
        <f>ROUND(Balances[[#This Row],[Total]]*40%,0)</f>
        <v>0</v>
      </c>
      <c r="D523" s="29">
        <f>ROUND(Balances[[#This Row],[Total]]*20%,0)</f>
        <v>0</v>
      </c>
      <c r="E523" s="29">
        <f>ROUND(Balances[[#This Row],[Total]]*40%,0)</f>
        <v>0</v>
      </c>
      <c r="F523" s="18">
        <f>SUM(Acueducto[[#This Row],[Acueducto]:[Aseo]])</f>
        <v>0</v>
      </c>
    </row>
    <row r="524" spans="1:6" ht="15" x14ac:dyDescent="0.2">
      <c r="A524" s="7">
        <v>153023</v>
      </c>
      <c r="B524" s="3" t="s">
        <v>297</v>
      </c>
      <c r="C524" s="29">
        <f>ROUND(Balances[[#This Row],[Total]]*40%,0)</f>
        <v>0</v>
      </c>
      <c r="D524" s="29">
        <f>ROUND(Balances[[#This Row],[Total]]*20%,0)</f>
        <v>0</v>
      </c>
      <c r="E524" s="29">
        <f>ROUND(Balances[[#This Row],[Total]]*40%,0)</f>
        <v>0</v>
      </c>
      <c r="F524" s="18">
        <f>SUM(Acueducto[[#This Row],[Acueducto]:[Aseo]])</f>
        <v>0</v>
      </c>
    </row>
    <row r="525" spans="1:6" ht="15" x14ac:dyDescent="0.2">
      <c r="A525" s="7">
        <v>153024</v>
      </c>
      <c r="B525" s="3" t="s">
        <v>298</v>
      </c>
      <c r="C525" s="29">
        <f>ROUND(Balances[[#This Row],[Total]]*40%,0)</f>
        <v>0</v>
      </c>
      <c r="D525" s="29">
        <f>ROUND(Balances[[#This Row],[Total]]*20%,0)</f>
        <v>0</v>
      </c>
      <c r="E525" s="29">
        <f>ROUND(Balances[[#This Row],[Total]]*40%,0)</f>
        <v>0</v>
      </c>
      <c r="F525" s="18">
        <f>SUM(Acueducto[[#This Row],[Acueducto]:[Aseo]])</f>
        <v>0</v>
      </c>
    </row>
    <row r="526" spans="1:6" ht="15" x14ac:dyDescent="0.2">
      <c r="A526" s="7">
        <v>153028</v>
      </c>
      <c r="B526" s="3" t="s">
        <v>320</v>
      </c>
      <c r="C526" s="29">
        <f>ROUND(Balances[[#This Row],[Total]]*40%,0)</f>
        <v>0</v>
      </c>
      <c r="D526" s="29">
        <f>ROUND(Balances[[#This Row],[Total]]*20%,0)</f>
        <v>0</v>
      </c>
      <c r="E526" s="29">
        <f>ROUND(Balances[[#This Row],[Total]]*40%,0)</f>
        <v>0</v>
      </c>
      <c r="F526" s="18">
        <f>SUM(Acueducto[[#This Row],[Acueducto]:[Aseo]])</f>
        <v>0</v>
      </c>
    </row>
    <row r="527" spans="1:6" ht="15" x14ac:dyDescent="0.2">
      <c r="A527" s="7">
        <v>153030</v>
      </c>
      <c r="B527" s="3" t="s">
        <v>328</v>
      </c>
      <c r="C527" s="29">
        <f>ROUND(Balances[[#This Row],[Total]]*40%,0)</f>
        <v>0</v>
      </c>
      <c r="D527" s="29">
        <f>ROUND(Balances[[#This Row],[Total]]*20%,0)</f>
        <v>0</v>
      </c>
      <c r="E527" s="29">
        <f>ROUND(Balances[[#This Row],[Total]]*40%,0)</f>
        <v>0</v>
      </c>
      <c r="F527" s="18">
        <f>SUM(Acueducto[[#This Row],[Acueducto]:[Aseo]])</f>
        <v>0</v>
      </c>
    </row>
    <row r="528" spans="1:6" ht="15" x14ac:dyDescent="0.2">
      <c r="A528" s="7">
        <v>153031</v>
      </c>
      <c r="B528" s="3" t="s">
        <v>319</v>
      </c>
      <c r="C528" s="29">
        <f>ROUND(Balances[[#This Row],[Total]]*40%,0)</f>
        <v>0</v>
      </c>
      <c r="D528" s="29">
        <f>ROUND(Balances[[#This Row],[Total]]*20%,0)</f>
        <v>0</v>
      </c>
      <c r="E528" s="29">
        <f>ROUND(Balances[[#This Row],[Total]]*40%,0)</f>
        <v>0</v>
      </c>
      <c r="F528" s="18">
        <f>SUM(Acueducto[[#This Row],[Acueducto]:[Aseo]])</f>
        <v>0</v>
      </c>
    </row>
    <row r="529" spans="1:6" ht="15" x14ac:dyDescent="0.2">
      <c r="A529" s="7">
        <v>153033</v>
      </c>
      <c r="B529" s="3" t="s">
        <v>351</v>
      </c>
      <c r="C529" s="29">
        <f>ROUND(Balances[[#This Row],[Total]]*40%,0)</f>
        <v>0</v>
      </c>
      <c r="D529" s="29">
        <f>ROUND(Balances[[#This Row],[Total]]*20%,0)</f>
        <v>0</v>
      </c>
      <c r="E529" s="29">
        <f>ROUND(Balances[[#This Row],[Total]]*40%,0)</f>
        <v>0</v>
      </c>
      <c r="F529" s="18">
        <f>SUM(Acueducto[[#This Row],[Acueducto]:[Aseo]])</f>
        <v>0</v>
      </c>
    </row>
    <row r="530" spans="1:6" ht="15" x14ac:dyDescent="0.2">
      <c r="A530" s="7">
        <v>153034</v>
      </c>
      <c r="B530" s="3" t="s">
        <v>352</v>
      </c>
      <c r="C530" s="29">
        <f>ROUND(Balances[[#This Row],[Total]]*40%,0)</f>
        <v>0</v>
      </c>
      <c r="D530" s="29">
        <f>ROUND(Balances[[#This Row],[Total]]*20%,0)</f>
        <v>0</v>
      </c>
      <c r="E530" s="29">
        <f>ROUND(Balances[[#This Row],[Total]]*40%,0)</f>
        <v>0</v>
      </c>
      <c r="F530" s="18">
        <f>SUM(Acueducto[[#This Row],[Acueducto]:[Aseo]])</f>
        <v>0</v>
      </c>
    </row>
    <row r="531" spans="1:6" ht="15" x14ac:dyDescent="0.2">
      <c r="A531" s="7">
        <v>153040</v>
      </c>
      <c r="B531" s="3" t="s">
        <v>311</v>
      </c>
      <c r="C531" s="29">
        <f>ROUND(Balances[[#This Row],[Total]]*40%,0)</f>
        <v>0</v>
      </c>
      <c r="D531" s="29">
        <f>ROUND(Balances[[#This Row],[Total]]*20%,0)</f>
        <v>0</v>
      </c>
      <c r="E531" s="29">
        <f>ROUND(Balances[[#This Row],[Total]]*40%,0)</f>
        <v>0</v>
      </c>
      <c r="F531" s="18">
        <f>SUM(Acueducto[[#This Row],[Acueducto]:[Aseo]])</f>
        <v>0</v>
      </c>
    </row>
    <row r="532" spans="1:6" ht="15" x14ac:dyDescent="0.2">
      <c r="A532" s="7">
        <v>153042</v>
      </c>
      <c r="B532" s="3" t="s">
        <v>315</v>
      </c>
      <c r="C532" s="29">
        <f>ROUND(Balances[[#This Row],[Total]]*40%,0)</f>
        <v>0</v>
      </c>
      <c r="D532" s="29">
        <f>ROUND(Balances[[#This Row],[Total]]*20%,0)</f>
        <v>0</v>
      </c>
      <c r="E532" s="29">
        <f>ROUND(Balances[[#This Row],[Total]]*40%,0)</f>
        <v>0</v>
      </c>
      <c r="F532" s="18">
        <f>SUM(Acueducto[[#This Row],[Acueducto]:[Aseo]])</f>
        <v>0</v>
      </c>
    </row>
    <row r="533" spans="1:6" ht="15" x14ac:dyDescent="0.2">
      <c r="A533" s="7">
        <v>153090</v>
      </c>
      <c r="B533" s="3" t="s">
        <v>357</v>
      </c>
      <c r="C533" s="29">
        <f>ROUND(Balances[[#This Row],[Total]]*40%,0)</f>
        <v>0</v>
      </c>
      <c r="D533" s="29">
        <f>ROUND(Balances[[#This Row],[Total]]*20%,0)</f>
        <v>0</v>
      </c>
      <c r="E533" s="29">
        <f>ROUND(Balances[[#This Row],[Total]]*40%,0)</f>
        <v>0</v>
      </c>
      <c r="F533" s="18">
        <f>SUM(Acueducto[[#This Row],[Acueducto]:[Aseo]])</f>
        <v>0</v>
      </c>
    </row>
    <row r="534" spans="1:6" ht="15" x14ac:dyDescent="0.2">
      <c r="A534" s="6">
        <v>1580</v>
      </c>
      <c r="B534" s="2" t="s">
        <v>358</v>
      </c>
      <c r="C534" s="28">
        <f>ROUND(Balances[[#This Row],[Total]]*40%,0)</f>
        <v>0</v>
      </c>
      <c r="D534" s="28">
        <f>ROUND(Balances[[#This Row],[Total]]*20%,0)</f>
        <v>0</v>
      </c>
      <c r="E534" s="28">
        <f>ROUND(Balances[[#This Row],[Total]]*40%,0)</f>
        <v>0</v>
      </c>
      <c r="F534" s="17">
        <f>SUM(Acueducto[[#This Row],[Acueducto]:[Aseo]])</f>
        <v>0</v>
      </c>
    </row>
    <row r="535" spans="1:6" ht="15" x14ac:dyDescent="0.2">
      <c r="A535" s="7">
        <v>158001</v>
      </c>
      <c r="B535" s="3" t="s">
        <v>359</v>
      </c>
      <c r="C535" s="29">
        <f>ROUND(Balances[[#This Row],[Total]]*40%,0)</f>
        <v>0</v>
      </c>
      <c r="D535" s="29">
        <f>ROUND(Balances[[#This Row],[Total]]*20%,0)</f>
        <v>0</v>
      </c>
      <c r="E535" s="29">
        <f>ROUND(Balances[[#This Row],[Total]]*40%,0)</f>
        <v>0</v>
      </c>
      <c r="F535" s="18">
        <f>SUM(Acueducto[[#This Row],[Acueducto]:[Aseo]])</f>
        <v>0</v>
      </c>
    </row>
    <row r="536" spans="1:6" ht="15" x14ac:dyDescent="0.2">
      <c r="A536" s="7">
        <v>158002</v>
      </c>
      <c r="B536" s="3" t="s">
        <v>360</v>
      </c>
      <c r="C536" s="29">
        <f>ROUND(Balances[[#This Row],[Total]]*40%,0)</f>
        <v>0</v>
      </c>
      <c r="D536" s="29">
        <f>ROUND(Balances[[#This Row],[Total]]*20%,0)</f>
        <v>0</v>
      </c>
      <c r="E536" s="29">
        <f>ROUND(Balances[[#This Row],[Total]]*40%,0)</f>
        <v>0</v>
      </c>
      <c r="F536" s="18">
        <f>SUM(Acueducto[[#This Row],[Acueducto]:[Aseo]])</f>
        <v>0</v>
      </c>
    </row>
    <row r="537" spans="1:6" ht="15" x14ac:dyDescent="0.2">
      <c r="A537" s="7">
        <v>158004</v>
      </c>
      <c r="B537" s="3" t="s">
        <v>361</v>
      </c>
      <c r="C537" s="29">
        <f>ROUND(Balances[[#This Row],[Total]]*40%,0)</f>
        <v>0</v>
      </c>
      <c r="D537" s="29">
        <f>ROUND(Balances[[#This Row],[Total]]*20%,0)</f>
        <v>0</v>
      </c>
      <c r="E537" s="29">
        <f>ROUND(Balances[[#This Row],[Total]]*40%,0)</f>
        <v>0</v>
      </c>
      <c r="F537" s="18">
        <f>SUM(Acueducto[[#This Row],[Acueducto]:[Aseo]])</f>
        <v>0</v>
      </c>
    </row>
    <row r="538" spans="1:6" ht="15" x14ac:dyDescent="0.2">
      <c r="A538" s="7">
        <v>158006</v>
      </c>
      <c r="B538" s="3" t="s">
        <v>326</v>
      </c>
      <c r="C538" s="29">
        <f>ROUND(Balances[[#This Row],[Total]]*40%,0)</f>
        <v>0</v>
      </c>
      <c r="D538" s="29">
        <f>ROUND(Balances[[#This Row],[Total]]*20%,0)</f>
        <v>0</v>
      </c>
      <c r="E538" s="29">
        <f>ROUND(Balances[[#This Row],[Total]]*40%,0)</f>
        <v>0</v>
      </c>
      <c r="F538" s="18">
        <f>SUM(Acueducto[[#This Row],[Acueducto]:[Aseo]])</f>
        <v>0</v>
      </c>
    </row>
    <row r="539" spans="1:6" ht="15" x14ac:dyDescent="0.2">
      <c r="A539" s="7">
        <v>158010</v>
      </c>
      <c r="B539" s="3" t="s">
        <v>362</v>
      </c>
      <c r="C539" s="29">
        <f>ROUND(Balances[[#This Row],[Total]]*40%,0)</f>
        <v>0</v>
      </c>
      <c r="D539" s="29">
        <f>ROUND(Balances[[#This Row],[Total]]*20%,0)</f>
        <v>0</v>
      </c>
      <c r="E539" s="29">
        <f>ROUND(Balances[[#This Row],[Total]]*40%,0)</f>
        <v>0</v>
      </c>
      <c r="F539" s="18">
        <f>SUM(Acueducto[[#This Row],[Acueducto]:[Aseo]])</f>
        <v>0</v>
      </c>
    </row>
    <row r="540" spans="1:6" ht="15" x14ac:dyDescent="0.2">
      <c r="A540" s="7">
        <v>158011</v>
      </c>
      <c r="B540" s="3" t="s">
        <v>363</v>
      </c>
      <c r="C540" s="29">
        <f>ROUND(Balances[[#This Row],[Total]]*40%,0)</f>
        <v>0</v>
      </c>
      <c r="D540" s="29">
        <f>ROUND(Balances[[#This Row],[Total]]*20%,0)</f>
        <v>0</v>
      </c>
      <c r="E540" s="29">
        <f>ROUND(Balances[[#This Row],[Total]]*40%,0)</f>
        <v>0</v>
      </c>
      <c r="F540" s="18">
        <f>SUM(Acueducto[[#This Row],[Acueducto]:[Aseo]])</f>
        <v>0</v>
      </c>
    </row>
    <row r="541" spans="1:6" ht="15" x14ac:dyDescent="0.2">
      <c r="A541" s="7">
        <v>158012</v>
      </c>
      <c r="B541" s="3" t="s">
        <v>364</v>
      </c>
      <c r="C541" s="29">
        <f>ROUND(Balances[[#This Row],[Total]]*40%,0)</f>
        <v>0</v>
      </c>
      <c r="D541" s="29">
        <f>ROUND(Balances[[#This Row],[Total]]*20%,0)</f>
        <v>0</v>
      </c>
      <c r="E541" s="29">
        <f>ROUND(Balances[[#This Row],[Total]]*40%,0)</f>
        <v>0</v>
      </c>
      <c r="F541" s="18">
        <f>SUM(Acueducto[[#This Row],[Acueducto]:[Aseo]])</f>
        <v>0</v>
      </c>
    </row>
    <row r="542" spans="1:6" ht="15" x14ac:dyDescent="0.2">
      <c r="A542" s="7">
        <v>158013</v>
      </c>
      <c r="B542" s="3" t="s">
        <v>365</v>
      </c>
      <c r="C542" s="29">
        <f>ROUND(Balances[[#This Row],[Total]]*40%,0)</f>
        <v>0</v>
      </c>
      <c r="D542" s="29">
        <f>ROUND(Balances[[#This Row],[Total]]*20%,0)</f>
        <v>0</v>
      </c>
      <c r="E542" s="29">
        <f>ROUND(Balances[[#This Row],[Total]]*40%,0)</f>
        <v>0</v>
      </c>
      <c r="F542" s="18">
        <f>SUM(Acueducto[[#This Row],[Acueducto]:[Aseo]])</f>
        <v>0</v>
      </c>
    </row>
    <row r="543" spans="1:6" ht="15" x14ac:dyDescent="0.2">
      <c r="A543" s="6">
        <v>16</v>
      </c>
      <c r="B543" s="2" t="s">
        <v>366</v>
      </c>
      <c r="C543" s="28">
        <f>ROUND(Balances[[#This Row],[Total]]*40%,0)</f>
        <v>6580804</v>
      </c>
      <c r="D543" s="28">
        <f>ROUND(Balances[[#This Row],[Total]]*20%,0)</f>
        <v>3290402</v>
      </c>
      <c r="E543" s="28">
        <f>ROUND(Balances[[#This Row],[Total]]*40%,0)</f>
        <v>6580804</v>
      </c>
      <c r="F543" s="28">
        <f>SUM(Acueducto[[#This Row],[Acueducto]:[Aseo]])</f>
        <v>16452010</v>
      </c>
    </row>
    <row r="544" spans="1:6" ht="15" x14ac:dyDescent="0.2">
      <c r="A544" s="6">
        <v>1605</v>
      </c>
      <c r="B544" s="2" t="s">
        <v>367</v>
      </c>
      <c r="C544" s="28">
        <f>ROUND(Balances[[#This Row],[Total]]*40%,0)</f>
        <v>0</v>
      </c>
      <c r="D544" s="28">
        <f>ROUND(Balances[[#This Row],[Total]]*20%,0)</f>
        <v>0</v>
      </c>
      <c r="E544" s="28">
        <f>ROUND(Balances[[#This Row],[Total]]*40%,0)</f>
        <v>0</v>
      </c>
      <c r="F544" s="17">
        <f>SUM(Acueducto[[#This Row],[Acueducto]:[Aseo]])</f>
        <v>0</v>
      </c>
    </row>
    <row r="545" spans="1:6" ht="15" x14ac:dyDescent="0.2">
      <c r="A545" s="7">
        <v>160501</v>
      </c>
      <c r="B545" s="3" t="s">
        <v>368</v>
      </c>
      <c r="C545" s="29">
        <f>ROUND(Balances[[#This Row],[Total]]*40%,0)</f>
        <v>0</v>
      </c>
      <c r="D545" s="29">
        <f>ROUND(Balances[[#This Row],[Total]]*20%,0)</f>
        <v>0</v>
      </c>
      <c r="E545" s="29">
        <f>ROUND(Balances[[#This Row],[Total]]*40%,0)</f>
        <v>0</v>
      </c>
      <c r="F545" s="18">
        <f>SUM(Acueducto[[#This Row],[Acueducto]:[Aseo]])</f>
        <v>0</v>
      </c>
    </row>
    <row r="546" spans="1:6" ht="15" x14ac:dyDescent="0.2">
      <c r="A546" s="7">
        <v>160502</v>
      </c>
      <c r="B546" s="3" t="s">
        <v>369</v>
      </c>
      <c r="C546" s="29">
        <f>ROUND(Balances[[#This Row],[Total]]*40%,0)</f>
        <v>0</v>
      </c>
      <c r="D546" s="29">
        <f>ROUND(Balances[[#This Row],[Total]]*20%,0)</f>
        <v>0</v>
      </c>
      <c r="E546" s="29">
        <f>ROUND(Balances[[#This Row],[Total]]*40%,0)</f>
        <v>0</v>
      </c>
      <c r="F546" s="18">
        <f>SUM(Acueducto[[#This Row],[Acueducto]:[Aseo]])</f>
        <v>0</v>
      </c>
    </row>
    <row r="547" spans="1:6" ht="15" x14ac:dyDescent="0.2">
      <c r="A547" s="7">
        <v>160503</v>
      </c>
      <c r="B547" s="3" t="s">
        <v>370</v>
      </c>
      <c r="C547" s="29">
        <f>ROUND(Balances[[#This Row],[Total]]*40%,0)</f>
        <v>0</v>
      </c>
      <c r="D547" s="29">
        <f>ROUND(Balances[[#This Row],[Total]]*20%,0)</f>
        <v>0</v>
      </c>
      <c r="E547" s="29">
        <f>ROUND(Balances[[#This Row],[Total]]*40%,0)</f>
        <v>0</v>
      </c>
      <c r="F547" s="18">
        <f>SUM(Acueducto[[#This Row],[Acueducto]:[Aseo]])</f>
        <v>0</v>
      </c>
    </row>
    <row r="548" spans="1:6" ht="15" x14ac:dyDescent="0.2">
      <c r="A548" s="7">
        <v>160504</v>
      </c>
      <c r="B548" s="3" t="s">
        <v>371</v>
      </c>
      <c r="C548" s="29">
        <f>ROUND(Balances[[#This Row],[Total]]*40%,0)</f>
        <v>0</v>
      </c>
      <c r="D548" s="29">
        <f>ROUND(Balances[[#This Row],[Total]]*20%,0)</f>
        <v>0</v>
      </c>
      <c r="E548" s="29">
        <f>ROUND(Balances[[#This Row],[Total]]*40%,0)</f>
        <v>0</v>
      </c>
      <c r="F548" s="18">
        <f>SUM(Acueducto[[#This Row],[Acueducto]:[Aseo]])</f>
        <v>0</v>
      </c>
    </row>
    <row r="549" spans="1:6" ht="15" x14ac:dyDescent="0.2">
      <c r="A549" s="7">
        <v>160505</v>
      </c>
      <c r="B549" s="3" t="s">
        <v>372</v>
      </c>
      <c r="C549" s="29">
        <f>ROUND(Balances[[#This Row],[Total]]*40%,0)</f>
        <v>0</v>
      </c>
      <c r="D549" s="29">
        <f>ROUND(Balances[[#This Row],[Total]]*20%,0)</f>
        <v>0</v>
      </c>
      <c r="E549" s="29">
        <f>ROUND(Balances[[#This Row],[Total]]*40%,0)</f>
        <v>0</v>
      </c>
      <c r="F549" s="18">
        <f>SUM(Acueducto[[#This Row],[Acueducto]:[Aseo]])</f>
        <v>0</v>
      </c>
    </row>
    <row r="550" spans="1:6" ht="15" x14ac:dyDescent="0.2">
      <c r="A550" s="6">
        <v>1610</v>
      </c>
      <c r="B550" s="2" t="s">
        <v>373</v>
      </c>
      <c r="C550" s="28">
        <f>ROUND(Balances[[#This Row],[Total]]*40%,0)</f>
        <v>0</v>
      </c>
      <c r="D550" s="28">
        <f>ROUND(Balances[[#This Row],[Total]]*20%,0)</f>
        <v>0</v>
      </c>
      <c r="E550" s="28">
        <f>ROUND(Balances[[#This Row],[Total]]*40%,0)</f>
        <v>0</v>
      </c>
      <c r="F550" s="17">
        <f>SUM(Acueducto[[#This Row],[Acueducto]:[Aseo]])</f>
        <v>0</v>
      </c>
    </row>
    <row r="551" spans="1:6" ht="15" x14ac:dyDescent="0.2">
      <c r="A551" s="7">
        <v>161001</v>
      </c>
      <c r="B551" s="3" t="s">
        <v>374</v>
      </c>
      <c r="C551" s="29">
        <f>ROUND(Balances[[#This Row],[Total]]*40%,0)</f>
        <v>0</v>
      </c>
      <c r="D551" s="29">
        <f>ROUND(Balances[[#This Row],[Total]]*20%,0)</f>
        <v>0</v>
      </c>
      <c r="E551" s="29">
        <f>ROUND(Balances[[#This Row],[Total]]*40%,0)</f>
        <v>0</v>
      </c>
      <c r="F551" s="18">
        <f>SUM(Acueducto[[#This Row],[Acueducto]:[Aseo]])</f>
        <v>0</v>
      </c>
    </row>
    <row r="552" spans="1:6" ht="15" x14ac:dyDescent="0.2">
      <c r="A552" s="7">
        <v>161002</v>
      </c>
      <c r="B552" s="3" t="s">
        <v>375</v>
      </c>
      <c r="C552" s="29">
        <f>ROUND(Balances[[#This Row],[Total]]*40%,0)</f>
        <v>0</v>
      </c>
      <c r="D552" s="29">
        <f>ROUND(Balances[[#This Row],[Total]]*20%,0)</f>
        <v>0</v>
      </c>
      <c r="E552" s="29">
        <f>ROUND(Balances[[#This Row],[Total]]*40%,0)</f>
        <v>0</v>
      </c>
      <c r="F552" s="18">
        <f>SUM(Acueducto[[#This Row],[Acueducto]:[Aseo]])</f>
        <v>0</v>
      </c>
    </row>
    <row r="553" spans="1:6" ht="15" x14ac:dyDescent="0.2">
      <c r="A553" s="7">
        <v>161003</v>
      </c>
      <c r="B553" s="3" t="s">
        <v>376</v>
      </c>
      <c r="C553" s="29">
        <f>ROUND(Balances[[#This Row],[Total]]*40%,0)</f>
        <v>0</v>
      </c>
      <c r="D553" s="29">
        <f>ROUND(Balances[[#This Row],[Total]]*20%,0)</f>
        <v>0</v>
      </c>
      <c r="E553" s="29">
        <f>ROUND(Balances[[#This Row],[Total]]*40%,0)</f>
        <v>0</v>
      </c>
      <c r="F553" s="18">
        <f>SUM(Acueducto[[#This Row],[Acueducto]:[Aseo]])</f>
        <v>0</v>
      </c>
    </row>
    <row r="554" spans="1:6" ht="15" x14ac:dyDescent="0.2">
      <c r="A554" s="7">
        <v>161004</v>
      </c>
      <c r="B554" s="3" t="s">
        <v>377</v>
      </c>
      <c r="C554" s="29">
        <f>ROUND(Balances[[#This Row],[Total]]*40%,0)</f>
        <v>0</v>
      </c>
      <c r="D554" s="29">
        <f>ROUND(Balances[[#This Row],[Total]]*20%,0)</f>
        <v>0</v>
      </c>
      <c r="E554" s="29">
        <f>ROUND(Balances[[#This Row],[Total]]*40%,0)</f>
        <v>0</v>
      </c>
      <c r="F554" s="18">
        <f>SUM(Acueducto[[#This Row],[Acueducto]:[Aseo]])</f>
        <v>0</v>
      </c>
    </row>
    <row r="555" spans="1:6" ht="15" x14ac:dyDescent="0.2">
      <c r="A555" s="7">
        <v>161005</v>
      </c>
      <c r="B555" s="3" t="s">
        <v>378</v>
      </c>
      <c r="C555" s="29">
        <f>ROUND(Balances[[#This Row],[Total]]*40%,0)</f>
        <v>0</v>
      </c>
      <c r="D555" s="29">
        <f>ROUND(Balances[[#This Row],[Total]]*20%,0)</f>
        <v>0</v>
      </c>
      <c r="E555" s="29">
        <f>ROUND(Balances[[#This Row],[Total]]*40%,0)</f>
        <v>0</v>
      </c>
      <c r="F555" s="18">
        <f>SUM(Acueducto[[#This Row],[Acueducto]:[Aseo]])</f>
        <v>0</v>
      </c>
    </row>
    <row r="556" spans="1:6" ht="15" x14ac:dyDescent="0.2">
      <c r="A556" s="7">
        <v>161006</v>
      </c>
      <c r="B556" s="3" t="s">
        <v>379</v>
      </c>
      <c r="C556" s="29">
        <f>ROUND(Balances[[#This Row],[Total]]*40%,0)</f>
        <v>0</v>
      </c>
      <c r="D556" s="29">
        <f>ROUND(Balances[[#This Row],[Total]]*20%,0)</f>
        <v>0</v>
      </c>
      <c r="E556" s="29">
        <f>ROUND(Balances[[#This Row],[Total]]*40%,0)</f>
        <v>0</v>
      </c>
      <c r="F556" s="18">
        <f>SUM(Acueducto[[#This Row],[Acueducto]:[Aseo]])</f>
        <v>0</v>
      </c>
    </row>
    <row r="557" spans="1:6" ht="15" x14ac:dyDescent="0.2">
      <c r="A557" s="7">
        <v>161090</v>
      </c>
      <c r="B557" s="3" t="s">
        <v>380</v>
      </c>
      <c r="C557" s="29">
        <f>ROUND(Balances[[#This Row],[Total]]*40%,0)</f>
        <v>0</v>
      </c>
      <c r="D557" s="29">
        <f>ROUND(Balances[[#This Row],[Total]]*20%,0)</f>
        <v>0</v>
      </c>
      <c r="E557" s="29">
        <f>ROUND(Balances[[#This Row],[Total]]*40%,0)</f>
        <v>0</v>
      </c>
      <c r="F557" s="18">
        <f>SUM(Acueducto[[#This Row],[Acueducto]:[Aseo]])</f>
        <v>0</v>
      </c>
    </row>
    <row r="558" spans="1:6" ht="15" x14ac:dyDescent="0.2">
      <c r="A558" s="6">
        <v>1612</v>
      </c>
      <c r="B558" s="2" t="s">
        <v>381</v>
      </c>
      <c r="C558" s="28">
        <f>ROUND(Balances[[#This Row],[Total]]*40%,0)</f>
        <v>0</v>
      </c>
      <c r="D558" s="28">
        <f>ROUND(Balances[[#This Row],[Total]]*20%,0)</f>
        <v>0</v>
      </c>
      <c r="E558" s="28">
        <f>ROUND(Balances[[#This Row],[Total]]*40%,0)</f>
        <v>0</v>
      </c>
      <c r="F558" s="17">
        <f>SUM(Acueducto[[#This Row],[Acueducto]:[Aseo]])</f>
        <v>0</v>
      </c>
    </row>
    <row r="559" spans="1:6" ht="15" x14ac:dyDescent="0.2">
      <c r="A559" s="7">
        <v>161201</v>
      </c>
      <c r="B559" s="3" t="s">
        <v>382</v>
      </c>
      <c r="C559" s="29">
        <f>ROUND(Balances[[#This Row],[Total]]*40%,0)</f>
        <v>0</v>
      </c>
      <c r="D559" s="29">
        <f>ROUND(Balances[[#This Row],[Total]]*20%,0)</f>
        <v>0</v>
      </c>
      <c r="E559" s="29">
        <f>ROUND(Balances[[#This Row],[Total]]*40%,0)</f>
        <v>0</v>
      </c>
      <c r="F559" s="18">
        <f>SUM(Acueducto[[#This Row],[Acueducto]:[Aseo]])</f>
        <v>0</v>
      </c>
    </row>
    <row r="560" spans="1:6" ht="15" x14ac:dyDescent="0.2">
      <c r="A560" s="7">
        <v>161202</v>
      </c>
      <c r="B560" s="3" t="s">
        <v>383</v>
      </c>
      <c r="C560" s="29">
        <f>ROUND(Balances[[#This Row],[Total]]*40%,0)</f>
        <v>0</v>
      </c>
      <c r="D560" s="29">
        <f>ROUND(Balances[[#This Row],[Total]]*20%,0)</f>
        <v>0</v>
      </c>
      <c r="E560" s="29">
        <f>ROUND(Balances[[#This Row],[Total]]*40%,0)</f>
        <v>0</v>
      </c>
      <c r="F560" s="18">
        <f>SUM(Acueducto[[#This Row],[Acueducto]:[Aseo]])</f>
        <v>0</v>
      </c>
    </row>
    <row r="561" spans="1:6" ht="15" x14ac:dyDescent="0.2">
      <c r="A561" s="6">
        <v>1615</v>
      </c>
      <c r="B561" s="2" t="s">
        <v>384</v>
      </c>
      <c r="C561" s="28">
        <f>ROUND(Balances[[#This Row],[Total]]*40%,0)</f>
        <v>0</v>
      </c>
      <c r="D561" s="28">
        <f>ROUND(Balances[[#This Row],[Total]]*20%,0)</f>
        <v>0</v>
      </c>
      <c r="E561" s="28">
        <f>ROUND(Balances[[#This Row],[Total]]*40%,0)</f>
        <v>0</v>
      </c>
      <c r="F561" s="17">
        <f>SUM(Acueducto[[#This Row],[Acueducto]:[Aseo]])</f>
        <v>0</v>
      </c>
    </row>
    <row r="562" spans="1:6" ht="15" x14ac:dyDescent="0.2">
      <c r="A562" s="7">
        <v>161501</v>
      </c>
      <c r="B562" s="3" t="s">
        <v>385</v>
      </c>
      <c r="C562" s="29">
        <f>ROUND(Balances[[#This Row],[Total]]*40%,0)</f>
        <v>0</v>
      </c>
      <c r="D562" s="29">
        <f>ROUND(Balances[[#This Row],[Total]]*20%,0)</f>
        <v>0</v>
      </c>
      <c r="E562" s="29">
        <f>ROUND(Balances[[#This Row],[Total]]*40%,0)</f>
        <v>0</v>
      </c>
      <c r="F562" s="18">
        <f>SUM(Acueducto[[#This Row],[Acueducto]:[Aseo]])</f>
        <v>0</v>
      </c>
    </row>
    <row r="563" spans="1:6" ht="15" x14ac:dyDescent="0.2">
      <c r="A563" s="7">
        <v>161504</v>
      </c>
      <c r="B563" s="3" t="s">
        <v>386</v>
      </c>
      <c r="C563" s="29">
        <f>ROUND(Balances[[#This Row],[Total]]*40%,0)</f>
        <v>0</v>
      </c>
      <c r="D563" s="29">
        <f>ROUND(Balances[[#This Row],[Total]]*20%,0)</f>
        <v>0</v>
      </c>
      <c r="E563" s="29">
        <f>ROUND(Balances[[#This Row],[Total]]*40%,0)</f>
        <v>0</v>
      </c>
      <c r="F563" s="18">
        <f>SUM(Acueducto[[#This Row],[Acueducto]:[Aseo]])</f>
        <v>0</v>
      </c>
    </row>
    <row r="564" spans="1:6" ht="15" x14ac:dyDescent="0.2">
      <c r="A564" s="7">
        <v>161505</v>
      </c>
      <c r="B564" s="3" t="s">
        <v>387</v>
      </c>
      <c r="C564" s="29">
        <f>ROUND(Balances[[#This Row],[Total]]*40%,0)</f>
        <v>0</v>
      </c>
      <c r="D564" s="29">
        <f>ROUND(Balances[[#This Row],[Total]]*20%,0)</f>
        <v>0</v>
      </c>
      <c r="E564" s="29">
        <f>ROUND(Balances[[#This Row],[Total]]*40%,0)</f>
        <v>0</v>
      </c>
      <c r="F564" s="18">
        <f>SUM(Acueducto[[#This Row],[Acueducto]:[Aseo]])</f>
        <v>0</v>
      </c>
    </row>
    <row r="565" spans="1:6" ht="15" x14ac:dyDescent="0.2">
      <c r="A565" s="7">
        <v>161590</v>
      </c>
      <c r="B565" s="3" t="s">
        <v>388</v>
      </c>
      <c r="C565" s="29">
        <f>ROUND(Balances[[#This Row],[Total]]*40%,0)</f>
        <v>0</v>
      </c>
      <c r="D565" s="29">
        <f>ROUND(Balances[[#This Row],[Total]]*20%,0)</f>
        <v>0</v>
      </c>
      <c r="E565" s="29">
        <f>ROUND(Balances[[#This Row],[Total]]*40%,0)</f>
        <v>0</v>
      </c>
      <c r="F565" s="18">
        <f>SUM(Acueducto[[#This Row],[Acueducto]:[Aseo]])</f>
        <v>0</v>
      </c>
    </row>
    <row r="566" spans="1:6" ht="15" x14ac:dyDescent="0.2">
      <c r="A566" s="6">
        <v>1620</v>
      </c>
      <c r="B566" s="2" t="s">
        <v>389</v>
      </c>
      <c r="C566" s="28">
        <f>ROUND(Balances[[#This Row],[Total]]*40%,0)</f>
        <v>0</v>
      </c>
      <c r="D566" s="28">
        <f>ROUND(Balances[[#This Row],[Total]]*20%,0)</f>
        <v>0</v>
      </c>
      <c r="E566" s="28">
        <f>ROUND(Balances[[#This Row],[Total]]*40%,0)</f>
        <v>0</v>
      </c>
      <c r="F566" s="17">
        <f>SUM(Acueducto[[#This Row],[Acueducto]:[Aseo]])</f>
        <v>0</v>
      </c>
    </row>
    <row r="567" spans="1:6" ht="15" x14ac:dyDescent="0.2">
      <c r="A567" s="7">
        <v>162001</v>
      </c>
      <c r="B567" s="3" t="s">
        <v>386</v>
      </c>
      <c r="C567" s="29">
        <f>ROUND(Balances[[#This Row],[Total]]*40%,0)</f>
        <v>0</v>
      </c>
      <c r="D567" s="29">
        <f>ROUND(Balances[[#This Row],[Total]]*20%,0)</f>
        <v>0</v>
      </c>
      <c r="E567" s="29">
        <f>ROUND(Balances[[#This Row],[Total]]*40%,0)</f>
        <v>0</v>
      </c>
      <c r="F567" s="18">
        <f>SUM(Acueducto[[#This Row],[Acueducto]:[Aseo]])</f>
        <v>0</v>
      </c>
    </row>
    <row r="568" spans="1:6" ht="15" x14ac:dyDescent="0.2">
      <c r="A568" s="7">
        <v>162002</v>
      </c>
      <c r="B568" s="3" t="s">
        <v>387</v>
      </c>
      <c r="C568" s="29">
        <f>ROUND(Balances[[#This Row],[Total]]*40%,0)</f>
        <v>0</v>
      </c>
      <c r="D568" s="29">
        <f>ROUND(Balances[[#This Row],[Total]]*20%,0)</f>
        <v>0</v>
      </c>
      <c r="E568" s="29">
        <f>ROUND(Balances[[#This Row],[Total]]*40%,0)</f>
        <v>0</v>
      </c>
      <c r="F568" s="18">
        <f>SUM(Acueducto[[#This Row],[Acueducto]:[Aseo]])</f>
        <v>0</v>
      </c>
    </row>
    <row r="569" spans="1:6" ht="15" x14ac:dyDescent="0.2">
      <c r="A569" s="7">
        <v>162003</v>
      </c>
      <c r="B569" s="3" t="s">
        <v>390</v>
      </c>
      <c r="C569" s="29">
        <f>ROUND(Balances[[#This Row],[Total]]*40%,0)</f>
        <v>0</v>
      </c>
      <c r="D569" s="29">
        <f>ROUND(Balances[[#This Row],[Total]]*20%,0)</f>
        <v>0</v>
      </c>
      <c r="E569" s="29">
        <f>ROUND(Balances[[#This Row],[Total]]*40%,0)</f>
        <v>0</v>
      </c>
      <c r="F569" s="18">
        <f>SUM(Acueducto[[#This Row],[Acueducto]:[Aseo]])</f>
        <v>0</v>
      </c>
    </row>
    <row r="570" spans="1:6" ht="15" x14ac:dyDescent="0.2">
      <c r="A570" s="7">
        <v>162004</v>
      </c>
      <c r="B570" s="3" t="s">
        <v>391</v>
      </c>
      <c r="C570" s="29">
        <f>ROUND(Balances[[#This Row],[Total]]*40%,0)</f>
        <v>0</v>
      </c>
      <c r="D570" s="29">
        <f>ROUND(Balances[[#This Row],[Total]]*20%,0)</f>
        <v>0</v>
      </c>
      <c r="E570" s="29">
        <f>ROUND(Balances[[#This Row],[Total]]*40%,0)</f>
        <v>0</v>
      </c>
      <c r="F570" s="18">
        <f>SUM(Acueducto[[#This Row],[Acueducto]:[Aseo]])</f>
        <v>0</v>
      </c>
    </row>
    <row r="571" spans="1:6" ht="15" x14ac:dyDescent="0.2">
      <c r="A571" s="7">
        <v>162005</v>
      </c>
      <c r="B571" s="3" t="s">
        <v>311</v>
      </c>
      <c r="C571" s="29">
        <f>ROUND(Balances[[#This Row],[Total]]*40%,0)</f>
        <v>0</v>
      </c>
      <c r="D571" s="29">
        <f>ROUND(Balances[[#This Row],[Total]]*20%,0)</f>
        <v>0</v>
      </c>
      <c r="E571" s="29">
        <f>ROUND(Balances[[#This Row],[Total]]*40%,0)</f>
        <v>0</v>
      </c>
      <c r="F571" s="18">
        <f>SUM(Acueducto[[#This Row],[Acueducto]:[Aseo]])</f>
        <v>0</v>
      </c>
    </row>
    <row r="572" spans="1:6" ht="15" x14ac:dyDescent="0.2">
      <c r="A572" s="7">
        <v>162007</v>
      </c>
      <c r="B572" s="3" t="s">
        <v>392</v>
      </c>
      <c r="C572" s="29">
        <f>ROUND(Balances[[#This Row],[Total]]*40%,0)</f>
        <v>0</v>
      </c>
      <c r="D572" s="29">
        <f>ROUND(Balances[[#This Row],[Total]]*20%,0)</f>
        <v>0</v>
      </c>
      <c r="E572" s="29">
        <f>ROUND(Balances[[#This Row],[Total]]*40%,0)</f>
        <v>0</v>
      </c>
      <c r="F572" s="18">
        <f>SUM(Acueducto[[#This Row],[Acueducto]:[Aseo]])</f>
        <v>0</v>
      </c>
    </row>
    <row r="573" spans="1:6" ht="15" x14ac:dyDescent="0.2">
      <c r="A573" s="7">
        <v>162008</v>
      </c>
      <c r="B573" s="3" t="s">
        <v>393</v>
      </c>
      <c r="C573" s="29">
        <f>ROUND(Balances[[#This Row],[Total]]*40%,0)</f>
        <v>0</v>
      </c>
      <c r="D573" s="29">
        <f>ROUND(Balances[[#This Row],[Total]]*20%,0)</f>
        <v>0</v>
      </c>
      <c r="E573" s="29">
        <f>ROUND(Balances[[#This Row],[Total]]*40%,0)</f>
        <v>0</v>
      </c>
      <c r="F573" s="18">
        <f>SUM(Acueducto[[#This Row],[Acueducto]:[Aseo]])</f>
        <v>0</v>
      </c>
    </row>
    <row r="574" spans="1:6" ht="15" x14ac:dyDescent="0.2">
      <c r="A574" s="7">
        <v>162090</v>
      </c>
      <c r="B574" s="3" t="s">
        <v>394</v>
      </c>
      <c r="C574" s="29">
        <f>ROUND(Balances[[#This Row],[Total]]*40%,0)</f>
        <v>0</v>
      </c>
      <c r="D574" s="29">
        <f>ROUND(Balances[[#This Row],[Total]]*20%,0)</f>
        <v>0</v>
      </c>
      <c r="E574" s="29">
        <f>ROUND(Balances[[#This Row],[Total]]*40%,0)</f>
        <v>0</v>
      </c>
      <c r="F574" s="18">
        <f>SUM(Acueducto[[#This Row],[Acueducto]:[Aseo]])</f>
        <v>0</v>
      </c>
    </row>
    <row r="575" spans="1:6" ht="15" x14ac:dyDescent="0.2">
      <c r="A575" s="6">
        <v>1625</v>
      </c>
      <c r="B575" s="2" t="s">
        <v>395</v>
      </c>
      <c r="C575" s="28">
        <f>ROUND(Balances[[#This Row],[Total]]*40%,0)</f>
        <v>0</v>
      </c>
      <c r="D575" s="28">
        <f>ROUND(Balances[[#This Row],[Total]]*20%,0)</f>
        <v>0</v>
      </c>
      <c r="E575" s="28">
        <f>ROUND(Balances[[#This Row],[Total]]*40%,0)</f>
        <v>0</v>
      </c>
      <c r="F575" s="17">
        <f>SUM(Acueducto[[#This Row],[Acueducto]:[Aseo]])</f>
        <v>0</v>
      </c>
    </row>
    <row r="576" spans="1:6" ht="15" x14ac:dyDescent="0.2">
      <c r="A576" s="7">
        <v>162501</v>
      </c>
      <c r="B576" s="3" t="s">
        <v>396</v>
      </c>
      <c r="C576" s="29">
        <f>ROUND(Balances[[#This Row],[Total]]*40%,0)</f>
        <v>0</v>
      </c>
      <c r="D576" s="29">
        <f>ROUND(Balances[[#This Row],[Total]]*20%,0)</f>
        <v>0</v>
      </c>
      <c r="E576" s="29">
        <f>ROUND(Balances[[#This Row],[Total]]*40%,0)</f>
        <v>0</v>
      </c>
      <c r="F576" s="18">
        <f>SUM(Acueducto[[#This Row],[Acueducto]:[Aseo]])</f>
        <v>0</v>
      </c>
    </row>
    <row r="577" spans="1:6" ht="15" x14ac:dyDescent="0.2">
      <c r="A577" s="7">
        <v>162502</v>
      </c>
      <c r="B577" s="3" t="s">
        <v>387</v>
      </c>
      <c r="C577" s="29">
        <f>ROUND(Balances[[#This Row],[Total]]*40%,0)</f>
        <v>0</v>
      </c>
      <c r="D577" s="29">
        <f>ROUND(Balances[[#This Row],[Total]]*20%,0)</f>
        <v>0</v>
      </c>
      <c r="E577" s="29">
        <f>ROUND(Balances[[#This Row],[Total]]*40%,0)</f>
        <v>0</v>
      </c>
      <c r="F577" s="18">
        <f>SUM(Acueducto[[#This Row],[Acueducto]:[Aseo]])</f>
        <v>0</v>
      </c>
    </row>
    <row r="578" spans="1:6" ht="15" x14ac:dyDescent="0.2">
      <c r="A578" s="7">
        <v>162503</v>
      </c>
      <c r="B578" s="3" t="s">
        <v>390</v>
      </c>
      <c r="C578" s="29">
        <f>ROUND(Balances[[#This Row],[Total]]*40%,0)</f>
        <v>0</v>
      </c>
      <c r="D578" s="29">
        <f>ROUND(Balances[[#This Row],[Total]]*20%,0)</f>
        <v>0</v>
      </c>
      <c r="E578" s="29">
        <f>ROUND(Balances[[#This Row],[Total]]*40%,0)</f>
        <v>0</v>
      </c>
      <c r="F578" s="18">
        <f>SUM(Acueducto[[#This Row],[Acueducto]:[Aseo]])</f>
        <v>0</v>
      </c>
    </row>
    <row r="579" spans="1:6" ht="15" x14ac:dyDescent="0.2">
      <c r="A579" s="7">
        <v>162504</v>
      </c>
      <c r="B579" s="3" t="s">
        <v>391</v>
      </c>
      <c r="C579" s="29">
        <f>ROUND(Balances[[#This Row],[Total]]*40%,0)</f>
        <v>0</v>
      </c>
      <c r="D579" s="29">
        <f>ROUND(Balances[[#This Row],[Total]]*20%,0)</f>
        <v>0</v>
      </c>
      <c r="E579" s="29">
        <f>ROUND(Balances[[#This Row],[Total]]*40%,0)</f>
        <v>0</v>
      </c>
      <c r="F579" s="18">
        <f>SUM(Acueducto[[#This Row],[Acueducto]:[Aseo]])</f>
        <v>0</v>
      </c>
    </row>
    <row r="580" spans="1:6" ht="15" x14ac:dyDescent="0.2">
      <c r="A580" s="7">
        <v>162505</v>
      </c>
      <c r="B580" s="3" t="s">
        <v>311</v>
      </c>
      <c r="C580" s="29">
        <f>ROUND(Balances[[#This Row],[Total]]*40%,0)</f>
        <v>0</v>
      </c>
      <c r="D580" s="29">
        <f>ROUND(Balances[[#This Row],[Total]]*20%,0)</f>
        <v>0</v>
      </c>
      <c r="E580" s="29">
        <f>ROUND(Balances[[#This Row],[Total]]*40%,0)</f>
        <v>0</v>
      </c>
      <c r="F580" s="18">
        <f>SUM(Acueducto[[#This Row],[Acueducto]:[Aseo]])</f>
        <v>0</v>
      </c>
    </row>
    <row r="581" spans="1:6" ht="15" x14ac:dyDescent="0.2">
      <c r="A581" s="7">
        <v>162506</v>
      </c>
      <c r="B581" s="3" t="s">
        <v>393</v>
      </c>
      <c r="C581" s="29">
        <f>ROUND(Balances[[#This Row],[Total]]*40%,0)</f>
        <v>0</v>
      </c>
      <c r="D581" s="29">
        <f>ROUND(Balances[[#This Row],[Total]]*20%,0)</f>
        <v>0</v>
      </c>
      <c r="E581" s="29">
        <f>ROUND(Balances[[#This Row],[Total]]*40%,0)</f>
        <v>0</v>
      </c>
      <c r="F581" s="18">
        <f>SUM(Acueducto[[#This Row],[Acueducto]:[Aseo]])</f>
        <v>0</v>
      </c>
    </row>
    <row r="582" spans="1:6" ht="15" x14ac:dyDescent="0.2">
      <c r="A582" s="7">
        <v>162507</v>
      </c>
      <c r="B582" s="3" t="s">
        <v>397</v>
      </c>
      <c r="C582" s="29">
        <f>ROUND(Balances[[#This Row],[Total]]*40%,0)</f>
        <v>0</v>
      </c>
      <c r="D582" s="29">
        <f>ROUND(Balances[[#This Row],[Total]]*20%,0)</f>
        <v>0</v>
      </c>
      <c r="E582" s="29">
        <f>ROUND(Balances[[#This Row],[Total]]*40%,0)</f>
        <v>0</v>
      </c>
      <c r="F582" s="18">
        <f>SUM(Acueducto[[#This Row],[Acueducto]:[Aseo]])</f>
        <v>0</v>
      </c>
    </row>
    <row r="583" spans="1:6" ht="15" x14ac:dyDescent="0.2">
      <c r="A583" s="7">
        <v>162508</v>
      </c>
      <c r="B583" s="3" t="s">
        <v>392</v>
      </c>
      <c r="C583" s="29">
        <f>ROUND(Balances[[#This Row],[Total]]*40%,0)</f>
        <v>0</v>
      </c>
      <c r="D583" s="29">
        <f>ROUND(Balances[[#This Row],[Total]]*20%,0)</f>
        <v>0</v>
      </c>
      <c r="E583" s="29">
        <f>ROUND(Balances[[#This Row],[Total]]*40%,0)</f>
        <v>0</v>
      </c>
      <c r="F583" s="18">
        <f>SUM(Acueducto[[#This Row],[Acueducto]:[Aseo]])</f>
        <v>0</v>
      </c>
    </row>
    <row r="584" spans="1:6" ht="15" x14ac:dyDescent="0.2">
      <c r="A584" s="7">
        <v>162511</v>
      </c>
      <c r="B584" s="3" t="s">
        <v>398</v>
      </c>
      <c r="C584" s="29">
        <f>ROUND(Balances[[#This Row],[Total]]*40%,0)</f>
        <v>0</v>
      </c>
      <c r="D584" s="29">
        <f>ROUND(Balances[[#This Row],[Total]]*20%,0)</f>
        <v>0</v>
      </c>
      <c r="E584" s="29">
        <f>ROUND(Balances[[#This Row],[Total]]*40%,0)</f>
        <v>0</v>
      </c>
      <c r="F584" s="18">
        <f>SUM(Acueducto[[#This Row],[Acueducto]:[Aseo]])</f>
        <v>0</v>
      </c>
    </row>
    <row r="585" spans="1:6" ht="15" x14ac:dyDescent="0.2">
      <c r="A585" s="7">
        <v>162512</v>
      </c>
      <c r="B585" s="3" t="s">
        <v>399</v>
      </c>
      <c r="C585" s="29">
        <f>ROUND(Balances[[#This Row],[Total]]*40%,0)</f>
        <v>0</v>
      </c>
      <c r="D585" s="29">
        <f>ROUND(Balances[[#This Row],[Total]]*20%,0)</f>
        <v>0</v>
      </c>
      <c r="E585" s="29">
        <f>ROUND(Balances[[#This Row],[Total]]*40%,0)</f>
        <v>0</v>
      </c>
      <c r="F585" s="18">
        <f>SUM(Acueducto[[#This Row],[Acueducto]:[Aseo]])</f>
        <v>0</v>
      </c>
    </row>
    <row r="586" spans="1:6" ht="15" x14ac:dyDescent="0.2">
      <c r="A586" s="7">
        <v>162590</v>
      </c>
      <c r="B586" s="3" t="s">
        <v>400</v>
      </c>
      <c r="C586" s="29">
        <f>ROUND(Balances[[#This Row],[Total]]*40%,0)</f>
        <v>0</v>
      </c>
      <c r="D586" s="29">
        <f>ROUND(Balances[[#This Row],[Total]]*20%,0)</f>
        <v>0</v>
      </c>
      <c r="E586" s="29">
        <f>ROUND(Balances[[#This Row],[Total]]*40%,0)</f>
        <v>0</v>
      </c>
      <c r="F586" s="18">
        <f>SUM(Acueducto[[#This Row],[Acueducto]:[Aseo]])</f>
        <v>0</v>
      </c>
    </row>
    <row r="587" spans="1:6" ht="15" x14ac:dyDescent="0.2">
      <c r="A587" s="6">
        <v>1635</v>
      </c>
      <c r="B587" s="2" t="s">
        <v>401</v>
      </c>
      <c r="C587" s="28">
        <f>ROUND(Balances[[#This Row],[Total]]*40%,0)</f>
        <v>0</v>
      </c>
      <c r="D587" s="28">
        <f>ROUND(Balances[[#This Row],[Total]]*20%,0)</f>
        <v>0</v>
      </c>
      <c r="E587" s="28">
        <f>ROUND(Balances[[#This Row],[Total]]*40%,0)</f>
        <v>0</v>
      </c>
      <c r="F587" s="17">
        <f>SUM(Acueducto[[#This Row],[Acueducto]:[Aseo]])</f>
        <v>0</v>
      </c>
    </row>
    <row r="588" spans="1:6" ht="15" x14ac:dyDescent="0.2">
      <c r="A588" s="7">
        <v>163501</v>
      </c>
      <c r="B588" s="3" t="s">
        <v>390</v>
      </c>
      <c r="C588" s="29">
        <f>ROUND(Balances[[#This Row],[Total]]*40%,0)</f>
        <v>0</v>
      </c>
      <c r="D588" s="29">
        <f>ROUND(Balances[[#This Row],[Total]]*20%,0)</f>
        <v>0</v>
      </c>
      <c r="E588" s="29">
        <f>ROUND(Balances[[#This Row],[Total]]*40%,0)</f>
        <v>0</v>
      </c>
      <c r="F588" s="18">
        <f>SUM(Acueducto[[#This Row],[Acueducto]:[Aseo]])</f>
        <v>0</v>
      </c>
    </row>
    <row r="589" spans="1:6" ht="15" x14ac:dyDescent="0.2">
      <c r="A589" s="7">
        <v>163502</v>
      </c>
      <c r="B589" s="3" t="s">
        <v>391</v>
      </c>
      <c r="C589" s="29">
        <f>ROUND(Balances[[#This Row],[Total]]*40%,0)</f>
        <v>0</v>
      </c>
      <c r="D589" s="29">
        <f>ROUND(Balances[[#This Row],[Total]]*20%,0)</f>
        <v>0</v>
      </c>
      <c r="E589" s="29">
        <f>ROUND(Balances[[#This Row],[Total]]*40%,0)</f>
        <v>0</v>
      </c>
      <c r="F589" s="18">
        <f>SUM(Acueducto[[#This Row],[Acueducto]:[Aseo]])</f>
        <v>0</v>
      </c>
    </row>
    <row r="590" spans="1:6" ht="15" x14ac:dyDescent="0.2">
      <c r="A590" s="7">
        <v>163503</v>
      </c>
      <c r="B590" s="3" t="s">
        <v>397</v>
      </c>
      <c r="C590" s="29">
        <f>ROUND(Balances[[#This Row],[Total]]*40%,0)</f>
        <v>0</v>
      </c>
      <c r="D590" s="29">
        <f>ROUND(Balances[[#This Row],[Total]]*20%,0)</f>
        <v>0</v>
      </c>
      <c r="E590" s="29">
        <f>ROUND(Balances[[#This Row],[Total]]*40%,0)</f>
        <v>0</v>
      </c>
      <c r="F590" s="18">
        <f>SUM(Acueducto[[#This Row],[Acueducto]:[Aseo]])</f>
        <v>0</v>
      </c>
    </row>
    <row r="591" spans="1:6" ht="15" x14ac:dyDescent="0.2">
      <c r="A591" s="7">
        <v>163504</v>
      </c>
      <c r="B591" s="3" t="s">
        <v>311</v>
      </c>
      <c r="C591" s="29">
        <f>ROUND(Balances[[#This Row],[Total]]*40%,0)</f>
        <v>0</v>
      </c>
      <c r="D591" s="29">
        <f>ROUND(Balances[[#This Row],[Total]]*20%,0)</f>
        <v>0</v>
      </c>
      <c r="E591" s="29">
        <f>ROUND(Balances[[#This Row],[Total]]*40%,0)</f>
        <v>0</v>
      </c>
      <c r="F591" s="18">
        <f>SUM(Acueducto[[#This Row],[Acueducto]:[Aseo]])</f>
        <v>0</v>
      </c>
    </row>
    <row r="592" spans="1:6" ht="15" x14ac:dyDescent="0.2">
      <c r="A592" s="7">
        <v>163505</v>
      </c>
      <c r="B592" s="3" t="s">
        <v>393</v>
      </c>
      <c r="C592" s="29">
        <f>ROUND(Balances[[#This Row],[Total]]*40%,0)</f>
        <v>0</v>
      </c>
      <c r="D592" s="29">
        <f>ROUND(Balances[[#This Row],[Total]]*20%,0)</f>
        <v>0</v>
      </c>
      <c r="E592" s="29">
        <f>ROUND(Balances[[#This Row],[Total]]*40%,0)</f>
        <v>0</v>
      </c>
      <c r="F592" s="18">
        <f>SUM(Acueducto[[#This Row],[Acueducto]:[Aseo]])</f>
        <v>0</v>
      </c>
    </row>
    <row r="593" spans="1:6" ht="15" x14ac:dyDescent="0.2">
      <c r="A593" s="7">
        <v>163507</v>
      </c>
      <c r="B593" s="3" t="s">
        <v>387</v>
      </c>
      <c r="C593" s="29">
        <f>ROUND(Balances[[#This Row],[Total]]*40%,0)</f>
        <v>0</v>
      </c>
      <c r="D593" s="29">
        <f>ROUND(Balances[[#This Row],[Total]]*20%,0)</f>
        <v>0</v>
      </c>
      <c r="E593" s="29">
        <f>ROUND(Balances[[#This Row],[Total]]*40%,0)</f>
        <v>0</v>
      </c>
      <c r="F593" s="18">
        <f>SUM(Acueducto[[#This Row],[Acueducto]:[Aseo]])</f>
        <v>0</v>
      </c>
    </row>
    <row r="594" spans="1:6" ht="15" x14ac:dyDescent="0.2">
      <c r="A594" s="7">
        <v>163511</v>
      </c>
      <c r="B594" s="3" t="s">
        <v>392</v>
      </c>
      <c r="C594" s="29">
        <f>ROUND(Balances[[#This Row],[Total]]*40%,0)</f>
        <v>0</v>
      </c>
      <c r="D594" s="29">
        <f>ROUND(Balances[[#This Row],[Total]]*20%,0)</f>
        <v>0</v>
      </c>
      <c r="E594" s="29">
        <f>ROUND(Balances[[#This Row],[Total]]*40%,0)</f>
        <v>0</v>
      </c>
      <c r="F594" s="18">
        <f>SUM(Acueducto[[#This Row],[Acueducto]:[Aseo]])</f>
        <v>0</v>
      </c>
    </row>
    <row r="595" spans="1:6" ht="15" x14ac:dyDescent="0.2">
      <c r="A595" s="7">
        <v>163512</v>
      </c>
      <c r="B595" s="3" t="s">
        <v>399</v>
      </c>
      <c r="C595" s="29">
        <f>ROUND(Balances[[#This Row],[Total]]*40%,0)</f>
        <v>0</v>
      </c>
      <c r="D595" s="29">
        <f>ROUND(Balances[[#This Row],[Total]]*20%,0)</f>
        <v>0</v>
      </c>
      <c r="E595" s="29">
        <f>ROUND(Balances[[#This Row],[Total]]*40%,0)</f>
        <v>0</v>
      </c>
      <c r="F595" s="18">
        <f>SUM(Acueducto[[#This Row],[Acueducto]:[Aseo]])</f>
        <v>0</v>
      </c>
    </row>
    <row r="596" spans="1:6" ht="15" x14ac:dyDescent="0.2">
      <c r="A596" s="7">
        <v>163590</v>
      </c>
      <c r="B596" s="3" t="s">
        <v>402</v>
      </c>
      <c r="C596" s="29">
        <f>ROUND(Balances[[#This Row],[Total]]*40%,0)</f>
        <v>0</v>
      </c>
      <c r="D596" s="29">
        <f>ROUND(Balances[[#This Row],[Total]]*20%,0)</f>
        <v>0</v>
      </c>
      <c r="E596" s="29">
        <f>ROUND(Balances[[#This Row],[Total]]*40%,0)</f>
        <v>0</v>
      </c>
      <c r="F596" s="18">
        <f>SUM(Acueducto[[#This Row],[Acueducto]:[Aseo]])</f>
        <v>0</v>
      </c>
    </row>
    <row r="597" spans="1:6" ht="15" x14ac:dyDescent="0.2">
      <c r="A597" s="6">
        <v>1636</v>
      </c>
      <c r="B597" s="2" t="s">
        <v>403</v>
      </c>
      <c r="C597" s="28">
        <f>ROUND(Balances[[#This Row],[Total]]*40%,0)</f>
        <v>0</v>
      </c>
      <c r="D597" s="28">
        <f>ROUND(Balances[[#This Row],[Total]]*20%,0)</f>
        <v>0</v>
      </c>
      <c r="E597" s="28">
        <f>ROUND(Balances[[#This Row],[Total]]*40%,0)</f>
        <v>0</v>
      </c>
      <c r="F597" s="17">
        <f>SUM(Acueducto[[#This Row],[Acueducto]:[Aseo]])</f>
        <v>0</v>
      </c>
    </row>
    <row r="598" spans="1:6" ht="15" x14ac:dyDescent="0.2">
      <c r="A598" s="7">
        <v>163601</v>
      </c>
      <c r="B598" s="3" t="s">
        <v>385</v>
      </c>
      <c r="C598" s="29">
        <f>ROUND(Balances[[#This Row],[Total]]*40%,0)</f>
        <v>0</v>
      </c>
      <c r="D598" s="29">
        <f>ROUND(Balances[[#This Row],[Total]]*20%,0)</f>
        <v>0</v>
      </c>
      <c r="E598" s="29">
        <f>ROUND(Balances[[#This Row],[Total]]*40%,0)</f>
        <v>0</v>
      </c>
      <c r="F598" s="18">
        <f>SUM(Acueducto[[#This Row],[Acueducto]:[Aseo]])</f>
        <v>0</v>
      </c>
    </row>
    <row r="599" spans="1:6" ht="15" x14ac:dyDescent="0.2">
      <c r="A599" s="7">
        <v>163603</v>
      </c>
      <c r="B599" s="3" t="s">
        <v>386</v>
      </c>
      <c r="C599" s="29">
        <f>ROUND(Balances[[#This Row],[Total]]*40%,0)</f>
        <v>0</v>
      </c>
      <c r="D599" s="29">
        <f>ROUND(Balances[[#This Row],[Total]]*20%,0)</f>
        <v>0</v>
      </c>
      <c r="E599" s="29">
        <f>ROUND(Balances[[#This Row],[Total]]*40%,0)</f>
        <v>0</v>
      </c>
      <c r="F599" s="18">
        <f>SUM(Acueducto[[#This Row],[Acueducto]:[Aseo]])</f>
        <v>0</v>
      </c>
    </row>
    <row r="600" spans="1:6" ht="15" x14ac:dyDescent="0.2">
      <c r="A600" s="7">
        <v>163604</v>
      </c>
      <c r="B600" s="3" t="s">
        <v>387</v>
      </c>
      <c r="C600" s="29">
        <f>ROUND(Balances[[#This Row],[Total]]*40%,0)</f>
        <v>0</v>
      </c>
      <c r="D600" s="29">
        <f>ROUND(Balances[[#This Row],[Total]]*20%,0)</f>
        <v>0</v>
      </c>
      <c r="E600" s="29">
        <f>ROUND(Balances[[#This Row],[Total]]*40%,0)</f>
        <v>0</v>
      </c>
      <c r="F600" s="18">
        <f>SUM(Acueducto[[#This Row],[Acueducto]:[Aseo]])</f>
        <v>0</v>
      </c>
    </row>
    <row r="601" spans="1:6" ht="15" x14ac:dyDescent="0.2">
      <c r="A601" s="7">
        <v>163605</v>
      </c>
      <c r="B601" s="3" t="s">
        <v>390</v>
      </c>
      <c r="C601" s="29">
        <f>ROUND(Balances[[#This Row],[Total]]*40%,0)</f>
        <v>0</v>
      </c>
      <c r="D601" s="29">
        <f>ROUND(Balances[[#This Row],[Total]]*20%,0)</f>
        <v>0</v>
      </c>
      <c r="E601" s="29">
        <f>ROUND(Balances[[#This Row],[Total]]*40%,0)</f>
        <v>0</v>
      </c>
      <c r="F601" s="18">
        <f>SUM(Acueducto[[#This Row],[Acueducto]:[Aseo]])</f>
        <v>0</v>
      </c>
    </row>
    <row r="602" spans="1:6" ht="15" x14ac:dyDescent="0.2">
      <c r="A602" s="7">
        <v>163606</v>
      </c>
      <c r="B602" s="3" t="s">
        <v>391</v>
      </c>
      <c r="C602" s="29">
        <f>ROUND(Balances[[#This Row],[Total]]*40%,0)</f>
        <v>0</v>
      </c>
      <c r="D602" s="29">
        <f>ROUND(Balances[[#This Row],[Total]]*20%,0)</f>
        <v>0</v>
      </c>
      <c r="E602" s="29">
        <f>ROUND(Balances[[#This Row],[Total]]*40%,0)</f>
        <v>0</v>
      </c>
      <c r="F602" s="18">
        <f>SUM(Acueducto[[#This Row],[Acueducto]:[Aseo]])</f>
        <v>0</v>
      </c>
    </row>
    <row r="603" spans="1:6" ht="15" x14ac:dyDescent="0.2">
      <c r="A603" s="7">
        <v>163607</v>
      </c>
      <c r="B603" s="3" t="s">
        <v>397</v>
      </c>
      <c r="C603" s="29">
        <f>ROUND(Balances[[#This Row],[Total]]*40%,0)</f>
        <v>0</v>
      </c>
      <c r="D603" s="29">
        <f>ROUND(Balances[[#This Row],[Total]]*20%,0)</f>
        <v>0</v>
      </c>
      <c r="E603" s="29">
        <f>ROUND(Balances[[#This Row],[Total]]*40%,0)</f>
        <v>0</v>
      </c>
      <c r="F603" s="18">
        <f>SUM(Acueducto[[#This Row],[Acueducto]:[Aseo]])</f>
        <v>0</v>
      </c>
    </row>
    <row r="604" spans="1:6" ht="15" x14ac:dyDescent="0.2">
      <c r="A604" s="7">
        <v>163608</v>
      </c>
      <c r="B604" s="3" t="s">
        <v>311</v>
      </c>
      <c r="C604" s="29">
        <f>ROUND(Balances[[#This Row],[Total]]*40%,0)</f>
        <v>0</v>
      </c>
      <c r="D604" s="29">
        <f>ROUND(Balances[[#This Row],[Total]]*20%,0)</f>
        <v>0</v>
      </c>
      <c r="E604" s="29">
        <f>ROUND(Balances[[#This Row],[Total]]*40%,0)</f>
        <v>0</v>
      </c>
      <c r="F604" s="18">
        <f>SUM(Acueducto[[#This Row],[Acueducto]:[Aseo]])</f>
        <v>0</v>
      </c>
    </row>
    <row r="605" spans="1:6" ht="15" x14ac:dyDescent="0.2">
      <c r="A605" s="7">
        <v>163609</v>
      </c>
      <c r="B605" s="3" t="s">
        <v>393</v>
      </c>
      <c r="C605" s="29">
        <f>ROUND(Balances[[#This Row],[Total]]*40%,0)</f>
        <v>0</v>
      </c>
      <c r="D605" s="29">
        <f>ROUND(Balances[[#This Row],[Total]]*20%,0)</f>
        <v>0</v>
      </c>
      <c r="E605" s="29">
        <f>ROUND(Balances[[#This Row],[Total]]*40%,0)</f>
        <v>0</v>
      </c>
      <c r="F605" s="18">
        <f>SUM(Acueducto[[#This Row],[Acueducto]:[Aseo]])</f>
        <v>0</v>
      </c>
    </row>
    <row r="606" spans="1:6" ht="15" x14ac:dyDescent="0.2">
      <c r="A606" s="7">
        <v>163610</v>
      </c>
      <c r="B606" s="3" t="s">
        <v>392</v>
      </c>
      <c r="C606" s="29">
        <f>ROUND(Balances[[#This Row],[Total]]*40%,0)</f>
        <v>0</v>
      </c>
      <c r="D606" s="29">
        <f>ROUND(Balances[[#This Row],[Total]]*20%,0)</f>
        <v>0</v>
      </c>
      <c r="E606" s="29">
        <f>ROUND(Balances[[#This Row],[Total]]*40%,0)</f>
        <v>0</v>
      </c>
      <c r="F606" s="18">
        <f>SUM(Acueducto[[#This Row],[Acueducto]:[Aseo]])</f>
        <v>0</v>
      </c>
    </row>
    <row r="607" spans="1:6" ht="15" x14ac:dyDescent="0.2">
      <c r="A607" s="6">
        <v>1637</v>
      </c>
      <c r="B607" s="2" t="s">
        <v>404</v>
      </c>
      <c r="C607" s="28">
        <f>ROUND(Balances[[#This Row],[Total]]*40%,0)</f>
        <v>0</v>
      </c>
      <c r="D607" s="28">
        <f>ROUND(Balances[[#This Row],[Total]]*20%,0)</f>
        <v>0</v>
      </c>
      <c r="E607" s="28">
        <f>ROUND(Balances[[#This Row],[Total]]*40%,0)</f>
        <v>0</v>
      </c>
      <c r="F607" s="17">
        <f>SUM(Acueducto[[#This Row],[Acueducto]:[Aseo]])</f>
        <v>0</v>
      </c>
    </row>
    <row r="608" spans="1:6" ht="15" x14ac:dyDescent="0.2">
      <c r="A608" s="7">
        <v>163701</v>
      </c>
      <c r="B608" s="3" t="s">
        <v>306</v>
      </c>
      <c r="C608" s="29">
        <f>ROUND(Balances[[#This Row],[Total]]*40%,0)</f>
        <v>0</v>
      </c>
      <c r="D608" s="29">
        <f>ROUND(Balances[[#This Row],[Total]]*20%,0)</f>
        <v>0</v>
      </c>
      <c r="E608" s="29">
        <f>ROUND(Balances[[#This Row],[Total]]*40%,0)</f>
        <v>0</v>
      </c>
      <c r="F608" s="18">
        <f>SUM(Acueducto[[#This Row],[Acueducto]:[Aseo]])</f>
        <v>0</v>
      </c>
    </row>
    <row r="609" spans="1:6" ht="15" x14ac:dyDescent="0.2">
      <c r="A609" s="7">
        <v>163702</v>
      </c>
      <c r="B609" s="3" t="s">
        <v>405</v>
      </c>
      <c r="C609" s="29">
        <f>ROUND(Balances[[#This Row],[Total]]*40%,0)</f>
        <v>0</v>
      </c>
      <c r="D609" s="29">
        <f>ROUND(Balances[[#This Row],[Total]]*20%,0)</f>
        <v>0</v>
      </c>
      <c r="E609" s="29">
        <f>ROUND(Balances[[#This Row],[Total]]*40%,0)</f>
        <v>0</v>
      </c>
      <c r="F609" s="18">
        <f>SUM(Acueducto[[#This Row],[Acueducto]:[Aseo]])</f>
        <v>0</v>
      </c>
    </row>
    <row r="610" spans="1:6" ht="15" x14ac:dyDescent="0.2">
      <c r="A610" s="7">
        <v>163703</v>
      </c>
      <c r="B610" s="3" t="s">
        <v>385</v>
      </c>
      <c r="C610" s="29">
        <f>ROUND(Balances[[#This Row],[Total]]*40%,0)</f>
        <v>0</v>
      </c>
      <c r="D610" s="29">
        <f>ROUND(Balances[[#This Row],[Total]]*20%,0)</f>
        <v>0</v>
      </c>
      <c r="E610" s="29">
        <f>ROUND(Balances[[#This Row],[Total]]*40%,0)</f>
        <v>0</v>
      </c>
      <c r="F610" s="18">
        <f>SUM(Acueducto[[#This Row],[Acueducto]:[Aseo]])</f>
        <v>0</v>
      </c>
    </row>
    <row r="611" spans="1:6" ht="15" x14ac:dyDescent="0.2">
      <c r="A611" s="7">
        <v>163705</v>
      </c>
      <c r="B611" s="3" t="s">
        <v>386</v>
      </c>
      <c r="C611" s="29">
        <f>ROUND(Balances[[#This Row],[Total]]*40%,0)</f>
        <v>0</v>
      </c>
      <c r="D611" s="29">
        <f>ROUND(Balances[[#This Row],[Total]]*20%,0)</f>
        <v>0</v>
      </c>
      <c r="E611" s="29">
        <f>ROUND(Balances[[#This Row],[Total]]*40%,0)</f>
        <v>0</v>
      </c>
      <c r="F611" s="18">
        <f>SUM(Acueducto[[#This Row],[Acueducto]:[Aseo]])</f>
        <v>0</v>
      </c>
    </row>
    <row r="612" spans="1:6" ht="15" x14ac:dyDescent="0.2">
      <c r="A612" s="7">
        <v>163706</v>
      </c>
      <c r="B612" s="3" t="s">
        <v>387</v>
      </c>
      <c r="C612" s="29">
        <f>ROUND(Balances[[#This Row],[Total]]*40%,0)</f>
        <v>0</v>
      </c>
      <c r="D612" s="29">
        <f>ROUND(Balances[[#This Row],[Total]]*20%,0)</f>
        <v>0</v>
      </c>
      <c r="E612" s="29">
        <f>ROUND(Balances[[#This Row],[Total]]*40%,0)</f>
        <v>0</v>
      </c>
      <c r="F612" s="18">
        <f>SUM(Acueducto[[#This Row],[Acueducto]:[Aseo]])</f>
        <v>0</v>
      </c>
    </row>
    <row r="613" spans="1:6" ht="15" x14ac:dyDescent="0.2">
      <c r="A613" s="7">
        <v>163707</v>
      </c>
      <c r="B613" s="3" t="s">
        <v>390</v>
      </c>
      <c r="C613" s="29">
        <f>ROUND(Balances[[#This Row],[Total]]*40%,0)</f>
        <v>0</v>
      </c>
      <c r="D613" s="29">
        <f>ROUND(Balances[[#This Row],[Total]]*20%,0)</f>
        <v>0</v>
      </c>
      <c r="E613" s="29">
        <f>ROUND(Balances[[#This Row],[Total]]*40%,0)</f>
        <v>0</v>
      </c>
      <c r="F613" s="18">
        <f>SUM(Acueducto[[#This Row],[Acueducto]:[Aseo]])</f>
        <v>0</v>
      </c>
    </row>
    <row r="614" spans="1:6" ht="15" x14ac:dyDescent="0.2">
      <c r="A614" s="7">
        <v>163708</v>
      </c>
      <c r="B614" s="3" t="s">
        <v>391</v>
      </c>
      <c r="C614" s="29">
        <f>ROUND(Balances[[#This Row],[Total]]*40%,0)</f>
        <v>0</v>
      </c>
      <c r="D614" s="29">
        <f>ROUND(Balances[[#This Row],[Total]]*20%,0)</f>
        <v>0</v>
      </c>
      <c r="E614" s="29">
        <f>ROUND(Balances[[#This Row],[Total]]*40%,0)</f>
        <v>0</v>
      </c>
      <c r="F614" s="18">
        <f>SUM(Acueducto[[#This Row],[Acueducto]:[Aseo]])</f>
        <v>0</v>
      </c>
    </row>
    <row r="615" spans="1:6" ht="15" x14ac:dyDescent="0.2">
      <c r="A615" s="7">
        <v>163709</v>
      </c>
      <c r="B615" s="3" t="s">
        <v>397</v>
      </c>
      <c r="C615" s="29">
        <f>ROUND(Balances[[#This Row],[Total]]*40%,0)</f>
        <v>0</v>
      </c>
      <c r="D615" s="29">
        <f>ROUND(Balances[[#This Row],[Total]]*20%,0)</f>
        <v>0</v>
      </c>
      <c r="E615" s="29">
        <f>ROUND(Balances[[#This Row],[Total]]*40%,0)</f>
        <v>0</v>
      </c>
      <c r="F615" s="18">
        <f>SUM(Acueducto[[#This Row],[Acueducto]:[Aseo]])</f>
        <v>0</v>
      </c>
    </row>
    <row r="616" spans="1:6" ht="15" x14ac:dyDescent="0.2">
      <c r="A616" s="7">
        <v>163710</v>
      </c>
      <c r="B616" s="3" t="s">
        <v>311</v>
      </c>
      <c r="C616" s="29">
        <f>ROUND(Balances[[#This Row],[Total]]*40%,0)</f>
        <v>0</v>
      </c>
      <c r="D616" s="29">
        <f>ROUND(Balances[[#This Row],[Total]]*20%,0)</f>
        <v>0</v>
      </c>
      <c r="E616" s="29">
        <f>ROUND(Balances[[#This Row],[Total]]*40%,0)</f>
        <v>0</v>
      </c>
      <c r="F616" s="18">
        <f>SUM(Acueducto[[#This Row],[Acueducto]:[Aseo]])</f>
        <v>0</v>
      </c>
    </row>
    <row r="617" spans="1:6" ht="15" x14ac:dyDescent="0.2">
      <c r="A617" s="7">
        <v>163711</v>
      </c>
      <c r="B617" s="3" t="s">
        <v>393</v>
      </c>
      <c r="C617" s="29">
        <f>ROUND(Balances[[#This Row],[Total]]*40%,0)</f>
        <v>0</v>
      </c>
      <c r="D617" s="29">
        <f>ROUND(Balances[[#This Row],[Total]]*20%,0)</f>
        <v>0</v>
      </c>
      <c r="E617" s="29">
        <f>ROUND(Balances[[#This Row],[Total]]*40%,0)</f>
        <v>0</v>
      </c>
      <c r="F617" s="18">
        <f>SUM(Acueducto[[#This Row],[Acueducto]:[Aseo]])</f>
        <v>0</v>
      </c>
    </row>
    <row r="618" spans="1:6" ht="15" x14ac:dyDescent="0.2">
      <c r="A618" s="7">
        <v>163712</v>
      </c>
      <c r="B618" s="3" t="s">
        <v>392</v>
      </c>
      <c r="C618" s="29">
        <f>ROUND(Balances[[#This Row],[Total]]*40%,0)</f>
        <v>0</v>
      </c>
      <c r="D618" s="29">
        <f>ROUND(Balances[[#This Row],[Total]]*20%,0)</f>
        <v>0</v>
      </c>
      <c r="E618" s="29">
        <f>ROUND(Balances[[#This Row],[Total]]*40%,0)</f>
        <v>0</v>
      </c>
      <c r="F618" s="18">
        <f>SUM(Acueducto[[#This Row],[Acueducto]:[Aseo]])</f>
        <v>0</v>
      </c>
    </row>
    <row r="619" spans="1:6" ht="15" x14ac:dyDescent="0.2">
      <c r="A619" s="6">
        <v>1640</v>
      </c>
      <c r="B619" s="2" t="s">
        <v>406</v>
      </c>
      <c r="C619" s="28">
        <f>ROUND(Balances[[#This Row],[Total]]*40%,0)</f>
        <v>0</v>
      </c>
      <c r="D619" s="28">
        <f>ROUND(Balances[[#This Row],[Total]]*20%,0)</f>
        <v>0</v>
      </c>
      <c r="E619" s="28">
        <f>ROUND(Balances[[#This Row],[Total]]*40%,0)</f>
        <v>0</v>
      </c>
      <c r="F619" s="17">
        <f>SUM(Acueducto[[#This Row],[Acueducto]:[Aseo]])</f>
        <v>0</v>
      </c>
    </row>
    <row r="620" spans="1:6" ht="15" x14ac:dyDescent="0.2">
      <c r="A620" s="7">
        <v>164001</v>
      </c>
      <c r="B620" s="3" t="s">
        <v>407</v>
      </c>
      <c r="C620" s="29">
        <f>ROUND(Balances[[#This Row],[Total]]*40%,0)</f>
        <v>0</v>
      </c>
      <c r="D620" s="29">
        <f>ROUND(Balances[[#This Row],[Total]]*20%,0)</f>
        <v>0</v>
      </c>
      <c r="E620" s="29">
        <f>ROUND(Balances[[#This Row],[Total]]*40%,0)</f>
        <v>0</v>
      </c>
      <c r="F620" s="18">
        <f>SUM(Acueducto[[#This Row],[Acueducto]:[Aseo]])</f>
        <v>0</v>
      </c>
    </row>
    <row r="621" spans="1:6" ht="15" x14ac:dyDescent="0.2">
      <c r="A621" s="7">
        <v>164002</v>
      </c>
      <c r="B621" s="3" t="s">
        <v>408</v>
      </c>
      <c r="C621" s="29">
        <f>ROUND(Balances[[#This Row],[Total]]*40%,0)</f>
        <v>0</v>
      </c>
      <c r="D621" s="29">
        <f>ROUND(Balances[[#This Row],[Total]]*20%,0)</f>
        <v>0</v>
      </c>
      <c r="E621" s="29">
        <f>ROUND(Balances[[#This Row],[Total]]*40%,0)</f>
        <v>0</v>
      </c>
      <c r="F621" s="18">
        <f>SUM(Acueducto[[#This Row],[Acueducto]:[Aseo]])</f>
        <v>0</v>
      </c>
    </row>
    <row r="622" spans="1:6" ht="15" x14ac:dyDescent="0.2">
      <c r="A622" s="7">
        <v>164003</v>
      </c>
      <c r="B622" s="3" t="s">
        <v>409</v>
      </c>
      <c r="C622" s="29">
        <f>ROUND(Balances[[#This Row],[Total]]*40%,0)</f>
        <v>0</v>
      </c>
      <c r="D622" s="29">
        <f>ROUND(Balances[[#This Row],[Total]]*20%,0)</f>
        <v>0</v>
      </c>
      <c r="E622" s="29">
        <f>ROUND(Balances[[#This Row],[Total]]*40%,0)</f>
        <v>0</v>
      </c>
      <c r="F622" s="18">
        <f>SUM(Acueducto[[#This Row],[Acueducto]:[Aseo]])</f>
        <v>0</v>
      </c>
    </row>
    <row r="623" spans="1:6" ht="15" x14ac:dyDescent="0.2">
      <c r="A623" s="7">
        <v>164004</v>
      </c>
      <c r="B623" s="3" t="s">
        <v>410</v>
      </c>
      <c r="C623" s="29">
        <f>ROUND(Balances[[#This Row],[Total]]*40%,0)</f>
        <v>0</v>
      </c>
      <c r="D623" s="29">
        <f>ROUND(Balances[[#This Row],[Total]]*20%,0)</f>
        <v>0</v>
      </c>
      <c r="E623" s="29">
        <f>ROUND(Balances[[#This Row],[Total]]*40%,0)</f>
        <v>0</v>
      </c>
      <c r="F623" s="18">
        <f>SUM(Acueducto[[#This Row],[Acueducto]:[Aseo]])</f>
        <v>0</v>
      </c>
    </row>
    <row r="624" spans="1:6" ht="15" x14ac:dyDescent="0.2">
      <c r="A624" s="7">
        <v>164005</v>
      </c>
      <c r="B624" s="3" t="s">
        <v>411</v>
      </c>
      <c r="C624" s="29">
        <f>ROUND(Balances[[#This Row],[Total]]*40%,0)</f>
        <v>0</v>
      </c>
      <c r="D624" s="29">
        <f>ROUND(Balances[[#This Row],[Total]]*20%,0)</f>
        <v>0</v>
      </c>
      <c r="E624" s="29">
        <f>ROUND(Balances[[#This Row],[Total]]*40%,0)</f>
        <v>0</v>
      </c>
      <c r="F624" s="18">
        <f>SUM(Acueducto[[#This Row],[Acueducto]:[Aseo]])</f>
        <v>0</v>
      </c>
    </row>
    <row r="625" spans="1:6" ht="15" x14ac:dyDescent="0.2">
      <c r="A625" s="7">
        <v>164006</v>
      </c>
      <c r="B625" s="3" t="s">
        <v>412</v>
      </c>
      <c r="C625" s="29">
        <f>ROUND(Balances[[#This Row],[Total]]*40%,0)</f>
        <v>0</v>
      </c>
      <c r="D625" s="29">
        <f>ROUND(Balances[[#This Row],[Total]]*20%,0)</f>
        <v>0</v>
      </c>
      <c r="E625" s="29">
        <f>ROUND(Balances[[#This Row],[Total]]*40%,0)</f>
        <v>0</v>
      </c>
      <c r="F625" s="18">
        <f>SUM(Acueducto[[#This Row],[Acueducto]:[Aseo]])</f>
        <v>0</v>
      </c>
    </row>
    <row r="626" spans="1:6" ht="15" x14ac:dyDescent="0.2">
      <c r="A626" s="7">
        <v>164007</v>
      </c>
      <c r="B626" s="3" t="s">
        <v>413</v>
      </c>
      <c r="C626" s="29">
        <f>ROUND(Balances[[#This Row],[Total]]*40%,0)</f>
        <v>0</v>
      </c>
      <c r="D626" s="29">
        <f>ROUND(Balances[[#This Row],[Total]]*20%,0)</f>
        <v>0</v>
      </c>
      <c r="E626" s="29">
        <f>ROUND(Balances[[#This Row],[Total]]*40%,0)</f>
        <v>0</v>
      </c>
      <c r="F626" s="18">
        <f>SUM(Acueducto[[#This Row],[Acueducto]:[Aseo]])</f>
        <v>0</v>
      </c>
    </row>
    <row r="627" spans="1:6" ht="15" x14ac:dyDescent="0.2">
      <c r="A627" s="7">
        <v>164008</v>
      </c>
      <c r="B627" s="3" t="s">
        <v>414</v>
      </c>
      <c r="C627" s="29">
        <f>ROUND(Balances[[#This Row],[Total]]*40%,0)</f>
        <v>0</v>
      </c>
      <c r="D627" s="29">
        <f>ROUND(Balances[[#This Row],[Total]]*20%,0)</f>
        <v>0</v>
      </c>
      <c r="E627" s="29">
        <f>ROUND(Balances[[#This Row],[Total]]*40%,0)</f>
        <v>0</v>
      </c>
      <c r="F627" s="18">
        <f>SUM(Acueducto[[#This Row],[Acueducto]:[Aseo]])</f>
        <v>0</v>
      </c>
    </row>
    <row r="628" spans="1:6" ht="15" x14ac:dyDescent="0.2">
      <c r="A628" s="7">
        <v>164009</v>
      </c>
      <c r="B628" s="3" t="s">
        <v>415</v>
      </c>
      <c r="C628" s="29">
        <f>ROUND(Balances[[#This Row],[Total]]*40%,0)</f>
        <v>0</v>
      </c>
      <c r="D628" s="29">
        <f>ROUND(Balances[[#This Row],[Total]]*20%,0)</f>
        <v>0</v>
      </c>
      <c r="E628" s="29">
        <f>ROUND(Balances[[#This Row],[Total]]*40%,0)</f>
        <v>0</v>
      </c>
      <c r="F628" s="18">
        <f>SUM(Acueducto[[#This Row],[Acueducto]:[Aseo]])</f>
        <v>0</v>
      </c>
    </row>
    <row r="629" spans="1:6" ht="15" x14ac:dyDescent="0.2">
      <c r="A629" s="7">
        <v>164010</v>
      </c>
      <c r="B629" s="3" t="s">
        <v>416</v>
      </c>
      <c r="C629" s="29">
        <f>ROUND(Balances[[#This Row],[Total]]*40%,0)</f>
        <v>0</v>
      </c>
      <c r="D629" s="29">
        <f>ROUND(Balances[[#This Row],[Total]]*20%,0)</f>
        <v>0</v>
      </c>
      <c r="E629" s="29">
        <f>ROUND(Balances[[#This Row],[Total]]*40%,0)</f>
        <v>0</v>
      </c>
      <c r="F629" s="18">
        <f>SUM(Acueducto[[#This Row],[Acueducto]:[Aseo]])</f>
        <v>0</v>
      </c>
    </row>
    <row r="630" spans="1:6" ht="15" x14ac:dyDescent="0.2">
      <c r="A630" s="7">
        <v>164011</v>
      </c>
      <c r="B630" s="3" t="s">
        <v>417</v>
      </c>
      <c r="C630" s="29">
        <f>ROUND(Balances[[#This Row],[Total]]*40%,0)</f>
        <v>0</v>
      </c>
      <c r="D630" s="29">
        <f>ROUND(Balances[[#This Row],[Total]]*20%,0)</f>
        <v>0</v>
      </c>
      <c r="E630" s="29">
        <f>ROUND(Balances[[#This Row],[Total]]*40%,0)</f>
        <v>0</v>
      </c>
      <c r="F630" s="18">
        <f>SUM(Acueducto[[#This Row],[Acueducto]:[Aseo]])</f>
        <v>0</v>
      </c>
    </row>
    <row r="631" spans="1:6" ht="15" x14ac:dyDescent="0.2">
      <c r="A631" s="7">
        <v>164012</v>
      </c>
      <c r="B631" s="3" t="s">
        <v>418</v>
      </c>
      <c r="C631" s="29">
        <f>ROUND(Balances[[#This Row],[Total]]*40%,0)</f>
        <v>0</v>
      </c>
      <c r="D631" s="29">
        <f>ROUND(Balances[[#This Row],[Total]]*20%,0)</f>
        <v>0</v>
      </c>
      <c r="E631" s="29">
        <f>ROUND(Balances[[#This Row],[Total]]*40%,0)</f>
        <v>0</v>
      </c>
      <c r="F631" s="18">
        <f>SUM(Acueducto[[#This Row],[Acueducto]:[Aseo]])</f>
        <v>0</v>
      </c>
    </row>
    <row r="632" spans="1:6" ht="15" x14ac:dyDescent="0.2">
      <c r="A632" s="7">
        <v>164013</v>
      </c>
      <c r="B632" s="3" t="s">
        <v>419</v>
      </c>
      <c r="C632" s="29">
        <f>ROUND(Balances[[#This Row],[Total]]*40%,0)</f>
        <v>0</v>
      </c>
      <c r="D632" s="29">
        <f>ROUND(Balances[[#This Row],[Total]]*20%,0)</f>
        <v>0</v>
      </c>
      <c r="E632" s="29">
        <f>ROUND(Balances[[#This Row],[Total]]*40%,0)</f>
        <v>0</v>
      </c>
      <c r="F632" s="18">
        <f>SUM(Acueducto[[#This Row],[Acueducto]:[Aseo]])</f>
        <v>0</v>
      </c>
    </row>
    <row r="633" spans="1:6" ht="15" x14ac:dyDescent="0.2">
      <c r="A633" s="7">
        <v>164014</v>
      </c>
      <c r="B633" s="3" t="s">
        <v>420</v>
      </c>
      <c r="C633" s="29">
        <f>ROUND(Balances[[#This Row],[Total]]*40%,0)</f>
        <v>0</v>
      </c>
      <c r="D633" s="29">
        <f>ROUND(Balances[[#This Row],[Total]]*20%,0)</f>
        <v>0</v>
      </c>
      <c r="E633" s="29">
        <f>ROUND(Balances[[#This Row],[Total]]*40%,0)</f>
        <v>0</v>
      </c>
      <c r="F633" s="18">
        <f>SUM(Acueducto[[#This Row],[Acueducto]:[Aseo]])</f>
        <v>0</v>
      </c>
    </row>
    <row r="634" spans="1:6" ht="15" x14ac:dyDescent="0.2">
      <c r="A634" s="7">
        <v>164015</v>
      </c>
      <c r="B634" s="3" t="s">
        <v>421</v>
      </c>
      <c r="C634" s="29">
        <f>ROUND(Balances[[#This Row],[Total]]*40%,0)</f>
        <v>0</v>
      </c>
      <c r="D634" s="29">
        <f>ROUND(Balances[[#This Row],[Total]]*20%,0)</f>
        <v>0</v>
      </c>
      <c r="E634" s="29">
        <f>ROUND(Balances[[#This Row],[Total]]*40%,0)</f>
        <v>0</v>
      </c>
      <c r="F634" s="18">
        <f>SUM(Acueducto[[#This Row],[Acueducto]:[Aseo]])</f>
        <v>0</v>
      </c>
    </row>
    <row r="635" spans="1:6" ht="15" x14ac:dyDescent="0.2">
      <c r="A635" s="7">
        <v>164017</v>
      </c>
      <c r="B635" s="3" t="s">
        <v>422</v>
      </c>
      <c r="C635" s="29">
        <f>ROUND(Balances[[#This Row],[Total]]*40%,0)</f>
        <v>0</v>
      </c>
      <c r="D635" s="29">
        <f>ROUND(Balances[[#This Row],[Total]]*20%,0)</f>
        <v>0</v>
      </c>
      <c r="E635" s="29">
        <f>ROUND(Balances[[#This Row],[Total]]*40%,0)</f>
        <v>0</v>
      </c>
      <c r="F635" s="18">
        <f>SUM(Acueducto[[#This Row],[Acueducto]:[Aseo]])</f>
        <v>0</v>
      </c>
    </row>
    <row r="636" spans="1:6" ht="15" x14ac:dyDescent="0.2">
      <c r="A636" s="7">
        <v>164018</v>
      </c>
      <c r="B636" s="3" t="s">
        <v>423</v>
      </c>
      <c r="C636" s="29">
        <f>ROUND(Balances[[#This Row],[Total]]*40%,0)</f>
        <v>0</v>
      </c>
      <c r="D636" s="29">
        <f>ROUND(Balances[[#This Row],[Total]]*20%,0)</f>
        <v>0</v>
      </c>
      <c r="E636" s="29">
        <f>ROUND(Balances[[#This Row],[Total]]*40%,0)</f>
        <v>0</v>
      </c>
      <c r="F636" s="18">
        <f>SUM(Acueducto[[#This Row],[Acueducto]:[Aseo]])</f>
        <v>0</v>
      </c>
    </row>
    <row r="637" spans="1:6" ht="15" x14ac:dyDescent="0.2">
      <c r="A637" s="7">
        <v>164019</v>
      </c>
      <c r="B637" s="3" t="s">
        <v>424</v>
      </c>
      <c r="C637" s="29">
        <f>ROUND(Balances[[#This Row],[Total]]*40%,0)</f>
        <v>0</v>
      </c>
      <c r="D637" s="29">
        <f>ROUND(Balances[[#This Row],[Total]]*20%,0)</f>
        <v>0</v>
      </c>
      <c r="E637" s="29">
        <f>ROUND(Balances[[#This Row],[Total]]*40%,0)</f>
        <v>0</v>
      </c>
      <c r="F637" s="18">
        <f>SUM(Acueducto[[#This Row],[Acueducto]:[Aseo]])</f>
        <v>0</v>
      </c>
    </row>
    <row r="638" spans="1:6" ht="15" x14ac:dyDescent="0.2">
      <c r="A638" s="7">
        <v>164020</v>
      </c>
      <c r="B638" s="3" t="s">
        <v>425</v>
      </c>
      <c r="C638" s="29">
        <f>ROUND(Balances[[#This Row],[Total]]*40%,0)</f>
        <v>0</v>
      </c>
      <c r="D638" s="29">
        <f>ROUND(Balances[[#This Row],[Total]]*20%,0)</f>
        <v>0</v>
      </c>
      <c r="E638" s="29">
        <f>ROUND(Balances[[#This Row],[Total]]*40%,0)</f>
        <v>0</v>
      </c>
      <c r="F638" s="18">
        <f>SUM(Acueducto[[#This Row],[Acueducto]:[Aseo]])</f>
        <v>0</v>
      </c>
    </row>
    <row r="639" spans="1:6" ht="15" x14ac:dyDescent="0.2">
      <c r="A639" s="7">
        <v>164022</v>
      </c>
      <c r="B639" s="3" t="s">
        <v>426</v>
      </c>
      <c r="C639" s="29">
        <f>ROUND(Balances[[#This Row],[Total]]*40%,0)</f>
        <v>0</v>
      </c>
      <c r="D639" s="29">
        <f>ROUND(Balances[[#This Row],[Total]]*20%,0)</f>
        <v>0</v>
      </c>
      <c r="E639" s="29">
        <f>ROUND(Balances[[#This Row],[Total]]*40%,0)</f>
        <v>0</v>
      </c>
      <c r="F639" s="18">
        <f>SUM(Acueducto[[#This Row],[Acueducto]:[Aseo]])</f>
        <v>0</v>
      </c>
    </row>
    <row r="640" spans="1:6" ht="15" x14ac:dyDescent="0.2">
      <c r="A640" s="7">
        <v>164023</v>
      </c>
      <c r="B640" s="3" t="s">
        <v>427</v>
      </c>
      <c r="C640" s="29">
        <f>ROUND(Balances[[#This Row],[Total]]*40%,0)</f>
        <v>0</v>
      </c>
      <c r="D640" s="29">
        <f>ROUND(Balances[[#This Row],[Total]]*20%,0)</f>
        <v>0</v>
      </c>
      <c r="E640" s="29">
        <f>ROUND(Balances[[#This Row],[Total]]*40%,0)</f>
        <v>0</v>
      </c>
      <c r="F640" s="18">
        <f>SUM(Acueducto[[#This Row],[Acueducto]:[Aseo]])</f>
        <v>0</v>
      </c>
    </row>
    <row r="641" spans="1:6" ht="15" x14ac:dyDescent="0.2">
      <c r="A641" s="7">
        <v>164024</v>
      </c>
      <c r="B641" s="3" t="s">
        <v>428</v>
      </c>
      <c r="C641" s="29">
        <f>ROUND(Balances[[#This Row],[Total]]*40%,0)</f>
        <v>0</v>
      </c>
      <c r="D641" s="29">
        <f>ROUND(Balances[[#This Row],[Total]]*20%,0)</f>
        <v>0</v>
      </c>
      <c r="E641" s="29">
        <f>ROUND(Balances[[#This Row],[Total]]*40%,0)</f>
        <v>0</v>
      </c>
      <c r="F641" s="18">
        <f>SUM(Acueducto[[#This Row],[Acueducto]:[Aseo]])</f>
        <v>0</v>
      </c>
    </row>
    <row r="642" spans="1:6" ht="15" x14ac:dyDescent="0.2">
      <c r="A642" s="7">
        <v>164025</v>
      </c>
      <c r="B642" s="3" t="s">
        <v>429</v>
      </c>
      <c r="C642" s="29">
        <f>ROUND(Balances[[#This Row],[Total]]*40%,0)</f>
        <v>0</v>
      </c>
      <c r="D642" s="29">
        <f>ROUND(Balances[[#This Row],[Total]]*20%,0)</f>
        <v>0</v>
      </c>
      <c r="E642" s="29">
        <f>ROUND(Balances[[#This Row],[Total]]*40%,0)</f>
        <v>0</v>
      </c>
      <c r="F642" s="18">
        <f>SUM(Acueducto[[#This Row],[Acueducto]:[Aseo]])</f>
        <v>0</v>
      </c>
    </row>
    <row r="643" spans="1:6" ht="15" x14ac:dyDescent="0.2">
      <c r="A643" s="7">
        <v>164027</v>
      </c>
      <c r="B643" s="3" t="s">
        <v>430</v>
      </c>
      <c r="C643" s="29">
        <f>ROUND(Balances[[#This Row],[Total]]*40%,0)</f>
        <v>0</v>
      </c>
      <c r="D643" s="29">
        <f>ROUND(Balances[[#This Row],[Total]]*20%,0)</f>
        <v>0</v>
      </c>
      <c r="E643" s="29">
        <f>ROUND(Balances[[#This Row],[Total]]*40%,0)</f>
        <v>0</v>
      </c>
      <c r="F643" s="18">
        <f>SUM(Acueducto[[#This Row],[Acueducto]:[Aseo]])</f>
        <v>0</v>
      </c>
    </row>
    <row r="644" spans="1:6" ht="15" x14ac:dyDescent="0.2">
      <c r="A644" s="7">
        <v>164028</v>
      </c>
      <c r="B644" s="3" t="s">
        <v>431</v>
      </c>
      <c r="C644" s="29">
        <f>ROUND(Balances[[#This Row],[Total]]*40%,0)</f>
        <v>0</v>
      </c>
      <c r="D644" s="29">
        <f>ROUND(Balances[[#This Row],[Total]]*20%,0)</f>
        <v>0</v>
      </c>
      <c r="E644" s="29">
        <f>ROUND(Balances[[#This Row],[Total]]*40%,0)</f>
        <v>0</v>
      </c>
      <c r="F644" s="18">
        <f>SUM(Acueducto[[#This Row],[Acueducto]:[Aseo]])</f>
        <v>0</v>
      </c>
    </row>
    <row r="645" spans="1:6" ht="15" x14ac:dyDescent="0.2">
      <c r="A645" s="7">
        <v>164090</v>
      </c>
      <c r="B645" s="3" t="s">
        <v>432</v>
      </c>
      <c r="C645" s="29">
        <f>ROUND(Balances[[#This Row],[Total]]*40%,0)</f>
        <v>0</v>
      </c>
      <c r="D645" s="29">
        <f>ROUND(Balances[[#This Row],[Total]]*20%,0)</f>
        <v>0</v>
      </c>
      <c r="E645" s="29">
        <f>ROUND(Balances[[#This Row],[Total]]*40%,0)</f>
        <v>0</v>
      </c>
      <c r="F645" s="18">
        <f>SUM(Acueducto[[#This Row],[Acueducto]:[Aseo]])</f>
        <v>0</v>
      </c>
    </row>
    <row r="646" spans="1:6" ht="15" x14ac:dyDescent="0.2">
      <c r="A646" s="6">
        <v>1642</v>
      </c>
      <c r="B646" s="2" t="s">
        <v>433</v>
      </c>
      <c r="C646" s="28">
        <f>ROUND(Balances[[#This Row],[Total]]*40%,0)</f>
        <v>0</v>
      </c>
      <c r="D646" s="28">
        <f>ROUND(Balances[[#This Row],[Total]]*20%,0)</f>
        <v>0</v>
      </c>
      <c r="E646" s="28">
        <f>ROUND(Balances[[#This Row],[Total]]*40%,0)</f>
        <v>0</v>
      </c>
      <c r="F646" s="17">
        <f>SUM(Acueducto[[#This Row],[Acueducto]:[Aseo]])</f>
        <v>0</v>
      </c>
    </row>
    <row r="647" spans="1:6" ht="15" x14ac:dyDescent="0.2">
      <c r="A647" s="7">
        <v>164201</v>
      </c>
      <c r="B647" s="3" t="s">
        <v>385</v>
      </c>
      <c r="C647" s="29">
        <f>ROUND(Balances[[#This Row],[Total]]*40%,0)</f>
        <v>0</v>
      </c>
      <c r="D647" s="29">
        <f>ROUND(Balances[[#This Row],[Total]]*20%,0)</f>
        <v>0</v>
      </c>
      <c r="E647" s="29">
        <f>ROUND(Balances[[#This Row],[Total]]*40%,0)</f>
        <v>0</v>
      </c>
      <c r="F647" s="18">
        <f>SUM(Acueducto[[#This Row],[Acueducto]:[Aseo]])</f>
        <v>0</v>
      </c>
    </row>
    <row r="648" spans="1:6" ht="15" x14ac:dyDescent="0.2">
      <c r="A648" s="7">
        <v>164202</v>
      </c>
      <c r="B648" s="3" t="s">
        <v>386</v>
      </c>
      <c r="C648" s="29">
        <f>ROUND(Balances[[#This Row],[Total]]*40%,0)</f>
        <v>0</v>
      </c>
      <c r="D648" s="29">
        <f>ROUND(Balances[[#This Row],[Total]]*20%,0)</f>
        <v>0</v>
      </c>
      <c r="E648" s="29">
        <f>ROUND(Balances[[#This Row],[Total]]*40%,0)</f>
        <v>0</v>
      </c>
      <c r="F648" s="18">
        <f>SUM(Acueducto[[#This Row],[Acueducto]:[Aseo]])</f>
        <v>0</v>
      </c>
    </row>
    <row r="649" spans="1:6" ht="15" x14ac:dyDescent="0.2">
      <c r="A649" s="7">
        <v>164203</v>
      </c>
      <c r="B649" s="3" t="s">
        <v>387</v>
      </c>
      <c r="C649" s="29">
        <f>ROUND(Balances[[#This Row],[Total]]*40%,0)</f>
        <v>0</v>
      </c>
      <c r="D649" s="29">
        <f>ROUND(Balances[[#This Row],[Total]]*20%,0)</f>
        <v>0</v>
      </c>
      <c r="E649" s="29">
        <f>ROUND(Balances[[#This Row],[Total]]*40%,0)</f>
        <v>0</v>
      </c>
      <c r="F649" s="18">
        <f>SUM(Acueducto[[#This Row],[Acueducto]:[Aseo]])</f>
        <v>0</v>
      </c>
    </row>
    <row r="650" spans="1:6" ht="15" x14ac:dyDescent="0.2">
      <c r="A650" s="7">
        <v>164204</v>
      </c>
      <c r="B650" s="3" t="s">
        <v>390</v>
      </c>
      <c r="C650" s="29">
        <f>ROUND(Balances[[#This Row],[Total]]*40%,0)</f>
        <v>0</v>
      </c>
      <c r="D650" s="29">
        <f>ROUND(Balances[[#This Row],[Total]]*20%,0)</f>
        <v>0</v>
      </c>
      <c r="E650" s="29">
        <f>ROUND(Balances[[#This Row],[Total]]*40%,0)</f>
        <v>0</v>
      </c>
      <c r="F650" s="18">
        <f>SUM(Acueducto[[#This Row],[Acueducto]:[Aseo]])</f>
        <v>0</v>
      </c>
    </row>
    <row r="651" spans="1:6" ht="15" x14ac:dyDescent="0.2">
      <c r="A651" s="7">
        <v>164205</v>
      </c>
      <c r="B651" s="3" t="s">
        <v>391</v>
      </c>
      <c r="C651" s="29">
        <f>ROUND(Balances[[#This Row],[Total]]*40%,0)</f>
        <v>0</v>
      </c>
      <c r="D651" s="29">
        <f>ROUND(Balances[[#This Row],[Total]]*20%,0)</f>
        <v>0</v>
      </c>
      <c r="E651" s="29">
        <f>ROUND(Balances[[#This Row],[Total]]*40%,0)</f>
        <v>0</v>
      </c>
      <c r="F651" s="18">
        <f>SUM(Acueducto[[#This Row],[Acueducto]:[Aseo]])</f>
        <v>0</v>
      </c>
    </row>
    <row r="652" spans="1:6" ht="15" x14ac:dyDescent="0.2">
      <c r="A652" s="7">
        <v>164206</v>
      </c>
      <c r="B652" s="3" t="s">
        <v>397</v>
      </c>
      <c r="C652" s="29">
        <f>ROUND(Balances[[#This Row],[Total]]*40%,0)</f>
        <v>0</v>
      </c>
      <c r="D652" s="29">
        <f>ROUND(Balances[[#This Row],[Total]]*20%,0)</f>
        <v>0</v>
      </c>
      <c r="E652" s="29">
        <f>ROUND(Balances[[#This Row],[Total]]*40%,0)</f>
        <v>0</v>
      </c>
      <c r="F652" s="18">
        <f>SUM(Acueducto[[#This Row],[Acueducto]:[Aseo]])</f>
        <v>0</v>
      </c>
    </row>
    <row r="653" spans="1:6" ht="15" x14ac:dyDescent="0.2">
      <c r="A653" s="7">
        <v>164207</v>
      </c>
      <c r="B653" s="3" t="s">
        <v>311</v>
      </c>
      <c r="C653" s="29">
        <f>ROUND(Balances[[#This Row],[Total]]*40%,0)</f>
        <v>0</v>
      </c>
      <c r="D653" s="29">
        <f>ROUND(Balances[[#This Row],[Total]]*20%,0)</f>
        <v>0</v>
      </c>
      <c r="E653" s="29">
        <f>ROUND(Balances[[#This Row],[Total]]*40%,0)</f>
        <v>0</v>
      </c>
      <c r="F653" s="18">
        <f>SUM(Acueducto[[#This Row],[Acueducto]:[Aseo]])</f>
        <v>0</v>
      </c>
    </row>
    <row r="654" spans="1:6" ht="15" x14ac:dyDescent="0.2">
      <c r="A654" s="7">
        <v>164208</v>
      </c>
      <c r="B654" s="3" t="s">
        <v>393</v>
      </c>
      <c r="C654" s="29">
        <f>ROUND(Balances[[#This Row],[Total]]*40%,0)</f>
        <v>0</v>
      </c>
      <c r="D654" s="29">
        <f>ROUND(Balances[[#This Row],[Total]]*20%,0)</f>
        <v>0</v>
      </c>
      <c r="E654" s="29">
        <f>ROUND(Balances[[#This Row],[Total]]*40%,0)</f>
        <v>0</v>
      </c>
      <c r="F654" s="18">
        <f>SUM(Acueducto[[#This Row],[Acueducto]:[Aseo]])</f>
        <v>0</v>
      </c>
    </row>
    <row r="655" spans="1:6" ht="15" x14ac:dyDescent="0.2">
      <c r="A655" s="7">
        <v>164209</v>
      </c>
      <c r="B655" s="3" t="s">
        <v>392</v>
      </c>
      <c r="C655" s="29">
        <f>ROUND(Balances[[#This Row],[Total]]*40%,0)</f>
        <v>0</v>
      </c>
      <c r="D655" s="29">
        <f>ROUND(Balances[[#This Row],[Total]]*20%,0)</f>
        <v>0</v>
      </c>
      <c r="E655" s="29">
        <f>ROUND(Balances[[#This Row],[Total]]*40%,0)</f>
        <v>0</v>
      </c>
      <c r="F655" s="18">
        <f>SUM(Acueducto[[#This Row],[Acueducto]:[Aseo]])</f>
        <v>0</v>
      </c>
    </row>
    <row r="656" spans="1:6" ht="15" x14ac:dyDescent="0.2">
      <c r="A656" s="7">
        <v>164290</v>
      </c>
      <c r="B656" s="3" t="s">
        <v>434</v>
      </c>
      <c r="C656" s="29">
        <f>ROUND(Balances[[#This Row],[Total]]*40%,0)</f>
        <v>0</v>
      </c>
      <c r="D656" s="29">
        <f>ROUND(Balances[[#This Row],[Total]]*20%,0)</f>
        <v>0</v>
      </c>
      <c r="E656" s="29">
        <f>ROUND(Balances[[#This Row],[Total]]*40%,0)</f>
        <v>0</v>
      </c>
      <c r="F656" s="18">
        <f>SUM(Acueducto[[#This Row],[Acueducto]:[Aseo]])</f>
        <v>0</v>
      </c>
    </row>
    <row r="657" spans="1:6" ht="15" x14ac:dyDescent="0.2">
      <c r="A657" s="6">
        <v>1645</v>
      </c>
      <c r="B657" s="2" t="s">
        <v>435</v>
      </c>
      <c r="C657" s="28">
        <f>ROUND(Balances[[#This Row],[Total]]*40%,0)</f>
        <v>0</v>
      </c>
      <c r="D657" s="28">
        <f>ROUND(Balances[[#This Row],[Total]]*20%,0)</f>
        <v>0</v>
      </c>
      <c r="E657" s="28">
        <f>ROUND(Balances[[#This Row],[Total]]*40%,0)</f>
        <v>0</v>
      </c>
      <c r="F657" s="17">
        <f>SUM(Acueducto[[#This Row],[Acueducto]:[Aseo]])</f>
        <v>0</v>
      </c>
    </row>
    <row r="658" spans="1:6" ht="15" x14ac:dyDescent="0.2">
      <c r="A658" s="7">
        <v>164501</v>
      </c>
      <c r="B658" s="3" t="s">
        <v>436</v>
      </c>
      <c r="C658" s="29">
        <f>ROUND(Balances[[#This Row],[Total]]*40%,0)</f>
        <v>0</v>
      </c>
      <c r="D658" s="29">
        <f>ROUND(Balances[[#This Row],[Total]]*20%,0)</f>
        <v>0</v>
      </c>
      <c r="E658" s="29">
        <f>ROUND(Balances[[#This Row],[Total]]*40%,0)</f>
        <v>0</v>
      </c>
      <c r="F658" s="18">
        <f>SUM(Acueducto[[#This Row],[Acueducto]:[Aseo]])</f>
        <v>0</v>
      </c>
    </row>
    <row r="659" spans="1:6" ht="15" x14ac:dyDescent="0.2">
      <c r="A659" s="7">
        <v>164502</v>
      </c>
      <c r="B659" s="3" t="s">
        <v>437</v>
      </c>
      <c r="C659" s="29">
        <f>ROUND(Balances[[#This Row],[Total]]*40%,0)</f>
        <v>0</v>
      </c>
      <c r="D659" s="29">
        <f>ROUND(Balances[[#This Row],[Total]]*20%,0)</f>
        <v>0</v>
      </c>
      <c r="E659" s="29">
        <f>ROUND(Balances[[#This Row],[Total]]*40%,0)</f>
        <v>0</v>
      </c>
      <c r="F659" s="18">
        <f>SUM(Acueducto[[#This Row],[Acueducto]:[Aseo]])</f>
        <v>0</v>
      </c>
    </row>
    <row r="660" spans="1:6" ht="15" x14ac:dyDescent="0.2">
      <c r="A660" s="7">
        <v>164503</v>
      </c>
      <c r="B660" s="3" t="s">
        <v>438</v>
      </c>
      <c r="C660" s="29">
        <f>ROUND(Balances[[#This Row],[Total]]*40%,0)</f>
        <v>0</v>
      </c>
      <c r="D660" s="29">
        <f>ROUND(Balances[[#This Row],[Total]]*20%,0)</f>
        <v>0</v>
      </c>
      <c r="E660" s="29">
        <f>ROUND(Balances[[#This Row],[Total]]*40%,0)</f>
        <v>0</v>
      </c>
      <c r="F660" s="18">
        <f>SUM(Acueducto[[#This Row],[Acueducto]:[Aseo]])</f>
        <v>0</v>
      </c>
    </row>
    <row r="661" spans="1:6" ht="15" x14ac:dyDescent="0.2">
      <c r="A661" s="7">
        <v>164504</v>
      </c>
      <c r="B661" s="3" t="s">
        <v>439</v>
      </c>
      <c r="C661" s="29">
        <f>ROUND(Balances[[#This Row],[Total]]*40%,0)</f>
        <v>0</v>
      </c>
      <c r="D661" s="29">
        <f>ROUND(Balances[[#This Row],[Total]]*20%,0)</f>
        <v>0</v>
      </c>
      <c r="E661" s="29">
        <f>ROUND(Balances[[#This Row],[Total]]*40%,0)</f>
        <v>0</v>
      </c>
      <c r="F661" s="18">
        <f>SUM(Acueducto[[#This Row],[Acueducto]:[Aseo]])</f>
        <v>0</v>
      </c>
    </row>
    <row r="662" spans="1:6" ht="15" x14ac:dyDescent="0.2">
      <c r="A662" s="7">
        <v>164505</v>
      </c>
      <c r="B662" s="3" t="s">
        <v>440</v>
      </c>
      <c r="C662" s="29">
        <f>ROUND(Balances[[#This Row],[Total]]*40%,0)</f>
        <v>0</v>
      </c>
      <c r="D662" s="29">
        <f>ROUND(Balances[[#This Row],[Total]]*20%,0)</f>
        <v>0</v>
      </c>
      <c r="E662" s="29">
        <f>ROUND(Balances[[#This Row],[Total]]*40%,0)</f>
        <v>0</v>
      </c>
      <c r="F662" s="18">
        <f>SUM(Acueducto[[#This Row],[Acueducto]:[Aseo]])</f>
        <v>0</v>
      </c>
    </row>
    <row r="663" spans="1:6" ht="15" x14ac:dyDescent="0.2">
      <c r="A663" s="7">
        <v>164506</v>
      </c>
      <c r="B663" s="3" t="s">
        <v>441</v>
      </c>
      <c r="C663" s="29">
        <f>ROUND(Balances[[#This Row],[Total]]*40%,0)</f>
        <v>0</v>
      </c>
      <c r="D663" s="29">
        <f>ROUND(Balances[[#This Row],[Total]]*20%,0)</f>
        <v>0</v>
      </c>
      <c r="E663" s="29">
        <f>ROUND(Balances[[#This Row],[Total]]*40%,0)</f>
        <v>0</v>
      </c>
      <c r="F663" s="18">
        <f>SUM(Acueducto[[#This Row],[Acueducto]:[Aseo]])</f>
        <v>0</v>
      </c>
    </row>
    <row r="664" spans="1:6" ht="15" x14ac:dyDescent="0.2">
      <c r="A664" s="7">
        <v>164507</v>
      </c>
      <c r="B664" s="3" t="s">
        <v>442</v>
      </c>
      <c r="C664" s="29">
        <f>ROUND(Balances[[#This Row],[Total]]*40%,0)</f>
        <v>0</v>
      </c>
      <c r="D664" s="29">
        <f>ROUND(Balances[[#This Row],[Total]]*20%,0)</f>
        <v>0</v>
      </c>
      <c r="E664" s="29">
        <f>ROUND(Balances[[#This Row],[Total]]*40%,0)</f>
        <v>0</v>
      </c>
      <c r="F664" s="18">
        <f>SUM(Acueducto[[#This Row],[Acueducto]:[Aseo]])</f>
        <v>0</v>
      </c>
    </row>
    <row r="665" spans="1:6" ht="15" x14ac:dyDescent="0.2">
      <c r="A665" s="7">
        <v>164508</v>
      </c>
      <c r="B665" s="3" t="s">
        <v>443</v>
      </c>
      <c r="C665" s="29">
        <f>ROUND(Balances[[#This Row],[Total]]*40%,0)</f>
        <v>0</v>
      </c>
      <c r="D665" s="29">
        <f>ROUND(Balances[[#This Row],[Total]]*20%,0)</f>
        <v>0</v>
      </c>
      <c r="E665" s="29">
        <f>ROUND(Balances[[#This Row],[Total]]*40%,0)</f>
        <v>0</v>
      </c>
      <c r="F665" s="18">
        <f>SUM(Acueducto[[#This Row],[Acueducto]:[Aseo]])</f>
        <v>0</v>
      </c>
    </row>
    <row r="666" spans="1:6" ht="15" x14ac:dyDescent="0.2">
      <c r="A666" s="7">
        <v>164512</v>
      </c>
      <c r="B666" s="3" t="s">
        <v>444</v>
      </c>
      <c r="C666" s="29">
        <f>ROUND(Balances[[#This Row],[Total]]*40%,0)</f>
        <v>0</v>
      </c>
      <c r="D666" s="29">
        <f>ROUND(Balances[[#This Row],[Total]]*20%,0)</f>
        <v>0</v>
      </c>
      <c r="E666" s="29">
        <f>ROUND(Balances[[#This Row],[Total]]*40%,0)</f>
        <v>0</v>
      </c>
      <c r="F666" s="18">
        <f>SUM(Acueducto[[#This Row],[Acueducto]:[Aseo]])</f>
        <v>0</v>
      </c>
    </row>
    <row r="667" spans="1:6" ht="15" x14ac:dyDescent="0.2">
      <c r="A667" s="7">
        <v>164513</v>
      </c>
      <c r="B667" s="3" t="s">
        <v>445</v>
      </c>
      <c r="C667" s="29">
        <f>ROUND(Balances[[#This Row],[Total]]*40%,0)</f>
        <v>0</v>
      </c>
      <c r="D667" s="29">
        <f>ROUND(Balances[[#This Row],[Total]]*20%,0)</f>
        <v>0</v>
      </c>
      <c r="E667" s="29">
        <f>ROUND(Balances[[#This Row],[Total]]*40%,0)</f>
        <v>0</v>
      </c>
      <c r="F667" s="18">
        <f>SUM(Acueducto[[#This Row],[Acueducto]:[Aseo]])</f>
        <v>0</v>
      </c>
    </row>
    <row r="668" spans="1:6" ht="15" x14ac:dyDescent="0.2">
      <c r="A668" s="7">
        <v>164514</v>
      </c>
      <c r="B668" s="3" t="s">
        <v>446</v>
      </c>
      <c r="C668" s="29">
        <f>ROUND(Balances[[#This Row],[Total]]*40%,0)</f>
        <v>0</v>
      </c>
      <c r="D668" s="29">
        <f>ROUND(Balances[[#This Row],[Total]]*20%,0)</f>
        <v>0</v>
      </c>
      <c r="E668" s="29">
        <f>ROUND(Balances[[#This Row],[Total]]*40%,0)</f>
        <v>0</v>
      </c>
      <c r="F668" s="18">
        <f>SUM(Acueducto[[#This Row],[Acueducto]:[Aseo]])</f>
        <v>0</v>
      </c>
    </row>
    <row r="669" spans="1:6" ht="15" x14ac:dyDescent="0.2">
      <c r="A669" s="7">
        <v>164515</v>
      </c>
      <c r="B669" s="3" t="s">
        <v>447</v>
      </c>
      <c r="C669" s="29">
        <f>ROUND(Balances[[#This Row],[Total]]*40%,0)</f>
        <v>0</v>
      </c>
      <c r="D669" s="29">
        <f>ROUND(Balances[[#This Row],[Total]]*20%,0)</f>
        <v>0</v>
      </c>
      <c r="E669" s="29">
        <f>ROUND(Balances[[#This Row],[Total]]*40%,0)</f>
        <v>0</v>
      </c>
      <c r="F669" s="18">
        <f>SUM(Acueducto[[#This Row],[Acueducto]:[Aseo]])</f>
        <v>0</v>
      </c>
    </row>
    <row r="670" spans="1:6" ht="15" x14ac:dyDescent="0.2">
      <c r="A670" s="7">
        <v>164516</v>
      </c>
      <c r="B670" s="3" t="s">
        <v>448</v>
      </c>
      <c r="C670" s="29">
        <f>ROUND(Balances[[#This Row],[Total]]*40%,0)</f>
        <v>0</v>
      </c>
      <c r="D670" s="29">
        <f>ROUND(Balances[[#This Row],[Total]]*20%,0)</f>
        <v>0</v>
      </c>
      <c r="E670" s="29">
        <f>ROUND(Balances[[#This Row],[Total]]*40%,0)</f>
        <v>0</v>
      </c>
      <c r="F670" s="18">
        <f>SUM(Acueducto[[#This Row],[Acueducto]:[Aseo]])</f>
        <v>0</v>
      </c>
    </row>
    <row r="671" spans="1:6" ht="15" x14ac:dyDescent="0.2">
      <c r="A671" s="7">
        <v>164590</v>
      </c>
      <c r="B671" s="3" t="s">
        <v>449</v>
      </c>
      <c r="C671" s="29">
        <f>ROUND(Balances[[#This Row],[Total]]*40%,0)</f>
        <v>0</v>
      </c>
      <c r="D671" s="29">
        <f>ROUND(Balances[[#This Row],[Total]]*20%,0)</f>
        <v>0</v>
      </c>
      <c r="E671" s="29">
        <f>ROUND(Balances[[#This Row],[Total]]*40%,0)</f>
        <v>0</v>
      </c>
      <c r="F671" s="18">
        <f>SUM(Acueducto[[#This Row],[Acueducto]:[Aseo]])</f>
        <v>0</v>
      </c>
    </row>
    <row r="672" spans="1:6" ht="15" x14ac:dyDescent="0.2">
      <c r="A672" s="6">
        <v>1650</v>
      </c>
      <c r="B672" s="2" t="s">
        <v>450</v>
      </c>
      <c r="C672" s="28">
        <f>ROUND(Balances[[#This Row],[Total]]*40%,0)</f>
        <v>0</v>
      </c>
      <c r="D672" s="28">
        <f>ROUND(Balances[[#This Row],[Total]]*20%,0)</f>
        <v>0</v>
      </c>
      <c r="E672" s="28">
        <f>ROUND(Balances[[#This Row],[Total]]*40%,0)</f>
        <v>0</v>
      </c>
      <c r="F672" s="17">
        <f>SUM(Acueducto[[#This Row],[Acueducto]:[Aseo]])</f>
        <v>0</v>
      </c>
    </row>
    <row r="673" spans="1:6" ht="15" x14ac:dyDescent="0.2">
      <c r="A673" s="7">
        <v>165002</v>
      </c>
      <c r="B673" s="3" t="s">
        <v>451</v>
      </c>
      <c r="C673" s="29">
        <f>ROUND(Balances[[#This Row],[Total]]*40%,0)</f>
        <v>0</v>
      </c>
      <c r="D673" s="29">
        <f>ROUND(Balances[[#This Row],[Total]]*20%,0)</f>
        <v>0</v>
      </c>
      <c r="E673" s="29">
        <f>ROUND(Balances[[#This Row],[Total]]*40%,0)</f>
        <v>0</v>
      </c>
      <c r="F673" s="18">
        <f>SUM(Acueducto[[#This Row],[Acueducto]:[Aseo]])</f>
        <v>0</v>
      </c>
    </row>
    <row r="674" spans="1:6" ht="15" x14ac:dyDescent="0.2">
      <c r="A674" s="7">
        <v>165003</v>
      </c>
      <c r="B674" s="3" t="s">
        <v>452</v>
      </c>
      <c r="C674" s="29">
        <f>ROUND(Balances[[#This Row],[Total]]*40%,0)</f>
        <v>0</v>
      </c>
      <c r="D674" s="29">
        <f>ROUND(Balances[[#This Row],[Total]]*20%,0)</f>
        <v>0</v>
      </c>
      <c r="E674" s="29">
        <f>ROUND(Balances[[#This Row],[Total]]*40%,0)</f>
        <v>0</v>
      </c>
      <c r="F674" s="18">
        <f>SUM(Acueducto[[#This Row],[Acueducto]:[Aseo]])</f>
        <v>0</v>
      </c>
    </row>
    <row r="675" spans="1:6" ht="15" x14ac:dyDescent="0.2">
      <c r="A675" s="7">
        <v>165004</v>
      </c>
      <c r="B675" s="3" t="s">
        <v>453</v>
      </c>
      <c r="C675" s="29">
        <f>ROUND(Balances[[#This Row],[Total]]*40%,0)</f>
        <v>0</v>
      </c>
      <c r="D675" s="29">
        <f>ROUND(Balances[[#This Row],[Total]]*20%,0)</f>
        <v>0</v>
      </c>
      <c r="E675" s="29">
        <f>ROUND(Balances[[#This Row],[Total]]*40%,0)</f>
        <v>0</v>
      </c>
      <c r="F675" s="18">
        <f>SUM(Acueducto[[#This Row],[Acueducto]:[Aseo]])</f>
        <v>0</v>
      </c>
    </row>
    <row r="676" spans="1:6" ht="15" x14ac:dyDescent="0.2">
      <c r="A676" s="7">
        <v>165005</v>
      </c>
      <c r="B676" s="3" t="s">
        <v>454</v>
      </c>
      <c r="C676" s="29">
        <f>ROUND(Balances[[#This Row],[Total]]*40%,0)</f>
        <v>0</v>
      </c>
      <c r="D676" s="29">
        <f>ROUND(Balances[[#This Row],[Total]]*20%,0)</f>
        <v>0</v>
      </c>
      <c r="E676" s="29">
        <f>ROUND(Balances[[#This Row],[Total]]*40%,0)</f>
        <v>0</v>
      </c>
      <c r="F676" s="18">
        <f>SUM(Acueducto[[#This Row],[Acueducto]:[Aseo]])</f>
        <v>0</v>
      </c>
    </row>
    <row r="677" spans="1:6" ht="15" x14ac:dyDescent="0.2">
      <c r="A677" s="7">
        <v>165006</v>
      </c>
      <c r="B677" s="3" t="s">
        <v>455</v>
      </c>
      <c r="C677" s="29">
        <f>ROUND(Balances[[#This Row],[Total]]*40%,0)</f>
        <v>0</v>
      </c>
      <c r="D677" s="29">
        <f>ROUND(Balances[[#This Row],[Total]]*20%,0)</f>
        <v>0</v>
      </c>
      <c r="E677" s="29">
        <f>ROUND(Balances[[#This Row],[Total]]*40%,0)</f>
        <v>0</v>
      </c>
      <c r="F677" s="18">
        <f>SUM(Acueducto[[#This Row],[Acueducto]:[Aseo]])</f>
        <v>0</v>
      </c>
    </row>
    <row r="678" spans="1:6" ht="15" x14ac:dyDescent="0.2">
      <c r="A678" s="7">
        <v>165007</v>
      </c>
      <c r="B678" s="3" t="s">
        <v>456</v>
      </c>
      <c r="C678" s="29">
        <f>ROUND(Balances[[#This Row],[Total]]*40%,0)</f>
        <v>0</v>
      </c>
      <c r="D678" s="29">
        <f>ROUND(Balances[[#This Row],[Total]]*20%,0)</f>
        <v>0</v>
      </c>
      <c r="E678" s="29">
        <f>ROUND(Balances[[#This Row],[Total]]*40%,0)</f>
        <v>0</v>
      </c>
      <c r="F678" s="18">
        <f>SUM(Acueducto[[#This Row],[Acueducto]:[Aseo]])</f>
        <v>0</v>
      </c>
    </row>
    <row r="679" spans="1:6" ht="15" x14ac:dyDescent="0.2">
      <c r="A679" s="7">
        <v>165008</v>
      </c>
      <c r="B679" s="3" t="s">
        <v>457</v>
      </c>
      <c r="C679" s="29">
        <f>ROUND(Balances[[#This Row],[Total]]*40%,0)</f>
        <v>0</v>
      </c>
      <c r="D679" s="29">
        <f>ROUND(Balances[[#This Row],[Total]]*20%,0)</f>
        <v>0</v>
      </c>
      <c r="E679" s="29">
        <f>ROUND(Balances[[#This Row],[Total]]*40%,0)</f>
        <v>0</v>
      </c>
      <c r="F679" s="18">
        <f>SUM(Acueducto[[#This Row],[Acueducto]:[Aseo]])</f>
        <v>0</v>
      </c>
    </row>
    <row r="680" spans="1:6" ht="15" x14ac:dyDescent="0.2">
      <c r="A680" s="7">
        <v>165009</v>
      </c>
      <c r="B680" s="3" t="s">
        <v>458</v>
      </c>
      <c r="C680" s="29">
        <f>ROUND(Balances[[#This Row],[Total]]*40%,0)</f>
        <v>0</v>
      </c>
      <c r="D680" s="29">
        <f>ROUND(Balances[[#This Row],[Total]]*20%,0)</f>
        <v>0</v>
      </c>
      <c r="E680" s="29">
        <f>ROUND(Balances[[#This Row],[Total]]*40%,0)</f>
        <v>0</v>
      </c>
      <c r="F680" s="18">
        <f>SUM(Acueducto[[#This Row],[Acueducto]:[Aseo]])</f>
        <v>0</v>
      </c>
    </row>
    <row r="681" spans="1:6" ht="15" x14ac:dyDescent="0.2">
      <c r="A681" s="7">
        <v>165010</v>
      </c>
      <c r="B681" s="3" t="s">
        <v>459</v>
      </c>
      <c r="C681" s="29">
        <f>ROUND(Balances[[#This Row],[Total]]*40%,0)</f>
        <v>0</v>
      </c>
      <c r="D681" s="29">
        <f>ROUND(Balances[[#This Row],[Total]]*20%,0)</f>
        <v>0</v>
      </c>
      <c r="E681" s="29">
        <f>ROUND(Balances[[#This Row],[Total]]*40%,0)</f>
        <v>0</v>
      </c>
      <c r="F681" s="18">
        <f>SUM(Acueducto[[#This Row],[Acueducto]:[Aseo]])</f>
        <v>0</v>
      </c>
    </row>
    <row r="682" spans="1:6" ht="15" x14ac:dyDescent="0.2">
      <c r="A682" s="7">
        <v>165011</v>
      </c>
      <c r="B682" s="3" t="s">
        <v>460</v>
      </c>
      <c r="C682" s="29">
        <f>ROUND(Balances[[#This Row],[Total]]*40%,0)</f>
        <v>0</v>
      </c>
      <c r="D682" s="29">
        <f>ROUND(Balances[[#This Row],[Total]]*20%,0)</f>
        <v>0</v>
      </c>
      <c r="E682" s="29">
        <f>ROUND(Balances[[#This Row],[Total]]*40%,0)</f>
        <v>0</v>
      </c>
      <c r="F682" s="18">
        <f>SUM(Acueducto[[#This Row],[Acueducto]:[Aseo]])</f>
        <v>0</v>
      </c>
    </row>
    <row r="683" spans="1:6" ht="15" x14ac:dyDescent="0.2">
      <c r="A683" s="7">
        <v>165012</v>
      </c>
      <c r="B683" s="3" t="s">
        <v>461</v>
      </c>
      <c r="C683" s="29">
        <f>ROUND(Balances[[#This Row],[Total]]*40%,0)</f>
        <v>0</v>
      </c>
      <c r="D683" s="29">
        <f>ROUND(Balances[[#This Row],[Total]]*20%,0)</f>
        <v>0</v>
      </c>
      <c r="E683" s="29">
        <f>ROUND(Balances[[#This Row],[Total]]*40%,0)</f>
        <v>0</v>
      </c>
      <c r="F683" s="18">
        <f>SUM(Acueducto[[#This Row],[Acueducto]:[Aseo]])</f>
        <v>0</v>
      </c>
    </row>
    <row r="684" spans="1:6" ht="15" x14ac:dyDescent="0.2">
      <c r="A684" s="7">
        <v>165090</v>
      </c>
      <c r="B684" s="3" t="s">
        <v>462</v>
      </c>
      <c r="C684" s="29">
        <f>ROUND(Balances[[#This Row],[Total]]*40%,0)</f>
        <v>0</v>
      </c>
      <c r="D684" s="29">
        <f>ROUND(Balances[[#This Row],[Total]]*20%,0)</f>
        <v>0</v>
      </c>
      <c r="E684" s="29">
        <f>ROUND(Balances[[#This Row],[Total]]*40%,0)</f>
        <v>0</v>
      </c>
      <c r="F684" s="18">
        <f>SUM(Acueducto[[#This Row],[Acueducto]:[Aseo]])</f>
        <v>0</v>
      </c>
    </row>
    <row r="685" spans="1:6" ht="15" x14ac:dyDescent="0.2">
      <c r="A685" s="6">
        <v>1655</v>
      </c>
      <c r="B685" s="2" t="s">
        <v>463</v>
      </c>
      <c r="C685" s="28">
        <f>ROUND(Balances[[#This Row],[Total]]*40%,0)</f>
        <v>2844628</v>
      </c>
      <c r="D685" s="28">
        <f>ROUND(Balances[[#This Row],[Total]]*20%,0)</f>
        <v>1422314</v>
      </c>
      <c r="E685" s="28">
        <f>ROUND(Balances[[#This Row],[Total]]*40%,0)</f>
        <v>2844628</v>
      </c>
      <c r="F685" s="28">
        <f>SUM(Acueducto[[#This Row],[Acueducto]:[Aseo]])</f>
        <v>7111570</v>
      </c>
    </row>
    <row r="686" spans="1:6" ht="15" x14ac:dyDescent="0.2">
      <c r="A686" s="7">
        <v>165501</v>
      </c>
      <c r="B686" s="3" t="s">
        <v>464</v>
      </c>
      <c r="C686" s="29">
        <f>ROUND(Balances[[#This Row],[Total]]*40%,0)</f>
        <v>0</v>
      </c>
      <c r="D686" s="29">
        <f>ROUND(Balances[[#This Row],[Total]]*20%,0)</f>
        <v>0</v>
      </c>
      <c r="E686" s="29">
        <f>ROUND(Balances[[#This Row],[Total]]*40%,0)</f>
        <v>0</v>
      </c>
      <c r="F686" s="29">
        <f>SUM(Acueducto[[#This Row],[Acueducto]:[Aseo]])</f>
        <v>0</v>
      </c>
    </row>
    <row r="687" spans="1:6" ht="15" x14ac:dyDescent="0.2">
      <c r="A687" s="7">
        <v>165503</v>
      </c>
      <c r="B687" s="3" t="s">
        <v>465</v>
      </c>
      <c r="C687" s="29">
        <f>ROUND(Balances[[#This Row],[Total]]*40%,0)</f>
        <v>0</v>
      </c>
      <c r="D687" s="29">
        <f>ROUND(Balances[[#This Row],[Total]]*20%,0)</f>
        <v>0</v>
      </c>
      <c r="E687" s="29">
        <f>ROUND(Balances[[#This Row],[Total]]*40%,0)</f>
        <v>0</v>
      </c>
      <c r="F687" s="18">
        <f>SUM(Acueducto[[#This Row],[Acueducto]:[Aseo]])</f>
        <v>0</v>
      </c>
    </row>
    <row r="688" spans="1:6" ht="15" x14ac:dyDescent="0.2">
      <c r="A688" s="7">
        <v>165504</v>
      </c>
      <c r="B688" s="3" t="s">
        <v>466</v>
      </c>
      <c r="C688" s="29">
        <f>ROUND(Balances[[#This Row],[Total]]*40%,0)</f>
        <v>0</v>
      </c>
      <c r="D688" s="29">
        <f>ROUND(Balances[[#This Row],[Total]]*20%,0)</f>
        <v>0</v>
      </c>
      <c r="E688" s="29">
        <f>ROUND(Balances[[#This Row],[Total]]*40%,0)</f>
        <v>0</v>
      </c>
      <c r="F688" s="18">
        <f>SUM(Acueducto[[#This Row],[Acueducto]:[Aseo]])</f>
        <v>0</v>
      </c>
    </row>
    <row r="689" spans="1:6" ht="15" x14ac:dyDescent="0.2">
      <c r="A689" s="7">
        <v>165505</v>
      </c>
      <c r="B689" s="3" t="s">
        <v>467</v>
      </c>
      <c r="C689" s="29">
        <f>ROUND(Balances[[#This Row],[Total]]*40%,0)</f>
        <v>0</v>
      </c>
      <c r="D689" s="29">
        <f>ROUND(Balances[[#This Row],[Total]]*20%,0)</f>
        <v>0</v>
      </c>
      <c r="E689" s="29">
        <f>ROUND(Balances[[#This Row],[Total]]*40%,0)</f>
        <v>0</v>
      </c>
      <c r="F689" s="18">
        <f>SUM(Acueducto[[#This Row],[Acueducto]:[Aseo]])</f>
        <v>0</v>
      </c>
    </row>
    <row r="690" spans="1:6" ht="15" x14ac:dyDescent="0.2">
      <c r="A690" s="7">
        <v>165506</v>
      </c>
      <c r="B690" s="3" t="s">
        <v>468</v>
      </c>
      <c r="C690" s="29">
        <f>ROUND(Balances[[#This Row],[Total]]*40%,0)</f>
        <v>0</v>
      </c>
      <c r="D690" s="29">
        <f>ROUND(Balances[[#This Row],[Total]]*20%,0)</f>
        <v>0</v>
      </c>
      <c r="E690" s="29">
        <f>ROUND(Balances[[#This Row],[Total]]*40%,0)</f>
        <v>0</v>
      </c>
      <c r="F690" s="18">
        <f>SUM(Acueducto[[#This Row],[Acueducto]:[Aseo]])</f>
        <v>0</v>
      </c>
    </row>
    <row r="691" spans="1:6" ht="15" x14ac:dyDescent="0.2">
      <c r="A691" s="7">
        <v>165508</v>
      </c>
      <c r="B691" s="3" t="s">
        <v>469</v>
      </c>
      <c r="C691" s="29">
        <f>ROUND(Balances[[#This Row],[Total]]*40%,0)</f>
        <v>0</v>
      </c>
      <c r="D691" s="29">
        <f>ROUND(Balances[[#This Row],[Total]]*20%,0)</f>
        <v>0</v>
      </c>
      <c r="E691" s="29">
        <f>ROUND(Balances[[#This Row],[Total]]*40%,0)</f>
        <v>0</v>
      </c>
      <c r="F691" s="18">
        <f>SUM(Acueducto[[#This Row],[Acueducto]:[Aseo]])</f>
        <v>0</v>
      </c>
    </row>
    <row r="692" spans="1:6" ht="15" x14ac:dyDescent="0.2">
      <c r="A692" s="7">
        <v>165509</v>
      </c>
      <c r="B692" s="3" t="s">
        <v>470</v>
      </c>
      <c r="C692" s="29">
        <f>ROUND(Balances[[#This Row],[Total]]*40%,0)</f>
        <v>0</v>
      </c>
      <c r="D692" s="29">
        <f>ROUND(Balances[[#This Row],[Total]]*20%,0)</f>
        <v>0</v>
      </c>
      <c r="E692" s="29">
        <f>ROUND(Balances[[#This Row],[Total]]*40%,0)</f>
        <v>0</v>
      </c>
      <c r="F692" s="18">
        <f>SUM(Acueducto[[#This Row],[Acueducto]:[Aseo]])</f>
        <v>0</v>
      </c>
    </row>
    <row r="693" spans="1:6" ht="15" x14ac:dyDescent="0.2">
      <c r="A693" s="7">
        <v>165511</v>
      </c>
      <c r="B693" s="3" t="s">
        <v>471</v>
      </c>
      <c r="C693" s="29">
        <f>ROUND(Balances[[#This Row],[Total]]*40%,0)</f>
        <v>0</v>
      </c>
      <c r="D693" s="29">
        <f>ROUND(Balances[[#This Row],[Total]]*20%,0)</f>
        <v>0</v>
      </c>
      <c r="E693" s="29">
        <f>ROUND(Balances[[#This Row],[Total]]*40%,0)</f>
        <v>0</v>
      </c>
      <c r="F693" s="18">
        <f>SUM(Acueducto[[#This Row],[Acueducto]:[Aseo]])</f>
        <v>0</v>
      </c>
    </row>
    <row r="694" spans="1:6" ht="15" x14ac:dyDescent="0.2">
      <c r="A694" s="7">
        <v>165512</v>
      </c>
      <c r="B694" s="3" t="s">
        <v>472</v>
      </c>
      <c r="C694" s="29">
        <f>ROUND(Balances[[#This Row],[Total]]*40%,0)</f>
        <v>2844628</v>
      </c>
      <c r="D694" s="29">
        <f>ROUND(Balances[[#This Row],[Total]]*20%,0)</f>
        <v>1422314</v>
      </c>
      <c r="E694" s="29">
        <f>ROUND(Balances[[#This Row],[Total]]*40%,0)</f>
        <v>2844628</v>
      </c>
      <c r="F694" s="18">
        <f>SUM(Acueducto[[#This Row],[Acueducto]:[Aseo]])</f>
        <v>7111570</v>
      </c>
    </row>
    <row r="695" spans="1:6" ht="15" x14ac:dyDescent="0.2">
      <c r="A695" s="7">
        <v>165520</v>
      </c>
      <c r="B695" s="3" t="s">
        <v>473</v>
      </c>
      <c r="C695" s="29">
        <f>ROUND(Balances[[#This Row],[Total]]*40%,0)</f>
        <v>0</v>
      </c>
      <c r="D695" s="29">
        <f>ROUND(Balances[[#This Row],[Total]]*20%,0)</f>
        <v>0</v>
      </c>
      <c r="E695" s="29">
        <f>ROUND(Balances[[#This Row],[Total]]*40%,0)</f>
        <v>0</v>
      </c>
      <c r="F695" s="18">
        <f>SUM(Acueducto[[#This Row],[Acueducto]:[Aseo]])</f>
        <v>0</v>
      </c>
    </row>
    <row r="696" spans="1:6" ht="15" x14ac:dyDescent="0.2">
      <c r="A696" s="7">
        <v>165521</v>
      </c>
      <c r="B696" s="3" t="s">
        <v>474</v>
      </c>
      <c r="C696" s="29">
        <f>ROUND(Balances[[#This Row],[Total]]*40%,0)</f>
        <v>0</v>
      </c>
      <c r="D696" s="29">
        <f>ROUND(Balances[[#This Row],[Total]]*20%,0)</f>
        <v>0</v>
      </c>
      <c r="E696" s="29">
        <f>ROUND(Balances[[#This Row],[Total]]*40%,0)</f>
        <v>0</v>
      </c>
      <c r="F696" s="18">
        <f>SUM(Acueducto[[#This Row],[Acueducto]:[Aseo]])</f>
        <v>0</v>
      </c>
    </row>
    <row r="697" spans="1:6" ht="15" x14ac:dyDescent="0.2">
      <c r="A697" s="7">
        <v>165522</v>
      </c>
      <c r="B697" s="3" t="s">
        <v>475</v>
      </c>
      <c r="C697" s="29">
        <f>ROUND(Balances[[#This Row],[Total]]*40%,0)</f>
        <v>0</v>
      </c>
      <c r="D697" s="29">
        <f>ROUND(Balances[[#This Row],[Total]]*20%,0)</f>
        <v>0</v>
      </c>
      <c r="E697" s="29">
        <f>ROUND(Balances[[#This Row],[Total]]*40%,0)</f>
        <v>0</v>
      </c>
      <c r="F697" s="18">
        <f>SUM(Acueducto[[#This Row],[Acueducto]:[Aseo]])</f>
        <v>0</v>
      </c>
    </row>
    <row r="698" spans="1:6" ht="15" x14ac:dyDescent="0.2">
      <c r="A698" s="7">
        <v>165523</v>
      </c>
      <c r="B698" s="3" t="s">
        <v>476</v>
      </c>
      <c r="C698" s="29">
        <f>ROUND(Balances[[#This Row],[Total]]*40%,0)</f>
        <v>0</v>
      </c>
      <c r="D698" s="29">
        <f>ROUND(Balances[[#This Row],[Total]]*20%,0)</f>
        <v>0</v>
      </c>
      <c r="E698" s="29">
        <f>ROUND(Balances[[#This Row],[Total]]*40%,0)</f>
        <v>0</v>
      </c>
      <c r="F698" s="29">
        <f>SUM(Acueducto[[#This Row],[Acueducto]:[Aseo]])</f>
        <v>0</v>
      </c>
    </row>
    <row r="699" spans="1:6" ht="15" x14ac:dyDescent="0.2">
      <c r="A699" s="7">
        <v>165524</v>
      </c>
      <c r="B699" s="3" t="s">
        <v>477</v>
      </c>
      <c r="C699" s="29">
        <f>ROUND(Balances[[#This Row],[Total]]*40%,0)</f>
        <v>0</v>
      </c>
      <c r="D699" s="29">
        <f>ROUND(Balances[[#This Row],[Total]]*20%,0)</f>
        <v>0</v>
      </c>
      <c r="E699" s="29">
        <f>ROUND(Balances[[#This Row],[Total]]*40%,0)</f>
        <v>0</v>
      </c>
      <c r="F699" s="18">
        <f>SUM(Acueducto[[#This Row],[Acueducto]:[Aseo]])</f>
        <v>0</v>
      </c>
    </row>
    <row r="700" spans="1:6" ht="15" x14ac:dyDescent="0.2">
      <c r="A700" s="7">
        <v>165525</v>
      </c>
      <c r="B700" s="3" t="s">
        <v>478</v>
      </c>
      <c r="C700" s="29">
        <f>ROUND(Balances[[#This Row],[Total]]*40%,0)</f>
        <v>0</v>
      </c>
      <c r="D700" s="29">
        <f>ROUND(Balances[[#This Row],[Total]]*20%,0)</f>
        <v>0</v>
      </c>
      <c r="E700" s="29">
        <f>ROUND(Balances[[#This Row],[Total]]*40%,0)</f>
        <v>0</v>
      </c>
      <c r="F700" s="18">
        <f>SUM(Acueducto[[#This Row],[Acueducto]:[Aseo]])</f>
        <v>0</v>
      </c>
    </row>
    <row r="701" spans="1:6" ht="15" x14ac:dyDescent="0.2">
      <c r="A701" s="7">
        <v>165526</v>
      </c>
      <c r="B701" s="3" t="s">
        <v>479</v>
      </c>
      <c r="C701" s="29">
        <f>ROUND(Balances[[#This Row],[Total]]*40%,0)</f>
        <v>0</v>
      </c>
      <c r="D701" s="29">
        <f>ROUND(Balances[[#This Row],[Total]]*20%,0)</f>
        <v>0</v>
      </c>
      <c r="E701" s="29">
        <f>ROUND(Balances[[#This Row],[Total]]*40%,0)</f>
        <v>0</v>
      </c>
      <c r="F701" s="18">
        <f>SUM(Acueducto[[#This Row],[Acueducto]:[Aseo]])</f>
        <v>0</v>
      </c>
    </row>
    <row r="702" spans="1:6" ht="15" x14ac:dyDescent="0.2">
      <c r="A702" s="7">
        <v>165590</v>
      </c>
      <c r="B702" s="3" t="s">
        <v>480</v>
      </c>
      <c r="C702" s="29">
        <f>ROUND(Balances[[#This Row],[Total]]*40%,0)</f>
        <v>0</v>
      </c>
      <c r="D702" s="29">
        <f>ROUND(Balances[[#This Row],[Total]]*20%,0)</f>
        <v>0</v>
      </c>
      <c r="E702" s="29">
        <f>ROUND(Balances[[#This Row],[Total]]*40%,0)</f>
        <v>0</v>
      </c>
      <c r="F702" s="29">
        <f>SUM(Acueducto[[#This Row],[Acueducto]:[Aseo]])</f>
        <v>0</v>
      </c>
    </row>
    <row r="703" spans="1:6" ht="15" x14ac:dyDescent="0.2">
      <c r="A703" s="6">
        <v>1660</v>
      </c>
      <c r="B703" s="2" t="s">
        <v>481</v>
      </c>
      <c r="C703" s="28">
        <f>ROUND(Balances[[#This Row],[Total]]*40%,0)</f>
        <v>0</v>
      </c>
      <c r="D703" s="28">
        <f>ROUND(Balances[[#This Row],[Total]]*20%,0)</f>
        <v>0</v>
      </c>
      <c r="E703" s="28">
        <f>ROUND(Balances[[#This Row],[Total]]*40%,0)</f>
        <v>0</v>
      </c>
      <c r="F703" s="17">
        <f>SUM(Acueducto[[#This Row],[Acueducto]:[Aseo]])</f>
        <v>0</v>
      </c>
    </row>
    <row r="704" spans="1:6" ht="15" x14ac:dyDescent="0.2">
      <c r="A704" s="7">
        <v>166001</v>
      </c>
      <c r="B704" s="3" t="s">
        <v>482</v>
      </c>
      <c r="C704" s="29">
        <f>ROUND(Balances[[#This Row],[Total]]*40%,0)</f>
        <v>0</v>
      </c>
      <c r="D704" s="29">
        <f>ROUND(Balances[[#This Row],[Total]]*20%,0)</f>
        <v>0</v>
      </c>
      <c r="E704" s="29">
        <f>ROUND(Balances[[#This Row],[Total]]*40%,0)</f>
        <v>0</v>
      </c>
      <c r="F704" s="18">
        <f>SUM(Acueducto[[#This Row],[Acueducto]:[Aseo]])</f>
        <v>0</v>
      </c>
    </row>
    <row r="705" spans="1:6" ht="15" x14ac:dyDescent="0.2">
      <c r="A705" s="7">
        <v>166002</v>
      </c>
      <c r="B705" s="3" t="s">
        <v>483</v>
      </c>
      <c r="C705" s="29">
        <f>ROUND(Balances[[#This Row],[Total]]*40%,0)</f>
        <v>0</v>
      </c>
      <c r="D705" s="29">
        <f>ROUND(Balances[[#This Row],[Total]]*20%,0)</f>
        <v>0</v>
      </c>
      <c r="E705" s="29">
        <f>ROUND(Balances[[#This Row],[Total]]*40%,0)</f>
        <v>0</v>
      </c>
      <c r="F705" s="18">
        <f>SUM(Acueducto[[#This Row],[Acueducto]:[Aseo]])</f>
        <v>0</v>
      </c>
    </row>
    <row r="706" spans="1:6" ht="15" x14ac:dyDescent="0.2">
      <c r="A706" s="7">
        <v>166003</v>
      </c>
      <c r="B706" s="3" t="s">
        <v>484</v>
      </c>
      <c r="C706" s="29">
        <f>ROUND(Balances[[#This Row],[Total]]*40%,0)</f>
        <v>0</v>
      </c>
      <c r="D706" s="29">
        <f>ROUND(Balances[[#This Row],[Total]]*20%,0)</f>
        <v>0</v>
      </c>
      <c r="E706" s="29">
        <f>ROUND(Balances[[#This Row],[Total]]*40%,0)</f>
        <v>0</v>
      </c>
      <c r="F706" s="18">
        <f>SUM(Acueducto[[#This Row],[Acueducto]:[Aseo]])</f>
        <v>0</v>
      </c>
    </row>
    <row r="707" spans="1:6" ht="15" x14ac:dyDescent="0.2">
      <c r="A707" s="7">
        <v>166005</v>
      </c>
      <c r="B707" s="3" t="s">
        <v>485</v>
      </c>
      <c r="C707" s="29">
        <f>ROUND(Balances[[#This Row],[Total]]*40%,0)</f>
        <v>0</v>
      </c>
      <c r="D707" s="29">
        <f>ROUND(Balances[[#This Row],[Total]]*20%,0)</f>
        <v>0</v>
      </c>
      <c r="E707" s="29">
        <f>ROUND(Balances[[#This Row],[Total]]*40%,0)</f>
        <v>0</v>
      </c>
      <c r="F707" s="18">
        <f>SUM(Acueducto[[#This Row],[Acueducto]:[Aseo]])</f>
        <v>0</v>
      </c>
    </row>
    <row r="708" spans="1:6" ht="15" x14ac:dyDescent="0.2">
      <c r="A708" s="7">
        <v>166006</v>
      </c>
      <c r="B708" s="3" t="s">
        <v>486</v>
      </c>
      <c r="C708" s="29">
        <f>ROUND(Balances[[#This Row],[Total]]*40%,0)</f>
        <v>0</v>
      </c>
      <c r="D708" s="29">
        <f>ROUND(Balances[[#This Row],[Total]]*20%,0)</f>
        <v>0</v>
      </c>
      <c r="E708" s="29">
        <f>ROUND(Balances[[#This Row],[Total]]*40%,0)</f>
        <v>0</v>
      </c>
      <c r="F708" s="18">
        <f>SUM(Acueducto[[#This Row],[Acueducto]:[Aseo]])</f>
        <v>0</v>
      </c>
    </row>
    <row r="709" spans="1:6" ht="15" x14ac:dyDescent="0.2">
      <c r="A709" s="7">
        <v>166007</v>
      </c>
      <c r="B709" s="3" t="s">
        <v>487</v>
      </c>
      <c r="C709" s="29">
        <f>ROUND(Balances[[#This Row],[Total]]*40%,0)</f>
        <v>0</v>
      </c>
      <c r="D709" s="29">
        <f>ROUND(Balances[[#This Row],[Total]]*20%,0)</f>
        <v>0</v>
      </c>
      <c r="E709" s="29">
        <f>ROUND(Balances[[#This Row],[Total]]*40%,0)</f>
        <v>0</v>
      </c>
      <c r="F709" s="18">
        <f>SUM(Acueducto[[#This Row],[Acueducto]:[Aseo]])</f>
        <v>0</v>
      </c>
    </row>
    <row r="710" spans="1:6" ht="15" x14ac:dyDescent="0.2">
      <c r="A710" s="7">
        <v>166008</v>
      </c>
      <c r="B710" s="3" t="s">
        <v>488</v>
      </c>
      <c r="C710" s="29">
        <f>ROUND(Balances[[#This Row],[Total]]*40%,0)</f>
        <v>0</v>
      </c>
      <c r="D710" s="29">
        <f>ROUND(Balances[[#This Row],[Total]]*20%,0)</f>
        <v>0</v>
      </c>
      <c r="E710" s="29">
        <f>ROUND(Balances[[#This Row],[Total]]*40%,0)</f>
        <v>0</v>
      </c>
      <c r="F710" s="18">
        <f>SUM(Acueducto[[#This Row],[Acueducto]:[Aseo]])</f>
        <v>0</v>
      </c>
    </row>
    <row r="711" spans="1:6" ht="15" x14ac:dyDescent="0.2">
      <c r="A711" s="7">
        <v>166009</v>
      </c>
      <c r="B711" s="3" t="s">
        <v>489</v>
      </c>
      <c r="C711" s="29">
        <f>ROUND(Balances[[#This Row],[Total]]*40%,0)</f>
        <v>0</v>
      </c>
      <c r="D711" s="29">
        <f>ROUND(Balances[[#This Row],[Total]]*20%,0)</f>
        <v>0</v>
      </c>
      <c r="E711" s="29">
        <f>ROUND(Balances[[#This Row],[Total]]*40%,0)</f>
        <v>0</v>
      </c>
      <c r="F711" s="18">
        <f>SUM(Acueducto[[#This Row],[Acueducto]:[Aseo]])</f>
        <v>0</v>
      </c>
    </row>
    <row r="712" spans="1:6" ht="15" x14ac:dyDescent="0.2">
      <c r="A712" s="7">
        <v>166010</v>
      </c>
      <c r="B712" s="3" t="s">
        <v>490</v>
      </c>
      <c r="C712" s="29">
        <f>ROUND(Balances[[#This Row],[Total]]*40%,0)</f>
        <v>0</v>
      </c>
      <c r="D712" s="29">
        <f>ROUND(Balances[[#This Row],[Total]]*20%,0)</f>
        <v>0</v>
      </c>
      <c r="E712" s="29">
        <f>ROUND(Balances[[#This Row],[Total]]*40%,0)</f>
        <v>0</v>
      </c>
      <c r="F712" s="18">
        <f>SUM(Acueducto[[#This Row],[Acueducto]:[Aseo]])</f>
        <v>0</v>
      </c>
    </row>
    <row r="713" spans="1:6" ht="15" x14ac:dyDescent="0.2">
      <c r="A713" s="7">
        <v>166011</v>
      </c>
      <c r="B713" s="3" t="s">
        <v>491</v>
      </c>
      <c r="C713" s="29">
        <f>ROUND(Balances[[#This Row],[Total]]*40%,0)</f>
        <v>0</v>
      </c>
      <c r="D713" s="29">
        <f>ROUND(Balances[[#This Row],[Total]]*20%,0)</f>
        <v>0</v>
      </c>
      <c r="E713" s="29">
        <f>ROUND(Balances[[#This Row],[Total]]*40%,0)</f>
        <v>0</v>
      </c>
      <c r="F713" s="18">
        <f>SUM(Acueducto[[#This Row],[Acueducto]:[Aseo]])</f>
        <v>0</v>
      </c>
    </row>
    <row r="714" spans="1:6" ht="15" x14ac:dyDescent="0.2">
      <c r="A714" s="7">
        <v>166090</v>
      </c>
      <c r="B714" s="3" t="s">
        <v>492</v>
      </c>
      <c r="C714" s="29">
        <f>ROUND(Balances[[#This Row],[Total]]*40%,0)</f>
        <v>0</v>
      </c>
      <c r="D714" s="29">
        <f>ROUND(Balances[[#This Row],[Total]]*20%,0)</f>
        <v>0</v>
      </c>
      <c r="E714" s="29">
        <f>ROUND(Balances[[#This Row],[Total]]*40%,0)</f>
        <v>0</v>
      </c>
      <c r="F714" s="18">
        <f>SUM(Acueducto[[#This Row],[Acueducto]:[Aseo]])</f>
        <v>0</v>
      </c>
    </row>
    <row r="715" spans="1:6" ht="15" x14ac:dyDescent="0.2">
      <c r="A715" s="6">
        <v>1665</v>
      </c>
      <c r="B715" s="2" t="s">
        <v>493</v>
      </c>
      <c r="C715" s="28">
        <f>ROUND(Balances[[#This Row],[Total]]*40%,0)</f>
        <v>3958360</v>
      </c>
      <c r="D715" s="28">
        <f>ROUND(Balances[[#This Row],[Total]]*20%,0)</f>
        <v>1979180</v>
      </c>
      <c r="E715" s="28">
        <f>ROUND(Balances[[#This Row],[Total]]*40%,0)</f>
        <v>3958360</v>
      </c>
      <c r="F715" s="28">
        <f>SUM(Acueducto[[#This Row],[Acueducto]:[Aseo]])</f>
        <v>9895900</v>
      </c>
    </row>
    <row r="716" spans="1:6" ht="15" x14ac:dyDescent="0.2">
      <c r="A716" s="7">
        <v>166501</v>
      </c>
      <c r="B716" s="3" t="s">
        <v>316</v>
      </c>
      <c r="C716" s="29">
        <f>ROUND(Balances[[#This Row],[Total]]*40%,0)</f>
        <v>0</v>
      </c>
      <c r="D716" s="29">
        <f>ROUND(Balances[[#This Row],[Total]]*20%,0)</f>
        <v>0</v>
      </c>
      <c r="E716" s="29">
        <f>ROUND(Balances[[#This Row],[Total]]*40%,0)</f>
        <v>0</v>
      </c>
      <c r="F716" s="29">
        <f>SUM(Acueducto[[#This Row],[Acueducto]:[Aseo]])</f>
        <v>0</v>
      </c>
    </row>
    <row r="717" spans="1:6" ht="15" x14ac:dyDescent="0.2">
      <c r="A717" s="7">
        <v>166502</v>
      </c>
      <c r="B717" s="3" t="s">
        <v>494</v>
      </c>
      <c r="C717" s="29">
        <f>ROUND(Balances[[#This Row],[Total]]*40%,0)</f>
        <v>0</v>
      </c>
      <c r="D717" s="29">
        <f>ROUND(Balances[[#This Row],[Total]]*20%,0)</f>
        <v>0</v>
      </c>
      <c r="E717" s="29">
        <f>ROUND(Balances[[#This Row],[Total]]*40%,0)</f>
        <v>0</v>
      </c>
      <c r="F717" s="29">
        <f>SUM(Acueducto[[#This Row],[Acueducto]:[Aseo]])</f>
        <v>0</v>
      </c>
    </row>
    <row r="718" spans="1:6" ht="15" x14ac:dyDescent="0.2">
      <c r="A718" s="7">
        <v>166504</v>
      </c>
      <c r="B718" s="3" t="s">
        <v>495</v>
      </c>
      <c r="C718" s="29">
        <f>ROUND(Balances[[#This Row],[Total]]*40%,0)</f>
        <v>0</v>
      </c>
      <c r="D718" s="29">
        <f>ROUND(Balances[[#This Row],[Total]]*20%,0)</f>
        <v>0</v>
      </c>
      <c r="E718" s="29">
        <f>ROUND(Balances[[#This Row],[Total]]*40%,0)</f>
        <v>0</v>
      </c>
      <c r="F718" s="18">
        <f>SUM(Acueducto[[#This Row],[Acueducto]:[Aseo]])</f>
        <v>0</v>
      </c>
    </row>
    <row r="719" spans="1:6" ht="15" x14ac:dyDescent="0.2">
      <c r="A719" s="7">
        <v>166505</v>
      </c>
      <c r="B719" s="3" t="s">
        <v>496</v>
      </c>
      <c r="C719" s="29">
        <f>ROUND(Balances[[#This Row],[Total]]*40%,0)</f>
        <v>0</v>
      </c>
      <c r="D719" s="29">
        <f>ROUND(Balances[[#This Row],[Total]]*20%,0)</f>
        <v>0</v>
      </c>
      <c r="E719" s="29">
        <f>ROUND(Balances[[#This Row],[Total]]*40%,0)</f>
        <v>0</v>
      </c>
      <c r="F719" s="18">
        <f>SUM(Acueducto[[#This Row],[Acueducto]:[Aseo]])</f>
        <v>0</v>
      </c>
    </row>
    <row r="720" spans="1:6" ht="15" x14ac:dyDescent="0.2">
      <c r="A720" s="7">
        <v>166590</v>
      </c>
      <c r="B720" s="3" t="s">
        <v>497</v>
      </c>
      <c r="C720" s="29">
        <f>ROUND(Balances[[#This Row],[Total]]*40%,0)</f>
        <v>3958360</v>
      </c>
      <c r="D720" s="29">
        <f>ROUND(Balances[[#This Row],[Total]]*20%,0)</f>
        <v>1979180</v>
      </c>
      <c r="E720" s="29">
        <f>ROUND(Balances[[#This Row],[Total]]*40%,0)</f>
        <v>3958360</v>
      </c>
      <c r="F720" s="18">
        <f>SUM(Acueducto[[#This Row],[Acueducto]:[Aseo]])</f>
        <v>9895900</v>
      </c>
    </row>
    <row r="721" spans="1:6" ht="15" x14ac:dyDescent="0.2">
      <c r="A721" s="6">
        <v>1670</v>
      </c>
      <c r="B721" s="2" t="s">
        <v>498</v>
      </c>
      <c r="C721" s="28">
        <f>ROUND(Balances[[#This Row],[Total]]*40%,0)</f>
        <v>612400</v>
      </c>
      <c r="D721" s="28">
        <f>ROUND(Balances[[#This Row],[Total]]*20%,0)</f>
        <v>306200</v>
      </c>
      <c r="E721" s="28">
        <f>ROUND(Balances[[#This Row],[Total]]*40%,0)</f>
        <v>612400</v>
      </c>
      <c r="F721" s="28">
        <f>SUM(Acueducto[[#This Row],[Acueducto]:[Aseo]])</f>
        <v>1531000</v>
      </c>
    </row>
    <row r="722" spans="1:6" ht="15" x14ac:dyDescent="0.2">
      <c r="A722" s="7">
        <v>167001</v>
      </c>
      <c r="B722" s="3" t="s">
        <v>499</v>
      </c>
      <c r="C722" s="29">
        <f>ROUND(Balances[[#This Row],[Total]]*40%,0)</f>
        <v>0</v>
      </c>
      <c r="D722" s="29">
        <f>ROUND(Balances[[#This Row],[Total]]*20%,0)</f>
        <v>0</v>
      </c>
      <c r="E722" s="29">
        <f>ROUND(Balances[[#This Row],[Total]]*40%,0)</f>
        <v>0</v>
      </c>
      <c r="F722" s="18">
        <f>SUM(Acueducto[[#This Row],[Acueducto]:[Aseo]])</f>
        <v>0</v>
      </c>
    </row>
    <row r="723" spans="1:6" ht="15" x14ac:dyDescent="0.2">
      <c r="A723" s="7">
        <v>167002</v>
      </c>
      <c r="B723" s="3" t="s">
        <v>500</v>
      </c>
      <c r="C723" s="29">
        <f>ROUND(Balances[[#This Row],[Total]]*40%,0)</f>
        <v>612400</v>
      </c>
      <c r="D723" s="29">
        <f>ROUND(Balances[[#This Row],[Total]]*20%,0)</f>
        <v>306200</v>
      </c>
      <c r="E723" s="29">
        <f>ROUND(Balances[[#This Row],[Total]]*40%,0)</f>
        <v>612400</v>
      </c>
      <c r="F723" s="29">
        <f>SUM(Acueducto[[#This Row],[Acueducto]:[Aseo]])</f>
        <v>1531000</v>
      </c>
    </row>
    <row r="724" spans="1:6" ht="15" x14ac:dyDescent="0.2">
      <c r="A724" s="7">
        <v>167004</v>
      </c>
      <c r="B724" s="3" t="s">
        <v>501</v>
      </c>
      <c r="C724" s="29">
        <f>ROUND(Balances[[#This Row],[Total]]*40%,0)</f>
        <v>0</v>
      </c>
      <c r="D724" s="29">
        <f>ROUND(Balances[[#This Row],[Total]]*20%,0)</f>
        <v>0</v>
      </c>
      <c r="E724" s="29">
        <f>ROUND(Balances[[#This Row],[Total]]*40%,0)</f>
        <v>0</v>
      </c>
      <c r="F724" s="18">
        <f>SUM(Acueducto[[#This Row],[Acueducto]:[Aseo]])</f>
        <v>0</v>
      </c>
    </row>
    <row r="725" spans="1:6" ht="15" x14ac:dyDescent="0.2">
      <c r="A725" s="7">
        <v>167005</v>
      </c>
      <c r="B725" s="3" t="s">
        <v>502</v>
      </c>
      <c r="C725" s="29">
        <f>ROUND(Balances[[#This Row],[Total]]*40%,0)</f>
        <v>0</v>
      </c>
      <c r="D725" s="29">
        <f>ROUND(Balances[[#This Row],[Total]]*20%,0)</f>
        <v>0</v>
      </c>
      <c r="E725" s="29">
        <f>ROUND(Balances[[#This Row],[Total]]*40%,0)</f>
        <v>0</v>
      </c>
      <c r="F725" s="18">
        <f>SUM(Acueducto[[#This Row],[Acueducto]:[Aseo]])</f>
        <v>0</v>
      </c>
    </row>
    <row r="726" spans="1:6" ht="15" x14ac:dyDescent="0.2">
      <c r="A726" s="7">
        <v>167006</v>
      </c>
      <c r="B726" s="3" t="s">
        <v>503</v>
      </c>
      <c r="C726" s="29">
        <f>ROUND(Balances[[#This Row],[Total]]*40%,0)</f>
        <v>0</v>
      </c>
      <c r="D726" s="29">
        <f>ROUND(Balances[[#This Row],[Total]]*20%,0)</f>
        <v>0</v>
      </c>
      <c r="E726" s="29">
        <f>ROUND(Balances[[#This Row],[Total]]*40%,0)</f>
        <v>0</v>
      </c>
      <c r="F726" s="18">
        <f>SUM(Acueducto[[#This Row],[Acueducto]:[Aseo]])</f>
        <v>0</v>
      </c>
    </row>
    <row r="727" spans="1:6" ht="15" x14ac:dyDescent="0.2">
      <c r="A727" s="7">
        <v>167007</v>
      </c>
      <c r="B727" s="3" t="s">
        <v>504</v>
      </c>
      <c r="C727" s="29">
        <f>ROUND(Balances[[#This Row],[Total]]*40%,0)</f>
        <v>0</v>
      </c>
      <c r="D727" s="29">
        <f>ROUND(Balances[[#This Row],[Total]]*20%,0)</f>
        <v>0</v>
      </c>
      <c r="E727" s="29">
        <f>ROUND(Balances[[#This Row],[Total]]*40%,0)</f>
        <v>0</v>
      </c>
      <c r="F727" s="18">
        <f>SUM(Acueducto[[#This Row],[Acueducto]:[Aseo]])</f>
        <v>0</v>
      </c>
    </row>
    <row r="728" spans="1:6" ht="15" x14ac:dyDescent="0.2">
      <c r="A728" s="7">
        <v>167090</v>
      </c>
      <c r="B728" s="3" t="s">
        <v>505</v>
      </c>
      <c r="C728" s="29">
        <f>ROUND(Balances[[#This Row],[Total]]*40%,0)</f>
        <v>0</v>
      </c>
      <c r="D728" s="29">
        <f>ROUND(Balances[[#This Row],[Total]]*20%,0)</f>
        <v>0</v>
      </c>
      <c r="E728" s="29">
        <f>ROUND(Balances[[#This Row],[Total]]*40%,0)</f>
        <v>0</v>
      </c>
      <c r="F728" s="18">
        <f>SUM(Acueducto[[#This Row],[Acueducto]:[Aseo]])</f>
        <v>0</v>
      </c>
    </row>
    <row r="729" spans="1:6" ht="15" x14ac:dyDescent="0.2">
      <c r="A729" s="6">
        <v>1675</v>
      </c>
      <c r="B729" s="2" t="s">
        <v>506</v>
      </c>
      <c r="C729" s="28">
        <f>ROUND(Balances[[#This Row],[Total]]*40%,0)</f>
        <v>0</v>
      </c>
      <c r="D729" s="28">
        <f>ROUND(Balances[[#This Row],[Total]]*20%,0)</f>
        <v>0</v>
      </c>
      <c r="E729" s="28">
        <f>ROUND(Balances[[#This Row],[Total]]*40%,0)</f>
        <v>0</v>
      </c>
      <c r="F729" s="28">
        <f>SUM(Acueducto[[#This Row],[Acueducto]:[Aseo]])</f>
        <v>0</v>
      </c>
    </row>
    <row r="730" spans="1:6" ht="15" x14ac:dyDescent="0.2">
      <c r="A730" s="7">
        <v>167501</v>
      </c>
      <c r="B730" s="3" t="s">
        <v>507</v>
      </c>
      <c r="C730" s="29">
        <f>ROUND(Balances[[#This Row],[Total]]*40%,0)</f>
        <v>0</v>
      </c>
      <c r="D730" s="29">
        <f>ROUND(Balances[[#This Row],[Total]]*20%,0)</f>
        <v>0</v>
      </c>
      <c r="E730" s="29">
        <f>ROUND(Balances[[#This Row],[Total]]*40%,0)</f>
        <v>0</v>
      </c>
      <c r="F730" s="18">
        <f>SUM(Acueducto[[#This Row],[Acueducto]:[Aseo]])</f>
        <v>0</v>
      </c>
    </row>
    <row r="731" spans="1:6" ht="15" x14ac:dyDescent="0.2">
      <c r="A731" s="7">
        <v>167502</v>
      </c>
      <c r="B731" s="3" t="s">
        <v>508</v>
      </c>
      <c r="C731" s="29">
        <f>ROUND(Balances[[#This Row],[Total]]*40%,0)</f>
        <v>0</v>
      </c>
      <c r="D731" s="29">
        <f>ROUND(Balances[[#This Row],[Total]]*20%,0)</f>
        <v>0</v>
      </c>
      <c r="E731" s="29">
        <f>ROUND(Balances[[#This Row],[Total]]*40%,0)</f>
        <v>0</v>
      </c>
      <c r="F731" s="29">
        <f>SUM(Acueducto[[#This Row],[Acueducto]:[Aseo]])</f>
        <v>0</v>
      </c>
    </row>
    <row r="732" spans="1:6" ht="15" x14ac:dyDescent="0.2">
      <c r="A732" s="7">
        <v>167503</v>
      </c>
      <c r="B732" s="3" t="s">
        <v>509</v>
      </c>
      <c r="C732" s="29">
        <f>ROUND(Balances[[#This Row],[Total]]*40%,0)</f>
        <v>0</v>
      </c>
      <c r="D732" s="29">
        <f>ROUND(Balances[[#This Row],[Total]]*20%,0)</f>
        <v>0</v>
      </c>
      <c r="E732" s="29">
        <f>ROUND(Balances[[#This Row],[Total]]*40%,0)</f>
        <v>0</v>
      </c>
      <c r="F732" s="18">
        <f>SUM(Acueducto[[#This Row],[Acueducto]:[Aseo]])</f>
        <v>0</v>
      </c>
    </row>
    <row r="733" spans="1:6" ht="15" x14ac:dyDescent="0.2">
      <c r="A733" s="7">
        <v>167504</v>
      </c>
      <c r="B733" s="3" t="s">
        <v>510</v>
      </c>
      <c r="C733" s="29">
        <f>ROUND(Balances[[#This Row],[Total]]*40%,0)</f>
        <v>0</v>
      </c>
      <c r="D733" s="29">
        <f>ROUND(Balances[[#This Row],[Total]]*20%,0)</f>
        <v>0</v>
      </c>
      <c r="E733" s="29">
        <f>ROUND(Balances[[#This Row],[Total]]*40%,0)</f>
        <v>0</v>
      </c>
      <c r="F733" s="18">
        <f>SUM(Acueducto[[#This Row],[Acueducto]:[Aseo]])</f>
        <v>0</v>
      </c>
    </row>
    <row r="734" spans="1:6" ht="15" x14ac:dyDescent="0.2">
      <c r="A734" s="7">
        <v>167505</v>
      </c>
      <c r="B734" s="3" t="s">
        <v>511</v>
      </c>
      <c r="C734" s="29">
        <f>ROUND(Balances[[#This Row],[Total]]*40%,0)</f>
        <v>0</v>
      </c>
      <c r="D734" s="29">
        <f>ROUND(Balances[[#This Row],[Total]]*20%,0)</f>
        <v>0</v>
      </c>
      <c r="E734" s="29">
        <f>ROUND(Balances[[#This Row],[Total]]*40%,0)</f>
        <v>0</v>
      </c>
      <c r="F734" s="18">
        <f>SUM(Acueducto[[#This Row],[Acueducto]:[Aseo]])</f>
        <v>0</v>
      </c>
    </row>
    <row r="735" spans="1:6" ht="15" x14ac:dyDescent="0.2">
      <c r="A735" s="7">
        <v>167506</v>
      </c>
      <c r="B735" s="3" t="s">
        <v>512</v>
      </c>
      <c r="C735" s="29">
        <f>ROUND(Balances[[#This Row],[Total]]*40%,0)</f>
        <v>0</v>
      </c>
      <c r="D735" s="29">
        <f>ROUND(Balances[[#This Row],[Total]]*20%,0)</f>
        <v>0</v>
      </c>
      <c r="E735" s="29">
        <f>ROUND(Balances[[#This Row],[Total]]*40%,0)</f>
        <v>0</v>
      </c>
      <c r="F735" s="18">
        <f>SUM(Acueducto[[#This Row],[Acueducto]:[Aseo]])</f>
        <v>0</v>
      </c>
    </row>
    <row r="736" spans="1:6" ht="15" x14ac:dyDescent="0.2">
      <c r="A736" s="7">
        <v>167507</v>
      </c>
      <c r="B736" s="3" t="s">
        <v>513</v>
      </c>
      <c r="C736" s="29">
        <f>ROUND(Balances[[#This Row],[Total]]*40%,0)</f>
        <v>0</v>
      </c>
      <c r="D736" s="29">
        <f>ROUND(Balances[[#This Row],[Total]]*20%,0)</f>
        <v>0</v>
      </c>
      <c r="E736" s="29">
        <f>ROUND(Balances[[#This Row],[Total]]*40%,0)</f>
        <v>0</v>
      </c>
      <c r="F736" s="18">
        <f>SUM(Acueducto[[#This Row],[Acueducto]:[Aseo]])</f>
        <v>0</v>
      </c>
    </row>
    <row r="737" spans="1:6" ht="15" x14ac:dyDescent="0.2">
      <c r="A737" s="7">
        <v>167508</v>
      </c>
      <c r="B737" s="3" t="s">
        <v>514</v>
      </c>
      <c r="C737" s="29">
        <f>ROUND(Balances[[#This Row],[Total]]*40%,0)</f>
        <v>0</v>
      </c>
      <c r="D737" s="29">
        <f>ROUND(Balances[[#This Row],[Total]]*20%,0)</f>
        <v>0</v>
      </c>
      <c r="E737" s="29">
        <f>ROUND(Balances[[#This Row],[Total]]*40%,0)</f>
        <v>0</v>
      </c>
      <c r="F737" s="18">
        <f>SUM(Acueducto[[#This Row],[Acueducto]:[Aseo]])</f>
        <v>0</v>
      </c>
    </row>
    <row r="738" spans="1:6" ht="15" x14ac:dyDescent="0.2">
      <c r="A738" s="7">
        <v>167590</v>
      </c>
      <c r="B738" s="3" t="s">
        <v>515</v>
      </c>
      <c r="C738" s="29">
        <f>ROUND(Balances[[#This Row],[Total]]*40%,0)</f>
        <v>0</v>
      </c>
      <c r="D738" s="29">
        <f>ROUND(Balances[[#This Row],[Total]]*20%,0)</f>
        <v>0</v>
      </c>
      <c r="E738" s="29">
        <f>ROUND(Balances[[#This Row],[Total]]*40%,0)</f>
        <v>0</v>
      </c>
      <c r="F738" s="18">
        <f>SUM(Acueducto[[#This Row],[Acueducto]:[Aseo]])</f>
        <v>0</v>
      </c>
    </row>
    <row r="739" spans="1:6" ht="15" x14ac:dyDescent="0.2">
      <c r="A739" s="6">
        <v>1680</v>
      </c>
      <c r="B739" s="2" t="s">
        <v>516</v>
      </c>
      <c r="C739" s="28">
        <f>ROUND(Balances[[#This Row],[Total]]*40%,0)</f>
        <v>0</v>
      </c>
      <c r="D739" s="28">
        <f>ROUND(Balances[[#This Row],[Total]]*20%,0)</f>
        <v>0</v>
      </c>
      <c r="E739" s="28">
        <f>ROUND(Balances[[#This Row],[Total]]*40%,0)</f>
        <v>0</v>
      </c>
      <c r="F739" s="17">
        <f>SUM(Acueducto[[#This Row],[Acueducto]:[Aseo]])</f>
        <v>0</v>
      </c>
    </row>
    <row r="740" spans="1:6" ht="15" x14ac:dyDescent="0.2">
      <c r="A740" s="7">
        <v>168001</v>
      </c>
      <c r="B740" s="3" t="s">
        <v>517</v>
      </c>
      <c r="C740" s="29">
        <f>ROUND(Balances[[#This Row],[Total]]*40%,0)</f>
        <v>0</v>
      </c>
      <c r="D740" s="29">
        <f>ROUND(Balances[[#This Row],[Total]]*20%,0)</f>
        <v>0</v>
      </c>
      <c r="E740" s="29">
        <f>ROUND(Balances[[#This Row],[Total]]*40%,0)</f>
        <v>0</v>
      </c>
      <c r="F740" s="18">
        <f>SUM(Acueducto[[#This Row],[Acueducto]:[Aseo]])</f>
        <v>0</v>
      </c>
    </row>
    <row r="741" spans="1:6" ht="15" x14ac:dyDescent="0.2">
      <c r="A741" s="7">
        <v>168002</v>
      </c>
      <c r="B741" s="3" t="s">
        <v>518</v>
      </c>
      <c r="C741" s="29">
        <f>ROUND(Balances[[#This Row],[Total]]*40%,0)</f>
        <v>0</v>
      </c>
      <c r="D741" s="29">
        <f>ROUND(Balances[[#This Row],[Total]]*20%,0)</f>
        <v>0</v>
      </c>
      <c r="E741" s="29">
        <f>ROUND(Balances[[#This Row],[Total]]*40%,0)</f>
        <v>0</v>
      </c>
      <c r="F741" s="18">
        <f>SUM(Acueducto[[#This Row],[Acueducto]:[Aseo]])</f>
        <v>0</v>
      </c>
    </row>
    <row r="742" spans="1:6" ht="15" x14ac:dyDescent="0.2">
      <c r="A742" s="7">
        <v>168003</v>
      </c>
      <c r="B742" s="3" t="s">
        <v>519</v>
      </c>
      <c r="C742" s="29">
        <f>ROUND(Balances[[#This Row],[Total]]*40%,0)</f>
        <v>0</v>
      </c>
      <c r="D742" s="29">
        <f>ROUND(Balances[[#This Row],[Total]]*20%,0)</f>
        <v>0</v>
      </c>
      <c r="E742" s="29">
        <f>ROUND(Balances[[#This Row],[Total]]*40%,0)</f>
        <v>0</v>
      </c>
      <c r="F742" s="18">
        <f>SUM(Acueducto[[#This Row],[Acueducto]:[Aseo]])</f>
        <v>0</v>
      </c>
    </row>
    <row r="743" spans="1:6" ht="15" x14ac:dyDescent="0.2">
      <c r="A743" s="7">
        <v>168004</v>
      </c>
      <c r="B743" s="3" t="s">
        <v>520</v>
      </c>
      <c r="C743" s="29">
        <f>ROUND(Balances[[#This Row],[Total]]*40%,0)</f>
        <v>0</v>
      </c>
      <c r="D743" s="29">
        <f>ROUND(Balances[[#This Row],[Total]]*20%,0)</f>
        <v>0</v>
      </c>
      <c r="E743" s="29">
        <f>ROUND(Balances[[#This Row],[Total]]*40%,0)</f>
        <v>0</v>
      </c>
      <c r="F743" s="18">
        <f>SUM(Acueducto[[#This Row],[Acueducto]:[Aseo]])</f>
        <v>0</v>
      </c>
    </row>
    <row r="744" spans="1:6" ht="15" x14ac:dyDescent="0.2">
      <c r="A744" s="7">
        <v>168005</v>
      </c>
      <c r="B744" s="3" t="s">
        <v>521</v>
      </c>
      <c r="C744" s="29">
        <f>ROUND(Balances[[#This Row],[Total]]*40%,0)</f>
        <v>0</v>
      </c>
      <c r="D744" s="29">
        <f>ROUND(Balances[[#This Row],[Total]]*20%,0)</f>
        <v>0</v>
      </c>
      <c r="E744" s="29">
        <f>ROUND(Balances[[#This Row],[Total]]*40%,0)</f>
        <v>0</v>
      </c>
      <c r="F744" s="18">
        <f>SUM(Acueducto[[#This Row],[Acueducto]:[Aseo]])</f>
        <v>0</v>
      </c>
    </row>
    <row r="745" spans="1:6" ht="15" x14ac:dyDescent="0.2">
      <c r="A745" s="7">
        <v>168006</v>
      </c>
      <c r="B745" s="3" t="s">
        <v>522</v>
      </c>
      <c r="C745" s="29">
        <f>ROUND(Balances[[#This Row],[Total]]*40%,0)</f>
        <v>0</v>
      </c>
      <c r="D745" s="29">
        <f>ROUND(Balances[[#This Row],[Total]]*20%,0)</f>
        <v>0</v>
      </c>
      <c r="E745" s="29">
        <f>ROUND(Balances[[#This Row],[Total]]*40%,0)</f>
        <v>0</v>
      </c>
      <c r="F745" s="18">
        <f>SUM(Acueducto[[#This Row],[Acueducto]:[Aseo]])</f>
        <v>0</v>
      </c>
    </row>
    <row r="746" spans="1:6" ht="15" x14ac:dyDescent="0.2">
      <c r="A746" s="7">
        <v>168090</v>
      </c>
      <c r="B746" s="3" t="s">
        <v>523</v>
      </c>
      <c r="C746" s="29">
        <f>ROUND(Balances[[#This Row],[Total]]*40%,0)</f>
        <v>0</v>
      </c>
      <c r="D746" s="29">
        <f>ROUND(Balances[[#This Row],[Total]]*20%,0)</f>
        <v>0</v>
      </c>
      <c r="E746" s="29">
        <f>ROUND(Balances[[#This Row],[Total]]*40%,0)</f>
        <v>0</v>
      </c>
      <c r="F746" s="18">
        <f>SUM(Acueducto[[#This Row],[Acueducto]:[Aseo]])</f>
        <v>0</v>
      </c>
    </row>
    <row r="747" spans="1:6" ht="15" x14ac:dyDescent="0.2">
      <c r="A747" s="6">
        <v>1681</v>
      </c>
      <c r="B747" s="2" t="s">
        <v>524</v>
      </c>
      <c r="C747" s="28">
        <f>ROUND(Balances[[#This Row],[Total]]*40%,0)</f>
        <v>0</v>
      </c>
      <c r="D747" s="28">
        <f>ROUND(Balances[[#This Row],[Total]]*20%,0)</f>
        <v>0</v>
      </c>
      <c r="E747" s="28">
        <f>ROUND(Balances[[#This Row],[Total]]*40%,0)</f>
        <v>0</v>
      </c>
      <c r="F747" s="17">
        <f>SUM(Acueducto[[#This Row],[Acueducto]:[Aseo]])</f>
        <v>0</v>
      </c>
    </row>
    <row r="748" spans="1:6" ht="15" x14ac:dyDescent="0.2">
      <c r="A748" s="7">
        <v>168101</v>
      </c>
      <c r="B748" s="3" t="s">
        <v>525</v>
      </c>
      <c r="C748" s="29">
        <f>ROUND(Balances[[#This Row],[Total]]*40%,0)</f>
        <v>0</v>
      </c>
      <c r="D748" s="29">
        <f>ROUND(Balances[[#This Row],[Total]]*20%,0)</f>
        <v>0</v>
      </c>
      <c r="E748" s="29">
        <f>ROUND(Balances[[#This Row],[Total]]*40%,0)</f>
        <v>0</v>
      </c>
      <c r="F748" s="18">
        <f>SUM(Acueducto[[#This Row],[Acueducto]:[Aseo]])</f>
        <v>0</v>
      </c>
    </row>
    <row r="749" spans="1:6" ht="15" x14ac:dyDescent="0.2">
      <c r="A749" s="7">
        <v>168103</v>
      </c>
      <c r="B749" s="3" t="s">
        <v>526</v>
      </c>
      <c r="C749" s="29">
        <f>ROUND(Balances[[#This Row],[Total]]*40%,0)</f>
        <v>0</v>
      </c>
      <c r="D749" s="29">
        <f>ROUND(Balances[[#This Row],[Total]]*20%,0)</f>
        <v>0</v>
      </c>
      <c r="E749" s="29">
        <f>ROUND(Balances[[#This Row],[Total]]*40%,0)</f>
        <v>0</v>
      </c>
      <c r="F749" s="18">
        <f>SUM(Acueducto[[#This Row],[Acueducto]:[Aseo]])</f>
        <v>0</v>
      </c>
    </row>
    <row r="750" spans="1:6" ht="15" x14ac:dyDescent="0.2">
      <c r="A750" s="7">
        <v>168104</v>
      </c>
      <c r="B750" s="3" t="s">
        <v>527</v>
      </c>
      <c r="C750" s="29">
        <f>ROUND(Balances[[#This Row],[Total]]*40%,0)</f>
        <v>0</v>
      </c>
      <c r="D750" s="29">
        <f>ROUND(Balances[[#This Row],[Total]]*20%,0)</f>
        <v>0</v>
      </c>
      <c r="E750" s="29">
        <f>ROUND(Balances[[#This Row],[Total]]*40%,0)</f>
        <v>0</v>
      </c>
      <c r="F750" s="18">
        <f>SUM(Acueducto[[#This Row],[Acueducto]:[Aseo]])</f>
        <v>0</v>
      </c>
    </row>
    <row r="751" spans="1:6" ht="15" x14ac:dyDescent="0.2">
      <c r="A751" s="7">
        <v>168105</v>
      </c>
      <c r="B751" s="3" t="s">
        <v>528</v>
      </c>
      <c r="C751" s="29">
        <f>ROUND(Balances[[#This Row],[Total]]*40%,0)</f>
        <v>0</v>
      </c>
      <c r="D751" s="29">
        <f>ROUND(Balances[[#This Row],[Total]]*20%,0)</f>
        <v>0</v>
      </c>
      <c r="E751" s="29">
        <f>ROUND(Balances[[#This Row],[Total]]*40%,0)</f>
        <v>0</v>
      </c>
      <c r="F751" s="18">
        <f>SUM(Acueducto[[#This Row],[Acueducto]:[Aseo]])</f>
        <v>0</v>
      </c>
    </row>
    <row r="752" spans="1:6" ht="15" x14ac:dyDescent="0.2">
      <c r="A752" s="7">
        <v>168106</v>
      </c>
      <c r="B752" s="3" t="s">
        <v>529</v>
      </c>
      <c r="C752" s="29">
        <f>ROUND(Balances[[#This Row],[Total]]*40%,0)</f>
        <v>0</v>
      </c>
      <c r="D752" s="29">
        <f>ROUND(Balances[[#This Row],[Total]]*20%,0)</f>
        <v>0</v>
      </c>
      <c r="E752" s="29">
        <f>ROUND(Balances[[#This Row],[Total]]*40%,0)</f>
        <v>0</v>
      </c>
      <c r="F752" s="18">
        <f>SUM(Acueducto[[#This Row],[Acueducto]:[Aseo]])</f>
        <v>0</v>
      </c>
    </row>
    <row r="753" spans="1:6" ht="15" x14ac:dyDescent="0.2">
      <c r="A753" s="7">
        <v>168107</v>
      </c>
      <c r="B753" s="3" t="s">
        <v>530</v>
      </c>
      <c r="C753" s="29">
        <f>ROUND(Balances[[#This Row],[Total]]*40%,0)</f>
        <v>0</v>
      </c>
      <c r="D753" s="29">
        <f>ROUND(Balances[[#This Row],[Total]]*20%,0)</f>
        <v>0</v>
      </c>
      <c r="E753" s="29">
        <f>ROUND(Balances[[#This Row],[Total]]*40%,0)</f>
        <v>0</v>
      </c>
      <c r="F753" s="18">
        <f>SUM(Acueducto[[#This Row],[Acueducto]:[Aseo]])</f>
        <v>0</v>
      </c>
    </row>
    <row r="754" spans="1:6" ht="15" x14ac:dyDescent="0.2">
      <c r="A754" s="7">
        <v>168190</v>
      </c>
      <c r="B754" s="3" t="s">
        <v>531</v>
      </c>
      <c r="C754" s="29">
        <f>ROUND(Balances[[#This Row],[Total]]*40%,0)</f>
        <v>0</v>
      </c>
      <c r="D754" s="29">
        <f>ROUND(Balances[[#This Row],[Total]]*20%,0)</f>
        <v>0</v>
      </c>
      <c r="E754" s="29">
        <f>ROUND(Balances[[#This Row],[Total]]*40%,0)</f>
        <v>0</v>
      </c>
      <c r="F754" s="18">
        <f>SUM(Acueducto[[#This Row],[Acueducto]:[Aseo]])</f>
        <v>0</v>
      </c>
    </row>
    <row r="755" spans="1:6" ht="15" x14ac:dyDescent="0.2">
      <c r="A755" s="6">
        <v>1683</v>
      </c>
      <c r="B755" s="2" t="s">
        <v>532</v>
      </c>
      <c r="C755" s="28">
        <f>ROUND(Balances[[#This Row],[Total]]*40%,0)</f>
        <v>0</v>
      </c>
      <c r="D755" s="28">
        <f>ROUND(Balances[[#This Row],[Total]]*20%,0)</f>
        <v>0</v>
      </c>
      <c r="E755" s="28">
        <f>ROUND(Balances[[#This Row],[Total]]*40%,0)</f>
        <v>0</v>
      </c>
      <c r="F755" s="17">
        <f>SUM(Acueducto[[#This Row],[Acueducto]:[Aseo]])</f>
        <v>0</v>
      </c>
    </row>
    <row r="756" spans="1:6" ht="15" x14ac:dyDescent="0.2">
      <c r="A756" s="7">
        <v>168301</v>
      </c>
      <c r="B756" s="3" t="s">
        <v>306</v>
      </c>
      <c r="C756" s="29">
        <f>ROUND(Balances[[#This Row],[Total]]*40%,0)</f>
        <v>0</v>
      </c>
      <c r="D756" s="29">
        <f>ROUND(Balances[[#This Row],[Total]]*20%,0)</f>
        <v>0</v>
      </c>
      <c r="E756" s="29">
        <f>ROUND(Balances[[#This Row],[Total]]*40%,0)</f>
        <v>0</v>
      </c>
      <c r="F756" s="18">
        <f>SUM(Acueducto[[#This Row],[Acueducto]:[Aseo]])</f>
        <v>0</v>
      </c>
    </row>
    <row r="757" spans="1:6" ht="15" x14ac:dyDescent="0.2">
      <c r="A757" s="7">
        <v>168302</v>
      </c>
      <c r="B757" s="3" t="s">
        <v>385</v>
      </c>
      <c r="C757" s="29">
        <f>ROUND(Balances[[#This Row],[Total]]*40%,0)</f>
        <v>0</v>
      </c>
      <c r="D757" s="29">
        <f>ROUND(Balances[[#This Row],[Total]]*20%,0)</f>
        <v>0</v>
      </c>
      <c r="E757" s="29">
        <f>ROUND(Balances[[#This Row],[Total]]*40%,0)</f>
        <v>0</v>
      </c>
      <c r="F757" s="18">
        <f>SUM(Acueducto[[#This Row],[Acueducto]:[Aseo]])</f>
        <v>0</v>
      </c>
    </row>
    <row r="758" spans="1:6" ht="15" x14ac:dyDescent="0.2">
      <c r="A758" s="7">
        <v>168303</v>
      </c>
      <c r="B758" s="3" t="s">
        <v>386</v>
      </c>
      <c r="C758" s="29">
        <f>ROUND(Balances[[#This Row],[Total]]*40%,0)</f>
        <v>0</v>
      </c>
      <c r="D758" s="29">
        <f>ROUND(Balances[[#This Row],[Total]]*20%,0)</f>
        <v>0</v>
      </c>
      <c r="E758" s="29">
        <f>ROUND(Balances[[#This Row],[Total]]*40%,0)</f>
        <v>0</v>
      </c>
      <c r="F758" s="18">
        <f>SUM(Acueducto[[#This Row],[Acueducto]:[Aseo]])</f>
        <v>0</v>
      </c>
    </row>
    <row r="759" spans="1:6" ht="15" x14ac:dyDescent="0.2">
      <c r="A759" s="7">
        <v>168304</v>
      </c>
      <c r="B759" s="3" t="s">
        <v>387</v>
      </c>
      <c r="C759" s="29">
        <f>ROUND(Balances[[#This Row],[Total]]*40%,0)</f>
        <v>0</v>
      </c>
      <c r="D759" s="29">
        <f>ROUND(Balances[[#This Row],[Total]]*20%,0)</f>
        <v>0</v>
      </c>
      <c r="E759" s="29">
        <f>ROUND(Balances[[#This Row],[Total]]*40%,0)</f>
        <v>0</v>
      </c>
      <c r="F759" s="18">
        <f>SUM(Acueducto[[#This Row],[Acueducto]:[Aseo]])</f>
        <v>0</v>
      </c>
    </row>
    <row r="760" spans="1:6" ht="15" x14ac:dyDescent="0.2">
      <c r="A760" s="7">
        <v>168305</v>
      </c>
      <c r="B760" s="3" t="s">
        <v>533</v>
      </c>
      <c r="C760" s="29">
        <f>ROUND(Balances[[#This Row],[Total]]*40%,0)</f>
        <v>0</v>
      </c>
      <c r="D760" s="29">
        <f>ROUND(Balances[[#This Row],[Total]]*20%,0)</f>
        <v>0</v>
      </c>
      <c r="E760" s="29">
        <f>ROUND(Balances[[#This Row],[Total]]*40%,0)</f>
        <v>0</v>
      </c>
      <c r="F760" s="18">
        <f>SUM(Acueducto[[#This Row],[Acueducto]:[Aseo]])</f>
        <v>0</v>
      </c>
    </row>
    <row r="761" spans="1:6" ht="15" x14ac:dyDescent="0.2">
      <c r="A761" s="7">
        <v>168306</v>
      </c>
      <c r="B761" s="3" t="s">
        <v>391</v>
      </c>
      <c r="C761" s="29">
        <f>ROUND(Balances[[#This Row],[Total]]*40%,0)</f>
        <v>0</v>
      </c>
      <c r="D761" s="29">
        <f>ROUND(Balances[[#This Row],[Total]]*20%,0)</f>
        <v>0</v>
      </c>
      <c r="E761" s="29">
        <f>ROUND(Balances[[#This Row],[Total]]*40%,0)</f>
        <v>0</v>
      </c>
      <c r="F761" s="18">
        <f>SUM(Acueducto[[#This Row],[Acueducto]:[Aseo]])</f>
        <v>0</v>
      </c>
    </row>
    <row r="762" spans="1:6" ht="15" x14ac:dyDescent="0.2">
      <c r="A762" s="7">
        <v>168307</v>
      </c>
      <c r="B762" s="3" t="s">
        <v>397</v>
      </c>
      <c r="C762" s="29">
        <f>ROUND(Balances[[#This Row],[Total]]*40%,0)</f>
        <v>0</v>
      </c>
      <c r="D762" s="29">
        <f>ROUND(Balances[[#This Row],[Total]]*20%,0)</f>
        <v>0</v>
      </c>
      <c r="E762" s="29">
        <f>ROUND(Balances[[#This Row],[Total]]*40%,0)</f>
        <v>0</v>
      </c>
      <c r="F762" s="18">
        <f>SUM(Acueducto[[#This Row],[Acueducto]:[Aseo]])</f>
        <v>0</v>
      </c>
    </row>
    <row r="763" spans="1:6" ht="15" x14ac:dyDescent="0.2">
      <c r="A763" s="7">
        <v>168308</v>
      </c>
      <c r="B763" s="3" t="s">
        <v>311</v>
      </c>
      <c r="C763" s="29">
        <f>ROUND(Balances[[#This Row],[Total]]*40%,0)</f>
        <v>0</v>
      </c>
      <c r="D763" s="29">
        <f>ROUND(Balances[[#This Row],[Total]]*20%,0)</f>
        <v>0</v>
      </c>
      <c r="E763" s="29">
        <f>ROUND(Balances[[#This Row],[Total]]*40%,0)</f>
        <v>0</v>
      </c>
      <c r="F763" s="18">
        <f>SUM(Acueducto[[#This Row],[Acueducto]:[Aseo]])</f>
        <v>0</v>
      </c>
    </row>
    <row r="764" spans="1:6" ht="15" x14ac:dyDescent="0.2">
      <c r="A764" s="7">
        <v>168309</v>
      </c>
      <c r="B764" s="3" t="s">
        <v>393</v>
      </c>
      <c r="C764" s="29">
        <f>ROUND(Balances[[#This Row],[Total]]*40%,0)</f>
        <v>0</v>
      </c>
      <c r="D764" s="29">
        <f>ROUND(Balances[[#This Row],[Total]]*20%,0)</f>
        <v>0</v>
      </c>
      <c r="E764" s="29">
        <f>ROUND(Balances[[#This Row],[Total]]*40%,0)</f>
        <v>0</v>
      </c>
      <c r="F764" s="18">
        <f>SUM(Acueducto[[#This Row],[Acueducto]:[Aseo]])</f>
        <v>0</v>
      </c>
    </row>
    <row r="765" spans="1:6" ht="15" x14ac:dyDescent="0.2">
      <c r="A765" s="7">
        <v>168310</v>
      </c>
      <c r="B765" s="3" t="s">
        <v>405</v>
      </c>
      <c r="C765" s="29">
        <f>ROUND(Balances[[#This Row],[Total]]*40%,0)</f>
        <v>0</v>
      </c>
      <c r="D765" s="29">
        <f>ROUND(Balances[[#This Row],[Total]]*20%,0)</f>
        <v>0</v>
      </c>
      <c r="E765" s="29">
        <f>ROUND(Balances[[#This Row],[Total]]*40%,0)</f>
        <v>0</v>
      </c>
      <c r="F765" s="18">
        <f>SUM(Acueducto[[#This Row],[Acueducto]:[Aseo]])</f>
        <v>0</v>
      </c>
    </row>
    <row r="766" spans="1:6" ht="15" x14ac:dyDescent="0.2">
      <c r="A766" s="7">
        <v>168390</v>
      </c>
      <c r="B766" s="3" t="s">
        <v>534</v>
      </c>
      <c r="C766" s="29">
        <f>ROUND(Balances[[#This Row],[Total]]*40%,0)</f>
        <v>0</v>
      </c>
      <c r="D766" s="29">
        <f>ROUND(Balances[[#This Row],[Total]]*20%,0)</f>
        <v>0</v>
      </c>
      <c r="E766" s="29">
        <f>ROUND(Balances[[#This Row],[Total]]*40%,0)</f>
        <v>0</v>
      </c>
      <c r="F766" s="18">
        <f>SUM(Acueducto[[#This Row],[Acueducto]:[Aseo]])</f>
        <v>0</v>
      </c>
    </row>
    <row r="767" spans="1:6" ht="15" x14ac:dyDescent="0.2">
      <c r="A767" s="6">
        <v>1685</v>
      </c>
      <c r="B767" s="2" t="s">
        <v>535</v>
      </c>
      <c r="C767" s="28">
        <f>ROUND(Balances[[#This Row],[Total]]*40%,0)</f>
        <v>-834584</v>
      </c>
      <c r="D767" s="28">
        <f>ROUND(Balances[[#This Row],[Total]]*20%,0)</f>
        <v>-417292</v>
      </c>
      <c r="E767" s="28">
        <f>ROUND(Balances[[#This Row],[Total]]*40%,0)</f>
        <v>-834584</v>
      </c>
      <c r="F767" s="28">
        <f>SUM(Acueducto[[#This Row],[Acueducto]:[Aseo]])</f>
        <v>-2086460</v>
      </c>
    </row>
    <row r="768" spans="1:6" ht="15" x14ac:dyDescent="0.2">
      <c r="A768" s="7">
        <v>168501</v>
      </c>
      <c r="B768" s="3" t="s">
        <v>385</v>
      </c>
      <c r="C768" s="29">
        <f>ROUND(Balances[[#This Row],[Total]]*40%,0)</f>
        <v>0</v>
      </c>
      <c r="D768" s="29">
        <f>ROUND(Balances[[#This Row],[Total]]*20%,0)</f>
        <v>0</v>
      </c>
      <c r="E768" s="29">
        <f>ROUND(Balances[[#This Row],[Total]]*40%,0)</f>
        <v>0</v>
      </c>
      <c r="F768" s="18">
        <f>SUM(Acueducto[[#This Row],[Acueducto]:[Aseo]])</f>
        <v>0</v>
      </c>
    </row>
    <row r="769" spans="1:6" ht="15" x14ac:dyDescent="0.2">
      <c r="A769" s="7">
        <v>168502</v>
      </c>
      <c r="B769" s="3" t="s">
        <v>386</v>
      </c>
      <c r="C769" s="29">
        <f>ROUND(Balances[[#This Row],[Total]]*40%,0)</f>
        <v>0</v>
      </c>
      <c r="D769" s="29">
        <f>ROUND(Balances[[#This Row],[Total]]*20%,0)</f>
        <v>0</v>
      </c>
      <c r="E769" s="29">
        <f>ROUND(Balances[[#This Row],[Total]]*40%,0)</f>
        <v>0</v>
      </c>
      <c r="F769" s="18">
        <f>SUM(Acueducto[[#This Row],[Acueducto]:[Aseo]])</f>
        <v>0</v>
      </c>
    </row>
    <row r="770" spans="1:6" ht="15" x14ac:dyDescent="0.2">
      <c r="A770" s="7">
        <v>168503</v>
      </c>
      <c r="B770" s="3" t="s">
        <v>387</v>
      </c>
      <c r="C770" s="29">
        <f>ROUND(Balances[[#This Row],[Total]]*40%,0)</f>
        <v>0</v>
      </c>
      <c r="D770" s="29">
        <f>ROUND(Balances[[#This Row],[Total]]*20%,0)</f>
        <v>0</v>
      </c>
      <c r="E770" s="29">
        <f>ROUND(Balances[[#This Row],[Total]]*40%,0)</f>
        <v>0</v>
      </c>
      <c r="F770" s="18">
        <f>SUM(Acueducto[[#This Row],[Acueducto]:[Aseo]])</f>
        <v>0</v>
      </c>
    </row>
    <row r="771" spans="1:6" ht="15" x14ac:dyDescent="0.2">
      <c r="A771" s="7">
        <v>168504</v>
      </c>
      <c r="B771" s="3" t="s">
        <v>390</v>
      </c>
      <c r="C771" s="29">
        <f>ROUND(Balances[[#This Row],[Total]]*40%,0)</f>
        <v>-367144</v>
      </c>
      <c r="D771" s="29">
        <f>ROUND(Balances[[#This Row],[Total]]*20%,0)</f>
        <v>-183572</v>
      </c>
      <c r="E771" s="29">
        <f>ROUND(Balances[[#This Row],[Total]]*40%,0)</f>
        <v>-367144</v>
      </c>
      <c r="F771" s="18">
        <f>SUM(Acueducto[[#This Row],[Acueducto]:[Aseo]])</f>
        <v>-917860</v>
      </c>
    </row>
    <row r="772" spans="1:6" ht="15" x14ac:dyDescent="0.2">
      <c r="A772" s="7">
        <v>168505</v>
      </c>
      <c r="B772" s="3" t="s">
        <v>391</v>
      </c>
      <c r="C772" s="29">
        <f>ROUND(Balances[[#This Row],[Total]]*40%,0)</f>
        <v>0</v>
      </c>
      <c r="D772" s="29">
        <f>ROUND(Balances[[#This Row],[Total]]*20%,0)</f>
        <v>0</v>
      </c>
      <c r="E772" s="29">
        <f>ROUND(Balances[[#This Row],[Total]]*40%,0)</f>
        <v>0</v>
      </c>
      <c r="F772" s="18">
        <f>SUM(Acueducto[[#This Row],[Acueducto]:[Aseo]])</f>
        <v>0</v>
      </c>
    </row>
    <row r="773" spans="1:6" ht="15" x14ac:dyDescent="0.2">
      <c r="A773" s="7">
        <v>168506</v>
      </c>
      <c r="B773" s="3" t="s">
        <v>397</v>
      </c>
      <c r="C773" s="29">
        <f>ROUND(Balances[[#This Row],[Total]]*40%,0)</f>
        <v>-100000</v>
      </c>
      <c r="D773" s="29">
        <f>ROUND(Balances[[#This Row],[Total]]*20%,0)</f>
        <v>-50000</v>
      </c>
      <c r="E773" s="29">
        <f>ROUND(Balances[[#This Row],[Total]]*40%,0)</f>
        <v>-100000</v>
      </c>
      <c r="F773" s="29">
        <f>SUM(Acueducto[[#This Row],[Acueducto]:[Aseo]])</f>
        <v>-250000</v>
      </c>
    </row>
    <row r="774" spans="1:6" ht="15" x14ac:dyDescent="0.2">
      <c r="A774" s="7">
        <v>168507</v>
      </c>
      <c r="B774" s="3" t="s">
        <v>311</v>
      </c>
      <c r="C774" s="29">
        <f>ROUND(Balances[[#This Row],[Total]]*40%,0)</f>
        <v>-367440</v>
      </c>
      <c r="D774" s="29">
        <f>ROUND(Balances[[#This Row],[Total]]*20%,0)</f>
        <v>-183720</v>
      </c>
      <c r="E774" s="29">
        <f>ROUND(Balances[[#This Row],[Total]]*40%,0)</f>
        <v>-367440</v>
      </c>
      <c r="F774" s="29">
        <f>SUM(Acueducto[[#This Row],[Acueducto]:[Aseo]])</f>
        <v>-918600</v>
      </c>
    </row>
    <row r="775" spans="1:6" ht="15" x14ac:dyDescent="0.2">
      <c r="A775" s="7">
        <v>168508</v>
      </c>
      <c r="B775" s="3" t="s">
        <v>393</v>
      </c>
      <c r="C775" s="29">
        <f>ROUND(Balances[[#This Row],[Total]]*40%,0)</f>
        <v>0</v>
      </c>
      <c r="D775" s="29">
        <f>ROUND(Balances[[#This Row],[Total]]*20%,0)</f>
        <v>0</v>
      </c>
      <c r="E775" s="29">
        <f>ROUND(Balances[[#This Row],[Total]]*40%,0)</f>
        <v>0</v>
      </c>
      <c r="F775" s="29">
        <f>SUM(Acueducto[[#This Row],[Acueducto]:[Aseo]])</f>
        <v>0</v>
      </c>
    </row>
    <row r="776" spans="1:6" ht="15" x14ac:dyDescent="0.2">
      <c r="A776" s="7">
        <v>168509</v>
      </c>
      <c r="B776" s="3" t="s">
        <v>392</v>
      </c>
      <c r="C776" s="29">
        <f>ROUND(Balances[[#This Row],[Total]]*40%,0)</f>
        <v>0</v>
      </c>
      <c r="D776" s="29">
        <f>ROUND(Balances[[#This Row],[Total]]*20%,0)</f>
        <v>0</v>
      </c>
      <c r="E776" s="29">
        <f>ROUND(Balances[[#This Row],[Total]]*40%,0)</f>
        <v>0</v>
      </c>
      <c r="F776" s="18">
        <f>SUM(Acueducto[[#This Row],[Acueducto]:[Aseo]])</f>
        <v>0</v>
      </c>
    </row>
    <row r="777" spans="1:6" ht="15" x14ac:dyDescent="0.2">
      <c r="A777" s="7">
        <v>168510</v>
      </c>
      <c r="B777" s="3" t="s">
        <v>398</v>
      </c>
      <c r="C777" s="29">
        <f>ROUND(Balances[[#This Row],[Total]]*40%,0)</f>
        <v>0</v>
      </c>
      <c r="D777" s="29">
        <f>ROUND(Balances[[#This Row],[Total]]*20%,0)</f>
        <v>0</v>
      </c>
      <c r="E777" s="29">
        <f>ROUND(Balances[[#This Row],[Total]]*40%,0)</f>
        <v>0</v>
      </c>
      <c r="F777" s="18">
        <f>SUM(Acueducto[[#This Row],[Acueducto]:[Aseo]])</f>
        <v>0</v>
      </c>
    </row>
    <row r="778" spans="1:6" ht="15" x14ac:dyDescent="0.2">
      <c r="A778" s="7">
        <v>168511</v>
      </c>
      <c r="B778" s="3" t="s">
        <v>536</v>
      </c>
      <c r="C778" s="29">
        <f>ROUND(Balances[[#This Row],[Total]]*40%,0)</f>
        <v>0</v>
      </c>
      <c r="D778" s="29">
        <f>ROUND(Balances[[#This Row],[Total]]*20%,0)</f>
        <v>0</v>
      </c>
      <c r="E778" s="29">
        <f>ROUND(Balances[[#This Row],[Total]]*40%,0)</f>
        <v>0</v>
      </c>
      <c r="F778" s="18">
        <f>SUM(Acueducto[[#This Row],[Acueducto]:[Aseo]])</f>
        <v>0</v>
      </c>
    </row>
    <row r="779" spans="1:6" ht="15" x14ac:dyDescent="0.2">
      <c r="A779" s="7">
        <v>168512</v>
      </c>
      <c r="B779" s="3" t="s">
        <v>537</v>
      </c>
      <c r="C779" s="29">
        <f>ROUND(Balances[[#This Row],[Total]]*40%,0)</f>
        <v>0</v>
      </c>
      <c r="D779" s="29">
        <f>ROUND(Balances[[#This Row],[Total]]*20%,0)</f>
        <v>0</v>
      </c>
      <c r="E779" s="29">
        <f>ROUND(Balances[[#This Row],[Total]]*40%,0)</f>
        <v>0</v>
      </c>
      <c r="F779" s="18">
        <f>SUM(Acueducto[[#This Row],[Acueducto]:[Aseo]])</f>
        <v>0</v>
      </c>
    </row>
    <row r="780" spans="1:6" ht="15" x14ac:dyDescent="0.2">
      <c r="A780" s="7">
        <v>168513</v>
      </c>
      <c r="B780" s="3" t="s">
        <v>538</v>
      </c>
      <c r="C780" s="29">
        <f>ROUND(Balances[[#This Row],[Total]]*40%,0)</f>
        <v>0</v>
      </c>
      <c r="D780" s="29">
        <f>ROUND(Balances[[#This Row],[Total]]*20%,0)</f>
        <v>0</v>
      </c>
      <c r="E780" s="29">
        <f>ROUND(Balances[[#This Row],[Total]]*40%,0)</f>
        <v>0</v>
      </c>
      <c r="F780" s="18">
        <f>SUM(Acueducto[[#This Row],[Acueducto]:[Aseo]])</f>
        <v>0</v>
      </c>
    </row>
    <row r="781" spans="1:6" ht="15" x14ac:dyDescent="0.2">
      <c r="A781" s="7">
        <v>168514</v>
      </c>
      <c r="B781" s="3" t="s">
        <v>539</v>
      </c>
      <c r="C781" s="29">
        <f>ROUND(Balances[[#This Row],[Total]]*40%,0)</f>
        <v>0</v>
      </c>
      <c r="D781" s="29">
        <f>ROUND(Balances[[#This Row],[Total]]*20%,0)</f>
        <v>0</v>
      </c>
      <c r="E781" s="29">
        <f>ROUND(Balances[[#This Row],[Total]]*40%,0)</f>
        <v>0</v>
      </c>
      <c r="F781" s="18">
        <f>SUM(Acueducto[[#This Row],[Acueducto]:[Aseo]])</f>
        <v>0</v>
      </c>
    </row>
    <row r="782" spans="1:6" ht="15" x14ac:dyDescent="0.2">
      <c r="A782" s="7">
        <v>168515</v>
      </c>
      <c r="B782" s="3" t="s">
        <v>540</v>
      </c>
      <c r="C782" s="29">
        <f>ROUND(Balances[[#This Row],[Total]]*40%,0)</f>
        <v>0</v>
      </c>
      <c r="D782" s="29">
        <f>ROUND(Balances[[#This Row],[Total]]*20%,0)</f>
        <v>0</v>
      </c>
      <c r="E782" s="29">
        <f>ROUND(Balances[[#This Row],[Total]]*40%,0)</f>
        <v>0</v>
      </c>
      <c r="F782" s="18">
        <f>SUM(Acueducto[[#This Row],[Acueducto]:[Aseo]])</f>
        <v>0</v>
      </c>
    </row>
    <row r="783" spans="1:6" ht="15" x14ac:dyDescent="0.2">
      <c r="A783" s="7">
        <v>168516</v>
      </c>
      <c r="B783" s="3" t="s">
        <v>541</v>
      </c>
      <c r="C783" s="29">
        <f>ROUND(Balances[[#This Row],[Total]]*40%,0)</f>
        <v>0</v>
      </c>
      <c r="D783" s="29">
        <f>ROUND(Balances[[#This Row],[Total]]*20%,0)</f>
        <v>0</v>
      </c>
      <c r="E783" s="29">
        <f>ROUND(Balances[[#This Row],[Total]]*40%,0)</f>
        <v>0</v>
      </c>
      <c r="F783" s="18">
        <f>SUM(Acueducto[[#This Row],[Acueducto]:[Aseo]])</f>
        <v>0</v>
      </c>
    </row>
    <row r="784" spans="1:6" ht="15" x14ac:dyDescent="0.2">
      <c r="A784" s="7">
        <v>168517</v>
      </c>
      <c r="B784" s="3" t="s">
        <v>542</v>
      </c>
      <c r="C784" s="29">
        <f>ROUND(Balances[[#This Row],[Total]]*40%,0)</f>
        <v>0</v>
      </c>
      <c r="D784" s="29">
        <f>ROUND(Balances[[#This Row],[Total]]*20%,0)</f>
        <v>0</v>
      </c>
      <c r="E784" s="29">
        <f>ROUND(Balances[[#This Row],[Total]]*40%,0)</f>
        <v>0</v>
      </c>
      <c r="F784" s="18">
        <f>SUM(Acueducto[[#This Row],[Acueducto]:[Aseo]])</f>
        <v>0</v>
      </c>
    </row>
    <row r="785" spans="1:6" ht="15" x14ac:dyDescent="0.2">
      <c r="A785" s="6">
        <v>1695</v>
      </c>
      <c r="B785" s="2" t="s">
        <v>543</v>
      </c>
      <c r="C785" s="28">
        <f>ROUND(Balances[[#This Row],[Total]]*40%,0)</f>
        <v>0</v>
      </c>
      <c r="D785" s="28">
        <f>ROUND(Balances[[#This Row],[Total]]*20%,0)</f>
        <v>0</v>
      </c>
      <c r="E785" s="28">
        <f>ROUND(Balances[[#This Row],[Total]]*40%,0)</f>
        <v>0</v>
      </c>
      <c r="F785" s="17">
        <f>SUM(Acueducto[[#This Row],[Acueducto]:[Aseo]])</f>
        <v>0</v>
      </c>
    </row>
    <row r="786" spans="1:6" ht="15" x14ac:dyDescent="0.2">
      <c r="A786" s="7">
        <v>169501</v>
      </c>
      <c r="B786" s="3" t="s">
        <v>306</v>
      </c>
      <c r="C786" s="29">
        <f>ROUND(Balances[[#This Row],[Total]]*40%,0)</f>
        <v>0</v>
      </c>
      <c r="D786" s="29">
        <f>ROUND(Balances[[#This Row],[Total]]*20%,0)</f>
        <v>0</v>
      </c>
      <c r="E786" s="29">
        <f>ROUND(Balances[[#This Row],[Total]]*40%,0)</f>
        <v>0</v>
      </c>
      <c r="F786" s="18">
        <f>SUM(Acueducto[[#This Row],[Acueducto]:[Aseo]])</f>
        <v>0</v>
      </c>
    </row>
    <row r="787" spans="1:6" ht="15" x14ac:dyDescent="0.2">
      <c r="A787" s="7">
        <v>169502</v>
      </c>
      <c r="B787" s="3" t="s">
        <v>398</v>
      </c>
      <c r="C787" s="29">
        <f>ROUND(Balances[[#This Row],[Total]]*40%,0)</f>
        <v>0</v>
      </c>
      <c r="D787" s="29">
        <f>ROUND(Balances[[#This Row],[Total]]*20%,0)</f>
        <v>0</v>
      </c>
      <c r="E787" s="29">
        <f>ROUND(Balances[[#This Row],[Total]]*40%,0)</f>
        <v>0</v>
      </c>
      <c r="F787" s="18">
        <f>SUM(Acueducto[[#This Row],[Acueducto]:[Aseo]])</f>
        <v>0</v>
      </c>
    </row>
    <row r="788" spans="1:6" ht="15" x14ac:dyDescent="0.2">
      <c r="A788" s="7">
        <v>169503</v>
      </c>
      <c r="B788" s="3" t="s">
        <v>405</v>
      </c>
      <c r="C788" s="29">
        <f>ROUND(Balances[[#This Row],[Total]]*40%,0)</f>
        <v>0</v>
      </c>
      <c r="D788" s="29">
        <f>ROUND(Balances[[#This Row],[Total]]*20%,0)</f>
        <v>0</v>
      </c>
      <c r="E788" s="29">
        <f>ROUND(Balances[[#This Row],[Total]]*40%,0)</f>
        <v>0</v>
      </c>
      <c r="F788" s="18">
        <f>SUM(Acueducto[[#This Row],[Acueducto]:[Aseo]])</f>
        <v>0</v>
      </c>
    </row>
    <row r="789" spans="1:6" ht="15" x14ac:dyDescent="0.2">
      <c r="A789" s="7">
        <v>169504</v>
      </c>
      <c r="B789" s="3" t="s">
        <v>544</v>
      </c>
      <c r="C789" s="29">
        <f>ROUND(Balances[[#This Row],[Total]]*40%,0)</f>
        <v>0</v>
      </c>
      <c r="D789" s="29">
        <f>ROUND(Balances[[#This Row],[Total]]*20%,0)</f>
        <v>0</v>
      </c>
      <c r="E789" s="29">
        <f>ROUND(Balances[[#This Row],[Total]]*40%,0)</f>
        <v>0</v>
      </c>
      <c r="F789" s="18">
        <f>SUM(Acueducto[[#This Row],[Acueducto]:[Aseo]])</f>
        <v>0</v>
      </c>
    </row>
    <row r="790" spans="1:6" ht="15" x14ac:dyDescent="0.2">
      <c r="A790" s="7">
        <v>169505</v>
      </c>
      <c r="B790" s="3" t="s">
        <v>385</v>
      </c>
      <c r="C790" s="29">
        <f>ROUND(Balances[[#This Row],[Total]]*40%,0)</f>
        <v>0</v>
      </c>
      <c r="D790" s="29">
        <f>ROUND(Balances[[#This Row],[Total]]*20%,0)</f>
        <v>0</v>
      </c>
      <c r="E790" s="29">
        <f>ROUND(Balances[[#This Row],[Total]]*40%,0)</f>
        <v>0</v>
      </c>
      <c r="F790" s="18">
        <f>SUM(Acueducto[[#This Row],[Acueducto]:[Aseo]])</f>
        <v>0</v>
      </c>
    </row>
    <row r="791" spans="1:6" ht="15" x14ac:dyDescent="0.2">
      <c r="A791" s="7">
        <v>169506</v>
      </c>
      <c r="B791" s="3" t="s">
        <v>386</v>
      </c>
      <c r="C791" s="29">
        <f>ROUND(Balances[[#This Row],[Total]]*40%,0)</f>
        <v>0</v>
      </c>
      <c r="D791" s="29">
        <f>ROUND(Balances[[#This Row],[Total]]*20%,0)</f>
        <v>0</v>
      </c>
      <c r="E791" s="29">
        <f>ROUND(Balances[[#This Row],[Total]]*40%,0)</f>
        <v>0</v>
      </c>
      <c r="F791" s="18">
        <f>SUM(Acueducto[[#This Row],[Acueducto]:[Aseo]])</f>
        <v>0</v>
      </c>
    </row>
    <row r="792" spans="1:6" ht="15" x14ac:dyDescent="0.2">
      <c r="A792" s="7">
        <v>169507</v>
      </c>
      <c r="B792" s="3" t="s">
        <v>387</v>
      </c>
      <c r="C792" s="29">
        <f>ROUND(Balances[[#This Row],[Total]]*40%,0)</f>
        <v>0</v>
      </c>
      <c r="D792" s="29">
        <f>ROUND(Balances[[#This Row],[Total]]*20%,0)</f>
        <v>0</v>
      </c>
      <c r="E792" s="29">
        <f>ROUND(Balances[[#This Row],[Total]]*40%,0)</f>
        <v>0</v>
      </c>
      <c r="F792" s="18">
        <f>SUM(Acueducto[[#This Row],[Acueducto]:[Aseo]])</f>
        <v>0</v>
      </c>
    </row>
    <row r="793" spans="1:6" ht="15" x14ac:dyDescent="0.2">
      <c r="A793" s="7">
        <v>169508</v>
      </c>
      <c r="B793" s="3" t="s">
        <v>390</v>
      </c>
      <c r="C793" s="29">
        <f>ROUND(Balances[[#This Row],[Total]]*40%,0)</f>
        <v>0</v>
      </c>
      <c r="D793" s="29">
        <f>ROUND(Balances[[#This Row],[Total]]*20%,0)</f>
        <v>0</v>
      </c>
      <c r="E793" s="29">
        <f>ROUND(Balances[[#This Row],[Total]]*40%,0)</f>
        <v>0</v>
      </c>
      <c r="F793" s="18">
        <f>SUM(Acueducto[[#This Row],[Acueducto]:[Aseo]])</f>
        <v>0</v>
      </c>
    </row>
    <row r="794" spans="1:6" ht="15" x14ac:dyDescent="0.2">
      <c r="A794" s="7">
        <v>169509</v>
      </c>
      <c r="B794" s="3" t="s">
        <v>391</v>
      </c>
      <c r="C794" s="29">
        <f>ROUND(Balances[[#This Row],[Total]]*40%,0)</f>
        <v>0</v>
      </c>
      <c r="D794" s="29">
        <f>ROUND(Balances[[#This Row],[Total]]*20%,0)</f>
        <v>0</v>
      </c>
      <c r="E794" s="29">
        <f>ROUND(Balances[[#This Row],[Total]]*40%,0)</f>
        <v>0</v>
      </c>
      <c r="F794" s="18">
        <f>SUM(Acueducto[[#This Row],[Acueducto]:[Aseo]])</f>
        <v>0</v>
      </c>
    </row>
    <row r="795" spans="1:6" ht="15" x14ac:dyDescent="0.2">
      <c r="A795" s="7">
        <v>169510</v>
      </c>
      <c r="B795" s="3" t="s">
        <v>397</v>
      </c>
      <c r="C795" s="29">
        <f>ROUND(Balances[[#This Row],[Total]]*40%,0)</f>
        <v>0</v>
      </c>
      <c r="D795" s="29">
        <f>ROUND(Balances[[#This Row],[Total]]*20%,0)</f>
        <v>0</v>
      </c>
      <c r="E795" s="29">
        <f>ROUND(Balances[[#This Row],[Total]]*40%,0)</f>
        <v>0</v>
      </c>
      <c r="F795" s="18">
        <f>SUM(Acueducto[[#This Row],[Acueducto]:[Aseo]])</f>
        <v>0</v>
      </c>
    </row>
    <row r="796" spans="1:6" ht="15" x14ac:dyDescent="0.2">
      <c r="A796" s="7">
        <v>169511</v>
      </c>
      <c r="B796" s="3" t="s">
        <v>311</v>
      </c>
      <c r="C796" s="29">
        <f>ROUND(Balances[[#This Row],[Total]]*40%,0)</f>
        <v>0</v>
      </c>
      <c r="D796" s="29">
        <f>ROUND(Balances[[#This Row],[Total]]*20%,0)</f>
        <v>0</v>
      </c>
      <c r="E796" s="29">
        <f>ROUND(Balances[[#This Row],[Total]]*40%,0)</f>
        <v>0</v>
      </c>
      <c r="F796" s="18">
        <f>SUM(Acueducto[[#This Row],[Acueducto]:[Aseo]])</f>
        <v>0</v>
      </c>
    </row>
    <row r="797" spans="1:6" ht="15" x14ac:dyDescent="0.2">
      <c r="A797" s="7">
        <v>169512</v>
      </c>
      <c r="B797" s="3" t="s">
        <v>545</v>
      </c>
      <c r="C797" s="29">
        <f>ROUND(Balances[[#This Row],[Total]]*40%,0)</f>
        <v>0</v>
      </c>
      <c r="D797" s="29">
        <f>ROUND(Balances[[#This Row],[Total]]*20%,0)</f>
        <v>0</v>
      </c>
      <c r="E797" s="29">
        <f>ROUND(Balances[[#This Row],[Total]]*40%,0)</f>
        <v>0</v>
      </c>
      <c r="F797" s="18">
        <f>SUM(Acueducto[[#This Row],[Acueducto]:[Aseo]])</f>
        <v>0</v>
      </c>
    </row>
    <row r="798" spans="1:6" ht="15" x14ac:dyDescent="0.2">
      <c r="A798" s="7">
        <v>169513</v>
      </c>
      <c r="B798" s="3" t="s">
        <v>392</v>
      </c>
      <c r="C798" s="29">
        <f>ROUND(Balances[[#This Row],[Total]]*40%,0)</f>
        <v>0</v>
      </c>
      <c r="D798" s="29">
        <f>ROUND(Balances[[#This Row],[Total]]*20%,0)</f>
        <v>0</v>
      </c>
      <c r="E798" s="29">
        <f>ROUND(Balances[[#This Row],[Total]]*40%,0)</f>
        <v>0</v>
      </c>
      <c r="F798" s="18">
        <f>SUM(Acueducto[[#This Row],[Acueducto]:[Aseo]])</f>
        <v>0</v>
      </c>
    </row>
    <row r="799" spans="1:6" ht="15" x14ac:dyDescent="0.2">
      <c r="A799" s="7">
        <v>169514</v>
      </c>
      <c r="B799" s="3" t="s">
        <v>536</v>
      </c>
      <c r="C799" s="29">
        <f>ROUND(Balances[[#This Row],[Total]]*40%,0)</f>
        <v>0</v>
      </c>
      <c r="D799" s="29">
        <f>ROUND(Balances[[#This Row],[Total]]*20%,0)</f>
        <v>0</v>
      </c>
      <c r="E799" s="29">
        <f>ROUND(Balances[[#This Row],[Total]]*40%,0)</f>
        <v>0</v>
      </c>
      <c r="F799" s="18">
        <f>SUM(Acueducto[[#This Row],[Acueducto]:[Aseo]])</f>
        <v>0</v>
      </c>
    </row>
    <row r="800" spans="1:6" ht="15" x14ac:dyDescent="0.2">
      <c r="A800" s="7">
        <v>169515</v>
      </c>
      <c r="B800" s="3" t="s">
        <v>333</v>
      </c>
      <c r="C800" s="29">
        <f>ROUND(Balances[[#This Row],[Total]]*40%,0)</f>
        <v>0</v>
      </c>
      <c r="D800" s="29">
        <f>ROUND(Balances[[#This Row],[Total]]*20%,0)</f>
        <v>0</v>
      </c>
      <c r="E800" s="29">
        <f>ROUND(Balances[[#This Row],[Total]]*40%,0)</f>
        <v>0</v>
      </c>
      <c r="F800" s="18">
        <f>SUM(Acueducto[[#This Row],[Acueducto]:[Aseo]])</f>
        <v>0</v>
      </c>
    </row>
    <row r="801" spans="1:6" ht="15" x14ac:dyDescent="0.2">
      <c r="A801" s="7">
        <v>169520</v>
      </c>
      <c r="B801" s="3" t="s">
        <v>546</v>
      </c>
      <c r="C801" s="29">
        <f>ROUND(Balances[[#This Row],[Total]]*40%,0)</f>
        <v>0</v>
      </c>
      <c r="D801" s="29">
        <f>ROUND(Balances[[#This Row],[Total]]*20%,0)</f>
        <v>0</v>
      </c>
      <c r="E801" s="29">
        <f>ROUND(Balances[[#This Row],[Total]]*40%,0)</f>
        <v>0</v>
      </c>
      <c r="F801" s="18">
        <f>SUM(Acueducto[[#This Row],[Acueducto]:[Aseo]])</f>
        <v>0</v>
      </c>
    </row>
    <row r="802" spans="1:6" ht="15" x14ac:dyDescent="0.2">
      <c r="A802" s="7">
        <v>169521</v>
      </c>
      <c r="B802" s="3" t="s">
        <v>537</v>
      </c>
      <c r="C802" s="29">
        <f>ROUND(Balances[[#This Row],[Total]]*40%,0)</f>
        <v>0</v>
      </c>
      <c r="D802" s="29">
        <f>ROUND(Balances[[#This Row],[Total]]*20%,0)</f>
        <v>0</v>
      </c>
      <c r="E802" s="29">
        <f>ROUND(Balances[[#This Row],[Total]]*40%,0)</f>
        <v>0</v>
      </c>
      <c r="F802" s="18">
        <f>SUM(Acueducto[[#This Row],[Acueducto]:[Aseo]])</f>
        <v>0</v>
      </c>
    </row>
    <row r="803" spans="1:6" ht="15" x14ac:dyDescent="0.2">
      <c r="A803" s="7">
        <v>169522</v>
      </c>
      <c r="B803" s="3" t="s">
        <v>541</v>
      </c>
      <c r="C803" s="29">
        <f>ROUND(Balances[[#This Row],[Total]]*40%,0)</f>
        <v>0</v>
      </c>
      <c r="D803" s="29">
        <f>ROUND(Balances[[#This Row],[Total]]*20%,0)</f>
        <v>0</v>
      </c>
      <c r="E803" s="29">
        <f>ROUND(Balances[[#This Row],[Total]]*40%,0)</f>
        <v>0</v>
      </c>
      <c r="F803" s="18">
        <f>SUM(Acueducto[[#This Row],[Acueducto]:[Aseo]])</f>
        <v>0</v>
      </c>
    </row>
    <row r="804" spans="1:6" ht="15" x14ac:dyDescent="0.2">
      <c r="A804" s="7">
        <v>169523</v>
      </c>
      <c r="B804" s="3" t="s">
        <v>538</v>
      </c>
      <c r="C804" s="29">
        <f>ROUND(Balances[[#This Row],[Total]]*40%,0)</f>
        <v>0</v>
      </c>
      <c r="D804" s="29">
        <f>ROUND(Balances[[#This Row],[Total]]*20%,0)</f>
        <v>0</v>
      </c>
      <c r="E804" s="29">
        <f>ROUND(Balances[[#This Row],[Total]]*40%,0)</f>
        <v>0</v>
      </c>
      <c r="F804" s="18">
        <f>SUM(Acueducto[[#This Row],[Acueducto]:[Aseo]])</f>
        <v>0</v>
      </c>
    </row>
    <row r="805" spans="1:6" ht="15" x14ac:dyDescent="0.2">
      <c r="A805" s="7">
        <v>169524</v>
      </c>
      <c r="B805" s="3" t="s">
        <v>539</v>
      </c>
      <c r="C805" s="29">
        <f>ROUND(Balances[[#This Row],[Total]]*40%,0)</f>
        <v>0</v>
      </c>
      <c r="D805" s="29">
        <f>ROUND(Balances[[#This Row],[Total]]*20%,0)</f>
        <v>0</v>
      </c>
      <c r="E805" s="29">
        <f>ROUND(Balances[[#This Row],[Total]]*40%,0)</f>
        <v>0</v>
      </c>
      <c r="F805" s="18">
        <f>SUM(Acueducto[[#This Row],[Acueducto]:[Aseo]])</f>
        <v>0</v>
      </c>
    </row>
    <row r="806" spans="1:6" ht="15" x14ac:dyDescent="0.2">
      <c r="A806" s="7">
        <v>169525</v>
      </c>
      <c r="B806" s="3" t="s">
        <v>540</v>
      </c>
      <c r="C806" s="29">
        <f>ROUND(Balances[[#This Row],[Total]]*40%,0)</f>
        <v>0</v>
      </c>
      <c r="D806" s="29">
        <f>ROUND(Balances[[#This Row],[Total]]*20%,0)</f>
        <v>0</v>
      </c>
      <c r="E806" s="29">
        <f>ROUND(Balances[[#This Row],[Total]]*40%,0)</f>
        <v>0</v>
      </c>
      <c r="F806" s="18">
        <f>SUM(Acueducto[[#This Row],[Acueducto]:[Aseo]])</f>
        <v>0</v>
      </c>
    </row>
    <row r="807" spans="1:6" ht="15" x14ac:dyDescent="0.2">
      <c r="A807" s="6">
        <v>19</v>
      </c>
      <c r="B807" s="2" t="s">
        <v>547</v>
      </c>
      <c r="C807" s="28">
        <f>ROUND(Balances[[#This Row],[Total]]*40%,0)</f>
        <v>0</v>
      </c>
      <c r="D807" s="28">
        <f>ROUND(Balances[[#This Row],[Total]]*20%,0)</f>
        <v>0</v>
      </c>
      <c r="E807" s="28">
        <f>ROUND(Balances[[#This Row],[Total]]*40%,0)</f>
        <v>0</v>
      </c>
      <c r="F807" s="28">
        <f>SUM(Acueducto[[#This Row],[Acueducto]:[Aseo]])</f>
        <v>0</v>
      </c>
    </row>
    <row r="808" spans="1:6" ht="15" x14ac:dyDescent="0.2">
      <c r="A808" s="6">
        <v>1902</v>
      </c>
      <c r="B808" s="2" t="s">
        <v>548</v>
      </c>
      <c r="C808" s="28">
        <f>ROUND(Balances[[#This Row],[Total]]*40%,0)</f>
        <v>0</v>
      </c>
      <c r="D808" s="28">
        <f>ROUND(Balances[[#This Row],[Total]]*20%,0)</f>
        <v>0</v>
      </c>
      <c r="E808" s="28">
        <f>ROUND(Balances[[#This Row],[Total]]*40%,0)</f>
        <v>0</v>
      </c>
      <c r="F808" s="17">
        <f>SUM(Acueducto[[#This Row],[Acueducto]:[Aseo]])</f>
        <v>0</v>
      </c>
    </row>
    <row r="809" spans="1:6" ht="15" x14ac:dyDescent="0.2">
      <c r="A809" s="7">
        <v>190201</v>
      </c>
      <c r="B809" s="3" t="s">
        <v>549</v>
      </c>
      <c r="C809" s="29">
        <f>ROUND(Balances[[#This Row],[Total]]*40%,0)</f>
        <v>0</v>
      </c>
      <c r="D809" s="29">
        <f>ROUND(Balances[[#This Row],[Total]]*20%,0)</f>
        <v>0</v>
      </c>
      <c r="E809" s="29">
        <f>ROUND(Balances[[#This Row],[Total]]*40%,0)</f>
        <v>0</v>
      </c>
      <c r="F809" s="18">
        <f>SUM(Acueducto[[#This Row],[Acueducto]:[Aseo]])</f>
        <v>0</v>
      </c>
    </row>
    <row r="810" spans="1:6" ht="15" x14ac:dyDescent="0.2">
      <c r="A810" s="7">
        <v>190202</v>
      </c>
      <c r="B810" s="3" t="s">
        <v>550</v>
      </c>
      <c r="C810" s="29">
        <f>ROUND(Balances[[#This Row],[Total]]*40%,0)</f>
        <v>0</v>
      </c>
      <c r="D810" s="29">
        <f>ROUND(Balances[[#This Row],[Total]]*20%,0)</f>
        <v>0</v>
      </c>
      <c r="E810" s="29">
        <f>ROUND(Balances[[#This Row],[Total]]*40%,0)</f>
        <v>0</v>
      </c>
      <c r="F810" s="18">
        <f>SUM(Acueducto[[#This Row],[Acueducto]:[Aseo]])</f>
        <v>0</v>
      </c>
    </row>
    <row r="811" spans="1:6" ht="15" x14ac:dyDescent="0.2">
      <c r="A811" s="7">
        <v>190203</v>
      </c>
      <c r="B811" s="3" t="s">
        <v>551</v>
      </c>
      <c r="C811" s="29">
        <f>ROUND(Balances[[#This Row],[Total]]*40%,0)</f>
        <v>0</v>
      </c>
      <c r="D811" s="29">
        <f>ROUND(Balances[[#This Row],[Total]]*20%,0)</f>
        <v>0</v>
      </c>
      <c r="E811" s="29">
        <f>ROUND(Balances[[#This Row],[Total]]*40%,0)</f>
        <v>0</v>
      </c>
      <c r="F811" s="18">
        <f>SUM(Acueducto[[#This Row],[Acueducto]:[Aseo]])</f>
        <v>0</v>
      </c>
    </row>
    <row r="812" spans="1:6" ht="15" x14ac:dyDescent="0.2">
      <c r="A812" s="7">
        <v>190204</v>
      </c>
      <c r="B812" s="3" t="s">
        <v>552</v>
      </c>
      <c r="C812" s="29">
        <f>ROUND(Balances[[#This Row],[Total]]*40%,0)</f>
        <v>0</v>
      </c>
      <c r="D812" s="29">
        <f>ROUND(Balances[[#This Row],[Total]]*20%,0)</f>
        <v>0</v>
      </c>
      <c r="E812" s="29">
        <f>ROUND(Balances[[#This Row],[Total]]*40%,0)</f>
        <v>0</v>
      </c>
      <c r="F812" s="18">
        <f>SUM(Acueducto[[#This Row],[Acueducto]:[Aseo]])</f>
        <v>0</v>
      </c>
    </row>
    <row r="813" spans="1:6" ht="15" x14ac:dyDescent="0.2">
      <c r="A813" s="7">
        <v>190205</v>
      </c>
      <c r="B813" s="3" t="s">
        <v>553</v>
      </c>
      <c r="C813" s="29">
        <f>ROUND(Balances[[#This Row],[Total]]*40%,0)</f>
        <v>0</v>
      </c>
      <c r="D813" s="29">
        <f>ROUND(Balances[[#This Row],[Total]]*20%,0)</f>
        <v>0</v>
      </c>
      <c r="E813" s="29">
        <f>ROUND(Balances[[#This Row],[Total]]*40%,0)</f>
        <v>0</v>
      </c>
      <c r="F813" s="18">
        <f>SUM(Acueducto[[#This Row],[Acueducto]:[Aseo]])</f>
        <v>0</v>
      </c>
    </row>
    <row r="814" spans="1:6" ht="15" x14ac:dyDescent="0.2">
      <c r="A814" s="7">
        <v>190206</v>
      </c>
      <c r="B814" s="3" t="s">
        <v>554</v>
      </c>
      <c r="C814" s="29">
        <f>ROUND(Balances[[#This Row],[Total]]*40%,0)</f>
        <v>0</v>
      </c>
      <c r="D814" s="29">
        <f>ROUND(Balances[[#This Row],[Total]]*20%,0)</f>
        <v>0</v>
      </c>
      <c r="E814" s="29">
        <f>ROUND(Balances[[#This Row],[Total]]*40%,0)</f>
        <v>0</v>
      </c>
      <c r="F814" s="18">
        <f>SUM(Acueducto[[#This Row],[Acueducto]:[Aseo]])</f>
        <v>0</v>
      </c>
    </row>
    <row r="815" spans="1:6" ht="15" x14ac:dyDescent="0.2">
      <c r="A815" s="7">
        <v>190207</v>
      </c>
      <c r="B815" s="3" t="s">
        <v>555</v>
      </c>
      <c r="C815" s="29">
        <f>ROUND(Balances[[#This Row],[Total]]*40%,0)</f>
        <v>0</v>
      </c>
      <c r="D815" s="29">
        <f>ROUND(Balances[[#This Row],[Total]]*20%,0)</f>
        <v>0</v>
      </c>
      <c r="E815" s="29">
        <f>ROUND(Balances[[#This Row],[Total]]*40%,0)</f>
        <v>0</v>
      </c>
      <c r="F815" s="18">
        <f>SUM(Acueducto[[#This Row],[Acueducto]:[Aseo]])</f>
        <v>0</v>
      </c>
    </row>
    <row r="816" spans="1:6" ht="15" x14ac:dyDescent="0.2">
      <c r="A816" s="7">
        <v>190208</v>
      </c>
      <c r="B816" s="3" t="s">
        <v>556</v>
      </c>
      <c r="C816" s="29">
        <f>ROUND(Balances[[#This Row],[Total]]*40%,0)</f>
        <v>0</v>
      </c>
      <c r="D816" s="29">
        <f>ROUND(Balances[[#This Row],[Total]]*20%,0)</f>
        <v>0</v>
      </c>
      <c r="E816" s="29">
        <f>ROUND(Balances[[#This Row],[Total]]*40%,0)</f>
        <v>0</v>
      </c>
      <c r="F816" s="18">
        <f>SUM(Acueducto[[#This Row],[Acueducto]:[Aseo]])</f>
        <v>0</v>
      </c>
    </row>
    <row r="817" spans="1:6" ht="15" x14ac:dyDescent="0.2">
      <c r="A817" s="6">
        <v>1903</v>
      </c>
      <c r="B817" s="2" t="s">
        <v>557</v>
      </c>
      <c r="C817" s="28">
        <f>ROUND(Balances[[#This Row],[Total]]*40%,0)</f>
        <v>0</v>
      </c>
      <c r="D817" s="28">
        <f>ROUND(Balances[[#This Row],[Total]]*20%,0)</f>
        <v>0</v>
      </c>
      <c r="E817" s="28">
        <f>ROUND(Balances[[#This Row],[Total]]*40%,0)</f>
        <v>0</v>
      </c>
      <c r="F817" s="17">
        <f>SUM(Acueducto[[#This Row],[Acueducto]:[Aseo]])</f>
        <v>0</v>
      </c>
    </row>
    <row r="818" spans="1:6" ht="15" x14ac:dyDescent="0.2">
      <c r="A818" s="7">
        <v>190301</v>
      </c>
      <c r="B818" s="3" t="s">
        <v>549</v>
      </c>
      <c r="C818" s="29">
        <f>ROUND(Balances[[#This Row],[Total]]*40%,0)</f>
        <v>0</v>
      </c>
      <c r="D818" s="29">
        <f>ROUND(Balances[[#This Row],[Total]]*20%,0)</f>
        <v>0</v>
      </c>
      <c r="E818" s="29">
        <f>ROUND(Balances[[#This Row],[Total]]*40%,0)</f>
        <v>0</v>
      </c>
      <c r="F818" s="18">
        <f>SUM(Acueducto[[#This Row],[Acueducto]:[Aseo]])</f>
        <v>0</v>
      </c>
    </row>
    <row r="819" spans="1:6" ht="15" x14ac:dyDescent="0.2">
      <c r="A819" s="7">
        <v>190302</v>
      </c>
      <c r="B819" s="3" t="s">
        <v>550</v>
      </c>
      <c r="C819" s="29">
        <f>ROUND(Balances[[#This Row],[Total]]*40%,0)</f>
        <v>0</v>
      </c>
      <c r="D819" s="29">
        <f>ROUND(Balances[[#This Row],[Total]]*20%,0)</f>
        <v>0</v>
      </c>
      <c r="E819" s="29">
        <f>ROUND(Balances[[#This Row],[Total]]*40%,0)</f>
        <v>0</v>
      </c>
      <c r="F819" s="18">
        <f>SUM(Acueducto[[#This Row],[Acueducto]:[Aseo]])</f>
        <v>0</v>
      </c>
    </row>
    <row r="820" spans="1:6" ht="15" x14ac:dyDescent="0.2">
      <c r="A820" s="7">
        <v>190303</v>
      </c>
      <c r="B820" s="3" t="s">
        <v>551</v>
      </c>
      <c r="C820" s="29">
        <f>ROUND(Balances[[#This Row],[Total]]*40%,0)</f>
        <v>0</v>
      </c>
      <c r="D820" s="29">
        <f>ROUND(Balances[[#This Row],[Total]]*20%,0)</f>
        <v>0</v>
      </c>
      <c r="E820" s="29">
        <f>ROUND(Balances[[#This Row],[Total]]*40%,0)</f>
        <v>0</v>
      </c>
      <c r="F820" s="18">
        <f>SUM(Acueducto[[#This Row],[Acueducto]:[Aseo]])</f>
        <v>0</v>
      </c>
    </row>
    <row r="821" spans="1:6" ht="15" x14ac:dyDescent="0.2">
      <c r="A821" s="7">
        <v>190304</v>
      </c>
      <c r="B821" s="3" t="s">
        <v>552</v>
      </c>
      <c r="C821" s="29">
        <f>ROUND(Balances[[#This Row],[Total]]*40%,0)</f>
        <v>0</v>
      </c>
      <c r="D821" s="29">
        <f>ROUND(Balances[[#This Row],[Total]]*20%,0)</f>
        <v>0</v>
      </c>
      <c r="E821" s="29">
        <f>ROUND(Balances[[#This Row],[Total]]*40%,0)</f>
        <v>0</v>
      </c>
      <c r="F821" s="18">
        <f>SUM(Acueducto[[#This Row],[Acueducto]:[Aseo]])</f>
        <v>0</v>
      </c>
    </row>
    <row r="822" spans="1:6" ht="15" x14ac:dyDescent="0.2">
      <c r="A822" s="7">
        <v>190305</v>
      </c>
      <c r="B822" s="3" t="s">
        <v>553</v>
      </c>
      <c r="C822" s="29">
        <f>ROUND(Balances[[#This Row],[Total]]*40%,0)</f>
        <v>0</v>
      </c>
      <c r="D822" s="29">
        <f>ROUND(Balances[[#This Row],[Total]]*20%,0)</f>
        <v>0</v>
      </c>
      <c r="E822" s="29">
        <f>ROUND(Balances[[#This Row],[Total]]*40%,0)</f>
        <v>0</v>
      </c>
      <c r="F822" s="18">
        <f>SUM(Acueducto[[#This Row],[Acueducto]:[Aseo]])</f>
        <v>0</v>
      </c>
    </row>
    <row r="823" spans="1:6" ht="15" x14ac:dyDescent="0.2">
      <c r="A823" s="7">
        <v>190306</v>
      </c>
      <c r="B823" s="3" t="s">
        <v>554</v>
      </c>
      <c r="C823" s="29">
        <f>ROUND(Balances[[#This Row],[Total]]*40%,0)</f>
        <v>0</v>
      </c>
      <c r="D823" s="29">
        <f>ROUND(Balances[[#This Row],[Total]]*20%,0)</f>
        <v>0</v>
      </c>
      <c r="E823" s="29">
        <f>ROUND(Balances[[#This Row],[Total]]*40%,0)</f>
        <v>0</v>
      </c>
      <c r="F823" s="18">
        <f>SUM(Acueducto[[#This Row],[Acueducto]:[Aseo]])</f>
        <v>0</v>
      </c>
    </row>
    <row r="824" spans="1:6" ht="15" x14ac:dyDescent="0.2">
      <c r="A824" s="7">
        <v>190307</v>
      </c>
      <c r="B824" s="3" t="s">
        <v>555</v>
      </c>
      <c r="C824" s="29">
        <f>ROUND(Balances[[#This Row],[Total]]*40%,0)</f>
        <v>0</v>
      </c>
      <c r="D824" s="29">
        <f>ROUND(Balances[[#This Row],[Total]]*20%,0)</f>
        <v>0</v>
      </c>
      <c r="E824" s="29">
        <f>ROUND(Balances[[#This Row],[Total]]*40%,0)</f>
        <v>0</v>
      </c>
      <c r="F824" s="18">
        <f>SUM(Acueducto[[#This Row],[Acueducto]:[Aseo]])</f>
        <v>0</v>
      </c>
    </row>
    <row r="825" spans="1:6" ht="15" x14ac:dyDescent="0.2">
      <c r="A825" s="6">
        <v>1904</v>
      </c>
      <c r="B825" s="2" t="s">
        <v>558</v>
      </c>
      <c r="C825" s="28">
        <f>ROUND(Balances[[#This Row],[Total]]*40%,0)</f>
        <v>0</v>
      </c>
      <c r="D825" s="28">
        <f>ROUND(Balances[[#This Row],[Total]]*20%,0)</f>
        <v>0</v>
      </c>
      <c r="E825" s="28">
        <f>ROUND(Balances[[#This Row],[Total]]*40%,0)</f>
        <v>0</v>
      </c>
      <c r="F825" s="17">
        <f>SUM(Acueducto[[#This Row],[Acueducto]:[Aseo]])</f>
        <v>0</v>
      </c>
    </row>
    <row r="826" spans="1:6" ht="15" x14ac:dyDescent="0.2">
      <c r="A826" s="7">
        <v>190401</v>
      </c>
      <c r="B826" s="3" t="s">
        <v>549</v>
      </c>
      <c r="C826" s="29">
        <f>ROUND(Balances[[#This Row],[Total]]*40%,0)</f>
        <v>0</v>
      </c>
      <c r="D826" s="29">
        <f>ROUND(Balances[[#This Row],[Total]]*20%,0)</f>
        <v>0</v>
      </c>
      <c r="E826" s="29">
        <f>ROUND(Balances[[#This Row],[Total]]*40%,0)</f>
        <v>0</v>
      </c>
      <c r="F826" s="18">
        <f>SUM(Acueducto[[#This Row],[Acueducto]:[Aseo]])</f>
        <v>0</v>
      </c>
    </row>
    <row r="827" spans="1:6" ht="15" x14ac:dyDescent="0.2">
      <c r="A827" s="7">
        <v>190402</v>
      </c>
      <c r="B827" s="3" t="s">
        <v>550</v>
      </c>
      <c r="C827" s="29">
        <f>ROUND(Balances[[#This Row],[Total]]*40%,0)</f>
        <v>0</v>
      </c>
      <c r="D827" s="29">
        <f>ROUND(Balances[[#This Row],[Total]]*20%,0)</f>
        <v>0</v>
      </c>
      <c r="E827" s="29">
        <f>ROUND(Balances[[#This Row],[Total]]*40%,0)</f>
        <v>0</v>
      </c>
      <c r="F827" s="18">
        <f>SUM(Acueducto[[#This Row],[Acueducto]:[Aseo]])</f>
        <v>0</v>
      </c>
    </row>
    <row r="828" spans="1:6" ht="15" x14ac:dyDescent="0.2">
      <c r="A828" s="7">
        <v>190403</v>
      </c>
      <c r="B828" s="3" t="s">
        <v>551</v>
      </c>
      <c r="C828" s="29">
        <f>ROUND(Balances[[#This Row],[Total]]*40%,0)</f>
        <v>0</v>
      </c>
      <c r="D828" s="29">
        <f>ROUND(Balances[[#This Row],[Total]]*20%,0)</f>
        <v>0</v>
      </c>
      <c r="E828" s="29">
        <f>ROUND(Balances[[#This Row],[Total]]*40%,0)</f>
        <v>0</v>
      </c>
      <c r="F828" s="18">
        <f>SUM(Acueducto[[#This Row],[Acueducto]:[Aseo]])</f>
        <v>0</v>
      </c>
    </row>
    <row r="829" spans="1:6" ht="15" x14ac:dyDescent="0.2">
      <c r="A829" s="7">
        <v>190404</v>
      </c>
      <c r="B829" s="3" t="s">
        <v>552</v>
      </c>
      <c r="C829" s="29">
        <f>ROUND(Balances[[#This Row],[Total]]*40%,0)</f>
        <v>0</v>
      </c>
      <c r="D829" s="29">
        <f>ROUND(Balances[[#This Row],[Total]]*20%,0)</f>
        <v>0</v>
      </c>
      <c r="E829" s="29">
        <f>ROUND(Balances[[#This Row],[Total]]*40%,0)</f>
        <v>0</v>
      </c>
      <c r="F829" s="18">
        <f>SUM(Acueducto[[#This Row],[Acueducto]:[Aseo]])</f>
        <v>0</v>
      </c>
    </row>
    <row r="830" spans="1:6" ht="15" x14ac:dyDescent="0.2">
      <c r="A830" s="7">
        <v>190405</v>
      </c>
      <c r="B830" s="3" t="s">
        <v>553</v>
      </c>
      <c r="C830" s="29">
        <f>ROUND(Balances[[#This Row],[Total]]*40%,0)</f>
        <v>0</v>
      </c>
      <c r="D830" s="29">
        <f>ROUND(Balances[[#This Row],[Total]]*20%,0)</f>
        <v>0</v>
      </c>
      <c r="E830" s="29">
        <f>ROUND(Balances[[#This Row],[Total]]*40%,0)</f>
        <v>0</v>
      </c>
      <c r="F830" s="18">
        <f>SUM(Acueducto[[#This Row],[Acueducto]:[Aseo]])</f>
        <v>0</v>
      </c>
    </row>
    <row r="831" spans="1:6" ht="15" x14ac:dyDescent="0.2">
      <c r="A831" s="7">
        <v>190406</v>
      </c>
      <c r="B831" s="3" t="s">
        <v>554</v>
      </c>
      <c r="C831" s="29">
        <f>ROUND(Balances[[#This Row],[Total]]*40%,0)</f>
        <v>0</v>
      </c>
      <c r="D831" s="29">
        <f>ROUND(Balances[[#This Row],[Total]]*20%,0)</f>
        <v>0</v>
      </c>
      <c r="E831" s="29">
        <f>ROUND(Balances[[#This Row],[Total]]*40%,0)</f>
        <v>0</v>
      </c>
      <c r="F831" s="18">
        <f>SUM(Acueducto[[#This Row],[Acueducto]:[Aseo]])</f>
        <v>0</v>
      </c>
    </row>
    <row r="832" spans="1:6" ht="15" x14ac:dyDescent="0.2">
      <c r="A832" s="7">
        <v>190407</v>
      </c>
      <c r="B832" s="3" t="s">
        <v>555</v>
      </c>
      <c r="C832" s="29">
        <f>ROUND(Balances[[#This Row],[Total]]*40%,0)</f>
        <v>0</v>
      </c>
      <c r="D832" s="29">
        <f>ROUND(Balances[[#This Row],[Total]]*20%,0)</f>
        <v>0</v>
      </c>
      <c r="E832" s="29">
        <f>ROUND(Balances[[#This Row],[Total]]*40%,0)</f>
        <v>0</v>
      </c>
      <c r="F832" s="18">
        <f>SUM(Acueducto[[#This Row],[Acueducto]:[Aseo]])</f>
        <v>0</v>
      </c>
    </row>
    <row r="833" spans="1:6" ht="15" x14ac:dyDescent="0.2">
      <c r="A833" s="7">
        <v>190408</v>
      </c>
      <c r="B833" s="3" t="s">
        <v>559</v>
      </c>
      <c r="C833" s="29">
        <f>ROUND(Balances[[#This Row],[Total]]*40%,0)</f>
        <v>0</v>
      </c>
      <c r="D833" s="29">
        <f>ROUND(Balances[[#This Row],[Total]]*20%,0)</f>
        <v>0</v>
      </c>
      <c r="E833" s="29">
        <f>ROUND(Balances[[#This Row],[Total]]*40%,0)</f>
        <v>0</v>
      </c>
      <c r="F833" s="18">
        <f>SUM(Acueducto[[#This Row],[Acueducto]:[Aseo]])</f>
        <v>0</v>
      </c>
    </row>
    <row r="834" spans="1:6" ht="15" x14ac:dyDescent="0.2">
      <c r="A834" s="7">
        <v>190409</v>
      </c>
      <c r="B834" s="3" t="s">
        <v>560</v>
      </c>
      <c r="C834" s="29">
        <f>ROUND(Balances[[#This Row],[Total]]*40%,0)</f>
        <v>0</v>
      </c>
      <c r="D834" s="29">
        <f>ROUND(Balances[[#This Row],[Total]]*20%,0)</f>
        <v>0</v>
      </c>
      <c r="E834" s="29">
        <f>ROUND(Balances[[#This Row],[Total]]*40%,0)</f>
        <v>0</v>
      </c>
      <c r="F834" s="18">
        <f>SUM(Acueducto[[#This Row],[Acueducto]:[Aseo]])</f>
        <v>0</v>
      </c>
    </row>
    <row r="835" spans="1:6" ht="15" x14ac:dyDescent="0.2">
      <c r="A835" s="7">
        <v>190410</v>
      </c>
      <c r="B835" s="3" t="s">
        <v>556</v>
      </c>
      <c r="C835" s="29">
        <f>ROUND(Balances[[#This Row],[Total]]*40%,0)</f>
        <v>0</v>
      </c>
      <c r="D835" s="29">
        <f>ROUND(Balances[[#This Row],[Total]]*20%,0)</f>
        <v>0</v>
      </c>
      <c r="E835" s="29">
        <f>ROUND(Balances[[#This Row],[Total]]*40%,0)</f>
        <v>0</v>
      </c>
      <c r="F835" s="18">
        <f>SUM(Acueducto[[#This Row],[Acueducto]:[Aseo]])</f>
        <v>0</v>
      </c>
    </row>
    <row r="836" spans="1:6" ht="15" x14ac:dyDescent="0.2">
      <c r="A836" s="6">
        <v>1905</v>
      </c>
      <c r="B836" s="2" t="s">
        <v>561</v>
      </c>
      <c r="C836" s="28">
        <f>ROUND(Balances[[#This Row],[Total]]*40%,0)</f>
        <v>0</v>
      </c>
      <c r="D836" s="28">
        <f>ROUND(Balances[[#This Row],[Total]]*20%,0)</f>
        <v>0</v>
      </c>
      <c r="E836" s="28">
        <f>ROUND(Balances[[#This Row],[Total]]*40%,0)</f>
        <v>0</v>
      </c>
      <c r="F836" s="17">
        <f>SUM(Acueducto[[#This Row],[Acueducto]:[Aseo]])</f>
        <v>0</v>
      </c>
    </row>
    <row r="837" spans="1:6" ht="15" x14ac:dyDescent="0.2">
      <c r="A837" s="7">
        <v>190501</v>
      </c>
      <c r="B837" s="3" t="s">
        <v>562</v>
      </c>
      <c r="C837" s="29">
        <f>ROUND(Balances[[#This Row],[Total]]*40%,0)</f>
        <v>0</v>
      </c>
      <c r="D837" s="29">
        <f>ROUND(Balances[[#This Row],[Total]]*20%,0)</f>
        <v>0</v>
      </c>
      <c r="E837" s="29">
        <f>ROUND(Balances[[#This Row],[Total]]*40%,0)</f>
        <v>0</v>
      </c>
      <c r="F837" s="18">
        <f>SUM(Acueducto[[#This Row],[Acueducto]:[Aseo]])</f>
        <v>0</v>
      </c>
    </row>
    <row r="838" spans="1:6" ht="15" x14ac:dyDescent="0.2">
      <c r="A838" s="7">
        <v>190502</v>
      </c>
      <c r="B838" s="3" t="s">
        <v>563</v>
      </c>
      <c r="C838" s="29">
        <f>ROUND(Balances[[#This Row],[Total]]*40%,0)</f>
        <v>0</v>
      </c>
      <c r="D838" s="29">
        <f>ROUND(Balances[[#This Row],[Total]]*20%,0)</f>
        <v>0</v>
      </c>
      <c r="E838" s="29">
        <f>ROUND(Balances[[#This Row],[Total]]*40%,0)</f>
        <v>0</v>
      </c>
      <c r="F838" s="18">
        <f>SUM(Acueducto[[#This Row],[Acueducto]:[Aseo]])</f>
        <v>0</v>
      </c>
    </row>
    <row r="839" spans="1:6" ht="15" x14ac:dyDescent="0.2">
      <c r="A839" s="7">
        <v>190503</v>
      </c>
      <c r="B839" s="3" t="s">
        <v>231</v>
      </c>
      <c r="C839" s="29">
        <f>ROUND(Balances[[#This Row],[Total]]*40%,0)</f>
        <v>0</v>
      </c>
      <c r="D839" s="29">
        <f>ROUND(Balances[[#This Row],[Total]]*20%,0)</f>
        <v>0</v>
      </c>
      <c r="E839" s="29">
        <f>ROUND(Balances[[#This Row],[Total]]*40%,0)</f>
        <v>0</v>
      </c>
      <c r="F839" s="18">
        <f>SUM(Acueducto[[#This Row],[Acueducto]:[Aseo]])</f>
        <v>0</v>
      </c>
    </row>
    <row r="840" spans="1:6" ht="15" x14ac:dyDescent="0.2">
      <c r="A840" s="7">
        <v>190504</v>
      </c>
      <c r="B840" s="3" t="s">
        <v>256</v>
      </c>
      <c r="C840" s="29">
        <f>ROUND(Balances[[#This Row],[Total]]*40%,0)</f>
        <v>0</v>
      </c>
      <c r="D840" s="29">
        <f>ROUND(Balances[[#This Row],[Total]]*20%,0)</f>
        <v>0</v>
      </c>
      <c r="E840" s="29">
        <f>ROUND(Balances[[#This Row],[Total]]*40%,0)</f>
        <v>0</v>
      </c>
      <c r="F840" s="18">
        <f>SUM(Acueducto[[#This Row],[Acueducto]:[Aseo]])</f>
        <v>0</v>
      </c>
    </row>
    <row r="841" spans="1:6" ht="15" x14ac:dyDescent="0.2">
      <c r="A841" s="7">
        <v>190505</v>
      </c>
      <c r="B841" s="3" t="s">
        <v>564</v>
      </c>
      <c r="C841" s="29">
        <f>ROUND(Balances[[#This Row],[Total]]*40%,0)</f>
        <v>0</v>
      </c>
      <c r="D841" s="29">
        <f>ROUND(Balances[[#This Row],[Total]]*20%,0)</f>
        <v>0</v>
      </c>
      <c r="E841" s="29">
        <f>ROUND(Balances[[#This Row],[Total]]*40%,0)</f>
        <v>0</v>
      </c>
      <c r="F841" s="18">
        <f>SUM(Acueducto[[#This Row],[Acueducto]:[Aseo]])</f>
        <v>0</v>
      </c>
    </row>
    <row r="842" spans="1:6" ht="15" x14ac:dyDescent="0.2">
      <c r="A842" s="7">
        <v>190506</v>
      </c>
      <c r="B842" s="3" t="s">
        <v>242</v>
      </c>
      <c r="C842" s="29">
        <f>ROUND(Balances[[#This Row],[Total]]*40%,0)</f>
        <v>0</v>
      </c>
      <c r="D842" s="29">
        <f>ROUND(Balances[[#This Row],[Total]]*20%,0)</f>
        <v>0</v>
      </c>
      <c r="E842" s="29">
        <f>ROUND(Balances[[#This Row],[Total]]*40%,0)</f>
        <v>0</v>
      </c>
      <c r="F842" s="18">
        <f>SUM(Acueducto[[#This Row],[Acueducto]:[Aseo]])</f>
        <v>0</v>
      </c>
    </row>
    <row r="843" spans="1:6" ht="15" x14ac:dyDescent="0.2">
      <c r="A843" s="7">
        <v>190508</v>
      </c>
      <c r="B843" s="3" t="s">
        <v>565</v>
      </c>
      <c r="C843" s="29">
        <f>ROUND(Balances[[#This Row],[Total]]*40%,0)</f>
        <v>0</v>
      </c>
      <c r="D843" s="29">
        <f>ROUND(Balances[[#This Row],[Total]]*20%,0)</f>
        <v>0</v>
      </c>
      <c r="E843" s="29">
        <f>ROUND(Balances[[#This Row],[Total]]*40%,0)</f>
        <v>0</v>
      </c>
      <c r="F843" s="18">
        <f>SUM(Acueducto[[#This Row],[Acueducto]:[Aseo]])</f>
        <v>0</v>
      </c>
    </row>
    <row r="844" spans="1:6" ht="15" x14ac:dyDescent="0.2">
      <c r="A844" s="7">
        <v>190509</v>
      </c>
      <c r="B844" s="3" t="s">
        <v>566</v>
      </c>
      <c r="C844" s="29">
        <f>ROUND(Balances[[#This Row],[Total]]*40%,0)</f>
        <v>0</v>
      </c>
      <c r="D844" s="29">
        <f>ROUND(Balances[[#This Row],[Total]]*20%,0)</f>
        <v>0</v>
      </c>
      <c r="E844" s="29">
        <f>ROUND(Balances[[#This Row],[Total]]*40%,0)</f>
        <v>0</v>
      </c>
      <c r="F844" s="18">
        <f>SUM(Acueducto[[#This Row],[Acueducto]:[Aseo]])</f>
        <v>0</v>
      </c>
    </row>
    <row r="845" spans="1:6" ht="15" x14ac:dyDescent="0.2">
      <c r="A845" s="7">
        <v>190510</v>
      </c>
      <c r="B845" s="3" t="s">
        <v>567</v>
      </c>
      <c r="C845" s="29">
        <f>ROUND(Balances[[#This Row],[Total]]*40%,0)</f>
        <v>0</v>
      </c>
      <c r="D845" s="29">
        <f>ROUND(Balances[[#This Row],[Total]]*20%,0)</f>
        <v>0</v>
      </c>
      <c r="E845" s="29">
        <f>ROUND(Balances[[#This Row],[Total]]*40%,0)</f>
        <v>0</v>
      </c>
      <c r="F845" s="18">
        <f>SUM(Acueducto[[#This Row],[Acueducto]:[Aseo]])</f>
        <v>0</v>
      </c>
    </row>
    <row r="846" spans="1:6" ht="15" x14ac:dyDescent="0.2">
      <c r="A846" s="7">
        <v>190511</v>
      </c>
      <c r="B846" s="3" t="s">
        <v>568</v>
      </c>
      <c r="C846" s="29">
        <f>ROUND(Balances[[#This Row],[Total]]*40%,0)</f>
        <v>0</v>
      </c>
      <c r="D846" s="29">
        <f>ROUND(Balances[[#This Row],[Total]]*20%,0)</f>
        <v>0</v>
      </c>
      <c r="E846" s="29">
        <f>ROUND(Balances[[#This Row],[Total]]*40%,0)</f>
        <v>0</v>
      </c>
      <c r="F846" s="18">
        <f>SUM(Acueducto[[#This Row],[Acueducto]:[Aseo]])</f>
        <v>0</v>
      </c>
    </row>
    <row r="847" spans="1:6" ht="15" x14ac:dyDescent="0.2">
      <c r="A847" s="7">
        <v>190512</v>
      </c>
      <c r="B847" s="3" t="s">
        <v>569</v>
      </c>
      <c r="C847" s="29">
        <f>ROUND(Balances[[#This Row],[Total]]*40%,0)</f>
        <v>0</v>
      </c>
      <c r="D847" s="29">
        <f>ROUND(Balances[[#This Row],[Total]]*20%,0)</f>
        <v>0</v>
      </c>
      <c r="E847" s="29">
        <f>ROUND(Balances[[#This Row],[Total]]*40%,0)</f>
        <v>0</v>
      </c>
      <c r="F847" s="18">
        <f>SUM(Acueducto[[#This Row],[Acueducto]:[Aseo]])</f>
        <v>0</v>
      </c>
    </row>
    <row r="848" spans="1:6" ht="15" x14ac:dyDescent="0.2">
      <c r="A848" s="7">
        <v>190513</v>
      </c>
      <c r="B848" s="3" t="s">
        <v>570</v>
      </c>
      <c r="C848" s="29">
        <f>ROUND(Balances[[#This Row],[Total]]*40%,0)</f>
        <v>0</v>
      </c>
      <c r="D848" s="29">
        <f>ROUND(Balances[[#This Row],[Total]]*20%,0)</f>
        <v>0</v>
      </c>
      <c r="E848" s="29">
        <f>ROUND(Balances[[#This Row],[Total]]*40%,0)</f>
        <v>0</v>
      </c>
      <c r="F848" s="18">
        <f>SUM(Acueducto[[#This Row],[Acueducto]:[Aseo]])</f>
        <v>0</v>
      </c>
    </row>
    <row r="849" spans="1:6" ht="15" x14ac:dyDescent="0.2">
      <c r="A849" s="7">
        <v>190514</v>
      </c>
      <c r="B849" s="3" t="s">
        <v>571</v>
      </c>
      <c r="C849" s="29">
        <f>ROUND(Balances[[#This Row],[Total]]*40%,0)</f>
        <v>0</v>
      </c>
      <c r="D849" s="29">
        <f>ROUND(Balances[[#This Row],[Total]]*20%,0)</f>
        <v>0</v>
      </c>
      <c r="E849" s="29">
        <f>ROUND(Balances[[#This Row],[Total]]*40%,0)</f>
        <v>0</v>
      </c>
      <c r="F849" s="18">
        <f>SUM(Acueducto[[#This Row],[Acueducto]:[Aseo]])</f>
        <v>0</v>
      </c>
    </row>
    <row r="850" spans="1:6" ht="15" x14ac:dyDescent="0.2">
      <c r="A850" s="7">
        <v>190515</v>
      </c>
      <c r="B850" s="3" t="s">
        <v>572</v>
      </c>
      <c r="C850" s="29">
        <f>ROUND(Balances[[#This Row],[Total]]*40%,0)</f>
        <v>0</v>
      </c>
      <c r="D850" s="29">
        <f>ROUND(Balances[[#This Row],[Total]]*20%,0)</f>
        <v>0</v>
      </c>
      <c r="E850" s="29">
        <f>ROUND(Balances[[#This Row],[Total]]*40%,0)</f>
        <v>0</v>
      </c>
      <c r="F850" s="18">
        <f>SUM(Acueducto[[#This Row],[Acueducto]:[Aseo]])</f>
        <v>0</v>
      </c>
    </row>
    <row r="851" spans="1:6" ht="15" x14ac:dyDescent="0.2">
      <c r="A851" s="7">
        <v>190516</v>
      </c>
      <c r="B851" s="3" t="s">
        <v>573</v>
      </c>
      <c r="C851" s="29">
        <f>ROUND(Balances[[#This Row],[Total]]*40%,0)</f>
        <v>0</v>
      </c>
      <c r="D851" s="29">
        <f>ROUND(Balances[[#This Row],[Total]]*20%,0)</f>
        <v>0</v>
      </c>
      <c r="E851" s="29">
        <f>ROUND(Balances[[#This Row],[Total]]*40%,0)</f>
        <v>0</v>
      </c>
      <c r="F851" s="18">
        <f>SUM(Acueducto[[#This Row],[Acueducto]:[Aseo]])</f>
        <v>0</v>
      </c>
    </row>
    <row r="852" spans="1:6" ht="15" x14ac:dyDescent="0.2">
      <c r="A852" s="7">
        <v>190590</v>
      </c>
      <c r="B852" s="3" t="s">
        <v>574</v>
      </c>
      <c r="C852" s="29">
        <f>ROUND(Balances[[#This Row],[Total]]*40%,0)</f>
        <v>0</v>
      </c>
      <c r="D852" s="29">
        <f>ROUND(Balances[[#This Row],[Total]]*20%,0)</f>
        <v>0</v>
      </c>
      <c r="E852" s="29">
        <f>ROUND(Balances[[#This Row],[Total]]*40%,0)</f>
        <v>0</v>
      </c>
      <c r="F852" s="18">
        <f>SUM(Acueducto[[#This Row],[Acueducto]:[Aseo]])</f>
        <v>0</v>
      </c>
    </row>
    <row r="853" spans="1:6" ht="15" x14ac:dyDescent="0.2">
      <c r="A853" s="6">
        <v>1906</v>
      </c>
      <c r="B853" s="2" t="s">
        <v>575</v>
      </c>
      <c r="C853" s="28">
        <f>ROUND(Balances[[#This Row],[Total]]*40%,0)</f>
        <v>0</v>
      </c>
      <c r="D853" s="28">
        <f>ROUND(Balances[[#This Row],[Total]]*20%,0)</f>
        <v>0</v>
      </c>
      <c r="E853" s="28">
        <f>ROUND(Balances[[#This Row],[Total]]*40%,0)</f>
        <v>0</v>
      </c>
      <c r="F853" s="17">
        <f>SUM(Acueducto[[#This Row],[Acueducto]:[Aseo]])</f>
        <v>0</v>
      </c>
    </row>
    <row r="854" spans="1:6" ht="15" x14ac:dyDescent="0.2">
      <c r="A854" s="7">
        <v>190601</v>
      </c>
      <c r="B854" s="3" t="s">
        <v>576</v>
      </c>
      <c r="C854" s="29">
        <f>ROUND(Balances[[#This Row],[Total]]*40%,0)</f>
        <v>0</v>
      </c>
      <c r="D854" s="29">
        <f>ROUND(Balances[[#This Row],[Total]]*20%,0)</f>
        <v>0</v>
      </c>
      <c r="E854" s="29">
        <f>ROUND(Balances[[#This Row],[Total]]*40%,0)</f>
        <v>0</v>
      </c>
      <c r="F854" s="18">
        <f>SUM(Acueducto[[#This Row],[Acueducto]:[Aseo]])</f>
        <v>0</v>
      </c>
    </row>
    <row r="855" spans="1:6" ht="15" x14ac:dyDescent="0.2">
      <c r="A855" s="7">
        <v>190602</v>
      </c>
      <c r="B855" s="3" t="s">
        <v>577</v>
      </c>
      <c r="C855" s="29">
        <f>ROUND(Balances[[#This Row],[Total]]*40%,0)</f>
        <v>0</v>
      </c>
      <c r="D855" s="29">
        <f>ROUND(Balances[[#This Row],[Total]]*20%,0)</f>
        <v>0</v>
      </c>
      <c r="E855" s="29">
        <f>ROUND(Balances[[#This Row],[Total]]*40%,0)</f>
        <v>0</v>
      </c>
      <c r="F855" s="18">
        <f>SUM(Acueducto[[#This Row],[Acueducto]:[Aseo]])</f>
        <v>0</v>
      </c>
    </row>
    <row r="856" spans="1:6" ht="15" x14ac:dyDescent="0.2">
      <c r="A856" s="7">
        <v>190603</v>
      </c>
      <c r="B856" s="3" t="s">
        <v>578</v>
      </c>
      <c r="C856" s="29">
        <f>ROUND(Balances[[#This Row],[Total]]*40%,0)</f>
        <v>0</v>
      </c>
      <c r="D856" s="29">
        <f>ROUND(Balances[[#This Row],[Total]]*20%,0)</f>
        <v>0</v>
      </c>
      <c r="E856" s="29">
        <f>ROUND(Balances[[#This Row],[Total]]*40%,0)</f>
        <v>0</v>
      </c>
      <c r="F856" s="18">
        <f>SUM(Acueducto[[#This Row],[Acueducto]:[Aseo]])</f>
        <v>0</v>
      </c>
    </row>
    <row r="857" spans="1:6" ht="15" x14ac:dyDescent="0.2">
      <c r="A857" s="7">
        <v>190604</v>
      </c>
      <c r="B857" s="3" t="s">
        <v>579</v>
      </c>
      <c r="C857" s="29">
        <f>ROUND(Balances[[#This Row],[Total]]*40%,0)</f>
        <v>0</v>
      </c>
      <c r="D857" s="29">
        <f>ROUND(Balances[[#This Row],[Total]]*20%,0)</f>
        <v>0</v>
      </c>
      <c r="E857" s="29">
        <f>ROUND(Balances[[#This Row],[Total]]*40%,0)</f>
        <v>0</v>
      </c>
      <c r="F857" s="18">
        <f>SUM(Acueducto[[#This Row],[Acueducto]:[Aseo]])</f>
        <v>0</v>
      </c>
    </row>
    <row r="858" spans="1:6" ht="15" x14ac:dyDescent="0.2">
      <c r="A858" s="7">
        <v>190690</v>
      </c>
      <c r="B858" s="3" t="s">
        <v>580</v>
      </c>
      <c r="C858" s="29">
        <f>ROUND(Balances[[#This Row],[Total]]*40%,0)</f>
        <v>0</v>
      </c>
      <c r="D858" s="29">
        <f>ROUND(Balances[[#This Row],[Total]]*20%,0)</f>
        <v>0</v>
      </c>
      <c r="E858" s="29">
        <f>ROUND(Balances[[#This Row],[Total]]*40%,0)</f>
        <v>0</v>
      </c>
      <c r="F858" s="18">
        <f>SUM(Acueducto[[#This Row],[Acueducto]:[Aseo]])</f>
        <v>0</v>
      </c>
    </row>
    <row r="859" spans="1:6" ht="15" x14ac:dyDescent="0.2">
      <c r="A859" s="6">
        <v>1907</v>
      </c>
      <c r="B859" s="2" t="s">
        <v>581</v>
      </c>
      <c r="C859" s="28">
        <f>ROUND(Balances[[#This Row],[Total]]*40%,0)</f>
        <v>0</v>
      </c>
      <c r="D859" s="28">
        <f>ROUND(Balances[[#This Row],[Total]]*20%,0)</f>
        <v>0</v>
      </c>
      <c r="E859" s="28">
        <f>ROUND(Balances[[#This Row],[Total]]*40%,0)</f>
        <v>0</v>
      </c>
      <c r="F859" s="17">
        <f>SUM(Acueducto[[#This Row],[Acueducto]:[Aseo]])</f>
        <v>0</v>
      </c>
    </row>
    <row r="860" spans="1:6" ht="15" x14ac:dyDescent="0.2">
      <c r="A860" s="7">
        <v>190701</v>
      </c>
      <c r="B860" s="3" t="s">
        <v>582</v>
      </c>
      <c r="C860" s="29">
        <f>ROUND(Balances[[#This Row],[Total]]*40%,0)</f>
        <v>0</v>
      </c>
      <c r="D860" s="29">
        <f>ROUND(Balances[[#This Row],[Total]]*20%,0)</f>
        <v>0</v>
      </c>
      <c r="E860" s="29">
        <f>ROUND(Balances[[#This Row],[Total]]*40%,0)</f>
        <v>0</v>
      </c>
      <c r="F860" s="18">
        <f>SUM(Acueducto[[#This Row],[Acueducto]:[Aseo]])</f>
        <v>0</v>
      </c>
    </row>
    <row r="861" spans="1:6" ht="15" x14ac:dyDescent="0.2">
      <c r="A861" s="7">
        <v>190702</v>
      </c>
      <c r="B861" s="3" t="s">
        <v>583</v>
      </c>
      <c r="C861" s="29">
        <f>ROUND(Balances[[#This Row],[Total]]*40%,0)</f>
        <v>0</v>
      </c>
      <c r="D861" s="29">
        <f>ROUND(Balances[[#This Row],[Total]]*20%,0)</f>
        <v>0</v>
      </c>
      <c r="E861" s="29">
        <f>ROUND(Balances[[#This Row],[Total]]*40%,0)</f>
        <v>0</v>
      </c>
      <c r="F861" s="18">
        <f>SUM(Acueducto[[#This Row],[Acueducto]:[Aseo]])</f>
        <v>0</v>
      </c>
    </row>
    <row r="862" spans="1:6" ht="15" x14ac:dyDescent="0.2">
      <c r="A862" s="7">
        <v>190703</v>
      </c>
      <c r="B862" s="3" t="s">
        <v>584</v>
      </c>
      <c r="C862" s="29">
        <f>ROUND(Balances[[#This Row],[Total]]*40%,0)</f>
        <v>0</v>
      </c>
      <c r="D862" s="29">
        <f>ROUND(Balances[[#This Row],[Total]]*20%,0)</f>
        <v>0</v>
      </c>
      <c r="E862" s="29">
        <f>ROUND(Balances[[#This Row],[Total]]*40%,0)</f>
        <v>0</v>
      </c>
      <c r="F862" s="18">
        <f>SUM(Acueducto[[#This Row],[Acueducto]:[Aseo]])</f>
        <v>0</v>
      </c>
    </row>
    <row r="863" spans="1:6" ht="15" x14ac:dyDescent="0.2">
      <c r="A863" s="7">
        <v>190704</v>
      </c>
      <c r="B863" s="3" t="s">
        <v>585</v>
      </c>
      <c r="C863" s="29">
        <f>ROUND(Balances[[#This Row],[Total]]*40%,0)</f>
        <v>0</v>
      </c>
      <c r="D863" s="29">
        <f>ROUND(Balances[[#This Row],[Total]]*20%,0)</f>
        <v>0</v>
      </c>
      <c r="E863" s="29">
        <f>ROUND(Balances[[#This Row],[Total]]*40%,0)</f>
        <v>0</v>
      </c>
      <c r="F863" s="18">
        <f>SUM(Acueducto[[#This Row],[Acueducto]:[Aseo]])</f>
        <v>0</v>
      </c>
    </row>
    <row r="864" spans="1:6" ht="15" x14ac:dyDescent="0.2">
      <c r="A864" s="7">
        <v>190705</v>
      </c>
      <c r="B864" s="3" t="s">
        <v>586</v>
      </c>
      <c r="C864" s="29">
        <f>ROUND(Balances[[#This Row],[Total]]*40%,0)</f>
        <v>0</v>
      </c>
      <c r="D864" s="29">
        <f>ROUND(Balances[[#This Row],[Total]]*20%,0)</f>
        <v>0</v>
      </c>
      <c r="E864" s="29">
        <f>ROUND(Balances[[#This Row],[Total]]*40%,0)</f>
        <v>0</v>
      </c>
      <c r="F864" s="18">
        <f>SUM(Acueducto[[#This Row],[Acueducto]:[Aseo]])</f>
        <v>0</v>
      </c>
    </row>
    <row r="865" spans="1:6" ht="15" x14ac:dyDescent="0.2">
      <c r="A865" s="7">
        <v>190706</v>
      </c>
      <c r="B865" s="3" t="s">
        <v>587</v>
      </c>
      <c r="C865" s="29">
        <f>ROUND(Balances[[#This Row],[Total]]*40%,0)</f>
        <v>0</v>
      </c>
      <c r="D865" s="29">
        <f>ROUND(Balances[[#This Row],[Total]]*20%,0)</f>
        <v>0</v>
      </c>
      <c r="E865" s="29">
        <f>ROUND(Balances[[#This Row],[Total]]*40%,0)</f>
        <v>0</v>
      </c>
      <c r="F865" s="18">
        <f>SUM(Acueducto[[#This Row],[Acueducto]:[Aseo]])</f>
        <v>0</v>
      </c>
    </row>
    <row r="866" spans="1:6" ht="15" x14ac:dyDescent="0.2">
      <c r="A866" s="7">
        <v>190708</v>
      </c>
      <c r="B866" s="3" t="s">
        <v>588</v>
      </c>
      <c r="C866" s="29">
        <f>ROUND(Balances[[#This Row],[Total]]*40%,0)</f>
        <v>0</v>
      </c>
      <c r="D866" s="29">
        <f>ROUND(Balances[[#This Row],[Total]]*20%,0)</f>
        <v>0</v>
      </c>
      <c r="E866" s="29">
        <f>ROUND(Balances[[#This Row],[Total]]*40%,0)</f>
        <v>0</v>
      </c>
      <c r="F866" s="18">
        <f>SUM(Acueducto[[#This Row],[Acueducto]:[Aseo]])</f>
        <v>0</v>
      </c>
    </row>
    <row r="867" spans="1:6" ht="15" x14ac:dyDescent="0.2">
      <c r="A867" s="7">
        <v>190709</v>
      </c>
      <c r="B867" s="3" t="s">
        <v>589</v>
      </c>
      <c r="C867" s="29">
        <f>ROUND(Balances[[#This Row],[Total]]*40%,0)</f>
        <v>0</v>
      </c>
      <c r="D867" s="29">
        <f>ROUND(Balances[[#This Row],[Total]]*20%,0)</f>
        <v>0</v>
      </c>
      <c r="E867" s="29">
        <f>ROUND(Balances[[#This Row],[Total]]*40%,0)</f>
        <v>0</v>
      </c>
      <c r="F867" s="18">
        <f>SUM(Acueducto[[#This Row],[Acueducto]:[Aseo]])</f>
        <v>0</v>
      </c>
    </row>
    <row r="868" spans="1:6" ht="15" x14ac:dyDescent="0.2">
      <c r="A868" s="7">
        <v>190711</v>
      </c>
      <c r="B868" s="3" t="s">
        <v>590</v>
      </c>
      <c r="C868" s="29">
        <f>ROUND(Balances[[#This Row],[Total]]*40%,0)</f>
        <v>0</v>
      </c>
      <c r="D868" s="29">
        <f>ROUND(Balances[[#This Row],[Total]]*20%,0)</f>
        <v>0</v>
      </c>
      <c r="E868" s="29">
        <f>ROUND(Balances[[#This Row],[Total]]*40%,0)</f>
        <v>0</v>
      </c>
      <c r="F868" s="18">
        <f>SUM(Acueducto[[#This Row],[Acueducto]:[Aseo]])</f>
        <v>0</v>
      </c>
    </row>
    <row r="869" spans="1:6" ht="15" x14ac:dyDescent="0.2">
      <c r="A869" s="7">
        <v>190790</v>
      </c>
      <c r="B869" s="3" t="s">
        <v>591</v>
      </c>
      <c r="C869" s="29">
        <f>ROUND(Balances[[#This Row],[Total]]*40%,0)</f>
        <v>0</v>
      </c>
      <c r="D869" s="29">
        <f>ROUND(Balances[[#This Row],[Total]]*20%,0)</f>
        <v>0</v>
      </c>
      <c r="E869" s="29">
        <f>ROUND(Balances[[#This Row],[Total]]*40%,0)</f>
        <v>0</v>
      </c>
      <c r="F869" s="18">
        <f>SUM(Acueducto[[#This Row],[Acueducto]:[Aseo]])</f>
        <v>0</v>
      </c>
    </row>
    <row r="870" spans="1:6" ht="15" x14ac:dyDescent="0.2">
      <c r="A870" s="6">
        <v>1908</v>
      </c>
      <c r="B870" s="2" t="s">
        <v>592</v>
      </c>
      <c r="C870" s="28">
        <f>ROUND(Balances[[#This Row],[Total]]*40%,0)</f>
        <v>0</v>
      </c>
      <c r="D870" s="28">
        <f>ROUND(Balances[[#This Row],[Total]]*20%,0)</f>
        <v>0</v>
      </c>
      <c r="E870" s="28">
        <f>ROUND(Balances[[#This Row],[Total]]*40%,0)</f>
        <v>0</v>
      </c>
      <c r="F870" s="17">
        <f>SUM(Acueducto[[#This Row],[Acueducto]:[Aseo]])</f>
        <v>0</v>
      </c>
    </row>
    <row r="871" spans="1:6" ht="15" x14ac:dyDescent="0.2">
      <c r="A871" s="7">
        <v>190801</v>
      </c>
      <c r="B871" s="3" t="s">
        <v>593</v>
      </c>
      <c r="C871" s="29">
        <f>ROUND(Balances[[#This Row],[Total]]*40%,0)</f>
        <v>0</v>
      </c>
      <c r="D871" s="29">
        <f>ROUND(Balances[[#This Row],[Total]]*20%,0)</f>
        <v>0</v>
      </c>
      <c r="E871" s="29">
        <f>ROUND(Balances[[#This Row],[Total]]*40%,0)</f>
        <v>0</v>
      </c>
      <c r="F871" s="18">
        <f>SUM(Acueducto[[#This Row],[Acueducto]:[Aseo]])</f>
        <v>0</v>
      </c>
    </row>
    <row r="872" spans="1:6" ht="15" x14ac:dyDescent="0.2">
      <c r="A872" s="7">
        <v>190802</v>
      </c>
      <c r="B872" s="3" t="s">
        <v>594</v>
      </c>
      <c r="C872" s="29">
        <f>ROUND(Balances[[#This Row],[Total]]*40%,0)</f>
        <v>0</v>
      </c>
      <c r="D872" s="29">
        <f>ROUND(Balances[[#This Row],[Total]]*20%,0)</f>
        <v>0</v>
      </c>
      <c r="E872" s="29">
        <f>ROUND(Balances[[#This Row],[Total]]*40%,0)</f>
        <v>0</v>
      </c>
      <c r="F872" s="18">
        <f>SUM(Acueducto[[#This Row],[Acueducto]:[Aseo]])</f>
        <v>0</v>
      </c>
    </row>
    <row r="873" spans="1:6" ht="15" x14ac:dyDescent="0.2">
      <c r="A873" s="7">
        <v>190803</v>
      </c>
      <c r="B873" s="3" t="s">
        <v>595</v>
      </c>
      <c r="C873" s="29">
        <f>ROUND(Balances[[#This Row],[Total]]*40%,0)</f>
        <v>0</v>
      </c>
      <c r="D873" s="29">
        <f>ROUND(Balances[[#This Row],[Total]]*20%,0)</f>
        <v>0</v>
      </c>
      <c r="E873" s="29">
        <f>ROUND(Balances[[#This Row],[Total]]*40%,0)</f>
        <v>0</v>
      </c>
      <c r="F873" s="18">
        <f>SUM(Acueducto[[#This Row],[Acueducto]:[Aseo]])</f>
        <v>0</v>
      </c>
    </row>
    <row r="874" spans="1:6" ht="15" x14ac:dyDescent="0.2">
      <c r="A874" s="7">
        <v>190804</v>
      </c>
      <c r="B874" s="3" t="s">
        <v>596</v>
      </c>
      <c r="C874" s="29">
        <f>ROUND(Balances[[#This Row],[Total]]*40%,0)</f>
        <v>0</v>
      </c>
      <c r="D874" s="29">
        <f>ROUND(Balances[[#This Row],[Total]]*20%,0)</f>
        <v>0</v>
      </c>
      <c r="E874" s="29">
        <f>ROUND(Balances[[#This Row],[Total]]*40%,0)</f>
        <v>0</v>
      </c>
      <c r="F874" s="18">
        <f>SUM(Acueducto[[#This Row],[Acueducto]:[Aseo]])</f>
        <v>0</v>
      </c>
    </row>
    <row r="875" spans="1:6" ht="15" x14ac:dyDescent="0.2">
      <c r="A875" s="6">
        <v>1909</v>
      </c>
      <c r="B875" s="2" t="s">
        <v>597</v>
      </c>
      <c r="C875" s="28">
        <f>ROUND(Balances[[#This Row],[Total]]*40%,0)</f>
        <v>0</v>
      </c>
      <c r="D875" s="28">
        <f>ROUND(Balances[[#This Row],[Total]]*20%,0)</f>
        <v>0</v>
      </c>
      <c r="E875" s="28">
        <f>ROUND(Balances[[#This Row],[Total]]*40%,0)</f>
        <v>0</v>
      </c>
      <c r="F875" s="17">
        <f>SUM(Acueducto[[#This Row],[Acueducto]:[Aseo]])</f>
        <v>0</v>
      </c>
    </row>
    <row r="876" spans="1:6" ht="15" x14ac:dyDescent="0.2">
      <c r="A876" s="7">
        <v>190901</v>
      </c>
      <c r="B876" s="3" t="s">
        <v>598</v>
      </c>
      <c r="C876" s="29">
        <f>ROUND(Balances[[#This Row],[Total]]*40%,0)</f>
        <v>0</v>
      </c>
      <c r="D876" s="29">
        <f>ROUND(Balances[[#This Row],[Total]]*20%,0)</f>
        <v>0</v>
      </c>
      <c r="E876" s="29">
        <f>ROUND(Balances[[#This Row],[Total]]*40%,0)</f>
        <v>0</v>
      </c>
      <c r="F876" s="18">
        <f>SUM(Acueducto[[#This Row],[Acueducto]:[Aseo]])</f>
        <v>0</v>
      </c>
    </row>
    <row r="877" spans="1:6" ht="15" x14ac:dyDescent="0.2">
      <c r="A877" s="7">
        <v>190902</v>
      </c>
      <c r="B877" s="3" t="s">
        <v>599</v>
      </c>
      <c r="C877" s="29">
        <f>ROUND(Balances[[#This Row],[Total]]*40%,0)</f>
        <v>0</v>
      </c>
      <c r="D877" s="29">
        <f>ROUND(Balances[[#This Row],[Total]]*20%,0)</f>
        <v>0</v>
      </c>
      <c r="E877" s="29">
        <f>ROUND(Balances[[#This Row],[Total]]*40%,0)</f>
        <v>0</v>
      </c>
      <c r="F877" s="18">
        <f>SUM(Acueducto[[#This Row],[Acueducto]:[Aseo]])</f>
        <v>0</v>
      </c>
    </row>
    <row r="878" spans="1:6" ht="15" x14ac:dyDescent="0.2">
      <c r="A878" s="7">
        <v>190903</v>
      </c>
      <c r="B878" s="3" t="s">
        <v>600</v>
      </c>
      <c r="C878" s="29">
        <f>ROUND(Balances[[#This Row],[Total]]*40%,0)</f>
        <v>0</v>
      </c>
      <c r="D878" s="29">
        <f>ROUND(Balances[[#This Row],[Total]]*20%,0)</f>
        <v>0</v>
      </c>
      <c r="E878" s="29">
        <f>ROUND(Balances[[#This Row],[Total]]*40%,0)</f>
        <v>0</v>
      </c>
      <c r="F878" s="18">
        <f>SUM(Acueducto[[#This Row],[Acueducto]:[Aseo]])</f>
        <v>0</v>
      </c>
    </row>
    <row r="879" spans="1:6" ht="15" x14ac:dyDescent="0.2">
      <c r="A879" s="7">
        <v>190904</v>
      </c>
      <c r="B879" s="3" t="s">
        <v>601</v>
      </c>
      <c r="C879" s="29">
        <f>ROUND(Balances[[#This Row],[Total]]*40%,0)</f>
        <v>0</v>
      </c>
      <c r="D879" s="29">
        <f>ROUND(Balances[[#This Row],[Total]]*20%,0)</f>
        <v>0</v>
      </c>
      <c r="E879" s="29">
        <f>ROUND(Balances[[#This Row],[Total]]*40%,0)</f>
        <v>0</v>
      </c>
      <c r="F879" s="18">
        <f>SUM(Acueducto[[#This Row],[Acueducto]:[Aseo]])</f>
        <v>0</v>
      </c>
    </row>
    <row r="880" spans="1:6" ht="15" x14ac:dyDescent="0.2">
      <c r="A880" s="7">
        <v>190905</v>
      </c>
      <c r="B880" s="3" t="s">
        <v>602</v>
      </c>
      <c r="C880" s="29">
        <f>ROUND(Balances[[#This Row],[Total]]*40%,0)</f>
        <v>0</v>
      </c>
      <c r="D880" s="29">
        <f>ROUND(Balances[[#This Row],[Total]]*20%,0)</f>
        <v>0</v>
      </c>
      <c r="E880" s="29">
        <f>ROUND(Balances[[#This Row],[Total]]*40%,0)</f>
        <v>0</v>
      </c>
      <c r="F880" s="18">
        <f>SUM(Acueducto[[#This Row],[Acueducto]:[Aseo]])</f>
        <v>0</v>
      </c>
    </row>
    <row r="881" spans="1:6" ht="15" x14ac:dyDescent="0.2">
      <c r="A881" s="7">
        <v>190906</v>
      </c>
      <c r="B881" s="3" t="s">
        <v>603</v>
      </c>
      <c r="C881" s="29">
        <f>ROUND(Balances[[#This Row],[Total]]*40%,0)</f>
        <v>0</v>
      </c>
      <c r="D881" s="29">
        <f>ROUND(Balances[[#This Row],[Total]]*20%,0)</f>
        <v>0</v>
      </c>
      <c r="E881" s="29">
        <f>ROUND(Balances[[#This Row],[Total]]*40%,0)</f>
        <v>0</v>
      </c>
      <c r="F881" s="18">
        <f>SUM(Acueducto[[#This Row],[Acueducto]:[Aseo]])</f>
        <v>0</v>
      </c>
    </row>
    <row r="882" spans="1:6" ht="15" x14ac:dyDescent="0.2">
      <c r="A882" s="7">
        <v>190907</v>
      </c>
      <c r="B882" s="3" t="s">
        <v>604</v>
      </c>
      <c r="C882" s="29">
        <f>ROUND(Balances[[#This Row],[Total]]*40%,0)</f>
        <v>0</v>
      </c>
      <c r="D882" s="29">
        <f>ROUND(Balances[[#This Row],[Total]]*20%,0)</f>
        <v>0</v>
      </c>
      <c r="E882" s="29">
        <f>ROUND(Balances[[#This Row],[Total]]*40%,0)</f>
        <v>0</v>
      </c>
      <c r="F882" s="18">
        <f>SUM(Acueducto[[#This Row],[Acueducto]:[Aseo]])</f>
        <v>0</v>
      </c>
    </row>
    <row r="883" spans="1:6" ht="15" x14ac:dyDescent="0.2">
      <c r="A883" s="7">
        <v>190911</v>
      </c>
      <c r="B883" s="3" t="s">
        <v>605</v>
      </c>
      <c r="C883" s="29">
        <f>ROUND(Balances[[#This Row],[Total]]*40%,0)</f>
        <v>0</v>
      </c>
      <c r="D883" s="29">
        <f>ROUND(Balances[[#This Row],[Total]]*20%,0)</f>
        <v>0</v>
      </c>
      <c r="E883" s="29">
        <f>ROUND(Balances[[#This Row],[Total]]*40%,0)</f>
        <v>0</v>
      </c>
      <c r="F883" s="18">
        <f>SUM(Acueducto[[#This Row],[Acueducto]:[Aseo]])</f>
        <v>0</v>
      </c>
    </row>
    <row r="884" spans="1:6" ht="15" x14ac:dyDescent="0.2">
      <c r="A884" s="7">
        <v>190990</v>
      </c>
      <c r="B884" s="3" t="s">
        <v>606</v>
      </c>
      <c r="C884" s="29">
        <f>ROUND(Balances[[#This Row],[Total]]*40%,0)</f>
        <v>0</v>
      </c>
      <c r="D884" s="29">
        <f>ROUND(Balances[[#This Row],[Total]]*20%,0)</f>
        <v>0</v>
      </c>
      <c r="E884" s="29">
        <f>ROUND(Balances[[#This Row],[Total]]*40%,0)</f>
        <v>0</v>
      </c>
      <c r="F884" s="18">
        <f>SUM(Acueducto[[#This Row],[Acueducto]:[Aseo]])</f>
        <v>0</v>
      </c>
    </row>
    <row r="885" spans="1:6" ht="15" x14ac:dyDescent="0.2">
      <c r="A885" s="6">
        <v>1926</v>
      </c>
      <c r="B885" s="2" t="s">
        <v>607</v>
      </c>
      <c r="C885" s="28">
        <f>ROUND(Balances[[#This Row],[Total]]*40%,0)</f>
        <v>0</v>
      </c>
      <c r="D885" s="28">
        <f>ROUND(Balances[[#This Row],[Total]]*20%,0)</f>
        <v>0</v>
      </c>
      <c r="E885" s="28">
        <f>ROUND(Balances[[#This Row],[Total]]*40%,0)</f>
        <v>0</v>
      </c>
      <c r="F885" s="17">
        <f>SUM(Acueducto[[#This Row],[Acueducto]:[Aseo]])</f>
        <v>0</v>
      </c>
    </row>
    <row r="886" spans="1:6" ht="15" x14ac:dyDescent="0.2">
      <c r="A886" s="7">
        <v>192603</v>
      </c>
      <c r="B886" s="3" t="s">
        <v>608</v>
      </c>
      <c r="C886" s="29">
        <f>ROUND(Balances[[#This Row],[Total]]*40%,0)</f>
        <v>0</v>
      </c>
      <c r="D886" s="29">
        <f>ROUND(Balances[[#This Row],[Total]]*20%,0)</f>
        <v>0</v>
      </c>
      <c r="E886" s="29">
        <f>ROUND(Balances[[#This Row],[Total]]*40%,0)</f>
        <v>0</v>
      </c>
      <c r="F886" s="18">
        <f>SUM(Acueducto[[#This Row],[Acueducto]:[Aseo]])</f>
        <v>0</v>
      </c>
    </row>
    <row r="887" spans="1:6" ht="15" x14ac:dyDescent="0.2">
      <c r="A887" s="6">
        <v>1951</v>
      </c>
      <c r="B887" s="2" t="s">
        <v>609</v>
      </c>
      <c r="C887" s="28">
        <f>ROUND(Balances[[#This Row],[Total]]*40%,0)</f>
        <v>0</v>
      </c>
      <c r="D887" s="28">
        <f>ROUND(Balances[[#This Row],[Total]]*20%,0)</f>
        <v>0</v>
      </c>
      <c r="E887" s="28">
        <f>ROUND(Balances[[#This Row],[Total]]*40%,0)</f>
        <v>0</v>
      </c>
      <c r="F887" s="17">
        <f>SUM(Acueducto[[#This Row],[Acueducto]:[Aseo]])</f>
        <v>0</v>
      </c>
    </row>
    <row r="888" spans="1:6" ht="15" x14ac:dyDescent="0.2">
      <c r="A888" s="7">
        <v>195101</v>
      </c>
      <c r="B888" s="3" t="s">
        <v>306</v>
      </c>
      <c r="C888" s="29">
        <f>ROUND(Balances[[#This Row],[Total]]*40%,0)</f>
        <v>0</v>
      </c>
      <c r="D888" s="29">
        <f>ROUND(Balances[[#This Row],[Total]]*20%,0)</f>
        <v>0</v>
      </c>
      <c r="E888" s="29">
        <f>ROUND(Balances[[#This Row],[Total]]*40%,0)</f>
        <v>0</v>
      </c>
      <c r="F888" s="18">
        <f>SUM(Acueducto[[#This Row],[Acueducto]:[Aseo]])</f>
        <v>0</v>
      </c>
    </row>
    <row r="889" spans="1:6" ht="15" x14ac:dyDescent="0.2">
      <c r="A889" s="7">
        <v>195102</v>
      </c>
      <c r="B889" s="3" t="s">
        <v>385</v>
      </c>
      <c r="C889" s="29">
        <f>ROUND(Balances[[#This Row],[Total]]*40%,0)</f>
        <v>0</v>
      </c>
      <c r="D889" s="29">
        <f>ROUND(Balances[[#This Row],[Total]]*20%,0)</f>
        <v>0</v>
      </c>
      <c r="E889" s="29">
        <f>ROUND(Balances[[#This Row],[Total]]*40%,0)</f>
        <v>0</v>
      </c>
      <c r="F889" s="18">
        <f>SUM(Acueducto[[#This Row],[Acueducto]:[Aseo]])</f>
        <v>0</v>
      </c>
    </row>
    <row r="890" spans="1:6" ht="15" x14ac:dyDescent="0.2">
      <c r="A890" s="7">
        <v>195103</v>
      </c>
      <c r="B890" s="3" t="s">
        <v>610</v>
      </c>
      <c r="C890" s="29">
        <f>ROUND(Balances[[#This Row],[Total]]*40%,0)</f>
        <v>0</v>
      </c>
      <c r="D890" s="29">
        <f>ROUND(Balances[[#This Row],[Total]]*20%,0)</f>
        <v>0</v>
      </c>
      <c r="E890" s="29">
        <f>ROUND(Balances[[#This Row],[Total]]*40%,0)</f>
        <v>0</v>
      </c>
      <c r="F890" s="18">
        <f>SUM(Acueducto[[#This Row],[Acueducto]:[Aseo]])</f>
        <v>0</v>
      </c>
    </row>
    <row r="891" spans="1:6" ht="15" x14ac:dyDescent="0.2">
      <c r="A891" s="7">
        <v>195104</v>
      </c>
      <c r="B891" s="3" t="s">
        <v>611</v>
      </c>
      <c r="C891" s="29">
        <f>ROUND(Balances[[#This Row],[Total]]*40%,0)</f>
        <v>0</v>
      </c>
      <c r="D891" s="29">
        <f>ROUND(Balances[[#This Row],[Total]]*20%,0)</f>
        <v>0</v>
      </c>
      <c r="E891" s="29">
        <f>ROUND(Balances[[#This Row],[Total]]*40%,0)</f>
        <v>0</v>
      </c>
      <c r="F891" s="18">
        <f>SUM(Acueducto[[#This Row],[Acueducto]:[Aseo]])</f>
        <v>0</v>
      </c>
    </row>
    <row r="892" spans="1:6" ht="15" x14ac:dyDescent="0.2">
      <c r="A892" s="6">
        <v>1952</v>
      </c>
      <c r="B892" s="2" t="s">
        <v>612</v>
      </c>
      <c r="C892" s="28">
        <f>ROUND(Balances[[#This Row],[Total]]*40%,0)</f>
        <v>0</v>
      </c>
      <c r="D892" s="28">
        <f>ROUND(Balances[[#This Row],[Total]]*20%,0)</f>
        <v>0</v>
      </c>
      <c r="E892" s="28">
        <f>ROUND(Balances[[#This Row],[Total]]*40%,0)</f>
        <v>0</v>
      </c>
      <c r="F892" s="17">
        <f>SUM(Acueducto[[#This Row],[Acueducto]:[Aseo]])</f>
        <v>0</v>
      </c>
    </row>
    <row r="893" spans="1:6" ht="15" x14ac:dyDescent="0.2">
      <c r="A893" s="7">
        <v>195201</v>
      </c>
      <c r="B893" s="3" t="s">
        <v>385</v>
      </c>
      <c r="C893" s="29">
        <f>ROUND(Balances[[#This Row],[Total]]*40%,0)</f>
        <v>0</v>
      </c>
      <c r="D893" s="29">
        <f>ROUND(Balances[[#This Row],[Total]]*20%,0)</f>
        <v>0</v>
      </c>
      <c r="E893" s="29">
        <f>ROUND(Balances[[#This Row],[Total]]*40%,0)</f>
        <v>0</v>
      </c>
      <c r="F893" s="18">
        <f>SUM(Acueducto[[#This Row],[Acueducto]:[Aseo]])</f>
        <v>0</v>
      </c>
    </row>
    <row r="894" spans="1:6" ht="15" x14ac:dyDescent="0.2">
      <c r="A894" s="7">
        <v>195202</v>
      </c>
      <c r="B894" s="3" t="s">
        <v>611</v>
      </c>
      <c r="C894" s="29">
        <f>ROUND(Balances[[#This Row],[Total]]*40%,0)</f>
        <v>0</v>
      </c>
      <c r="D894" s="29">
        <f>ROUND(Balances[[#This Row],[Total]]*20%,0)</f>
        <v>0</v>
      </c>
      <c r="E894" s="29">
        <f>ROUND(Balances[[#This Row],[Total]]*40%,0)</f>
        <v>0</v>
      </c>
      <c r="F894" s="18">
        <f>SUM(Acueducto[[#This Row],[Acueducto]:[Aseo]])</f>
        <v>0</v>
      </c>
    </row>
    <row r="895" spans="1:6" ht="15" x14ac:dyDescent="0.2">
      <c r="A895" s="6">
        <v>1953</v>
      </c>
      <c r="B895" s="2" t="s">
        <v>613</v>
      </c>
      <c r="C895" s="28">
        <f>ROUND(Balances[[#This Row],[Total]]*40%,0)</f>
        <v>0</v>
      </c>
      <c r="D895" s="28">
        <f>ROUND(Balances[[#This Row],[Total]]*20%,0)</f>
        <v>0</v>
      </c>
      <c r="E895" s="28">
        <f>ROUND(Balances[[#This Row],[Total]]*40%,0)</f>
        <v>0</v>
      </c>
      <c r="F895" s="17">
        <f>SUM(Acueducto[[#This Row],[Acueducto]:[Aseo]])</f>
        <v>0</v>
      </c>
    </row>
    <row r="896" spans="1:6" ht="15" x14ac:dyDescent="0.2">
      <c r="A896" s="7">
        <v>195301</v>
      </c>
      <c r="B896" s="3" t="s">
        <v>306</v>
      </c>
      <c r="C896" s="29">
        <f>ROUND(Balances[[#This Row],[Total]]*40%,0)</f>
        <v>0</v>
      </c>
      <c r="D896" s="29">
        <f>ROUND(Balances[[#This Row],[Total]]*20%,0)</f>
        <v>0</v>
      </c>
      <c r="E896" s="29">
        <f>ROUND(Balances[[#This Row],[Total]]*40%,0)</f>
        <v>0</v>
      </c>
      <c r="F896" s="18">
        <f>SUM(Acueducto[[#This Row],[Acueducto]:[Aseo]])</f>
        <v>0</v>
      </c>
    </row>
    <row r="897" spans="1:6" ht="15" x14ac:dyDescent="0.2">
      <c r="A897" s="7">
        <v>195302</v>
      </c>
      <c r="B897" s="3" t="s">
        <v>385</v>
      </c>
      <c r="C897" s="29">
        <f>ROUND(Balances[[#This Row],[Total]]*40%,0)</f>
        <v>0</v>
      </c>
      <c r="D897" s="29">
        <f>ROUND(Balances[[#This Row],[Total]]*20%,0)</f>
        <v>0</v>
      </c>
      <c r="E897" s="29">
        <f>ROUND(Balances[[#This Row],[Total]]*40%,0)</f>
        <v>0</v>
      </c>
      <c r="F897" s="18">
        <f>SUM(Acueducto[[#This Row],[Acueducto]:[Aseo]])</f>
        <v>0</v>
      </c>
    </row>
    <row r="898" spans="1:6" ht="15" x14ac:dyDescent="0.2">
      <c r="A898" s="7">
        <v>195303</v>
      </c>
      <c r="B898" s="3" t="s">
        <v>610</v>
      </c>
      <c r="C898" s="29">
        <f>ROUND(Balances[[#This Row],[Total]]*40%,0)</f>
        <v>0</v>
      </c>
      <c r="D898" s="29">
        <f>ROUND(Balances[[#This Row],[Total]]*20%,0)</f>
        <v>0</v>
      </c>
      <c r="E898" s="29">
        <f>ROUND(Balances[[#This Row],[Total]]*40%,0)</f>
        <v>0</v>
      </c>
      <c r="F898" s="18">
        <f>SUM(Acueducto[[#This Row],[Acueducto]:[Aseo]])</f>
        <v>0</v>
      </c>
    </row>
    <row r="899" spans="1:6" ht="15" x14ac:dyDescent="0.2">
      <c r="A899" s="7">
        <v>195304</v>
      </c>
      <c r="B899" s="3" t="s">
        <v>611</v>
      </c>
      <c r="C899" s="29">
        <f>ROUND(Balances[[#This Row],[Total]]*40%,0)</f>
        <v>0</v>
      </c>
      <c r="D899" s="29">
        <f>ROUND(Balances[[#This Row],[Total]]*20%,0)</f>
        <v>0</v>
      </c>
      <c r="E899" s="29">
        <f>ROUND(Balances[[#This Row],[Total]]*40%,0)</f>
        <v>0</v>
      </c>
      <c r="F899" s="18">
        <f>SUM(Acueducto[[#This Row],[Acueducto]:[Aseo]])</f>
        <v>0</v>
      </c>
    </row>
    <row r="900" spans="1:6" ht="15" x14ac:dyDescent="0.2">
      <c r="A900" s="6">
        <v>1970</v>
      </c>
      <c r="B900" s="2" t="s">
        <v>614</v>
      </c>
      <c r="C900" s="28">
        <f>ROUND(Balances[[#This Row],[Total]]*40%,0)</f>
        <v>0</v>
      </c>
      <c r="D900" s="28">
        <f>ROUND(Balances[[#This Row],[Total]]*20%,0)</f>
        <v>0</v>
      </c>
      <c r="E900" s="28">
        <f>ROUND(Balances[[#This Row],[Total]]*40%,0)</f>
        <v>0</v>
      </c>
      <c r="F900" s="28">
        <f>SUM(Acueducto[[#This Row],[Acueducto]:[Aseo]])</f>
        <v>0</v>
      </c>
    </row>
    <row r="901" spans="1:6" ht="15" x14ac:dyDescent="0.2">
      <c r="A901" s="7">
        <v>197001</v>
      </c>
      <c r="B901" s="3" t="s">
        <v>615</v>
      </c>
      <c r="C901" s="29">
        <f>ROUND(Balances[[#This Row],[Total]]*40%,0)</f>
        <v>0</v>
      </c>
      <c r="D901" s="29">
        <f>ROUND(Balances[[#This Row],[Total]]*20%,0)</f>
        <v>0</v>
      </c>
      <c r="E901" s="29">
        <f>ROUND(Balances[[#This Row],[Total]]*40%,0)</f>
        <v>0</v>
      </c>
      <c r="F901" s="18">
        <f>SUM(Acueducto[[#This Row],[Acueducto]:[Aseo]])</f>
        <v>0</v>
      </c>
    </row>
    <row r="902" spans="1:6" ht="15" x14ac:dyDescent="0.2">
      <c r="A902" s="7">
        <v>197002</v>
      </c>
      <c r="B902" s="3" t="s">
        <v>616</v>
      </c>
      <c r="C902" s="29">
        <f>ROUND(Balances[[#This Row],[Total]]*40%,0)</f>
        <v>0</v>
      </c>
      <c r="D902" s="29">
        <f>ROUND(Balances[[#This Row],[Total]]*20%,0)</f>
        <v>0</v>
      </c>
      <c r="E902" s="29">
        <f>ROUND(Balances[[#This Row],[Total]]*40%,0)</f>
        <v>0</v>
      </c>
      <c r="F902" s="18">
        <f>SUM(Acueducto[[#This Row],[Acueducto]:[Aseo]])</f>
        <v>0</v>
      </c>
    </row>
    <row r="903" spans="1:6" ht="15" x14ac:dyDescent="0.2">
      <c r="A903" s="7">
        <v>197003</v>
      </c>
      <c r="B903" s="3" t="s">
        <v>617</v>
      </c>
      <c r="C903" s="29">
        <f>ROUND(Balances[[#This Row],[Total]]*40%,0)</f>
        <v>0</v>
      </c>
      <c r="D903" s="29">
        <f>ROUND(Balances[[#This Row],[Total]]*20%,0)</f>
        <v>0</v>
      </c>
      <c r="E903" s="29">
        <f>ROUND(Balances[[#This Row],[Total]]*40%,0)</f>
        <v>0</v>
      </c>
      <c r="F903" s="18">
        <f>SUM(Acueducto[[#This Row],[Acueducto]:[Aseo]])</f>
        <v>0</v>
      </c>
    </row>
    <row r="904" spans="1:6" ht="15" x14ac:dyDescent="0.2">
      <c r="A904" s="7">
        <v>197004</v>
      </c>
      <c r="B904" s="3" t="s">
        <v>618</v>
      </c>
      <c r="C904" s="29">
        <f>ROUND(Balances[[#This Row],[Total]]*40%,0)</f>
        <v>0</v>
      </c>
      <c r="D904" s="29">
        <f>ROUND(Balances[[#This Row],[Total]]*20%,0)</f>
        <v>0</v>
      </c>
      <c r="E904" s="29">
        <f>ROUND(Balances[[#This Row],[Total]]*40%,0)</f>
        <v>0</v>
      </c>
      <c r="F904" s="18">
        <f>SUM(Acueducto[[#This Row],[Acueducto]:[Aseo]])</f>
        <v>0</v>
      </c>
    </row>
    <row r="905" spans="1:6" ht="15" x14ac:dyDescent="0.2">
      <c r="A905" s="7">
        <v>197005</v>
      </c>
      <c r="B905" s="3" t="s">
        <v>619</v>
      </c>
      <c r="C905" s="29">
        <f>ROUND(Balances[[#This Row],[Total]]*40%,0)</f>
        <v>0</v>
      </c>
      <c r="D905" s="29">
        <f>ROUND(Balances[[#This Row],[Total]]*20%,0)</f>
        <v>0</v>
      </c>
      <c r="E905" s="29">
        <f>ROUND(Balances[[#This Row],[Total]]*40%,0)</f>
        <v>0</v>
      </c>
      <c r="F905" s="18">
        <f>SUM(Acueducto[[#This Row],[Acueducto]:[Aseo]])</f>
        <v>0</v>
      </c>
    </row>
    <row r="906" spans="1:6" ht="15" x14ac:dyDescent="0.2">
      <c r="A906" s="7">
        <v>197007</v>
      </c>
      <c r="B906" s="3" t="s">
        <v>620</v>
      </c>
      <c r="C906" s="29">
        <f>ROUND(Balances[[#This Row],[Total]]*40%,0)</f>
        <v>0</v>
      </c>
      <c r="D906" s="29">
        <f>ROUND(Balances[[#This Row],[Total]]*20%,0)</f>
        <v>0</v>
      </c>
      <c r="E906" s="29">
        <f>ROUND(Balances[[#This Row],[Total]]*40%,0)</f>
        <v>0</v>
      </c>
      <c r="F906" s="18">
        <f>SUM(Acueducto[[#This Row],[Acueducto]:[Aseo]])</f>
        <v>0</v>
      </c>
    </row>
    <row r="907" spans="1:6" ht="15" x14ac:dyDescent="0.2">
      <c r="A907" s="7">
        <v>197008</v>
      </c>
      <c r="B907" s="3" t="s">
        <v>621</v>
      </c>
      <c r="C907" s="29">
        <f>ROUND(Balances[[#This Row],[Total]]*40%,0)</f>
        <v>0</v>
      </c>
      <c r="D907" s="29">
        <f>ROUND(Balances[[#This Row],[Total]]*20%,0)</f>
        <v>0</v>
      </c>
      <c r="E907" s="29">
        <f>ROUND(Balances[[#This Row],[Total]]*40%,0)</f>
        <v>0</v>
      </c>
      <c r="F907" s="29">
        <f>SUM(Acueducto[[#This Row],[Acueducto]:[Aseo]])</f>
        <v>0</v>
      </c>
    </row>
    <row r="908" spans="1:6" ht="15" x14ac:dyDescent="0.2">
      <c r="A908" s="7">
        <v>197010</v>
      </c>
      <c r="B908" s="3" t="s">
        <v>622</v>
      </c>
      <c r="C908" s="29">
        <f>ROUND(Balances[[#This Row],[Total]]*40%,0)</f>
        <v>0</v>
      </c>
      <c r="D908" s="29">
        <f>ROUND(Balances[[#This Row],[Total]]*20%,0)</f>
        <v>0</v>
      </c>
      <c r="E908" s="29">
        <f>ROUND(Balances[[#This Row],[Total]]*40%,0)</f>
        <v>0</v>
      </c>
      <c r="F908" s="18">
        <f>SUM(Acueducto[[#This Row],[Acueducto]:[Aseo]])</f>
        <v>0</v>
      </c>
    </row>
    <row r="909" spans="1:6" ht="15" x14ac:dyDescent="0.2">
      <c r="A909" s="7">
        <v>197012</v>
      </c>
      <c r="B909" s="3" t="s">
        <v>623</v>
      </c>
      <c r="C909" s="29">
        <f>ROUND(Balances[[#This Row],[Total]]*40%,0)</f>
        <v>0</v>
      </c>
      <c r="D909" s="29">
        <f>ROUND(Balances[[#This Row],[Total]]*20%,0)</f>
        <v>0</v>
      </c>
      <c r="E909" s="29">
        <f>ROUND(Balances[[#This Row],[Total]]*40%,0)</f>
        <v>0</v>
      </c>
      <c r="F909" s="18">
        <f>SUM(Acueducto[[#This Row],[Acueducto]:[Aseo]])</f>
        <v>0</v>
      </c>
    </row>
    <row r="910" spans="1:6" ht="15" x14ac:dyDescent="0.2">
      <c r="A910" s="7">
        <v>197090</v>
      </c>
      <c r="B910" s="3" t="s">
        <v>624</v>
      </c>
      <c r="C910" s="29">
        <f>ROUND(Balances[[#This Row],[Total]]*40%,0)</f>
        <v>0</v>
      </c>
      <c r="D910" s="29">
        <f>ROUND(Balances[[#This Row],[Total]]*20%,0)</f>
        <v>0</v>
      </c>
      <c r="E910" s="29">
        <f>ROUND(Balances[[#This Row],[Total]]*40%,0)</f>
        <v>0</v>
      </c>
      <c r="F910" s="18">
        <f>SUM(Acueducto[[#This Row],[Acueducto]:[Aseo]])</f>
        <v>0</v>
      </c>
    </row>
    <row r="911" spans="1:6" ht="15" x14ac:dyDescent="0.2">
      <c r="A911" s="6">
        <v>1975</v>
      </c>
      <c r="B911" s="2" t="s">
        <v>625</v>
      </c>
      <c r="C911" s="28">
        <f>ROUND(Balances[[#This Row],[Total]]*40%,0)</f>
        <v>0</v>
      </c>
      <c r="D911" s="28">
        <f>ROUND(Balances[[#This Row],[Total]]*20%,0)</f>
        <v>0</v>
      </c>
      <c r="E911" s="28">
        <f>ROUND(Balances[[#This Row],[Total]]*40%,0)</f>
        <v>0</v>
      </c>
      <c r="F911" s="28">
        <f>SUM(Acueducto[[#This Row],[Acueducto]:[Aseo]])</f>
        <v>0</v>
      </c>
    </row>
    <row r="912" spans="1:6" ht="15" x14ac:dyDescent="0.2">
      <c r="A912" s="7">
        <v>197502</v>
      </c>
      <c r="B912" s="3" t="s">
        <v>616</v>
      </c>
      <c r="C912" s="29">
        <f>ROUND(Balances[[#This Row],[Total]]*40%,0)</f>
        <v>0</v>
      </c>
      <c r="D912" s="29">
        <f>ROUND(Balances[[#This Row],[Total]]*20%,0)</f>
        <v>0</v>
      </c>
      <c r="E912" s="29">
        <f>ROUND(Balances[[#This Row],[Total]]*40%,0)</f>
        <v>0</v>
      </c>
      <c r="F912" s="18">
        <f>SUM(Acueducto[[#This Row],[Acueducto]:[Aseo]])</f>
        <v>0</v>
      </c>
    </row>
    <row r="913" spans="1:6" ht="15" x14ac:dyDescent="0.2">
      <c r="A913" s="7">
        <v>197503</v>
      </c>
      <c r="B913" s="3" t="s">
        <v>617</v>
      </c>
      <c r="C913" s="29">
        <f>ROUND(Balances[[#This Row],[Total]]*40%,0)</f>
        <v>0</v>
      </c>
      <c r="D913" s="29">
        <f>ROUND(Balances[[#This Row],[Total]]*20%,0)</f>
        <v>0</v>
      </c>
      <c r="E913" s="29">
        <f>ROUND(Balances[[#This Row],[Total]]*40%,0)</f>
        <v>0</v>
      </c>
      <c r="F913" s="18">
        <f>SUM(Acueducto[[#This Row],[Acueducto]:[Aseo]])</f>
        <v>0</v>
      </c>
    </row>
    <row r="914" spans="1:6" ht="15" x14ac:dyDescent="0.2">
      <c r="A914" s="7">
        <v>197504</v>
      </c>
      <c r="B914" s="3" t="s">
        <v>618</v>
      </c>
      <c r="C914" s="29">
        <f>ROUND(Balances[[#This Row],[Total]]*40%,0)</f>
        <v>0</v>
      </c>
      <c r="D914" s="29">
        <f>ROUND(Balances[[#This Row],[Total]]*20%,0)</f>
        <v>0</v>
      </c>
      <c r="E914" s="29">
        <f>ROUND(Balances[[#This Row],[Total]]*40%,0)</f>
        <v>0</v>
      </c>
      <c r="F914" s="18">
        <f>SUM(Acueducto[[#This Row],[Acueducto]:[Aseo]])</f>
        <v>0</v>
      </c>
    </row>
    <row r="915" spans="1:6" ht="15" x14ac:dyDescent="0.2">
      <c r="A915" s="7">
        <v>197505</v>
      </c>
      <c r="B915" s="3" t="s">
        <v>619</v>
      </c>
      <c r="C915" s="29">
        <f>ROUND(Balances[[#This Row],[Total]]*40%,0)</f>
        <v>0</v>
      </c>
      <c r="D915" s="29">
        <f>ROUND(Balances[[#This Row],[Total]]*20%,0)</f>
        <v>0</v>
      </c>
      <c r="E915" s="29">
        <f>ROUND(Balances[[#This Row],[Total]]*40%,0)</f>
        <v>0</v>
      </c>
      <c r="F915" s="18">
        <f>SUM(Acueducto[[#This Row],[Acueducto]:[Aseo]])</f>
        <v>0</v>
      </c>
    </row>
    <row r="916" spans="1:6" ht="15" x14ac:dyDescent="0.2">
      <c r="A916" s="7">
        <v>197507</v>
      </c>
      <c r="B916" s="3" t="s">
        <v>620</v>
      </c>
      <c r="C916" s="29">
        <f>ROUND(Balances[[#This Row],[Total]]*40%,0)</f>
        <v>0</v>
      </c>
      <c r="D916" s="29">
        <f>ROUND(Balances[[#This Row],[Total]]*20%,0)</f>
        <v>0</v>
      </c>
      <c r="E916" s="29">
        <f>ROUND(Balances[[#This Row],[Total]]*40%,0)</f>
        <v>0</v>
      </c>
      <c r="F916" s="18">
        <f>SUM(Acueducto[[#This Row],[Acueducto]:[Aseo]])</f>
        <v>0</v>
      </c>
    </row>
    <row r="917" spans="1:6" ht="15" x14ac:dyDescent="0.2">
      <c r="A917" s="7">
        <v>197508</v>
      </c>
      <c r="B917" s="3" t="s">
        <v>621</v>
      </c>
      <c r="C917" s="29">
        <f>ROUND(Balances[[#This Row],[Total]]*40%,0)</f>
        <v>0</v>
      </c>
      <c r="D917" s="29">
        <f>ROUND(Balances[[#This Row],[Total]]*20%,0)</f>
        <v>0</v>
      </c>
      <c r="E917" s="29">
        <f>ROUND(Balances[[#This Row],[Total]]*40%,0)</f>
        <v>0</v>
      </c>
      <c r="F917" s="29">
        <f>SUM(Acueducto[[#This Row],[Acueducto]:[Aseo]])</f>
        <v>0</v>
      </c>
    </row>
    <row r="918" spans="1:6" ht="15" x14ac:dyDescent="0.2">
      <c r="A918" s="7">
        <v>197511</v>
      </c>
      <c r="B918" s="3" t="s">
        <v>623</v>
      </c>
      <c r="C918" s="29">
        <f>ROUND(Balances[[#This Row],[Total]]*40%,0)</f>
        <v>0</v>
      </c>
      <c r="D918" s="29">
        <f>ROUND(Balances[[#This Row],[Total]]*20%,0)</f>
        <v>0</v>
      </c>
      <c r="E918" s="29">
        <f>ROUND(Balances[[#This Row],[Total]]*40%,0)</f>
        <v>0</v>
      </c>
      <c r="F918" s="18">
        <f>SUM(Acueducto[[#This Row],[Acueducto]:[Aseo]])</f>
        <v>0</v>
      </c>
    </row>
    <row r="919" spans="1:6" ht="15" x14ac:dyDescent="0.2">
      <c r="A919" s="7">
        <v>197590</v>
      </c>
      <c r="B919" s="3" t="s">
        <v>624</v>
      </c>
      <c r="C919" s="29">
        <f>ROUND(Balances[[#This Row],[Total]]*40%,0)</f>
        <v>0</v>
      </c>
      <c r="D919" s="29">
        <f>ROUND(Balances[[#This Row],[Total]]*20%,0)</f>
        <v>0</v>
      </c>
      <c r="E919" s="29">
        <f>ROUND(Balances[[#This Row],[Total]]*40%,0)</f>
        <v>0</v>
      </c>
      <c r="F919" s="18">
        <f>SUM(Acueducto[[#This Row],[Acueducto]:[Aseo]])</f>
        <v>0</v>
      </c>
    </row>
    <row r="920" spans="1:6" ht="15" x14ac:dyDescent="0.2">
      <c r="A920" s="6">
        <v>1976</v>
      </c>
      <c r="B920" s="2" t="s">
        <v>626</v>
      </c>
      <c r="C920" s="28">
        <f>ROUND(Balances[[#This Row],[Total]]*40%,0)</f>
        <v>0</v>
      </c>
      <c r="D920" s="28">
        <f>ROUND(Balances[[#This Row],[Total]]*20%,0)</f>
        <v>0</v>
      </c>
      <c r="E920" s="28">
        <f>ROUND(Balances[[#This Row],[Total]]*40%,0)</f>
        <v>0</v>
      </c>
      <c r="F920" s="17">
        <f>SUM(Acueducto[[#This Row],[Acueducto]:[Aseo]])</f>
        <v>0</v>
      </c>
    </row>
    <row r="921" spans="1:6" ht="15" x14ac:dyDescent="0.2">
      <c r="A921" s="7">
        <v>197601</v>
      </c>
      <c r="B921" s="3" t="s">
        <v>615</v>
      </c>
      <c r="C921" s="29">
        <f>ROUND(Balances[[#This Row],[Total]]*40%,0)</f>
        <v>0</v>
      </c>
      <c r="D921" s="29">
        <f>ROUND(Balances[[#This Row],[Total]]*20%,0)</f>
        <v>0</v>
      </c>
      <c r="E921" s="29">
        <f>ROUND(Balances[[#This Row],[Total]]*40%,0)</f>
        <v>0</v>
      </c>
      <c r="F921" s="18">
        <f>SUM(Acueducto[[#This Row],[Acueducto]:[Aseo]])</f>
        <v>0</v>
      </c>
    </row>
    <row r="922" spans="1:6" ht="15" x14ac:dyDescent="0.2">
      <c r="A922" s="7">
        <v>197602</v>
      </c>
      <c r="B922" s="3" t="s">
        <v>616</v>
      </c>
      <c r="C922" s="29">
        <f>ROUND(Balances[[#This Row],[Total]]*40%,0)</f>
        <v>0</v>
      </c>
      <c r="D922" s="29">
        <f>ROUND(Balances[[#This Row],[Total]]*20%,0)</f>
        <v>0</v>
      </c>
      <c r="E922" s="29">
        <f>ROUND(Balances[[#This Row],[Total]]*40%,0)</f>
        <v>0</v>
      </c>
      <c r="F922" s="18">
        <f>SUM(Acueducto[[#This Row],[Acueducto]:[Aseo]])</f>
        <v>0</v>
      </c>
    </row>
    <row r="923" spans="1:6" ht="15" x14ac:dyDescent="0.2">
      <c r="A923" s="7">
        <v>197603</v>
      </c>
      <c r="B923" s="3" t="s">
        <v>617</v>
      </c>
      <c r="C923" s="29">
        <f>ROUND(Balances[[#This Row],[Total]]*40%,0)</f>
        <v>0</v>
      </c>
      <c r="D923" s="29">
        <f>ROUND(Balances[[#This Row],[Total]]*20%,0)</f>
        <v>0</v>
      </c>
      <c r="E923" s="29">
        <f>ROUND(Balances[[#This Row],[Total]]*40%,0)</f>
        <v>0</v>
      </c>
      <c r="F923" s="18">
        <f>SUM(Acueducto[[#This Row],[Acueducto]:[Aseo]])</f>
        <v>0</v>
      </c>
    </row>
    <row r="924" spans="1:6" ht="15" x14ac:dyDescent="0.2">
      <c r="A924" s="7">
        <v>197604</v>
      </c>
      <c r="B924" s="3" t="s">
        <v>618</v>
      </c>
      <c r="C924" s="29">
        <f>ROUND(Balances[[#This Row],[Total]]*40%,0)</f>
        <v>0</v>
      </c>
      <c r="D924" s="29">
        <f>ROUND(Balances[[#This Row],[Total]]*20%,0)</f>
        <v>0</v>
      </c>
      <c r="E924" s="29">
        <f>ROUND(Balances[[#This Row],[Total]]*40%,0)</f>
        <v>0</v>
      </c>
      <c r="F924" s="18">
        <f>SUM(Acueducto[[#This Row],[Acueducto]:[Aseo]])</f>
        <v>0</v>
      </c>
    </row>
    <row r="925" spans="1:6" ht="15" x14ac:dyDescent="0.2">
      <c r="A925" s="7">
        <v>197605</v>
      </c>
      <c r="B925" s="3" t="s">
        <v>619</v>
      </c>
      <c r="C925" s="29">
        <f>ROUND(Balances[[#This Row],[Total]]*40%,0)</f>
        <v>0</v>
      </c>
      <c r="D925" s="29">
        <f>ROUND(Balances[[#This Row],[Total]]*20%,0)</f>
        <v>0</v>
      </c>
      <c r="E925" s="29">
        <f>ROUND(Balances[[#This Row],[Total]]*40%,0)</f>
        <v>0</v>
      </c>
      <c r="F925" s="18">
        <f>SUM(Acueducto[[#This Row],[Acueducto]:[Aseo]])</f>
        <v>0</v>
      </c>
    </row>
    <row r="926" spans="1:6" ht="15" x14ac:dyDescent="0.2">
      <c r="A926" s="7">
        <v>197606</v>
      </c>
      <c r="B926" s="3" t="s">
        <v>620</v>
      </c>
      <c r="C926" s="29">
        <f>ROUND(Balances[[#This Row],[Total]]*40%,0)</f>
        <v>0</v>
      </c>
      <c r="D926" s="29">
        <f>ROUND(Balances[[#This Row],[Total]]*20%,0)</f>
        <v>0</v>
      </c>
      <c r="E926" s="29">
        <f>ROUND(Balances[[#This Row],[Total]]*40%,0)</f>
        <v>0</v>
      </c>
      <c r="F926" s="18">
        <f>SUM(Acueducto[[#This Row],[Acueducto]:[Aseo]])</f>
        <v>0</v>
      </c>
    </row>
    <row r="927" spans="1:6" ht="15" x14ac:dyDescent="0.2">
      <c r="A927" s="7">
        <v>197607</v>
      </c>
      <c r="B927" s="3" t="s">
        <v>621</v>
      </c>
      <c r="C927" s="29">
        <f>ROUND(Balances[[#This Row],[Total]]*40%,0)</f>
        <v>0</v>
      </c>
      <c r="D927" s="29">
        <f>ROUND(Balances[[#This Row],[Total]]*20%,0)</f>
        <v>0</v>
      </c>
      <c r="E927" s="29">
        <f>ROUND(Balances[[#This Row],[Total]]*40%,0)</f>
        <v>0</v>
      </c>
      <c r="F927" s="18">
        <f>SUM(Acueducto[[#This Row],[Acueducto]:[Aseo]])</f>
        <v>0</v>
      </c>
    </row>
    <row r="928" spans="1:6" ht="15" x14ac:dyDescent="0.2">
      <c r="A928" s="7">
        <v>197609</v>
      </c>
      <c r="B928" s="3" t="s">
        <v>622</v>
      </c>
      <c r="C928" s="29">
        <f>ROUND(Balances[[#This Row],[Total]]*40%,0)</f>
        <v>0</v>
      </c>
      <c r="D928" s="29">
        <f>ROUND(Balances[[#This Row],[Total]]*20%,0)</f>
        <v>0</v>
      </c>
      <c r="E928" s="29">
        <f>ROUND(Balances[[#This Row],[Total]]*40%,0)</f>
        <v>0</v>
      </c>
      <c r="F928" s="18">
        <f>SUM(Acueducto[[#This Row],[Acueducto]:[Aseo]])</f>
        <v>0</v>
      </c>
    </row>
    <row r="929" spans="1:6" ht="15" x14ac:dyDescent="0.2">
      <c r="A929" s="7">
        <v>197611</v>
      </c>
      <c r="B929" s="3" t="s">
        <v>623</v>
      </c>
      <c r="C929" s="29">
        <f>ROUND(Balances[[#This Row],[Total]]*40%,0)</f>
        <v>0</v>
      </c>
      <c r="D929" s="29">
        <f>ROUND(Balances[[#This Row],[Total]]*20%,0)</f>
        <v>0</v>
      </c>
      <c r="E929" s="29">
        <f>ROUND(Balances[[#This Row],[Total]]*40%,0)</f>
        <v>0</v>
      </c>
      <c r="F929" s="18">
        <f>SUM(Acueducto[[#This Row],[Acueducto]:[Aseo]])</f>
        <v>0</v>
      </c>
    </row>
    <row r="930" spans="1:6" ht="15" x14ac:dyDescent="0.2">
      <c r="A930" s="7">
        <v>197690</v>
      </c>
      <c r="B930" s="3" t="s">
        <v>624</v>
      </c>
      <c r="C930" s="29">
        <f>ROUND(Balances[[#This Row],[Total]]*40%,0)</f>
        <v>0</v>
      </c>
      <c r="D930" s="29">
        <f>ROUND(Balances[[#This Row],[Total]]*20%,0)</f>
        <v>0</v>
      </c>
      <c r="E930" s="29">
        <f>ROUND(Balances[[#This Row],[Total]]*40%,0)</f>
        <v>0</v>
      </c>
      <c r="F930" s="18">
        <f>SUM(Acueducto[[#This Row],[Acueducto]:[Aseo]])</f>
        <v>0</v>
      </c>
    </row>
    <row r="931" spans="1:6" ht="15" x14ac:dyDescent="0.2">
      <c r="A931" s="6">
        <v>1980</v>
      </c>
      <c r="B931" s="2" t="s">
        <v>627</v>
      </c>
      <c r="C931" s="28">
        <f>ROUND(Balances[[#This Row],[Total]]*40%,0)</f>
        <v>0</v>
      </c>
      <c r="D931" s="28">
        <f>ROUND(Balances[[#This Row],[Total]]*20%,0)</f>
        <v>0</v>
      </c>
      <c r="E931" s="28">
        <f>ROUND(Balances[[#This Row],[Total]]*40%,0)</f>
        <v>0</v>
      </c>
      <c r="F931" s="17">
        <f>SUM(Acueducto[[#This Row],[Acueducto]:[Aseo]])</f>
        <v>0</v>
      </c>
    </row>
    <row r="932" spans="1:6" ht="15" x14ac:dyDescent="0.2">
      <c r="A932" s="7">
        <v>198001</v>
      </c>
      <c r="B932" s="3" t="s">
        <v>628</v>
      </c>
      <c r="C932" s="29">
        <f>ROUND(Balances[[#This Row],[Total]]*40%,0)</f>
        <v>0</v>
      </c>
      <c r="D932" s="29">
        <f>ROUND(Balances[[#This Row],[Total]]*20%,0)</f>
        <v>0</v>
      </c>
      <c r="E932" s="29">
        <f>ROUND(Balances[[#This Row],[Total]]*40%,0)</f>
        <v>0</v>
      </c>
      <c r="F932" s="18">
        <f>SUM(Acueducto[[#This Row],[Acueducto]:[Aseo]])</f>
        <v>0</v>
      </c>
    </row>
    <row r="933" spans="1:6" ht="15" x14ac:dyDescent="0.2">
      <c r="A933" s="7">
        <v>198002</v>
      </c>
      <c r="B933" s="3" t="s">
        <v>629</v>
      </c>
      <c r="C933" s="29">
        <f>ROUND(Balances[[#This Row],[Total]]*40%,0)</f>
        <v>0</v>
      </c>
      <c r="D933" s="29">
        <f>ROUND(Balances[[#This Row],[Total]]*20%,0)</f>
        <v>0</v>
      </c>
      <c r="E933" s="29">
        <f>ROUND(Balances[[#This Row],[Total]]*40%,0)</f>
        <v>0</v>
      </c>
      <c r="F933" s="18">
        <f>SUM(Acueducto[[#This Row],[Acueducto]:[Aseo]])</f>
        <v>0</v>
      </c>
    </row>
    <row r="934" spans="1:6" ht="15" x14ac:dyDescent="0.2">
      <c r="A934" s="7">
        <v>198003</v>
      </c>
      <c r="B934" s="3" t="s">
        <v>630</v>
      </c>
      <c r="C934" s="29">
        <f>ROUND(Balances[[#This Row],[Total]]*40%,0)</f>
        <v>0</v>
      </c>
      <c r="D934" s="29">
        <f>ROUND(Balances[[#This Row],[Total]]*20%,0)</f>
        <v>0</v>
      </c>
      <c r="E934" s="29">
        <f>ROUND(Balances[[#This Row],[Total]]*40%,0)</f>
        <v>0</v>
      </c>
      <c r="F934" s="18">
        <f>SUM(Acueducto[[#This Row],[Acueducto]:[Aseo]])</f>
        <v>0</v>
      </c>
    </row>
    <row r="935" spans="1:6" ht="15" x14ac:dyDescent="0.2">
      <c r="A935" s="7">
        <v>198004</v>
      </c>
      <c r="B935" s="3" t="s">
        <v>631</v>
      </c>
      <c r="C935" s="29">
        <f>ROUND(Balances[[#This Row],[Total]]*40%,0)</f>
        <v>0</v>
      </c>
      <c r="D935" s="29">
        <f>ROUND(Balances[[#This Row],[Total]]*20%,0)</f>
        <v>0</v>
      </c>
      <c r="E935" s="29">
        <f>ROUND(Balances[[#This Row],[Total]]*40%,0)</f>
        <v>0</v>
      </c>
      <c r="F935" s="18">
        <f>SUM(Acueducto[[#This Row],[Acueducto]:[Aseo]])</f>
        <v>0</v>
      </c>
    </row>
    <row r="936" spans="1:6" ht="15" x14ac:dyDescent="0.2">
      <c r="A936" s="6">
        <v>1981</v>
      </c>
      <c r="B936" s="2" t="s">
        <v>632</v>
      </c>
      <c r="C936" s="28">
        <f>ROUND(Balances[[#This Row],[Total]]*40%,0)</f>
        <v>0</v>
      </c>
      <c r="D936" s="28">
        <f>ROUND(Balances[[#This Row],[Total]]*20%,0)</f>
        <v>0</v>
      </c>
      <c r="E936" s="28">
        <f>ROUND(Balances[[#This Row],[Total]]*40%,0)</f>
        <v>0</v>
      </c>
      <c r="F936" s="17">
        <f>SUM(Acueducto[[#This Row],[Acueducto]:[Aseo]])</f>
        <v>0</v>
      </c>
    </row>
    <row r="937" spans="1:6" ht="15" x14ac:dyDescent="0.2">
      <c r="A937" s="7">
        <v>198101</v>
      </c>
      <c r="B937" s="3" t="s">
        <v>628</v>
      </c>
      <c r="C937" s="29">
        <f>ROUND(Balances[[#This Row],[Total]]*40%,0)</f>
        <v>0</v>
      </c>
      <c r="D937" s="29">
        <f>ROUND(Balances[[#This Row],[Total]]*20%,0)</f>
        <v>0</v>
      </c>
      <c r="E937" s="29">
        <f>ROUND(Balances[[#This Row],[Total]]*40%,0)</f>
        <v>0</v>
      </c>
      <c r="F937" s="18">
        <f>SUM(Acueducto[[#This Row],[Acueducto]:[Aseo]])</f>
        <v>0</v>
      </c>
    </row>
    <row r="938" spans="1:6" ht="15" x14ac:dyDescent="0.2">
      <c r="A938" s="7">
        <v>198102</v>
      </c>
      <c r="B938" s="3" t="s">
        <v>629</v>
      </c>
      <c r="C938" s="29">
        <f>ROUND(Balances[[#This Row],[Total]]*40%,0)</f>
        <v>0</v>
      </c>
      <c r="D938" s="29">
        <f>ROUND(Balances[[#This Row],[Total]]*20%,0)</f>
        <v>0</v>
      </c>
      <c r="E938" s="29">
        <f>ROUND(Balances[[#This Row],[Total]]*40%,0)</f>
        <v>0</v>
      </c>
      <c r="F938" s="18">
        <f>SUM(Acueducto[[#This Row],[Acueducto]:[Aseo]])</f>
        <v>0</v>
      </c>
    </row>
    <row r="939" spans="1:6" ht="15" x14ac:dyDescent="0.2">
      <c r="A939" s="7">
        <v>198103</v>
      </c>
      <c r="B939" s="3" t="s">
        <v>630</v>
      </c>
      <c r="C939" s="29">
        <f>ROUND(Balances[[#This Row],[Total]]*40%,0)</f>
        <v>0</v>
      </c>
      <c r="D939" s="29">
        <f>ROUND(Balances[[#This Row],[Total]]*20%,0)</f>
        <v>0</v>
      </c>
      <c r="E939" s="29">
        <f>ROUND(Balances[[#This Row],[Total]]*40%,0)</f>
        <v>0</v>
      </c>
      <c r="F939" s="18">
        <f>SUM(Acueducto[[#This Row],[Acueducto]:[Aseo]])</f>
        <v>0</v>
      </c>
    </row>
    <row r="940" spans="1:6" ht="15" x14ac:dyDescent="0.2">
      <c r="A940" s="7">
        <v>198104</v>
      </c>
      <c r="B940" s="3" t="s">
        <v>631</v>
      </c>
      <c r="C940" s="29">
        <f>ROUND(Balances[[#This Row],[Total]]*40%,0)</f>
        <v>0</v>
      </c>
      <c r="D940" s="29">
        <f>ROUND(Balances[[#This Row],[Total]]*20%,0)</f>
        <v>0</v>
      </c>
      <c r="E940" s="29">
        <f>ROUND(Balances[[#This Row],[Total]]*40%,0)</f>
        <v>0</v>
      </c>
      <c r="F940" s="18">
        <f>SUM(Acueducto[[#This Row],[Acueducto]:[Aseo]])</f>
        <v>0</v>
      </c>
    </row>
    <row r="941" spans="1:6" ht="15" x14ac:dyDescent="0.2">
      <c r="A941" s="6">
        <v>1982</v>
      </c>
      <c r="B941" s="2" t="s">
        <v>633</v>
      </c>
      <c r="C941" s="28">
        <f>ROUND(Balances[[#This Row],[Total]]*40%,0)</f>
        <v>0</v>
      </c>
      <c r="D941" s="28">
        <f>ROUND(Balances[[#This Row],[Total]]*20%,0)</f>
        <v>0</v>
      </c>
      <c r="E941" s="28">
        <f>ROUND(Balances[[#This Row],[Total]]*40%,0)</f>
        <v>0</v>
      </c>
      <c r="F941" s="17">
        <f>SUM(Acueducto[[#This Row],[Acueducto]:[Aseo]])</f>
        <v>0</v>
      </c>
    </row>
    <row r="942" spans="1:6" ht="15" x14ac:dyDescent="0.2">
      <c r="A942" s="7">
        <v>198201</v>
      </c>
      <c r="B942" s="3" t="s">
        <v>628</v>
      </c>
      <c r="C942" s="29">
        <f>ROUND(Balances[[#This Row],[Total]]*40%,0)</f>
        <v>0</v>
      </c>
      <c r="D942" s="29">
        <f>ROUND(Balances[[#This Row],[Total]]*20%,0)</f>
        <v>0</v>
      </c>
      <c r="E942" s="29">
        <f>ROUND(Balances[[#This Row],[Total]]*40%,0)</f>
        <v>0</v>
      </c>
      <c r="F942" s="18">
        <f>SUM(Acueducto[[#This Row],[Acueducto]:[Aseo]])</f>
        <v>0</v>
      </c>
    </row>
    <row r="943" spans="1:6" ht="15" x14ac:dyDescent="0.2">
      <c r="A943" s="7">
        <v>198202</v>
      </c>
      <c r="B943" s="3" t="s">
        <v>629</v>
      </c>
      <c r="C943" s="29">
        <f>ROUND(Balances[[#This Row],[Total]]*40%,0)</f>
        <v>0</v>
      </c>
      <c r="D943" s="29">
        <f>ROUND(Balances[[#This Row],[Total]]*20%,0)</f>
        <v>0</v>
      </c>
      <c r="E943" s="29">
        <f>ROUND(Balances[[#This Row],[Total]]*40%,0)</f>
        <v>0</v>
      </c>
      <c r="F943" s="18">
        <f>SUM(Acueducto[[#This Row],[Acueducto]:[Aseo]])</f>
        <v>0</v>
      </c>
    </row>
    <row r="944" spans="1:6" ht="15" x14ac:dyDescent="0.2">
      <c r="A944" s="7">
        <v>198203</v>
      </c>
      <c r="B944" s="3" t="s">
        <v>630</v>
      </c>
      <c r="C944" s="29">
        <f>ROUND(Balances[[#This Row],[Total]]*40%,0)</f>
        <v>0</v>
      </c>
      <c r="D944" s="29">
        <f>ROUND(Balances[[#This Row],[Total]]*20%,0)</f>
        <v>0</v>
      </c>
      <c r="E944" s="29">
        <f>ROUND(Balances[[#This Row],[Total]]*40%,0)</f>
        <v>0</v>
      </c>
      <c r="F944" s="18">
        <f>SUM(Acueducto[[#This Row],[Acueducto]:[Aseo]])</f>
        <v>0</v>
      </c>
    </row>
    <row r="945" spans="1:6" ht="15" x14ac:dyDescent="0.2">
      <c r="A945" s="7">
        <v>198204</v>
      </c>
      <c r="B945" s="3" t="s">
        <v>631</v>
      </c>
      <c r="C945" s="29">
        <f>ROUND(Balances[[#This Row],[Total]]*40%,0)</f>
        <v>0</v>
      </c>
      <c r="D945" s="29">
        <f>ROUND(Balances[[#This Row],[Total]]*20%,0)</f>
        <v>0</v>
      </c>
      <c r="E945" s="29">
        <f>ROUND(Balances[[#This Row],[Total]]*40%,0)</f>
        <v>0</v>
      </c>
      <c r="F945" s="18">
        <f>SUM(Acueducto[[#This Row],[Acueducto]:[Aseo]])</f>
        <v>0</v>
      </c>
    </row>
    <row r="946" spans="1:6" ht="15" x14ac:dyDescent="0.2">
      <c r="A946" s="6">
        <v>1983</v>
      </c>
      <c r="B946" s="2" t="s">
        <v>634</v>
      </c>
      <c r="C946" s="28">
        <f>ROUND(Balances[[#This Row],[Total]]*40%,0)</f>
        <v>0</v>
      </c>
      <c r="D946" s="28">
        <f>ROUND(Balances[[#This Row],[Total]]*20%,0)</f>
        <v>0</v>
      </c>
      <c r="E946" s="28">
        <f>ROUND(Balances[[#This Row],[Total]]*40%,0)</f>
        <v>0</v>
      </c>
      <c r="F946" s="17">
        <f>SUM(Acueducto[[#This Row],[Acueducto]:[Aseo]])</f>
        <v>0</v>
      </c>
    </row>
    <row r="947" spans="1:6" ht="15" x14ac:dyDescent="0.2">
      <c r="A947" s="7">
        <v>198301</v>
      </c>
      <c r="B947" s="3" t="s">
        <v>628</v>
      </c>
      <c r="C947" s="29">
        <f>ROUND(Balances[[#This Row],[Total]]*40%,0)</f>
        <v>0</v>
      </c>
      <c r="D947" s="29">
        <f>ROUND(Balances[[#This Row],[Total]]*20%,0)</f>
        <v>0</v>
      </c>
      <c r="E947" s="29">
        <f>ROUND(Balances[[#This Row],[Total]]*40%,0)</f>
        <v>0</v>
      </c>
      <c r="F947" s="18">
        <f>SUM(Acueducto[[#This Row],[Acueducto]:[Aseo]])</f>
        <v>0</v>
      </c>
    </row>
    <row r="948" spans="1:6" ht="15" x14ac:dyDescent="0.2">
      <c r="A948" s="7">
        <v>198302</v>
      </c>
      <c r="B948" s="3" t="s">
        <v>629</v>
      </c>
      <c r="C948" s="29">
        <f>ROUND(Balances[[#This Row],[Total]]*40%,0)</f>
        <v>0</v>
      </c>
      <c r="D948" s="29">
        <f>ROUND(Balances[[#This Row],[Total]]*20%,0)</f>
        <v>0</v>
      </c>
      <c r="E948" s="29">
        <f>ROUND(Balances[[#This Row],[Total]]*40%,0)</f>
        <v>0</v>
      </c>
      <c r="F948" s="18">
        <f>SUM(Acueducto[[#This Row],[Acueducto]:[Aseo]])</f>
        <v>0</v>
      </c>
    </row>
    <row r="949" spans="1:6" ht="15" x14ac:dyDescent="0.2">
      <c r="A949" s="7">
        <v>198303</v>
      </c>
      <c r="B949" s="3" t="s">
        <v>630</v>
      </c>
      <c r="C949" s="29">
        <f>ROUND(Balances[[#This Row],[Total]]*40%,0)</f>
        <v>0</v>
      </c>
      <c r="D949" s="29">
        <f>ROUND(Balances[[#This Row],[Total]]*20%,0)</f>
        <v>0</v>
      </c>
      <c r="E949" s="29">
        <f>ROUND(Balances[[#This Row],[Total]]*40%,0)</f>
        <v>0</v>
      </c>
      <c r="F949" s="18">
        <f>SUM(Acueducto[[#This Row],[Acueducto]:[Aseo]])</f>
        <v>0</v>
      </c>
    </row>
    <row r="950" spans="1:6" ht="15" x14ac:dyDescent="0.2">
      <c r="A950" s="7">
        <v>198304</v>
      </c>
      <c r="B950" s="3" t="s">
        <v>631</v>
      </c>
      <c r="C950" s="29">
        <f>ROUND(Balances[[#This Row],[Total]]*40%,0)</f>
        <v>0</v>
      </c>
      <c r="D950" s="29">
        <f>ROUND(Balances[[#This Row],[Total]]*20%,0)</f>
        <v>0</v>
      </c>
      <c r="E950" s="29">
        <f>ROUND(Balances[[#This Row],[Total]]*40%,0)</f>
        <v>0</v>
      </c>
      <c r="F950" s="18">
        <f>SUM(Acueducto[[#This Row],[Acueducto]:[Aseo]])</f>
        <v>0</v>
      </c>
    </row>
    <row r="951" spans="1:6" ht="15" x14ac:dyDescent="0.2">
      <c r="A951" s="6">
        <v>1984</v>
      </c>
      <c r="B951" s="2" t="s">
        <v>635</v>
      </c>
      <c r="C951" s="28">
        <f>ROUND(Balances[[#This Row],[Total]]*40%,0)</f>
        <v>0</v>
      </c>
      <c r="D951" s="28">
        <f>ROUND(Balances[[#This Row],[Total]]*20%,0)</f>
        <v>0</v>
      </c>
      <c r="E951" s="28">
        <f>ROUND(Balances[[#This Row],[Total]]*40%,0)</f>
        <v>0</v>
      </c>
      <c r="F951" s="17">
        <f>SUM(Acueducto[[#This Row],[Acueducto]:[Aseo]])</f>
        <v>0</v>
      </c>
    </row>
    <row r="952" spans="1:6" ht="15" x14ac:dyDescent="0.2">
      <c r="A952" s="7">
        <v>198401</v>
      </c>
      <c r="B952" s="3" t="s">
        <v>628</v>
      </c>
      <c r="C952" s="29">
        <f>ROUND(Balances[[#This Row],[Total]]*40%,0)</f>
        <v>0</v>
      </c>
      <c r="D952" s="29">
        <f>ROUND(Balances[[#This Row],[Total]]*20%,0)</f>
        <v>0</v>
      </c>
      <c r="E952" s="29">
        <f>ROUND(Balances[[#This Row],[Total]]*40%,0)</f>
        <v>0</v>
      </c>
      <c r="F952" s="18">
        <f>SUM(Acueducto[[#This Row],[Acueducto]:[Aseo]])</f>
        <v>0</v>
      </c>
    </row>
    <row r="953" spans="1:6" ht="15" x14ac:dyDescent="0.2">
      <c r="A953" s="7">
        <v>198402</v>
      </c>
      <c r="B953" s="3" t="s">
        <v>629</v>
      </c>
      <c r="C953" s="29">
        <f>ROUND(Balances[[#This Row],[Total]]*40%,0)</f>
        <v>0</v>
      </c>
      <c r="D953" s="29">
        <f>ROUND(Balances[[#This Row],[Total]]*20%,0)</f>
        <v>0</v>
      </c>
      <c r="E953" s="29">
        <f>ROUND(Balances[[#This Row],[Total]]*40%,0)</f>
        <v>0</v>
      </c>
      <c r="F953" s="18">
        <f>SUM(Acueducto[[#This Row],[Acueducto]:[Aseo]])</f>
        <v>0</v>
      </c>
    </row>
    <row r="954" spans="1:6" ht="15" x14ac:dyDescent="0.2">
      <c r="A954" s="7">
        <v>198403</v>
      </c>
      <c r="B954" s="3" t="s">
        <v>630</v>
      </c>
      <c r="C954" s="29">
        <f>ROUND(Balances[[#This Row],[Total]]*40%,0)</f>
        <v>0</v>
      </c>
      <c r="D954" s="29">
        <f>ROUND(Balances[[#This Row],[Total]]*20%,0)</f>
        <v>0</v>
      </c>
      <c r="E954" s="29">
        <f>ROUND(Balances[[#This Row],[Total]]*40%,0)</f>
        <v>0</v>
      </c>
      <c r="F954" s="18">
        <f>SUM(Acueducto[[#This Row],[Acueducto]:[Aseo]])</f>
        <v>0</v>
      </c>
    </row>
    <row r="955" spans="1:6" ht="15" x14ac:dyDescent="0.2">
      <c r="A955" s="7">
        <v>198404</v>
      </c>
      <c r="B955" s="3" t="s">
        <v>631</v>
      </c>
      <c r="C955" s="29">
        <f>ROUND(Balances[[#This Row],[Total]]*40%,0)</f>
        <v>0</v>
      </c>
      <c r="D955" s="29">
        <f>ROUND(Balances[[#This Row],[Total]]*20%,0)</f>
        <v>0</v>
      </c>
      <c r="E955" s="29">
        <f>ROUND(Balances[[#This Row],[Total]]*40%,0)</f>
        <v>0</v>
      </c>
      <c r="F955" s="18">
        <f>SUM(Acueducto[[#This Row],[Acueducto]:[Aseo]])</f>
        <v>0</v>
      </c>
    </row>
    <row r="956" spans="1:6" ht="15" x14ac:dyDescent="0.2">
      <c r="A956" s="6">
        <v>1985</v>
      </c>
      <c r="B956" s="2" t="s">
        <v>636</v>
      </c>
      <c r="C956" s="28">
        <f>ROUND(Balances[[#This Row],[Total]]*40%,0)</f>
        <v>0</v>
      </c>
      <c r="D956" s="28">
        <f>ROUND(Balances[[#This Row],[Total]]*20%,0)</f>
        <v>0</v>
      </c>
      <c r="E956" s="28">
        <f>ROUND(Balances[[#This Row],[Total]]*40%,0)</f>
        <v>0</v>
      </c>
      <c r="F956" s="17">
        <f>SUM(Acueducto[[#This Row],[Acueducto]:[Aseo]])</f>
        <v>0</v>
      </c>
    </row>
    <row r="957" spans="1:6" ht="15" x14ac:dyDescent="0.2">
      <c r="A957" s="7">
        <v>198501</v>
      </c>
      <c r="B957" s="3" t="s">
        <v>549</v>
      </c>
      <c r="C957" s="29">
        <f>ROUND(Balances[[#This Row],[Total]]*40%,0)</f>
        <v>0</v>
      </c>
      <c r="D957" s="29">
        <f>ROUND(Balances[[#This Row],[Total]]*20%,0)</f>
        <v>0</v>
      </c>
      <c r="E957" s="29">
        <f>ROUND(Balances[[#This Row],[Total]]*40%,0)</f>
        <v>0</v>
      </c>
      <c r="F957" s="18">
        <f>SUM(Acueducto[[#This Row],[Acueducto]:[Aseo]])</f>
        <v>0</v>
      </c>
    </row>
    <row r="958" spans="1:6" ht="15" x14ac:dyDescent="0.2">
      <c r="A958" s="7">
        <v>198502</v>
      </c>
      <c r="B958" s="3" t="s">
        <v>637</v>
      </c>
      <c r="C958" s="29">
        <f>ROUND(Balances[[#This Row],[Total]]*40%,0)</f>
        <v>0</v>
      </c>
      <c r="D958" s="29">
        <f>ROUND(Balances[[#This Row],[Total]]*20%,0)</f>
        <v>0</v>
      </c>
      <c r="E958" s="29">
        <f>ROUND(Balances[[#This Row],[Total]]*40%,0)</f>
        <v>0</v>
      </c>
      <c r="F958" s="18">
        <f>SUM(Acueducto[[#This Row],[Acueducto]:[Aseo]])</f>
        <v>0</v>
      </c>
    </row>
    <row r="959" spans="1:6" ht="15" x14ac:dyDescent="0.2">
      <c r="A959" s="7">
        <v>198503</v>
      </c>
      <c r="B959" s="3" t="s">
        <v>226</v>
      </c>
      <c r="C959" s="29">
        <f>ROUND(Balances[[#This Row],[Total]]*40%,0)</f>
        <v>0</v>
      </c>
      <c r="D959" s="29">
        <f>ROUND(Balances[[#This Row],[Total]]*20%,0)</f>
        <v>0</v>
      </c>
      <c r="E959" s="29">
        <f>ROUND(Balances[[#This Row],[Total]]*40%,0)</f>
        <v>0</v>
      </c>
      <c r="F959" s="18">
        <f>SUM(Acueducto[[#This Row],[Acueducto]:[Aseo]])</f>
        <v>0</v>
      </c>
    </row>
    <row r="960" spans="1:6" ht="15" x14ac:dyDescent="0.2">
      <c r="A960" s="7">
        <v>198504</v>
      </c>
      <c r="B960" s="3" t="s">
        <v>287</v>
      </c>
      <c r="C960" s="29">
        <f>ROUND(Balances[[#This Row],[Total]]*40%,0)</f>
        <v>0</v>
      </c>
      <c r="D960" s="29">
        <f>ROUND(Balances[[#This Row],[Total]]*20%,0)</f>
        <v>0</v>
      </c>
      <c r="E960" s="29">
        <f>ROUND(Balances[[#This Row],[Total]]*40%,0)</f>
        <v>0</v>
      </c>
      <c r="F960" s="18">
        <f>SUM(Acueducto[[#This Row],[Acueducto]:[Aseo]])</f>
        <v>0</v>
      </c>
    </row>
    <row r="961" spans="1:6" ht="15" x14ac:dyDescent="0.2">
      <c r="A961" s="7">
        <v>198505</v>
      </c>
      <c r="B961" s="3" t="s">
        <v>638</v>
      </c>
      <c r="C961" s="29">
        <f>ROUND(Balances[[#This Row],[Total]]*40%,0)</f>
        <v>0</v>
      </c>
      <c r="D961" s="29">
        <f>ROUND(Balances[[#This Row],[Total]]*20%,0)</f>
        <v>0</v>
      </c>
      <c r="E961" s="29">
        <f>ROUND(Balances[[#This Row],[Total]]*40%,0)</f>
        <v>0</v>
      </c>
      <c r="F961" s="18">
        <f>SUM(Acueducto[[#This Row],[Acueducto]:[Aseo]])</f>
        <v>0</v>
      </c>
    </row>
    <row r="962" spans="1:6" ht="15" x14ac:dyDescent="0.2">
      <c r="A962" s="7">
        <v>198506</v>
      </c>
      <c r="B962" s="3" t="s">
        <v>553</v>
      </c>
      <c r="C962" s="29">
        <f>ROUND(Balances[[#This Row],[Total]]*40%,0)</f>
        <v>0</v>
      </c>
      <c r="D962" s="29">
        <f>ROUND(Balances[[#This Row],[Total]]*20%,0)</f>
        <v>0</v>
      </c>
      <c r="E962" s="29">
        <f>ROUND(Balances[[#This Row],[Total]]*40%,0)</f>
        <v>0</v>
      </c>
      <c r="F962" s="18">
        <f>SUM(Acueducto[[#This Row],[Acueducto]:[Aseo]])</f>
        <v>0</v>
      </c>
    </row>
    <row r="963" spans="1:6" ht="15" x14ac:dyDescent="0.2">
      <c r="A963" s="7">
        <v>198507</v>
      </c>
      <c r="B963" s="3" t="s">
        <v>639</v>
      </c>
      <c r="C963" s="29">
        <f>ROUND(Balances[[#This Row],[Total]]*40%,0)</f>
        <v>0</v>
      </c>
      <c r="D963" s="29">
        <f>ROUND(Balances[[#This Row],[Total]]*20%,0)</f>
        <v>0</v>
      </c>
      <c r="E963" s="29">
        <f>ROUND(Balances[[#This Row],[Total]]*40%,0)</f>
        <v>0</v>
      </c>
      <c r="F963" s="18">
        <f>SUM(Acueducto[[#This Row],[Acueducto]:[Aseo]])</f>
        <v>0</v>
      </c>
    </row>
    <row r="964" spans="1:6" ht="15" x14ac:dyDescent="0.2">
      <c r="A964" s="7">
        <v>198508</v>
      </c>
      <c r="B964" s="3" t="s">
        <v>554</v>
      </c>
      <c r="C964" s="29">
        <f>ROUND(Balances[[#This Row],[Total]]*40%,0)</f>
        <v>0</v>
      </c>
      <c r="D964" s="29">
        <f>ROUND(Balances[[#This Row],[Total]]*20%,0)</f>
        <v>0</v>
      </c>
      <c r="E964" s="29">
        <f>ROUND(Balances[[#This Row],[Total]]*40%,0)</f>
        <v>0</v>
      </c>
      <c r="F964" s="18">
        <f>SUM(Acueducto[[#This Row],[Acueducto]:[Aseo]])</f>
        <v>0</v>
      </c>
    </row>
    <row r="965" spans="1:6" ht="15" x14ac:dyDescent="0.2">
      <c r="A965" s="7">
        <v>198509</v>
      </c>
      <c r="B965" s="3" t="s">
        <v>640</v>
      </c>
      <c r="C965" s="29">
        <f>ROUND(Balances[[#This Row],[Total]]*40%,0)</f>
        <v>0</v>
      </c>
      <c r="D965" s="29">
        <f>ROUND(Balances[[#This Row],[Total]]*20%,0)</f>
        <v>0</v>
      </c>
      <c r="E965" s="29">
        <f>ROUND(Balances[[#This Row],[Total]]*40%,0)</f>
        <v>0</v>
      </c>
      <c r="F965" s="18">
        <f>SUM(Acueducto[[#This Row],[Acueducto]:[Aseo]])</f>
        <v>0</v>
      </c>
    </row>
    <row r="966" spans="1:6" ht="15" x14ac:dyDescent="0.2">
      <c r="A966" s="7">
        <v>198510</v>
      </c>
      <c r="B966" s="3" t="s">
        <v>555</v>
      </c>
      <c r="C966" s="29">
        <f>ROUND(Balances[[#This Row],[Total]]*40%,0)</f>
        <v>0</v>
      </c>
      <c r="D966" s="29">
        <f>ROUND(Balances[[#This Row],[Total]]*20%,0)</f>
        <v>0</v>
      </c>
      <c r="E966" s="29">
        <f>ROUND(Balances[[#This Row],[Total]]*40%,0)</f>
        <v>0</v>
      </c>
      <c r="F966" s="18">
        <f>SUM(Acueducto[[#This Row],[Acueducto]:[Aseo]])</f>
        <v>0</v>
      </c>
    </row>
    <row r="967" spans="1:6" ht="15" x14ac:dyDescent="0.2">
      <c r="A967" s="7">
        <v>198511</v>
      </c>
      <c r="B967" s="3" t="s">
        <v>641</v>
      </c>
      <c r="C967" s="29">
        <f>ROUND(Balances[[#This Row],[Total]]*40%,0)</f>
        <v>0</v>
      </c>
      <c r="D967" s="29">
        <f>ROUND(Balances[[#This Row],[Total]]*20%,0)</f>
        <v>0</v>
      </c>
      <c r="E967" s="29">
        <f>ROUND(Balances[[#This Row],[Total]]*40%,0)</f>
        <v>0</v>
      </c>
      <c r="F967" s="18">
        <f>SUM(Acueducto[[#This Row],[Acueducto]:[Aseo]])</f>
        <v>0</v>
      </c>
    </row>
    <row r="968" spans="1:6" ht="15" x14ac:dyDescent="0.2">
      <c r="A968" s="7">
        <v>198512</v>
      </c>
      <c r="B968" s="3" t="s">
        <v>642</v>
      </c>
      <c r="C968" s="29">
        <f>ROUND(Balances[[#This Row],[Total]]*40%,0)</f>
        <v>0</v>
      </c>
      <c r="D968" s="29">
        <f>ROUND(Balances[[#This Row],[Total]]*20%,0)</f>
        <v>0</v>
      </c>
      <c r="E968" s="29">
        <f>ROUND(Balances[[#This Row],[Total]]*40%,0)</f>
        <v>0</v>
      </c>
      <c r="F968" s="18">
        <f>SUM(Acueducto[[#This Row],[Acueducto]:[Aseo]])</f>
        <v>0</v>
      </c>
    </row>
    <row r="969" spans="1:6" ht="15" x14ac:dyDescent="0.2">
      <c r="A969" s="7">
        <v>198513</v>
      </c>
      <c r="B969" s="3" t="s">
        <v>643</v>
      </c>
      <c r="C969" s="29">
        <f>ROUND(Balances[[#This Row],[Total]]*40%,0)</f>
        <v>0</v>
      </c>
      <c r="D969" s="29">
        <f>ROUND(Balances[[#This Row],[Total]]*20%,0)</f>
        <v>0</v>
      </c>
      <c r="E969" s="29">
        <f>ROUND(Balances[[#This Row],[Total]]*40%,0)</f>
        <v>0</v>
      </c>
      <c r="F969" s="18">
        <f>SUM(Acueducto[[#This Row],[Acueducto]:[Aseo]])</f>
        <v>0</v>
      </c>
    </row>
    <row r="970" spans="1:6" ht="15" x14ac:dyDescent="0.2">
      <c r="A970" s="7">
        <v>198514</v>
      </c>
      <c r="B970" s="3" t="s">
        <v>644</v>
      </c>
      <c r="C970" s="29">
        <f>ROUND(Balances[[#This Row],[Total]]*40%,0)</f>
        <v>0</v>
      </c>
      <c r="D970" s="29">
        <f>ROUND(Balances[[#This Row],[Total]]*20%,0)</f>
        <v>0</v>
      </c>
      <c r="E970" s="29">
        <f>ROUND(Balances[[#This Row],[Total]]*40%,0)</f>
        <v>0</v>
      </c>
      <c r="F970" s="18">
        <f>SUM(Acueducto[[#This Row],[Acueducto]:[Aseo]])</f>
        <v>0</v>
      </c>
    </row>
    <row r="971" spans="1:6" ht="15" x14ac:dyDescent="0.2">
      <c r="A971" s="7">
        <v>198515</v>
      </c>
      <c r="B971" s="3" t="s">
        <v>645</v>
      </c>
      <c r="C971" s="29">
        <f>ROUND(Balances[[#This Row],[Total]]*40%,0)</f>
        <v>0</v>
      </c>
      <c r="D971" s="29">
        <f>ROUND(Balances[[#This Row],[Total]]*20%,0)</f>
        <v>0</v>
      </c>
      <c r="E971" s="29">
        <f>ROUND(Balances[[#This Row],[Total]]*40%,0)</f>
        <v>0</v>
      </c>
      <c r="F971" s="18">
        <f>SUM(Acueducto[[#This Row],[Acueducto]:[Aseo]])</f>
        <v>0</v>
      </c>
    </row>
    <row r="972" spans="1:6" ht="15" x14ac:dyDescent="0.2">
      <c r="A972" s="7">
        <v>198516</v>
      </c>
      <c r="B972" s="3" t="s">
        <v>646</v>
      </c>
      <c r="C972" s="29">
        <f>ROUND(Balances[[#This Row],[Total]]*40%,0)</f>
        <v>0</v>
      </c>
      <c r="D972" s="29">
        <f>ROUND(Balances[[#This Row],[Total]]*20%,0)</f>
        <v>0</v>
      </c>
      <c r="E972" s="29">
        <f>ROUND(Balances[[#This Row],[Total]]*40%,0)</f>
        <v>0</v>
      </c>
      <c r="F972" s="18">
        <f>SUM(Acueducto[[#This Row],[Acueducto]:[Aseo]])</f>
        <v>0</v>
      </c>
    </row>
    <row r="973" spans="1:6" ht="15" x14ac:dyDescent="0.2">
      <c r="A973" s="7">
        <v>198517</v>
      </c>
      <c r="B973" s="3" t="s">
        <v>647</v>
      </c>
      <c r="C973" s="29">
        <f>ROUND(Balances[[#This Row],[Total]]*40%,0)</f>
        <v>0</v>
      </c>
      <c r="D973" s="29">
        <f>ROUND(Balances[[#This Row],[Total]]*20%,0)</f>
        <v>0</v>
      </c>
      <c r="E973" s="29">
        <f>ROUND(Balances[[#This Row],[Total]]*40%,0)</f>
        <v>0</v>
      </c>
      <c r="F973" s="18">
        <f>SUM(Acueducto[[#This Row],[Acueducto]:[Aseo]])</f>
        <v>0</v>
      </c>
    </row>
    <row r="974" spans="1:6" ht="15" x14ac:dyDescent="0.2">
      <c r="A974" s="7">
        <v>198518</v>
      </c>
      <c r="B974" s="3" t="s">
        <v>648</v>
      </c>
      <c r="C974" s="29">
        <f>ROUND(Balances[[#This Row],[Total]]*40%,0)</f>
        <v>0</v>
      </c>
      <c r="D974" s="29">
        <f>ROUND(Balances[[#This Row],[Total]]*20%,0)</f>
        <v>0</v>
      </c>
      <c r="E974" s="29">
        <f>ROUND(Balances[[#This Row],[Total]]*40%,0)</f>
        <v>0</v>
      </c>
      <c r="F974" s="18">
        <f>SUM(Acueducto[[#This Row],[Acueducto]:[Aseo]])</f>
        <v>0</v>
      </c>
    </row>
    <row r="975" spans="1:6" ht="15" x14ac:dyDescent="0.2">
      <c r="A975" s="6">
        <v>1986</v>
      </c>
      <c r="B975" s="2" t="s">
        <v>649</v>
      </c>
      <c r="C975" s="28">
        <f>ROUND(Balances[[#This Row],[Total]]*40%,0)</f>
        <v>0</v>
      </c>
      <c r="D975" s="28">
        <f>ROUND(Balances[[#This Row],[Total]]*20%,0)</f>
        <v>0</v>
      </c>
      <c r="E975" s="28">
        <f>ROUND(Balances[[#This Row],[Total]]*40%,0)</f>
        <v>0</v>
      </c>
      <c r="F975" s="17">
        <f>SUM(Acueducto[[#This Row],[Acueducto]:[Aseo]])</f>
        <v>0</v>
      </c>
    </row>
    <row r="976" spans="1:6" ht="15" x14ac:dyDescent="0.2">
      <c r="A976" s="7">
        <v>198603</v>
      </c>
      <c r="B976" s="3" t="s">
        <v>650</v>
      </c>
      <c r="C976" s="29">
        <f>ROUND(Balances[[#This Row],[Total]]*40%,0)</f>
        <v>0</v>
      </c>
      <c r="D976" s="29">
        <f>ROUND(Balances[[#This Row],[Total]]*20%,0)</f>
        <v>0</v>
      </c>
      <c r="E976" s="29">
        <f>ROUND(Balances[[#This Row],[Total]]*40%,0)</f>
        <v>0</v>
      </c>
      <c r="F976" s="18">
        <f>SUM(Acueducto[[#This Row],[Acueducto]:[Aseo]])</f>
        <v>0</v>
      </c>
    </row>
    <row r="977" spans="1:6" ht="15" x14ac:dyDescent="0.2">
      <c r="A977" s="7">
        <v>198605</v>
      </c>
      <c r="B977" s="3" t="s">
        <v>651</v>
      </c>
      <c r="C977" s="29">
        <f>ROUND(Balances[[#This Row],[Total]]*40%,0)</f>
        <v>0</v>
      </c>
      <c r="D977" s="29">
        <f>ROUND(Balances[[#This Row],[Total]]*20%,0)</f>
        <v>0</v>
      </c>
      <c r="E977" s="29">
        <f>ROUND(Balances[[#This Row],[Total]]*40%,0)</f>
        <v>0</v>
      </c>
      <c r="F977" s="18">
        <f>SUM(Acueducto[[#This Row],[Acueducto]:[Aseo]])</f>
        <v>0</v>
      </c>
    </row>
    <row r="978" spans="1:6" ht="15" x14ac:dyDescent="0.2">
      <c r="A978" s="7">
        <v>198606</v>
      </c>
      <c r="B978" s="3" t="s">
        <v>652</v>
      </c>
      <c r="C978" s="29">
        <f>ROUND(Balances[[#This Row],[Total]]*40%,0)</f>
        <v>0</v>
      </c>
      <c r="D978" s="29">
        <f>ROUND(Balances[[#This Row],[Total]]*20%,0)</f>
        <v>0</v>
      </c>
      <c r="E978" s="29">
        <f>ROUND(Balances[[#This Row],[Total]]*40%,0)</f>
        <v>0</v>
      </c>
      <c r="F978" s="18">
        <f>SUM(Acueducto[[#This Row],[Acueducto]:[Aseo]])</f>
        <v>0</v>
      </c>
    </row>
    <row r="979" spans="1:6" ht="15" x14ac:dyDescent="0.2">
      <c r="A979" s="6">
        <v>1989</v>
      </c>
      <c r="B979" s="2" t="s">
        <v>653</v>
      </c>
      <c r="C979" s="28">
        <f>ROUND(Balances[[#This Row],[Total]]*40%,0)</f>
        <v>0</v>
      </c>
      <c r="D979" s="28">
        <f>ROUND(Balances[[#This Row],[Total]]*20%,0)</f>
        <v>0</v>
      </c>
      <c r="E979" s="28">
        <f>ROUND(Balances[[#This Row],[Total]]*40%,0)</f>
        <v>0</v>
      </c>
      <c r="F979" s="17">
        <f>SUM(Acueducto[[#This Row],[Acueducto]:[Aseo]])</f>
        <v>0</v>
      </c>
    </row>
    <row r="980" spans="1:6" ht="15" x14ac:dyDescent="0.2">
      <c r="A980" s="7">
        <v>198901</v>
      </c>
      <c r="B980" s="4" t="s">
        <v>654</v>
      </c>
      <c r="C980" s="29">
        <f>ROUND(Balances[[#This Row],[Total]]*40%,0)</f>
        <v>0</v>
      </c>
      <c r="D980" s="29">
        <f>ROUND(Balances[[#This Row],[Total]]*20%,0)</f>
        <v>0</v>
      </c>
      <c r="E980" s="29">
        <f>ROUND(Balances[[#This Row],[Total]]*40%,0)</f>
        <v>0</v>
      </c>
      <c r="F980" s="18">
        <f>SUM(Acueducto[[#This Row],[Acueducto]:[Aseo]])</f>
        <v>0</v>
      </c>
    </row>
    <row r="981" spans="1:6" ht="15" x14ac:dyDescent="0.2">
      <c r="A981" s="6">
        <v>1990</v>
      </c>
      <c r="B981" s="15" t="s">
        <v>655</v>
      </c>
      <c r="C981" s="28">
        <f>ROUND(Balances[[#This Row],[Total]]*40%,0)</f>
        <v>0</v>
      </c>
      <c r="D981" s="28">
        <f>ROUND(Balances[[#This Row],[Total]]*20%,0)</f>
        <v>0</v>
      </c>
      <c r="E981" s="28">
        <f>ROUND(Balances[[#This Row],[Total]]*40%,0)</f>
        <v>0</v>
      </c>
      <c r="F981" s="17">
        <f>SUM(Acueducto[[#This Row],[Acueducto]:[Aseo]])</f>
        <v>0</v>
      </c>
    </row>
    <row r="982" spans="1:6" ht="15" x14ac:dyDescent="0.2">
      <c r="A982" s="7">
        <v>199001</v>
      </c>
      <c r="B982" s="3" t="s">
        <v>656</v>
      </c>
      <c r="C982" s="29">
        <f>ROUND(Balances[[#This Row],[Total]]*40%,0)</f>
        <v>0</v>
      </c>
      <c r="D982" s="29">
        <f>ROUND(Balances[[#This Row],[Total]]*20%,0)</f>
        <v>0</v>
      </c>
      <c r="E982" s="29">
        <f>ROUND(Balances[[#This Row],[Total]]*40%,0)</f>
        <v>0</v>
      </c>
      <c r="F982" s="18">
        <f>SUM(Acueducto[[#This Row],[Acueducto]:[Aseo]])</f>
        <v>0</v>
      </c>
    </row>
    <row r="983" spans="1:6" ht="15" x14ac:dyDescent="0.2">
      <c r="A983" s="7">
        <v>199002</v>
      </c>
      <c r="B983" s="3" t="s">
        <v>657</v>
      </c>
      <c r="C983" s="29">
        <f>ROUND(Balances[[#This Row],[Total]]*40%,0)</f>
        <v>0</v>
      </c>
      <c r="D983" s="29">
        <f>ROUND(Balances[[#This Row],[Total]]*20%,0)</f>
        <v>0</v>
      </c>
      <c r="E983" s="29">
        <f>ROUND(Balances[[#This Row],[Total]]*40%,0)</f>
        <v>0</v>
      </c>
      <c r="F983" s="18">
        <f>SUM(Acueducto[[#This Row],[Acueducto]:[Aseo]])</f>
        <v>0</v>
      </c>
    </row>
    <row r="984" spans="1:6" ht="15" x14ac:dyDescent="0.2">
      <c r="A984" s="6">
        <v>2</v>
      </c>
      <c r="B984" s="2" t="s">
        <v>658</v>
      </c>
      <c r="C984" s="28">
        <f>ROUND(Balances[[#This Row],[Total]]*40%,0)</f>
        <v>361981904</v>
      </c>
      <c r="D984" s="28">
        <f>ROUND(Balances[[#This Row],[Total]]*20%,0)</f>
        <v>180990952</v>
      </c>
      <c r="E984" s="28">
        <f>ROUND(Balances[[#This Row],[Total]]*40%,0)</f>
        <v>361981904</v>
      </c>
      <c r="F984" s="28">
        <f>SUM(Acueducto[[#This Row],[Acueducto]:[Aseo]])</f>
        <v>904954760</v>
      </c>
    </row>
    <row r="985" spans="1:6" ht="15" x14ac:dyDescent="0.2">
      <c r="A985" s="6">
        <v>21</v>
      </c>
      <c r="B985" s="2" t="s">
        <v>659</v>
      </c>
      <c r="C985" s="28">
        <f>ROUND(Balances[[#This Row],[Total]]*40%,0)</f>
        <v>0</v>
      </c>
      <c r="D985" s="28">
        <f>ROUND(Balances[[#This Row],[Total]]*20%,0)</f>
        <v>0</v>
      </c>
      <c r="E985" s="28">
        <f>ROUND(Balances[[#This Row],[Total]]*40%,0)</f>
        <v>0</v>
      </c>
      <c r="F985" s="17">
        <f>SUM(Acueducto[[#This Row],[Acueducto]:[Aseo]])</f>
        <v>0</v>
      </c>
    </row>
    <row r="986" spans="1:6" ht="15" x14ac:dyDescent="0.2">
      <c r="A986" s="6">
        <v>2110</v>
      </c>
      <c r="B986" s="2" t="s">
        <v>660</v>
      </c>
      <c r="C986" s="28">
        <f>ROUND(Balances[[#This Row],[Total]]*40%,0)</f>
        <v>0</v>
      </c>
      <c r="D986" s="28">
        <f>ROUND(Balances[[#This Row],[Total]]*20%,0)</f>
        <v>0</v>
      </c>
      <c r="E986" s="28">
        <f>ROUND(Balances[[#This Row],[Total]]*40%,0)</f>
        <v>0</v>
      </c>
      <c r="F986" s="17">
        <f>SUM(Acueducto[[#This Row],[Acueducto]:[Aseo]])</f>
        <v>0</v>
      </c>
    </row>
    <row r="987" spans="1:6" ht="15" x14ac:dyDescent="0.2">
      <c r="A987" s="7">
        <v>211001</v>
      </c>
      <c r="B987" s="3" t="s">
        <v>661</v>
      </c>
      <c r="C987" s="29">
        <f>ROUND(Balances[[#This Row],[Total]]*40%,0)</f>
        <v>0</v>
      </c>
      <c r="D987" s="29">
        <f>ROUND(Balances[[#This Row],[Total]]*20%,0)</f>
        <v>0</v>
      </c>
      <c r="E987" s="29">
        <f>ROUND(Balances[[#This Row],[Total]]*40%,0)</f>
        <v>0</v>
      </c>
      <c r="F987" s="18">
        <f>SUM(Acueducto[[#This Row],[Acueducto]:[Aseo]])</f>
        <v>0</v>
      </c>
    </row>
    <row r="988" spans="1:6" ht="15" x14ac:dyDescent="0.2">
      <c r="A988" s="7">
        <v>211002</v>
      </c>
      <c r="B988" s="3" t="s">
        <v>13</v>
      </c>
      <c r="C988" s="29">
        <f>ROUND(Balances[[#This Row],[Total]]*40%,0)</f>
        <v>0</v>
      </c>
      <c r="D988" s="29">
        <f>ROUND(Balances[[#This Row],[Total]]*20%,0)</f>
        <v>0</v>
      </c>
      <c r="E988" s="29">
        <f>ROUND(Balances[[#This Row],[Total]]*40%,0)</f>
        <v>0</v>
      </c>
      <c r="F988" s="18">
        <f>SUM(Acueducto[[#This Row],[Acueducto]:[Aseo]])</f>
        <v>0</v>
      </c>
    </row>
    <row r="989" spans="1:6" ht="15" x14ac:dyDescent="0.2">
      <c r="A989" s="7">
        <v>211003</v>
      </c>
      <c r="B989" s="3" t="s">
        <v>48</v>
      </c>
      <c r="C989" s="29">
        <f>ROUND(Balances[[#This Row],[Total]]*40%,0)</f>
        <v>0</v>
      </c>
      <c r="D989" s="29">
        <f>ROUND(Balances[[#This Row],[Total]]*20%,0)</f>
        <v>0</v>
      </c>
      <c r="E989" s="29">
        <f>ROUND(Balances[[#This Row],[Total]]*40%,0)</f>
        <v>0</v>
      </c>
      <c r="F989" s="18">
        <f>SUM(Acueducto[[#This Row],[Acueducto]:[Aseo]])</f>
        <v>0</v>
      </c>
    </row>
    <row r="990" spans="1:6" ht="15" x14ac:dyDescent="0.2">
      <c r="A990" s="7">
        <v>211005</v>
      </c>
      <c r="B990" s="3" t="s">
        <v>662</v>
      </c>
      <c r="C990" s="29">
        <f>ROUND(Balances[[#This Row],[Total]]*40%,0)</f>
        <v>0</v>
      </c>
      <c r="D990" s="29">
        <f>ROUND(Balances[[#This Row],[Total]]*20%,0)</f>
        <v>0</v>
      </c>
      <c r="E990" s="29">
        <f>ROUND(Balances[[#This Row],[Total]]*40%,0)</f>
        <v>0</v>
      </c>
      <c r="F990" s="18">
        <f>SUM(Acueducto[[#This Row],[Acueducto]:[Aseo]])</f>
        <v>0</v>
      </c>
    </row>
    <row r="991" spans="1:6" ht="15" x14ac:dyDescent="0.2">
      <c r="A991" s="7">
        <v>211007</v>
      </c>
      <c r="B991" s="3" t="s">
        <v>663</v>
      </c>
      <c r="C991" s="29">
        <f>ROUND(Balances[[#This Row],[Total]]*40%,0)</f>
        <v>0</v>
      </c>
      <c r="D991" s="29">
        <f>ROUND(Balances[[#This Row],[Total]]*20%,0)</f>
        <v>0</v>
      </c>
      <c r="E991" s="29">
        <f>ROUND(Balances[[#This Row],[Total]]*40%,0)</f>
        <v>0</v>
      </c>
      <c r="F991" s="18">
        <f>SUM(Acueducto[[#This Row],[Acueducto]:[Aseo]])</f>
        <v>0</v>
      </c>
    </row>
    <row r="992" spans="1:6" ht="15" x14ac:dyDescent="0.2">
      <c r="A992" s="7">
        <v>211011</v>
      </c>
      <c r="B992" s="3" t="s">
        <v>664</v>
      </c>
      <c r="C992" s="29">
        <f>ROUND(Balances[[#This Row],[Total]]*40%,0)</f>
        <v>0</v>
      </c>
      <c r="D992" s="29">
        <f>ROUND(Balances[[#This Row],[Total]]*20%,0)</f>
        <v>0</v>
      </c>
      <c r="E992" s="29">
        <f>ROUND(Balances[[#This Row],[Total]]*40%,0)</f>
        <v>0</v>
      </c>
      <c r="F992" s="18">
        <f>SUM(Acueducto[[#This Row],[Acueducto]:[Aseo]])</f>
        <v>0</v>
      </c>
    </row>
    <row r="993" spans="1:6" ht="15" x14ac:dyDescent="0.2">
      <c r="A993" s="7">
        <v>211090</v>
      </c>
      <c r="B993" s="3" t="s">
        <v>665</v>
      </c>
      <c r="C993" s="29">
        <f>ROUND(Balances[[#This Row],[Total]]*40%,0)</f>
        <v>0</v>
      </c>
      <c r="D993" s="29">
        <f>ROUND(Balances[[#This Row],[Total]]*20%,0)</f>
        <v>0</v>
      </c>
      <c r="E993" s="29">
        <f>ROUND(Balances[[#This Row],[Total]]*40%,0)</f>
        <v>0</v>
      </c>
      <c r="F993" s="18">
        <f>SUM(Acueducto[[#This Row],[Acueducto]:[Aseo]])</f>
        <v>0</v>
      </c>
    </row>
    <row r="994" spans="1:6" ht="15" x14ac:dyDescent="0.2">
      <c r="A994" s="6">
        <v>22</v>
      </c>
      <c r="B994" s="2" t="s">
        <v>666</v>
      </c>
      <c r="C994" s="28">
        <f>ROUND(Balances[[#This Row],[Total]]*40%,0)</f>
        <v>0</v>
      </c>
      <c r="D994" s="28">
        <f>ROUND(Balances[[#This Row],[Total]]*20%,0)</f>
        <v>0</v>
      </c>
      <c r="E994" s="28">
        <f>ROUND(Balances[[#This Row],[Total]]*40%,0)</f>
        <v>0</v>
      </c>
      <c r="F994" s="17">
        <f>SUM(Acueducto[[#This Row],[Acueducto]:[Aseo]])</f>
        <v>0</v>
      </c>
    </row>
    <row r="995" spans="1:6" ht="15" x14ac:dyDescent="0.2">
      <c r="A995" s="6">
        <v>2222</v>
      </c>
      <c r="B995" s="2" t="s">
        <v>667</v>
      </c>
      <c r="C995" s="28">
        <f>ROUND(Balances[[#This Row],[Total]]*40%,0)</f>
        <v>0</v>
      </c>
      <c r="D995" s="28">
        <f>ROUND(Balances[[#This Row],[Total]]*20%,0)</f>
        <v>0</v>
      </c>
      <c r="E995" s="28">
        <f>ROUND(Balances[[#This Row],[Total]]*40%,0)</f>
        <v>0</v>
      </c>
      <c r="F995" s="17">
        <f>SUM(Acueducto[[#This Row],[Acueducto]:[Aseo]])</f>
        <v>0</v>
      </c>
    </row>
    <row r="996" spans="1:6" ht="15" x14ac:dyDescent="0.2">
      <c r="A996" s="7">
        <v>222201</v>
      </c>
      <c r="B996" s="3" t="s">
        <v>668</v>
      </c>
      <c r="C996" s="29">
        <f>ROUND(Balances[[#This Row],[Total]]*40%,0)</f>
        <v>0</v>
      </c>
      <c r="D996" s="29">
        <f>ROUND(Balances[[#This Row],[Total]]*20%,0)</f>
        <v>0</v>
      </c>
      <c r="E996" s="29">
        <f>ROUND(Balances[[#This Row],[Total]]*40%,0)</f>
        <v>0</v>
      </c>
      <c r="F996" s="18">
        <f>SUM(Acueducto[[#This Row],[Acueducto]:[Aseo]])</f>
        <v>0</v>
      </c>
    </row>
    <row r="997" spans="1:6" ht="15" x14ac:dyDescent="0.2">
      <c r="A997" s="6">
        <v>2223</v>
      </c>
      <c r="B997" s="2" t="s">
        <v>669</v>
      </c>
      <c r="C997" s="28">
        <f>ROUND(Balances[[#This Row],[Total]]*40%,0)</f>
        <v>0</v>
      </c>
      <c r="D997" s="28">
        <f>ROUND(Balances[[#This Row],[Total]]*20%,0)</f>
        <v>0</v>
      </c>
      <c r="E997" s="28">
        <f>ROUND(Balances[[#This Row],[Total]]*40%,0)</f>
        <v>0</v>
      </c>
      <c r="F997" s="17">
        <f>SUM(Acueducto[[#This Row],[Acueducto]:[Aseo]])</f>
        <v>0</v>
      </c>
    </row>
    <row r="998" spans="1:6" ht="15" x14ac:dyDescent="0.2">
      <c r="A998" s="7">
        <v>222390</v>
      </c>
      <c r="B998" s="3" t="s">
        <v>670</v>
      </c>
      <c r="C998" s="29">
        <f>ROUND(Balances[[#This Row],[Total]]*40%,0)</f>
        <v>0</v>
      </c>
      <c r="D998" s="29">
        <f>ROUND(Balances[[#This Row],[Total]]*20%,0)</f>
        <v>0</v>
      </c>
      <c r="E998" s="29">
        <f>ROUND(Balances[[#This Row],[Total]]*40%,0)</f>
        <v>0</v>
      </c>
      <c r="F998" s="18">
        <f>SUM(Acueducto[[#This Row],[Acueducto]:[Aseo]])</f>
        <v>0</v>
      </c>
    </row>
    <row r="999" spans="1:6" ht="15" x14ac:dyDescent="0.2">
      <c r="A999" s="6">
        <v>2224</v>
      </c>
      <c r="B999" s="2" t="s">
        <v>671</v>
      </c>
      <c r="C999" s="28">
        <f>ROUND(Balances[[#This Row],[Total]]*40%,0)</f>
        <v>0</v>
      </c>
      <c r="D999" s="28">
        <f>ROUND(Balances[[#This Row],[Total]]*20%,0)</f>
        <v>0</v>
      </c>
      <c r="E999" s="28">
        <f>ROUND(Balances[[#This Row],[Total]]*40%,0)</f>
        <v>0</v>
      </c>
      <c r="F999" s="17">
        <f>SUM(Acueducto[[#This Row],[Acueducto]:[Aseo]])</f>
        <v>0</v>
      </c>
    </row>
    <row r="1000" spans="1:6" ht="15" x14ac:dyDescent="0.2">
      <c r="A1000" s="7">
        <v>222401</v>
      </c>
      <c r="B1000" s="3" t="s">
        <v>668</v>
      </c>
      <c r="C1000" s="29">
        <f>ROUND(Balances[[#This Row],[Total]]*40%,0)</f>
        <v>0</v>
      </c>
      <c r="D1000" s="29">
        <f>ROUND(Balances[[#This Row],[Total]]*20%,0)</f>
        <v>0</v>
      </c>
      <c r="E1000" s="29">
        <f>ROUND(Balances[[#This Row],[Total]]*40%,0)</f>
        <v>0</v>
      </c>
      <c r="F1000" s="18">
        <f>SUM(Acueducto[[#This Row],[Acueducto]:[Aseo]])</f>
        <v>0</v>
      </c>
    </row>
    <row r="1001" spans="1:6" ht="15" x14ac:dyDescent="0.2">
      <c r="A1001" s="6">
        <v>2225</v>
      </c>
      <c r="B1001" s="2" t="s">
        <v>672</v>
      </c>
      <c r="C1001" s="28">
        <f>ROUND(Balances[[#This Row],[Total]]*40%,0)</f>
        <v>0</v>
      </c>
      <c r="D1001" s="28">
        <f>ROUND(Balances[[#This Row],[Total]]*20%,0)</f>
        <v>0</v>
      </c>
      <c r="E1001" s="28">
        <f>ROUND(Balances[[#This Row],[Total]]*40%,0)</f>
        <v>0</v>
      </c>
      <c r="F1001" s="17">
        <f>SUM(Acueducto[[#This Row],[Acueducto]:[Aseo]])</f>
        <v>0</v>
      </c>
    </row>
    <row r="1002" spans="1:6" ht="15" x14ac:dyDescent="0.2">
      <c r="A1002" s="7">
        <v>222590</v>
      </c>
      <c r="B1002" s="3" t="s">
        <v>670</v>
      </c>
      <c r="C1002" s="29">
        <f>ROUND(Balances[[#This Row],[Total]]*40%,0)</f>
        <v>0</v>
      </c>
      <c r="D1002" s="29">
        <f>ROUND(Balances[[#This Row],[Total]]*20%,0)</f>
        <v>0</v>
      </c>
      <c r="E1002" s="29">
        <f>ROUND(Balances[[#This Row],[Total]]*40%,0)</f>
        <v>0</v>
      </c>
      <c r="F1002" s="18">
        <f>SUM(Acueducto[[#This Row],[Acueducto]:[Aseo]])</f>
        <v>0</v>
      </c>
    </row>
    <row r="1003" spans="1:6" ht="15" x14ac:dyDescent="0.2">
      <c r="A1003" s="6">
        <v>23</v>
      </c>
      <c r="B1003" s="2" t="s">
        <v>673</v>
      </c>
      <c r="C1003" s="28">
        <f>ROUND(Balances[[#This Row],[Total]]*40%,0)</f>
        <v>0</v>
      </c>
      <c r="D1003" s="28">
        <f>ROUND(Balances[[#This Row],[Total]]*20%,0)</f>
        <v>0</v>
      </c>
      <c r="E1003" s="28">
        <f>ROUND(Balances[[#This Row],[Total]]*40%,0)</f>
        <v>0</v>
      </c>
      <c r="F1003" s="17">
        <f>SUM(Acueducto[[#This Row],[Acueducto]:[Aseo]])</f>
        <v>0</v>
      </c>
    </row>
    <row r="1004" spans="1:6" ht="15" x14ac:dyDescent="0.2">
      <c r="A1004" s="6">
        <v>2313</v>
      </c>
      <c r="B1004" s="2" t="s">
        <v>667</v>
      </c>
      <c r="C1004" s="28">
        <f>ROUND(Balances[[#This Row],[Total]]*40%,0)</f>
        <v>0</v>
      </c>
      <c r="D1004" s="28">
        <f>ROUND(Balances[[#This Row],[Total]]*20%,0)</f>
        <v>0</v>
      </c>
      <c r="E1004" s="28">
        <f>ROUND(Balances[[#This Row],[Total]]*40%,0)</f>
        <v>0</v>
      </c>
      <c r="F1004" s="17">
        <f>SUM(Acueducto[[#This Row],[Acueducto]:[Aseo]])</f>
        <v>0</v>
      </c>
    </row>
    <row r="1005" spans="1:6" ht="15" x14ac:dyDescent="0.2">
      <c r="A1005" s="7">
        <v>231301</v>
      </c>
      <c r="B1005" s="3" t="s">
        <v>674</v>
      </c>
      <c r="C1005" s="29">
        <f>ROUND(Balances[[#This Row],[Total]]*40%,0)</f>
        <v>0</v>
      </c>
      <c r="D1005" s="29">
        <f>ROUND(Balances[[#This Row],[Total]]*20%,0)</f>
        <v>0</v>
      </c>
      <c r="E1005" s="29">
        <f>ROUND(Balances[[#This Row],[Total]]*40%,0)</f>
        <v>0</v>
      </c>
      <c r="F1005" s="18">
        <f>SUM(Acueducto[[#This Row],[Acueducto]:[Aseo]])</f>
        <v>0</v>
      </c>
    </row>
    <row r="1006" spans="1:6" ht="15" x14ac:dyDescent="0.2">
      <c r="A1006" s="7">
        <v>231302</v>
      </c>
      <c r="B1006" s="3" t="s">
        <v>675</v>
      </c>
      <c r="C1006" s="29">
        <f>ROUND(Balances[[#This Row],[Total]]*40%,0)</f>
        <v>0</v>
      </c>
      <c r="D1006" s="29">
        <f>ROUND(Balances[[#This Row],[Total]]*20%,0)</f>
        <v>0</v>
      </c>
      <c r="E1006" s="29">
        <f>ROUND(Balances[[#This Row],[Total]]*40%,0)</f>
        <v>0</v>
      </c>
      <c r="F1006" s="18">
        <f>SUM(Acueducto[[#This Row],[Acueducto]:[Aseo]])</f>
        <v>0</v>
      </c>
    </row>
    <row r="1007" spans="1:6" ht="15" x14ac:dyDescent="0.2">
      <c r="A1007" s="7">
        <v>231303</v>
      </c>
      <c r="B1007" s="3" t="s">
        <v>676</v>
      </c>
      <c r="C1007" s="29">
        <f>ROUND(Balances[[#This Row],[Total]]*40%,0)</f>
        <v>0</v>
      </c>
      <c r="D1007" s="29">
        <f>ROUND(Balances[[#This Row],[Total]]*20%,0)</f>
        <v>0</v>
      </c>
      <c r="E1007" s="29">
        <f>ROUND(Balances[[#This Row],[Total]]*40%,0)</f>
        <v>0</v>
      </c>
      <c r="F1007" s="18">
        <f>SUM(Acueducto[[#This Row],[Acueducto]:[Aseo]])</f>
        <v>0</v>
      </c>
    </row>
    <row r="1008" spans="1:6" ht="15" x14ac:dyDescent="0.2">
      <c r="A1008" s="7">
        <v>231304</v>
      </c>
      <c r="B1008" s="3" t="s">
        <v>677</v>
      </c>
      <c r="C1008" s="29">
        <f>ROUND(Balances[[#This Row],[Total]]*40%,0)</f>
        <v>0</v>
      </c>
      <c r="D1008" s="29">
        <f>ROUND(Balances[[#This Row],[Total]]*20%,0)</f>
        <v>0</v>
      </c>
      <c r="E1008" s="29">
        <f>ROUND(Balances[[#This Row],[Total]]*40%,0)</f>
        <v>0</v>
      </c>
      <c r="F1008" s="18">
        <f>SUM(Acueducto[[#This Row],[Acueducto]:[Aseo]])</f>
        <v>0</v>
      </c>
    </row>
    <row r="1009" spans="1:6" ht="15" x14ac:dyDescent="0.2">
      <c r="A1009" s="7">
        <v>231307</v>
      </c>
      <c r="B1009" s="3" t="s">
        <v>678</v>
      </c>
      <c r="C1009" s="29">
        <f>ROUND(Balances[[#This Row],[Total]]*40%,0)</f>
        <v>0</v>
      </c>
      <c r="D1009" s="29">
        <f>ROUND(Balances[[#This Row],[Total]]*20%,0)</f>
        <v>0</v>
      </c>
      <c r="E1009" s="29">
        <f>ROUND(Balances[[#This Row],[Total]]*40%,0)</f>
        <v>0</v>
      </c>
      <c r="F1009" s="18">
        <f>SUM(Acueducto[[#This Row],[Acueducto]:[Aseo]])</f>
        <v>0</v>
      </c>
    </row>
    <row r="1010" spans="1:6" ht="15" x14ac:dyDescent="0.2">
      <c r="A1010" s="7">
        <v>231309</v>
      </c>
      <c r="B1010" s="3" t="s">
        <v>679</v>
      </c>
      <c r="C1010" s="29">
        <f>ROUND(Balances[[#This Row],[Total]]*40%,0)</f>
        <v>0</v>
      </c>
      <c r="D1010" s="29">
        <f>ROUND(Balances[[#This Row],[Total]]*20%,0)</f>
        <v>0</v>
      </c>
      <c r="E1010" s="29">
        <f>ROUND(Balances[[#This Row],[Total]]*40%,0)</f>
        <v>0</v>
      </c>
      <c r="F1010" s="18">
        <f>SUM(Acueducto[[#This Row],[Acueducto]:[Aseo]])</f>
        <v>0</v>
      </c>
    </row>
    <row r="1011" spans="1:6" ht="15" x14ac:dyDescent="0.2">
      <c r="A1011" s="7">
        <v>231310</v>
      </c>
      <c r="B1011" s="3" t="s">
        <v>680</v>
      </c>
      <c r="C1011" s="29">
        <f>ROUND(Balances[[#This Row],[Total]]*40%,0)</f>
        <v>0</v>
      </c>
      <c r="D1011" s="29">
        <f>ROUND(Balances[[#This Row],[Total]]*20%,0)</f>
        <v>0</v>
      </c>
      <c r="E1011" s="29">
        <f>ROUND(Balances[[#This Row],[Total]]*40%,0)</f>
        <v>0</v>
      </c>
      <c r="F1011" s="18">
        <f>SUM(Acueducto[[#This Row],[Acueducto]:[Aseo]])</f>
        <v>0</v>
      </c>
    </row>
    <row r="1012" spans="1:6" ht="15" x14ac:dyDescent="0.2">
      <c r="A1012" s="7">
        <v>231311</v>
      </c>
      <c r="B1012" s="3" t="s">
        <v>681</v>
      </c>
      <c r="C1012" s="29">
        <f>ROUND(Balances[[#This Row],[Total]]*40%,0)</f>
        <v>0</v>
      </c>
      <c r="D1012" s="29">
        <f>ROUND(Balances[[#This Row],[Total]]*20%,0)</f>
        <v>0</v>
      </c>
      <c r="E1012" s="29">
        <f>ROUND(Balances[[#This Row],[Total]]*40%,0)</f>
        <v>0</v>
      </c>
      <c r="F1012" s="18">
        <f>SUM(Acueducto[[#This Row],[Acueducto]:[Aseo]])</f>
        <v>0</v>
      </c>
    </row>
    <row r="1013" spans="1:6" ht="15" x14ac:dyDescent="0.2">
      <c r="A1013" s="7">
        <v>231312</v>
      </c>
      <c r="B1013" s="3" t="s">
        <v>682</v>
      </c>
      <c r="C1013" s="29">
        <f>ROUND(Balances[[#This Row],[Total]]*40%,0)</f>
        <v>0</v>
      </c>
      <c r="D1013" s="29">
        <f>ROUND(Balances[[#This Row],[Total]]*20%,0)</f>
        <v>0</v>
      </c>
      <c r="E1013" s="29">
        <f>ROUND(Balances[[#This Row],[Total]]*40%,0)</f>
        <v>0</v>
      </c>
      <c r="F1013" s="18">
        <f>SUM(Acueducto[[#This Row],[Acueducto]:[Aseo]])</f>
        <v>0</v>
      </c>
    </row>
    <row r="1014" spans="1:6" ht="15" x14ac:dyDescent="0.2">
      <c r="A1014" s="7">
        <v>231313</v>
      </c>
      <c r="B1014" s="3" t="s">
        <v>683</v>
      </c>
      <c r="C1014" s="29">
        <f>ROUND(Balances[[#This Row],[Total]]*40%,0)</f>
        <v>0</v>
      </c>
      <c r="D1014" s="29">
        <f>ROUND(Balances[[#This Row],[Total]]*20%,0)</f>
        <v>0</v>
      </c>
      <c r="E1014" s="29">
        <f>ROUND(Balances[[#This Row],[Total]]*40%,0)</f>
        <v>0</v>
      </c>
      <c r="F1014" s="18">
        <f>SUM(Acueducto[[#This Row],[Acueducto]:[Aseo]])</f>
        <v>0</v>
      </c>
    </row>
    <row r="1015" spans="1:6" ht="15" x14ac:dyDescent="0.2">
      <c r="A1015" s="7">
        <v>231314</v>
      </c>
      <c r="B1015" s="3" t="s">
        <v>684</v>
      </c>
      <c r="C1015" s="29">
        <f>ROUND(Balances[[#This Row],[Total]]*40%,0)</f>
        <v>0</v>
      </c>
      <c r="D1015" s="29">
        <f>ROUND(Balances[[#This Row],[Total]]*20%,0)</f>
        <v>0</v>
      </c>
      <c r="E1015" s="29">
        <f>ROUND(Balances[[#This Row],[Total]]*40%,0)</f>
        <v>0</v>
      </c>
      <c r="F1015" s="18">
        <f>SUM(Acueducto[[#This Row],[Acueducto]:[Aseo]])</f>
        <v>0</v>
      </c>
    </row>
    <row r="1016" spans="1:6" ht="15" x14ac:dyDescent="0.2">
      <c r="A1016" s="7">
        <v>231315</v>
      </c>
      <c r="B1016" s="3" t="s">
        <v>283</v>
      </c>
      <c r="C1016" s="29">
        <f>ROUND(Balances[[#This Row],[Total]]*40%,0)</f>
        <v>0</v>
      </c>
      <c r="D1016" s="29">
        <f>ROUND(Balances[[#This Row],[Total]]*20%,0)</f>
        <v>0</v>
      </c>
      <c r="E1016" s="29">
        <f>ROUND(Balances[[#This Row],[Total]]*40%,0)</f>
        <v>0</v>
      </c>
      <c r="F1016" s="18">
        <f>SUM(Acueducto[[#This Row],[Acueducto]:[Aseo]])</f>
        <v>0</v>
      </c>
    </row>
    <row r="1017" spans="1:6" ht="15" x14ac:dyDescent="0.2">
      <c r="A1017" s="7">
        <v>231316</v>
      </c>
      <c r="B1017" s="3" t="s">
        <v>685</v>
      </c>
      <c r="C1017" s="29">
        <f>ROUND(Balances[[#This Row],[Total]]*40%,0)</f>
        <v>0</v>
      </c>
      <c r="D1017" s="29">
        <f>ROUND(Balances[[#This Row],[Total]]*20%,0)</f>
        <v>0</v>
      </c>
      <c r="E1017" s="29">
        <f>ROUND(Balances[[#This Row],[Total]]*40%,0)</f>
        <v>0</v>
      </c>
      <c r="F1017" s="18">
        <f>SUM(Acueducto[[#This Row],[Acueducto]:[Aseo]])</f>
        <v>0</v>
      </c>
    </row>
    <row r="1018" spans="1:6" ht="15" x14ac:dyDescent="0.2">
      <c r="A1018" s="7">
        <v>231317</v>
      </c>
      <c r="B1018" s="3" t="s">
        <v>686</v>
      </c>
      <c r="C1018" s="29">
        <f>ROUND(Balances[[#This Row],[Total]]*40%,0)</f>
        <v>0</v>
      </c>
      <c r="D1018" s="29">
        <f>ROUND(Balances[[#This Row],[Total]]*20%,0)</f>
        <v>0</v>
      </c>
      <c r="E1018" s="29">
        <f>ROUND(Balances[[#This Row],[Total]]*40%,0)</f>
        <v>0</v>
      </c>
      <c r="F1018" s="18">
        <f>SUM(Acueducto[[#This Row],[Acueducto]:[Aseo]])</f>
        <v>0</v>
      </c>
    </row>
    <row r="1019" spans="1:6" ht="15" x14ac:dyDescent="0.2">
      <c r="A1019" s="7">
        <v>231390</v>
      </c>
      <c r="B1019" s="3" t="s">
        <v>687</v>
      </c>
      <c r="C1019" s="29">
        <f>ROUND(Balances[[#This Row],[Total]]*40%,0)</f>
        <v>0</v>
      </c>
      <c r="D1019" s="29">
        <f>ROUND(Balances[[#This Row],[Total]]*20%,0)</f>
        <v>0</v>
      </c>
      <c r="E1019" s="29">
        <f>ROUND(Balances[[#This Row],[Total]]*40%,0)</f>
        <v>0</v>
      </c>
      <c r="F1019" s="18">
        <f>SUM(Acueducto[[#This Row],[Acueducto]:[Aseo]])</f>
        <v>0</v>
      </c>
    </row>
    <row r="1020" spans="1:6" ht="15" x14ac:dyDescent="0.2">
      <c r="A1020" s="6">
        <v>2314</v>
      </c>
      <c r="B1020" s="2" t="s">
        <v>669</v>
      </c>
      <c r="C1020" s="28">
        <f>ROUND(Balances[[#This Row],[Total]]*40%,0)</f>
        <v>0</v>
      </c>
      <c r="D1020" s="28">
        <f>ROUND(Balances[[#This Row],[Total]]*20%,0)</f>
        <v>0</v>
      </c>
      <c r="E1020" s="28">
        <f>ROUND(Balances[[#This Row],[Total]]*40%,0)</f>
        <v>0</v>
      </c>
      <c r="F1020" s="17">
        <f>SUM(Acueducto[[#This Row],[Acueducto]:[Aseo]])</f>
        <v>0</v>
      </c>
    </row>
    <row r="1021" spans="1:6" ht="15" x14ac:dyDescent="0.2">
      <c r="A1021" s="7">
        <v>231401</v>
      </c>
      <c r="B1021" s="3" t="s">
        <v>674</v>
      </c>
      <c r="C1021" s="29">
        <f>ROUND(Balances[[#This Row],[Total]]*40%,0)</f>
        <v>0</v>
      </c>
      <c r="D1021" s="29">
        <f>ROUND(Balances[[#This Row],[Total]]*20%,0)</f>
        <v>0</v>
      </c>
      <c r="E1021" s="29">
        <f>ROUND(Balances[[#This Row],[Total]]*40%,0)</f>
        <v>0</v>
      </c>
      <c r="F1021" s="18">
        <f>SUM(Acueducto[[#This Row],[Acueducto]:[Aseo]])</f>
        <v>0</v>
      </c>
    </row>
    <row r="1022" spans="1:6" ht="15" x14ac:dyDescent="0.2">
      <c r="A1022" s="7">
        <v>231402</v>
      </c>
      <c r="B1022" s="3" t="s">
        <v>675</v>
      </c>
      <c r="C1022" s="29">
        <f>ROUND(Balances[[#This Row],[Total]]*40%,0)</f>
        <v>0</v>
      </c>
      <c r="D1022" s="29">
        <f>ROUND(Balances[[#This Row],[Total]]*20%,0)</f>
        <v>0</v>
      </c>
      <c r="E1022" s="29">
        <f>ROUND(Balances[[#This Row],[Total]]*40%,0)</f>
        <v>0</v>
      </c>
      <c r="F1022" s="18">
        <f>SUM(Acueducto[[#This Row],[Acueducto]:[Aseo]])</f>
        <v>0</v>
      </c>
    </row>
    <row r="1023" spans="1:6" ht="15" x14ac:dyDescent="0.2">
      <c r="A1023" s="7">
        <v>231403</v>
      </c>
      <c r="B1023" s="3" t="s">
        <v>676</v>
      </c>
      <c r="C1023" s="29">
        <f>ROUND(Balances[[#This Row],[Total]]*40%,0)</f>
        <v>0</v>
      </c>
      <c r="D1023" s="29">
        <f>ROUND(Balances[[#This Row],[Total]]*20%,0)</f>
        <v>0</v>
      </c>
      <c r="E1023" s="29">
        <f>ROUND(Balances[[#This Row],[Total]]*40%,0)</f>
        <v>0</v>
      </c>
      <c r="F1023" s="18">
        <f>SUM(Acueducto[[#This Row],[Acueducto]:[Aseo]])</f>
        <v>0</v>
      </c>
    </row>
    <row r="1024" spans="1:6" ht="15" x14ac:dyDescent="0.2">
      <c r="A1024" s="7">
        <v>231405</v>
      </c>
      <c r="B1024" s="3" t="s">
        <v>680</v>
      </c>
      <c r="C1024" s="29">
        <f>ROUND(Balances[[#This Row],[Total]]*40%,0)</f>
        <v>0</v>
      </c>
      <c r="D1024" s="29">
        <f>ROUND(Balances[[#This Row],[Total]]*20%,0)</f>
        <v>0</v>
      </c>
      <c r="E1024" s="29">
        <f>ROUND(Balances[[#This Row],[Total]]*40%,0)</f>
        <v>0</v>
      </c>
      <c r="F1024" s="18">
        <f>SUM(Acueducto[[#This Row],[Acueducto]:[Aseo]])</f>
        <v>0</v>
      </c>
    </row>
    <row r="1025" spans="1:6" ht="15" x14ac:dyDescent="0.2">
      <c r="A1025" s="7">
        <v>231406</v>
      </c>
      <c r="B1025" s="3" t="s">
        <v>681</v>
      </c>
      <c r="C1025" s="29">
        <f>ROUND(Balances[[#This Row],[Total]]*40%,0)</f>
        <v>0</v>
      </c>
      <c r="D1025" s="29">
        <f>ROUND(Balances[[#This Row],[Total]]*20%,0)</f>
        <v>0</v>
      </c>
      <c r="E1025" s="29">
        <f>ROUND(Balances[[#This Row],[Total]]*40%,0)</f>
        <v>0</v>
      </c>
      <c r="F1025" s="18">
        <f>SUM(Acueducto[[#This Row],[Acueducto]:[Aseo]])</f>
        <v>0</v>
      </c>
    </row>
    <row r="1026" spans="1:6" ht="15" x14ac:dyDescent="0.2">
      <c r="A1026" s="7">
        <v>231407</v>
      </c>
      <c r="B1026" s="3" t="s">
        <v>682</v>
      </c>
      <c r="C1026" s="29">
        <f>ROUND(Balances[[#This Row],[Total]]*40%,0)</f>
        <v>0</v>
      </c>
      <c r="D1026" s="29">
        <f>ROUND(Balances[[#This Row],[Total]]*20%,0)</f>
        <v>0</v>
      </c>
      <c r="E1026" s="29">
        <f>ROUND(Balances[[#This Row],[Total]]*40%,0)</f>
        <v>0</v>
      </c>
      <c r="F1026" s="18">
        <f>SUM(Acueducto[[#This Row],[Acueducto]:[Aseo]])</f>
        <v>0</v>
      </c>
    </row>
    <row r="1027" spans="1:6" ht="15" x14ac:dyDescent="0.2">
      <c r="A1027" s="7">
        <v>231408</v>
      </c>
      <c r="B1027" s="3" t="s">
        <v>683</v>
      </c>
      <c r="C1027" s="29">
        <f>ROUND(Balances[[#This Row],[Total]]*40%,0)</f>
        <v>0</v>
      </c>
      <c r="D1027" s="29">
        <f>ROUND(Balances[[#This Row],[Total]]*20%,0)</f>
        <v>0</v>
      </c>
      <c r="E1027" s="29">
        <f>ROUND(Balances[[#This Row],[Total]]*40%,0)</f>
        <v>0</v>
      </c>
      <c r="F1027" s="18">
        <f>SUM(Acueducto[[#This Row],[Acueducto]:[Aseo]])</f>
        <v>0</v>
      </c>
    </row>
    <row r="1028" spans="1:6" ht="15" x14ac:dyDescent="0.2">
      <c r="A1028" s="7">
        <v>231409</v>
      </c>
      <c r="B1028" s="3" t="s">
        <v>684</v>
      </c>
      <c r="C1028" s="29">
        <f>ROUND(Balances[[#This Row],[Total]]*40%,0)</f>
        <v>0</v>
      </c>
      <c r="D1028" s="29">
        <f>ROUND(Balances[[#This Row],[Total]]*20%,0)</f>
        <v>0</v>
      </c>
      <c r="E1028" s="29">
        <f>ROUND(Balances[[#This Row],[Total]]*40%,0)</f>
        <v>0</v>
      </c>
      <c r="F1028" s="18">
        <f>SUM(Acueducto[[#This Row],[Acueducto]:[Aseo]])</f>
        <v>0</v>
      </c>
    </row>
    <row r="1029" spans="1:6" ht="15" x14ac:dyDescent="0.2">
      <c r="A1029" s="7">
        <v>231410</v>
      </c>
      <c r="B1029" s="3" t="s">
        <v>283</v>
      </c>
      <c r="C1029" s="29">
        <f>ROUND(Balances[[#This Row],[Total]]*40%,0)</f>
        <v>0</v>
      </c>
      <c r="D1029" s="29">
        <f>ROUND(Balances[[#This Row],[Total]]*20%,0)</f>
        <v>0</v>
      </c>
      <c r="E1029" s="29">
        <f>ROUND(Balances[[#This Row],[Total]]*40%,0)</f>
        <v>0</v>
      </c>
      <c r="F1029" s="18">
        <f>SUM(Acueducto[[#This Row],[Acueducto]:[Aseo]])</f>
        <v>0</v>
      </c>
    </row>
    <row r="1030" spans="1:6" ht="15" x14ac:dyDescent="0.2">
      <c r="A1030" s="7">
        <v>231411</v>
      </c>
      <c r="B1030" s="3" t="s">
        <v>685</v>
      </c>
      <c r="C1030" s="29">
        <f>ROUND(Balances[[#This Row],[Total]]*40%,0)</f>
        <v>0</v>
      </c>
      <c r="D1030" s="29">
        <f>ROUND(Balances[[#This Row],[Total]]*20%,0)</f>
        <v>0</v>
      </c>
      <c r="E1030" s="29">
        <f>ROUND(Balances[[#This Row],[Total]]*40%,0)</f>
        <v>0</v>
      </c>
      <c r="F1030" s="18">
        <f>SUM(Acueducto[[#This Row],[Acueducto]:[Aseo]])</f>
        <v>0</v>
      </c>
    </row>
    <row r="1031" spans="1:6" ht="15" x14ac:dyDescent="0.2">
      <c r="A1031" s="7">
        <v>231412</v>
      </c>
      <c r="B1031" s="3" t="s">
        <v>686</v>
      </c>
      <c r="C1031" s="29">
        <f>ROUND(Balances[[#This Row],[Total]]*40%,0)</f>
        <v>0</v>
      </c>
      <c r="D1031" s="29">
        <f>ROUND(Balances[[#This Row],[Total]]*20%,0)</f>
        <v>0</v>
      </c>
      <c r="E1031" s="29">
        <f>ROUND(Balances[[#This Row],[Total]]*40%,0)</f>
        <v>0</v>
      </c>
      <c r="F1031" s="18">
        <f>SUM(Acueducto[[#This Row],[Acueducto]:[Aseo]])</f>
        <v>0</v>
      </c>
    </row>
    <row r="1032" spans="1:6" ht="15" x14ac:dyDescent="0.2">
      <c r="A1032" s="7">
        <v>231413</v>
      </c>
      <c r="B1032" s="3" t="s">
        <v>688</v>
      </c>
      <c r="C1032" s="29">
        <f>ROUND(Balances[[#This Row],[Total]]*40%,0)</f>
        <v>0</v>
      </c>
      <c r="D1032" s="29">
        <f>ROUND(Balances[[#This Row],[Total]]*20%,0)</f>
        <v>0</v>
      </c>
      <c r="E1032" s="29">
        <f>ROUND(Balances[[#This Row],[Total]]*40%,0)</f>
        <v>0</v>
      </c>
      <c r="F1032" s="18">
        <f>SUM(Acueducto[[#This Row],[Acueducto]:[Aseo]])</f>
        <v>0</v>
      </c>
    </row>
    <row r="1033" spans="1:6" ht="15" x14ac:dyDescent="0.2">
      <c r="A1033" s="7">
        <v>231414</v>
      </c>
      <c r="B1033" s="3" t="s">
        <v>689</v>
      </c>
      <c r="C1033" s="29">
        <f>ROUND(Balances[[#This Row],[Total]]*40%,0)</f>
        <v>0</v>
      </c>
      <c r="D1033" s="29">
        <f>ROUND(Balances[[#This Row],[Total]]*20%,0)</f>
        <v>0</v>
      </c>
      <c r="E1033" s="29">
        <f>ROUND(Balances[[#This Row],[Total]]*40%,0)</f>
        <v>0</v>
      </c>
      <c r="F1033" s="18">
        <f>SUM(Acueducto[[#This Row],[Acueducto]:[Aseo]])</f>
        <v>0</v>
      </c>
    </row>
    <row r="1034" spans="1:6" ht="15" x14ac:dyDescent="0.2">
      <c r="A1034" s="7">
        <v>231490</v>
      </c>
      <c r="B1034" s="3" t="s">
        <v>687</v>
      </c>
      <c r="C1034" s="29">
        <f>ROUND(Balances[[#This Row],[Total]]*40%,0)</f>
        <v>0</v>
      </c>
      <c r="D1034" s="29">
        <f>ROUND(Balances[[#This Row],[Total]]*20%,0)</f>
        <v>0</v>
      </c>
      <c r="E1034" s="29">
        <f>ROUND(Balances[[#This Row],[Total]]*40%,0)</f>
        <v>0</v>
      </c>
      <c r="F1034" s="18">
        <f>SUM(Acueducto[[#This Row],[Acueducto]:[Aseo]])</f>
        <v>0</v>
      </c>
    </row>
    <row r="1035" spans="1:6" ht="15" x14ac:dyDescent="0.2">
      <c r="A1035" s="6">
        <v>2316</v>
      </c>
      <c r="B1035" s="2" t="s">
        <v>671</v>
      </c>
      <c r="C1035" s="28">
        <f>ROUND(Balances[[#This Row],[Total]]*40%,0)</f>
        <v>0</v>
      </c>
      <c r="D1035" s="28">
        <f>ROUND(Balances[[#This Row],[Total]]*20%,0)</f>
        <v>0</v>
      </c>
      <c r="E1035" s="28">
        <f>ROUND(Balances[[#This Row],[Total]]*40%,0)</f>
        <v>0</v>
      </c>
      <c r="F1035" s="17">
        <f>SUM(Acueducto[[#This Row],[Acueducto]:[Aseo]])</f>
        <v>0</v>
      </c>
    </row>
    <row r="1036" spans="1:6" ht="15" x14ac:dyDescent="0.2">
      <c r="A1036" s="7">
        <v>231601</v>
      </c>
      <c r="B1036" s="3" t="s">
        <v>674</v>
      </c>
      <c r="C1036" s="29">
        <f>ROUND(Balances[[#This Row],[Total]]*40%,0)</f>
        <v>0</v>
      </c>
      <c r="D1036" s="29">
        <f>ROUND(Balances[[#This Row],[Total]]*20%,0)</f>
        <v>0</v>
      </c>
      <c r="E1036" s="29">
        <f>ROUND(Balances[[#This Row],[Total]]*40%,0)</f>
        <v>0</v>
      </c>
      <c r="F1036" s="18">
        <f>SUM(Acueducto[[#This Row],[Acueducto]:[Aseo]])</f>
        <v>0</v>
      </c>
    </row>
    <row r="1037" spans="1:6" ht="15" x14ac:dyDescent="0.2">
      <c r="A1037" s="7">
        <v>231603</v>
      </c>
      <c r="B1037" s="3" t="s">
        <v>675</v>
      </c>
      <c r="C1037" s="29">
        <f>ROUND(Balances[[#This Row],[Total]]*40%,0)</f>
        <v>0</v>
      </c>
      <c r="D1037" s="29">
        <f>ROUND(Balances[[#This Row],[Total]]*20%,0)</f>
        <v>0</v>
      </c>
      <c r="E1037" s="29">
        <f>ROUND(Balances[[#This Row],[Total]]*40%,0)</f>
        <v>0</v>
      </c>
      <c r="F1037" s="18">
        <f>SUM(Acueducto[[#This Row],[Acueducto]:[Aseo]])</f>
        <v>0</v>
      </c>
    </row>
    <row r="1038" spans="1:6" ht="15" x14ac:dyDescent="0.2">
      <c r="A1038" s="7">
        <v>231605</v>
      </c>
      <c r="B1038" s="3" t="s">
        <v>680</v>
      </c>
      <c r="C1038" s="29">
        <f>ROUND(Balances[[#This Row],[Total]]*40%,0)</f>
        <v>0</v>
      </c>
      <c r="D1038" s="29">
        <f>ROUND(Balances[[#This Row],[Total]]*20%,0)</f>
        <v>0</v>
      </c>
      <c r="E1038" s="29">
        <f>ROUND(Balances[[#This Row],[Total]]*40%,0)</f>
        <v>0</v>
      </c>
      <c r="F1038" s="18">
        <f>SUM(Acueducto[[#This Row],[Acueducto]:[Aseo]])</f>
        <v>0</v>
      </c>
    </row>
    <row r="1039" spans="1:6" ht="15" x14ac:dyDescent="0.2">
      <c r="A1039" s="7">
        <v>231607</v>
      </c>
      <c r="B1039" s="3" t="s">
        <v>283</v>
      </c>
      <c r="C1039" s="29">
        <f>ROUND(Balances[[#This Row],[Total]]*40%,0)</f>
        <v>0</v>
      </c>
      <c r="D1039" s="29">
        <f>ROUND(Balances[[#This Row],[Total]]*20%,0)</f>
        <v>0</v>
      </c>
      <c r="E1039" s="29">
        <f>ROUND(Balances[[#This Row],[Total]]*40%,0)</f>
        <v>0</v>
      </c>
      <c r="F1039" s="18">
        <f>SUM(Acueducto[[#This Row],[Acueducto]:[Aseo]])</f>
        <v>0</v>
      </c>
    </row>
    <row r="1040" spans="1:6" ht="15" x14ac:dyDescent="0.2">
      <c r="A1040" s="7">
        <v>231690</v>
      </c>
      <c r="B1040" s="3" t="s">
        <v>687</v>
      </c>
      <c r="C1040" s="29">
        <f>ROUND(Balances[[#This Row],[Total]]*40%,0)</f>
        <v>0</v>
      </c>
      <c r="D1040" s="29">
        <f>ROUND(Balances[[#This Row],[Total]]*20%,0)</f>
        <v>0</v>
      </c>
      <c r="E1040" s="29">
        <f>ROUND(Balances[[#This Row],[Total]]*40%,0)</f>
        <v>0</v>
      </c>
      <c r="F1040" s="18">
        <f>SUM(Acueducto[[#This Row],[Acueducto]:[Aseo]])</f>
        <v>0</v>
      </c>
    </row>
    <row r="1041" spans="1:6" ht="15" x14ac:dyDescent="0.2">
      <c r="A1041" s="6">
        <v>2317</v>
      </c>
      <c r="B1041" s="2" t="s">
        <v>672</v>
      </c>
      <c r="C1041" s="28">
        <f>ROUND(Balances[[#This Row],[Total]]*40%,0)</f>
        <v>0</v>
      </c>
      <c r="D1041" s="28">
        <f>ROUND(Balances[[#This Row],[Total]]*20%,0)</f>
        <v>0</v>
      </c>
      <c r="E1041" s="28">
        <f>ROUND(Balances[[#This Row],[Total]]*40%,0)</f>
        <v>0</v>
      </c>
      <c r="F1041" s="17">
        <f>SUM(Acueducto[[#This Row],[Acueducto]:[Aseo]])</f>
        <v>0</v>
      </c>
    </row>
    <row r="1042" spans="1:6" ht="15" x14ac:dyDescent="0.2">
      <c r="A1042" s="7">
        <v>231701</v>
      </c>
      <c r="B1042" s="3" t="s">
        <v>674</v>
      </c>
      <c r="C1042" s="29">
        <f>ROUND(Balances[[#This Row],[Total]]*40%,0)</f>
        <v>0</v>
      </c>
      <c r="D1042" s="29">
        <f>ROUND(Balances[[#This Row],[Total]]*20%,0)</f>
        <v>0</v>
      </c>
      <c r="E1042" s="29">
        <f>ROUND(Balances[[#This Row],[Total]]*40%,0)</f>
        <v>0</v>
      </c>
      <c r="F1042" s="18">
        <f>SUM(Acueducto[[#This Row],[Acueducto]:[Aseo]])</f>
        <v>0</v>
      </c>
    </row>
    <row r="1043" spans="1:6" ht="15" x14ac:dyDescent="0.2">
      <c r="A1043" s="7">
        <v>231703</v>
      </c>
      <c r="B1043" s="3" t="s">
        <v>675</v>
      </c>
      <c r="C1043" s="29">
        <f>ROUND(Balances[[#This Row],[Total]]*40%,0)</f>
        <v>0</v>
      </c>
      <c r="D1043" s="29">
        <f>ROUND(Balances[[#This Row],[Total]]*20%,0)</f>
        <v>0</v>
      </c>
      <c r="E1043" s="29">
        <f>ROUND(Balances[[#This Row],[Total]]*40%,0)</f>
        <v>0</v>
      </c>
      <c r="F1043" s="18">
        <f>SUM(Acueducto[[#This Row],[Acueducto]:[Aseo]])</f>
        <v>0</v>
      </c>
    </row>
    <row r="1044" spans="1:6" ht="15" x14ac:dyDescent="0.2">
      <c r="A1044" s="7">
        <v>231705</v>
      </c>
      <c r="B1044" s="3" t="s">
        <v>680</v>
      </c>
      <c r="C1044" s="29">
        <f>ROUND(Balances[[#This Row],[Total]]*40%,0)</f>
        <v>0</v>
      </c>
      <c r="D1044" s="29">
        <f>ROUND(Balances[[#This Row],[Total]]*20%,0)</f>
        <v>0</v>
      </c>
      <c r="E1044" s="29">
        <f>ROUND(Balances[[#This Row],[Total]]*40%,0)</f>
        <v>0</v>
      </c>
      <c r="F1044" s="18">
        <f>SUM(Acueducto[[#This Row],[Acueducto]:[Aseo]])</f>
        <v>0</v>
      </c>
    </row>
    <row r="1045" spans="1:6" ht="15" x14ac:dyDescent="0.2">
      <c r="A1045" s="7">
        <v>231706</v>
      </c>
      <c r="B1045" s="3" t="s">
        <v>283</v>
      </c>
      <c r="C1045" s="29">
        <f>ROUND(Balances[[#This Row],[Total]]*40%,0)</f>
        <v>0</v>
      </c>
      <c r="D1045" s="29">
        <f>ROUND(Balances[[#This Row],[Total]]*20%,0)</f>
        <v>0</v>
      </c>
      <c r="E1045" s="29">
        <f>ROUND(Balances[[#This Row],[Total]]*40%,0)</f>
        <v>0</v>
      </c>
      <c r="F1045" s="18">
        <f>SUM(Acueducto[[#This Row],[Acueducto]:[Aseo]])</f>
        <v>0</v>
      </c>
    </row>
    <row r="1046" spans="1:6" ht="15" x14ac:dyDescent="0.2">
      <c r="A1046" s="7">
        <v>231790</v>
      </c>
      <c r="B1046" s="3" t="s">
        <v>687</v>
      </c>
      <c r="C1046" s="29">
        <f>ROUND(Balances[[#This Row],[Total]]*40%,0)</f>
        <v>0</v>
      </c>
      <c r="D1046" s="29">
        <f>ROUND(Balances[[#This Row],[Total]]*20%,0)</f>
        <v>0</v>
      </c>
      <c r="E1046" s="29">
        <f>ROUND(Balances[[#This Row],[Total]]*40%,0)</f>
        <v>0</v>
      </c>
      <c r="F1046" s="18">
        <f>SUM(Acueducto[[#This Row],[Acueducto]:[Aseo]])</f>
        <v>0</v>
      </c>
    </row>
    <row r="1047" spans="1:6" ht="15" x14ac:dyDescent="0.2">
      <c r="A1047" s="6">
        <v>24</v>
      </c>
      <c r="B1047" s="2" t="s">
        <v>690</v>
      </c>
      <c r="C1047" s="28">
        <f>ROUND(Balances[[#This Row],[Total]]*40%,0)</f>
        <v>361981904</v>
      </c>
      <c r="D1047" s="28">
        <f>ROUND(Balances[[#This Row],[Total]]*20%,0)</f>
        <v>180990952</v>
      </c>
      <c r="E1047" s="28">
        <f>ROUND(Balances[[#This Row],[Total]]*40%,0)</f>
        <v>361981904</v>
      </c>
      <c r="F1047" s="28">
        <f>SUM(Acueducto[[#This Row],[Acueducto]:[Aseo]])</f>
        <v>904954760</v>
      </c>
    </row>
    <row r="1048" spans="1:6" ht="15" x14ac:dyDescent="0.2">
      <c r="A1048" s="6">
        <v>2401</v>
      </c>
      <c r="B1048" s="2" t="s">
        <v>691</v>
      </c>
      <c r="C1048" s="28">
        <f>ROUND(Balances[[#This Row],[Total]]*40%,0)</f>
        <v>1269924</v>
      </c>
      <c r="D1048" s="28">
        <f>ROUND(Balances[[#This Row],[Total]]*20%,0)</f>
        <v>634962</v>
      </c>
      <c r="E1048" s="28">
        <f>ROUND(Balances[[#This Row],[Total]]*40%,0)</f>
        <v>1269924</v>
      </c>
      <c r="F1048" s="28">
        <f>SUM(Acueducto[[#This Row],[Acueducto]:[Aseo]])</f>
        <v>3174810</v>
      </c>
    </row>
    <row r="1049" spans="1:6" ht="15" x14ac:dyDescent="0.2">
      <c r="A1049" s="7">
        <v>240101</v>
      </c>
      <c r="B1049" s="3" t="s">
        <v>571</v>
      </c>
      <c r="C1049" s="29">
        <f>ROUND(Balances[[#This Row],[Total]]*40%,0)</f>
        <v>1269924</v>
      </c>
      <c r="D1049" s="29">
        <f>ROUND(Balances[[#This Row],[Total]]*20%,0)</f>
        <v>634962</v>
      </c>
      <c r="E1049" s="29">
        <f>ROUND(Balances[[#This Row],[Total]]*40%,0)</f>
        <v>1269924</v>
      </c>
      <c r="F1049" s="29">
        <f>SUM(Acueducto[[#This Row],[Acueducto]:[Aseo]])</f>
        <v>3174810</v>
      </c>
    </row>
    <row r="1050" spans="1:6" ht="15" x14ac:dyDescent="0.2">
      <c r="A1050" s="7">
        <v>240102</v>
      </c>
      <c r="B1050" s="3" t="s">
        <v>692</v>
      </c>
      <c r="C1050" s="29">
        <f>ROUND(Balances[[#This Row],[Total]]*40%,0)</f>
        <v>0</v>
      </c>
      <c r="D1050" s="29">
        <f>ROUND(Balances[[#This Row],[Total]]*20%,0)</f>
        <v>0</v>
      </c>
      <c r="E1050" s="29">
        <f>ROUND(Balances[[#This Row],[Total]]*40%,0)</f>
        <v>0</v>
      </c>
      <c r="F1050" s="18">
        <f>SUM(Acueducto[[#This Row],[Acueducto]:[Aseo]])</f>
        <v>0</v>
      </c>
    </row>
    <row r="1051" spans="1:6" ht="15" x14ac:dyDescent="0.2">
      <c r="A1051" s="6">
        <v>2402</v>
      </c>
      <c r="B1051" s="2" t="s">
        <v>693</v>
      </c>
      <c r="C1051" s="28">
        <f>ROUND(Balances[[#This Row],[Total]]*40%,0)</f>
        <v>0</v>
      </c>
      <c r="D1051" s="28">
        <f>ROUND(Balances[[#This Row],[Total]]*20%,0)</f>
        <v>0</v>
      </c>
      <c r="E1051" s="28">
        <f>ROUND(Balances[[#This Row],[Total]]*40%,0)</f>
        <v>0</v>
      </c>
      <c r="F1051" s="17">
        <f>SUM(Acueducto[[#This Row],[Acueducto]:[Aseo]])</f>
        <v>0</v>
      </c>
    </row>
    <row r="1052" spans="1:6" ht="15" x14ac:dyDescent="0.2">
      <c r="A1052" s="7">
        <v>240204</v>
      </c>
      <c r="B1052" s="3" t="s">
        <v>222</v>
      </c>
      <c r="C1052" s="29">
        <f>ROUND(Balances[[#This Row],[Total]]*40%,0)</f>
        <v>0</v>
      </c>
      <c r="D1052" s="29">
        <f>ROUND(Balances[[#This Row],[Total]]*20%,0)</f>
        <v>0</v>
      </c>
      <c r="E1052" s="29">
        <f>ROUND(Balances[[#This Row],[Total]]*40%,0)</f>
        <v>0</v>
      </c>
      <c r="F1052" s="18">
        <f>SUM(Acueducto[[#This Row],[Acueducto]:[Aseo]])</f>
        <v>0</v>
      </c>
    </row>
    <row r="1053" spans="1:6" ht="15" x14ac:dyDescent="0.2">
      <c r="A1053" s="7">
        <v>240205</v>
      </c>
      <c r="B1053" s="3" t="s">
        <v>694</v>
      </c>
      <c r="C1053" s="29">
        <f>ROUND(Balances[[#This Row],[Total]]*40%,0)</f>
        <v>0</v>
      </c>
      <c r="D1053" s="29">
        <f>ROUND(Balances[[#This Row],[Total]]*20%,0)</f>
        <v>0</v>
      </c>
      <c r="E1053" s="29">
        <f>ROUND(Balances[[#This Row],[Total]]*40%,0)</f>
        <v>0</v>
      </c>
      <c r="F1053" s="18">
        <f>SUM(Acueducto[[#This Row],[Acueducto]:[Aseo]])</f>
        <v>0</v>
      </c>
    </row>
    <row r="1054" spans="1:6" ht="15" x14ac:dyDescent="0.2">
      <c r="A1054" s="7">
        <v>240290</v>
      </c>
      <c r="B1054" s="3" t="s">
        <v>224</v>
      </c>
      <c r="C1054" s="29">
        <f>ROUND(Balances[[#This Row],[Total]]*40%,0)</f>
        <v>0</v>
      </c>
      <c r="D1054" s="29">
        <f>ROUND(Balances[[#This Row],[Total]]*20%,0)</f>
        <v>0</v>
      </c>
      <c r="E1054" s="29">
        <f>ROUND(Balances[[#This Row],[Total]]*40%,0)</f>
        <v>0</v>
      </c>
      <c r="F1054" s="18">
        <f>SUM(Acueducto[[#This Row],[Acueducto]:[Aseo]])</f>
        <v>0</v>
      </c>
    </row>
    <row r="1055" spans="1:6" ht="15" x14ac:dyDescent="0.2">
      <c r="A1055" s="6">
        <v>2406</v>
      </c>
      <c r="B1055" s="2" t="s">
        <v>695</v>
      </c>
      <c r="C1055" s="28">
        <f>ROUND(Balances[[#This Row],[Total]]*40%,0)</f>
        <v>0</v>
      </c>
      <c r="D1055" s="28">
        <f>ROUND(Balances[[#This Row],[Total]]*20%,0)</f>
        <v>0</v>
      </c>
      <c r="E1055" s="28">
        <f>ROUND(Balances[[#This Row],[Total]]*40%,0)</f>
        <v>0</v>
      </c>
      <c r="F1055" s="17">
        <f>SUM(Acueducto[[#This Row],[Acueducto]:[Aseo]])</f>
        <v>0</v>
      </c>
    </row>
    <row r="1056" spans="1:6" ht="15" x14ac:dyDescent="0.2">
      <c r="A1056" s="7">
        <v>240601</v>
      </c>
      <c r="B1056" s="3" t="s">
        <v>571</v>
      </c>
      <c r="C1056" s="29">
        <f>ROUND(Balances[[#This Row],[Total]]*40%,0)</f>
        <v>0</v>
      </c>
      <c r="D1056" s="29">
        <f>ROUND(Balances[[#This Row],[Total]]*20%,0)</f>
        <v>0</v>
      </c>
      <c r="E1056" s="29">
        <f>ROUND(Balances[[#This Row],[Total]]*40%,0)</f>
        <v>0</v>
      </c>
      <c r="F1056" s="18">
        <f>SUM(Acueducto[[#This Row],[Acueducto]:[Aseo]])</f>
        <v>0</v>
      </c>
    </row>
    <row r="1057" spans="1:6" ht="15" x14ac:dyDescent="0.2">
      <c r="A1057" s="7">
        <v>240607</v>
      </c>
      <c r="B1057" s="3" t="s">
        <v>692</v>
      </c>
      <c r="C1057" s="29">
        <f>ROUND(Balances[[#This Row],[Total]]*40%,0)</f>
        <v>0</v>
      </c>
      <c r="D1057" s="29">
        <f>ROUND(Balances[[#This Row],[Total]]*20%,0)</f>
        <v>0</v>
      </c>
      <c r="E1057" s="29">
        <f>ROUND(Balances[[#This Row],[Total]]*40%,0)</f>
        <v>0</v>
      </c>
      <c r="F1057" s="18">
        <f>SUM(Acueducto[[#This Row],[Acueducto]:[Aseo]])</f>
        <v>0</v>
      </c>
    </row>
    <row r="1058" spans="1:6" ht="15" x14ac:dyDescent="0.2">
      <c r="A1058" s="6">
        <v>2407</v>
      </c>
      <c r="B1058" s="2" t="s">
        <v>696</v>
      </c>
      <c r="C1058" s="28">
        <f>ROUND(Balances[[#This Row],[Total]]*40%,0)</f>
        <v>0</v>
      </c>
      <c r="D1058" s="28">
        <f>ROUND(Balances[[#This Row],[Total]]*20%,0)</f>
        <v>0</v>
      </c>
      <c r="E1058" s="28">
        <f>ROUND(Balances[[#This Row],[Total]]*40%,0)</f>
        <v>0</v>
      </c>
      <c r="F1058" s="28">
        <f>SUM(Acueducto[[#This Row],[Acueducto]:[Aseo]])</f>
        <v>0</v>
      </c>
    </row>
    <row r="1059" spans="1:6" ht="15" x14ac:dyDescent="0.2">
      <c r="A1059" s="7">
        <v>240704</v>
      </c>
      <c r="B1059" s="3" t="s">
        <v>697</v>
      </c>
      <c r="C1059" s="29">
        <f>ROUND(Balances[[#This Row],[Total]]*40%,0)</f>
        <v>0</v>
      </c>
      <c r="D1059" s="29">
        <f>ROUND(Balances[[#This Row],[Total]]*20%,0)</f>
        <v>0</v>
      </c>
      <c r="E1059" s="29">
        <f>ROUND(Balances[[#This Row],[Total]]*40%,0)</f>
        <v>0</v>
      </c>
      <c r="F1059" s="18">
        <f>SUM(Acueducto[[#This Row],[Acueducto]:[Aseo]])</f>
        <v>0</v>
      </c>
    </row>
    <row r="1060" spans="1:6" ht="15" x14ac:dyDescent="0.2">
      <c r="A1060" s="7">
        <v>240706</v>
      </c>
      <c r="B1060" s="3" t="s">
        <v>698</v>
      </c>
      <c r="C1060" s="29">
        <f>ROUND(Balances[[#This Row],[Total]]*40%,0)</f>
        <v>0</v>
      </c>
      <c r="D1060" s="29">
        <f>ROUND(Balances[[#This Row],[Total]]*20%,0)</f>
        <v>0</v>
      </c>
      <c r="E1060" s="29">
        <f>ROUND(Balances[[#This Row],[Total]]*40%,0)</f>
        <v>0</v>
      </c>
      <c r="F1060" s="18">
        <f>SUM(Acueducto[[#This Row],[Acueducto]:[Aseo]])</f>
        <v>0</v>
      </c>
    </row>
    <row r="1061" spans="1:6" ht="15" x14ac:dyDescent="0.2">
      <c r="A1061" s="7">
        <v>240710</v>
      </c>
      <c r="B1061" s="3" t="s">
        <v>699</v>
      </c>
      <c r="C1061" s="29">
        <f>ROUND(Balances[[#This Row],[Total]]*40%,0)</f>
        <v>0</v>
      </c>
      <c r="D1061" s="29">
        <f>ROUND(Balances[[#This Row],[Total]]*20%,0)</f>
        <v>0</v>
      </c>
      <c r="E1061" s="29">
        <f>ROUND(Balances[[#This Row],[Total]]*40%,0)</f>
        <v>0</v>
      </c>
      <c r="F1061" s="18">
        <f>SUM(Acueducto[[#This Row],[Acueducto]:[Aseo]])</f>
        <v>0</v>
      </c>
    </row>
    <row r="1062" spans="1:6" ht="15" x14ac:dyDescent="0.2">
      <c r="A1062" s="7">
        <v>240713</v>
      </c>
      <c r="B1062" s="3" t="s">
        <v>700</v>
      </c>
      <c r="C1062" s="29">
        <f>ROUND(Balances[[#This Row],[Total]]*40%,0)</f>
        <v>0</v>
      </c>
      <c r="D1062" s="29">
        <f>ROUND(Balances[[#This Row],[Total]]*20%,0)</f>
        <v>0</v>
      </c>
      <c r="E1062" s="29">
        <f>ROUND(Balances[[#This Row],[Total]]*40%,0)</f>
        <v>0</v>
      </c>
      <c r="F1062" s="18">
        <f>SUM(Acueducto[[#This Row],[Acueducto]:[Aseo]])</f>
        <v>0</v>
      </c>
    </row>
    <row r="1063" spans="1:6" ht="15" x14ac:dyDescent="0.2">
      <c r="A1063" s="7">
        <v>240717</v>
      </c>
      <c r="B1063" s="3" t="s">
        <v>701</v>
      </c>
      <c r="C1063" s="29">
        <f>ROUND(Balances[[#This Row],[Total]]*40%,0)</f>
        <v>0</v>
      </c>
      <c r="D1063" s="29">
        <f>ROUND(Balances[[#This Row],[Total]]*20%,0)</f>
        <v>0</v>
      </c>
      <c r="E1063" s="29">
        <f>ROUND(Balances[[#This Row],[Total]]*40%,0)</f>
        <v>0</v>
      </c>
      <c r="F1063" s="18">
        <f>SUM(Acueducto[[#This Row],[Acueducto]:[Aseo]])</f>
        <v>0</v>
      </c>
    </row>
    <row r="1064" spans="1:6" ht="15" x14ac:dyDescent="0.2">
      <c r="A1064" s="7">
        <v>240720</v>
      </c>
      <c r="B1064" s="3" t="s">
        <v>702</v>
      </c>
      <c r="C1064" s="29">
        <f>ROUND(Balances[[#This Row],[Total]]*40%,0)</f>
        <v>0</v>
      </c>
      <c r="D1064" s="29">
        <f>ROUND(Balances[[#This Row],[Total]]*20%,0)</f>
        <v>0</v>
      </c>
      <c r="E1064" s="29">
        <f>ROUND(Balances[[#This Row],[Total]]*40%,0)</f>
        <v>0</v>
      </c>
      <c r="F1064" s="18">
        <f>SUM(Acueducto[[#This Row],[Acueducto]:[Aseo]])</f>
        <v>0</v>
      </c>
    </row>
    <row r="1065" spans="1:6" ht="15" x14ac:dyDescent="0.2">
      <c r="A1065" s="7">
        <v>240721</v>
      </c>
      <c r="B1065" s="3" t="s">
        <v>703</v>
      </c>
      <c r="C1065" s="29">
        <f>ROUND(Balances[[#This Row],[Total]]*40%,0)</f>
        <v>0</v>
      </c>
      <c r="D1065" s="29">
        <f>ROUND(Balances[[#This Row],[Total]]*20%,0)</f>
        <v>0</v>
      </c>
      <c r="E1065" s="29">
        <f>ROUND(Balances[[#This Row],[Total]]*40%,0)</f>
        <v>0</v>
      </c>
      <c r="F1065" s="18">
        <f>SUM(Acueducto[[#This Row],[Acueducto]:[Aseo]])</f>
        <v>0</v>
      </c>
    </row>
    <row r="1066" spans="1:6" ht="15" x14ac:dyDescent="0.2">
      <c r="A1066" s="7">
        <v>240722</v>
      </c>
      <c r="B1066" s="3" t="s">
        <v>113</v>
      </c>
      <c r="C1066" s="29">
        <f>ROUND(Balances[[#This Row],[Total]]*40%,0)</f>
        <v>0</v>
      </c>
      <c r="D1066" s="29">
        <f>ROUND(Balances[[#This Row],[Total]]*20%,0)</f>
        <v>0</v>
      </c>
      <c r="E1066" s="29">
        <f>ROUND(Balances[[#This Row],[Total]]*40%,0)</f>
        <v>0</v>
      </c>
      <c r="F1066" s="29">
        <f>SUM(Acueducto[[#This Row],[Acueducto]:[Aseo]])</f>
        <v>0</v>
      </c>
    </row>
    <row r="1067" spans="1:6" ht="15" x14ac:dyDescent="0.2">
      <c r="A1067" s="7">
        <v>240723</v>
      </c>
      <c r="B1067" s="3" t="s">
        <v>704</v>
      </c>
      <c r="C1067" s="29">
        <f>ROUND(Balances[[#This Row],[Total]]*40%,0)</f>
        <v>0</v>
      </c>
      <c r="D1067" s="29">
        <f>ROUND(Balances[[#This Row],[Total]]*20%,0)</f>
        <v>0</v>
      </c>
      <c r="E1067" s="29">
        <f>ROUND(Balances[[#This Row],[Total]]*40%,0)</f>
        <v>0</v>
      </c>
      <c r="F1067" s="18">
        <f>SUM(Acueducto[[#This Row],[Acueducto]:[Aseo]])</f>
        <v>0</v>
      </c>
    </row>
    <row r="1068" spans="1:6" ht="15" x14ac:dyDescent="0.2">
      <c r="A1068" s="7">
        <v>240724</v>
      </c>
      <c r="B1068" s="3" t="s">
        <v>705</v>
      </c>
      <c r="C1068" s="29">
        <f>ROUND(Balances[[#This Row],[Total]]*40%,0)</f>
        <v>0</v>
      </c>
      <c r="D1068" s="29">
        <f>ROUND(Balances[[#This Row],[Total]]*20%,0)</f>
        <v>0</v>
      </c>
      <c r="E1068" s="29">
        <f>ROUND(Balances[[#This Row],[Total]]*40%,0)</f>
        <v>0</v>
      </c>
      <c r="F1068" s="18">
        <f>SUM(Acueducto[[#This Row],[Acueducto]:[Aseo]])</f>
        <v>0</v>
      </c>
    </row>
    <row r="1069" spans="1:6" ht="15" x14ac:dyDescent="0.2">
      <c r="A1069" s="7">
        <v>240725</v>
      </c>
      <c r="B1069" s="3" t="s">
        <v>706</v>
      </c>
      <c r="C1069" s="29">
        <f>ROUND(Balances[[#This Row],[Total]]*40%,0)</f>
        <v>0</v>
      </c>
      <c r="D1069" s="29">
        <f>ROUND(Balances[[#This Row],[Total]]*20%,0)</f>
        <v>0</v>
      </c>
      <c r="E1069" s="29">
        <f>ROUND(Balances[[#This Row],[Total]]*40%,0)</f>
        <v>0</v>
      </c>
      <c r="F1069" s="18">
        <f>SUM(Acueducto[[#This Row],[Acueducto]:[Aseo]])</f>
        <v>0</v>
      </c>
    </row>
    <row r="1070" spans="1:6" ht="15" x14ac:dyDescent="0.2">
      <c r="A1070" s="7">
        <v>240726</v>
      </c>
      <c r="B1070" s="3" t="s">
        <v>707</v>
      </c>
      <c r="C1070" s="29">
        <f>ROUND(Balances[[#This Row],[Total]]*40%,0)</f>
        <v>0</v>
      </c>
      <c r="D1070" s="29">
        <f>ROUND(Balances[[#This Row],[Total]]*20%,0)</f>
        <v>0</v>
      </c>
      <c r="E1070" s="29">
        <f>ROUND(Balances[[#This Row],[Total]]*40%,0)</f>
        <v>0</v>
      </c>
      <c r="F1070" s="18">
        <f>SUM(Acueducto[[#This Row],[Acueducto]:[Aseo]])</f>
        <v>0</v>
      </c>
    </row>
    <row r="1071" spans="1:6" ht="15" x14ac:dyDescent="0.2">
      <c r="A1071" s="7">
        <v>240727</v>
      </c>
      <c r="B1071" s="3" t="s">
        <v>708</v>
      </c>
      <c r="C1071" s="29">
        <f>ROUND(Balances[[#This Row],[Total]]*40%,0)</f>
        <v>0</v>
      </c>
      <c r="D1071" s="29">
        <f>ROUND(Balances[[#This Row],[Total]]*20%,0)</f>
        <v>0</v>
      </c>
      <c r="E1071" s="29">
        <f>ROUND(Balances[[#This Row],[Total]]*40%,0)</f>
        <v>0</v>
      </c>
      <c r="F1071" s="18">
        <f>SUM(Acueducto[[#This Row],[Acueducto]:[Aseo]])</f>
        <v>0</v>
      </c>
    </row>
    <row r="1072" spans="1:6" ht="15" x14ac:dyDescent="0.2">
      <c r="A1072" s="7">
        <v>240790</v>
      </c>
      <c r="B1072" s="3" t="s">
        <v>709</v>
      </c>
      <c r="C1072" s="29">
        <f>ROUND(Balances[[#This Row],[Total]]*40%,0)</f>
        <v>0</v>
      </c>
      <c r="D1072" s="29">
        <f>ROUND(Balances[[#This Row],[Total]]*20%,0)</f>
        <v>0</v>
      </c>
      <c r="E1072" s="29">
        <f>ROUND(Balances[[#This Row],[Total]]*40%,0)</f>
        <v>0</v>
      </c>
      <c r="F1072" s="29">
        <f>SUM(Acueducto[[#This Row],[Acueducto]:[Aseo]])</f>
        <v>0</v>
      </c>
    </row>
    <row r="1073" spans="1:6" ht="15" x14ac:dyDescent="0.2">
      <c r="A1073" s="6">
        <v>2424</v>
      </c>
      <c r="B1073" s="2" t="s">
        <v>710</v>
      </c>
      <c r="C1073" s="28">
        <f>ROUND(Balances[[#This Row],[Total]]*40%,0)</f>
        <v>0</v>
      </c>
      <c r="D1073" s="28">
        <f>ROUND(Balances[[#This Row],[Total]]*20%,0)</f>
        <v>0</v>
      </c>
      <c r="E1073" s="28">
        <f>ROUND(Balances[[#This Row],[Total]]*40%,0)</f>
        <v>0</v>
      </c>
      <c r="F1073" s="28">
        <f>SUM(Acueducto[[#This Row],[Acueducto]:[Aseo]])</f>
        <v>0</v>
      </c>
    </row>
    <row r="1074" spans="1:6" ht="15" x14ac:dyDescent="0.2">
      <c r="A1074" s="7">
        <v>242401</v>
      </c>
      <c r="B1074" s="3" t="s">
        <v>711</v>
      </c>
      <c r="C1074" s="29">
        <f>ROUND(Balances[[#This Row],[Total]]*40%,0)</f>
        <v>0</v>
      </c>
      <c r="D1074" s="29">
        <f>ROUND(Balances[[#This Row],[Total]]*20%,0)</f>
        <v>0</v>
      </c>
      <c r="E1074" s="29">
        <f>ROUND(Balances[[#This Row],[Total]]*40%,0)</f>
        <v>0</v>
      </c>
      <c r="F1074" s="29">
        <f>SUM(Acueducto[[#This Row],[Acueducto]:[Aseo]])</f>
        <v>0</v>
      </c>
    </row>
    <row r="1075" spans="1:6" ht="15" x14ac:dyDescent="0.2">
      <c r="A1075" s="7">
        <v>242402</v>
      </c>
      <c r="B1075" s="3" t="s">
        <v>712</v>
      </c>
      <c r="C1075" s="29">
        <f>ROUND(Balances[[#This Row],[Total]]*40%,0)</f>
        <v>0</v>
      </c>
      <c r="D1075" s="29">
        <f>ROUND(Balances[[#This Row],[Total]]*20%,0)</f>
        <v>0</v>
      </c>
      <c r="E1075" s="29">
        <f>ROUND(Balances[[#This Row],[Total]]*40%,0)</f>
        <v>0</v>
      </c>
      <c r="F1075" s="29">
        <f>SUM(Acueducto[[#This Row],[Acueducto]:[Aseo]])</f>
        <v>0</v>
      </c>
    </row>
    <row r="1076" spans="1:6" ht="15" x14ac:dyDescent="0.2">
      <c r="A1076" s="7">
        <v>242404</v>
      </c>
      <c r="B1076" s="3" t="s">
        <v>713</v>
      </c>
      <c r="C1076" s="29">
        <f>ROUND(Balances[[#This Row],[Total]]*40%,0)</f>
        <v>0</v>
      </c>
      <c r="D1076" s="29">
        <f>ROUND(Balances[[#This Row],[Total]]*20%,0)</f>
        <v>0</v>
      </c>
      <c r="E1076" s="29">
        <f>ROUND(Balances[[#This Row],[Total]]*40%,0)</f>
        <v>0</v>
      </c>
      <c r="F1076" s="29">
        <f>SUM(Acueducto[[#This Row],[Acueducto]:[Aseo]])</f>
        <v>0</v>
      </c>
    </row>
    <row r="1077" spans="1:6" ht="15" x14ac:dyDescent="0.2">
      <c r="A1077" s="7">
        <v>242405</v>
      </c>
      <c r="B1077" s="3" t="s">
        <v>714</v>
      </c>
      <c r="C1077" s="29">
        <f>ROUND(Balances[[#This Row],[Total]]*40%,0)</f>
        <v>0</v>
      </c>
      <c r="D1077" s="29">
        <f>ROUND(Balances[[#This Row],[Total]]*20%,0)</f>
        <v>0</v>
      </c>
      <c r="E1077" s="29">
        <f>ROUND(Balances[[#This Row],[Total]]*40%,0)</f>
        <v>0</v>
      </c>
      <c r="F1077" s="18">
        <f>SUM(Acueducto[[#This Row],[Acueducto]:[Aseo]])</f>
        <v>0</v>
      </c>
    </row>
    <row r="1078" spans="1:6" ht="15" x14ac:dyDescent="0.2">
      <c r="A1078" s="7">
        <v>242406</v>
      </c>
      <c r="B1078" s="3" t="s">
        <v>715</v>
      </c>
      <c r="C1078" s="29">
        <f>ROUND(Balances[[#This Row],[Total]]*40%,0)</f>
        <v>0</v>
      </c>
      <c r="D1078" s="29">
        <f>ROUND(Balances[[#This Row],[Total]]*20%,0)</f>
        <v>0</v>
      </c>
      <c r="E1078" s="29">
        <f>ROUND(Balances[[#This Row],[Total]]*40%,0)</f>
        <v>0</v>
      </c>
      <c r="F1078" s="18">
        <f>SUM(Acueducto[[#This Row],[Acueducto]:[Aseo]])</f>
        <v>0</v>
      </c>
    </row>
    <row r="1079" spans="1:6" ht="15" x14ac:dyDescent="0.2">
      <c r="A1079" s="7">
        <v>242407</v>
      </c>
      <c r="B1079" s="3" t="s">
        <v>716</v>
      </c>
      <c r="C1079" s="29">
        <f>ROUND(Balances[[#This Row],[Total]]*40%,0)</f>
        <v>0</v>
      </c>
      <c r="D1079" s="29">
        <f>ROUND(Balances[[#This Row],[Total]]*20%,0)</f>
        <v>0</v>
      </c>
      <c r="E1079" s="29">
        <f>ROUND(Balances[[#This Row],[Total]]*40%,0)</f>
        <v>0</v>
      </c>
      <c r="F1079" s="18">
        <f>SUM(Acueducto[[#This Row],[Acueducto]:[Aseo]])</f>
        <v>0</v>
      </c>
    </row>
    <row r="1080" spans="1:6" ht="15" x14ac:dyDescent="0.2">
      <c r="A1080" s="7">
        <v>242408</v>
      </c>
      <c r="B1080" s="3" t="s">
        <v>717</v>
      </c>
      <c r="C1080" s="29">
        <f>ROUND(Balances[[#This Row],[Total]]*40%,0)</f>
        <v>0</v>
      </c>
      <c r="D1080" s="29">
        <f>ROUND(Balances[[#This Row],[Total]]*20%,0)</f>
        <v>0</v>
      </c>
      <c r="E1080" s="29">
        <f>ROUND(Balances[[#This Row],[Total]]*40%,0)</f>
        <v>0</v>
      </c>
      <c r="F1080" s="18">
        <f>SUM(Acueducto[[#This Row],[Acueducto]:[Aseo]])</f>
        <v>0</v>
      </c>
    </row>
    <row r="1081" spans="1:6" ht="15" x14ac:dyDescent="0.2">
      <c r="A1081" s="7">
        <v>242409</v>
      </c>
      <c r="B1081" s="3" t="s">
        <v>238</v>
      </c>
      <c r="C1081" s="29">
        <f>ROUND(Balances[[#This Row],[Total]]*40%,0)</f>
        <v>0</v>
      </c>
      <c r="D1081" s="29">
        <f>ROUND(Balances[[#This Row],[Total]]*20%,0)</f>
        <v>0</v>
      </c>
      <c r="E1081" s="29">
        <f>ROUND(Balances[[#This Row],[Total]]*40%,0)</f>
        <v>0</v>
      </c>
      <c r="F1081" s="18">
        <f>SUM(Acueducto[[#This Row],[Acueducto]:[Aseo]])</f>
        <v>0</v>
      </c>
    </row>
    <row r="1082" spans="1:6" ht="15" x14ac:dyDescent="0.2">
      <c r="A1082" s="7">
        <v>242410</v>
      </c>
      <c r="B1082" s="3" t="s">
        <v>718</v>
      </c>
      <c r="C1082" s="29">
        <f>ROUND(Balances[[#This Row],[Total]]*40%,0)</f>
        <v>0</v>
      </c>
      <c r="D1082" s="29">
        <f>ROUND(Balances[[#This Row],[Total]]*20%,0)</f>
        <v>0</v>
      </c>
      <c r="E1082" s="29">
        <f>ROUND(Balances[[#This Row],[Total]]*40%,0)</f>
        <v>0</v>
      </c>
      <c r="F1082" s="29">
        <f>SUM(Acueducto[[#This Row],[Acueducto]:[Aseo]])</f>
        <v>0</v>
      </c>
    </row>
    <row r="1083" spans="1:6" ht="15" x14ac:dyDescent="0.2">
      <c r="A1083" s="7">
        <v>242411</v>
      </c>
      <c r="B1083" s="3" t="s">
        <v>719</v>
      </c>
      <c r="C1083" s="29">
        <f>ROUND(Balances[[#This Row],[Total]]*40%,0)</f>
        <v>0</v>
      </c>
      <c r="D1083" s="29">
        <f>ROUND(Balances[[#This Row],[Total]]*20%,0)</f>
        <v>0</v>
      </c>
      <c r="E1083" s="29">
        <f>ROUND(Balances[[#This Row],[Total]]*40%,0)</f>
        <v>0</v>
      </c>
      <c r="F1083" s="29">
        <f>SUM(Acueducto[[#This Row],[Acueducto]:[Aseo]])</f>
        <v>0</v>
      </c>
    </row>
    <row r="1084" spans="1:6" ht="15" x14ac:dyDescent="0.2">
      <c r="A1084" s="7">
        <v>242412</v>
      </c>
      <c r="B1084" s="3" t="s">
        <v>562</v>
      </c>
      <c r="C1084" s="29">
        <f>ROUND(Balances[[#This Row],[Total]]*40%,0)</f>
        <v>0</v>
      </c>
      <c r="D1084" s="29">
        <f>ROUND(Balances[[#This Row],[Total]]*20%,0)</f>
        <v>0</v>
      </c>
      <c r="E1084" s="29">
        <f>ROUND(Balances[[#This Row],[Total]]*40%,0)</f>
        <v>0</v>
      </c>
      <c r="F1084" s="18">
        <f>SUM(Acueducto[[#This Row],[Acueducto]:[Aseo]])</f>
        <v>0</v>
      </c>
    </row>
    <row r="1085" spans="1:6" ht="15" x14ac:dyDescent="0.2">
      <c r="A1085" s="7">
        <v>242413</v>
      </c>
      <c r="B1085" s="3" t="s">
        <v>720</v>
      </c>
      <c r="C1085" s="29">
        <f>ROUND(Balances[[#This Row],[Total]]*40%,0)</f>
        <v>0</v>
      </c>
      <c r="D1085" s="29">
        <f>ROUND(Balances[[#This Row],[Total]]*20%,0)</f>
        <v>0</v>
      </c>
      <c r="E1085" s="29">
        <f>ROUND(Balances[[#This Row],[Total]]*40%,0)</f>
        <v>0</v>
      </c>
      <c r="F1085" s="18">
        <f>SUM(Acueducto[[#This Row],[Acueducto]:[Aseo]])</f>
        <v>0</v>
      </c>
    </row>
    <row r="1086" spans="1:6" ht="15" x14ac:dyDescent="0.2">
      <c r="A1086" s="7">
        <v>242490</v>
      </c>
      <c r="B1086" s="3" t="s">
        <v>721</v>
      </c>
      <c r="C1086" s="29">
        <f>ROUND(Balances[[#This Row],[Total]]*40%,0)</f>
        <v>0</v>
      </c>
      <c r="D1086" s="29">
        <f>ROUND(Balances[[#This Row],[Total]]*20%,0)</f>
        <v>0</v>
      </c>
      <c r="E1086" s="29">
        <f>ROUND(Balances[[#This Row],[Total]]*40%,0)</f>
        <v>0</v>
      </c>
      <c r="F1086" s="18">
        <f>SUM(Acueducto[[#This Row],[Acueducto]:[Aseo]])</f>
        <v>0</v>
      </c>
    </row>
    <row r="1087" spans="1:6" ht="15" x14ac:dyDescent="0.2">
      <c r="A1087" s="6">
        <v>2436</v>
      </c>
      <c r="B1087" s="2" t="s">
        <v>722</v>
      </c>
      <c r="C1087" s="28">
        <f>ROUND(Balances[[#This Row],[Total]]*40%,0)</f>
        <v>606057</v>
      </c>
      <c r="D1087" s="28">
        <f>ROUND(Balances[[#This Row],[Total]]*20%,0)</f>
        <v>303028</v>
      </c>
      <c r="E1087" s="28">
        <f>ROUND(Balances[[#This Row],[Total]]*40%,0)</f>
        <v>606057</v>
      </c>
      <c r="F1087" s="28">
        <f>SUM(Acueducto[[#This Row],[Acueducto]:[Aseo]])</f>
        <v>1515142</v>
      </c>
    </row>
    <row r="1088" spans="1:6" ht="15" x14ac:dyDescent="0.2">
      <c r="A1088" s="7">
        <v>243602</v>
      </c>
      <c r="B1088" s="3" t="s">
        <v>723</v>
      </c>
      <c r="C1088" s="29">
        <f>ROUND(Balances[[#This Row],[Total]]*40%,0)</f>
        <v>0</v>
      </c>
      <c r="D1088" s="29">
        <f>ROUND(Balances[[#This Row],[Total]]*20%,0)</f>
        <v>0</v>
      </c>
      <c r="E1088" s="29">
        <f>ROUND(Balances[[#This Row],[Total]]*40%,0)</f>
        <v>0</v>
      </c>
      <c r="F1088" s="18">
        <f>SUM(Acueducto[[#This Row],[Acueducto]:[Aseo]])</f>
        <v>0</v>
      </c>
    </row>
    <row r="1089" spans="1:6" ht="15" x14ac:dyDescent="0.2">
      <c r="A1089" s="7">
        <v>243603</v>
      </c>
      <c r="B1089" s="3" t="s">
        <v>242</v>
      </c>
      <c r="C1089" s="29">
        <f>ROUND(Balances[[#This Row],[Total]]*40%,0)</f>
        <v>0</v>
      </c>
      <c r="D1089" s="29">
        <f>ROUND(Balances[[#This Row],[Total]]*20%,0)</f>
        <v>0</v>
      </c>
      <c r="E1089" s="29">
        <f>ROUND(Balances[[#This Row],[Total]]*40%,0)</f>
        <v>0</v>
      </c>
      <c r="F1089" s="18">
        <f>SUM(Acueducto[[#This Row],[Acueducto]:[Aseo]])</f>
        <v>0</v>
      </c>
    </row>
    <row r="1090" spans="1:6" ht="15" x14ac:dyDescent="0.2">
      <c r="A1090" s="7">
        <v>243604</v>
      </c>
      <c r="B1090" s="3" t="s">
        <v>231</v>
      </c>
      <c r="C1090" s="29">
        <f>ROUND(Balances[[#This Row],[Total]]*40%,0)</f>
        <v>0</v>
      </c>
      <c r="D1090" s="29">
        <f>ROUND(Balances[[#This Row],[Total]]*20%,0)</f>
        <v>0</v>
      </c>
      <c r="E1090" s="29">
        <f>ROUND(Balances[[#This Row],[Total]]*40%,0)</f>
        <v>0</v>
      </c>
      <c r="F1090" s="18">
        <f>SUM(Acueducto[[#This Row],[Acueducto]:[Aseo]])</f>
        <v>0</v>
      </c>
    </row>
    <row r="1091" spans="1:6" ht="15" x14ac:dyDescent="0.2">
      <c r="A1091" s="7">
        <v>243605</v>
      </c>
      <c r="B1091" s="3" t="s">
        <v>724</v>
      </c>
      <c r="C1091" s="29">
        <f>ROUND(Balances[[#This Row],[Total]]*40%,0)</f>
        <v>441476</v>
      </c>
      <c r="D1091" s="29">
        <f>ROUND(Balances[[#This Row],[Total]]*20%,0)</f>
        <v>220738</v>
      </c>
      <c r="E1091" s="29">
        <f>ROUND(Balances[[#This Row],[Total]]*40%,0)</f>
        <v>441476</v>
      </c>
      <c r="F1091" s="29">
        <f>SUM(Acueducto[[#This Row],[Acueducto]:[Aseo]])</f>
        <v>1103690</v>
      </c>
    </row>
    <row r="1092" spans="1:6" ht="15" x14ac:dyDescent="0.2">
      <c r="A1092" s="7">
        <v>243606</v>
      </c>
      <c r="B1092" s="3" t="s">
        <v>725</v>
      </c>
      <c r="C1092" s="29">
        <f>ROUND(Balances[[#This Row],[Total]]*40%,0)</f>
        <v>0</v>
      </c>
      <c r="D1092" s="29">
        <f>ROUND(Balances[[#This Row],[Total]]*20%,0)</f>
        <v>0</v>
      </c>
      <c r="E1092" s="29">
        <f>ROUND(Balances[[#This Row],[Total]]*40%,0)</f>
        <v>0</v>
      </c>
      <c r="F1092" s="18">
        <f>SUM(Acueducto[[#This Row],[Acueducto]:[Aseo]])</f>
        <v>0</v>
      </c>
    </row>
    <row r="1093" spans="1:6" ht="15" x14ac:dyDescent="0.2">
      <c r="A1093" s="7">
        <v>243607</v>
      </c>
      <c r="B1093" s="3" t="s">
        <v>726</v>
      </c>
      <c r="C1093" s="29">
        <f>ROUND(Balances[[#This Row],[Total]]*40%,0)</f>
        <v>0</v>
      </c>
      <c r="D1093" s="29">
        <f>ROUND(Balances[[#This Row],[Total]]*20%,0)</f>
        <v>0</v>
      </c>
      <c r="E1093" s="29">
        <f>ROUND(Balances[[#This Row],[Total]]*40%,0)</f>
        <v>0</v>
      </c>
      <c r="F1093" s="18">
        <f>SUM(Acueducto[[#This Row],[Acueducto]:[Aseo]])</f>
        <v>0</v>
      </c>
    </row>
    <row r="1094" spans="1:6" ht="15" x14ac:dyDescent="0.2">
      <c r="A1094" s="7">
        <v>243608</v>
      </c>
      <c r="B1094" s="3" t="s">
        <v>727</v>
      </c>
      <c r="C1094" s="29">
        <f>ROUND(Balances[[#This Row],[Total]]*40%,0)</f>
        <v>112027</v>
      </c>
      <c r="D1094" s="29">
        <f>ROUND(Balances[[#This Row],[Total]]*20%,0)</f>
        <v>56013</v>
      </c>
      <c r="E1094" s="29">
        <f>ROUND(Balances[[#This Row],[Total]]*40%,0)</f>
        <v>112027</v>
      </c>
      <c r="F1094" s="29">
        <f>SUM(Acueducto[[#This Row],[Acueducto]:[Aseo]])</f>
        <v>280067</v>
      </c>
    </row>
    <row r="1095" spans="1:6" ht="15" x14ac:dyDescent="0.2">
      <c r="A1095" s="7">
        <v>243609</v>
      </c>
      <c r="B1095" s="3" t="s">
        <v>728</v>
      </c>
      <c r="C1095" s="29">
        <f>ROUND(Balances[[#This Row],[Total]]*40%,0)</f>
        <v>0</v>
      </c>
      <c r="D1095" s="29">
        <f>ROUND(Balances[[#This Row],[Total]]*20%,0)</f>
        <v>0</v>
      </c>
      <c r="E1095" s="29">
        <f>ROUND(Balances[[#This Row],[Total]]*40%,0)</f>
        <v>0</v>
      </c>
      <c r="F1095" s="18">
        <f>SUM(Acueducto[[#This Row],[Acueducto]:[Aseo]])</f>
        <v>0</v>
      </c>
    </row>
    <row r="1096" spans="1:6" ht="15" x14ac:dyDescent="0.2">
      <c r="A1096" s="7">
        <v>243610</v>
      </c>
      <c r="B1096" s="3" t="s">
        <v>729</v>
      </c>
      <c r="C1096" s="29">
        <f>ROUND(Balances[[#This Row],[Total]]*40%,0)</f>
        <v>0</v>
      </c>
      <c r="D1096" s="29">
        <f>ROUND(Balances[[#This Row],[Total]]*20%,0)</f>
        <v>0</v>
      </c>
      <c r="E1096" s="29">
        <f>ROUND(Balances[[#This Row],[Total]]*40%,0)</f>
        <v>0</v>
      </c>
      <c r="F1096" s="18">
        <f>SUM(Acueducto[[#This Row],[Acueducto]:[Aseo]])</f>
        <v>0</v>
      </c>
    </row>
    <row r="1097" spans="1:6" ht="15" x14ac:dyDescent="0.2">
      <c r="A1097" s="7">
        <v>243611</v>
      </c>
      <c r="B1097" s="3" t="s">
        <v>730</v>
      </c>
      <c r="C1097" s="29">
        <f>ROUND(Balances[[#This Row],[Total]]*40%,0)</f>
        <v>0</v>
      </c>
      <c r="D1097" s="29">
        <f>ROUND(Balances[[#This Row],[Total]]*20%,0)</f>
        <v>0</v>
      </c>
      <c r="E1097" s="29">
        <f>ROUND(Balances[[#This Row],[Total]]*40%,0)</f>
        <v>0</v>
      </c>
      <c r="F1097" s="18">
        <f>SUM(Acueducto[[#This Row],[Acueducto]:[Aseo]])</f>
        <v>0</v>
      </c>
    </row>
    <row r="1098" spans="1:6" ht="15" x14ac:dyDescent="0.2">
      <c r="A1098" s="7">
        <v>243612</v>
      </c>
      <c r="B1098" s="3" t="s">
        <v>731</v>
      </c>
      <c r="C1098" s="29">
        <f>ROUND(Balances[[#This Row],[Total]]*40%,0)</f>
        <v>0</v>
      </c>
      <c r="D1098" s="29">
        <f>ROUND(Balances[[#This Row],[Total]]*20%,0)</f>
        <v>0</v>
      </c>
      <c r="E1098" s="29">
        <f>ROUND(Balances[[#This Row],[Total]]*40%,0)</f>
        <v>0</v>
      </c>
      <c r="F1098" s="18">
        <f>SUM(Acueducto[[#This Row],[Acueducto]:[Aseo]])</f>
        <v>0</v>
      </c>
    </row>
    <row r="1099" spans="1:6" ht="15" x14ac:dyDescent="0.2">
      <c r="A1099" s="7">
        <v>243613</v>
      </c>
      <c r="B1099" s="3" t="s">
        <v>732</v>
      </c>
      <c r="C1099" s="29">
        <f>ROUND(Balances[[#This Row],[Total]]*40%,0)</f>
        <v>0</v>
      </c>
      <c r="D1099" s="29">
        <f>ROUND(Balances[[#This Row],[Total]]*20%,0)</f>
        <v>0</v>
      </c>
      <c r="E1099" s="29">
        <f>ROUND(Balances[[#This Row],[Total]]*40%,0)</f>
        <v>0</v>
      </c>
      <c r="F1099" s="18">
        <f>SUM(Acueducto[[#This Row],[Acueducto]:[Aseo]])</f>
        <v>0</v>
      </c>
    </row>
    <row r="1100" spans="1:6" ht="15" x14ac:dyDescent="0.2">
      <c r="A1100" s="7">
        <v>243614</v>
      </c>
      <c r="B1100" s="3" t="s">
        <v>733</v>
      </c>
      <c r="C1100" s="29">
        <f>ROUND(Balances[[#This Row],[Total]]*40%,0)</f>
        <v>0</v>
      </c>
      <c r="D1100" s="29">
        <f>ROUND(Balances[[#This Row],[Total]]*20%,0)</f>
        <v>0</v>
      </c>
      <c r="E1100" s="29">
        <f>ROUND(Balances[[#This Row],[Total]]*40%,0)</f>
        <v>0</v>
      </c>
      <c r="F1100" s="18">
        <f>SUM(Acueducto[[#This Row],[Acueducto]:[Aseo]])</f>
        <v>0</v>
      </c>
    </row>
    <row r="1101" spans="1:6" ht="15" x14ac:dyDescent="0.2">
      <c r="A1101" s="7">
        <v>243615</v>
      </c>
      <c r="B1101" s="3" t="s">
        <v>734</v>
      </c>
      <c r="C1101" s="29">
        <f>ROUND(Balances[[#This Row],[Total]]*40%,0)</f>
        <v>0</v>
      </c>
      <c r="D1101" s="29">
        <f>ROUND(Balances[[#This Row],[Total]]*20%,0)</f>
        <v>0</v>
      </c>
      <c r="E1101" s="29">
        <f>ROUND(Balances[[#This Row],[Total]]*40%,0)</f>
        <v>0</v>
      </c>
      <c r="F1101" s="18">
        <f>SUM(Acueducto[[#This Row],[Acueducto]:[Aseo]])</f>
        <v>0</v>
      </c>
    </row>
    <row r="1102" spans="1:6" ht="15" x14ac:dyDescent="0.2">
      <c r="A1102" s="7">
        <v>243619</v>
      </c>
      <c r="B1102" s="3" t="s">
        <v>735</v>
      </c>
      <c r="C1102" s="29">
        <f>ROUND(Balances[[#This Row],[Total]]*40%,0)</f>
        <v>0</v>
      </c>
      <c r="D1102" s="29">
        <f>ROUND(Balances[[#This Row],[Total]]*20%,0)</f>
        <v>0</v>
      </c>
      <c r="E1102" s="29">
        <f>ROUND(Balances[[#This Row],[Total]]*40%,0)</f>
        <v>0</v>
      </c>
      <c r="F1102" s="18">
        <f>SUM(Acueducto[[#This Row],[Acueducto]:[Aseo]])</f>
        <v>0</v>
      </c>
    </row>
    <row r="1103" spans="1:6" ht="15" x14ac:dyDescent="0.2">
      <c r="A1103" s="7">
        <v>243625</v>
      </c>
      <c r="B1103" s="3" t="s">
        <v>736</v>
      </c>
      <c r="C1103" s="29">
        <f>ROUND(Balances[[#This Row],[Total]]*40%,0)</f>
        <v>52554</v>
      </c>
      <c r="D1103" s="29">
        <f>ROUND(Balances[[#This Row],[Total]]*20%,0)</f>
        <v>26277</v>
      </c>
      <c r="E1103" s="29">
        <f>ROUND(Balances[[#This Row],[Total]]*40%,0)</f>
        <v>52554</v>
      </c>
      <c r="F1103" s="29">
        <f>SUM(Acueducto[[#This Row],[Acueducto]:[Aseo]])</f>
        <v>131385</v>
      </c>
    </row>
    <row r="1104" spans="1:6" ht="15" x14ac:dyDescent="0.2">
      <c r="A1104" s="7">
        <v>243626</v>
      </c>
      <c r="B1104" s="3" t="s">
        <v>254</v>
      </c>
      <c r="C1104" s="29">
        <f>ROUND(Balances[[#This Row],[Total]]*40%,0)</f>
        <v>0</v>
      </c>
      <c r="D1104" s="29">
        <f>ROUND(Balances[[#This Row],[Total]]*20%,0)</f>
        <v>0</v>
      </c>
      <c r="E1104" s="29">
        <f>ROUND(Balances[[#This Row],[Total]]*40%,0)</f>
        <v>0</v>
      </c>
      <c r="F1104" s="18">
        <f>SUM(Acueducto[[#This Row],[Acueducto]:[Aseo]])</f>
        <v>0</v>
      </c>
    </row>
    <row r="1105" spans="1:6" ht="15" x14ac:dyDescent="0.2">
      <c r="A1105" s="7">
        <v>243627</v>
      </c>
      <c r="B1105" s="3" t="s">
        <v>737</v>
      </c>
      <c r="C1105" s="29">
        <f>ROUND(Balances[[#This Row],[Total]]*40%,0)</f>
        <v>0</v>
      </c>
      <c r="D1105" s="29">
        <f>ROUND(Balances[[#This Row],[Total]]*20%,0)</f>
        <v>0</v>
      </c>
      <c r="E1105" s="29">
        <f>ROUND(Balances[[#This Row],[Total]]*40%,0)</f>
        <v>0</v>
      </c>
      <c r="F1105" s="18">
        <f>SUM(Acueducto[[#This Row],[Acueducto]:[Aseo]])</f>
        <v>0</v>
      </c>
    </row>
    <row r="1106" spans="1:6" ht="15" x14ac:dyDescent="0.2">
      <c r="A1106" s="7">
        <v>243628</v>
      </c>
      <c r="B1106" s="3" t="s">
        <v>738</v>
      </c>
      <c r="C1106" s="29">
        <f>ROUND(Balances[[#This Row],[Total]]*40%,0)</f>
        <v>0</v>
      </c>
      <c r="D1106" s="29">
        <f>ROUND(Balances[[#This Row],[Total]]*20%,0)</f>
        <v>0</v>
      </c>
      <c r="E1106" s="29">
        <f>ROUND(Balances[[#This Row],[Total]]*40%,0)</f>
        <v>0</v>
      </c>
      <c r="F1106" s="18">
        <f>SUM(Acueducto[[#This Row],[Acueducto]:[Aseo]])</f>
        <v>0</v>
      </c>
    </row>
    <row r="1107" spans="1:6" ht="15" x14ac:dyDescent="0.2">
      <c r="A1107" s="7">
        <v>243690</v>
      </c>
      <c r="B1107" s="3" t="s">
        <v>739</v>
      </c>
      <c r="C1107" s="29">
        <f>ROUND(Balances[[#This Row],[Total]]*40%,0)</f>
        <v>0</v>
      </c>
      <c r="D1107" s="29">
        <f>ROUND(Balances[[#This Row],[Total]]*20%,0)</f>
        <v>0</v>
      </c>
      <c r="E1107" s="29">
        <f>ROUND(Balances[[#This Row],[Total]]*40%,0)</f>
        <v>0</v>
      </c>
      <c r="F1107" s="18">
        <f>SUM(Acueducto[[#This Row],[Acueducto]:[Aseo]])</f>
        <v>0</v>
      </c>
    </row>
    <row r="1108" spans="1:6" ht="15" x14ac:dyDescent="0.2">
      <c r="A1108" s="7">
        <v>243695</v>
      </c>
      <c r="B1108" s="3" t="s">
        <v>740</v>
      </c>
      <c r="C1108" s="29">
        <f>ROUND(Balances[[#This Row],[Total]]*40%,0)</f>
        <v>0</v>
      </c>
      <c r="D1108" s="29">
        <f>ROUND(Balances[[#This Row],[Total]]*20%,0)</f>
        <v>0</v>
      </c>
      <c r="E1108" s="29">
        <f>ROUND(Balances[[#This Row],[Total]]*40%,0)</f>
        <v>0</v>
      </c>
      <c r="F1108" s="18">
        <f>SUM(Acueducto[[#This Row],[Acueducto]:[Aseo]])</f>
        <v>0</v>
      </c>
    </row>
    <row r="1109" spans="1:6" ht="15" x14ac:dyDescent="0.2">
      <c r="A1109" s="7">
        <v>243698</v>
      </c>
      <c r="B1109" s="3" t="s">
        <v>741</v>
      </c>
      <c r="C1109" s="29">
        <f>ROUND(Balances[[#This Row],[Total]]*40%,0)</f>
        <v>0</v>
      </c>
      <c r="D1109" s="29">
        <f>ROUND(Balances[[#This Row],[Total]]*20%,0)</f>
        <v>0</v>
      </c>
      <c r="E1109" s="29">
        <f>ROUND(Balances[[#This Row],[Total]]*40%,0)</f>
        <v>0</v>
      </c>
      <c r="F1109" s="18">
        <f>SUM(Acueducto[[#This Row],[Acueducto]:[Aseo]])</f>
        <v>0</v>
      </c>
    </row>
    <row r="1110" spans="1:6" ht="15" x14ac:dyDescent="0.2">
      <c r="A1110" s="6">
        <v>2440</v>
      </c>
      <c r="B1110" s="2" t="s">
        <v>742</v>
      </c>
      <c r="C1110" s="28">
        <f>ROUND(Balances[[#This Row],[Total]]*40%,0)</f>
        <v>360069923</v>
      </c>
      <c r="D1110" s="28">
        <f>ROUND(Balances[[#This Row],[Total]]*20%,0)</f>
        <v>180034961</v>
      </c>
      <c r="E1110" s="28">
        <f>ROUND(Balances[[#This Row],[Total]]*40%,0)</f>
        <v>360069923</v>
      </c>
      <c r="F1110" s="17">
        <f>SUM(Acueducto[[#This Row],[Acueducto]:[Aseo]])</f>
        <v>900174807</v>
      </c>
    </row>
    <row r="1111" spans="1:6" ht="15" x14ac:dyDescent="0.2">
      <c r="A1111" s="7">
        <v>244001</v>
      </c>
      <c r="B1111" s="3" t="s">
        <v>743</v>
      </c>
      <c r="C1111" s="29">
        <f>ROUND(Balances[[#This Row],[Total]]*40%,0)</f>
        <v>0</v>
      </c>
      <c r="D1111" s="29">
        <f>ROUND(Balances[[#This Row],[Total]]*20%,0)</f>
        <v>0</v>
      </c>
      <c r="E1111" s="29">
        <f>ROUND(Balances[[#This Row],[Total]]*40%,0)</f>
        <v>0</v>
      </c>
      <c r="F1111" s="18">
        <f>SUM(Acueducto[[#This Row],[Acueducto]:[Aseo]])</f>
        <v>0</v>
      </c>
    </row>
    <row r="1112" spans="1:6" ht="15" x14ac:dyDescent="0.2">
      <c r="A1112" s="7">
        <v>244003</v>
      </c>
      <c r="B1112" s="3" t="s">
        <v>744</v>
      </c>
      <c r="C1112" s="29">
        <f>ROUND(Balances[[#This Row],[Total]]*40%,0)</f>
        <v>0</v>
      </c>
      <c r="D1112" s="29">
        <f>ROUND(Balances[[#This Row],[Total]]*20%,0)</f>
        <v>0</v>
      </c>
      <c r="E1112" s="29">
        <f>ROUND(Balances[[#This Row],[Total]]*40%,0)</f>
        <v>0</v>
      </c>
      <c r="F1112" s="18">
        <f>SUM(Acueducto[[#This Row],[Acueducto]:[Aseo]])</f>
        <v>0</v>
      </c>
    </row>
    <row r="1113" spans="1:6" ht="15" x14ac:dyDescent="0.2">
      <c r="A1113" s="7">
        <v>244004</v>
      </c>
      <c r="B1113" s="3" t="s">
        <v>745</v>
      </c>
      <c r="C1113" s="29">
        <f>ROUND(Balances[[#This Row],[Total]]*40%,0)</f>
        <v>0</v>
      </c>
      <c r="D1113" s="29">
        <f>ROUND(Balances[[#This Row],[Total]]*20%,0)</f>
        <v>0</v>
      </c>
      <c r="E1113" s="29">
        <f>ROUND(Balances[[#This Row],[Total]]*40%,0)</f>
        <v>0</v>
      </c>
      <c r="F1113" s="18">
        <f>SUM(Acueducto[[#This Row],[Acueducto]:[Aseo]])</f>
        <v>0</v>
      </c>
    </row>
    <row r="1114" spans="1:6" ht="15" x14ac:dyDescent="0.2">
      <c r="A1114" s="7">
        <v>244007</v>
      </c>
      <c r="B1114" s="3" t="s">
        <v>746</v>
      </c>
      <c r="C1114" s="29">
        <f>ROUND(Balances[[#This Row],[Total]]*40%,0)</f>
        <v>0</v>
      </c>
      <c r="D1114" s="29">
        <f>ROUND(Balances[[#This Row],[Total]]*20%,0)</f>
        <v>0</v>
      </c>
      <c r="E1114" s="29">
        <f>ROUND(Balances[[#This Row],[Total]]*40%,0)</f>
        <v>0</v>
      </c>
      <c r="F1114" s="18">
        <f>SUM(Acueducto[[#This Row],[Acueducto]:[Aseo]])</f>
        <v>0</v>
      </c>
    </row>
    <row r="1115" spans="1:6" ht="15" x14ac:dyDescent="0.2">
      <c r="A1115" s="7">
        <v>244009</v>
      </c>
      <c r="B1115" s="3" t="s">
        <v>747</v>
      </c>
      <c r="C1115" s="29">
        <f>ROUND(Balances[[#This Row],[Total]]*40%,0)</f>
        <v>0</v>
      </c>
      <c r="D1115" s="29">
        <f>ROUND(Balances[[#This Row],[Total]]*20%,0)</f>
        <v>0</v>
      </c>
      <c r="E1115" s="29">
        <f>ROUND(Balances[[#This Row],[Total]]*40%,0)</f>
        <v>0</v>
      </c>
      <c r="F1115" s="18">
        <f>SUM(Acueducto[[#This Row],[Acueducto]:[Aseo]])</f>
        <v>0</v>
      </c>
    </row>
    <row r="1116" spans="1:6" ht="15" x14ac:dyDescent="0.2">
      <c r="A1116" s="7">
        <v>244010</v>
      </c>
      <c r="B1116" s="3" t="s">
        <v>748</v>
      </c>
      <c r="C1116" s="29">
        <f>ROUND(Balances[[#This Row],[Total]]*40%,0)</f>
        <v>0</v>
      </c>
      <c r="D1116" s="29">
        <f>ROUND(Balances[[#This Row],[Total]]*20%,0)</f>
        <v>0</v>
      </c>
      <c r="E1116" s="29">
        <f>ROUND(Balances[[#This Row],[Total]]*40%,0)</f>
        <v>0</v>
      </c>
      <c r="F1116" s="18">
        <f>SUM(Acueducto[[#This Row],[Acueducto]:[Aseo]])</f>
        <v>0</v>
      </c>
    </row>
    <row r="1117" spans="1:6" ht="15" x14ac:dyDescent="0.2">
      <c r="A1117" s="7">
        <v>244011</v>
      </c>
      <c r="B1117" s="3" t="s">
        <v>749</v>
      </c>
      <c r="C1117" s="29">
        <f>ROUND(Balances[[#This Row],[Total]]*40%,0)</f>
        <v>0</v>
      </c>
      <c r="D1117" s="29">
        <f>ROUND(Balances[[#This Row],[Total]]*20%,0)</f>
        <v>0</v>
      </c>
      <c r="E1117" s="29">
        <f>ROUND(Balances[[#This Row],[Total]]*40%,0)</f>
        <v>0</v>
      </c>
      <c r="F1117" s="18">
        <f>SUM(Acueducto[[#This Row],[Acueducto]:[Aseo]])</f>
        <v>0</v>
      </c>
    </row>
    <row r="1118" spans="1:6" ht="15" x14ac:dyDescent="0.2">
      <c r="A1118" s="7">
        <v>244014</v>
      </c>
      <c r="B1118" s="3" t="s">
        <v>750</v>
      </c>
      <c r="C1118" s="29">
        <f>ROUND(Balances[[#This Row],[Total]]*40%,0)</f>
        <v>0</v>
      </c>
      <c r="D1118" s="29">
        <f>ROUND(Balances[[#This Row],[Total]]*20%,0)</f>
        <v>0</v>
      </c>
      <c r="E1118" s="29">
        <f>ROUND(Balances[[#This Row],[Total]]*40%,0)</f>
        <v>0</v>
      </c>
      <c r="F1118" s="18">
        <f>SUM(Acueducto[[#This Row],[Acueducto]:[Aseo]])</f>
        <v>0</v>
      </c>
    </row>
    <row r="1119" spans="1:6" ht="15" x14ac:dyDescent="0.2">
      <c r="A1119" s="7">
        <v>244016</v>
      </c>
      <c r="B1119" s="3" t="s">
        <v>751</v>
      </c>
      <c r="C1119" s="29">
        <f>ROUND(Balances[[#This Row],[Total]]*40%,0)</f>
        <v>0</v>
      </c>
      <c r="D1119" s="29">
        <f>ROUND(Balances[[#This Row],[Total]]*20%,0)</f>
        <v>0</v>
      </c>
      <c r="E1119" s="29">
        <f>ROUND(Balances[[#This Row],[Total]]*40%,0)</f>
        <v>0</v>
      </c>
      <c r="F1119" s="18">
        <f>SUM(Acueducto[[#This Row],[Acueducto]:[Aseo]])</f>
        <v>0</v>
      </c>
    </row>
    <row r="1120" spans="1:6" ht="15" x14ac:dyDescent="0.2">
      <c r="A1120" s="7">
        <v>244017</v>
      </c>
      <c r="B1120" s="3" t="s">
        <v>252</v>
      </c>
      <c r="C1120" s="29">
        <f>ROUND(Balances[[#This Row],[Total]]*40%,0)</f>
        <v>0</v>
      </c>
      <c r="D1120" s="29">
        <f>ROUND(Balances[[#This Row],[Total]]*20%,0)</f>
        <v>0</v>
      </c>
      <c r="E1120" s="29">
        <f>ROUND(Balances[[#This Row],[Total]]*40%,0)</f>
        <v>0</v>
      </c>
      <c r="F1120" s="18">
        <f>SUM(Acueducto[[#This Row],[Acueducto]:[Aseo]])</f>
        <v>0</v>
      </c>
    </row>
    <row r="1121" spans="1:6" ht="15" x14ac:dyDescent="0.2">
      <c r="A1121" s="7">
        <v>244019</v>
      </c>
      <c r="B1121" s="3" t="s">
        <v>741</v>
      </c>
      <c r="C1121" s="29">
        <f>ROUND(Balances[[#This Row],[Total]]*40%,0)</f>
        <v>0</v>
      </c>
      <c r="D1121" s="29">
        <f>ROUND(Balances[[#This Row],[Total]]*20%,0)</f>
        <v>0</v>
      </c>
      <c r="E1121" s="29">
        <f>ROUND(Balances[[#This Row],[Total]]*40%,0)</f>
        <v>0</v>
      </c>
      <c r="F1121" s="18">
        <f>SUM(Acueducto[[#This Row],[Acueducto]:[Aseo]])</f>
        <v>0</v>
      </c>
    </row>
    <row r="1122" spans="1:6" ht="15" x14ac:dyDescent="0.2">
      <c r="A1122" s="7">
        <v>244020</v>
      </c>
      <c r="B1122" s="3" t="s">
        <v>752</v>
      </c>
      <c r="C1122" s="29">
        <f>ROUND(Balances[[#This Row],[Total]]*40%,0)</f>
        <v>0</v>
      </c>
      <c r="D1122" s="29">
        <f>ROUND(Balances[[#This Row],[Total]]*20%,0)</f>
        <v>0</v>
      </c>
      <c r="E1122" s="29">
        <f>ROUND(Balances[[#This Row],[Total]]*40%,0)</f>
        <v>0</v>
      </c>
      <c r="F1122" s="18">
        <f>SUM(Acueducto[[#This Row],[Acueducto]:[Aseo]])</f>
        <v>0</v>
      </c>
    </row>
    <row r="1123" spans="1:6" ht="15" x14ac:dyDescent="0.2">
      <c r="A1123" s="7">
        <v>244021</v>
      </c>
      <c r="B1123" s="3" t="s">
        <v>753</v>
      </c>
      <c r="C1123" s="29">
        <f>ROUND(Balances[[#This Row],[Total]]*40%,0)</f>
        <v>0</v>
      </c>
      <c r="D1123" s="29">
        <f>ROUND(Balances[[#This Row],[Total]]*20%,0)</f>
        <v>0</v>
      </c>
      <c r="E1123" s="29">
        <f>ROUND(Balances[[#This Row],[Total]]*40%,0)</f>
        <v>0</v>
      </c>
      <c r="F1123" s="18">
        <f>SUM(Acueducto[[#This Row],[Acueducto]:[Aseo]])</f>
        <v>0</v>
      </c>
    </row>
    <row r="1124" spans="1:6" ht="15" x14ac:dyDescent="0.2">
      <c r="A1124" s="7">
        <v>244022</v>
      </c>
      <c r="B1124" s="3" t="s">
        <v>754</v>
      </c>
      <c r="C1124" s="29">
        <f>ROUND(Balances[[#This Row],[Total]]*40%,0)</f>
        <v>0</v>
      </c>
      <c r="D1124" s="29">
        <f>ROUND(Balances[[#This Row],[Total]]*20%,0)</f>
        <v>0</v>
      </c>
      <c r="E1124" s="29">
        <f>ROUND(Balances[[#This Row],[Total]]*40%,0)</f>
        <v>0</v>
      </c>
      <c r="F1124" s="18">
        <f>SUM(Acueducto[[#This Row],[Acueducto]:[Aseo]])</f>
        <v>0</v>
      </c>
    </row>
    <row r="1125" spans="1:6" ht="15" x14ac:dyDescent="0.2">
      <c r="A1125" s="7">
        <v>244023</v>
      </c>
      <c r="B1125" s="3" t="s">
        <v>755</v>
      </c>
      <c r="C1125" s="29">
        <f>ROUND(Balances[[#This Row],[Total]]*40%,0)</f>
        <v>0</v>
      </c>
      <c r="D1125" s="29">
        <f>ROUND(Balances[[#This Row],[Total]]*20%,0)</f>
        <v>0</v>
      </c>
      <c r="E1125" s="29">
        <f>ROUND(Balances[[#This Row],[Total]]*40%,0)</f>
        <v>0</v>
      </c>
      <c r="F1125" s="18">
        <f>SUM(Acueducto[[#This Row],[Acueducto]:[Aseo]])</f>
        <v>0</v>
      </c>
    </row>
    <row r="1126" spans="1:6" ht="15" x14ac:dyDescent="0.2">
      <c r="A1126" s="7">
        <v>244024</v>
      </c>
      <c r="B1126" s="3" t="s">
        <v>756</v>
      </c>
      <c r="C1126" s="29">
        <f>ROUND(Balances[[#This Row],[Total]]*40%,0)</f>
        <v>0</v>
      </c>
      <c r="D1126" s="29">
        <f>ROUND(Balances[[#This Row],[Total]]*20%,0)</f>
        <v>0</v>
      </c>
      <c r="E1126" s="29">
        <f>ROUND(Balances[[#This Row],[Total]]*40%,0)</f>
        <v>0</v>
      </c>
      <c r="F1126" s="18">
        <f>SUM(Acueducto[[#This Row],[Acueducto]:[Aseo]])</f>
        <v>0</v>
      </c>
    </row>
    <row r="1127" spans="1:6" ht="15" x14ac:dyDescent="0.2">
      <c r="A1127" s="7">
        <v>244027</v>
      </c>
      <c r="B1127" s="3" t="s">
        <v>757</v>
      </c>
      <c r="C1127" s="29">
        <f>ROUND(Balances[[#This Row],[Total]]*40%,0)</f>
        <v>0</v>
      </c>
      <c r="D1127" s="29">
        <f>ROUND(Balances[[#This Row],[Total]]*20%,0)</f>
        <v>0</v>
      </c>
      <c r="E1127" s="29">
        <f>ROUND(Balances[[#This Row],[Total]]*40%,0)</f>
        <v>0</v>
      </c>
      <c r="F1127" s="18">
        <f>SUM(Acueducto[[#This Row],[Acueducto]:[Aseo]])</f>
        <v>0</v>
      </c>
    </row>
    <row r="1128" spans="1:6" ht="15" x14ac:dyDescent="0.2">
      <c r="A1128" s="7">
        <v>244029</v>
      </c>
      <c r="B1128" s="3" t="s">
        <v>758</v>
      </c>
      <c r="C1128" s="29">
        <f>ROUND(Balances[[#This Row],[Total]]*40%,0)</f>
        <v>0</v>
      </c>
      <c r="D1128" s="29">
        <f>ROUND(Balances[[#This Row],[Total]]*20%,0)</f>
        <v>0</v>
      </c>
      <c r="E1128" s="29">
        <f>ROUND(Balances[[#This Row],[Total]]*40%,0)</f>
        <v>0</v>
      </c>
      <c r="F1128" s="18">
        <f>SUM(Acueducto[[#This Row],[Acueducto]:[Aseo]])</f>
        <v>0</v>
      </c>
    </row>
    <row r="1129" spans="1:6" ht="15" x14ac:dyDescent="0.2">
      <c r="A1129" s="7">
        <v>244031</v>
      </c>
      <c r="B1129" s="3" t="s">
        <v>759</v>
      </c>
      <c r="C1129" s="29">
        <f>ROUND(Balances[[#This Row],[Total]]*40%,0)</f>
        <v>0</v>
      </c>
      <c r="D1129" s="29">
        <f>ROUND(Balances[[#This Row],[Total]]*20%,0)</f>
        <v>0</v>
      </c>
      <c r="E1129" s="29">
        <f>ROUND(Balances[[#This Row],[Total]]*40%,0)</f>
        <v>0</v>
      </c>
      <c r="F1129" s="18">
        <f>SUM(Acueducto[[#This Row],[Acueducto]:[Aseo]])</f>
        <v>0</v>
      </c>
    </row>
    <row r="1130" spans="1:6" ht="15" x14ac:dyDescent="0.2">
      <c r="A1130" s="7">
        <v>244032</v>
      </c>
      <c r="B1130" s="3" t="s">
        <v>760</v>
      </c>
      <c r="C1130" s="29">
        <f>ROUND(Balances[[#This Row],[Total]]*40%,0)</f>
        <v>0</v>
      </c>
      <c r="D1130" s="29">
        <f>ROUND(Balances[[#This Row],[Total]]*20%,0)</f>
        <v>0</v>
      </c>
      <c r="E1130" s="29">
        <f>ROUND(Balances[[#This Row],[Total]]*40%,0)</f>
        <v>0</v>
      </c>
      <c r="F1130" s="18">
        <f>SUM(Acueducto[[#This Row],[Acueducto]:[Aseo]])</f>
        <v>0</v>
      </c>
    </row>
    <row r="1131" spans="1:6" ht="15" x14ac:dyDescent="0.2">
      <c r="A1131" s="7">
        <v>244034</v>
      </c>
      <c r="B1131" s="3" t="s">
        <v>761</v>
      </c>
      <c r="C1131" s="29">
        <f>ROUND(Balances[[#This Row],[Total]]*40%,0)</f>
        <v>0</v>
      </c>
      <c r="D1131" s="29">
        <f>ROUND(Balances[[#This Row],[Total]]*20%,0)</f>
        <v>0</v>
      </c>
      <c r="E1131" s="29">
        <f>ROUND(Balances[[#This Row],[Total]]*40%,0)</f>
        <v>0</v>
      </c>
      <c r="F1131" s="18">
        <f>SUM(Acueducto[[#This Row],[Acueducto]:[Aseo]])</f>
        <v>0</v>
      </c>
    </row>
    <row r="1132" spans="1:6" ht="15" x14ac:dyDescent="0.2">
      <c r="A1132" s="7">
        <v>244035</v>
      </c>
      <c r="B1132" s="3" t="s">
        <v>113</v>
      </c>
      <c r="C1132" s="29">
        <f>ROUND(Balances[[#This Row],[Total]]*40%,0)</f>
        <v>0</v>
      </c>
      <c r="D1132" s="29">
        <f>ROUND(Balances[[#This Row],[Total]]*20%,0)</f>
        <v>0</v>
      </c>
      <c r="E1132" s="29">
        <f>ROUND(Balances[[#This Row],[Total]]*40%,0)</f>
        <v>0</v>
      </c>
      <c r="F1132" s="18">
        <f>SUM(Acueducto[[#This Row],[Acueducto]:[Aseo]])</f>
        <v>0</v>
      </c>
    </row>
    <row r="1133" spans="1:6" ht="15" x14ac:dyDescent="0.2">
      <c r="A1133" s="7">
        <v>244036</v>
      </c>
      <c r="B1133" s="3" t="s">
        <v>762</v>
      </c>
      <c r="C1133" s="29">
        <f>ROUND(Balances[[#This Row],[Total]]*40%,0)</f>
        <v>0</v>
      </c>
      <c r="D1133" s="29">
        <f>ROUND(Balances[[#This Row],[Total]]*20%,0)</f>
        <v>0</v>
      </c>
      <c r="E1133" s="29">
        <f>ROUND(Balances[[#This Row],[Total]]*40%,0)</f>
        <v>0</v>
      </c>
      <c r="F1133" s="18">
        <f>SUM(Acueducto[[#This Row],[Acueducto]:[Aseo]])</f>
        <v>0</v>
      </c>
    </row>
    <row r="1134" spans="1:6" ht="15" x14ac:dyDescent="0.2">
      <c r="A1134" s="7">
        <v>244037</v>
      </c>
      <c r="B1134" s="3" t="s">
        <v>763</v>
      </c>
      <c r="C1134" s="29">
        <f>ROUND(Balances[[#This Row],[Total]]*40%,0)</f>
        <v>0</v>
      </c>
      <c r="D1134" s="29">
        <f>ROUND(Balances[[#This Row],[Total]]*20%,0)</f>
        <v>0</v>
      </c>
      <c r="E1134" s="29">
        <f>ROUND(Balances[[#This Row],[Total]]*40%,0)</f>
        <v>0</v>
      </c>
      <c r="F1134" s="18">
        <f>SUM(Acueducto[[#This Row],[Acueducto]:[Aseo]])</f>
        <v>0</v>
      </c>
    </row>
    <row r="1135" spans="1:6" ht="15" x14ac:dyDescent="0.2">
      <c r="A1135" s="7">
        <v>244075</v>
      </c>
      <c r="B1135" s="3" t="s">
        <v>764</v>
      </c>
      <c r="C1135" s="29">
        <f>ROUND(Balances[[#This Row],[Total]]*40%,0)</f>
        <v>0</v>
      </c>
      <c r="D1135" s="29">
        <f>ROUND(Balances[[#This Row],[Total]]*20%,0)</f>
        <v>0</v>
      </c>
      <c r="E1135" s="29">
        <f>ROUND(Balances[[#This Row],[Total]]*40%,0)</f>
        <v>0</v>
      </c>
      <c r="F1135" s="18">
        <f>SUM(Acueducto[[#This Row],[Acueducto]:[Aseo]])</f>
        <v>0</v>
      </c>
    </row>
    <row r="1136" spans="1:6" ht="15" x14ac:dyDescent="0.2">
      <c r="A1136" s="7">
        <v>244080</v>
      </c>
      <c r="B1136" s="3" t="s">
        <v>765</v>
      </c>
      <c r="C1136" s="29">
        <f>ROUND(Balances[[#This Row],[Total]]*40%,0)</f>
        <v>0</v>
      </c>
      <c r="D1136" s="29">
        <f>ROUND(Balances[[#This Row],[Total]]*20%,0)</f>
        <v>0</v>
      </c>
      <c r="E1136" s="29">
        <f>ROUND(Balances[[#This Row],[Total]]*40%,0)</f>
        <v>0</v>
      </c>
      <c r="F1136" s="18">
        <f>SUM(Acueducto[[#This Row],[Acueducto]:[Aseo]])</f>
        <v>0</v>
      </c>
    </row>
    <row r="1137" spans="1:6" ht="15" x14ac:dyDescent="0.2">
      <c r="A1137" s="7">
        <v>244085</v>
      </c>
      <c r="B1137" s="3" t="s">
        <v>766</v>
      </c>
      <c r="C1137" s="29">
        <f>ROUND(Balances[[#This Row],[Total]]*40%,0)</f>
        <v>0</v>
      </c>
      <c r="D1137" s="29">
        <f>ROUND(Balances[[#This Row],[Total]]*20%,0)</f>
        <v>0</v>
      </c>
      <c r="E1137" s="29">
        <f>ROUND(Balances[[#This Row],[Total]]*40%,0)</f>
        <v>0</v>
      </c>
      <c r="F1137" s="18">
        <f>SUM(Acueducto[[#This Row],[Acueducto]:[Aseo]])</f>
        <v>0</v>
      </c>
    </row>
    <row r="1138" spans="1:6" ht="15" x14ac:dyDescent="0.2">
      <c r="A1138" s="7">
        <v>244090</v>
      </c>
      <c r="B1138" s="3" t="s">
        <v>767</v>
      </c>
      <c r="C1138" s="29">
        <f>ROUND(Balances[[#This Row],[Total]]*40%,0)</f>
        <v>0</v>
      </c>
      <c r="D1138" s="29">
        <f>ROUND(Balances[[#This Row],[Total]]*20%,0)</f>
        <v>0</v>
      </c>
      <c r="E1138" s="29">
        <f>ROUND(Balances[[#This Row],[Total]]*40%,0)</f>
        <v>0</v>
      </c>
      <c r="F1138" s="18">
        <f>SUM(Acueducto[[#This Row],[Acueducto]:[Aseo]])</f>
        <v>0</v>
      </c>
    </row>
    <row r="1139" spans="1:6" ht="15" x14ac:dyDescent="0.2">
      <c r="A1139" s="7">
        <v>244091</v>
      </c>
      <c r="B1139" s="3" t="s">
        <v>768</v>
      </c>
      <c r="C1139" s="29">
        <f>ROUND(Balances[[#This Row],[Total]]*40%,0)</f>
        <v>360069923</v>
      </c>
      <c r="D1139" s="29">
        <f>ROUND(Balances[[#This Row],[Total]]*20%,0)</f>
        <v>180034961</v>
      </c>
      <c r="E1139" s="29">
        <f>ROUND(Balances[[#This Row],[Total]]*40%,0)</f>
        <v>360069923</v>
      </c>
      <c r="F1139" s="18">
        <f>SUM(Acueducto[[#This Row],[Acueducto]:[Aseo]])</f>
        <v>900174807</v>
      </c>
    </row>
    <row r="1140" spans="1:6" ht="15" x14ac:dyDescent="0.2">
      <c r="A1140" s="6">
        <v>2445</v>
      </c>
      <c r="B1140" s="2" t="s">
        <v>769</v>
      </c>
      <c r="C1140" s="28">
        <f>ROUND(Balances[[#This Row],[Total]]*40%,0)</f>
        <v>0</v>
      </c>
      <c r="D1140" s="28">
        <f>ROUND(Balances[[#This Row],[Total]]*20%,0)</f>
        <v>0</v>
      </c>
      <c r="E1140" s="28">
        <f>ROUND(Balances[[#This Row],[Total]]*40%,0)</f>
        <v>0</v>
      </c>
      <c r="F1140" s="17">
        <f>SUM(Acueducto[[#This Row],[Acueducto]:[Aseo]])</f>
        <v>0</v>
      </c>
    </row>
    <row r="1141" spans="1:6" ht="15" x14ac:dyDescent="0.2">
      <c r="A1141" s="7">
        <v>244501</v>
      </c>
      <c r="B1141" s="3" t="s">
        <v>260</v>
      </c>
      <c r="C1141" s="29">
        <f>ROUND(Balances[[#This Row],[Total]]*40%,0)</f>
        <v>0</v>
      </c>
      <c r="D1141" s="29">
        <f>ROUND(Balances[[#This Row],[Total]]*20%,0)</f>
        <v>0</v>
      </c>
      <c r="E1141" s="29">
        <f>ROUND(Balances[[#This Row],[Total]]*40%,0)</f>
        <v>0</v>
      </c>
      <c r="F1141" s="18">
        <f>SUM(Acueducto[[#This Row],[Acueducto]:[Aseo]])</f>
        <v>0</v>
      </c>
    </row>
    <row r="1142" spans="1:6" ht="15" x14ac:dyDescent="0.2">
      <c r="A1142" s="7">
        <v>244502</v>
      </c>
      <c r="B1142" s="3" t="s">
        <v>770</v>
      </c>
      <c r="C1142" s="29">
        <f>ROUND(Balances[[#This Row],[Total]]*40%,0)</f>
        <v>0</v>
      </c>
      <c r="D1142" s="29">
        <f>ROUND(Balances[[#This Row],[Total]]*20%,0)</f>
        <v>0</v>
      </c>
      <c r="E1142" s="29">
        <f>ROUND(Balances[[#This Row],[Total]]*40%,0)</f>
        <v>0</v>
      </c>
      <c r="F1142" s="18">
        <f>SUM(Acueducto[[#This Row],[Acueducto]:[Aseo]])</f>
        <v>0</v>
      </c>
    </row>
    <row r="1143" spans="1:6" ht="15" x14ac:dyDescent="0.2">
      <c r="A1143" s="7">
        <v>244503</v>
      </c>
      <c r="B1143" s="3" t="s">
        <v>771</v>
      </c>
      <c r="C1143" s="29">
        <f>ROUND(Balances[[#This Row],[Total]]*40%,0)</f>
        <v>0</v>
      </c>
      <c r="D1143" s="29">
        <f>ROUND(Balances[[#This Row],[Total]]*20%,0)</f>
        <v>0</v>
      </c>
      <c r="E1143" s="29">
        <f>ROUND(Balances[[#This Row],[Total]]*40%,0)</f>
        <v>0</v>
      </c>
      <c r="F1143" s="18">
        <f>SUM(Acueducto[[#This Row],[Acueducto]:[Aseo]])</f>
        <v>0</v>
      </c>
    </row>
    <row r="1144" spans="1:6" ht="15" x14ac:dyDescent="0.2">
      <c r="A1144" s="7">
        <v>244504</v>
      </c>
      <c r="B1144" s="3" t="s">
        <v>772</v>
      </c>
      <c r="C1144" s="29">
        <f>ROUND(Balances[[#This Row],[Total]]*40%,0)</f>
        <v>0</v>
      </c>
      <c r="D1144" s="29">
        <f>ROUND(Balances[[#This Row],[Total]]*20%,0)</f>
        <v>0</v>
      </c>
      <c r="E1144" s="29">
        <f>ROUND(Balances[[#This Row],[Total]]*40%,0)</f>
        <v>0</v>
      </c>
      <c r="F1144" s="18">
        <f>SUM(Acueducto[[#This Row],[Acueducto]:[Aseo]])</f>
        <v>0</v>
      </c>
    </row>
    <row r="1145" spans="1:6" ht="15" x14ac:dyDescent="0.2">
      <c r="A1145" s="7">
        <v>244505</v>
      </c>
      <c r="B1145" s="3" t="s">
        <v>773</v>
      </c>
      <c r="C1145" s="29">
        <f>ROUND(Balances[[#This Row],[Total]]*40%,0)</f>
        <v>0</v>
      </c>
      <c r="D1145" s="29">
        <f>ROUND(Balances[[#This Row],[Total]]*20%,0)</f>
        <v>0</v>
      </c>
      <c r="E1145" s="29">
        <f>ROUND(Balances[[#This Row],[Total]]*40%,0)</f>
        <v>0</v>
      </c>
      <c r="F1145" s="18">
        <f>SUM(Acueducto[[#This Row],[Acueducto]:[Aseo]])</f>
        <v>0</v>
      </c>
    </row>
    <row r="1146" spans="1:6" ht="15" x14ac:dyDescent="0.2">
      <c r="A1146" s="7">
        <v>244506</v>
      </c>
      <c r="B1146" s="3" t="s">
        <v>774</v>
      </c>
      <c r="C1146" s="29">
        <f>ROUND(Balances[[#This Row],[Total]]*40%,0)</f>
        <v>0</v>
      </c>
      <c r="D1146" s="29">
        <f>ROUND(Balances[[#This Row],[Total]]*20%,0)</f>
        <v>0</v>
      </c>
      <c r="E1146" s="29">
        <f>ROUND(Balances[[#This Row],[Total]]*40%,0)</f>
        <v>0</v>
      </c>
      <c r="F1146" s="18">
        <f>SUM(Acueducto[[#This Row],[Acueducto]:[Aseo]])</f>
        <v>0</v>
      </c>
    </row>
    <row r="1147" spans="1:6" ht="15" x14ac:dyDescent="0.2">
      <c r="A1147" s="7">
        <v>244507</v>
      </c>
      <c r="B1147" s="3" t="s">
        <v>775</v>
      </c>
      <c r="C1147" s="29">
        <f>ROUND(Balances[[#This Row],[Total]]*40%,0)</f>
        <v>0</v>
      </c>
      <c r="D1147" s="29">
        <f>ROUND(Balances[[#This Row],[Total]]*20%,0)</f>
        <v>0</v>
      </c>
      <c r="E1147" s="29">
        <f>ROUND(Balances[[#This Row],[Total]]*40%,0)</f>
        <v>0</v>
      </c>
      <c r="F1147" s="18">
        <f>SUM(Acueducto[[#This Row],[Acueducto]:[Aseo]])</f>
        <v>0</v>
      </c>
    </row>
    <row r="1148" spans="1:6" ht="15" x14ac:dyDescent="0.2">
      <c r="A1148" s="7">
        <v>244508</v>
      </c>
      <c r="B1148" s="3" t="s">
        <v>776</v>
      </c>
      <c r="C1148" s="29">
        <f>ROUND(Balances[[#This Row],[Total]]*40%,0)</f>
        <v>0</v>
      </c>
      <c r="D1148" s="29">
        <f>ROUND(Balances[[#This Row],[Total]]*20%,0)</f>
        <v>0</v>
      </c>
      <c r="E1148" s="29">
        <f>ROUND(Balances[[#This Row],[Total]]*40%,0)</f>
        <v>0</v>
      </c>
      <c r="F1148" s="18">
        <f>SUM(Acueducto[[#This Row],[Acueducto]:[Aseo]])</f>
        <v>0</v>
      </c>
    </row>
    <row r="1149" spans="1:6" ht="15" x14ac:dyDescent="0.2">
      <c r="A1149" s="7">
        <v>244575</v>
      </c>
      <c r="B1149" s="3" t="s">
        <v>777</v>
      </c>
      <c r="C1149" s="29">
        <f>ROUND(Balances[[#This Row],[Total]]*40%,0)</f>
        <v>0</v>
      </c>
      <c r="D1149" s="29">
        <f>ROUND(Balances[[#This Row],[Total]]*20%,0)</f>
        <v>0</v>
      </c>
      <c r="E1149" s="29">
        <f>ROUND(Balances[[#This Row],[Total]]*40%,0)</f>
        <v>0</v>
      </c>
      <c r="F1149" s="18">
        <f>SUM(Acueducto[[#This Row],[Acueducto]:[Aseo]])</f>
        <v>0</v>
      </c>
    </row>
    <row r="1150" spans="1:6" ht="15" x14ac:dyDescent="0.2">
      <c r="A1150" s="7">
        <v>244580</v>
      </c>
      <c r="B1150" s="3" t="s">
        <v>778</v>
      </c>
      <c r="C1150" s="29">
        <f>ROUND(Balances[[#This Row],[Total]]*40%,0)</f>
        <v>0</v>
      </c>
      <c r="D1150" s="29">
        <f>ROUND(Balances[[#This Row],[Total]]*20%,0)</f>
        <v>0</v>
      </c>
      <c r="E1150" s="29">
        <f>ROUND(Balances[[#This Row],[Total]]*40%,0)</f>
        <v>0</v>
      </c>
      <c r="F1150" s="18">
        <f>SUM(Acueducto[[#This Row],[Acueducto]:[Aseo]])</f>
        <v>0</v>
      </c>
    </row>
    <row r="1151" spans="1:6" ht="15" x14ac:dyDescent="0.2">
      <c r="A1151" s="6">
        <v>2460</v>
      </c>
      <c r="B1151" s="2" t="s">
        <v>779</v>
      </c>
      <c r="C1151" s="28">
        <f>ROUND(Balances[[#This Row],[Total]]*40%,0)</f>
        <v>0</v>
      </c>
      <c r="D1151" s="28">
        <f>ROUND(Balances[[#This Row],[Total]]*20%,0)</f>
        <v>0</v>
      </c>
      <c r="E1151" s="28">
        <f>ROUND(Balances[[#This Row],[Total]]*40%,0)</f>
        <v>0</v>
      </c>
      <c r="F1151" s="17">
        <f>SUM(Acueducto[[#This Row],[Acueducto]:[Aseo]])</f>
        <v>0</v>
      </c>
    </row>
    <row r="1152" spans="1:6" ht="15" x14ac:dyDescent="0.2">
      <c r="A1152" s="7">
        <v>246002</v>
      </c>
      <c r="B1152" s="3" t="s">
        <v>780</v>
      </c>
      <c r="C1152" s="29">
        <f>ROUND(Balances[[#This Row],[Total]]*40%,0)</f>
        <v>0</v>
      </c>
      <c r="D1152" s="29">
        <f>ROUND(Balances[[#This Row],[Total]]*20%,0)</f>
        <v>0</v>
      </c>
      <c r="E1152" s="29">
        <f>ROUND(Balances[[#This Row],[Total]]*40%,0)</f>
        <v>0</v>
      </c>
      <c r="F1152" s="18">
        <f>SUM(Acueducto[[#This Row],[Acueducto]:[Aseo]])</f>
        <v>0</v>
      </c>
    </row>
    <row r="1153" spans="1:6" ht="15" x14ac:dyDescent="0.2">
      <c r="A1153" s="7">
        <v>246003</v>
      </c>
      <c r="B1153" s="3" t="s">
        <v>781</v>
      </c>
      <c r="C1153" s="29">
        <f>ROUND(Balances[[#This Row],[Total]]*40%,0)</f>
        <v>0</v>
      </c>
      <c r="D1153" s="29">
        <f>ROUND(Balances[[#This Row],[Total]]*20%,0)</f>
        <v>0</v>
      </c>
      <c r="E1153" s="29">
        <f>ROUND(Balances[[#This Row],[Total]]*40%,0)</f>
        <v>0</v>
      </c>
      <c r="F1153" s="18">
        <f>SUM(Acueducto[[#This Row],[Acueducto]:[Aseo]])</f>
        <v>0</v>
      </c>
    </row>
    <row r="1154" spans="1:6" ht="15" x14ac:dyDescent="0.2">
      <c r="A1154" s="7">
        <v>246090</v>
      </c>
      <c r="B1154" s="3" t="s">
        <v>782</v>
      </c>
      <c r="C1154" s="29">
        <f>ROUND(Balances[[#This Row],[Total]]*40%,0)</f>
        <v>0</v>
      </c>
      <c r="D1154" s="29">
        <f>ROUND(Balances[[#This Row],[Total]]*20%,0)</f>
        <v>0</v>
      </c>
      <c r="E1154" s="29">
        <f>ROUND(Balances[[#This Row],[Total]]*40%,0)</f>
        <v>0</v>
      </c>
      <c r="F1154" s="18">
        <f>SUM(Acueducto[[#This Row],[Acueducto]:[Aseo]])</f>
        <v>0</v>
      </c>
    </row>
    <row r="1155" spans="1:6" ht="15" x14ac:dyDescent="0.2">
      <c r="A1155" s="6">
        <v>2465</v>
      </c>
      <c r="B1155" s="2" t="s">
        <v>783</v>
      </c>
      <c r="C1155" s="28">
        <f>ROUND(Balances[[#This Row],[Total]]*40%,0)</f>
        <v>0</v>
      </c>
      <c r="D1155" s="28">
        <f>ROUND(Balances[[#This Row],[Total]]*20%,0)</f>
        <v>0</v>
      </c>
      <c r="E1155" s="28">
        <f>ROUND(Balances[[#This Row],[Total]]*40%,0)</f>
        <v>0</v>
      </c>
      <c r="F1155" s="17">
        <f>SUM(Acueducto[[#This Row],[Acueducto]:[Aseo]])</f>
        <v>0</v>
      </c>
    </row>
    <row r="1156" spans="1:6" ht="15" x14ac:dyDescent="0.2">
      <c r="A1156" s="7">
        <v>246501</v>
      </c>
      <c r="B1156" s="3" t="s">
        <v>784</v>
      </c>
      <c r="C1156" s="29">
        <f>ROUND(Balances[[#This Row],[Total]]*40%,0)</f>
        <v>0</v>
      </c>
      <c r="D1156" s="29">
        <f>ROUND(Balances[[#This Row],[Total]]*20%,0)</f>
        <v>0</v>
      </c>
      <c r="E1156" s="29">
        <f>ROUND(Balances[[#This Row],[Total]]*40%,0)</f>
        <v>0</v>
      </c>
      <c r="F1156" s="18">
        <f>SUM(Acueducto[[#This Row],[Acueducto]:[Aseo]])</f>
        <v>0</v>
      </c>
    </row>
    <row r="1157" spans="1:6" ht="15" x14ac:dyDescent="0.2">
      <c r="A1157" s="7">
        <v>246502</v>
      </c>
      <c r="B1157" s="3" t="s">
        <v>785</v>
      </c>
      <c r="C1157" s="29">
        <f>ROUND(Balances[[#This Row],[Total]]*40%,0)</f>
        <v>0</v>
      </c>
      <c r="D1157" s="29">
        <f>ROUND(Balances[[#This Row],[Total]]*20%,0)</f>
        <v>0</v>
      </c>
      <c r="E1157" s="29">
        <f>ROUND(Balances[[#This Row],[Total]]*40%,0)</f>
        <v>0</v>
      </c>
      <c r="F1157" s="18">
        <f>SUM(Acueducto[[#This Row],[Acueducto]:[Aseo]])</f>
        <v>0</v>
      </c>
    </row>
    <row r="1158" spans="1:6" ht="15" x14ac:dyDescent="0.2">
      <c r="A1158" s="7">
        <v>246503</v>
      </c>
      <c r="B1158" s="3" t="s">
        <v>786</v>
      </c>
      <c r="C1158" s="29">
        <f>ROUND(Balances[[#This Row],[Total]]*40%,0)</f>
        <v>0</v>
      </c>
      <c r="D1158" s="29">
        <f>ROUND(Balances[[#This Row],[Total]]*20%,0)</f>
        <v>0</v>
      </c>
      <c r="E1158" s="29">
        <f>ROUND(Balances[[#This Row],[Total]]*40%,0)</f>
        <v>0</v>
      </c>
      <c r="F1158" s="18">
        <f>SUM(Acueducto[[#This Row],[Acueducto]:[Aseo]])</f>
        <v>0</v>
      </c>
    </row>
    <row r="1159" spans="1:6" ht="15" x14ac:dyDescent="0.2">
      <c r="A1159" s="7">
        <v>246550</v>
      </c>
      <c r="B1159" s="3" t="s">
        <v>787</v>
      </c>
      <c r="C1159" s="29">
        <f>ROUND(Balances[[#This Row],[Total]]*40%,0)</f>
        <v>0</v>
      </c>
      <c r="D1159" s="29">
        <f>ROUND(Balances[[#This Row],[Total]]*20%,0)</f>
        <v>0</v>
      </c>
      <c r="E1159" s="29">
        <f>ROUND(Balances[[#This Row],[Total]]*40%,0)</f>
        <v>0</v>
      </c>
      <c r="F1159" s="18">
        <f>SUM(Acueducto[[#This Row],[Acueducto]:[Aseo]])</f>
        <v>0</v>
      </c>
    </row>
    <row r="1160" spans="1:6" ht="15" x14ac:dyDescent="0.2">
      <c r="A1160" s="7">
        <v>246590</v>
      </c>
      <c r="B1160" s="3" t="s">
        <v>788</v>
      </c>
      <c r="C1160" s="29">
        <f>ROUND(Balances[[#This Row],[Total]]*40%,0)</f>
        <v>0</v>
      </c>
      <c r="D1160" s="29">
        <f>ROUND(Balances[[#This Row],[Total]]*20%,0)</f>
        <v>0</v>
      </c>
      <c r="E1160" s="29">
        <f>ROUND(Balances[[#This Row],[Total]]*40%,0)</f>
        <v>0</v>
      </c>
      <c r="F1160" s="18">
        <f>SUM(Acueducto[[#This Row],[Acueducto]:[Aseo]])</f>
        <v>0</v>
      </c>
    </row>
    <row r="1161" spans="1:6" ht="15" x14ac:dyDescent="0.2">
      <c r="A1161" s="6">
        <v>2475</v>
      </c>
      <c r="B1161" s="2" t="s">
        <v>789</v>
      </c>
      <c r="C1161" s="28">
        <f>ROUND(Balances[[#This Row],[Total]]*40%,0)</f>
        <v>0</v>
      </c>
      <c r="D1161" s="28">
        <f>ROUND(Balances[[#This Row],[Total]]*20%,0)</f>
        <v>0</v>
      </c>
      <c r="E1161" s="28">
        <f>ROUND(Balances[[#This Row],[Total]]*40%,0)</f>
        <v>0</v>
      </c>
      <c r="F1161" s="17">
        <f>SUM(Acueducto[[#This Row],[Acueducto]:[Aseo]])</f>
        <v>0</v>
      </c>
    </row>
    <row r="1162" spans="1:6" ht="15" x14ac:dyDescent="0.2">
      <c r="A1162" s="7">
        <v>247501</v>
      </c>
      <c r="B1162" s="3" t="s">
        <v>790</v>
      </c>
      <c r="C1162" s="29">
        <f>ROUND(Balances[[#This Row],[Total]]*40%,0)</f>
        <v>0</v>
      </c>
      <c r="D1162" s="29">
        <f>ROUND(Balances[[#This Row],[Total]]*20%,0)</f>
        <v>0</v>
      </c>
      <c r="E1162" s="29">
        <f>ROUND(Balances[[#This Row],[Total]]*40%,0)</f>
        <v>0</v>
      </c>
      <c r="F1162" s="18">
        <f>SUM(Acueducto[[#This Row],[Acueducto]:[Aseo]])</f>
        <v>0</v>
      </c>
    </row>
    <row r="1163" spans="1:6" ht="15" x14ac:dyDescent="0.2">
      <c r="A1163" s="7">
        <v>247507</v>
      </c>
      <c r="B1163" s="3" t="s">
        <v>791</v>
      </c>
      <c r="C1163" s="29">
        <f>ROUND(Balances[[#This Row],[Total]]*40%,0)</f>
        <v>0</v>
      </c>
      <c r="D1163" s="29">
        <f>ROUND(Balances[[#This Row],[Total]]*20%,0)</f>
        <v>0</v>
      </c>
      <c r="E1163" s="29">
        <f>ROUND(Balances[[#This Row],[Total]]*40%,0)</f>
        <v>0</v>
      </c>
      <c r="F1163" s="18">
        <f>SUM(Acueducto[[#This Row],[Acueducto]:[Aseo]])</f>
        <v>0</v>
      </c>
    </row>
    <row r="1164" spans="1:6" ht="15" x14ac:dyDescent="0.2">
      <c r="A1164" s="7">
        <v>247508</v>
      </c>
      <c r="B1164" s="3" t="s">
        <v>792</v>
      </c>
      <c r="C1164" s="29">
        <f>ROUND(Balances[[#This Row],[Total]]*40%,0)</f>
        <v>0</v>
      </c>
      <c r="D1164" s="29">
        <f>ROUND(Balances[[#This Row],[Total]]*20%,0)</f>
        <v>0</v>
      </c>
      <c r="E1164" s="29">
        <f>ROUND(Balances[[#This Row],[Total]]*40%,0)</f>
        <v>0</v>
      </c>
      <c r="F1164" s="18">
        <f>SUM(Acueducto[[#This Row],[Acueducto]:[Aseo]])</f>
        <v>0</v>
      </c>
    </row>
    <row r="1165" spans="1:6" ht="15" x14ac:dyDescent="0.2">
      <c r="A1165" s="7">
        <v>247509</v>
      </c>
      <c r="B1165" s="3" t="s">
        <v>252</v>
      </c>
      <c r="C1165" s="29">
        <f>ROUND(Balances[[#This Row],[Total]]*40%,0)</f>
        <v>0</v>
      </c>
      <c r="D1165" s="29">
        <f>ROUND(Balances[[#This Row],[Total]]*20%,0)</f>
        <v>0</v>
      </c>
      <c r="E1165" s="29">
        <f>ROUND(Balances[[#This Row],[Total]]*40%,0)</f>
        <v>0</v>
      </c>
      <c r="F1165" s="18">
        <f>SUM(Acueducto[[#This Row],[Acueducto]:[Aseo]])</f>
        <v>0</v>
      </c>
    </row>
    <row r="1166" spans="1:6" ht="15" x14ac:dyDescent="0.2">
      <c r="A1166" s="7">
        <v>247510</v>
      </c>
      <c r="B1166" s="3" t="s">
        <v>793</v>
      </c>
      <c r="C1166" s="29">
        <f>ROUND(Balances[[#This Row],[Total]]*40%,0)</f>
        <v>0</v>
      </c>
      <c r="D1166" s="29">
        <f>ROUND(Balances[[#This Row],[Total]]*20%,0)</f>
        <v>0</v>
      </c>
      <c r="E1166" s="29">
        <f>ROUND(Balances[[#This Row],[Total]]*40%,0)</f>
        <v>0</v>
      </c>
      <c r="F1166" s="18">
        <f>SUM(Acueducto[[#This Row],[Acueducto]:[Aseo]])</f>
        <v>0</v>
      </c>
    </row>
    <row r="1167" spans="1:6" ht="15" x14ac:dyDescent="0.2">
      <c r="A1167" s="7">
        <v>247590</v>
      </c>
      <c r="B1167" s="3" t="s">
        <v>794</v>
      </c>
      <c r="C1167" s="29">
        <f>ROUND(Balances[[#This Row],[Total]]*40%,0)</f>
        <v>0</v>
      </c>
      <c r="D1167" s="29">
        <f>ROUND(Balances[[#This Row],[Total]]*20%,0)</f>
        <v>0</v>
      </c>
      <c r="E1167" s="29">
        <f>ROUND(Balances[[#This Row],[Total]]*40%,0)</f>
        <v>0</v>
      </c>
      <c r="F1167" s="18">
        <f>SUM(Acueducto[[#This Row],[Acueducto]:[Aseo]])</f>
        <v>0</v>
      </c>
    </row>
    <row r="1168" spans="1:6" ht="15" x14ac:dyDescent="0.2">
      <c r="A1168" s="6">
        <v>2481</v>
      </c>
      <c r="B1168" s="2" t="s">
        <v>795</v>
      </c>
      <c r="C1168" s="28">
        <f>ROUND(Balances[[#This Row],[Total]]*40%,0)</f>
        <v>0</v>
      </c>
      <c r="D1168" s="28">
        <f>ROUND(Balances[[#This Row],[Total]]*20%,0)</f>
        <v>0</v>
      </c>
      <c r="E1168" s="28">
        <f>ROUND(Balances[[#This Row],[Total]]*40%,0)</f>
        <v>0</v>
      </c>
      <c r="F1168" s="17">
        <f>SUM(Acueducto[[#This Row],[Acueducto]:[Aseo]])</f>
        <v>0</v>
      </c>
    </row>
    <row r="1169" spans="1:6" ht="15" x14ac:dyDescent="0.2">
      <c r="A1169" s="7">
        <v>248101</v>
      </c>
      <c r="B1169" s="3" t="s">
        <v>796</v>
      </c>
      <c r="C1169" s="29">
        <f>ROUND(Balances[[#This Row],[Total]]*40%,0)</f>
        <v>0</v>
      </c>
      <c r="D1169" s="29">
        <f>ROUND(Balances[[#This Row],[Total]]*20%,0)</f>
        <v>0</v>
      </c>
      <c r="E1169" s="29">
        <f>ROUND(Balances[[#This Row],[Total]]*40%,0)</f>
        <v>0</v>
      </c>
      <c r="F1169" s="18">
        <f>SUM(Acueducto[[#This Row],[Acueducto]:[Aseo]])</f>
        <v>0</v>
      </c>
    </row>
    <row r="1170" spans="1:6" ht="15" x14ac:dyDescent="0.2">
      <c r="A1170" s="7">
        <v>248102</v>
      </c>
      <c r="B1170" s="3" t="s">
        <v>797</v>
      </c>
      <c r="C1170" s="29">
        <f>ROUND(Balances[[#This Row],[Total]]*40%,0)</f>
        <v>0</v>
      </c>
      <c r="D1170" s="29">
        <f>ROUND(Balances[[#This Row],[Total]]*20%,0)</f>
        <v>0</v>
      </c>
      <c r="E1170" s="29">
        <f>ROUND(Balances[[#This Row],[Total]]*40%,0)</f>
        <v>0</v>
      </c>
      <c r="F1170" s="18">
        <f>SUM(Acueducto[[#This Row],[Acueducto]:[Aseo]])</f>
        <v>0</v>
      </c>
    </row>
    <row r="1171" spans="1:6" ht="15" x14ac:dyDescent="0.2">
      <c r="A1171" s="7">
        <v>248103</v>
      </c>
      <c r="B1171" s="3" t="s">
        <v>798</v>
      </c>
      <c r="C1171" s="29">
        <f>ROUND(Balances[[#This Row],[Total]]*40%,0)</f>
        <v>0</v>
      </c>
      <c r="D1171" s="29">
        <f>ROUND(Balances[[#This Row],[Total]]*20%,0)</f>
        <v>0</v>
      </c>
      <c r="E1171" s="29">
        <f>ROUND(Balances[[#This Row],[Total]]*40%,0)</f>
        <v>0</v>
      </c>
      <c r="F1171" s="18">
        <f>SUM(Acueducto[[#This Row],[Acueducto]:[Aseo]])</f>
        <v>0</v>
      </c>
    </row>
    <row r="1172" spans="1:6" ht="15" x14ac:dyDescent="0.2">
      <c r="A1172" s="7">
        <v>248104</v>
      </c>
      <c r="B1172" s="3" t="s">
        <v>799</v>
      </c>
      <c r="C1172" s="29">
        <f>ROUND(Balances[[#This Row],[Total]]*40%,0)</f>
        <v>0</v>
      </c>
      <c r="D1172" s="29">
        <f>ROUND(Balances[[#This Row],[Total]]*20%,0)</f>
        <v>0</v>
      </c>
      <c r="E1172" s="29">
        <f>ROUND(Balances[[#This Row],[Total]]*40%,0)</f>
        <v>0</v>
      </c>
      <c r="F1172" s="18">
        <f>SUM(Acueducto[[#This Row],[Acueducto]:[Aseo]])</f>
        <v>0</v>
      </c>
    </row>
    <row r="1173" spans="1:6" ht="15" x14ac:dyDescent="0.2">
      <c r="A1173" s="7">
        <v>248105</v>
      </c>
      <c r="B1173" s="3" t="s">
        <v>800</v>
      </c>
      <c r="C1173" s="29">
        <f>ROUND(Balances[[#This Row],[Total]]*40%,0)</f>
        <v>0</v>
      </c>
      <c r="D1173" s="29">
        <f>ROUND(Balances[[#This Row],[Total]]*20%,0)</f>
        <v>0</v>
      </c>
      <c r="E1173" s="29">
        <f>ROUND(Balances[[#This Row],[Total]]*40%,0)</f>
        <v>0</v>
      </c>
      <c r="F1173" s="18">
        <f>SUM(Acueducto[[#This Row],[Acueducto]:[Aseo]])</f>
        <v>0</v>
      </c>
    </row>
    <row r="1174" spans="1:6" ht="15" x14ac:dyDescent="0.2">
      <c r="A1174" s="7">
        <v>248106</v>
      </c>
      <c r="B1174" s="3" t="s">
        <v>801</v>
      </c>
      <c r="C1174" s="29">
        <f>ROUND(Balances[[#This Row],[Total]]*40%,0)</f>
        <v>0</v>
      </c>
      <c r="D1174" s="29">
        <f>ROUND(Balances[[#This Row],[Total]]*20%,0)</f>
        <v>0</v>
      </c>
      <c r="E1174" s="29">
        <f>ROUND(Balances[[#This Row],[Total]]*40%,0)</f>
        <v>0</v>
      </c>
      <c r="F1174" s="18">
        <f>SUM(Acueducto[[#This Row],[Acueducto]:[Aseo]])</f>
        <v>0</v>
      </c>
    </row>
    <row r="1175" spans="1:6" ht="15" x14ac:dyDescent="0.2">
      <c r="A1175" s="7">
        <v>248107</v>
      </c>
      <c r="B1175" s="3" t="s">
        <v>802</v>
      </c>
      <c r="C1175" s="29">
        <f>ROUND(Balances[[#This Row],[Total]]*40%,0)</f>
        <v>0</v>
      </c>
      <c r="D1175" s="29">
        <f>ROUND(Balances[[#This Row],[Total]]*20%,0)</f>
        <v>0</v>
      </c>
      <c r="E1175" s="29">
        <f>ROUND(Balances[[#This Row],[Total]]*40%,0)</f>
        <v>0</v>
      </c>
      <c r="F1175" s="18">
        <f>SUM(Acueducto[[#This Row],[Acueducto]:[Aseo]])</f>
        <v>0</v>
      </c>
    </row>
    <row r="1176" spans="1:6" ht="15" x14ac:dyDescent="0.2">
      <c r="A1176" s="7">
        <v>248108</v>
      </c>
      <c r="B1176" s="3" t="s">
        <v>803</v>
      </c>
      <c r="C1176" s="29">
        <f>ROUND(Balances[[#This Row],[Total]]*40%,0)</f>
        <v>0</v>
      </c>
      <c r="D1176" s="29">
        <f>ROUND(Balances[[#This Row],[Total]]*20%,0)</f>
        <v>0</v>
      </c>
      <c r="E1176" s="29">
        <f>ROUND(Balances[[#This Row],[Total]]*40%,0)</f>
        <v>0</v>
      </c>
      <c r="F1176" s="18">
        <f>SUM(Acueducto[[#This Row],[Acueducto]:[Aseo]])</f>
        <v>0</v>
      </c>
    </row>
    <row r="1177" spans="1:6" ht="15" x14ac:dyDescent="0.2">
      <c r="A1177" s="7">
        <v>248109</v>
      </c>
      <c r="B1177" s="3" t="s">
        <v>804</v>
      </c>
      <c r="C1177" s="29">
        <f>ROUND(Balances[[#This Row],[Total]]*40%,0)</f>
        <v>0</v>
      </c>
      <c r="D1177" s="29">
        <f>ROUND(Balances[[#This Row],[Total]]*20%,0)</f>
        <v>0</v>
      </c>
      <c r="E1177" s="29">
        <f>ROUND(Balances[[#This Row],[Total]]*40%,0)</f>
        <v>0</v>
      </c>
      <c r="F1177" s="18">
        <f>SUM(Acueducto[[#This Row],[Acueducto]:[Aseo]])</f>
        <v>0</v>
      </c>
    </row>
    <row r="1178" spans="1:6" ht="15" x14ac:dyDescent="0.2">
      <c r="A1178" s="7">
        <v>248110</v>
      </c>
      <c r="B1178" s="3" t="s">
        <v>805</v>
      </c>
      <c r="C1178" s="29">
        <f>ROUND(Balances[[#This Row],[Total]]*40%,0)</f>
        <v>0</v>
      </c>
      <c r="D1178" s="29">
        <f>ROUND(Balances[[#This Row],[Total]]*20%,0)</f>
        <v>0</v>
      </c>
      <c r="E1178" s="29">
        <f>ROUND(Balances[[#This Row],[Total]]*40%,0)</f>
        <v>0</v>
      </c>
      <c r="F1178" s="18">
        <f>SUM(Acueducto[[#This Row],[Acueducto]:[Aseo]])</f>
        <v>0</v>
      </c>
    </row>
    <row r="1179" spans="1:6" ht="15" x14ac:dyDescent="0.2">
      <c r="A1179" s="7">
        <v>248111</v>
      </c>
      <c r="B1179" s="3" t="s">
        <v>806</v>
      </c>
      <c r="C1179" s="29">
        <f>ROUND(Balances[[#This Row],[Total]]*40%,0)</f>
        <v>0</v>
      </c>
      <c r="D1179" s="29">
        <f>ROUND(Balances[[#This Row],[Total]]*20%,0)</f>
        <v>0</v>
      </c>
      <c r="E1179" s="29">
        <f>ROUND(Balances[[#This Row],[Total]]*40%,0)</f>
        <v>0</v>
      </c>
      <c r="F1179" s="18">
        <f>SUM(Acueducto[[#This Row],[Acueducto]:[Aseo]])</f>
        <v>0</v>
      </c>
    </row>
    <row r="1180" spans="1:6" ht="15" x14ac:dyDescent="0.2">
      <c r="A1180" s="7">
        <v>248112</v>
      </c>
      <c r="B1180" s="3" t="s">
        <v>807</v>
      </c>
      <c r="C1180" s="29">
        <f>ROUND(Balances[[#This Row],[Total]]*40%,0)</f>
        <v>0</v>
      </c>
      <c r="D1180" s="29">
        <f>ROUND(Balances[[#This Row],[Total]]*20%,0)</f>
        <v>0</v>
      </c>
      <c r="E1180" s="29">
        <f>ROUND(Balances[[#This Row],[Total]]*40%,0)</f>
        <v>0</v>
      </c>
      <c r="F1180" s="18">
        <f>SUM(Acueducto[[#This Row],[Acueducto]:[Aseo]])</f>
        <v>0</v>
      </c>
    </row>
    <row r="1181" spans="1:6" ht="15" x14ac:dyDescent="0.2">
      <c r="A1181" s="7">
        <v>248113</v>
      </c>
      <c r="B1181" s="3" t="s">
        <v>808</v>
      </c>
      <c r="C1181" s="29">
        <f>ROUND(Balances[[#This Row],[Total]]*40%,0)</f>
        <v>0</v>
      </c>
      <c r="D1181" s="29">
        <f>ROUND(Balances[[#This Row],[Total]]*20%,0)</f>
        <v>0</v>
      </c>
      <c r="E1181" s="29">
        <f>ROUND(Balances[[#This Row],[Total]]*40%,0)</f>
        <v>0</v>
      </c>
      <c r="F1181" s="18">
        <f>SUM(Acueducto[[#This Row],[Acueducto]:[Aseo]])</f>
        <v>0</v>
      </c>
    </row>
    <row r="1182" spans="1:6" ht="15" x14ac:dyDescent="0.2">
      <c r="A1182" s="7">
        <v>248114</v>
      </c>
      <c r="B1182" s="3" t="s">
        <v>809</v>
      </c>
      <c r="C1182" s="29">
        <f>ROUND(Balances[[#This Row],[Total]]*40%,0)</f>
        <v>0</v>
      </c>
      <c r="D1182" s="29">
        <f>ROUND(Balances[[#This Row],[Total]]*20%,0)</f>
        <v>0</v>
      </c>
      <c r="E1182" s="29">
        <f>ROUND(Balances[[#This Row],[Total]]*40%,0)</f>
        <v>0</v>
      </c>
      <c r="F1182" s="18">
        <f>SUM(Acueducto[[#This Row],[Acueducto]:[Aseo]])</f>
        <v>0</v>
      </c>
    </row>
    <row r="1183" spans="1:6" ht="15" x14ac:dyDescent="0.2">
      <c r="A1183" s="7">
        <v>248115</v>
      </c>
      <c r="B1183" s="3" t="s">
        <v>810</v>
      </c>
      <c r="C1183" s="29">
        <f>ROUND(Balances[[#This Row],[Total]]*40%,0)</f>
        <v>0</v>
      </c>
      <c r="D1183" s="29">
        <f>ROUND(Balances[[#This Row],[Total]]*20%,0)</f>
        <v>0</v>
      </c>
      <c r="E1183" s="29">
        <f>ROUND(Balances[[#This Row],[Total]]*40%,0)</f>
        <v>0</v>
      </c>
      <c r="F1183" s="18">
        <f>SUM(Acueducto[[#This Row],[Acueducto]:[Aseo]])</f>
        <v>0</v>
      </c>
    </row>
    <row r="1184" spans="1:6" ht="15" x14ac:dyDescent="0.2">
      <c r="A1184" s="7">
        <v>248116</v>
      </c>
      <c r="B1184" s="3" t="s">
        <v>811</v>
      </c>
      <c r="C1184" s="29">
        <f>ROUND(Balances[[#This Row],[Total]]*40%,0)</f>
        <v>0</v>
      </c>
      <c r="D1184" s="29">
        <f>ROUND(Balances[[#This Row],[Total]]*20%,0)</f>
        <v>0</v>
      </c>
      <c r="E1184" s="29">
        <f>ROUND(Balances[[#This Row],[Total]]*40%,0)</f>
        <v>0</v>
      </c>
      <c r="F1184" s="18">
        <f>SUM(Acueducto[[#This Row],[Acueducto]:[Aseo]])</f>
        <v>0</v>
      </c>
    </row>
    <row r="1185" spans="1:6" ht="15" x14ac:dyDescent="0.2">
      <c r="A1185" s="7">
        <v>248117</v>
      </c>
      <c r="B1185" s="3" t="s">
        <v>812</v>
      </c>
      <c r="C1185" s="29">
        <f>ROUND(Balances[[#This Row],[Total]]*40%,0)</f>
        <v>0</v>
      </c>
      <c r="D1185" s="29">
        <f>ROUND(Balances[[#This Row],[Total]]*20%,0)</f>
        <v>0</v>
      </c>
      <c r="E1185" s="29">
        <f>ROUND(Balances[[#This Row],[Total]]*40%,0)</f>
        <v>0</v>
      </c>
      <c r="F1185" s="18">
        <f>SUM(Acueducto[[#This Row],[Acueducto]:[Aseo]])</f>
        <v>0</v>
      </c>
    </row>
    <row r="1186" spans="1:6" ht="15" x14ac:dyDescent="0.2">
      <c r="A1186" s="7">
        <v>248118</v>
      </c>
      <c r="B1186" s="3" t="s">
        <v>813</v>
      </c>
      <c r="C1186" s="29">
        <f>ROUND(Balances[[#This Row],[Total]]*40%,0)</f>
        <v>0</v>
      </c>
      <c r="D1186" s="29">
        <f>ROUND(Balances[[#This Row],[Total]]*20%,0)</f>
        <v>0</v>
      </c>
      <c r="E1186" s="29">
        <f>ROUND(Balances[[#This Row],[Total]]*40%,0)</f>
        <v>0</v>
      </c>
      <c r="F1186" s="18">
        <f>SUM(Acueducto[[#This Row],[Acueducto]:[Aseo]])</f>
        <v>0</v>
      </c>
    </row>
    <row r="1187" spans="1:6" ht="15" x14ac:dyDescent="0.2">
      <c r="A1187" s="7">
        <v>248190</v>
      </c>
      <c r="B1187" s="3" t="s">
        <v>814</v>
      </c>
      <c r="C1187" s="29">
        <f>ROUND(Balances[[#This Row],[Total]]*40%,0)</f>
        <v>0</v>
      </c>
      <c r="D1187" s="29">
        <f>ROUND(Balances[[#This Row],[Total]]*20%,0)</f>
        <v>0</v>
      </c>
      <c r="E1187" s="29">
        <f>ROUND(Balances[[#This Row],[Total]]*40%,0)</f>
        <v>0</v>
      </c>
      <c r="F1187" s="18">
        <f>SUM(Acueducto[[#This Row],[Acueducto]:[Aseo]])</f>
        <v>0</v>
      </c>
    </row>
    <row r="1188" spans="1:6" ht="15" x14ac:dyDescent="0.2">
      <c r="A1188" s="6">
        <v>2490</v>
      </c>
      <c r="B1188" s="2" t="s">
        <v>815</v>
      </c>
      <c r="C1188" s="28">
        <f>ROUND(Balances[[#This Row],[Total]]*40%,0)</f>
        <v>36000</v>
      </c>
      <c r="D1188" s="28">
        <f>ROUND(Balances[[#This Row],[Total]]*20%,0)</f>
        <v>18000</v>
      </c>
      <c r="E1188" s="28">
        <f>ROUND(Balances[[#This Row],[Total]]*40%,0)</f>
        <v>36000</v>
      </c>
      <c r="F1188" s="28">
        <f>SUM(Acueducto[[#This Row],[Acueducto]:[Aseo]])</f>
        <v>90000</v>
      </c>
    </row>
    <row r="1189" spans="1:6" ht="15" x14ac:dyDescent="0.2">
      <c r="A1189" s="7">
        <v>249007</v>
      </c>
      <c r="B1189" s="3" t="s">
        <v>816</v>
      </c>
      <c r="C1189" s="29">
        <f>ROUND(Balances[[#This Row],[Total]]*40%,0)</f>
        <v>0</v>
      </c>
      <c r="D1189" s="29">
        <f>ROUND(Balances[[#This Row],[Total]]*20%,0)</f>
        <v>0</v>
      </c>
      <c r="E1189" s="29">
        <f>ROUND(Balances[[#This Row],[Total]]*40%,0)</f>
        <v>0</v>
      </c>
      <c r="F1189" s="18">
        <f>SUM(Acueducto[[#This Row],[Acueducto]:[Aseo]])</f>
        <v>0</v>
      </c>
    </row>
    <row r="1190" spans="1:6" ht="15" x14ac:dyDescent="0.2">
      <c r="A1190" s="7">
        <v>249011</v>
      </c>
      <c r="B1190" s="3" t="s">
        <v>817</v>
      </c>
      <c r="C1190" s="29">
        <f>ROUND(Balances[[#This Row],[Total]]*40%,0)</f>
        <v>0</v>
      </c>
      <c r="D1190" s="29">
        <f>ROUND(Balances[[#This Row],[Total]]*20%,0)</f>
        <v>0</v>
      </c>
      <c r="E1190" s="29">
        <f>ROUND(Balances[[#This Row],[Total]]*40%,0)</f>
        <v>0</v>
      </c>
      <c r="F1190" s="18">
        <f>SUM(Acueducto[[#This Row],[Acueducto]:[Aseo]])</f>
        <v>0</v>
      </c>
    </row>
    <row r="1191" spans="1:6" ht="15" x14ac:dyDescent="0.2">
      <c r="A1191" s="7">
        <v>249013</v>
      </c>
      <c r="B1191" s="3" t="s">
        <v>818</v>
      </c>
      <c r="C1191" s="29">
        <f>ROUND(Balances[[#This Row],[Total]]*40%,0)</f>
        <v>0</v>
      </c>
      <c r="D1191" s="29">
        <f>ROUND(Balances[[#This Row],[Total]]*20%,0)</f>
        <v>0</v>
      </c>
      <c r="E1191" s="29">
        <f>ROUND(Balances[[#This Row],[Total]]*40%,0)</f>
        <v>0</v>
      </c>
      <c r="F1191" s="18">
        <f>SUM(Acueducto[[#This Row],[Acueducto]:[Aseo]])</f>
        <v>0</v>
      </c>
    </row>
    <row r="1192" spans="1:6" ht="15" x14ac:dyDescent="0.2">
      <c r="A1192" s="7">
        <v>249015</v>
      </c>
      <c r="B1192" s="3" t="s">
        <v>819</v>
      </c>
      <c r="C1192" s="29">
        <f>ROUND(Balances[[#This Row],[Total]]*40%,0)</f>
        <v>0</v>
      </c>
      <c r="D1192" s="29">
        <f>ROUND(Balances[[#This Row],[Total]]*20%,0)</f>
        <v>0</v>
      </c>
      <c r="E1192" s="29">
        <f>ROUND(Balances[[#This Row],[Total]]*40%,0)</f>
        <v>0</v>
      </c>
      <c r="F1192" s="18">
        <f>SUM(Acueducto[[#This Row],[Acueducto]:[Aseo]])</f>
        <v>0</v>
      </c>
    </row>
    <row r="1193" spans="1:6" ht="15" x14ac:dyDescent="0.2">
      <c r="A1193" s="7">
        <v>249019</v>
      </c>
      <c r="B1193" s="3" t="s">
        <v>820</v>
      </c>
      <c r="C1193" s="29">
        <f>ROUND(Balances[[#This Row],[Total]]*40%,0)</f>
        <v>0</v>
      </c>
      <c r="D1193" s="29">
        <f>ROUND(Balances[[#This Row],[Total]]*20%,0)</f>
        <v>0</v>
      </c>
      <c r="E1193" s="29">
        <f>ROUND(Balances[[#This Row],[Total]]*40%,0)</f>
        <v>0</v>
      </c>
      <c r="F1193" s="18">
        <f>SUM(Acueducto[[#This Row],[Acueducto]:[Aseo]])</f>
        <v>0</v>
      </c>
    </row>
    <row r="1194" spans="1:6" ht="15" x14ac:dyDescent="0.2">
      <c r="A1194" s="7">
        <v>249025</v>
      </c>
      <c r="B1194" s="3" t="s">
        <v>821</v>
      </c>
      <c r="C1194" s="29">
        <f>ROUND(Balances[[#This Row],[Total]]*40%,0)</f>
        <v>0</v>
      </c>
      <c r="D1194" s="29">
        <f>ROUND(Balances[[#This Row],[Total]]*20%,0)</f>
        <v>0</v>
      </c>
      <c r="E1194" s="29">
        <f>ROUND(Balances[[#This Row],[Total]]*40%,0)</f>
        <v>0</v>
      </c>
      <c r="F1194" s="18">
        <f>SUM(Acueducto[[#This Row],[Acueducto]:[Aseo]])</f>
        <v>0</v>
      </c>
    </row>
    <row r="1195" spans="1:6" ht="15" x14ac:dyDescent="0.2">
      <c r="A1195" s="7">
        <v>249026</v>
      </c>
      <c r="B1195" s="3" t="s">
        <v>822</v>
      </c>
      <c r="C1195" s="29">
        <f>ROUND(Balances[[#This Row],[Total]]*40%,0)</f>
        <v>0</v>
      </c>
      <c r="D1195" s="29">
        <f>ROUND(Balances[[#This Row],[Total]]*20%,0)</f>
        <v>0</v>
      </c>
      <c r="E1195" s="29">
        <f>ROUND(Balances[[#This Row],[Total]]*40%,0)</f>
        <v>0</v>
      </c>
      <c r="F1195" s="18">
        <f>SUM(Acueducto[[#This Row],[Acueducto]:[Aseo]])</f>
        <v>0</v>
      </c>
    </row>
    <row r="1196" spans="1:6" ht="15" x14ac:dyDescent="0.2">
      <c r="A1196" s="7">
        <v>249027</v>
      </c>
      <c r="B1196" s="3" t="s">
        <v>823</v>
      </c>
      <c r="C1196" s="29">
        <f>ROUND(Balances[[#This Row],[Total]]*40%,0)</f>
        <v>0</v>
      </c>
      <c r="D1196" s="29">
        <f>ROUND(Balances[[#This Row],[Total]]*20%,0)</f>
        <v>0</v>
      </c>
      <c r="E1196" s="29">
        <f>ROUND(Balances[[#This Row],[Total]]*40%,0)</f>
        <v>0</v>
      </c>
      <c r="F1196" s="29">
        <f>SUM(Acueducto[[#This Row],[Acueducto]:[Aseo]])</f>
        <v>0</v>
      </c>
    </row>
    <row r="1197" spans="1:6" ht="15" x14ac:dyDescent="0.2">
      <c r="A1197" s="7">
        <v>249028</v>
      </c>
      <c r="B1197" s="3" t="s">
        <v>562</v>
      </c>
      <c r="C1197" s="29">
        <f>ROUND(Balances[[#This Row],[Total]]*40%,0)</f>
        <v>0</v>
      </c>
      <c r="D1197" s="29">
        <f>ROUND(Balances[[#This Row],[Total]]*20%,0)</f>
        <v>0</v>
      </c>
      <c r="E1197" s="29">
        <f>ROUND(Balances[[#This Row],[Total]]*40%,0)</f>
        <v>0</v>
      </c>
      <c r="F1197" s="18">
        <f>SUM(Acueducto[[#This Row],[Acueducto]:[Aseo]])</f>
        <v>0</v>
      </c>
    </row>
    <row r="1198" spans="1:6" ht="15" x14ac:dyDescent="0.2">
      <c r="A1198" s="7">
        <v>249029</v>
      </c>
      <c r="B1198" s="3" t="s">
        <v>824</v>
      </c>
      <c r="C1198" s="29">
        <f>ROUND(Balances[[#This Row],[Total]]*40%,0)</f>
        <v>0</v>
      </c>
      <c r="D1198" s="29">
        <f>ROUND(Balances[[#This Row],[Total]]*20%,0)</f>
        <v>0</v>
      </c>
      <c r="E1198" s="29">
        <f>ROUND(Balances[[#This Row],[Total]]*40%,0)</f>
        <v>0</v>
      </c>
      <c r="F1198" s="18">
        <f>SUM(Acueducto[[#This Row],[Acueducto]:[Aseo]])</f>
        <v>0</v>
      </c>
    </row>
    <row r="1199" spans="1:6" ht="15" x14ac:dyDescent="0.2">
      <c r="A1199" s="7">
        <v>249031</v>
      </c>
      <c r="B1199" s="3" t="s">
        <v>825</v>
      </c>
      <c r="C1199" s="29">
        <f>ROUND(Balances[[#This Row],[Total]]*40%,0)</f>
        <v>0</v>
      </c>
      <c r="D1199" s="29">
        <f>ROUND(Balances[[#This Row],[Total]]*20%,0)</f>
        <v>0</v>
      </c>
      <c r="E1199" s="29">
        <f>ROUND(Balances[[#This Row],[Total]]*40%,0)</f>
        <v>0</v>
      </c>
      <c r="F1199" s="18">
        <f>SUM(Acueducto[[#This Row],[Acueducto]:[Aseo]])</f>
        <v>0</v>
      </c>
    </row>
    <row r="1200" spans="1:6" ht="15" x14ac:dyDescent="0.2">
      <c r="A1200" s="7">
        <v>249032</v>
      </c>
      <c r="B1200" s="3" t="s">
        <v>826</v>
      </c>
      <c r="C1200" s="29">
        <f>ROUND(Balances[[#This Row],[Total]]*40%,0)</f>
        <v>0</v>
      </c>
      <c r="D1200" s="29">
        <f>ROUND(Balances[[#This Row],[Total]]*20%,0)</f>
        <v>0</v>
      </c>
      <c r="E1200" s="29">
        <f>ROUND(Balances[[#This Row],[Total]]*40%,0)</f>
        <v>0</v>
      </c>
      <c r="F1200" s="18">
        <f>SUM(Acueducto[[#This Row],[Acueducto]:[Aseo]])</f>
        <v>0</v>
      </c>
    </row>
    <row r="1201" spans="1:6" ht="15" x14ac:dyDescent="0.2">
      <c r="A1201" s="7">
        <v>249033</v>
      </c>
      <c r="B1201" s="3" t="s">
        <v>827</v>
      </c>
      <c r="C1201" s="29">
        <f>ROUND(Balances[[#This Row],[Total]]*40%,0)</f>
        <v>0</v>
      </c>
      <c r="D1201" s="29">
        <f>ROUND(Balances[[#This Row],[Total]]*20%,0)</f>
        <v>0</v>
      </c>
      <c r="E1201" s="29">
        <f>ROUND(Balances[[#This Row],[Total]]*40%,0)</f>
        <v>0</v>
      </c>
      <c r="F1201" s="18">
        <f>SUM(Acueducto[[#This Row],[Acueducto]:[Aseo]])</f>
        <v>0</v>
      </c>
    </row>
    <row r="1202" spans="1:6" ht="15" x14ac:dyDescent="0.2">
      <c r="A1202" s="7">
        <v>249034</v>
      </c>
      <c r="B1202" s="3" t="s">
        <v>828</v>
      </c>
      <c r="C1202" s="29">
        <f>ROUND(Balances[[#This Row],[Total]]*40%,0)</f>
        <v>0</v>
      </c>
      <c r="D1202" s="29">
        <f>ROUND(Balances[[#This Row],[Total]]*20%,0)</f>
        <v>0</v>
      </c>
      <c r="E1202" s="29">
        <f>ROUND(Balances[[#This Row],[Total]]*40%,0)</f>
        <v>0</v>
      </c>
      <c r="F1202" s="29">
        <f>SUM(Acueducto[[#This Row],[Acueducto]:[Aseo]])</f>
        <v>0</v>
      </c>
    </row>
    <row r="1203" spans="1:6" ht="15" x14ac:dyDescent="0.2">
      <c r="A1203" s="7">
        <v>249035</v>
      </c>
      <c r="B1203" s="3" t="s">
        <v>829</v>
      </c>
      <c r="C1203" s="29">
        <f>ROUND(Balances[[#This Row],[Total]]*40%,0)</f>
        <v>0</v>
      </c>
      <c r="D1203" s="29">
        <f>ROUND(Balances[[#This Row],[Total]]*20%,0)</f>
        <v>0</v>
      </c>
      <c r="E1203" s="29">
        <f>ROUND(Balances[[#This Row],[Total]]*40%,0)</f>
        <v>0</v>
      </c>
      <c r="F1203" s="18">
        <f>SUM(Acueducto[[#This Row],[Acueducto]:[Aseo]])</f>
        <v>0</v>
      </c>
    </row>
    <row r="1204" spans="1:6" ht="15" x14ac:dyDescent="0.2">
      <c r="A1204" s="7">
        <v>249036</v>
      </c>
      <c r="B1204" s="3" t="s">
        <v>830</v>
      </c>
      <c r="C1204" s="29">
        <f>ROUND(Balances[[#This Row],[Total]]*40%,0)</f>
        <v>0</v>
      </c>
      <c r="D1204" s="29">
        <f>ROUND(Balances[[#This Row],[Total]]*20%,0)</f>
        <v>0</v>
      </c>
      <c r="E1204" s="29">
        <f>ROUND(Balances[[#This Row],[Total]]*40%,0)</f>
        <v>0</v>
      </c>
      <c r="F1204" s="18">
        <f>SUM(Acueducto[[#This Row],[Acueducto]:[Aseo]])</f>
        <v>0</v>
      </c>
    </row>
    <row r="1205" spans="1:6" ht="15" x14ac:dyDescent="0.2">
      <c r="A1205" s="7">
        <v>249040</v>
      </c>
      <c r="B1205" s="3" t="s">
        <v>831</v>
      </c>
      <c r="C1205" s="29">
        <f>ROUND(Balances[[#This Row],[Total]]*40%,0)</f>
        <v>0</v>
      </c>
      <c r="D1205" s="29">
        <f>ROUND(Balances[[#This Row],[Total]]*20%,0)</f>
        <v>0</v>
      </c>
      <c r="E1205" s="29">
        <f>ROUND(Balances[[#This Row],[Total]]*40%,0)</f>
        <v>0</v>
      </c>
      <c r="F1205" s="18">
        <f>SUM(Acueducto[[#This Row],[Acueducto]:[Aseo]])</f>
        <v>0</v>
      </c>
    </row>
    <row r="1206" spans="1:6" ht="15" x14ac:dyDescent="0.2">
      <c r="A1206" s="7">
        <v>249042</v>
      </c>
      <c r="B1206" s="3" t="s">
        <v>832</v>
      </c>
      <c r="C1206" s="29">
        <f>ROUND(Balances[[#This Row],[Total]]*40%,0)</f>
        <v>0</v>
      </c>
      <c r="D1206" s="29">
        <f>ROUND(Balances[[#This Row],[Total]]*20%,0)</f>
        <v>0</v>
      </c>
      <c r="E1206" s="29">
        <f>ROUND(Balances[[#This Row],[Total]]*40%,0)</f>
        <v>0</v>
      </c>
      <c r="F1206" s="18">
        <f>SUM(Acueducto[[#This Row],[Acueducto]:[Aseo]])</f>
        <v>0</v>
      </c>
    </row>
    <row r="1207" spans="1:6" ht="15" x14ac:dyDescent="0.2">
      <c r="A1207" s="7">
        <v>249044</v>
      </c>
      <c r="B1207" s="3" t="s">
        <v>252</v>
      </c>
      <c r="C1207" s="29">
        <f>ROUND(Balances[[#This Row],[Total]]*40%,0)</f>
        <v>0</v>
      </c>
      <c r="D1207" s="29">
        <f>ROUND(Balances[[#This Row],[Total]]*20%,0)</f>
        <v>0</v>
      </c>
      <c r="E1207" s="29">
        <f>ROUND(Balances[[#This Row],[Total]]*40%,0)</f>
        <v>0</v>
      </c>
      <c r="F1207" s="18">
        <f>SUM(Acueducto[[#This Row],[Acueducto]:[Aseo]])</f>
        <v>0</v>
      </c>
    </row>
    <row r="1208" spans="1:6" ht="15" x14ac:dyDescent="0.2">
      <c r="A1208" s="7">
        <v>249045</v>
      </c>
      <c r="B1208" s="3" t="s">
        <v>833</v>
      </c>
      <c r="C1208" s="29">
        <f>ROUND(Balances[[#This Row],[Total]]*40%,0)</f>
        <v>0</v>
      </c>
      <c r="D1208" s="29">
        <f>ROUND(Balances[[#This Row],[Total]]*20%,0)</f>
        <v>0</v>
      </c>
      <c r="E1208" s="29">
        <f>ROUND(Balances[[#This Row],[Total]]*40%,0)</f>
        <v>0</v>
      </c>
      <c r="F1208" s="18">
        <f>SUM(Acueducto[[#This Row],[Acueducto]:[Aseo]])</f>
        <v>0</v>
      </c>
    </row>
    <row r="1209" spans="1:6" ht="15" x14ac:dyDescent="0.2">
      <c r="A1209" s="7">
        <v>249046</v>
      </c>
      <c r="B1209" s="3" t="s">
        <v>126</v>
      </c>
      <c r="C1209" s="29">
        <f>ROUND(Balances[[#This Row],[Total]]*40%,0)</f>
        <v>0</v>
      </c>
      <c r="D1209" s="29">
        <f>ROUND(Balances[[#This Row],[Total]]*20%,0)</f>
        <v>0</v>
      </c>
      <c r="E1209" s="29">
        <f>ROUND(Balances[[#This Row],[Total]]*40%,0)</f>
        <v>0</v>
      </c>
      <c r="F1209" s="18">
        <f>SUM(Acueducto[[#This Row],[Acueducto]:[Aseo]])</f>
        <v>0</v>
      </c>
    </row>
    <row r="1210" spans="1:6" ht="15" x14ac:dyDescent="0.2">
      <c r="A1210" s="7">
        <v>249047</v>
      </c>
      <c r="B1210" s="3" t="s">
        <v>834</v>
      </c>
      <c r="C1210" s="29">
        <f>ROUND(Balances[[#This Row],[Total]]*40%,0)</f>
        <v>0</v>
      </c>
      <c r="D1210" s="29">
        <f>ROUND(Balances[[#This Row],[Total]]*20%,0)</f>
        <v>0</v>
      </c>
      <c r="E1210" s="29">
        <f>ROUND(Balances[[#This Row],[Total]]*40%,0)</f>
        <v>0</v>
      </c>
      <c r="F1210" s="18">
        <f>SUM(Acueducto[[#This Row],[Acueducto]:[Aseo]])</f>
        <v>0</v>
      </c>
    </row>
    <row r="1211" spans="1:6" ht="15" x14ac:dyDescent="0.2">
      <c r="A1211" s="7">
        <v>249048</v>
      </c>
      <c r="B1211" s="3" t="s">
        <v>835</v>
      </c>
      <c r="C1211" s="29">
        <f>ROUND(Balances[[#This Row],[Total]]*40%,0)</f>
        <v>0</v>
      </c>
      <c r="D1211" s="29">
        <f>ROUND(Balances[[#This Row],[Total]]*20%,0)</f>
        <v>0</v>
      </c>
      <c r="E1211" s="29">
        <f>ROUND(Balances[[#This Row],[Total]]*40%,0)</f>
        <v>0</v>
      </c>
      <c r="F1211" s="18">
        <f>SUM(Acueducto[[#This Row],[Acueducto]:[Aseo]])</f>
        <v>0</v>
      </c>
    </row>
    <row r="1212" spans="1:6" ht="15" x14ac:dyDescent="0.2">
      <c r="A1212" s="7">
        <v>249049</v>
      </c>
      <c r="B1212" s="3" t="s">
        <v>836</v>
      </c>
      <c r="C1212" s="29">
        <f>ROUND(Balances[[#This Row],[Total]]*40%,0)</f>
        <v>0</v>
      </c>
      <c r="D1212" s="29">
        <f>ROUND(Balances[[#This Row],[Total]]*20%,0)</f>
        <v>0</v>
      </c>
      <c r="E1212" s="29">
        <f>ROUND(Balances[[#This Row],[Total]]*40%,0)</f>
        <v>0</v>
      </c>
      <c r="F1212" s="18">
        <f>SUM(Acueducto[[#This Row],[Acueducto]:[Aseo]])</f>
        <v>0</v>
      </c>
    </row>
    <row r="1213" spans="1:6" ht="15" x14ac:dyDescent="0.2">
      <c r="A1213" s="7">
        <v>249050</v>
      </c>
      <c r="B1213" s="3" t="s">
        <v>837</v>
      </c>
      <c r="C1213" s="29">
        <f>ROUND(Balances[[#This Row],[Total]]*40%,0)</f>
        <v>0</v>
      </c>
      <c r="D1213" s="29">
        <f>ROUND(Balances[[#This Row],[Total]]*20%,0)</f>
        <v>0</v>
      </c>
      <c r="E1213" s="29">
        <f>ROUND(Balances[[#This Row],[Total]]*40%,0)</f>
        <v>0</v>
      </c>
      <c r="F1213" s="29">
        <f>SUM(Acueducto[[#This Row],[Acueducto]:[Aseo]])</f>
        <v>0</v>
      </c>
    </row>
    <row r="1214" spans="1:6" ht="15" x14ac:dyDescent="0.2">
      <c r="A1214" s="7">
        <v>249051</v>
      </c>
      <c r="B1214" s="3" t="s">
        <v>838</v>
      </c>
      <c r="C1214" s="29">
        <f>ROUND(Balances[[#This Row],[Total]]*40%,0)</f>
        <v>0</v>
      </c>
      <c r="D1214" s="29">
        <f>ROUND(Balances[[#This Row],[Total]]*20%,0)</f>
        <v>0</v>
      </c>
      <c r="E1214" s="29">
        <f>ROUND(Balances[[#This Row],[Total]]*40%,0)</f>
        <v>0</v>
      </c>
      <c r="F1214" s="18">
        <f>SUM(Acueducto[[#This Row],[Acueducto]:[Aseo]])</f>
        <v>0</v>
      </c>
    </row>
    <row r="1215" spans="1:6" ht="15" x14ac:dyDescent="0.2">
      <c r="A1215" s="7">
        <v>249053</v>
      </c>
      <c r="B1215" s="3" t="s">
        <v>231</v>
      </c>
      <c r="C1215" s="29">
        <f>ROUND(Balances[[#This Row],[Total]]*40%,0)</f>
        <v>0</v>
      </c>
      <c r="D1215" s="29">
        <f>ROUND(Balances[[#This Row],[Total]]*20%,0)</f>
        <v>0</v>
      </c>
      <c r="E1215" s="29">
        <f>ROUND(Balances[[#This Row],[Total]]*40%,0)</f>
        <v>0</v>
      </c>
      <c r="F1215" s="18">
        <f>SUM(Acueducto[[#This Row],[Acueducto]:[Aseo]])</f>
        <v>0</v>
      </c>
    </row>
    <row r="1216" spans="1:6" ht="15" x14ac:dyDescent="0.2">
      <c r="A1216" s="7">
        <v>249054</v>
      </c>
      <c r="B1216" s="3" t="s">
        <v>242</v>
      </c>
      <c r="C1216" s="29">
        <f>ROUND(Balances[[#This Row],[Total]]*40%,0)</f>
        <v>0</v>
      </c>
      <c r="D1216" s="29">
        <f>ROUND(Balances[[#This Row],[Total]]*20%,0)</f>
        <v>0</v>
      </c>
      <c r="E1216" s="29">
        <f>ROUND(Balances[[#This Row],[Total]]*40%,0)</f>
        <v>0</v>
      </c>
      <c r="F1216" s="18">
        <f>SUM(Acueducto[[#This Row],[Acueducto]:[Aseo]])</f>
        <v>0</v>
      </c>
    </row>
    <row r="1217" spans="1:6" ht="15" x14ac:dyDescent="0.2">
      <c r="A1217" s="7">
        <v>249055</v>
      </c>
      <c r="B1217" s="3" t="s">
        <v>724</v>
      </c>
      <c r="C1217" s="29">
        <f>ROUND(Balances[[#This Row],[Total]]*40%,0)</f>
        <v>0</v>
      </c>
      <c r="D1217" s="29">
        <f>ROUND(Balances[[#This Row],[Total]]*20%,0)</f>
        <v>0</v>
      </c>
      <c r="E1217" s="29">
        <f>ROUND(Balances[[#This Row],[Total]]*40%,0)</f>
        <v>0</v>
      </c>
      <c r="F1217" s="29">
        <f>SUM(Acueducto[[#This Row],[Acueducto]:[Aseo]])</f>
        <v>0</v>
      </c>
    </row>
    <row r="1218" spans="1:6" ht="15" x14ac:dyDescent="0.2">
      <c r="A1218" s="7">
        <v>249056</v>
      </c>
      <c r="B1218" s="3" t="s">
        <v>723</v>
      </c>
      <c r="C1218" s="29">
        <f>ROUND(Balances[[#This Row],[Total]]*40%,0)</f>
        <v>0</v>
      </c>
      <c r="D1218" s="29">
        <f>ROUND(Balances[[#This Row],[Total]]*20%,0)</f>
        <v>0</v>
      </c>
      <c r="E1218" s="29">
        <f>ROUND(Balances[[#This Row],[Total]]*40%,0)</f>
        <v>0</v>
      </c>
      <c r="F1218" s="18">
        <f>SUM(Acueducto[[#This Row],[Acueducto]:[Aseo]])</f>
        <v>0</v>
      </c>
    </row>
    <row r="1219" spans="1:6" ht="15" x14ac:dyDescent="0.2">
      <c r="A1219" s="7">
        <v>249057</v>
      </c>
      <c r="B1219" s="3" t="s">
        <v>839</v>
      </c>
      <c r="C1219" s="29">
        <f>ROUND(Balances[[#This Row],[Total]]*40%,0)</f>
        <v>0</v>
      </c>
      <c r="D1219" s="29">
        <f>ROUND(Balances[[#This Row],[Total]]*20%,0)</f>
        <v>0</v>
      </c>
      <c r="E1219" s="29">
        <f>ROUND(Balances[[#This Row],[Total]]*40%,0)</f>
        <v>0</v>
      </c>
      <c r="F1219" s="18">
        <f>SUM(Acueducto[[#This Row],[Acueducto]:[Aseo]])</f>
        <v>0</v>
      </c>
    </row>
    <row r="1220" spans="1:6" ht="15" x14ac:dyDescent="0.2">
      <c r="A1220" s="7">
        <v>249058</v>
      </c>
      <c r="B1220" s="3" t="s">
        <v>256</v>
      </c>
      <c r="C1220" s="29">
        <f>ROUND(Balances[[#This Row],[Total]]*40%,0)</f>
        <v>0</v>
      </c>
      <c r="D1220" s="29">
        <f>ROUND(Balances[[#This Row],[Total]]*20%,0)</f>
        <v>0</v>
      </c>
      <c r="E1220" s="29">
        <f>ROUND(Balances[[#This Row],[Total]]*40%,0)</f>
        <v>0</v>
      </c>
      <c r="F1220" s="18">
        <f>SUM(Acueducto[[#This Row],[Acueducto]:[Aseo]])</f>
        <v>0</v>
      </c>
    </row>
    <row r="1221" spans="1:6" ht="15" x14ac:dyDescent="0.2">
      <c r="A1221" s="7">
        <v>249060</v>
      </c>
      <c r="B1221" s="3" t="s">
        <v>840</v>
      </c>
      <c r="C1221" s="29">
        <f>ROUND(Balances[[#This Row],[Total]]*40%,0)</f>
        <v>0</v>
      </c>
      <c r="D1221" s="29">
        <f>ROUND(Balances[[#This Row],[Total]]*20%,0)</f>
        <v>0</v>
      </c>
      <c r="E1221" s="29">
        <f>ROUND(Balances[[#This Row],[Total]]*40%,0)</f>
        <v>0</v>
      </c>
      <c r="F1221" s="18">
        <f>SUM(Acueducto[[#This Row],[Acueducto]:[Aseo]])</f>
        <v>0</v>
      </c>
    </row>
    <row r="1222" spans="1:6" ht="15" x14ac:dyDescent="0.2">
      <c r="A1222" s="7">
        <v>249061</v>
      </c>
      <c r="B1222" s="3" t="s">
        <v>841</v>
      </c>
      <c r="C1222" s="29">
        <f>ROUND(Balances[[#This Row],[Total]]*40%,0)</f>
        <v>0</v>
      </c>
      <c r="D1222" s="29">
        <f>ROUND(Balances[[#This Row],[Total]]*20%,0)</f>
        <v>0</v>
      </c>
      <c r="E1222" s="29">
        <f>ROUND(Balances[[#This Row],[Total]]*40%,0)</f>
        <v>0</v>
      </c>
      <c r="F1222" s="18">
        <f>SUM(Acueducto[[#This Row],[Acueducto]:[Aseo]])</f>
        <v>0</v>
      </c>
    </row>
    <row r="1223" spans="1:6" ht="15" x14ac:dyDescent="0.2">
      <c r="A1223" s="7">
        <v>249062</v>
      </c>
      <c r="B1223" s="3" t="s">
        <v>842</v>
      </c>
      <c r="C1223" s="29">
        <f>ROUND(Balances[[#This Row],[Total]]*40%,0)</f>
        <v>0</v>
      </c>
      <c r="D1223" s="29">
        <f>ROUND(Balances[[#This Row],[Total]]*20%,0)</f>
        <v>0</v>
      </c>
      <c r="E1223" s="29">
        <f>ROUND(Balances[[#This Row],[Total]]*40%,0)</f>
        <v>0</v>
      </c>
      <c r="F1223" s="18">
        <f>SUM(Acueducto[[#This Row],[Acueducto]:[Aseo]])</f>
        <v>0</v>
      </c>
    </row>
    <row r="1224" spans="1:6" ht="15" x14ac:dyDescent="0.2">
      <c r="A1224" s="7">
        <v>249090</v>
      </c>
      <c r="B1224" s="3" t="s">
        <v>843</v>
      </c>
      <c r="C1224" s="29">
        <f>ROUND(Balances[[#This Row],[Total]]*40%,0)</f>
        <v>36000</v>
      </c>
      <c r="D1224" s="29">
        <f>ROUND(Balances[[#This Row],[Total]]*20%,0)</f>
        <v>18000</v>
      </c>
      <c r="E1224" s="29">
        <f>ROUND(Balances[[#This Row],[Total]]*40%,0)</f>
        <v>36000</v>
      </c>
      <c r="F1224" s="18">
        <f>SUM(Acueducto[[#This Row],[Acueducto]:[Aseo]])</f>
        <v>90000</v>
      </c>
    </row>
    <row r="1225" spans="1:6" ht="15" x14ac:dyDescent="0.2">
      <c r="A1225" s="6">
        <v>2495</v>
      </c>
      <c r="B1225" s="2" t="s">
        <v>844</v>
      </c>
      <c r="C1225" s="28">
        <f>ROUND(Balances[[#This Row],[Total]]*40%,0)</f>
        <v>0</v>
      </c>
      <c r="D1225" s="28">
        <f>ROUND(Balances[[#This Row],[Total]]*20%,0)</f>
        <v>0</v>
      </c>
      <c r="E1225" s="28">
        <f>ROUND(Balances[[#This Row],[Total]]*40%,0)</f>
        <v>0</v>
      </c>
      <c r="F1225" s="17">
        <f>SUM(Acueducto[[#This Row],[Acueducto]:[Aseo]])</f>
        <v>0</v>
      </c>
    </row>
    <row r="1226" spans="1:6" ht="15" x14ac:dyDescent="0.2">
      <c r="A1226" s="7">
        <v>249501</v>
      </c>
      <c r="B1226" s="3" t="s">
        <v>845</v>
      </c>
      <c r="C1226" s="29">
        <f>ROUND(Balances[[#This Row],[Total]]*40%,0)</f>
        <v>0</v>
      </c>
      <c r="D1226" s="29">
        <f>ROUND(Balances[[#This Row],[Total]]*20%,0)</f>
        <v>0</v>
      </c>
      <c r="E1226" s="29">
        <f>ROUND(Balances[[#This Row],[Total]]*40%,0)</f>
        <v>0</v>
      </c>
      <c r="F1226" s="18">
        <f>SUM(Acueducto[[#This Row],[Acueducto]:[Aseo]])</f>
        <v>0</v>
      </c>
    </row>
    <row r="1227" spans="1:6" ht="15" x14ac:dyDescent="0.2">
      <c r="A1227" s="7">
        <v>249502</v>
      </c>
      <c r="B1227" s="3" t="s">
        <v>846</v>
      </c>
      <c r="C1227" s="29">
        <f>ROUND(Balances[[#This Row],[Total]]*40%,0)</f>
        <v>0</v>
      </c>
      <c r="D1227" s="29">
        <f>ROUND(Balances[[#This Row],[Total]]*20%,0)</f>
        <v>0</v>
      </c>
      <c r="E1227" s="29">
        <f>ROUND(Balances[[#This Row],[Total]]*40%,0)</f>
        <v>0</v>
      </c>
      <c r="F1227" s="18">
        <f>SUM(Acueducto[[#This Row],[Acueducto]:[Aseo]])</f>
        <v>0</v>
      </c>
    </row>
    <row r="1228" spans="1:6" ht="15" x14ac:dyDescent="0.2">
      <c r="A1228" s="7">
        <v>249505</v>
      </c>
      <c r="B1228" s="3" t="s">
        <v>847</v>
      </c>
      <c r="C1228" s="29">
        <f>ROUND(Balances[[#This Row],[Total]]*40%,0)</f>
        <v>0</v>
      </c>
      <c r="D1228" s="29">
        <f>ROUND(Balances[[#This Row],[Total]]*20%,0)</f>
        <v>0</v>
      </c>
      <c r="E1228" s="29">
        <f>ROUND(Balances[[#This Row],[Total]]*40%,0)</f>
        <v>0</v>
      </c>
      <c r="F1228" s="18">
        <f>SUM(Acueducto[[#This Row],[Acueducto]:[Aseo]])</f>
        <v>0</v>
      </c>
    </row>
    <row r="1229" spans="1:6" ht="15" x14ac:dyDescent="0.2">
      <c r="A1229" s="7">
        <v>249506</v>
      </c>
      <c r="B1229" s="3" t="s">
        <v>848</v>
      </c>
      <c r="C1229" s="29">
        <f>ROUND(Balances[[#This Row],[Total]]*40%,0)</f>
        <v>0</v>
      </c>
      <c r="D1229" s="29">
        <f>ROUND(Balances[[#This Row],[Total]]*20%,0)</f>
        <v>0</v>
      </c>
      <c r="E1229" s="29">
        <f>ROUND(Balances[[#This Row],[Total]]*40%,0)</f>
        <v>0</v>
      </c>
      <c r="F1229" s="18">
        <f>SUM(Acueducto[[#This Row],[Acueducto]:[Aseo]])</f>
        <v>0</v>
      </c>
    </row>
    <row r="1230" spans="1:6" ht="15" x14ac:dyDescent="0.2">
      <c r="A1230" s="7">
        <v>249507</v>
      </c>
      <c r="B1230" s="3" t="s">
        <v>849</v>
      </c>
      <c r="C1230" s="29">
        <f>ROUND(Balances[[#This Row],[Total]]*40%,0)</f>
        <v>0</v>
      </c>
      <c r="D1230" s="29">
        <f>ROUND(Balances[[#This Row],[Total]]*20%,0)</f>
        <v>0</v>
      </c>
      <c r="E1230" s="29">
        <f>ROUND(Balances[[#This Row],[Total]]*40%,0)</f>
        <v>0</v>
      </c>
      <c r="F1230" s="18">
        <f>SUM(Acueducto[[#This Row],[Acueducto]:[Aseo]])</f>
        <v>0</v>
      </c>
    </row>
    <row r="1231" spans="1:6" ht="15" x14ac:dyDescent="0.2">
      <c r="A1231" s="7">
        <v>249590</v>
      </c>
      <c r="B1231" s="3" t="s">
        <v>850</v>
      </c>
      <c r="C1231" s="29">
        <f>ROUND(Balances[[#This Row],[Total]]*40%,0)</f>
        <v>0</v>
      </c>
      <c r="D1231" s="29">
        <f>ROUND(Balances[[#This Row],[Total]]*20%,0)</f>
        <v>0</v>
      </c>
      <c r="E1231" s="29">
        <f>ROUND(Balances[[#This Row],[Total]]*40%,0)</f>
        <v>0</v>
      </c>
      <c r="F1231" s="18">
        <f>SUM(Acueducto[[#This Row],[Acueducto]:[Aseo]])</f>
        <v>0</v>
      </c>
    </row>
    <row r="1232" spans="1:6" ht="15" x14ac:dyDescent="0.2">
      <c r="A1232" s="6">
        <v>25</v>
      </c>
      <c r="B1232" s="2" t="s">
        <v>851</v>
      </c>
      <c r="C1232" s="28">
        <f>ROUND(Balances[[#This Row],[Total]]*40%,0)</f>
        <v>0</v>
      </c>
      <c r="D1232" s="28">
        <f>ROUND(Balances[[#This Row],[Total]]*20%,0)</f>
        <v>0</v>
      </c>
      <c r="E1232" s="28">
        <f>ROUND(Balances[[#This Row],[Total]]*40%,0)</f>
        <v>0</v>
      </c>
      <c r="F1232" s="28">
        <f>SUM(Acueducto[[#This Row],[Acueducto]:[Aseo]])</f>
        <v>0</v>
      </c>
    </row>
    <row r="1233" spans="1:6" ht="15" x14ac:dyDescent="0.2">
      <c r="A1233" s="6">
        <v>2511</v>
      </c>
      <c r="B1233" s="2" t="s">
        <v>852</v>
      </c>
      <c r="C1233" s="28">
        <f>ROUND(Balances[[#This Row],[Total]]*40%,0)</f>
        <v>0</v>
      </c>
      <c r="D1233" s="28">
        <f>ROUND(Balances[[#This Row],[Total]]*20%,0)</f>
        <v>0</v>
      </c>
      <c r="E1233" s="28">
        <f>ROUND(Balances[[#This Row],[Total]]*40%,0)</f>
        <v>0</v>
      </c>
      <c r="F1233" s="28">
        <f>SUM(Acueducto[[#This Row],[Acueducto]:[Aseo]])</f>
        <v>0</v>
      </c>
    </row>
    <row r="1234" spans="1:6" ht="15" x14ac:dyDescent="0.2">
      <c r="A1234" s="7">
        <v>251101</v>
      </c>
      <c r="B1234" s="3" t="s">
        <v>853</v>
      </c>
      <c r="C1234" s="29">
        <f>ROUND(Balances[[#This Row],[Total]]*40%,0)</f>
        <v>0</v>
      </c>
      <c r="D1234" s="29">
        <f>ROUND(Balances[[#This Row],[Total]]*20%,0)</f>
        <v>0</v>
      </c>
      <c r="E1234" s="29">
        <f>ROUND(Balances[[#This Row],[Total]]*40%,0)</f>
        <v>0</v>
      </c>
      <c r="F1234" s="18">
        <f>SUM(Acueducto[[#This Row],[Acueducto]:[Aseo]])</f>
        <v>0</v>
      </c>
    </row>
    <row r="1235" spans="1:6" ht="15" x14ac:dyDescent="0.2">
      <c r="A1235" s="7">
        <v>251102</v>
      </c>
      <c r="B1235" s="3" t="s">
        <v>854</v>
      </c>
      <c r="C1235" s="29">
        <f>ROUND(Balances[[#This Row],[Total]]*40%,0)</f>
        <v>0</v>
      </c>
      <c r="D1235" s="29">
        <f>ROUND(Balances[[#This Row],[Total]]*20%,0)</f>
        <v>0</v>
      </c>
      <c r="E1235" s="29">
        <f>ROUND(Balances[[#This Row],[Total]]*40%,0)</f>
        <v>0</v>
      </c>
      <c r="F1235" s="29">
        <f>SUM(Acueducto[[#This Row],[Acueducto]:[Aseo]])</f>
        <v>0</v>
      </c>
    </row>
    <row r="1236" spans="1:6" ht="15" x14ac:dyDescent="0.2">
      <c r="A1236" s="7">
        <v>251103</v>
      </c>
      <c r="B1236" s="3" t="s">
        <v>855</v>
      </c>
      <c r="C1236" s="29">
        <f>ROUND(Balances[[#This Row],[Total]]*40%,0)</f>
        <v>0</v>
      </c>
      <c r="D1236" s="29">
        <f>ROUND(Balances[[#This Row],[Total]]*20%,0)</f>
        <v>0</v>
      </c>
      <c r="E1236" s="29">
        <f>ROUND(Balances[[#This Row],[Total]]*40%,0)</f>
        <v>0</v>
      </c>
      <c r="F1236" s="18">
        <f>SUM(Acueducto[[#This Row],[Acueducto]:[Aseo]])</f>
        <v>0</v>
      </c>
    </row>
    <row r="1237" spans="1:6" ht="15" x14ac:dyDescent="0.2">
      <c r="A1237" s="7">
        <v>251104</v>
      </c>
      <c r="B1237" s="3" t="s">
        <v>856</v>
      </c>
      <c r="C1237" s="29">
        <f>ROUND(Balances[[#This Row],[Total]]*40%,0)</f>
        <v>0</v>
      </c>
      <c r="D1237" s="29">
        <f>ROUND(Balances[[#This Row],[Total]]*20%,0)</f>
        <v>0</v>
      </c>
      <c r="E1237" s="29">
        <f>ROUND(Balances[[#This Row],[Total]]*40%,0)</f>
        <v>0</v>
      </c>
      <c r="F1237" s="18">
        <f>SUM(Acueducto[[#This Row],[Acueducto]:[Aseo]])</f>
        <v>0</v>
      </c>
    </row>
    <row r="1238" spans="1:6" ht="15" x14ac:dyDescent="0.2">
      <c r="A1238" s="7">
        <v>251105</v>
      </c>
      <c r="B1238" s="3" t="s">
        <v>857</v>
      </c>
      <c r="C1238" s="29">
        <f>ROUND(Balances[[#This Row],[Total]]*40%,0)</f>
        <v>0</v>
      </c>
      <c r="D1238" s="29">
        <f>ROUND(Balances[[#This Row],[Total]]*20%,0)</f>
        <v>0</v>
      </c>
      <c r="E1238" s="29">
        <f>ROUND(Balances[[#This Row],[Total]]*40%,0)</f>
        <v>0</v>
      </c>
      <c r="F1238" s="18">
        <f>SUM(Acueducto[[#This Row],[Acueducto]:[Aseo]])</f>
        <v>0</v>
      </c>
    </row>
    <row r="1239" spans="1:6" ht="15" x14ac:dyDescent="0.2">
      <c r="A1239" s="7">
        <v>251106</v>
      </c>
      <c r="B1239" s="3" t="s">
        <v>858</v>
      </c>
      <c r="C1239" s="29">
        <f>ROUND(Balances[[#This Row],[Total]]*40%,0)</f>
        <v>0</v>
      </c>
      <c r="D1239" s="29">
        <f>ROUND(Balances[[#This Row],[Total]]*20%,0)</f>
        <v>0</v>
      </c>
      <c r="E1239" s="29">
        <f>ROUND(Balances[[#This Row],[Total]]*40%,0)</f>
        <v>0</v>
      </c>
      <c r="F1239" s="18">
        <f>SUM(Acueducto[[#This Row],[Acueducto]:[Aseo]])</f>
        <v>0</v>
      </c>
    </row>
    <row r="1240" spans="1:6" ht="15" x14ac:dyDescent="0.2">
      <c r="A1240" s="7">
        <v>251107</v>
      </c>
      <c r="B1240" s="3" t="s">
        <v>859</v>
      </c>
      <c r="C1240" s="29">
        <f>ROUND(Balances[[#This Row],[Total]]*40%,0)</f>
        <v>0</v>
      </c>
      <c r="D1240" s="29">
        <f>ROUND(Balances[[#This Row],[Total]]*20%,0)</f>
        <v>0</v>
      </c>
      <c r="E1240" s="29">
        <f>ROUND(Balances[[#This Row],[Total]]*40%,0)</f>
        <v>0</v>
      </c>
      <c r="F1240" s="18">
        <f>SUM(Acueducto[[#This Row],[Acueducto]:[Aseo]])</f>
        <v>0</v>
      </c>
    </row>
    <row r="1241" spans="1:6" ht="15" x14ac:dyDescent="0.2">
      <c r="A1241" s="7">
        <v>251108</v>
      </c>
      <c r="B1241" s="3" t="s">
        <v>620</v>
      </c>
      <c r="C1241" s="29">
        <f>ROUND(Balances[[#This Row],[Total]]*40%,0)</f>
        <v>0</v>
      </c>
      <c r="D1241" s="29">
        <f>ROUND(Balances[[#This Row],[Total]]*20%,0)</f>
        <v>0</v>
      </c>
      <c r="E1241" s="29">
        <f>ROUND(Balances[[#This Row],[Total]]*40%,0)</f>
        <v>0</v>
      </c>
      <c r="F1241" s="18">
        <f>SUM(Acueducto[[#This Row],[Acueducto]:[Aseo]])</f>
        <v>0</v>
      </c>
    </row>
    <row r="1242" spans="1:6" ht="15" x14ac:dyDescent="0.2">
      <c r="A1242" s="7">
        <v>251109</v>
      </c>
      <c r="B1242" s="3" t="s">
        <v>860</v>
      </c>
      <c r="C1242" s="29">
        <f>ROUND(Balances[[#This Row],[Total]]*40%,0)</f>
        <v>0</v>
      </c>
      <c r="D1242" s="29">
        <f>ROUND(Balances[[#This Row],[Total]]*20%,0)</f>
        <v>0</v>
      </c>
      <c r="E1242" s="29">
        <f>ROUND(Balances[[#This Row],[Total]]*40%,0)</f>
        <v>0</v>
      </c>
      <c r="F1242" s="18">
        <f>SUM(Acueducto[[#This Row],[Acueducto]:[Aseo]])</f>
        <v>0</v>
      </c>
    </row>
    <row r="1243" spans="1:6" ht="15" x14ac:dyDescent="0.2">
      <c r="A1243" s="7">
        <v>251110</v>
      </c>
      <c r="B1243" s="3" t="s">
        <v>861</v>
      </c>
      <c r="C1243" s="29">
        <f>ROUND(Balances[[#This Row],[Total]]*40%,0)</f>
        <v>0</v>
      </c>
      <c r="D1243" s="29">
        <f>ROUND(Balances[[#This Row],[Total]]*20%,0)</f>
        <v>0</v>
      </c>
      <c r="E1243" s="29">
        <f>ROUND(Balances[[#This Row],[Total]]*40%,0)</f>
        <v>0</v>
      </c>
      <c r="F1243" s="18">
        <f>SUM(Acueducto[[#This Row],[Acueducto]:[Aseo]])</f>
        <v>0</v>
      </c>
    </row>
    <row r="1244" spans="1:6" ht="15" x14ac:dyDescent="0.2">
      <c r="A1244" s="7">
        <v>251111</v>
      </c>
      <c r="B1244" s="3" t="s">
        <v>862</v>
      </c>
      <c r="C1244" s="29">
        <f>ROUND(Balances[[#This Row],[Total]]*40%,0)</f>
        <v>0</v>
      </c>
      <c r="D1244" s="29">
        <f>ROUND(Balances[[#This Row],[Total]]*20%,0)</f>
        <v>0</v>
      </c>
      <c r="E1244" s="29">
        <f>ROUND(Balances[[#This Row],[Total]]*40%,0)</f>
        <v>0</v>
      </c>
      <c r="F1244" s="29">
        <f>SUM(Acueducto[[#This Row],[Acueducto]:[Aseo]])</f>
        <v>0</v>
      </c>
    </row>
    <row r="1245" spans="1:6" ht="15" x14ac:dyDescent="0.2">
      <c r="A1245" s="7">
        <v>251112</v>
      </c>
      <c r="B1245" s="3" t="s">
        <v>863</v>
      </c>
      <c r="C1245" s="29">
        <f>ROUND(Balances[[#This Row],[Total]]*40%,0)</f>
        <v>0</v>
      </c>
      <c r="D1245" s="29">
        <f>ROUND(Balances[[#This Row],[Total]]*20%,0)</f>
        <v>0</v>
      </c>
      <c r="E1245" s="29">
        <f>ROUND(Balances[[#This Row],[Total]]*40%,0)</f>
        <v>0</v>
      </c>
      <c r="F1245" s="18">
        <f>SUM(Acueducto[[#This Row],[Acueducto]:[Aseo]])</f>
        <v>0</v>
      </c>
    </row>
    <row r="1246" spans="1:6" ht="15" x14ac:dyDescent="0.2">
      <c r="A1246" s="7">
        <v>251113</v>
      </c>
      <c r="B1246" s="3" t="s">
        <v>864</v>
      </c>
      <c r="C1246" s="29">
        <f>ROUND(Balances[[#This Row],[Total]]*40%,0)</f>
        <v>0</v>
      </c>
      <c r="D1246" s="29">
        <f>ROUND(Balances[[#This Row],[Total]]*20%,0)</f>
        <v>0</v>
      </c>
      <c r="E1246" s="29">
        <f>ROUND(Balances[[#This Row],[Total]]*40%,0)</f>
        <v>0</v>
      </c>
      <c r="F1246" s="18">
        <f>SUM(Acueducto[[#This Row],[Acueducto]:[Aseo]])</f>
        <v>0</v>
      </c>
    </row>
    <row r="1247" spans="1:6" ht="15" x14ac:dyDescent="0.2">
      <c r="A1247" s="7">
        <v>251115</v>
      </c>
      <c r="B1247" s="3" t="s">
        <v>865</v>
      </c>
      <c r="C1247" s="29">
        <f>ROUND(Balances[[#This Row],[Total]]*40%,0)</f>
        <v>0</v>
      </c>
      <c r="D1247" s="29">
        <f>ROUND(Balances[[#This Row],[Total]]*20%,0)</f>
        <v>0</v>
      </c>
      <c r="E1247" s="29">
        <f>ROUND(Balances[[#This Row],[Total]]*40%,0)</f>
        <v>0</v>
      </c>
      <c r="F1247" s="18">
        <f>SUM(Acueducto[[#This Row],[Acueducto]:[Aseo]])</f>
        <v>0</v>
      </c>
    </row>
    <row r="1248" spans="1:6" ht="15" x14ac:dyDescent="0.2">
      <c r="A1248" s="7">
        <v>251116</v>
      </c>
      <c r="B1248" s="3" t="s">
        <v>866</v>
      </c>
      <c r="C1248" s="29">
        <f>ROUND(Balances[[#This Row],[Total]]*40%,0)</f>
        <v>0</v>
      </c>
      <c r="D1248" s="29">
        <f>ROUND(Balances[[#This Row],[Total]]*20%,0)</f>
        <v>0</v>
      </c>
      <c r="E1248" s="29">
        <f>ROUND(Balances[[#This Row],[Total]]*40%,0)</f>
        <v>0</v>
      </c>
      <c r="F1248" s="18">
        <f>SUM(Acueducto[[#This Row],[Acueducto]:[Aseo]])</f>
        <v>0</v>
      </c>
    </row>
    <row r="1249" spans="1:6" ht="15" x14ac:dyDescent="0.2">
      <c r="A1249" s="7">
        <v>251117</v>
      </c>
      <c r="B1249" s="3" t="s">
        <v>867</v>
      </c>
      <c r="C1249" s="29">
        <f>ROUND(Balances[[#This Row],[Total]]*40%,0)</f>
        <v>0</v>
      </c>
      <c r="D1249" s="29">
        <f>ROUND(Balances[[#This Row],[Total]]*20%,0)</f>
        <v>0</v>
      </c>
      <c r="E1249" s="29">
        <f>ROUND(Balances[[#This Row],[Total]]*40%,0)</f>
        <v>0</v>
      </c>
      <c r="F1249" s="18">
        <f>SUM(Acueducto[[#This Row],[Acueducto]:[Aseo]])</f>
        <v>0</v>
      </c>
    </row>
    <row r="1250" spans="1:6" ht="15" x14ac:dyDescent="0.2">
      <c r="A1250" s="7">
        <v>251118</v>
      </c>
      <c r="B1250" s="3" t="s">
        <v>868</v>
      </c>
      <c r="C1250" s="29">
        <f>ROUND(Balances[[#This Row],[Total]]*40%,0)</f>
        <v>0</v>
      </c>
      <c r="D1250" s="29">
        <f>ROUND(Balances[[#This Row],[Total]]*20%,0)</f>
        <v>0</v>
      </c>
      <c r="E1250" s="29">
        <f>ROUND(Balances[[#This Row],[Total]]*40%,0)</f>
        <v>0</v>
      </c>
      <c r="F1250" s="18">
        <f>SUM(Acueducto[[#This Row],[Acueducto]:[Aseo]])</f>
        <v>0</v>
      </c>
    </row>
    <row r="1251" spans="1:6" ht="15" x14ac:dyDescent="0.2">
      <c r="A1251" s="7">
        <v>251119</v>
      </c>
      <c r="B1251" s="3" t="s">
        <v>869</v>
      </c>
      <c r="C1251" s="29">
        <f>ROUND(Balances[[#This Row],[Total]]*40%,0)</f>
        <v>0</v>
      </c>
      <c r="D1251" s="29">
        <f>ROUND(Balances[[#This Row],[Total]]*20%,0)</f>
        <v>0</v>
      </c>
      <c r="E1251" s="29">
        <f>ROUND(Balances[[#This Row],[Total]]*40%,0)</f>
        <v>0</v>
      </c>
      <c r="F1251" s="18">
        <f>SUM(Acueducto[[#This Row],[Acueducto]:[Aseo]])</f>
        <v>0</v>
      </c>
    </row>
    <row r="1252" spans="1:6" ht="15" x14ac:dyDescent="0.2">
      <c r="A1252" s="7">
        <v>251120</v>
      </c>
      <c r="B1252" s="3" t="s">
        <v>231</v>
      </c>
      <c r="C1252" s="29">
        <f>ROUND(Balances[[#This Row],[Total]]*40%,0)</f>
        <v>0</v>
      </c>
      <c r="D1252" s="29">
        <f>ROUND(Balances[[#This Row],[Total]]*20%,0)</f>
        <v>0</v>
      </c>
      <c r="E1252" s="29">
        <f>ROUND(Balances[[#This Row],[Total]]*40%,0)</f>
        <v>0</v>
      </c>
      <c r="F1252" s="18">
        <f>SUM(Acueducto[[#This Row],[Acueducto]:[Aseo]])</f>
        <v>0</v>
      </c>
    </row>
    <row r="1253" spans="1:6" ht="15" x14ac:dyDescent="0.2">
      <c r="A1253" s="7">
        <v>251121</v>
      </c>
      <c r="B1253" s="3" t="s">
        <v>870</v>
      </c>
      <c r="C1253" s="29">
        <f>ROUND(Balances[[#This Row],[Total]]*40%,0)</f>
        <v>0</v>
      </c>
      <c r="D1253" s="29">
        <f>ROUND(Balances[[#This Row],[Total]]*20%,0)</f>
        <v>0</v>
      </c>
      <c r="E1253" s="29">
        <f>ROUND(Balances[[#This Row],[Total]]*40%,0)</f>
        <v>0</v>
      </c>
      <c r="F1253" s="18">
        <f>SUM(Acueducto[[#This Row],[Acueducto]:[Aseo]])</f>
        <v>0</v>
      </c>
    </row>
    <row r="1254" spans="1:6" ht="15" x14ac:dyDescent="0.2">
      <c r="A1254" s="7">
        <v>251122</v>
      </c>
      <c r="B1254" s="3" t="s">
        <v>871</v>
      </c>
      <c r="C1254" s="29">
        <f>ROUND(Balances[[#This Row],[Total]]*40%,0)</f>
        <v>0</v>
      </c>
      <c r="D1254" s="29">
        <f>ROUND(Balances[[#This Row],[Total]]*20%,0)</f>
        <v>0</v>
      </c>
      <c r="E1254" s="29">
        <f>ROUND(Balances[[#This Row],[Total]]*40%,0)</f>
        <v>0</v>
      </c>
      <c r="F1254" s="29">
        <f>SUM(Acueducto[[#This Row],[Acueducto]:[Aseo]])</f>
        <v>0</v>
      </c>
    </row>
    <row r="1255" spans="1:6" ht="15" x14ac:dyDescent="0.2">
      <c r="A1255" s="7">
        <v>251123</v>
      </c>
      <c r="B1255" s="3" t="s">
        <v>872</v>
      </c>
      <c r="C1255" s="29">
        <f>ROUND(Balances[[#This Row],[Total]]*40%,0)</f>
        <v>0</v>
      </c>
      <c r="D1255" s="29">
        <f>ROUND(Balances[[#This Row],[Total]]*20%,0)</f>
        <v>0</v>
      </c>
      <c r="E1255" s="29">
        <f>ROUND(Balances[[#This Row],[Total]]*40%,0)</f>
        <v>0</v>
      </c>
      <c r="F1255" s="29">
        <f>SUM(Acueducto[[#This Row],[Acueducto]:[Aseo]])</f>
        <v>0</v>
      </c>
    </row>
    <row r="1256" spans="1:6" ht="15" x14ac:dyDescent="0.2">
      <c r="A1256" s="7">
        <v>251124</v>
      </c>
      <c r="B1256" s="3" t="s">
        <v>873</v>
      </c>
      <c r="C1256" s="29">
        <f>ROUND(Balances[[#This Row],[Total]]*40%,0)</f>
        <v>0</v>
      </c>
      <c r="D1256" s="29">
        <f>ROUND(Balances[[#This Row],[Total]]*20%,0)</f>
        <v>0</v>
      </c>
      <c r="E1256" s="29">
        <f>ROUND(Balances[[#This Row],[Total]]*40%,0)</f>
        <v>0</v>
      </c>
      <c r="F1256" s="29">
        <f>SUM(Acueducto[[#This Row],[Acueducto]:[Aseo]])</f>
        <v>0</v>
      </c>
    </row>
    <row r="1257" spans="1:6" ht="15" x14ac:dyDescent="0.2">
      <c r="A1257" s="7">
        <v>251125</v>
      </c>
      <c r="B1257" s="3" t="s">
        <v>216</v>
      </c>
      <c r="C1257" s="29">
        <f>ROUND(Balances[[#This Row],[Total]]*40%,0)</f>
        <v>0</v>
      </c>
      <c r="D1257" s="29">
        <f>ROUND(Balances[[#This Row],[Total]]*20%,0)</f>
        <v>0</v>
      </c>
      <c r="E1257" s="29">
        <f>ROUND(Balances[[#This Row],[Total]]*40%,0)</f>
        <v>0</v>
      </c>
      <c r="F1257" s="18">
        <f>SUM(Acueducto[[#This Row],[Acueducto]:[Aseo]])</f>
        <v>0</v>
      </c>
    </row>
    <row r="1258" spans="1:6" ht="15" x14ac:dyDescent="0.2">
      <c r="A1258" s="7">
        <v>251126</v>
      </c>
      <c r="B1258" s="3" t="s">
        <v>874</v>
      </c>
      <c r="C1258" s="29">
        <f>ROUND(Balances[[#This Row],[Total]]*40%,0)</f>
        <v>0</v>
      </c>
      <c r="D1258" s="29">
        <f>ROUND(Balances[[#This Row],[Total]]*20%,0)</f>
        <v>0</v>
      </c>
      <c r="E1258" s="29">
        <f>ROUND(Balances[[#This Row],[Total]]*40%,0)</f>
        <v>0</v>
      </c>
      <c r="F1258" s="18">
        <f>SUM(Acueducto[[#This Row],[Acueducto]:[Aseo]])</f>
        <v>0</v>
      </c>
    </row>
    <row r="1259" spans="1:6" ht="15" x14ac:dyDescent="0.2">
      <c r="A1259" s="7">
        <v>251127</v>
      </c>
      <c r="B1259" s="3" t="s">
        <v>875</v>
      </c>
      <c r="C1259" s="29">
        <f>ROUND(Balances[[#This Row],[Total]]*40%,0)</f>
        <v>0</v>
      </c>
      <c r="D1259" s="29">
        <f>ROUND(Balances[[#This Row],[Total]]*20%,0)</f>
        <v>0</v>
      </c>
      <c r="E1259" s="29">
        <f>ROUND(Balances[[#This Row],[Total]]*40%,0)</f>
        <v>0</v>
      </c>
      <c r="F1259" s="18">
        <f>SUM(Acueducto[[#This Row],[Acueducto]:[Aseo]])</f>
        <v>0</v>
      </c>
    </row>
    <row r="1260" spans="1:6" ht="15" x14ac:dyDescent="0.2">
      <c r="A1260" s="7">
        <v>251190</v>
      </c>
      <c r="B1260" s="3" t="s">
        <v>876</v>
      </c>
      <c r="C1260" s="29">
        <f>ROUND(Balances[[#This Row],[Total]]*40%,0)</f>
        <v>0</v>
      </c>
      <c r="D1260" s="29">
        <f>ROUND(Balances[[#This Row],[Total]]*20%,0)</f>
        <v>0</v>
      </c>
      <c r="E1260" s="29">
        <f>ROUND(Balances[[#This Row],[Total]]*40%,0)</f>
        <v>0</v>
      </c>
      <c r="F1260" s="18">
        <f>SUM(Acueducto[[#This Row],[Acueducto]:[Aseo]])</f>
        <v>0</v>
      </c>
    </row>
    <row r="1261" spans="1:6" ht="15" x14ac:dyDescent="0.2">
      <c r="A1261" s="6">
        <v>2512</v>
      </c>
      <c r="B1261" s="2" t="s">
        <v>877</v>
      </c>
      <c r="C1261" s="28">
        <f>ROUND(Balances[[#This Row],[Total]]*40%,0)</f>
        <v>0</v>
      </c>
      <c r="D1261" s="28">
        <f>ROUND(Balances[[#This Row],[Total]]*20%,0)</f>
        <v>0</v>
      </c>
      <c r="E1261" s="28">
        <f>ROUND(Balances[[#This Row],[Total]]*40%,0)</f>
        <v>0</v>
      </c>
      <c r="F1261" s="17">
        <f>SUM(Acueducto[[#This Row],[Acueducto]:[Aseo]])</f>
        <v>0</v>
      </c>
    </row>
    <row r="1262" spans="1:6" ht="15" x14ac:dyDescent="0.2">
      <c r="A1262" s="7">
        <v>251201</v>
      </c>
      <c r="B1262" s="3" t="s">
        <v>860</v>
      </c>
      <c r="C1262" s="29">
        <f>ROUND(Balances[[#This Row],[Total]]*40%,0)</f>
        <v>0</v>
      </c>
      <c r="D1262" s="29">
        <f>ROUND(Balances[[#This Row],[Total]]*20%,0)</f>
        <v>0</v>
      </c>
      <c r="E1262" s="29">
        <f>ROUND(Balances[[#This Row],[Total]]*40%,0)</f>
        <v>0</v>
      </c>
      <c r="F1262" s="18">
        <f>SUM(Acueducto[[#This Row],[Acueducto]:[Aseo]])</f>
        <v>0</v>
      </c>
    </row>
    <row r="1263" spans="1:6" ht="15" x14ac:dyDescent="0.2">
      <c r="A1263" s="7">
        <v>251202</v>
      </c>
      <c r="B1263" s="3" t="s">
        <v>878</v>
      </c>
      <c r="C1263" s="29">
        <f>ROUND(Balances[[#This Row],[Total]]*40%,0)</f>
        <v>0</v>
      </c>
      <c r="D1263" s="29">
        <f>ROUND(Balances[[#This Row],[Total]]*20%,0)</f>
        <v>0</v>
      </c>
      <c r="E1263" s="29">
        <f>ROUND(Balances[[#This Row],[Total]]*40%,0)</f>
        <v>0</v>
      </c>
      <c r="F1263" s="18">
        <f>SUM(Acueducto[[#This Row],[Acueducto]:[Aseo]])</f>
        <v>0</v>
      </c>
    </row>
    <row r="1264" spans="1:6" ht="15" x14ac:dyDescent="0.2">
      <c r="A1264" s="7">
        <v>251203</v>
      </c>
      <c r="B1264" s="3" t="s">
        <v>865</v>
      </c>
      <c r="C1264" s="29">
        <f>ROUND(Balances[[#This Row],[Total]]*40%,0)</f>
        <v>0</v>
      </c>
      <c r="D1264" s="29">
        <f>ROUND(Balances[[#This Row],[Total]]*20%,0)</f>
        <v>0</v>
      </c>
      <c r="E1264" s="29">
        <f>ROUND(Balances[[#This Row],[Total]]*40%,0)</f>
        <v>0</v>
      </c>
      <c r="F1264" s="18">
        <f>SUM(Acueducto[[#This Row],[Acueducto]:[Aseo]])</f>
        <v>0</v>
      </c>
    </row>
    <row r="1265" spans="1:6" ht="15" x14ac:dyDescent="0.2">
      <c r="A1265" s="7">
        <v>251204</v>
      </c>
      <c r="B1265" s="3" t="s">
        <v>879</v>
      </c>
      <c r="C1265" s="29">
        <f>ROUND(Balances[[#This Row],[Total]]*40%,0)</f>
        <v>0</v>
      </c>
      <c r="D1265" s="29">
        <f>ROUND(Balances[[#This Row],[Total]]*20%,0)</f>
        <v>0</v>
      </c>
      <c r="E1265" s="29">
        <f>ROUND(Balances[[#This Row],[Total]]*40%,0)</f>
        <v>0</v>
      </c>
      <c r="F1265" s="18">
        <f>SUM(Acueducto[[#This Row],[Acueducto]:[Aseo]])</f>
        <v>0</v>
      </c>
    </row>
    <row r="1266" spans="1:6" ht="15" x14ac:dyDescent="0.2">
      <c r="A1266" s="7">
        <v>251290</v>
      </c>
      <c r="B1266" s="3" t="s">
        <v>880</v>
      </c>
      <c r="C1266" s="29">
        <f>ROUND(Balances[[#This Row],[Total]]*40%,0)</f>
        <v>0</v>
      </c>
      <c r="D1266" s="29">
        <f>ROUND(Balances[[#This Row],[Total]]*20%,0)</f>
        <v>0</v>
      </c>
      <c r="E1266" s="29">
        <f>ROUND(Balances[[#This Row],[Total]]*40%,0)</f>
        <v>0</v>
      </c>
      <c r="F1266" s="18">
        <f>SUM(Acueducto[[#This Row],[Acueducto]:[Aseo]])</f>
        <v>0</v>
      </c>
    </row>
    <row r="1267" spans="1:6" ht="15" x14ac:dyDescent="0.2">
      <c r="A1267" s="6">
        <v>2513</v>
      </c>
      <c r="B1267" s="2" t="s">
        <v>881</v>
      </c>
      <c r="C1267" s="28">
        <f>ROUND(Balances[[#This Row],[Total]]*40%,0)</f>
        <v>0</v>
      </c>
      <c r="D1267" s="28">
        <f>ROUND(Balances[[#This Row],[Total]]*20%,0)</f>
        <v>0</v>
      </c>
      <c r="E1267" s="28">
        <f>ROUND(Balances[[#This Row],[Total]]*40%,0)</f>
        <v>0</v>
      </c>
      <c r="F1267" s="17">
        <f>SUM(Acueducto[[#This Row],[Acueducto]:[Aseo]])</f>
        <v>0</v>
      </c>
    </row>
    <row r="1268" spans="1:6" ht="15" x14ac:dyDescent="0.2">
      <c r="A1268" s="7">
        <v>251301</v>
      </c>
      <c r="B1268" s="3" t="s">
        <v>243</v>
      </c>
      <c r="C1268" s="29">
        <f>ROUND(Balances[[#This Row],[Total]]*40%,0)</f>
        <v>0</v>
      </c>
      <c r="D1268" s="29">
        <f>ROUND(Balances[[#This Row],[Total]]*20%,0)</f>
        <v>0</v>
      </c>
      <c r="E1268" s="29">
        <f>ROUND(Balances[[#This Row],[Total]]*40%,0)</f>
        <v>0</v>
      </c>
      <c r="F1268" s="18">
        <f>SUM(Acueducto[[#This Row],[Acueducto]:[Aseo]])</f>
        <v>0</v>
      </c>
    </row>
    <row r="1269" spans="1:6" ht="15" x14ac:dyDescent="0.2">
      <c r="A1269" s="7">
        <v>251302</v>
      </c>
      <c r="B1269" s="3" t="s">
        <v>865</v>
      </c>
      <c r="C1269" s="29">
        <f>ROUND(Balances[[#This Row],[Total]]*40%,0)</f>
        <v>0</v>
      </c>
      <c r="D1269" s="29">
        <f>ROUND(Balances[[#This Row],[Total]]*20%,0)</f>
        <v>0</v>
      </c>
      <c r="E1269" s="29">
        <f>ROUND(Balances[[#This Row],[Total]]*40%,0)</f>
        <v>0</v>
      </c>
      <c r="F1269" s="18">
        <f>SUM(Acueducto[[#This Row],[Acueducto]:[Aseo]])</f>
        <v>0</v>
      </c>
    </row>
    <row r="1270" spans="1:6" ht="15" x14ac:dyDescent="0.2">
      <c r="A1270" s="7">
        <v>251390</v>
      </c>
      <c r="B1270" s="3" t="s">
        <v>882</v>
      </c>
      <c r="C1270" s="29">
        <f>ROUND(Balances[[#This Row],[Total]]*40%,0)</f>
        <v>0</v>
      </c>
      <c r="D1270" s="29">
        <f>ROUND(Balances[[#This Row],[Total]]*20%,0)</f>
        <v>0</v>
      </c>
      <c r="E1270" s="29">
        <f>ROUND(Balances[[#This Row],[Total]]*40%,0)</f>
        <v>0</v>
      </c>
      <c r="F1270" s="18">
        <f>SUM(Acueducto[[#This Row],[Acueducto]:[Aseo]])</f>
        <v>0</v>
      </c>
    </row>
    <row r="1271" spans="1:6" ht="15" x14ac:dyDescent="0.2">
      <c r="A1271" s="6">
        <v>2514</v>
      </c>
      <c r="B1271" s="2" t="s">
        <v>883</v>
      </c>
      <c r="C1271" s="28">
        <f>ROUND(Balances[[#This Row],[Total]]*40%,0)</f>
        <v>0</v>
      </c>
      <c r="D1271" s="28">
        <f>ROUND(Balances[[#This Row],[Total]]*20%,0)</f>
        <v>0</v>
      </c>
      <c r="E1271" s="28">
        <f>ROUND(Balances[[#This Row],[Total]]*40%,0)</f>
        <v>0</v>
      </c>
      <c r="F1271" s="17">
        <f>SUM(Acueducto[[#This Row],[Acueducto]:[Aseo]])</f>
        <v>0</v>
      </c>
    </row>
    <row r="1272" spans="1:6" ht="15" x14ac:dyDescent="0.2">
      <c r="A1272" s="7">
        <v>251401</v>
      </c>
      <c r="B1272" s="3" t="s">
        <v>884</v>
      </c>
      <c r="C1272" s="29">
        <f>ROUND(Balances[[#This Row],[Total]]*40%,0)</f>
        <v>0</v>
      </c>
      <c r="D1272" s="29">
        <f>ROUND(Balances[[#This Row],[Total]]*20%,0)</f>
        <v>0</v>
      </c>
      <c r="E1272" s="29">
        <f>ROUND(Balances[[#This Row],[Total]]*40%,0)</f>
        <v>0</v>
      </c>
      <c r="F1272" s="18">
        <f>SUM(Acueducto[[#This Row],[Acueducto]:[Aseo]])</f>
        <v>0</v>
      </c>
    </row>
    <row r="1273" spans="1:6" ht="15" x14ac:dyDescent="0.2">
      <c r="A1273" s="7">
        <v>251402</v>
      </c>
      <c r="B1273" s="3" t="s">
        <v>885</v>
      </c>
      <c r="C1273" s="29">
        <f>ROUND(Balances[[#This Row],[Total]]*40%,0)</f>
        <v>0</v>
      </c>
      <c r="D1273" s="29">
        <f>ROUND(Balances[[#This Row],[Total]]*20%,0)</f>
        <v>0</v>
      </c>
      <c r="E1273" s="29">
        <f>ROUND(Balances[[#This Row],[Total]]*40%,0)</f>
        <v>0</v>
      </c>
      <c r="F1273" s="18">
        <f>SUM(Acueducto[[#This Row],[Acueducto]:[Aseo]])</f>
        <v>0</v>
      </c>
    </row>
    <row r="1274" spans="1:6" ht="15" x14ac:dyDescent="0.2">
      <c r="A1274" s="7">
        <v>251403</v>
      </c>
      <c r="B1274" s="3" t="s">
        <v>886</v>
      </c>
      <c r="C1274" s="29">
        <f>ROUND(Balances[[#This Row],[Total]]*40%,0)</f>
        <v>0</v>
      </c>
      <c r="D1274" s="29">
        <f>ROUND(Balances[[#This Row],[Total]]*20%,0)</f>
        <v>0</v>
      </c>
      <c r="E1274" s="29">
        <f>ROUND(Balances[[#This Row],[Total]]*40%,0)</f>
        <v>0</v>
      </c>
      <c r="F1274" s="18">
        <f>SUM(Acueducto[[#This Row],[Acueducto]:[Aseo]])</f>
        <v>0</v>
      </c>
    </row>
    <row r="1275" spans="1:6" ht="15" x14ac:dyDescent="0.2">
      <c r="A1275" s="7">
        <v>251404</v>
      </c>
      <c r="B1275" s="3" t="s">
        <v>887</v>
      </c>
      <c r="C1275" s="29">
        <f>ROUND(Balances[[#This Row],[Total]]*40%,0)</f>
        <v>0</v>
      </c>
      <c r="D1275" s="29">
        <f>ROUND(Balances[[#This Row],[Total]]*20%,0)</f>
        <v>0</v>
      </c>
      <c r="E1275" s="29">
        <f>ROUND(Balances[[#This Row],[Total]]*40%,0)</f>
        <v>0</v>
      </c>
      <c r="F1275" s="18">
        <f>SUM(Acueducto[[#This Row],[Acueducto]:[Aseo]])</f>
        <v>0</v>
      </c>
    </row>
    <row r="1276" spans="1:6" ht="15" x14ac:dyDescent="0.2">
      <c r="A1276" s="7">
        <v>251405</v>
      </c>
      <c r="B1276" s="3" t="s">
        <v>234</v>
      </c>
      <c r="C1276" s="29">
        <f>ROUND(Balances[[#This Row],[Total]]*40%,0)</f>
        <v>0</v>
      </c>
      <c r="D1276" s="29">
        <f>ROUND(Balances[[#This Row],[Total]]*20%,0)</f>
        <v>0</v>
      </c>
      <c r="E1276" s="29">
        <f>ROUND(Balances[[#This Row],[Total]]*40%,0)</f>
        <v>0</v>
      </c>
      <c r="F1276" s="18">
        <f>SUM(Acueducto[[#This Row],[Acueducto]:[Aseo]])</f>
        <v>0</v>
      </c>
    </row>
    <row r="1277" spans="1:6" ht="15" x14ac:dyDescent="0.2">
      <c r="A1277" s="7">
        <v>251410</v>
      </c>
      <c r="B1277" s="3" t="s">
        <v>888</v>
      </c>
      <c r="C1277" s="29">
        <f>ROUND(Balances[[#This Row],[Total]]*40%,0)</f>
        <v>0</v>
      </c>
      <c r="D1277" s="29">
        <f>ROUND(Balances[[#This Row],[Total]]*20%,0)</f>
        <v>0</v>
      </c>
      <c r="E1277" s="29">
        <f>ROUND(Balances[[#This Row],[Total]]*40%,0)</f>
        <v>0</v>
      </c>
      <c r="F1277" s="18">
        <f>SUM(Acueducto[[#This Row],[Acueducto]:[Aseo]])</f>
        <v>0</v>
      </c>
    </row>
    <row r="1278" spans="1:6" ht="15" x14ac:dyDescent="0.2">
      <c r="A1278" s="7">
        <v>251412</v>
      </c>
      <c r="B1278" s="3" t="s">
        <v>889</v>
      </c>
      <c r="C1278" s="29">
        <f>ROUND(Balances[[#This Row],[Total]]*40%,0)</f>
        <v>0</v>
      </c>
      <c r="D1278" s="29">
        <f>ROUND(Balances[[#This Row],[Total]]*20%,0)</f>
        <v>0</v>
      </c>
      <c r="E1278" s="29">
        <f>ROUND(Balances[[#This Row],[Total]]*40%,0)</f>
        <v>0</v>
      </c>
      <c r="F1278" s="18">
        <f>SUM(Acueducto[[#This Row],[Acueducto]:[Aseo]])</f>
        <v>0</v>
      </c>
    </row>
    <row r="1279" spans="1:6" ht="15" x14ac:dyDescent="0.2">
      <c r="A1279" s="7">
        <v>251414</v>
      </c>
      <c r="B1279" s="3" t="s">
        <v>890</v>
      </c>
      <c r="C1279" s="29">
        <f>ROUND(Balances[[#This Row],[Total]]*40%,0)</f>
        <v>0</v>
      </c>
      <c r="D1279" s="29">
        <f>ROUND(Balances[[#This Row],[Total]]*20%,0)</f>
        <v>0</v>
      </c>
      <c r="E1279" s="29">
        <f>ROUND(Balances[[#This Row],[Total]]*40%,0)</f>
        <v>0</v>
      </c>
      <c r="F1279" s="18">
        <f>SUM(Acueducto[[#This Row],[Acueducto]:[Aseo]])</f>
        <v>0</v>
      </c>
    </row>
    <row r="1280" spans="1:6" ht="15" x14ac:dyDescent="0.2">
      <c r="A1280" s="7">
        <v>251415</v>
      </c>
      <c r="B1280" s="3" t="s">
        <v>891</v>
      </c>
      <c r="C1280" s="29">
        <f>ROUND(Balances[[#This Row],[Total]]*40%,0)</f>
        <v>0</v>
      </c>
      <c r="D1280" s="29">
        <f>ROUND(Balances[[#This Row],[Total]]*20%,0)</f>
        <v>0</v>
      </c>
      <c r="E1280" s="29">
        <f>ROUND(Balances[[#This Row],[Total]]*40%,0)</f>
        <v>0</v>
      </c>
      <c r="F1280" s="18">
        <f>SUM(Acueducto[[#This Row],[Acueducto]:[Aseo]])</f>
        <v>0</v>
      </c>
    </row>
    <row r="1281" spans="1:6" ht="15" x14ac:dyDescent="0.2">
      <c r="A1281" s="6">
        <v>2515</v>
      </c>
      <c r="B1281" s="2" t="s">
        <v>892</v>
      </c>
      <c r="C1281" s="28">
        <f>ROUND(Balances[[#This Row],[Total]]*40%,0)</f>
        <v>0</v>
      </c>
      <c r="D1281" s="28">
        <f>ROUND(Balances[[#This Row],[Total]]*20%,0)</f>
        <v>0</v>
      </c>
      <c r="E1281" s="28">
        <f>ROUND(Balances[[#This Row],[Total]]*40%,0)</f>
        <v>0</v>
      </c>
      <c r="F1281" s="17">
        <f>SUM(Acueducto[[#This Row],[Acueducto]:[Aseo]])</f>
        <v>0</v>
      </c>
    </row>
    <row r="1282" spans="1:6" ht="15" x14ac:dyDescent="0.2">
      <c r="A1282" s="7">
        <v>251501</v>
      </c>
      <c r="B1282" s="3" t="s">
        <v>893</v>
      </c>
      <c r="C1282" s="29">
        <f>ROUND(Balances[[#This Row],[Total]]*40%,0)</f>
        <v>0</v>
      </c>
      <c r="D1282" s="29">
        <f>ROUND(Balances[[#This Row],[Total]]*20%,0)</f>
        <v>0</v>
      </c>
      <c r="E1282" s="29">
        <f>ROUND(Balances[[#This Row],[Total]]*40%,0)</f>
        <v>0</v>
      </c>
      <c r="F1282" s="18">
        <f>SUM(Acueducto[[#This Row],[Acueducto]:[Aseo]])</f>
        <v>0</v>
      </c>
    </row>
    <row r="1283" spans="1:6" ht="15" x14ac:dyDescent="0.2">
      <c r="A1283" s="7">
        <v>251502</v>
      </c>
      <c r="B1283" s="3" t="s">
        <v>894</v>
      </c>
      <c r="C1283" s="29">
        <f>ROUND(Balances[[#This Row],[Total]]*40%,0)</f>
        <v>0</v>
      </c>
      <c r="D1283" s="29">
        <f>ROUND(Balances[[#This Row],[Total]]*20%,0)</f>
        <v>0</v>
      </c>
      <c r="E1283" s="29">
        <f>ROUND(Balances[[#This Row],[Total]]*40%,0)</f>
        <v>0</v>
      </c>
      <c r="F1283" s="18">
        <f>SUM(Acueducto[[#This Row],[Acueducto]:[Aseo]])</f>
        <v>0</v>
      </c>
    </row>
    <row r="1284" spans="1:6" ht="15" x14ac:dyDescent="0.2">
      <c r="A1284" s="6">
        <v>26</v>
      </c>
      <c r="B1284" s="2" t="s">
        <v>895</v>
      </c>
      <c r="C1284" s="28">
        <f>ROUND(Balances[[#This Row],[Total]]*40%,0)</f>
        <v>0</v>
      </c>
      <c r="D1284" s="28">
        <f>ROUND(Balances[[#This Row],[Total]]*20%,0)</f>
        <v>0</v>
      </c>
      <c r="E1284" s="28">
        <f>ROUND(Balances[[#This Row],[Total]]*40%,0)</f>
        <v>0</v>
      </c>
      <c r="F1284" s="17">
        <f>SUM(Acueducto[[#This Row],[Acueducto]:[Aseo]])</f>
        <v>0</v>
      </c>
    </row>
    <row r="1285" spans="1:6" ht="15" x14ac:dyDescent="0.2">
      <c r="A1285" s="6">
        <v>2601</v>
      </c>
      <c r="B1285" s="2" t="s">
        <v>83</v>
      </c>
      <c r="C1285" s="28">
        <f>ROUND(Balances[[#This Row],[Total]]*40%,0)</f>
        <v>0</v>
      </c>
      <c r="D1285" s="28">
        <f>ROUND(Balances[[#This Row],[Total]]*20%,0)</f>
        <v>0</v>
      </c>
      <c r="E1285" s="28">
        <f>ROUND(Balances[[#This Row],[Total]]*40%,0)</f>
        <v>0</v>
      </c>
      <c r="F1285" s="17">
        <f>SUM(Acueducto[[#This Row],[Acueducto]:[Aseo]])</f>
        <v>0</v>
      </c>
    </row>
    <row r="1286" spans="1:6" ht="15" x14ac:dyDescent="0.2">
      <c r="A1286" s="7">
        <v>260101</v>
      </c>
      <c r="B1286" s="3" t="s">
        <v>896</v>
      </c>
      <c r="C1286" s="29">
        <f>ROUND(Balances[[#This Row],[Total]]*40%,0)</f>
        <v>0</v>
      </c>
      <c r="D1286" s="29">
        <f>ROUND(Balances[[#This Row],[Total]]*20%,0)</f>
        <v>0</v>
      </c>
      <c r="E1286" s="29">
        <f>ROUND(Balances[[#This Row],[Total]]*40%,0)</f>
        <v>0</v>
      </c>
      <c r="F1286" s="18">
        <f>SUM(Acueducto[[#This Row],[Acueducto]:[Aseo]])</f>
        <v>0</v>
      </c>
    </row>
    <row r="1287" spans="1:6" ht="15" x14ac:dyDescent="0.2">
      <c r="A1287" s="7">
        <v>260102</v>
      </c>
      <c r="B1287" s="3" t="s">
        <v>897</v>
      </c>
      <c r="C1287" s="29">
        <f>ROUND(Balances[[#This Row],[Total]]*40%,0)</f>
        <v>0</v>
      </c>
      <c r="D1287" s="29">
        <f>ROUND(Balances[[#This Row],[Total]]*20%,0)</f>
        <v>0</v>
      </c>
      <c r="E1287" s="29">
        <f>ROUND(Balances[[#This Row],[Total]]*40%,0)</f>
        <v>0</v>
      </c>
      <c r="F1287" s="18">
        <f>SUM(Acueducto[[#This Row],[Acueducto]:[Aseo]])</f>
        <v>0</v>
      </c>
    </row>
    <row r="1288" spans="1:6" ht="15" x14ac:dyDescent="0.2">
      <c r="A1288" s="7">
        <v>260103</v>
      </c>
      <c r="B1288" s="3" t="s">
        <v>898</v>
      </c>
      <c r="C1288" s="29">
        <f>ROUND(Balances[[#This Row],[Total]]*40%,0)</f>
        <v>0</v>
      </c>
      <c r="D1288" s="29">
        <f>ROUND(Balances[[#This Row],[Total]]*20%,0)</f>
        <v>0</v>
      </c>
      <c r="E1288" s="29">
        <f>ROUND(Balances[[#This Row],[Total]]*40%,0)</f>
        <v>0</v>
      </c>
      <c r="F1288" s="18">
        <f>SUM(Acueducto[[#This Row],[Acueducto]:[Aseo]])</f>
        <v>0</v>
      </c>
    </row>
    <row r="1289" spans="1:6" ht="15" x14ac:dyDescent="0.2">
      <c r="A1289" s="7">
        <v>260104</v>
      </c>
      <c r="B1289" s="3" t="s">
        <v>899</v>
      </c>
      <c r="C1289" s="29">
        <f>ROUND(Balances[[#This Row],[Total]]*40%,0)</f>
        <v>0</v>
      </c>
      <c r="D1289" s="29">
        <f>ROUND(Balances[[#This Row],[Total]]*20%,0)</f>
        <v>0</v>
      </c>
      <c r="E1289" s="29">
        <f>ROUND(Balances[[#This Row],[Total]]*40%,0)</f>
        <v>0</v>
      </c>
      <c r="F1289" s="18">
        <f>SUM(Acueducto[[#This Row],[Acueducto]:[Aseo]])</f>
        <v>0</v>
      </c>
    </row>
    <row r="1290" spans="1:6" ht="15" x14ac:dyDescent="0.2">
      <c r="A1290" s="7">
        <v>260105</v>
      </c>
      <c r="B1290" s="3" t="s">
        <v>900</v>
      </c>
      <c r="C1290" s="29">
        <f>ROUND(Balances[[#This Row],[Total]]*40%,0)</f>
        <v>0</v>
      </c>
      <c r="D1290" s="29">
        <f>ROUND(Balances[[#This Row],[Total]]*20%,0)</f>
        <v>0</v>
      </c>
      <c r="E1290" s="29">
        <f>ROUND(Balances[[#This Row],[Total]]*40%,0)</f>
        <v>0</v>
      </c>
      <c r="F1290" s="18">
        <f>SUM(Acueducto[[#This Row],[Acueducto]:[Aseo]])</f>
        <v>0</v>
      </c>
    </row>
    <row r="1291" spans="1:6" ht="15" x14ac:dyDescent="0.2">
      <c r="A1291" s="7">
        <v>260106</v>
      </c>
      <c r="B1291" s="3" t="s">
        <v>901</v>
      </c>
      <c r="C1291" s="29">
        <f>ROUND(Balances[[#This Row],[Total]]*40%,0)</f>
        <v>0</v>
      </c>
      <c r="D1291" s="29">
        <f>ROUND(Balances[[#This Row],[Total]]*20%,0)</f>
        <v>0</v>
      </c>
      <c r="E1291" s="29">
        <f>ROUND(Balances[[#This Row],[Total]]*40%,0)</f>
        <v>0</v>
      </c>
      <c r="F1291" s="18">
        <f>SUM(Acueducto[[#This Row],[Acueducto]:[Aseo]])</f>
        <v>0</v>
      </c>
    </row>
    <row r="1292" spans="1:6" ht="15" x14ac:dyDescent="0.2">
      <c r="A1292" s="7">
        <v>260107</v>
      </c>
      <c r="B1292" s="3" t="s">
        <v>902</v>
      </c>
      <c r="C1292" s="29">
        <f>ROUND(Balances[[#This Row],[Total]]*40%,0)</f>
        <v>0</v>
      </c>
      <c r="D1292" s="29">
        <f>ROUND(Balances[[#This Row],[Total]]*20%,0)</f>
        <v>0</v>
      </c>
      <c r="E1292" s="29">
        <f>ROUND(Balances[[#This Row],[Total]]*40%,0)</f>
        <v>0</v>
      </c>
      <c r="F1292" s="18">
        <f>SUM(Acueducto[[#This Row],[Acueducto]:[Aseo]])</f>
        <v>0</v>
      </c>
    </row>
    <row r="1293" spans="1:6" ht="15" x14ac:dyDescent="0.2">
      <c r="A1293" s="7">
        <v>260108</v>
      </c>
      <c r="B1293" s="3" t="s">
        <v>903</v>
      </c>
      <c r="C1293" s="29">
        <f>ROUND(Balances[[#This Row],[Total]]*40%,0)</f>
        <v>0</v>
      </c>
      <c r="D1293" s="29">
        <f>ROUND(Balances[[#This Row],[Total]]*20%,0)</f>
        <v>0</v>
      </c>
      <c r="E1293" s="29">
        <f>ROUND(Balances[[#This Row],[Total]]*40%,0)</f>
        <v>0</v>
      </c>
      <c r="F1293" s="18">
        <f>SUM(Acueducto[[#This Row],[Acueducto]:[Aseo]])</f>
        <v>0</v>
      </c>
    </row>
    <row r="1294" spans="1:6" ht="15" x14ac:dyDescent="0.2">
      <c r="A1294" s="7">
        <v>260109</v>
      </c>
      <c r="B1294" s="3" t="s">
        <v>904</v>
      </c>
      <c r="C1294" s="29">
        <f>ROUND(Balances[[#This Row],[Total]]*40%,0)</f>
        <v>0</v>
      </c>
      <c r="D1294" s="29">
        <f>ROUND(Balances[[#This Row],[Total]]*20%,0)</f>
        <v>0</v>
      </c>
      <c r="E1294" s="29">
        <f>ROUND(Balances[[#This Row],[Total]]*40%,0)</f>
        <v>0</v>
      </c>
      <c r="F1294" s="18">
        <f>SUM(Acueducto[[#This Row],[Acueducto]:[Aseo]])</f>
        <v>0</v>
      </c>
    </row>
    <row r="1295" spans="1:6" ht="15" x14ac:dyDescent="0.2">
      <c r="A1295" s="7">
        <v>260111</v>
      </c>
      <c r="B1295" s="3" t="s">
        <v>905</v>
      </c>
      <c r="C1295" s="29">
        <f>ROUND(Balances[[#This Row],[Total]]*40%,0)</f>
        <v>0</v>
      </c>
      <c r="D1295" s="29">
        <f>ROUND(Balances[[#This Row],[Total]]*20%,0)</f>
        <v>0</v>
      </c>
      <c r="E1295" s="29">
        <f>ROUND(Balances[[#This Row],[Total]]*40%,0)</f>
        <v>0</v>
      </c>
      <c r="F1295" s="18">
        <f>SUM(Acueducto[[#This Row],[Acueducto]:[Aseo]])</f>
        <v>0</v>
      </c>
    </row>
    <row r="1296" spans="1:6" ht="15" x14ac:dyDescent="0.2">
      <c r="A1296" s="6">
        <v>2602</v>
      </c>
      <c r="B1296" s="2" t="s">
        <v>94</v>
      </c>
      <c r="C1296" s="28">
        <f>ROUND(Balances[[#This Row],[Total]]*40%,0)</f>
        <v>0</v>
      </c>
      <c r="D1296" s="28">
        <f>ROUND(Balances[[#This Row],[Total]]*20%,0)</f>
        <v>0</v>
      </c>
      <c r="E1296" s="28">
        <f>ROUND(Balances[[#This Row],[Total]]*40%,0)</f>
        <v>0</v>
      </c>
      <c r="F1296" s="17">
        <f>SUM(Acueducto[[#This Row],[Acueducto]:[Aseo]])</f>
        <v>0</v>
      </c>
    </row>
    <row r="1297" spans="1:6" ht="15" x14ac:dyDescent="0.2">
      <c r="A1297" s="7">
        <v>260201</v>
      </c>
      <c r="B1297" s="3" t="s">
        <v>896</v>
      </c>
      <c r="C1297" s="29">
        <f>ROUND(Balances[[#This Row],[Total]]*40%,0)</f>
        <v>0</v>
      </c>
      <c r="D1297" s="29">
        <f>ROUND(Balances[[#This Row],[Total]]*20%,0)</f>
        <v>0</v>
      </c>
      <c r="E1297" s="29">
        <f>ROUND(Balances[[#This Row],[Total]]*40%,0)</f>
        <v>0</v>
      </c>
      <c r="F1297" s="18">
        <f>SUM(Acueducto[[#This Row],[Acueducto]:[Aseo]])</f>
        <v>0</v>
      </c>
    </row>
    <row r="1298" spans="1:6" ht="15" x14ac:dyDescent="0.2">
      <c r="A1298" s="7">
        <v>260202</v>
      </c>
      <c r="B1298" s="3" t="s">
        <v>897</v>
      </c>
      <c r="C1298" s="29">
        <f>ROUND(Balances[[#This Row],[Total]]*40%,0)</f>
        <v>0</v>
      </c>
      <c r="D1298" s="29">
        <f>ROUND(Balances[[#This Row],[Total]]*20%,0)</f>
        <v>0</v>
      </c>
      <c r="E1298" s="29">
        <f>ROUND(Balances[[#This Row],[Total]]*40%,0)</f>
        <v>0</v>
      </c>
      <c r="F1298" s="18">
        <f>SUM(Acueducto[[#This Row],[Acueducto]:[Aseo]])</f>
        <v>0</v>
      </c>
    </row>
    <row r="1299" spans="1:6" ht="15" x14ac:dyDescent="0.2">
      <c r="A1299" s="7">
        <v>260203</v>
      </c>
      <c r="B1299" s="3" t="s">
        <v>898</v>
      </c>
      <c r="C1299" s="29">
        <f>ROUND(Balances[[#This Row],[Total]]*40%,0)</f>
        <v>0</v>
      </c>
      <c r="D1299" s="29">
        <f>ROUND(Balances[[#This Row],[Total]]*20%,0)</f>
        <v>0</v>
      </c>
      <c r="E1299" s="29">
        <f>ROUND(Balances[[#This Row],[Total]]*40%,0)</f>
        <v>0</v>
      </c>
      <c r="F1299" s="18">
        <f>SUM(Acueducto[[#This Row],[Acueducto]:[Aseo]])</f>
        <v>0</v>
      </c>
    </row>
    <row r="1300" spans="1:6" ht="15" x14ac:dyDescent="0.2">
      <c r="A1300" s="7">
        <v>260204</v>
      </c>
      <c r="B1300" s="3" t="s">
        <v>899</v>
      </c>
      <c r="C1300" s="29">
        <f>ROUND(Balances[[#This Row],[Total]]*40%,0)</f>
        <v>0</v>
      </c>
      <c r="D1300" s="29">
        <f>ROUND(Balances[[#This Row],[Total]]*20%,0)</f>
        <v>0</v>
      </c>
      <c r="E1300" s="29">
        <f>ROUND(Balances[[#This Row],[Total]]*40%,0)</f>
        <v>0</v>
      </c>
      <c r="F1300" s="18">
        <f>SUM(Acueducto[[#This Row],[Acueducto]:[Aseo]])</f>
        <v>0</v>
      </c>
    </row>
    <row r="1301" spans="1:6" ht="15" x14ac:dyDescent="0.2">
      <c r="A1301" s="7">
        <v>260205</v>
      </c>
      <c r="B1301" s="3" t="s">
        <v>900</v>
      </c>
      <c r="C1301" s="29">
        <f>ROUND(Balances[[#This Row],[Total]]*40%,0)</f>
        <v>0</v>
      </c>
      <c r="D1301" s="29">
        <f>ROUND(Balances[[#This Row],[Total]]*20%,0)</f>
        <v>0</v>
      </c>
      <c r="E1301" s="29">
        <f>ROUND(Balances[[#This Row],[Total]]*40%,0)</f>
        <v>0</v>
      </c>
      <c r="F1301" s="18">
        <f>SUM(Acueducto[[#This Row],[Acueducto]:[Aseo]])</f>
        <v>0</v>
      </c>
    </row>
    <row r="1302" spans="1:6" ht="15" x14ac:dyDescent="0.2">
      <c r="A1302" s="7">
        <v>260206</v>
      </c>
      <c r="B1302" s="3" t="s">
        <v>901</v>
      </c>
      <c r="C1302" s="29">
        <f>ROUND(Balances[[#This Row],[Total]]*40%,0)</f>
        <v>0</v>
      </c>
      <c r="D1302" s="29">
        <f>ROUND(Balances[[#This Row],[Total]]*20%,0)</f>
        <v>0</v>
      </c>
      <c r="E1302" s="29">
        <f>ROUND(Balances[[#This Row],[Total]]*40%,0)</f>
        <v>0</v>
      </c>
      <c r="F1302" s="18">
        <f>SUM(Acueducto[[#This Row],[Acueducto]:[Aseo]])</f>
        <v>0</v>
      </c>
    </row>
    <row r="1303" spans="1:6" ht="15" x14ac:dyDescent="0.2">
      <c r="A1303" s="7">
        <v>260207</v>
      </c>
      <c r="B1303" s="3" t="s">
        <v>902</v>
      </c>
      <c r="C1303" s="29">
        <f>ROUND(Balances[[#This Row],[Total]]*40%,0)</f>
        <v>0</v>
      </c>
      <c r="D1303" s="29">
        <f>ROUND(Balances[[#This Row],[Total]]*20%,0)</f>
        <v>0</v>
      </c>
      <c r="E1303" s="29">
        <f>ROUND(Balances[[#This Row],[Total]]*40%,0)</f>
        <v>0</v>
      </c>
      <c r="F1303" s="18">
        <f>SUM(Acueducto[[#This Row],[Acueducto]:[Aseo]])</f>
        <v>0</v>
      </c>
    </row>
    <row r="1304" spans="1:6" ht="15" x14ac:dyDescent="0.2">
      <c r="A1304" s="7">
        <v>260208</v>
      </c>
      <c r="B1304" s="3" t="s">
        <v>903</v>
      </c>
      <c r="C1304" s="29">
        <f>ROUND(Balances[[#This Row],[Total]]*40%,0)</f>
        <v>0</v>
      </c>
      <c r="D1304" s="29">
        <f>ROUND(Balances[[#This Row],[Total]]*20%,0)</f>
        <v>0</v>
      </c>
      <c r="E1304" s="29">
        <f>ROUND(Balances[[#This Row],[Total]]*40%,0)</f>
        <v>0</v>
      </c>
      <c r="F1304" s="18">
        <f>SUM(Acueducto[[#This Row],[Acueducto]:[Aseo]])</f>
        <v>0</v>
      </c>
    </row>
    <row r="1305" spans="1:6" ht="15" x14ac:dyDescent="0.2">
      <c r="A1305" s="7">
        <v>260209</v>
      </c>
      <c r="B1305" s="3" t="s">
        <v>904</v>
      </c>
      <c r="C1305" s="29">
        <f>ROUND(Balances[[#This Row],[Total]]*40%,0)</f>
        <v>0</v>
      </c>
      <c r="D1305" s="29">
        <f>ROUND(Balances[[#This Row],[Total]]*20%,0)</f>
        <v>0</v>
      </c>
      <c r="E1305" s="29">
        <f>ROUND(Balances[[#This Row],[Total]]*40%,0)</f>
        <v>0</v>
      </c>
      <c r="F1305" s="18">
        <f>SUM(Acueducto[[#This Row],[Acueducto]:[Aseo]])</f>
        <v>0</v>
      </c>
    </row>
    <row r="1306" spans="1:6" ht="15" x14ac:dyDescent="0.2">
      <c r="A1306" s="7">
        <v>260211</v>
      </c>
      <c r="B1306" s="3" t="s">
        <v>905</v>
      </c>
      <c r="C1306" s="29">
        <f>ROUND(Balances[[#This Row],[Total]]*40%,0)</f>
        <v>0</v>
      </c>
      <c r="D1306" s="29">
        <f>ROUND(Balances[[#This Row],[Total]]*20%,0)</f>
        <v>0</v>
      </c>
      <c r="E1306" s="29">
        <f>ROUND(Balances[[#This Row],[Total]]*40%,0)</f>
        <v>0</v>
      </c>
      <c r="F1306" s="18">
        <f>SUM(Acueducto[[#This Row],[Acueducto]:[Aseo]])</f>
        <v>0</v>
      </c>
    </row>
    <row r="1307" spans="1:6" ht="15" x14ac:dyDescent="0.2">
      <c r="A1307" s="6">
        <v>2603</v>
      </c>
      <c r="B1307" s="2" t="s">
        <v>95</v>
      </c>
      <c r="C1307" s="28">
        <f>ROUND(Balances[[#This Row],[Total]]*40%,0)</f>
        <v>0</v>
      </c>
      <c r="D1307" s="28">
        <f>ROUND(Balances[[#This Row],[Total]]*20%,0)</f>
        <v>0</v>
      </c>
      <c r="E1307" s="28">
        <f>ROUND(Balances[[#This Row],[Total]]*40%,0)</f>
        <v>0</v>
      </c>
      <c r="F1307" s="17">
        <f>SUM(Acueducto[[#This Row],[Acueducto]:[Aseo]])</f>
        <v>0</v>
      </c>
    </row>
    <row r="1308" spans="1:6" ht="15" x14ac:dyDescent="0.2">
      <c r="A1308" s="7">
        <v>260301</v>
      </c>
      <c r="B1308" s="3" t="s">
        <v>896</v>
      </c>
      <c r="C1308" s="29">
        <f>ROUND(Balances[[#This Row],[Total]]*40%,0)</f>
        <v>0</v>
      </c>
      <c r="D1308" s="29">
        <f>ROUND(Balances[[#This Row],[Total]]*20%,0)</f>
        <v>0</v>
      </c>
      <c r="E1308" s="29">
        <f>ROUND(Balances[[#This Row],[Total]]*40%,0)</f>
        <v>0</v>
      </c>
      <c r="F1308" s="18">
        <f>SUM(Acueducto[[#This Row],[Acueducto]:[Aseo]])</f>
        <v>0</v>
      </c>
    </row>
    <row r="1309" spans="1:6" ht="15" x14ac:dyDescent="0.2">
      <c r="A1309" s="7">
        <v>260302</v>
      </c>
      <c r="B1309" s="3" t="s">
        <v>897</v>
      </c>
      <c r="C1309" s="29">
        <f>ROUND(Balances[[#This Row],[Total]]*40%,0)</f>
        <v>0</v>
      </c>
      <c r="D1309" s="29">
        <f>ROUND(Balances[[#This Row],[Total]]*20%,0)</f>
        <v>0</v>
      </c>
      <c r="E1309" s="29">
        <f>ROUND(Balances[[#This Row],[Total]]*40%,0)</f>
        <v>0</v>
      </c>
      <c r="F1309" s="18">
        <f>SUM(Acueducto[[#This Row],[Acueducto]:[Aseo]])</f>
        <v>0</v>
      </c>
    </row>
    <row r="1310" spans="1:6" ht="15" x14ac:dyDescent="0.2">
      <c r="A1310" s="7">
        <v>260303</v>
      </c>
      <c r="B1310" s="3" t="s">
        <v>898</v>
      </c>
      <c r="C1310" s="29">
        <f>ROUND(Balances[[#This Row],[Total]]*40%,0)</f>
        <v>0</v>
      </c>
      <c r="D1310" s="29">
        <f>ROUND(Balances[[#This Row],[Total]]*20%,0)</f>
        <v>0</v>
      </c>
      <c r="E1310" s="29">
        <f>ROUND(Balances[[#This Row],[Total]]*40%,0)</f>
        <v>0</v>
      </c>
      <c r="F1310" s="18">
        <f>SUM(Acueducto[[#This Row],[Acueducto]:[Aseo]])</f>
        <v>0</v>
      </c>
    </row>
    <row r="1311" spans="1:6" ht="15" x14ac:dyDescent="0.2">
      <c r="A1311" s="7">
        <v>260304</v>
      </c>
      <c r="B1311" s="3" t="s">
        <v>899</v>
      </c>
      <c r="C1311" s="29">
        <f>ROUND(Balances[[#This Row],[Total]]*40%,0)</f>
        <v>0</v>
      </c>
      <c r="D1311" s="29">
        <f>ROUND(Balances[[#This Row],[Total]]*20%,0)</f>
        <v>0</v>
      </c>
      <c r="E1311" s="29">
        <f>ROUND(Balances[[#This Row],[Total]]*40%,0)</f>
        <v>0</v>
      </c>
      <c r="F1311" s="18">
        <f>SUM(Acueducto[[#This Row],[Acueducto]:[Aseo]])</f>
        <v>0</v>
      </c>
    </row>
    <row r="1312" spans="1:6" ht="15" x14ac:dyDescent="0.2">
      <c r="A1312" s="7">
        <v>260305</v>
      </c>
      <c r="B1312" s="3" t="s">
        <v>900</v>
      </c>
      <c r="C1312" s="29">
        <f>ROUND(Balances[[#This Row],[Total]]*40%,0)</f>
        <v>0</v>
      </c>
      <c r="D1312" s="29">
        <f>ROUND(Balances[[#This Row],[Total]]*20%,0)</f>
        <v>0</v>
      </c>
      <c r="E1312" s="29">
        <f>ROUND(Balances[[#This Row],[Total]]*40%,0)</f>
        <v>0</v>
      </c>
      <c r="F1312" s="18">
        <f>SUM(Acueducto[[#This Row],[Acueducto]:[Aseo]])</f>
        <v>0</v>
      </c>
    </row>
    <row r="1313" spans="1:6" ht="15" x14ac:dyDescent="0.2">
      <c r="A1313" s="7">
        <v>260306</v>
      </c>
      <c r="B1313" s="3" t="s">
        <v>901</v>
      </c>
      <c r="C1313" s="29">
        <f>ROUND(Balances[[#This Row],[Total]]*40%,0)</f>
        <v>0</v>
      </c>
      <c r="D1313" s="29">
        <f>ROUND(Balances[[#This Row],[Total]]*20%,0)</f>
        <v>0</v>
      </c>
      <c r="E1313" s="29">
        <f>ROUND(Balances[[#This Row],[Total]]*40%,0)</f>
        <v>0</v>
      </c>
      <c r="F1313" s="18">
        <f>SUM(Acueducto[[#This Row],[Acueducto]:[Aseo]])</f>
        <v>0</v>
      </c>
    </row>
    <row r="1314" spans="1:6" ht="15" x14ac:dyDescent="0.2">
      <c r="A1314" s="7">
        <v>260307</v>
      </c>
      <c r="B1314" s="3" t="s">
        <v>902</v>
      </c>
      <c r="C1314" s="29">
        <f>ROUND(Balances[[#This Row],[Total]]*40%,0)</f>
        <v>0</v>
      </c>
      <c r="D1314" s="29">
        <f>ROUND(Balances[[#This Row],[Total]]*20%,0)</f>
        <v>0</v>
      </c>
      <c r="E1314" s="29">
        <f>ROUND(Balances[[#This Row],[Total]]*40%,0)</f>
        <v>0</v>
      </c>
      <c r="F1314" s="18">
        <f>SUM(Acueducto[[#This Row],[Acueducto]:[Aseo]])</f>
        <v>0</v>
      </c>
    </row>
    <row r="1315" spans="1:6" ht="15" x14ac:dyDescent="0.2">
      <c r="A1315" s="7">
        <v>260308</v>
      </c>
      <c r="B1315" s="3" t="s">
        <v>903</v>
      </c>
      <c r="C1315" s="29">
        <f>ROUND(Balances[[#This Row],[Total]]*40%,0)</f>
        <v>0</v>
      </c>
      <c r="D1315" s="29">
        <f>ROUND(Balances[[#This Row],[Total]]*20%,0)</f>
        <v>0</v>
      </c>
      <c r="E1315" s="29">
        <f>ROUND(Balances[[#This Row],[Total]]*40%,0)</f>
        <v>0</v>
      </c>
      <c r="F1315" s="18">
        <f>SUM(Acueducto[[#This Row],[Acueducto]:[Aseo]])</f>
        <v>0</v>
      </c>
    </row>
    <row r="1316" spans="1:6" ht="15" x14ac:dyDescent="0.2">
      <c r="A1316" s="7">
        <v>260309</v>
      </c>
      <c r="B1316" s="3" t="s">
        <v>904</v>
      </c>
      <c r="C1316" s="29">
        <f>ROUND(Balances[[#This Row],[Total]]*40%,0)</f>
        <v>0</v>
      </c>
      <c r="D1316" s="29">
        <f>ROUND(Balances[[#This Row],[Total]]*20%,0)</f>
        <v>0</v>
      </c>
      <c r="E1316" s="29">
        <f>ROUND(Balances[[#This Row],[Total]]*40%,0)</f>
        <v>0</v>
      </c>
      <c r="F1316" s="18">
        <f>SUM(Acueducto[[#This Row],[Acueducto]:[Aseo]])</f>
        <v>0</v>
      </c>
    </row>
    <row r="1317" spans="1:6" ht="15" x14ac:dyDescent="0.2">
      <c r="A1317" s="7">
        <v>260311</v>
      </c>
      <c r="B1317" s="3" t="s">
        <v>905</v>
      </c>
      <c r="C1317" s="29">
        <f>ROUND(Balances[[#This Row],[Total]]*40%,0)</f>
        <v>0</v>
      </c>
      <c r="D1317" s="29">
        <f>ROUND(Balances[[#This Row],[Total]]*20%,0)</f>
        <v>0</v>
      </c>
      <c r="E1317" s="29">
        <f>ROUND(Balances[[#This Row],[Total]]*40%,0)</f>
        <v>0</v>
      </c>
      <c r="F1317" s="18">
        <f>SUM(Acueducto[[#This Row],[Acueducto]:[Aseo]])</f>
        <v>0</v>
      </c>
    </row>
    <row r="1318" spans="1:6" ht="15" x14ac:dyDescent="0.2">
      <c r="A1318" s="6">
        <v>2604</v>
      </c>
      <c r="B1318" s="4" t="s">
        <v>906</v>
      </c>
      <c r="C1318" s="28">
        <f>ROUND(Balances[[#This Row],[Total]]*40%,0)</f>
        <v>0</v>
      </c>
      <c r="D1318" s="28">
        <f>ROUND(Balances[[#This Row],[Total]]*20%,0)</f>
        <v>0</v>
      </c>
      <c r="E1318" s="28">
        <f>ROUND(Balances[[#This Row],[Total]]*40%,0)</f>
        <v>0</v>
      </c>
      <c r="F1318" s="17">
        <f>SUM(Acueducto[[#This Row],[Acueducto]:[Aseo]])</f>
        <v>0</v>
      </c>
    </row>
    <row r="1319" spans="1:6" ht="15" x14ac:dyDescent="0.2">
      <c r="A1319" s="7">
        <v>260401</v>
      </c>
      <c r="B1319" s="3" t="s">
        <v>896</v>
      </c>
      <c r="C1319" s="29">
        <f>ROUND(Balances[[#This Row],[Total]]*40%,0)</f>
        <v>0</v>
      </c>
      <c r="D1319" s="29">
        <f>ROUND(Balances[[#This Row],[Total]]*20%,0)</f>
        <v>0</v>
      </c>
      <c r="E1319" s="29">
        <f>ROUND(Balances[[#This Row],[Total]]*40%,0)</f>
        <v>0</v>
      </c>
      <c r="F1319" s="18">
        <f>SUM(Acueducto[[#This Row],[Acueducto]:[Aseo]])</f>
        <v>0</v>
      </c>
    </row>
    <row r="1320" spans="1:6" ht="15" x14ac:dyDescent="0.2">
      <c r="A1320" s="7">
        <v>260402</v>
      </c>
      <c r="B1320" s="3" t="s">
        <v>897</v>
      </c>
      <c r="C1320" s="29">
        <f>ROUND(Balances[[#This Row],[Total]]*40%,0)</f>
        <v>0</v>
      </c>
      <c r="D1320" s="29">
        <f>ROUND(Balances[[#This Row],[Total]]*20%,0)</f>
        <v>0</v>
      </c>
      <c r="E1320" s="29">
        <f>ROUND(Balances[[#This Row],[Total]]*40%,0)</f>
        <v>0</v>
      </c>
      <c r="F1320" s="18">
        <f>SUM(Acueducto[[#This Row],[Acueducto]:[Aseo]])</f>
        <v>0</v>
      </c>
    </row>
    <row r="1321" spans="1:6" ht="15" x14ac:dyDescent="0.2">
      <c r="A1321" s="7">
        <v>260403</v>
      </c>
      <c r="B1321" s="3" t="s">
        <v>898</v>
      </c>
      <c r="C1321" s="29">
        <f>ROUND(Balances[[#This Row],[Total]]*40%,0)</f>
        <v>0</v>
      </c>
      <c r="D1321" s="29">
        <f>ROUND(Balances[[#This Row],[Total]]*20%,0)</f>
        <v>0</v>
      </c>
      <c r="E1321" s="29">
        <f>ROUND(Balances[[#This Row],[Total]]*40%,0)</f>
        <v>0</v>
      </c>
      <c r="F1321" s="18">
        <f>SUM(Acueducto[[#This Row],[Acueducto]:[Aseo]])</f>
        <v>0</v>
      </c>
    </row>
    <row r="1322" spans="1:6" ht="15" x14ac:dyDescent="0.2">
      <c r="A1322" s="7">
        <v>260404</v>
      </c>
      <c r="B1322" s="3" t="s">
        <v>899</v>
      </c>
      <c r="C1322" s="29">
        <f>ROUND(Balances[[#This Row],[Total]]*40%,0)</f>
        <v>0</v>
      </c>
      <c r="D1322" s="29">
        <f>ROUND(Balances[[#This Row],[Total]]*20%,0)</f>
        <v>0</v>
      </c>
      <c r="E1322" s="29">
        <f>ROUND(Balances[[#This Row],[Total]]*40%,0)</f>
        <v>0</v>
      </c>
      <c r="F1322" s="18">
        <f>SUM(Acueducto[[#This Row],[Acueducto]:[Aseo]])</f>
        <v>0</v>
      </c>
    </row>
    <row r="1323" spans="1:6" ht="15" x14ac:dyDescent="0.2">
      <c r="A1323" s="7">
        <v>260405</v>
      </c>
      <c r="B1323" s="3" t="s">
        <v>900</v>
      </c>
      <c r="C1323" s="29">
        <f>ROUND(Balances[[#This Row],[Total]]*40%,0)</f>
        <v>0</v>
      </c>
      <c r="D1323" s="29">
        <f>ROUND(Balances[[#This Row],[Total]]*20%,0)</f>
        <v>0</v>
      </c>
      <c r="E1323" s="29">
        <f>ROUND(Balances[[#This Row],[Total]]*40%,0)</f>
        <v>0</v>
      </c>
      <c r="F1323" s="18">
        <f>SUM(Acueducto[[#This Row],[Acueducto]:[Aseo]])</f>
        <v>0</v>
      </c>
    </row>
    <row r="1324" spans="1:6" ht="15" x14ac:dyDescent="0.2">
      <c r="A1324" s="7">
        <v>260406</v>
      </c>
      <c r="B1324" s="3" t="s">
        <v>901</v>
      </c>
      <c r="C1324" s="29">
        <f>ROUND(Balances[[#This Row],[Total]]*40%,0)</f>
        <v>0</v>
      </c>
      <c r="D1324" s="29">
        <f>ROUND(Balances[[#This Row],[Total]]*20%,0)</f>
        <v>0</v>
      </c>
      <c r="E1324" s="29">
        <f>ROUND(Balances[[#This Row],[Total]]*40%,0)</f>
        <v>0</v>
      </c>
      <c r="F1324" s="18">
        <f>SUM(Acueducto[[#This Row],[Acueducto]:[Aseo]])</f>
        <v>0</v>
      </c>
    </row>
    <row r="1325" spans="1:6" ht="15" x14ac:dyDescent="0.2">
      <c r="A1325" s="7">
        <v>260407</v>
      </c>
      <c r="B1325" s="3" t="s">
        <v>902</v>
      </c>
      <c r="C1325" s="29">
        <f>ROUND(Balances[[#This Row],[Total]]*40%,0)</f>
        <v>0</v>
      </c>
      <c r="D1325" s="29">
        <f>ROUND(Balances[[#This Row],[Total]]*20%,0)</f>
        <v>0</v>
      </c>
      <c r="E1325" s="29">
        <f>ROUND(Balances[[#This Row],[Total]]*40%,0)</f>
        <v>0</v>
      </c>
      <c r="F1325" s="18">
        <f>SUM(Acueducto[[#This Row],[Acueducto]:[Aseo]])</f>
        <v>0</v>
      </c>
    </row>
    <row r="1326" spans="1:6" ht="15" x14ac:dyDescent="0.2">
      <c r="A1326" s="7">
        <v>260408</v>
      </c>
      <c r="B1326" s="3" t="s">
        <v>903</v>
      </c>
      <c r="C1326" s="29">
        <f>ROUND(Balances[[#This Row],[Total]]*40%,0)</f>
        <v>0</v>
      </c>
      <c r="D1326" s="29">
        <f>ROUND(Balances[[#This Row],[Total]]*20%,0)</f>
        <v>0</v>
      </c>
      <c r="E1326" s="29">
        <f>ROUND(Balances[[#This Row],[Total]]*40%,0)</f>
        <v>0</v>
      </c>
      <c r="F1326" s="18">
        <f>SUM(Acueducto[[#This Row],[Acueducto]:[Aseo]])</f>
        <v>0</v>
      </c>
    </row>
    <row r="1327" spans="1:6" ht="15" x14ac:dyDescent="0.2">
      <c r="A1327" s="7">
        <v>260409</v>
      </c>
      <c r="B1327" s="3" t="s">
        <v>904</v>
      </c>
      <c r="C1327" s="29">
        <f>ROUND(Balances[[#This Row],[Total]]*40%,0)</f>
        <v>0</v>
      </c>
      <c r="D1327" s="29">
        <f>ROUND(Balances[[#This Row],[Total]]*20%,0)</f>
        <v>0</v>
      </c>
      <c r="E1327" s="29">
        <f>ROUND(Balances[[#This Row],[Total]]*40%,0)</f>
        <v>0</v>
      </c>
      <c r="F1327" s="18">
        <f>SUM(Acueducto[[#This Row],[Acueducto]:[Aseo]])</f>
        <v>0</v>
      </c>
    </row>
    <row r="1328" spans="1:6" ht="15" x14ac:dyDescent="0.2">
      <c r="A1328" s="7">
        <v>260411</v>
      </c>
      <c r="B1328" s="3" t="s">
        <v>905</v>
      </c>
      <c r="C1328" s="29">
        <f>ROUND(Balances[[#This Row],[Total]]*40%,0)</f>
        <v>0</v>
      </c>
      <c r="D1328" s="29">
        <f>ROUND(Balances[[#This Row],[Total]]*20%,0)</f>
        <v>0</v>
      </c>
      <c r="E1328" s="29">
        <f>ROUND(Balances[[#This Row],[Total]]*40%,0)</f>
        <v>0</v>
      </c>
      <c r="F1328" s="18">
        <f>SUM(Acueducto[[#This Row],[Acueducto]:[Aseo]])</f>
        <v>0</v>
      </c>
    </row>
    <row r="1329" spans="1:6" ht="15" x14ac:dyDescent="0.2">
      <c r="A1329" s="6">
        <v>2605</v>
      </c>
      <c r="B1329" s="2" t="s">
        <v>907</v>
      </c>
      <c r="C1329" s="28">
        <f>ROUND(Balances[[#This Row],[Total]]*40%,0)</f>
        <v>0</v>
      </c>
      <c r="D1329" s="28">
        <f>ROUND(Balances[[#This Row],[Total]]*20%,0)</f>
        <v>0</v>
      </c>
      <c r="E1329" s="28">
        <f>ROUND(Balances[[#This Row],[Total]]*40%,0)</f>
        <v>0</v>
      </c>
      <c r="F1329" s="17">
        <f>SUM(Acueducto[[#This Row],[Acueducto]:[Aseo]])</f>
        <v>0</v>
      </c>
    </row>
    <row r="1330" spans="1:6" ht="15" x14ac:dyDescent="0.2">
      <c r="A1330" s="7">
        <v>260501</v>
      </c>
      <c r="B1330" s="4" t="s">
        <v>99</v>
      </c>
      <c r="C1330" s="29">
        <f>ROUND(Balances[[#This Row],[Total]]*40%,0)</f>
        <v>0</v>
      </c>
      <c r="D1330" s="29">
        <f>ROUND(Balances[[#This Row],[Total]]*20%,0)</f>
        <v>0</v>
      </c>
      <c r="E1330" s="29">
        <f>ROUND(Balances[[#This Row],[Total]]*40%,0)</f>
        <v>0</v>
      </c>
      <c r="F1330" s="18">
        <f>SUM(Acueducto[[#This Row],[Acueducto]:[Aseo]])</f>
        <v>0</v>
      </c>
    </row>
    <row r="1331" spans="1:6" ht="15" x14ac:dyDescent="0.2">
      <c r="A1331" s="7">
        <v>260502</v>
      </c>
      <c r="B1331" s="4" t="s">
        <v>100</v>
      </c>
      <c r="C1331" s="29">
        <f>ROUND(Balances[[#This Row],[Total]]*40%,0)</f>
        <v>0</v>
      </c>
      <c r="D1331" s="29">
        <f>ROUND(Balances[[#This Row],[Total]]*20%,0)</f>
        <v>0</v>
      </c>
      <c r="E1331" s="29">
        <f>ROUND(Balances[[#This Row],[Total]]*40%,0)</f>
        <v>0</v>
      </c>
      <c r="F1331" s="18">
        <f>SUM(Acueducto[[#This Row],[Acueducto]:[Aseo]])</f>
        <v>0</v>
      </c>
    </row>
    <row r="1332" spans="1:6" ht="15" x14ac:dyDescent="0.2">
      <c r="A1332" s="7">
        <v>260503</v>
      </c>
      <c r="B1332" s="4" t="s">
        <v>908</v>
      </c>
      <c r="C1332" s="29">
        <f>ROUND(Balances[[#This Row],[Total]]*40%,0)</f>
        <v>0</v>
      </c>
      <c r="D1332" s="29">
        <f>ROUND(Balances[[#This Row],[Total]]*20%,0)</f>
        <v>0</v>
      </c>
      <c r="E1332" s="29">
        <f>ROUND(Balances[[#This Row],[Total]]*40%,0)</f>
        <v>0</v>
      </c>
      <c r="F1332" s="18">
        <f>SUM(Acueducto[[#This Row],[Acueducto]:[Aseo]])</f>
        <v>0</v>
      </c>
    </row>
    <row r="1333" spans="1:6" ht="15" x14ac:dyDescent="0.2">
      <c r="A1333" s="6">
        <v>2606</v>
      </c>
      <c r="B1333" s="2" t="s">
        <v>909</v>
      </c>
      <c r="C1333" s="28">
        <f>ROUND(Balances[[#This Row],[Total]]*40%,0)</f>
        <v>0</v>
      </c>
      <c r="D1333" s="28">
        <f>ROUND(Balances[[#This Row],[Total]]*20%,0)</f>
        <v>0</v>
      </c>
      <c r="E1333" s="28">
        <f>ROUND(Balances[[#This Row],[Total]]*40%,0)</f>
        <v>0</v>
      </c>
      <c r="F1333" s="17">
        <f>SUM(Acueducto[[#This Row],[Acueducto]:[Aseo]])</f>
        <v>0</v>
      </c>
    </row>
    <row r="1334" spans="1:6" ht="15" x14ac:dyDescent="0.2">
      <c r="A1334" s="7">
        <v>260601</v>
      </c>
      <c r="B1334" s="3" t="s">
        <v>103</v>
      </c>
      <c r="C1334" s="29">
        <f>ROUND(Balances[[#This Row],[Total]]*40%,0)</f>
        <v>0</v>
      </c>
      <c r="D1334" s="29">
        <f>ROUND(Balances[[#This Row],[Total]]*20%,0)</f>
        <v>0</v>
      </c>
      <c r="E1334" s="29">
        <f>ROUND(Balances[[#This Row],[Total]]*40%,0)</f>
        <v>0</v>
      </c>
      <c r="F1334" s="18">
        <f>SUM(Acueducto[[#This Row],[Acueducto]:[Aseo]])</f>
        <v>0</v>
      </c>
    </row>
    <row r="1335" spans="1:6" ht="15" x14ac:dyDescent="0.2">
      <c r="A1335" s="7">
        <v>260602</v>
      </c>
      <c r="B1335" s="3" t="s">
        <v>104</v>
      </c>
      <c r="C1335" s="29">
        <f>ROUND(Balances[[#This Row],[Total]]*40%,0)</f>
        <v>0</v>
      </c>
      <c r="D1335" s="29">
        <f>ROUND(Balances[[#This Row],[Total]]*20%,0)</f>
        <v>0</v>
      </c>
      <c r="E1335" s="29">
        <f>ROUND(Balances[[#This Row],[Total]]*40%,0)</f>
        <v>0</v>
      </c>
      <c r="F1335" s="18">
        <f>SUM(Acueducto[[#This Row],[Acueducto]:[Aseo]])</f>
        <v>0</v>
      </c>
    </row>
    <row r="1336" spans="1:6" ht="15" x14ac:dyDescent="0.2">
      <c r="A1336" s="6">
        <v>27</v>
      </c>
      <c r="B1336" s="2" t="s">
        <v>910</v>
      </c>
      <c r="C1336" s="28">
        <f>ROUND(Balances[[#This Row],[Total]]*40%,0)</f>
        <v>0</v>
      </c>
      <c r="D1336" s="28">
        <f>ROUND(Balances[[#This Row],[Total]]*20%,0)</f>
        <v>0</v>
      </c>
      <c r="E1336" s="28">
        <f>ROUND(Balances[[#This Row],[Total]]*40%,0)</f>
        <v>0</v>
      </c>
      <c r="F1336" s="28">
        <f>SUM(Acueducto[[#This Row],[Acueducto]:[Aseo]])</f>
        <v>0</v>
      </c>
    </row>
    <row r="1337" spans="1:6" ht="15" x14ac:dyDescent="0.2">
      <c r="A1337" s="6">
        <v>2701</v>
      </c>
      <c r="B1337" s="2" t="s">
        <v>911</v>
      </c>
      <c r="C1337" s="28">
        <f>ROUND(Balances[[#This Row],[Total]]*40%,0)</f>
        <v>0</v>
      </c>
      <c r="D1337" s="28">
        <f>ROUND(Balances[[#This Row],[Total]]*20%,0)</f>
        <v>0</v>
      </c>
      <c r="E1337" s="28">
        <f>ROUND(Balances[[#This Row],[Total]]*40%,0)</f>
        <v>0</v>
      </c>
      <c r="F1337" s="28">
        <f>SUM(Acueducto[[#This Row],[Acueducto]:[Aseo]])</f>
        <v>0</v>
      </c>
    </row>
    <row r="1338" spans="1:6" ht="15" x14ac:dyDescent="0.2">
      <c r="A1338" s="7">
        <v>270101</v>
      </c>
      <c r="B1338" s="3" t="s">
        <v>912</v>
      </c>
      <c r="C1338" s="29">
        <f>ROUND(Balances[[#This Row],[Total]]*40%,0)</f>
        <v>0</v>
      </c>
      <c r="D1338" s="29">
        <f>ROUND(Balances[[#This Row],[Total]]*20%,0)</f>
        <v>0</v>
      </c>
      <c r="E1338" s="29">
        <f>ROUND(Balances[[#This Row],[Total]]*40%,0)</f>
        <v>0</v>
      </c>
      <c r="F1338" s="18">
        <f>SUM(Acueducto[[#This Row],[Acueducto]:[Aseo]])</f>
        <v>0</v>
      </c>
    </row>
    <row r="1339" spans="1:6" ht="15" x14ac:dyDescent="0.2">
      <c r="A1339" s="7">
        <v>270102</v>
      </c>
      <c r="B1339" s="3" t="s">
        <v>913</v>
      </c>
      <c r="C1339" s="29">
        <f>ROUND(Balances[[#This Row],[Total]]*40%,0)</f>
        <v>0</v>
      </c>
      <c r="D1339" s="29">
        <f>ROUND(Balances[[#This Row],[Total]]*20%,0)</f>
        <v>0</v>
      </c>
      <c r="E1339" s="29">
        <f>ROUND(Balances[[#This Row],[Total]]*40%,0)</f>
        <v>0</v>
      </c>
      <c r="F1339" s="18">
        <f>SUM(Acueducto[[#This Row],[Acueducto]:[Aseo]])</f>
        <v>0</v>
      </c>
    </row>
    <row r="1340" spans="1:6" ht="15" x14ac:dyDescent="0.2">
      <c r="A1340" s="7">
        <v>270103</v>
      </c>
      <c r="B1340" s="3" t="s">
        <v>914</v>
      </c>
      <c r="C1340" s="29">
        <f>ROUND(Balances[[#This Row],[Total]]*40%,0)</f>
        <v>0</v>
      </c>
      <c r="D1340" s="29">
        <f>ROUND(Balances[[#This Row],[Total]]*20%,0)</f>
        <v>0</v>
      </c>
      <c r="E1340" s="29">
        <f>ROUND(Balances[[#This Row],[Total]]*40%,0)</f>
        <v>0</v>
      </c>
      <c r="F1340" s="18">
        <f>SUM(Acueducto[[#This Row],[Acueducto]:[Aseo]])</f>
        <v>0</v>
      </c>
    </row>
    <row r="1341" spans="1:6" ht="15" x14ac:dyDescent="0.2">
      <c r="A1341" s="7">
        <v>270104</v>
      </c>
      <c r="B1341" s="3" t="s">
        <v>915</v>
      </c>
      <c r="C1341" s="29">
        <f>ROUND(Balances[[#This Row],[Total]]*40%,0)</f>
        <v>0</v>
      </c>
      <c r="D1341" s="29">
        <f>ROUND(Balances[[#This Row],[Total]]*20%,0)</f>
        <v>0</v>
      </c>
      <c r="E1341" s="29">
        <f>ROUND(Balances[[#This Row],[Total]]*40%,0)</f>
        <v>0</v>
      </c>
      <c r="F1341" s="18">
        <f>SUM(Acueducto[[#This Row],[Acueducto]:[Aseo]])</f>
        <v>0</v>
      </c>
    </row>
    <row r="1342" spans="1:6" ht="15" x14ac:dyDescent="0.2">
      <c r="A1342" s="7">
        <v>270105</v>
      </c>
      <c r="B1342" s="3" t="s">
        <v>916</v>
      </c>
      <c r="C1342" s="29">
        <f>ROUND(Balances[[#This Row],[Total]]*40%,0)</f>
        <v>0</v>
      </c>
      <c r="D1342" s="29">
        <f>ROUND(Balances[[#This Row],[Total]]*20%,0)</f>
        <v>0</v>
      </c>
      <c r="E1342" s="29">
        <f>ROUND(Balances[[#This Row],[Total]]*40%,0)</f>
        <v>0</v>
      </c>
      <c r="F1342" s="18">
        <f>SUM(Acueducto[[#This Row],[Acueducto]:[Aseo]])</f>
        <v>0</v>
      </c>
    </row>
    <row r="1343" spans="1:6" ht="15" x14ac:dyDescent="0.2">
      <c r="A1343" s="7">
        <v>270190</v>
      </c>
      <c r="B1343" s="3" t="s">
        <v>917</v>
      </c>
      <c r="C1343" s="29">
        <f>ROUND(Balances[[#This Row],[Total]]*40%,0)</f>
        <v>0</v>
      </c>
      <c r="D1343" s="29">
        <f>ROUND(Balances[[#This Row],[Total]]*20%,0)</f>
        <v>0</v>
      </c>
      <c r="E1343" s="29">
        <f>ROUND(Balances[[#This Row],[Total]]*40%,0)</f>
        <v>0</v>
      </c>
      <c r="F1343" s="29">
        <f>SUM(Acueducto[[#This Row],[Acueducto]:[Aseo]])</f>
        <v>0</v>
      </c>
    </row>
    <row r="1344" spans="1:6" ht="15" x14ac:dyDescent="0.2">
      <c r="A1344" s="6">
        <v>2707</v>
      </c>
      <c r="B1344" s="2" t="s">
        <v>918</v>
      </c>
      <c r="C1344" s="28">
        <f>ROUND(Balances[[#This Row],[Total]]*40%,0)</f>
        <v>0</v>
      </c>
      <c r="D1344" s="28">
        <f>ROUND(Balances[[#This Row],[Total]]*20%,0)</f>
        <v>0</v>
      </c>
      <c r="E1344" s="28">
        <f>ROUND(Balances[[#This Row],[Total]]*40%,0)</f>
        <v>0</v>
      </c>
      <c r="F1344" s="17">
        <f>SUM(Acueducto[[#This Row],[Acueducto]:[Aseo]])</f>
        <v>0</v>
      </c>
    </row>
    <row r="1345" spans="1:6" ht="15" x14ac:dyDescent="0.2">
      <c r="A1345" s="7">
        <v>270701</v>
      </c>
      <c r="B1345" s="3" t="s">
        <v>919</v>
      </c>
      <c r="C1345" s="29">
        <f>ROUND(Balances[[#This Row],[Total]]*40%,0)</f>
        <v>0</v>
      </c>
      <c r="D1345" s="29">
        <f>ROUND(Balances[[#This Row],[Total]]*20%,0)</f>
        <v>0</v>
      </c>
      <c r="E1345" s="29">
        <f>ROUND(Balances[[#This Row],[Total]]*40%,0)</f>
        <v>0</v>
      </c>
      <c r="F1345" s="18">
        <f>SUM(Acueducto[[#This Row],[Acueducto]:[Aseo]])</f>
        <v>0</v>
      </c>
    </row>
    <row r="1346" spans="1:6" ht="15" x14ac:dyDescent="0.2">
      <c r="A1346" s="7">
        <v>270702</v>
      </c>
      <c r="B1346" s="3" t="s">
        <v>820</v>
      </c>
      <c r="C1346" s="29">
        <f>ROUND(Balances[[#This Row],[Total]]*40%,0)</f>
        <v>0</v>
      </c>
      <c r="D1346" s="29">
        <f>ROUND(Balances[[#This Row],[Total]]*20%,0)</f>
        <v>0</v>
      </c>
      <c r="E1346" s="29">
        <f>ROUND(Balances[[#This Row],[Total]]*40%,0)</f>
        <v>0</v>
      </c>
      <c r="F1346" s="18">
        <f>SUM(Acueducto[[#This Row],[Acueducto]:[Aseo]])</f>
        <v>0</v>
      </c>
    </row>
    <row r="1347" spans="1:6" ht="15" x14ac:dyDescent="0.2">
      <c r="A1347" s="6">
        <v>2790</v>
      </c>
      <c r="B1347" s="2" t="s">
        <v>920</v>
      </c>
      <c r="C1347" s="28">
        <f>ROUND(Balances[[#This Row],[Total]]*40%,0)</f>
        <v>0</v>
      </c>
      <c r="D1347" s="28">
        <f>ROUND(Balances[[#This Row],[Total]]*20%,0)</f>
        <v>0</v>
      </c>
      <c r="E1347" s="28">
        <f>ROUND(Balances[[#This Row],[Total]]*40%,0)</f>
        <v>0</v>
      </c>
      <c r="F1347" s="17">
        <f>SUM(Acueducto[[#This Row],[Acueducto]:[Aseo]])</f>
        <v>0</v>
      </c>
    </row>
    <row r="1348" spans="1:6" ht="15" x14ac:dyDescent="0.2">
      <c r="A1348" s="7">
        <v>279015</v>
      </c>
      <c r="B1348" s="3" t="s">
        <v>921</v>
      </c>
      <c r="C1348" s="29">
        <f>ROUND(Balances[[#This Row],[Total]]*40%,0)</f>
        <v>0</v>
      </c>
      <c r="D1348" s="29">
        <f>ROUND(Balances[[#This Row],[Total]]*20%,0)</f>
        <v>0</v>
      </c>
      <c r="E1348" s="29">
        <f>ROUND(Balances[[#This Row],[Total]]*40%,0)</f>
        <v>0</v>
      </c>
      <c r="F1348" s="18">
        <f>SUM(Acueducto[[#This Row],[Acueducto]:[Aseo]])</f>
        <v>0</v>
      </c>
    </row>
    <row r="1349" spans="1:6" ht="15" x14ac:dyDescent="0.2">
      <c r="A1349" s="7">
        <v>279016</v>
      </c>
      <c r="B1349" s="3" t="s">
        <v>922</v>
      </c>
      <c r="C1349" s="29">
        <f>ROUND(Balances[[#This Row],[Total]]*40%,0)</f>
        <v>0</v>
      </c>
      <c r="D1349" s="29">
        <f>ROUND(Balances[[#This Row],[Total]]*20%,0)</f>
        <v>0</v>
      </c>
      <c r="E1349" s="29">
        <f>ROUND(Balances[[#This Row],[Total]]*40%,0)</f>
        <v>0</v>
      </c>
      <c r="F1349" s="18">
        <f>SUM(Acueducto[[#This Row],[Acueducto]:[Aseo]])</f>
        <v>0</v>
      </c>
    </row>
    <row r="1350" spans="1:6" ht="15" x14ac:dyDescent="0.2">
      <c r="A1350" s="7">
        <v>279017</v>
      </c>
      <c r="B1350" s="3" t="s">
        <v>923</v>
      </c>
      <c r="C1350" s="29">
        <f>ROUND(Balances[[#This Row],[Total]]*40%,0)</f>
        <v>0</v>
      </c>
      <c r="D1350" s="29">
        <f>ROUND(Balances[[#This Row],[Total]]*20%,0)</f>
        <v>0</v>
      </c>
      <c r="E1350" s="29">
        <f>ROUND(Balances[[#This Row],[Total]]*40%,0)</f>
        <v>0</v>
      </c>
      <c r="F1350" s="18">
        <f>SUM(Acueducto[[#This Row],[Acueducto]:[Aseo]])</f>
        <v>0</v>
      </c>
    </row>
    <row r="1351" spans="1:6" ht="15" x14ac:dyDescent="0.2">
      <c r="A1351" s="7">
        <v>279018</v>
      </c>
      <c r="B1351" s="3" t="s">
        <v>924</v>
      </c>
      <c r="C1351" s="29">
        <f>ROUND(Balances[[#This Row],[Total]]*40%,0)</f>
        <v>0</v>
      </c>
      <c r="D1351" s="29">
        <f>ROUND(Balances[[#This Row],[Total]]*20%,0)</f>
        <v>0</v>
      </c>
      <c r="E1351" s="29">
        <f>ROUND(Balances[[#This Row],[Total]]*40%,0)</f>
        <v>0</v>
      </c>
      <c r="F1351" s="18">
        <f>SUM(Acueducto[[#This Row],[Acueducto]:[Aseo]])</f>
        <v>0</v>
      </c>
    </row>
    <row r="1352" spans="1:6" ht="15" x14ac:dyDescent="0.2">
      <c r="A1352" s="7">
        <v>279019</v>
      </c>
      <c r="B1352" s="3" t="s">
        <v>925</v>
      </c>
      <c r="C1352" s="29">
        <f>ROUND(Balances[[#This Row],[Total]]*40%,0)</f>
        <v>0</v>
      </c>
      <c r="D1352" s="29">
        <f>ROUND(Balances[[#This Row],[Total]]*20%,0)</f>
        <v>0</v>
      </c>
      <c r="E1352" s="29">
        <f>ROUND(Balances[[#This Row],[Total]]*40%,0)</f>
        <v>0</v>
      </c>
      <c r="F1352" s="18">
        <f>SUM(Acueducto[[#This Row],[Acueducto]:[Aseo]])</f>
        <v>0</v>
      </c>
    </row>
    <row r="1353" spans="1:6" ht="15" x14ac:dyDescent="0.2">
      <c r="A1353" s="7">
        <v>279020</v>
      </c>
      <c r="B1353" s="3" t="s">
        <v>926</v>
      </c>
      <c r="C1353" s="29">
        <f>ROUND(Balances[[#This Row],[Total]]*40%,0)</f>
        <v>0</v>
      </c>
      <c r="D1353" s="29">
        <f>ROUND(Balances[[#This Row],[Total]]*20%,0)</f>
        <v>0</v>
      </c>
      <c r="E1353" s="29">
        <f>ROUND(Balances[[#This Row],[Total]]*40%,0)</f>
        <v>0</v>
      </c>
      <c r="F1353" s="18">
        <f>SUM(Acueducto[[#This Row],[Acueducto]:[Aseo]])</f>
        <v>0</v>
      </c>
    </row>
    <row r="1354" spans="1:6" ht="15" x14ac:dyDescent="0.2">
      <c r="A1354" s="7">
        <v>279021</v>
      </c>
      <c r="B1354" s="3" t="s">
        <v>927</v>
      </c>
      <c r="C1354" s="29">
        <f>ROUND(Balances[[#This Row],[Total]]*40%,0)</f>
        <v>0</v>
      </c>
      <c r="D1354" s="29">
        <f>ROUND(Balances[[#This Row],[Total]]*20%,0)</f>
        <v>0</v>
      </c>
      <c r="E1354" s="29">
        <f>ROUND(Balances[[#This Row],[Total]]*40%,0)</f>
        <v>0</v>
      </c>
      <c r="F1354" s="18">
        <f>SUM(Acueducto[[#This Row],[Acueducto]:[Aseo]])</f>
        <v>0</v>
      </c>
    </row>
    <row r="1355" spans="1:6" ht="15" x14ac:dyDescent="0.2">
      <c r="A1355" s="7">
        <v>279022</v>
      </c>
      <c r="B1355" s="3" t="s">
        <v>928</v>
      </c>
      <c r="C1355" s="29">
        <f>ROUND(Balances[[#This Row],[Total]]*40%,0)</f>
        <v>0</v>
      </c>
      <c r="D1355" s="29">
        <f>ROUND(Balances[[#This Row],[Total]]*20%,0)</f>
        <v>0</v>
      </c>
      <c r="E1355" s="29">
        <f>ROUND(Balances[[#This Row],[Total]]*40%,0)</f>
        <v>0</v>
      </c>
      <c r="F1355" s="18">
        <f>SUM(Acueducto[[#This Row],[Acueducto]:[Aseo]])</f>
        <v>0</v>
      </c>
    </row>
    <row r="1356" spans="1:6" ht="15" x14ac:dyDescent="0.2">
      <c r="A1356" s="7">
        <v>279023</v>
      </c>
      <c r="B1356" s="3" t="s">
        <v>929</v>
      </c>
      <c r="C1356" s="29">
        <f>ROUND(Balances[[#This Row],[Total]]*40%,0)</f>
        <v>0</v>
      </c>
      <c r="D1356" s="29">
        <f>ROUND(Balances[[#This Row],[Total]]*20%,0)</f>
        <v>0</v>
      </c>
      <c r="E1356" s="29">
        <f>ROUND(Balances[[#This Row],[Total]]*40%,0)</f>
        <v>0</v>
      </c>
      <c r="F1356" s="18">
        <f>SUM(Acueducto[[#This Row],[Acueducto]:[Aseo]])</f>
        <v>0</v>
      </c>
    </row>
    <row r="1357" spans="1:6" ht="15" x14ac:dyDescent="0.2">
      <c r="A1357" s="7">
        <v>279024</v>
      </c>
      <c r="B1357" s="3" t="s">
        <v>930</v>
      </c>
      <c r="C1357" s="29">
        <f>ROUND(Balances[[#This Row],[Total]]*40%,0)</f>
        <v>0</v>
      </c>
      <c r="D1357" s="29">
        <f>ROUND(Balances[[#This Row],[Total]]*20%,0)</f>
        <v>0</v>
      </c>
      <c r="E1357" s="29">
        <f>ROUND(Balances[[#This Row],[Total]]*40%,0)</f>
        <v>0</v>
      </c>
      <c r="F1357" s="18">
        <f>SUM(Acueducto[[#This Row],[Acueducto]:[Aseo]])</f>
        <v>0</v>
      </c>
    </row>
    <row r="1358" spans="1:6" ht="15" x14ac:dyDescent="0.2">
      <c r="A1358" s="7">
        <v>279025</v>
      </c>
      <c r="B1358" s="3" t="s">
        <v>931</v>
      </c>
      <c r="C1358" s="29">
        <f>ROUND(Balances[[#This Row],[Total]]*40%,0)</f>
        <v>0</v>
      </c>
      <c r="D1358" s="29">
        <f>ROUND(Balances[[#This Row],[Total]]*20%,0)</f>
        <v>0</v>
      </c>
      <c r="E1358" s="29">
        <f>ROUND(Balances[[#This Row],[Total]]*40%,0)</f>
        <v>0</v>
      </c>
      <c r="F1358" s="18">
        <f>SUM(Acueducto[[#This Row],[Acueducto]:[Aseo]])</f>
        <v>0</v>
      </c>
    </row>
    <row r="1359" spans="1:6" ht="15" x14ac:dyDescent="0.2">
      <c r="A1359" s="7">
        <v>279090</v>
      </c>
      <c r="B1359" s="3" t="s">
        <v>932</v>
      </c>
      <c r="C1359" s="29">
        <f>ROUND(Balances[[#This Row],[Total]]*40%,0)</f>
        <v>0</v>
      </c>
      <c r="D1359" s="29">
        <f>ROUND(Balances[[#This Row],[Total]]*20%,0)</f>
        <v>0</v>
      </c>
      <c r="E1359" s="29">
        <f>ROUND(Balances[[#This Row],[Total]]*40%,0)</f>
        <v>0</v>
      </c>
      <c r="F1359" s="18">
        <f>SUM(Acueducto[[#This Row],[Acueducto]:[Aseo]])</f>
        <v>0</v>
      </c>
    </row>
    <row r="1360" spans="1:6" ht="15" x14ac:dyDescent="0.2">
      <c r="A1360" s="6">
        <v>29</v>
      </c>
      <c r="B1360" s="2" t="s">
        <v>933</v>
      </c>
      <c r="C1360" s="28">
        <f>ROUND(Balances[[#This Row],[Total]]*40%,0)</f>
        <v>0</v>
      </c>
      <c r="D1360" s="28">
        <f>ROUND(Balances[[#This Row],[Total]]*20%,0)</f>
        <v>0</v>
      </c>
      <c r="E1360" s="28">
        <f>ROUND(Balances[[#This Row],[Total]]*40%,0)</f>
        <v>0</v>
      </c>
      <c r="F1360" s="17">
        <f>SUM(Acueducto[[#This Row],[Acueducto]:[Aseo]])</f>
        <v>0</v>
      </c>
    </row>
    <row r="1361" spans="1:6" ht="15" x14ac:dyDescent="0.2">
      <c r="A1361" s="6">
        <v>2901</v>
      </c>
      <c r="B1361" s="2" t="s">
        <v>934</v>
      </c>
      <c r="C1361" s="28">
        <f>ROUND(Balances[[#This Row],[Total]]*40%,0)</f>
        <v>0</v>
      </c>
      <c r="D1361" s="28">
        <f>ROUND(Balances[[#This Row],[Total]]*20%,0)</f>
        <v>0</v>
      </c>
      <c r="E1361" s="28">
        <f>ROUND(Balances[[#This Row],[Total]]*40%,0)</f>
        <v>0</v>
      </c>
      <c r="F1361" s="17">
        <f>SUM(Acueducto[[#This Row],[Acueducto]:[Aseo]])</f>
        <v>0</v>
      </c>
    </row>
    <row r="1362" spans="1:6" ht="15" x14ac:dyDescent="0.2">
      <c r="A1362" s="7">
        <v>290101</v>
      </c>
      <c r="B1362" s="3" t="s">
        <v>935</v>
      </c>
      <c r="C1362" s="29">
        <f>ROUND(Balances[[#This Row],[Total]]*40%,0)</f>
        <v>0</v>
      </c>
      <c r="D1362" s="29">
        <f>ROUND(Balances[[#This Row],[Total]]*20%,0)</f>
        <v>0</v>
      </c>
      <c r="E1362" s="29">
        <f>ROUND(Balances[[#This Row],[Total]]*40%,0)</f>
        <v>0</v>
      </c>
      <c r="F1362" s="18">
        <f>SUM(Acueducto[[#This Row],[Acueducto]:[Aseo]])</f>
        <v>0</v>
      </c>
    </row>
    <row r="1363" spans="1:6" ht="15" x14ac:dyDescent="0.2">
      <c r="A1363" s="7">
        <v>290102</v>
      </c>
      <c r="B1363" s="3" t="s">
        <v>576</v>
      </c>
      <c r="C1363" s="29">
        <f>ROUND(Balances[[#This Row],[Total]]*40%,0)</f>
        <v>0</v>
      </c>
      <c r="D1363" s="29">
        <f>ROUND(Balances[[#This Row],[Total]]*20%,0)</f>
        <v>0</v>
      </c>
      <c r="E1363" s="29">
        <f>ROUND(Balances[[#This Row],[Total]]*40%,0)</f>
        <v>0</v>
      </c>
      <c r="F1363" s="18">
        <f>SUM(Acueducto[[#This Row],[Acueducto]:[Aseo]])</f>
        <v>0</v>
      </c>
    </row>
    <row r="1364" spans="1:6" ht="15" x14ac:dyDescent="0.2">
      <c r="A1364" s="7">
        <v>290103</v>
      </c>
      <c r="B1364" s="3" t="s">
        <v>936</v>
      </c>
      <c r="C1364" s="29">
        <f>ROUND(Balances[[#This Row],[Total]]*40%,0)</f>
        <v>0</v>
      </c>
      <c r="D1364" s="29">
        <f>ROUND(Balances[[#This Row],[Total]]*20%,0)</f>
        <v>0</v>
      </c>
      <c r="E1364" s="29">
        <f>ROUND(Balances[[#This Row],[Total]]*40%,0)</f>
        <v>0</v>
      </c>
      <c r="F1364" s="18">
        <f>SUM(Acueducto[[#This Row],[Acueducto]:[Aseo]])</f>
        <v>0</v>
      </c>
    </row>
    <row r="1365" spans="1:6" ht="15" x14ac:dyDescent="0.2">
      <c r="A1365" s="7">
        <v>290190</v>
      </c>
      <c r="B1365" s="3" t="s">
        <v>580</v>
      </c>
      <c r="C1365" s="29">
        <f>ROUND(Balances[[#This Row],[Total]]*40%,0)</f>
        <v>0</v>
      </c>
      <c r="D1365" s="29">
        <f>ROUND(Balances[[#This Row],[Total]]*20%,0)</f>
        <v>0</v>
      </c>
      <c r="E1365" s="29">
        <f>ROUND(Balances[[#This Row],[Total]]*40%,0)</f>
        <v>0</v>
      </c>
      <c r="F1365" s="18">
        <f>SUM(Acueducto[[#This Row],[Acueducto]:[Aseo]])</f>
        <v>0</v>
      </c>
    </row>
    <row r="1366" spans="1:6" ht="15" x14ac:dyDescent="0.2">
      <c r="A1366" s="6">
        <v>2902</v>
      </c>
      <c r="B1366" s="2" t="s">
        <v>937</v>
      </c>
      <c r="C1366" s="28">
        <f>ROUND(Balances[[#This Row],[Total]]*40%,0)</f>
        <v>0</v>
      </c>
      <c r="D1366" s="28">
        <f>ROUND(Balances[[#This Row],[Total]]*20%,0)</f>
        <v>0</v>
      </c>
      <c r="E1366" s="28">
        <f>ROUND(Balances[[#This Row],[Total]]*40%,0)</f>
        <v>0</v>
      </c>
      <c r="F1366" s="17">
        <f>SUM(Acueducto[[#This Row],[Acueducto]:[Aseo]])</f>
        <v>0</v>
      </c>
    </row>
    <row r="1367" spans="1:6" ht="15" x14ac:dyDescent="0.2">
      <c r="A1367" s="7">
        <v>290201</v>
      </c>
      <c r="B1367" s="3" t="s">
        <v>593</v>
      </c>
      <c r="C1367" s="29">
        <f>ROUND(Balances[[#This Row],[Total]]*40%,0)</f>
        <v>0</v>
      </c>
      <c r="D1367" s="29">
        <f>ROUND(Balances[[#This Row],[Total]]*20%,0)</f>
        <v>0</v>
      </c>
      <c r="E1367" s="29">
        <f>ROUND(Balances[[#This Row],[Total]]*40%,0)</f>
        <v>0</v>
      </c>
      <c r="F1367" s="18">
        <f>SUM(Acueducto[[#This Row],[Acueducto]:[Aseo]])</f>
        <v>0</v>
      </c>
    </row>
    <row r="1368" spans="1:6" ht="15" x14ac:dyDescent="0.2">
      <c r="A1368" s="6">
        <v>2903</v>
      </c>
      <c r="B1368" s="2" t="s">
        <v>938</v>
      </c>
      <c r="C1368" s="28">
        <f>ROUND(Balances[[#This Row],[Total]]*40%,0)</f>
        <v>0</v>
      </c>
      <c r="D1368" s="28">
        <f>ROUND(Balances[[#This Row],[Total]]*20%,0)</f>
        <v>0</v>
      </c>
      <c r="E1368" s="28">
        <f>ROUND(Balances[[#This Row],[Total]]*40%,0)</f>
        <v>0</v>
      </c>
      <c r="F1368" s="17">
        <f>SUM(Acueducto[[#This Row],[Acueducto]:[Aseo]])</f>
        <v>0</v>
      </c>
    </row>
    <row r="1369" spans="1:6" ht="15" x14ac:dyDescent="0.2">
      <c r="A1369" s="7">
        <v>290301</v>
      </c>
      <c r="B1369" s="3" t="s">
        <v>598</v>
      </c>
      <c r="C1369" s="29">
        <f>ROUND(Balances[[#This Row],[Total]]*40%,0)</f>
        <v>0</v>
      </c>
      <c r="D1369" s="29">
        <f>ROUND(Balances[[#This Row],[Total]]*20%,0)</f>
        <v>0</v>
      </c>
      <c r="E1369" s="29">
        <f>ROUND(Balances[[#This Row],[Total]]*40%,0)</f>
        <v>0</v>
      </c>
      <c r="F1369" s="18">
        <f>SUM(Acueducto[[#This Row],[Acueducto]:[Aseo]])</f>
        <v>0</v>
      </c>
    </row>
    <row r="1370" spans="1:6" ht="15" x14ac:dyDescent="0.2">
      <c r="A1370" s="7">
        <v>290302</v>
      </c>
      <c r="B1370" s="3" t="s">
        <v>599</v>
      </c>
      <c r="C1370" s="29">
        <f>ROUND(Balances[[#This Row],[Total]]*40%,0)</f>
        <v>0</v>
      </c>
      <c r="D1370" s="29">
        <f>ROUND(Balances[[#This Row],[Total]]*20%,0)</f>
        <v>0</v>
      </c>
      <c r="E1370" s="29">
        <f>ROUND(Balances[[#This Row],[Total]]*40%,0)</f>
        <v>0</v>
      </c>
      <c r="F1370" s="18">
        <f>SUM(Acueducto[[#This Row],[Acueducto]:[Aseo]])</f>
        <v>0</v>
      </c>
    </row>
    <row r="1371" spans="1:6" ht="15" x14ac:dyDescent="0.2">
      <c r="A1371" s="7">
        <v>290303</v>
      </c>
      <c r="B1371" s="3" t="s">
        <v>600</v>
      </c>
      <c r="C1371" s="29">
        <f>ROUND(Balances[[#This Row],[Total]]*40%,0)</f>
        <v>0</v>
      </c>
      <c r="D1371" s="29">
        <f>ROUND(Balances[[#This Row],[Total]]*20%,0)</f>
        <v>0</v>
      </c>
      <c r="E1371" s="29">
        <f>ROUND(Balances[[#This Row],[Total]]*40%,0)</f>
        <v>0</v>
      </c>
      <c r="F1371" s="18">
        <f>SUM(Acueducto[[#This Row],[Acueducto]:[Aseo]])</f>
        <v>0</v>
      </c>
    </row>
    <row r="1372" spans="1:6" ht="15" x14ac:dyDescent="0.2">
      <c r="A1372" s="7">
        <v>290304</v>
      </c>
      <c r="B1372" s="3" t="s">
        <v>601</v>
      </c>
      <c r="C1372" s="29">
        <f>ROUND(Balances[[#This Row],[Total]]*40%,0)</f>
        <v>0</v>
      </c>
      <c r="D1372" s="29">
        <f>ROUND(Balances[[#This Row],[Total]]*20%,0)</f>
        <v>0</v>
      </c>
      <c r="E1372" s="29">
        <f>ROUND(Balances[[#This Row],[Total]]*40%,0)</f>
        <v>0</v>
      </c>
      <c r="F1372" s="18">
        <f>SUM(Acueducto[[#This Row],[Acueducto]:[Aseo]])</f>
        <v>0</v>
      </c>
    </row>
    <row r="1373" spans="1:6" ht="15" x14ac:dyDescent="0.2">
      <c r="A1373" s="7">
        <v>290305</v>
      </c>
      <c r="B1373" s="3" t="s">
        <v>638</v>
      </c>
      <c r="C1373" s="29">
        <f>ROUND(Balances[[#This Row],[Total]]*40%,0)</f>
        <v>0</v>
      </c>
      <c r="D1373" s="29">
        <f>ROUND(Balances[[#This Row],[Total]]*20%,0)</f>
        <v>0</v>
      </c>
      <c r="E1373" s="29">
        <f>ROUND(Balances[[#This Row],[Total]]*40%,0)</f>
        <v>0</v>
      </c>
      <c r="F1373" s="18">
        <f>SUM(Acueducto[[#This Row],[Acueducto]:[Aseo]])</f>
        <v>0</v>
      </c>
    </row>
    <row r="1374" spans="1:6" ht="15" x14ac:dyDescent="0.2">
      <c r="A1374" s="7">
        <v>290390</v>
      </c>
      <c r="B1374" s="3" t="s">
        <v>19</v>
      </c>
      <c r="C1374" s="29">
        <f>ROUND(Balances[[#This Row],[Total]]*40%,0)</f>
        <v>0</v>
      </c>
      <c r="D1374" s="29">
        <f>ROUND(Balances[[#This Row],[Total]]*20%,0)</f>
        <v>0</v>
      </c>
      <c r="E1374" s="29">
        <f>ROUND(Balances[[#This Row],[Total]]*40%,0)</f>
        <v>0</v>
      </c>
      <c r="F1374" s="18">
        <f>SUM(Acueducto[[#This Row],[Acueducto]:[Aseo]])</f>
        <v>0</v>
      </c>
    </row>
    <row r="1375" spans="1:6" ht="15" x14ac:dyDescent="0.2">
      <c r="A1375" s="6">
        <v>2910</v>
      </c>
      <c r="B1375" s="2" t="s">
        <v>939</v>
      </c>
      <c r="C1375" s="28">
        <f>ROUND(Balances[[#This Row],[Total]]*40%,0)</f>
        <v>0</v>
      </c>
      <c r="D1375" s="28">
        <f>ROUND(Balances[[#This Row],[Total]]*20%,0)</f>
        <v>0</v>
      </c>
      <c r="E1375" s="28">
        <f>ROUND(Balances[[#This Row],[Total]]*40%,0)</f>
        <v>0</v>
      </c>
      <c r="F1375" s="17">
        <f>SUM(Acueducto[[#This Row],[Acueducto]:[Aseo]])</f>
        <v>0</v>
      </c>
    </row>
    <row r="1376" spans="1:6" ht="15" x14ac:dyDescent="0.2">
      <c r="A1376" s="7">
        <v>291001</v>
      </c>
      <c r="B1376" s="3" t="s">
        <v>563</v>
      </c>
      <c r="C1376" s="29">
        <f>ROUND(Balances[[#This Row],[Total]]*40%,0)</f>
        <v>0</v>
      </c>
      <c r="D1376" s="29">
        <f>ROUND(Balances[[#This Row],[Total]]*20%,0)</f>
        <v>0</v>
      </c>
      <c r="E1376" s="29">
        <f>ROUND(Balances[[#This Row],[Total]]*40%,0)</f>
        <v>0</v>
      </c>
      <c r="F1376" s="18">
        <f>SUM(Acueducto[[#This Row],[Acueducto]:[Aseo]])</f>
        <v>0</v>
      </c>
    </row>
    <row r="1377" spans="1:6" ht="15" x14ac:dyDescent="0.2">
      <c r="A1377" s="7">
        <v>291002</v>
      </c>
      <c r="B1377" s="3" t="s">
        <v>231</v>
      </c>
      <c r="C1377" s="29">
        <f>ROUND(Balances[[#This Row],[Total]]*40%,0)</f>
        <v>0</v>
      </c>
      <c r="D1377" s="29">
        <f>ROUND(Balances[[#This Row],[Total]]*20%,0)</f>
        <v>0</v>
      </c>
      <c r="E1377" s="29">
        <f>ROUND(Balances[[#This Row],[Total]]*40%,0)</f>
        <v>0</v>
      </c>
      <c r="F1377" s="18">
        <f>SUM(Acueducto[[#This Row],[Acueducto]:[Aseo]])</f>
        <v>0</v>
      </c>
    </row>
    <row r="1378" spans="1:6" ht="15" x14ac:dyDescent="0.2">
      <c r="A1378" s="7">
        <v>291005</v>
      </c>
      <c r="B1378" s="3" t="s">
        <v>256</v>
      </c>
      <c r="C1378" s="29">
        <f>ROUND(Balances[[#This Row],[Total]]*40%,0)</f>
        <v>0</v>
      </c>
      <c r="D1378" s="29">
        <f>ROUND(Balances[[#This Row],[Total]]*20%,0)</f>
        <v>0</v>
      </c>
      <c r="E1378" s="29">
        <f>ROUND(Balances[[#This Row],[Total]]*40%,0)</f>
        <v>0</v>
      </c>
      <c r="F1378" s="18">
        <f>SUM(Acueducto[[#This Row],[Acueducto]:[Aseo]])</f>
        <v>0</v>
      </c>
    </row>
    <row r="1379" spans="1:6" ht="15" x14ac:dyDescent="0.2">
      <c r="A1379" s="7">
        <v>291006</v>
      </c>
      <c r="B1379" s="3" t="s">
        <v>242</v>
      </c>
      <c r="C1379" s="29">
        <f>ROUND(Balances[[#This Row],[Total]]*40%,0)</f>
        <v>0</v>
      </c>
      <c r="D1379" s="29">
        <f>ROUND(Balances[[#This Row],[Total]]*20%,0)</f>
        <v>0</v>
      </c>
      <c r="E1379" s="29">
        <f>ROUND(Balances[[#This Row],[Total]]*40%,0)</f>
        <v>0</v>
      </c>
      <c r="F1379" s="18">
        <f>SUM(Acueducto[[#This Row],[Acueducto]:[Aseo]])</f>
        <v>0</v>
      </c>
    </row>
    <row r="1380" spans="1:6" ht="15" x14ac:dyDescent="0.2">
      <c r="A1380" s="7">
        <v>291007</v>
      </c>
      <c r="B1380" s="3" t="s">
        <v>940</v>
      </c>
      <c r="C1380" s="29">
        <f>ROUND(Balances[[#This Row],[Total]]*40%,0)</f>
        <v>0</v>
      </c>
      <c r="D1380" s="29">
        <f>ROUND(Balances[[#This Row],[Total]]*20%,0)</f>
        <v>0</v>
      </c>
      <c r="E1380" s="29">
        <f>ROUND(Balances[[#This Row],[Total]]*40%,0)</f>
        <v>0</v>
      </c>
      <c r="F1380" s="18">
        <f>SUM(Acueducto[[#This Row],[Acueducto]:[Aseo]])</f>
        <v>0</v>
      </c>
    </row>
    <row r="1381" spans="1:6" ht="15" x14ac:dyDescent="0.2">
      <c r="A1381" s="7">
        <v>291013</v>
      </c>
      <c r="B1381" s="3" t="s">
        <v>755</v>
      </c>
      <c r="C1381" s="29">
        <f>ROUND(Balances[[#This Row],[Total]]*40%,0)</f>
        <v>0</v>
      </c>
      <c r="D1381" s="29">
        <f>ROUND(Balances[[#This Row],[Total]]*20%,0)</f>
        <v>0</v>
      </c>
      <c r="E1381" s="29">
        <f>ROUND(Balances[[#This Row],[Total]]*40%,0)</f>
        <v>0</v>
      </c>
      <c r="F1381" s="18">
        <f>SUM(Acueducto[[#This Row],[Acueducto]:[Aseo]])</f>
        <v>0</v>
      </c>
    </row>
    <row r="1382" spans="1:6" ht="15" x14ac:dyDescent="0.2">
      <c r="A1382" s="7">
        <v>291017</v>
      </c>
      <c r="B1382" s="3" t="s">
        <v>941</v>
      </c>
      <c r="C1382" s="29">
        <f>ROUND(Balances[[#This Row],[Total]]*40%,0)</f>
        <v>0</v>
      </c>
      <c r="D1382" s="29">
        <f>ROUND(Balances[[#This Row],[Total]]*20%,0)</f>
        <v>0</v>
      </c>
      <c r="E1382" s="29">
        <f>ROUND(Balances[[#This Row],[Total]]*40%,0)</f>
        <v>0</v>
      </c>
      <c r="F1382" s="18">
        <f>SUM(Acueducto[[#This Row],[Acueducto]:[Aseo]])</f>
        <v>0</v>
      </c>
    </row>
    <row r="1383" spans="1:6" ht="15" x14ac:dyDescent="0.2">
      <c r="A1383" s="7">
        <v>291018</v>
      </c>
      <c r="B1383" s="3" t="s">
        <v>942</v>
      </c>
      <c r="C1383" s="29">
        <f>ROUND(Balances[[#This Row],[Total]]*40%,0)</f>
        <v>0</v>
      </c>
      <c r="D1383" s="29">
        <f>ROUND(Balances[[#This Row],[Total]]*20%,0)</f>
        <v>0</v>
      </c>
      <c r="E1383" s="29">
        <f>ROUND(Balances[[#This Row],[Total]]*40%,0)</f>
        <v>0</v>
      </c>
      <c r="F1383" s="18">
        <f>SUM(Acueducto[[#This Row],[Acueducto]:[Aseo]])</f>
        <v>0</v>
      </c>
    </row>
    <row r="1384" spans="1:6" ht="15" x14ac:dyDescent="0.2">
      <c r="A1384" s="7">
        <v>291019</v>
      </c>
      <c r="B1384" s="3" t="s">
        <v>943</v>
      </c>
      <c r="C1384" s="29">
        <f>ROUND(Balances[[#This Row],[Total]]*40%,0)</f>
        <v>0</v>
      </c>
      <c r="D1384" s="29">
        <f>ROUND(Balances[[#This Row],[Total]]*20%,0)</f>
        <v>0</v>
      </c>
      <c r="E1384" s="29">
        <f>ROUND(Balances[[#This Row],[Total]]*40%,0)</f>
        <v>0</v>
      </c>
      <c r="F1384" s="18">
        <f>SUM(Acueducto[[#This Row],[Acueducto]:[Aseo]])</f>
        <v>0</v>
      </c>
    </row>
    <row r="1385" spans="1:6" ht="15" x14ac:dyDescent="0.2">
      <c r="A1385" s="7">
        <v>291020</v>
      </c>
      <c r="B1385" s="3" t="s">
        <v>944</v>
      </c>
      <c r="C1385" s="29">
        <f>ROUND(Balances[[#This Row],[Total]]*40%,0)</f>
        <v>0</v>
      </c>
      <c r="D1385" s="29">
        <f>ROUND(Balances[[#This Row],[Total]]*20%,0)</f>
        <v>0</v>
      </c>
      <c r="E1385" s="29">
        <f>ROUND(Balances[[#This Row],[Total]]*40%,0)</f>
        <v>0</v>
      </c>
      <c r="F1385" s="18">
        <f>SUM(Acueducto[[#This Row],[Acueducto]:[Aseo]])</f>
        <v>0</v>
      </c>
    </row>
    <row r="1386" spans="1:6" ht="15" x14ac:dyDescent="0.2">
      <c r="A1386" s="7">
        <v>291021</v>
      </c>
      <c r="B1386" s="3" t="s">
        <v>945</v>
      </c>
      <c r="C1386" s="29">
        <f>ROUND(Balances[[#This Row],[Total]]*40%,0)</f>
        <v>0</v>
      </c>
      <c r="D1386" s="29">
        <f>ROUND(Balances[[#This Row],[Total]]*20%,0)</f>
        <v>0</v>
      </c>
      <c r="E1386" s="29">
        <f>ROUND(Balances[[#This Row],[Total]]*40%,0)</f>
        <v>0</v>
      </c>
      <c r="F1386" s="18">
        <f>SUM(Acueducto[[#This Row],[Acueducto]:[Aseo]])</f>
        <v>0</v>
      </c>
    </row>
    <row r="1387" spans="1:6" ht="15" x14ac:dyDescent="0.2">
      <c r="A1387" s="7">
        <v>291022</v>
      </c>
      <c r="B1387" s="3" t="s">
        <v>946</v>
      </c>
      <c r="C1387" s="29">
        <f>ROUND(Balances[[#This Row],[Total]]*40%,0)</f>
        <v>0</v>
      </c>
      <c r="D1387" s="29">
        <f>ROUND(Balances[[#This Row],[Total]]*20%,0)</f>
        <v>0</v>
      </c>
      <c r="E1387" s="29">
        <f>ROUND(Balances[[#This Row],[Total]]*40%,0)</f>
        <v>0</v>
      </c>
      <c r="F1387" s="18">
        <f>SUM(Acueducto[[#This Row],[Acueducto]:[Aseo]])</f>
        <v>0</v>
      </c>
    </row>
    <row r="1388" spans="1:6" ht="15" x14ac:dyDescent="0.2">
      <c r="A1388" s="7">
        <v>291023</v>
      </c>
      <c r="B1388" s="3" t="s">
        <v>947</v>
      </c>
      <c r="C1388" s="29">
        <f>ROUND(Balances[[#This Row],[Total]]*40%,0)</f>
        <v>0</v>
      </c>
      <c r="D1388" s="29">
        <f>ROUND(Balances[[#This Row],[Total]]*20%,0)</f>
        <v>0</v>
      </c>
      <c r="E1388" s="29">
        <f>ROUND(Balances[[#This Row],[Total]]*40%,0)</f>
        <v>0</v>
      </c>
      <c r="F1388" s="18">
        <f>SUM(Acueducto[[#This Row],[Acueducto]:[Aseo]])</f>
        <v>0</v>
      </c>
    </row>
    <row r="1389" spans="1:6" ht="15" x14ac:dyDescent="0.2">
      <c r="A1389" s="7">
        <v>291025</v>
      </c>
      <c r="B1389" s="3" t="s">
        <v>254</v>
      </c>
      <c r="C1389" s="29">
        <f>ROUND(Balances[[#This Row],[Total]]*40%,0)</f>
        <v>0</v>
      </c>
      <c r="D1389" s="29">
        <f>ROUND(Balances[[#This Row],[Total]]*20%,0)</f>
        <v>0</v>
      </c>
      <c r="E1389" s="29">
        <f>ROUND(Balances[[#This Row],[Total]]*40%,0)</f>
        <v>0</v>
      </c>
      <c r="F1389" s="18">
        <f>SUM(Acueducto[[#This Row],[Acueducto]:[Aseo]])</f>
        <v>0</v>
      </c>
    </row>
    <row r="1390" spans="1:6" ht="15" x14ac:dyDescent="0.2">
      <c r="A1390" s="7">
        <v>291090</v>
      </c>
      <c r="B1390" s="3" t="s">
        <v>948</v>
      </c>
      <c r="C1390" s="29">
        <f>ROUND(Balances[[#This Row],[Total]]*40%,0)</f>
        <v>0</v>
      </c>
      <c r="D1390" s="29">
        <f>ROUND(Balances[[#This Row],[Total]]*20%,0)</f>
        <v>0</v>
      </c>
      <c r="E1390" s="29">
        <f>ROUND(Balances[[#This Row],[Total]]*40%,0)</f>
        <v>0</v>
      </c>
      <c r="F1390" s="18">
        <f>SUM(Acueducto[[#This Row],[Acueducto]:[Aseo]])</f>
        <v>0</v>
      </c>
    </row>
    <row r="1391" spans="1:6" ht="15" x14ac:dyDescent="0.2">
      <c r="A1391" s="6">
        <v>2918</v>
      </c>
      <c r="B1391" s="2" t="s">
        <v>949</v>
      </c>
      <c r="C1391" s="28">
        <f>ROUND(Balances[[#This Row],[Total]]*40%,0)</f>
        <v>0</v>
      </c>
      <c r="D1391" s="28">
        <f>ROUND(Balances[[#This Row],[Total]]*20%,0)</f>
        <v>0</v>
      </c>
      <c r="E1391" s="28">
        <f>ROUND(Balances[[#This Row],[Total]]*40%,0)</f>
        <v>0</v>
      </c>
      <c r="F1391" s="17">
        <f>SUM(Acueducto[[#This Row],[Acueducto]:[Aseo]])</f>
        <v>0</v>
      </c>
    </row>
    <row r="1392" spans="1:6" ht="15" x14ac:dyDescent="0.2">
      <c r="A1392" s="7">
        <v>291801</v>
      </c>
      <c r="B1392" s="3" t="s">
        <v>549</v>
      </c>
      <c r="C1392" s="29">
        <f>ROUND(Balances[[#This Row],[Total]]*40%,0)</f>
        <v>0</v>
      </c>
      <c r="D1392" s="29">
        <f>ROUND(Balances[[#This Row],[Total]]*20%,0)</f>
        <v>0</v>
      </c>
      <c r="E1392" s="29">
        <f>ROUND(Balances[[#This Row],[Total]]*40%,0)</f>
        <v>0</v>
      </c>
      <c r="F1392" s="18">
        <f>SUM(Acueducto[[#This Row],[Acueducto]:[Aseo]])</f>
        <v>0</v>
      </c>
    </row>
    <row r="1393" spans="1:6" ht="15" x14ac:dyDescent="0.2">
      <c r="A1393" s="7">
        <v>291802</v>
      </c>
      <c r="B1393" s="3" t="s">
        <v>637</v>
      </c>
      <c r="C1393" s="29">
        <f>ROUND(Balances[[#This Row],[Total]]*40%,0)</f>
        <v>0</v>
      </c>
      <c r="D1393" s="29">
        <f>ROUND(Balances[[#This Row],[Total]]*20%,0)</f>
        <v>0</v>
      </c>
      <c r="E1393" s="29">
        <f>ROUND(Balances[[#This Row],[Total]]*40%,0)</f>
        <v>0</v>
      </c>
      <c r="F1393" s="18">
        <f>SUM(Acueducto[[#This Row],[Acueducto]:[Aseo]])</f>
        <v>0</v>
      </c>
    </row>
    <row r="1394" spans="1:6" ht="15" x14ac:dyDescent="0.2">
      <c r="A1394" s="7">
        <v>291803</v>
      </c>
      <c r="B1394" s="3" t="s">
        <v>226</v>
      </c>
      <c r="C1394" s="29">
        <f>ROUND(Balances[[#This Row],[Total]]*40%,0)</f>
        <v>0</v>
      </c>
      <c r="D1394" s="29">
        <f>ROUND(Balances[[#This Row],[Total]]*20%,0)</f>
        <v>0</v>
      </c>
      <c r="E1394" s="29">
        <f>ROUND(Balances[[#This Row],[Total]]*40%,0)</f>
        <v>0</v>
      </c>
      <c r="F1394" s="18">
        <f>SUM(Acueducto[[#This Row],[Acueducto]:[Aseo]])</f>
        <v>0</v>
      </c>
    </row>
    <row r="1395" spans="1:6" ht="15" x14ac:dyDescent="0.2">
      <c r="A1395" s="7">
        <v>291804</v>
      </c>
      <c r="B1395" s="3" t="s">
        <v>287</v>
      </c>
      <c r="C1395" s="29">
        <f>ROUND(Balances[[#This Row],[Total]]*40%,0)</f>
        <v>0</v>
      </c>
      <c r="D1395" s="29">
        <f>ROUND(Balances[[#This Row],[Total]]*20%,0)</f>
        <v>0</v>
      </c>
      <c r="E1395" s="29">
        <f>ROUND(Balances[[#This Row],[Total]]*40%,0)</f>
        <v>0</v>
      </c>
      <c r="F1395" s="18">
        <f>SUM(Acueducto[[#This Row],[Acueducto]:[Aseo]])</f>
        <v>0</v>
      </c>
    </row>
    <row r="1396" spans="1:6" ht="15" x14ac:dyDescent="0.2">
      <c r="A1396" s="7">
        <v>291805</v>
      </c>
      <c r="B1396" s="3" t="s">
        <v>638</v>
      </c>
      <c r="C1396" s="29">
        <f>ROUND(Balances[[#This Row],[Total]]*40%,0)</f>
        <v>0</v>
      </c>
      <c r="D1396" s="29">
        <f>ROUND(Balances[[#This Row],[Total]]*20%,0)</f>
        <v>0</v>
      </c>
      <c r="E1396" s="29">
        <f>ROUND(Balances[[#This Row],[Total]]*40%,0)</f>
        <v>0</v>
      </c>
      <c r="F1396" s="18">
        <f>SUM(Acueducto[[#This Row],[Acueducto]:[Aseo]])</f>
        <v>0</v>
      </c>
    </row>
    <row r="1397" spans="1:6" ht="15" x14ac:dyDescent="0.2">
      <c r="A1397" s="7">
        <v>291806</v>
      </c>
      <c r="B1397" s="3" t="s">
        <v>553</v>
      </c>
      <c r="C1397" s="29">
        <f>ROUND(Balances[[#This Row],[Total]]*40%,0)</f>
        <v>0</v>
      </c>
      <c r="D1397" s="29">
        <f>ROUND(Balances[[#This Row],[Total]]*20%,0)</f>
        <v>0</v>
      </c>
      <c r="E1397" s="29">
        <f>ROUND(Balances[[#This Row],[Total]]*40%,0)</f>
        <v>0</v>
      </c>
      <c r="F1397" s="18">
        <f>SUM(Acueducto[[#This Row],[Acueducto]:[Aseo]])</f>
        <v>0</v>
      </c>
    </row>
    <row r="1398" spans="1:6" ht="15" x14ac:dyDescent="0.2">
      <c r="A1398" s="7">
        <v>291807</v>
      </c>
      <c r="B1398" s="3" t="s">
        <v>639</v>
      </c>
      <c r="C1398" s="29">
        <f>ROUND(Balances[[#This Row],[Total]]*40%,0)</f>
        <v>0</v>
      </c>
      <c r="D1398" s="29">
        <f>ROUND(Balances[[#This Row],[Total]]*20%,0)</f>
        <v>0</v>
      </c>
      <c r="E1398" s="29">
        <f>ROUND(Balances[[#This Row],[Total]]*40%,0)</f>
        <v>0</v>
      </c>
      <c r="F1398" s="18">
        <f>SUM(Acueducto[[#This Row],[Acueducto]:[Aseo]])</f>
        <v>0</v>
      </c>
    </row>
    <row r="1399" spans="1:6" ht="15" x14ac:dyDescent="0.2">
      <c r="A1399" s="7">
        <v>291808</v>
      </c>
      <c r="B1399" s="3" t="s">
        <v>554</v>
      </c>
      <c r="C1399" s="29">
        <f>ROUND(Balances[[#This Row],[Total]]*40%,0)</f>
        <v>0</v>
      </c>
      <c r="D1399" s="29">
        <f>ROUND(Balances[[#This Row],[Total]]*20%,0)</f>
        <v>0</v>
      </c>
      <c r="E1399" s="29">
        <f>ROUND(Balances[[#This Row],[Total]]*40%,0)</f>
        <v>0</v>
      </c>
      <c r="F1399" s="18">
        <f>SUM(Acueducto[[#This Row],[Acueducto]:[Aseo]])</f>
        <v>0</v>
      </c>
    </row>
    <row r="1400" spans="1:6" ht="15" x14ac:dyDescent="0.2">
      <c r="A1400" s="7">
        <v>291809</v>
      </c>
      <c r="B1400" s="3" t="s">
        <v>640</v>
      </c>
      <c r="C1400" s="29">
        <f>ROUND(Balances[[#This Row],[Total]]*40%,0)</f>
        <v>0</v>
      </c>
      <c r="D1400" s="29">
        <f>ROUND(Balances[[#This Row],[Total]]*20%,0)</f>
        <v>0</v>
      </c>
      <c r="E1400" s="29">
        <f>ROUND(Balances[[#This Row],[Total]]*40%,0)</f>
        <v>0</v>
      </c>
      <c r="F1400" s="18">
        <f>SUM(Acueducto[[#This Row],[Acueducto]:[Aseo]])</f>
        <v>0</v>
      </c>
    </row>
    <row r="1401" spans="1:6" ht="15" x14ac:dyDescent="0.2">
      <c r="A1401" s="7">
        <v>291810</v>
      </c>
      <c r="B1401" s="3" t="s">
        <v>555</v>
      </c>
      <c r="C1401" s="29">
        <f>ROUND(Balances[[#This Row],[Total]]*40%,0)</f>
        <v>0</v>
      </c>
      <c r="D1401" s="29">
        <f>ROUND(Balances[[#This Row],[Total]]*20%,0)</f>
        <v>0</v>
      </c>
      <c r="E1401" s="29">
        <f>ROUND(Balances[[#This Row],[Total]]*40%,0)</f>
        <v>0</v>
      </c>
      <c r="F1401" s="18">
        <f>SUM(Acueducto[[#This Row],[Acueducto]:[Aseo]])</f>
        <v>0</v>
      </c>
    </row>
    <row r="1402" spans="1:6" ht="15" x14ac:dyDescent="0.2">
      <c r="A1402" s="7">
        <v>291811</v>
      </c>
      <c r="B1402" s="3" t="s">
        <v>641</v>
      </c>
      <c r="C1402" s="29">
        <f>ROUND(Balances[[#This Row],[Total]]*40%,0)</f>
        <v>0</v>
      </c>
      <c r="D1402" s="29">
        <f>ROUND(Balances[[#This Row],[Total]]*20%,0)</f>
        <v>0</v>
      </c>
      <c r="E1402" s="29">
        <f>ROUND(Balances[[#This Row],[Total]]*40%,0)</f>
        <v>0</v>
      </c>
      <c r="F1402" s="18">
        <f>SUM(Acueducto[[#This Row],[Acueducto]:[Aseo]])</f>
        <v>0</v>
      </c>
    </row>
    <row r="1403" spans="1:6" ht="15" x14ac:dyDescent="0.2">
      <c r="A1403" s="7">
        <v>291812</v>
      </c>
      <c r="B1403" s="3" t="s">
        <v>642</v>
      </c>
      <c r="C1403" s="29">
        <f>ROUND(Balances[[#This Row],[Total]]*40%,0)</f>
        <v>0</v>
      </c>
      <c r="D1403" s="29">
        <f>ROUND(Balances[[#This Row],[Total]]*20%,0)</f>
        <v>0</v>
      </c>
      <c r="E1403" s="29">
        <f>ROUND(Balances[[#This Row],[Total]]*40%,0)</f>
        <v>0</v>
      </c>
      <c r="F1403" s="18">
        <f>SUM(Acueducto[[#This Row],[Acueducto]:[Aseo]])</f>
        <v>0</v>
      </c>
    </row>
    <row r="1404" spans="1:6" ht="15" x14ac:dyDescent="0.2">
      <c r="A1404" s="7">
        <v>291813</v>
      </c>
      <c r="B1404" s="3" t="s">
        <v>643</v>
      </c>
      <c r="C1404" s="29">
        <f>ROUND(Balances[[#This Row],[Total]]*40%,0)</f>
        <v>0</v>
      </c>
      <c r="D1404" s="29">
        <f>ROUND(Balances[[#This Row],[Total]]*20%,0)</f>
        <v>0</v>
      </c>
      <c r="E1404" s="29">
        <f>ROUND(Balances[[#This Row],[Total]]*40%,0)</f>
        <v>0</v>
      </c>
      <c r="F1404" s="18">
        <f>SUM(Acueducto[[#This Row],[Acueducto]:[Aseo]])</f>
        <v>0</v>
      </c>
    </row>
    <row r="1405" spans="1:6" ht="15" x14ac:dyDescent="0.2">
      <c r="A1405" s="7">
        <v>291814</v>
      </c>
      <c r="B1405" s="3" t="s">
        <v>644</v>
      </c>
      <c r="C1405" s="29">
        <f>ROUND(Balances[[#This Row],[Total]]*40%,0)</f>
        <v>0</v>
      </c>
      <c r="D1405" s="29">
        <f>ROUND(Balances[[#This Row],[Total]]*20%,0)</f>
        <v>0</v>
      </c>
      <c r="E1405" s="29">
        <f>ROUND(Balances[[#This Row],[Total]]*40%,0)</f>
        <v>0</v>
      </c>
      <c r="F1405" s="18">
        <f>SUM(Acueducto[[#This Row],[Acueducto]:[Aseo]])</f>
        <v>0</v>
      </c>
    </row>
    <row r="1406" spans="1:6" ht="15" x14ac:dyDescent="0.2">
      <c r="A1406" s="7">
        <v>291815</v>
      </c>
      <c r="B1406" s="3" t="s">
        <v>645</v>
      </c>
      <c r="C1406" s="29">
        <f>ROUND(Balances[[#This Row],[Total]]*40%,0)</f>
        <v>0</v>
      </c>
      <c r="D1406" s="29">
        <f>ROUND(Balances[[#This Row],[Total]]*20%,0)</f>
        <v>0</v>
      </c>
      <c r="E1406" s="29">
        <f>ROUND(Balances[[#This Row],[Total]]*40%,0)</f>
        <v>0</v>
      </c>
      <c r="F1406" s="18">
        <f>SUM(Acueducto[[#This Row],[Acueducto]:[Aseo]])</f>
        <v>0</v>
      </c>
    </row>
    <row r="1407" spans="1:6" ht="15" x14ac:dyDescent="0.2">
      <c r="A1407" s="7">
        <v>291816</v>
      </c>
      <c r="B1407" s="3" t="s">
        <v>646</v>
      </c>
      <c r="C1407" s="29">
        <f>ROUND(Balances[[#This Row],[Total]]*40%,0)</f>
        <v>0</v>
      </c>
      <c r="D1407" s="29">
        <f>ROUND(Balances[[#This Row],[Total]]*20%,0)</f>
        <v>0</v>
      </c>
      <c r="E1407" s="29">
        <f>ROUND(Balances[[#This Row],[Total]]*40%,0)</f>
        <v>0</v>
      </c>
      <c r="F1407" s="18">
        <f>SUM(Acueducto[[#This Row],[Acueducto]:[Aseo]])</f>
        <v>0</v>
      </c>
    </row>
    <row r="1408" spans="1:6" ht="15" x14ac:dyDescent="0.2">
      <c r="A1408" s="7">
        <v>291817</v>
      </c>
      <c r="B1408" s="3" t="s">
        <v>647</v>
      </c>
      <c r="C1408" s="29">
        <f>ROUND(Balances[[#This Row],[Total]]*40%,0)</f>
        <v>0</v>
      </c>
      <c r="D1408" s="29">
        <f>ROUND(Balances[[#This Row],[Total]]*20%,0)</f>
        <v>0</v>
      </c>
      <c r="E1408" s="29">
        <f>ROUND(Balances[[#This Row],[Total]]*40%,0)</f>
        <v>0</v>
      </c>
      <c r="F1408" s="18">
        <f>SUM(Acueducto[[#This Row],[Acueducto]:[Aseo]])</f>
        <v>0</v>
      </c>
    </row>
    <row r="1409" spans="1:6" ht="15" x14ac:dyDescent="0.2">
      <c r="A1409" s="7">
        <v>291818</v>
      </c>
      <c r="B1409" s="3" t="s">
        <v>648</v>
      </c>
      <c r="C1409" s="29">
        <f>ROUND(Balances[[#This Row],[Total]]*40%,0)</f>
        <v>0</v>
      </c>
      <c r="D1409" s="29">
        <f>ROUND(Balances[[#This Row],[Total]]*20%,0)</f>
        <v>0</v>
      </c>
      <c r="E1409" s="29">
        <f>ROUND(Balances[[#This Row],[Total]]*40%,0)</f>
        <v>0</v>
      </c>
      <c r="F1409" s="18">
        <f>SUM(Acueducto[[#This Row],[Acueducto]:[Aseo]])</f>
        <v>0</v>
      </c>
    </row>
    <row r="1410" spans="1:6" ht="15" x14ac:dyDescent="0.2">
      <c r="A1410" s="6">
        <v>2919</v>
      </c>
      <c r="B1410" s="2" t="s">
        <v>950</v>
      </c>
      <c r="C1410" s="28">
        <f>ROUND(Balances[[#This Row],[Total]]*40%,0)</f>
        <v>0</v>
      </c>
      <c r="D1410" s="28">
        <f>ROUND(Balances[[#This Row],[Total]]*20%,0)</f>
        <v>0</v>
      </c>
      <c r="E1410" s="28">
        <f>ROUND(Balances[[#This Row],[Total]]*40%,0)</f>
        <v>0</v>
      </c>
      <c r="F1410" s="17">
        <f>SUM(Acueducto[[#This Row],[Acueducto]:[Aseo]])</f>
        <v>0</v>
      </c>
    </row>
    <row r="1411" spans="1:6" ht="15" x14ac:dyDescent="0.2">
      <c r="A1411" s="7">
        <v>291901</v>
      </c>
      <c r="B1411" s="3" t="s">
        <v>951</v>
      </c>
      <c r="C1411" s="29">
        <f>ROUND(Balances[[#This Row],[Total]]*40%,0)</f>
        <v>0</v>
      </c>
      <c r="D1411" s="29">
        <f>ROUND(Balances[[#This Row],[Total]]*20%,0)</f>
        <v>0</v>
      </c>
      <c r="E1411" s="29">
        <f>ROUND(Balances[[#This Row],[Total]]*40%,0)</f>
        <v>0</v>
      </c>
      <c r="F1411" s="18">
        <f>SUM(Acueducto[[#This Row],[Acueducto]:[Aseo]])</f>
        <v>0</v>
      </c>
    </row>
    <row r="1412" spans="1:6" ht="15" x14ac:dyDescent="0.2">
      <c r="A1412" s="6">
        <v>2990</v>
      </c>
      <c r="B1412" s="2" t="s">
        <v>952</v>
      </c>
      <c r="C1412" s="28">
        <f>ROUND(Balances[[#This Row],[Total]]*40%,0)</f>
        <v>0</v>
      </c>
      <c r="D1412" s="28">
        <f>ROUND(Balances[[#This Row],[Total]]*20%,0)</f>
        <v>0</v>
      </c>
      <c r="E1412" s="28">
        <f>ROUND(Balances[[#This Row],[Total]]*40%,0)</f>
        <v>0</v>
      </c>
      <c r="F1412" s="17">
        <f>SUM(Acueducto[[#This Row],[Acueducto]:[Aseo]])</f>
        <v>0</v>
      </c>
    </row>
    <row r="1413" spans="1:6" ht="15" x14ac:dyDescent="0.2">
      <c r="A1413" s="7">
        <v>299001</v>
      </c>
      <c r="B1413" s="3" t="s">
        <v>953</v>
      </c>
      <c r="C1413" s="29">
        <f>ROUND(Balances[[#This Row],[Total]]*40%,0)</f>
        <v>0</v>
      </c>
      <c r="D1413" s="29">
        <f>ROUND(Balances[[#This Row],[Total]]*20%,0)</f>
        <v>0</v>
      </c>
      <c r="E1413" s="29">
        <f>ROUND(Balances[[#This Row],[Total]]*40%,0)</f>
        <v>0</v>
      </c>
      <c r="F1413" s="18">
        <f>SUM(Acueducto[[#This Row],[Acueducto]:[Aseo]])</f>
        <v>0</v>
      </c>
    </row>
    <row r="1414" spans="1:6" ht="15" x14ac:dyDescent="0.2">
      <c r="A1414" s="7">
        <v>299003</v>
      </c>
      <c r="B1414" s="3" t="s">
        <v>954</v>
      </c>
      <c r="C1414" s="29">
        <f>ROUND(Balances[[#This Row],[Total]]*40%,0)</f>
        <v>0</v>
      </c>
      <c r="D1414" s="29">
        <f>ROUND(Balances[[#This Row],[Total]]*20%,0)</f>
        <v>0</v>
      </c>
      <c r="E1414" s="29">
        <f>ROUND(Balances[[#This Row],[Total]]*40%,0)</f>
        <v>0</v>
      </c>
      <c r="F1414" s="18">
        <f>SUM(Acueducto[[#This Row],[Acueducto]:[Aseo]])</f>
        <v>0</v>
      </c>
    </row>
    <row r="1415" spans="1:6" ht="15" x14ac:dyDescent="0.2">
      <c r="A1415" s="7">
        <v>299004</v>
      </c>
      <c r="B1415" s="3" t="s">
        <v>955</v>
      </c>
      <c r="C1415" s="29">
        <f>ROUND(Balances[[#This Row],[Total]]*40%,0)</f>
        <v>0</v>
      </c>
      <c r="D1415" s="29">
        <f>ROUND(Balances[[#This Row],[Total]]*20%,0)</f>
        <v>0</v>
      </c>
      <c r="E1415" s="29">
        <f>ROUND(Balances[[#This Row],[Total]]*40%,0)</f>
        <v>0</v>
      </c>
      <c r="F1415" s="18">
        <f>SUM(Acueducto[[#This Row],[Acueducto]:[Aseo]])</f>
        <v>0</v>
      </c>
    </row>
    <row r="1416" spans="1:6" ht="15" x14ac:dyDescent="0.2">
      <c r="A1416" s="7">
        <v>299090</v>
      </c>
      <c r="B1416" s="3" t="s">
        <v>956</v>
      </c>
      <c r="C1416" s="29">
        <f>ROUND(Balances[[#This Row],[Total]]*40%,0)</f>
        <v>0</v>
      </c>
      <c r="D1416" s="29">
        <f>ROUND(Balances[[#This Row],[Total]]*20%,0)</f>
        <v>0</v>
      </c>
      <c r="E1416" s="29">
        <f>ROUND(Balances[[#This Row],[Total]]*40%,0)</f>
        <v>0</v>
      </c>
      <c r="F1416" s="18">
        <f>SUM(Acueducto[[#This Row],[Acueducto]:[Aseo]])</f>
        <v>0</v>
      </c>
    </row>
    <row r="1417" spans="1:6" ht="15" x14ac:dyDescent="0.2">
      <c r="A1417" s="6">
        <v>3</v>
      </c>
      <c r="B1417" s="2" t="s">
        <v>957</v>
      </c>
      <c r="C1417" s="28">
        <f>ROUND(Balances[[#This Row],[Total]]*40%,0)</f>
        <v>-335613226</v>
      </c>
      <c r="D1417" s="28">
        <f>ROUND(Balances[[#This Row],[Total]]*20%,0)</f>
        <v>-167806613</v>
      </c>
      <c r="E1417" s="28">
        <f>ROUND(Balances[[#This Row],[Total]]*40%,0)</f>
        <v>-335613226</v>
      </c>
      <c r="F1417" s="28">
        <f>SUM(Acueducto[[#This Row],[Acueducto]:[Aseo]])</f>
        <v>-839033065</v>
      </c>
    </row>
    <row r="1418" spans="1:6" ht="15" x14ac:dyDescent="0.2">
      <c r="A1418" s="6">
        <v>32</v>
      </c>
      <c r="B1418" s="2" t="s">
        <v>958</v>
      </c>
      <c r="C1418" s="28">
        <f>ROUND(Balances[[#This Row],[Total]]*40%,0)</f>
        <v>-335613226</v>
      </c>
      <c r="D1418" s="28">
        <f>ROUND(Balances[[#This Row],[Total]]*20%,0)</f>
        <v>-167806613</v>
      </c>
      <c r="E1418" s="28">
        <f>ROUND(Balances[[#This Row],[Total]]*40%,0)</f>
        <v>-335613226</v>
      </c>
      <c r="F1418" s="28">
        <f>SUM(Acueducto[[#This Row],[Acueducto]:[Aseo]])</f>
        <v>-839033065</v>
      </c>
    </row>
    <row r="1419" spans="1:6" ht="15" x14ac:dyDescent="0.2">
      <c r="A1419" s="6">
        <v>3203</v>
      </c>
      <c r="B1419" s="2" t="s">
        <v>959</v>
      </c>
      <c r="C1419" s="28">
        <f>ROUND(Balances[[#This Row],[Total]]*40%,0)</f>
        <v>0</v>
      </c>
      <c r="D1419" s="28">
        <f>ROUND(Balances[[#This Row],[Total]]*20%,0)</f>
        <v>0</v>
      </c>
      <c r="E1419" s="28">
        <f>ROUND(Balances[[#This Row],[Total]]*40%,0)</f>
        <v>0</v>
      </c>
      <c r="F1419" s="17">
        <f>SUM(Acueducto[[#This Row],[Acueducto]:[Aseo]])</f>
        <v>0</v>
      </c>
    </row>
    <row r="1420" spans="1:6" ht="15" x14ac:dyDescent="0.2">
      <c r="A1420" s="7">
        <v>320301</v>
      </c>
      <c r="B1420" s="3" t="s">
        <v>61</v>
      </c>
      <c r="C1420" s="29">
        <f>ROUND(Balances[[#This Row],[Total]]*40%,0)</f>
        <v>0</v>
      </c>
      <c r="D1420" s="29">
        <f>ROUND(Balances[[#This Row],[Total]]*20%,0)</f>
        <v>0</v>
      </c>
      <c r="E1420" s="29">
        <f>ROUND(Balances[[#This Row],[Total]]*40%,0)</f>
        <v>0</v>
      </c>
      <c r="F1420" s="18">
        <f>SUM(Acueducto[[#This Row],[Acueducto]:[Aseo]])</f>
        <v>0</v>
      </c>
    </row>
    <row r="1421" spans="1:6" ht="15" x14ac:dyDescent="0.2">
      <c r="A1421" s="6">
        <v>3204</v>
      </c>
      <c r="B1421" s="2" t="s">
        <v>960</v>
      </c>
      <c r="C1421" s="28">
        <f>ROUND(Balances[[#This Row],[Total]]*40%,0)</f>
        <v>0</v>
      </c>
      <c r="D1421" s="28">
        <f>ROUND(Balances[[#This Row],[Total]]*20%,0)</f>
        <v>0</v>
      </c>
      <c r="E1421" s="28">
        <f>ROUND(Balances[[#This Row],[Total]]*40%,0)</f>
        <v>0</v>
      </c>
      <c r="F1421" s="17">
        <f>SUM(Acueducto[[#This Row],[Acueducto]:[Aseo]])</f>
        <v>0</v>
      </c>
    </row>
    <row r="1422" spans="1:6" ht="15" x14ac:dyDescent="0.2">
      <c r="A1422" s="7">
        <v>320401</v>
      </c>
      <c r="B1422" s="3" t="s">
        <v>961</v>
      </c>
      <c r="C1422" s="29">
        <f>ROUND(Balances[[#This Row],[Total]]*40%,0)</f>
        <v>0</v>
      </c>
      <c r="D1422" s="29">
        <f>ROUND(Balances[[#This Row],[Total]]*20%,0)</f>
        <v>0</v>
      </c>
      <c r="E1422" s="29">
        <f>ROUND(Balances[[#This Row],[Total]]*40%,0)</f>
        <v>0</v>
      </c>
      <c r="F1422" s="18">
        <f>SUM(Acueducto[[#This Row],[Acueducto]:[Aseo]])</f>
        <v>0</v>
      </c>
    </row>
    <row r="1423" spans="1:6" ht="15" x14ac:dyDescent="0.2">
      <c r="A1423" s="7">
        <v>320402</v>
      </c>
      <c r="B1423" s="3" t="s">
        <v>962</v>
      </c>
      <c r="C1423" s="29">
        <f>ROUND(Balances[[#This Row],[Total]]*40%,0)</f>
        <v>0</v>
      </c>
      <c r="D1423" s="29">
        <f>ROUND(Balances[[#This Row],[Total]]*20%,0)</f>
        <v>0</v>
      </c>
      <c r="E1423" s="29">
        <f>ROUND(Balances[[#This Row],[Total]]*40%,0)</f>
        <v>0</v>
      </c>
      <c r="F1423" s="18">
        <f>SUM(Acueducto[[#This Row],[Acueducto]:[Aseo]])</f>
        <v>0</v>
      </c>
    </row>
    <row r="1424" spans="1:6" ht="15" x14ac:dyDescent="0.2">
      <c r="A1424" s="7">
        <v>320403</v>
      </c>
      <c r="B1424" s="3" t="s">
        <v>963</v>
      </c>
      <c r="C1424" s="29">
        <f>ROUND(Balances[[#This Row],[Total]]*40%,0)</f>
        <v>0</v>
      </c>
      <c r="D1424" s="29">
        <f>ROUND(Balances[[#This Row],[Total]]*20%,0)</f>
        <v>0</v>
      </c>
      <c r="E1424" s="29">
        <f>ROUND(Balances[[#This Row],[Total]]*40%,0)</f>
        <v>0</v>
      </c>
      <c r="F1424" s="18">
        <f>SUM(Acueducto[[#This Row],[Acueducto]:[Aseo]])</f>
        <v>0</v>
      </c>
    </row>
    <row r="1425" spans="1:6" ht="15" x14ac:dyDescent="0.2">
      <c r="A1425" s="6">
        <v>3208</v>
      </c>
      <c r="B1425" s="2" t="s">
        <v>964</v>
      </c>
      <c r="C1425" s="28">
        <f>ROUND(Balances[[#This Row],[Total]]*40%,0)</f>
        <v>0</v>
      </c>
      <c r="D1425" s="28">
        <f>ROUND(Balances[[#This Row],[Total]]*20%,0)</f>
        <v>0</v>
      </c>
      <c r="E1425" s="28">
        <f>ROUND(Balances[[#This Row],[Total]]*40%,0)</f>
        <v>0</v>
      </c>
      <c r="F1425" s="28">
        <f>SUM(Acueducto[[#This Row],[Acueducto]:[Aseo]])</f>
        <v>0</v>
      </c>
    </row>
    <row r="1426" spans="1:6" ht="15" x14ac:dyDescent="0.2">
      <c r="A1426" s="7">
        <v>320801</v>
      </c>
      <c r="B1426" s="3" t="s">
        <v>965</v>
      </c>
      <c r="C1426" s="29">
        <f>ROUND(Balances[[#This Row],[Total]]*40%,0)</f>
        <v>0</v>
      </c>
      <c r="D1426" s="29">
        <f>ROUND(Balances[[#This Row],[Total]]*20%,0)</f>
        <v>0</v>
      </c>
      <c r="E1426" s="29">
        <f>ROUND(Balances[[#This Row],[Total]]*40%,0)</f>
        <v>0</v>
      </c>
      <c r="F1426" s="29">
        <f>SUM(Acueducto[[#This Row],[Acueducto]:[Aseo]])</f>
        <v>0</v>
      </c>
    </row>
    <row r="1427" spans="1:6" ht="15" x14ac:dyDescent="0.2">
      <c r="A1427" s="6">
        <v>3210</v>
      </c>
      <c r="B1427" s="2" t="s">
        <v>966</v>
      </c>
      <c r="C1427" s="28">
        <f>ROUND(Balances[[#This Row],[Total]]*40%,0)</f>
        <v>0</v>
      </c>
      <c r="D1427" s="28">
        <f>ROUND(Balances[[#This Row],[Total]]*20%,0)</f>
        <v>0</v>
      </c>
      <c r="E1427" s="28">
        <f>ROUND(Balances[[#This Row],[Total]]*40%,0)</f>
        <v>0</v>
      </c>
      <c r="F1427" s="17">
        <f>SUM(Acueducto[[#This Row],[Acueducto]:[Aseo]])</f>
        <v>0</v>
      </c>
    </row>
    <row r="1428" spans="1:6" ht="15" x14ac:dyDescent="0.2">
      <c r="A1428" s="7">
        <v>321001</v>
      </c>
      <c r="B1428" s="3" t="s">
        <v>967</v>
      </c>
      <c r="C1428" s="29">
        <f>ROUND(Balances[[#This Row],[Total]]*40%,0)</f>
        <v>0</v>
      </c>
      <c r="D1428" s="29">
        <f>ROUND(Balances[[#This Row],[Total]]*20%,0)</f>
        <v>0</v>
      </c>
      <c r="E1428" s="29">
        <f>ROUND(Balances[[#This Row],[Total]]*40%,0)</f>
        <v>0</v>
      </c>
      <c r="F1428" s="18">
        <f>SUM(Acueducto[[#This Row],[Acueducto]:[Aseo]])</f>
        <v>0</v>
      </c>
    </row>
    <row r="1429" spans="1:6" ht="15" x14ac:dyDescent="0.2">
      <c r="A1429" s="7">
        <v>321002</v>
      </c>
      <c r="B1429" s="3" t="s">
        <v>968</v>
      </c>
      <c r="C1429" s="29">
        <f>ROUND(Balances[[#This Row],[Total]]*40%,0)</f>
        <v>0</v>
      </c>
      <c r="D1429" s="29">
        <f>ROUND(Balances[[#This Row],[Total]]*20%,0)</f>
        <v>0</v>
      </c>
      <c r="E1429" s="29">
        <f>ROUND(Balances[[#This Row],[Total]]*40%,0)</f>
        <v>0</v>
      </c>
      <c r="F1429" s="18">
        <f>SUM(Acueducto[[#This Row],[Acueducto]:[Aseo]])</f>
        <v>0</v>
      </c>
    </row>
    <row r="1430" spans="1:6" ht="15" x14ac:dyDescent="0.2">
      <c r="A1430" s="7">
        <v>321003</v>
      </c>
      <c r="B1430" s="3" t="s">
        <v>969</v>
      </c>
      <c r="C1430" s="29">
        <f>ROUND(Balances[[#This Row],[Total]]*40%,0)</f>
        <v>0</v>
      </c>
      <c r="D1430" s="29">
        <f>ROUND(Balances[[#This Row],[Total]]*20%,0)</f>
        <v>0</v>
      </c>
      <c r="E1430" s="29">
        <f>ROUND(Balances[[#This Row],[Total]]*40%,0)</f>
        <v>0</v>
      </c>
      <c r="F1430" s="18">
        <f>SUM(Acueducto[[#This Row],[Acueducto]:[Aseo]])</f>
        <v>0</v>
      </c>
    </row>
    <row r="1431" spans="1:6" ht="15" x14ac:dyDescent="0.2">
      <c r="A1431" s="7">
        <v>321004</v>
      </c>
      <c r="B1431" s="3" t="s">
        <v>970</v>
      </c>
      <c r="C1431" s="29">
        <f>ROUND(Balances[[#This Row],[Total]]*40%,0)</f>
        <v>0</v>
      </c>
      <c r="D1431" s="29">
        <f>ROUND(Balances[[#This Row],[Total]]*20%,0)</f>
        <v>0</v>
      </c>
      <c r="E1431" s="29">
        <f>ROUND(Balances[[#This Row],[Total]]*40%,0)</f>
        <v>0</v>
      </c>
      <c r="F1431" s="18">
        <f>SUM(Acueducto[[#This Row],[Acueducto]:[Aseo]])</f>
        <v>0</v>
      </c>
    </row>
    <row r="1432" spans="1:6" ht="15" x14ac:dyDescent="0.2">
      <c r="A1432" s="6">
        <v>3215</v>
      </c>
      <c r="B1432" s="2" t="s">
        <v>971</v>
      </c>
      <c r="C1432" s="28">
        <f>ROUND(Balances[[#This Row],[Total]]*40%,0)</f>
        <v>0</v>
      </c>
      <c r="D1432" s="28">
        <f>ROUND(Balances[[#This Row],[Total]]*20%,0)</f>
        <v>0</v>
      </c>
      <c r="E1432" s="28">
        <f>ROUND(Balances[[#This Row],[Total]]*40%,0)</f>
        <v>0</v>
      </c>
      <c r="F1432" s="17">
        <f>SUM(Acueducto[[#This Row],[Acueducto]:[Aseo]])</f>
        <v>0</v>
      </c>
    </row>
    <row r="1433" spans="1:6" ht="15" x14ac:dyDescent="0.2">
      <c r="A1433" s="7">
        <v>321501</v>
      </c>
      <c r="B1433" s="3" t="s">
        <v>972</v>
      </c>
      <c r="C1433" s="29">
        <f>ROUND(Balances[[#This Row],[Total]]*40%,0)</f>
        <v>0</v>
      </c>
      <c r="D1433" s="29">
        <f>ROUND(Balances[[#This Row],[Total]]*20%,0)</f>
        <v>0</v>
      </c>
      <c r="E1433" s="29">
        <f>ROUND(Balances[[#This Row],[Total]]*40%,0)</f>
        <v>0</v>
      </c>
      <c r="F1433" s="18">
        <f>SUM(Acueducto[[#This Row],[Acueducto]:[Aseo]])</f>
        <v>0</v>
      </c>
    </row>
    <row r="1434" spans="1:6" ht="15" x14ac:dyDescent="0.2">
      <c r="A1434" s="7">
        <v>321502</v>
      </c>
      <c r="B1434" s="3" t="s">
        <v>973</v>
      </c>
      <c r="C1434" s="29">
        <f>ROUND(Balances[[#This Row],[Total]]*40%,0)</f>
        <v>0</v>
      </c>
      <c r="D1434" s="29">
        <f>ROUND(Balances[[#This Row],[Total]]*20%,0)</f>
        <v>0</v>
      </c>
      <c r="E1434" s="29">
        <f>ROUND(Balances[[#This Row],[Total]]*40%,0)</f>
        <v>0</v>
      </c>
      <c r="F1434" s="18">
        <f>SUM(Acueducto[[#This Row],[Acueducto]:[Aseo]])</f>
        <v>0</v>
      </c>
    </row>
    <row r="1435" spans="1:6" ht="15" x14ac:dyDescent="0.2">
      <c r="A1435" s="7">
        <v>321503</v>
      </c>
      <c r="B1435" s="3" t="s">
        <v>974</v>
      </c>
      <c r="C1435" s="29">
        <f>ROUND(Balances[[#This Row],[Total]]*40%,0)</f>
        <v>0</v>
      </c>
      <c r="D1435" s="29">
        <f>ROUND(Balances[[#This Row],[Total]]*20%,0)</f>
        <v>0</v>
      </c>
      <c r="E1435" s="29">
        <f>ROUND(Balances[[#This Row],[Total]]*40%,0)</f>
        <v>0</v>
      </c>
      <c r="F1435" s="18">
        <f>SUM(Acueducto[[#This Row],[Acueducto]:[Aseo]])</f>
        <v>0</v>
      </c>
    </row>
    <row r="1436" spans="1:6" ht="15" x14ac:dyDescent="0.2">
      <c r="A1436" s="7">
        <v>321504</v>
      </c>
      <c r="B1436" s="3" t="s">
        <v>975</v>
      </c>
      <c r="C1436" s="29">
        <f>ROUND(Balances[[#This Row],[Total]]*40%,0)</f>
        <v>0</v>
      </c>
      <c r="D1436" s="29">
        <f>ROUND(Balances[[#This Row],[Total]]*20%,0)</f>
        <v>0</v>
      </c>
      <c r="E1436" s="29">
        <f>ROUND(Balances[[#This Row],[Total]]*40%,0)</f>
        <v>0</v>
      </c>
      <c r="F1436" s="18">
        <f>SUM(Acueducto[[#This Row],[Acueducto]:[Aseo]])</f>
        <v>0</v>
      </c>
    </row>
    <row r="1437" spans="1:6" ht="15" x14ac:dyDescent="0.2">
      <c r="A1437" s="7">
        <v>321505</v>
      </c>
      <c r="B1437" s="3" t="s">
        <v>976</v>
      </c>
      <c r="C1437" s="29">
        <f>ROUND(Balances[[#This Row],[Total]]*40%,0)</f>
        <v>0</v>
      </c>
      <c r="D1437" s="29">
        <f>ROUND(Balances[[#This Row],[Total]]*20%,0)</f>
        <v>0</v>
      </c>
      <c r="E1437" s="29">
        <f>ROUND(Balances[[#This Row],[Total]]*40%,0)</f>
        <v>0</v>
      </c>
      <c r="F1437" s="18">
        <f>SUM(Acueducto[[#This Row],[Acueducto]:[Aseo]])</f>
        <v>0</v>
      </c>
    </row>
    <row r="1438" spans="1:6" ht="15" x14ac:dyDescent="0.2">
      <c r="A1438" s="7">
        <v>321507</v>
      </c>
      <c r="B1438" s="3" t="s">
        <v>977</v>
      </c>
      <c r="C1438" s="29">
        <f>ROUND(Balances[[#This Row],[Total]]*40%,0)</f>
        <v>0</v>
      </c>
      <c r="D1438" s="29">
        <f>ROUND(Balances[[#This Row],[Total]]*20%,0)</f>
        <v>0</v>
      </c>
      <c r="E1438" s="29">
        <f>ROUND(Balances[[#This Row],[Total]]*40%,0)</f>
        <v>0</v>
      </c>
      <c r="F1438" s="18">
        <f>SUM(Acueducto[[#This Row],[Acueducto]:[Aseo]])</f>
        <v>0</v>
      </c>
    </row>
    <row r="1439" spans="1:6" ht="15" x14ac:dyDescent="0.2">
      <c r="A1439" s="7">
        <v>321508</v>
      </c>
      <c r="B1439" s="3" t="s">
        <v>978</v>
      </c>
      <c r="C1439" s="29">
        <f>ROUND(Balances[[#This Row],[Total]]*40%,0)</f>
        <v>0</v>
      </c>
      <c r="D1439" s="29">
        <f>ROUND(Balances[[#This Row],[Total]]*20%,0)</f>
        <v>0</v>
      </c>
      <c r="E1439" s="29">
        <f>ROUND(Balances[[#This Row],[Total]]*40%,0)</f>
        <v>0</v>
      </c>
      <c r="F1439" s="18">
        <f>SUM(Acueducto[[#This Row],[Acueducto]:[Aseo]])</f>
        <v>0</v>
      </c>
    </row>
    <row r="1440" spans="1:6" ht="15" x14ac:dyDescent="0.2">
      <c r="A1440" s="7">
        <v>321511</v>
      </c>
      <c r="B1440" s="3" t="s">
        <v>979</v>
      </c>
      <c r="C1440" s="29">
        <f>ROUND(Balances[[#This Row],[Total]]*40%,0)</f>
        <v>0</v>
      </c>
      <c r="D1440" s="29">
        <f>ROUND(Balances[[#This Row],[Total]]*20%,0)</f>
        <v>0</v>
      </c>
      <c r="E1440" s="29">
        <f>ROUND(Balances[[#This Row],[Total]]*40%,0)</f>
        <v>0</v>
      </c>
      <c r="F1440" s="18">
        <f>SUM(Acueducto[[#This Row],[Acueducto]:[Aseo]])</f>
        <v>0</v>
      </c>
    </row>
    <row r="1441" spans="1:6" ht="15" x14ac:dyDescent="0.2">
      <c r="A1441" s="7">
        <v>321590</v>
      </c>
      <c r="B1441" s="3" t="s">
        <v>980</v>
      </c>
      <c r="C1441" s="29">
        <f>ROUND(Balances[[#This Row],[Total]]*40%,0)</f>
        <v>0</v>
      </c>
      <c r="D1441" s="29">
        <f>ROUND(Balances[[#This Row],[Total]]*20%,0)</f>
        <v>0</v>
      </c>
      <c r="E1441" s="29">
        <f>ROUND(Balances[[#This Row],[Total]]*40%,0)</f>
        <v>0</v>
      </c>
      <c r="F1441" s="18">
        <f>SUM(Acueducto[[#This Row],[Acueducto]:[Aseo]])</f>
        <v>0</v>
      </c>
    </row>
    <row r="1442" spans="1:6" ht="15" x14ac:dyDescent="0.2">
      <c r="A1442" s="6">
        <v>3220</v>
      </c>
      <c r="B1442" s="2" t="s">
        <v>981</v>
      </c>
      <c r="C1442" s="28">
        <f>ROUND(Balances[[#This Row],[Total]]*40%,0)</f>
        <v>0</v>
      </c>
      <c r="D1442" s="28">
        <f>ROUND(Balances[[#This Row],[Total]]*20%,0)</f>
        <v>0</v>
      </c>
      <c r="E1442" s="28">
        <f>ROUND(Balances[[#This Row],[Total]]*40%,0)</f>
        <v>0</v>
      </c>
      <c r="F1442" s="17">
        <f>SUM(Acueducto[[#This Row],[Acueducto]:[Aseo]])</f>
        <v>0</v>
      </c>
    </row>
    <row r="1443" spans="1:6" ht="15" x14ac:dyDescent="0.2">
      <c r="A1443" s="7">
        <v>322001</v>
      </c>
      <c r="B1443" s="3" t="s">
        <v>982</v>
      </c>
      <c r="C1443" s="29">
        <f>ROUND(Balances[[#This Row],[Total]]*40%,0)</f>
        <v>0</v>
      </c>
      <c r="D1443" s="29">
        <f>ROUND(Balances[[#This Row],[Total]]*20%,0)</f>
        <v>0</v>
      </c>
      <c r="E1443" s="29">
        <f>ROUND(Balances[[#This Row],[Total]]*40%,0)</f>
        <v>0</v>
      </c>
      <c r="F1443" s="18">
        <f>SUM(Acueducto[[#This Row],[Acueducto]:[Aseo]])</f>
        <v>0</v>
      </c>
    </row>
    <row r="1444" spans="1:6" ht="15" x14ac:dyDescent="0.2">
      <c r="A1444" s="7">
        <v>322002</v>
      </c>
      <c r="B1444" s="3" t="s">
        <v>983</v>
      </c>
      <c r="C1444" s="29">
        <f>ROUND(Balances[[#This Row],[Total]]*40%,0)</f>
        <v>0</v>
      </c>
      <c r="D1444" s="29">
        <f>ROUND(Balances[[#This Row],[Total]]*20%,0)</f>
        <v>0</v>
      </c>
      <c r="E1444" s="29">
        <f>ROUND(Balances[[#This Row],[Total]]*40%,0)</f>
        <v>0</v>
      </c>
      <c r="F1444" s="18">
        <f>SUM(Acueducto[[#This Row],[Acueducto]:[Aseo]])</f>
        <v>0</v>
      </c>
    </row>
    <row r="1445" spans="1:6" ht="15" x14ac:dyDescent="0.2">
      <c r="A1445" s="6">
        <v>3225</v>
      </c>
      <c r="B1445" s="2" t="s">
        <v>984</v>
      </c>
      <c r="C1445" s="28">
        <f>ROUND(Balances[[#This Row],[Total]]*40%,0)</f>
        <v>0</v>
      </c>
      <c r="D1445" s="28">
        <f>ROUND(Balances[[#This Row],[Total]]*20%,0)</f>
        <v>0</v>
      </c>
      <c r="E1445" s="28">
        <f>ROUND(Balances[[#This Row],[Total]]*40%,0)</f>
        <v>0</v>
      </c>
      <c r="F1445" s="17">
        <f>SUM(Acueducto[[#This Row],[Acueducto]:[Aseo]])</f>
        <v>0</v>
      </c>
    </row>
    <row r="1446" spans="1:6" ht="15" x14ac:dyDescent="0.2">
      <c r="A1446" s="7">
        <v>322501</v>
      </c>
      <c r="B1446" s="3" t="s">
        <v>985</v>
      </c>
      <c r="C1446" s="29">
        <f>ROUND(Balances[[#This Row],[Total]]*40%,0)</f>
        <v>0</v>
      </c>
      <c r="D1446" s="29">
        <f>ROUND(Balances[[#This Row],[Total]]*20%,0)</f>
        <v>0</v>
      </c>
      <c r="E1446" s="29">
        <f>ROUND(Balances[[#This Row],[Total]]*40%,0)</f>
        <v>0</v>
      </c>
      <c r="F1446" s="18">
        <f>SUM(Acueducto[[#This Row],[Acueducto]:[Aseo]])</f>
        <v>0</v>
      </c>
    </row>
    <row r="1447" spans="1:6" ht="15" x14ac:dyDescent="0.2">
      <c r="A1447" s="7">
        <v>322502</v>
      </c>
      <c r="B1447" s="3" t="s">
        <v>986</v>
      </c>
      <c r="C1447" s="29">
        <f>ROUND(Balances[[#This Row],[Total]]*40%,0)</f>
        <v>0</v>
      </c>
      <c r="D1447" s="29">
        <f>ROUND(Balances[[#This Row],[Total]]*20%,0)</f>
        <v>0</v>
      </c>
      <c r="E1447" s="29">
        <f>ROUND(Balances[[#This Row],[Total]]*40%,0)</f>
        <v>0</v>
      </c>
      <c r="F1447" s="18">
        <f>SUM(Acueducto[[#This Row],[Acueducto]:[Aseo]])</f>
        <v>0</v>
      </c>
    </row>
    <row r="1448" spans="1:6" ht="15" x14ac:dyDescent="0.2">
      <c r="A1448" s="6">
        <v>3230</v>
      </c>
      <c r="B1448" s="2" t="s">
        <v>987</v>
      </c>
      <c r="C1448" s="28">
        <f>ROUND(Balances[[#This Row],[Total]]*40%,0)</f>
        <v>-335613226</v>
      </c>
      <c r="D1448" s="28">
        <f>ROUND(Balances[[#This Row],[Total]]*20%,0)</f>
        <v>-167806613</v>
      </c>
      <c r="E1448" s="28">
        <f>ROUND(Balances[[#This Row],[Total]]*40%,0)</f>
        <v>-335613226</v>
      </c>
      <c r="F1448" s="28">
        <f>SUM(Acueducto[[#This Row],[Acueducto]:[Aseo]])</f>
        <v>-839033065</v>
      </c>
    </row>
    <row r="1449" spans="1:6" ht="15" x14ac:dyDescent="0.2">
      <c r="A1449" s="7">
        <v>323001</v>
      </c>
      <c r="B1449" s="3" t="s">
        <v>988</v>
      </c>
      <c r="C1449" s="29">
        <f>ROUND(Balances[[#This Row],[Total]]*40%,0)</f>
        <v>0</v>
      </c>
      <c r="D1449" s="29">
        <f>ROUND(Balances[[#This Row],[Total]]*20%,0)</f>
        <v>0</v>
      </c>
      <c r="E1449" s="29">
        <f>ROUND(Balances[[#This Row],[Total]]*40%,0)</f>
        <v>0</v>
      </c>
      <c r="F1449" s="29">
        <f>SUM(Acueducto[[#This Row],[Acueducto]:[Aseo]])</f>
        <v>0</v>
      </c>
    </row>
    <row r="1450" spans="1:6" ht="15" x14ac:dyDescent="0.2">
      <c r="A1450" s="7">
        <v>323002</v>
      </c>
      <c r="B1450" s="3" t="s">
        <v>989</v>
      </c>
      <c r="C1450" s="29">
        <f>ROUND(Balances[[#This Row],[Total]]*40%,0)</f>
        <v>-335613226</v>
      </c>
      <c r="D1450" s="29">
        <f>ROUND(Balances[[#This Row],[Total]]*20%,0)</f>
        <v>-167806613</v>
      </c>
      <c r="E1450" s="29">
        <f>ROUND(Balances[[#This Row],[Total]]*40%,0)</f>
        <v>-335613226</v>
      </c>
      <c r="F1450" s="18">
        <f>SUM(Acueducto[[#This Row],[Acueducto]:[Aseo]])</f>
        <v>-839033065</v>
      </c>
    </row>
    <row r="1451" spans="1:6" ht="15" x14ac:dyDescent="0.2">
      <c r="A1451" s="6">
        <v>3271</v>
      </c>
      <c r="B1451" s="2" t="s">
        <v>990</v>
      </c>
      <c r="C1451" s="28">
        <f>ROUND(Balances[[#This Row],[Total]]*40%,0)</f>
        <v>0</v>
      </c>
      <c r="D1451" s="28">
        <f>ROUND(Balances[[#This Row],[Total]]*20%,0)</f>
        <v>0</v>
      </c>
      <c r="E1451" s="28">
        <f>ROUND(Balances[[#This Row],[Total]]*40%,0)</f>
        <v>0</v>
      </c>
      <c r="F1451" s="17">
        <f>SUM(Acueducto[[#This Row],[Acueducto]:[Aseo]])</f>
        <v>0</v>
      </c>
    </row>
    <row r="1452" spans="1:6" ht="15" x14ac:dyDescent="0.2">
      <c r="A1452" s="7">
        <v>327101</v>
      </c>
      <c r="B1452" s="3" t="s">
        <v>67</v>
      </c>
      <c r="C1452" s="29">
        <f>ROUND(Balances[[#This Row],[Total]]*40%,0)</f>
        <v>0</v>
      </c>
      <c r="D1452" s="29">
        <f>ROUND(Balances[[#This Row],[Total]]*20%,0)</f>
        <v>0</v>
      </c>
      <c r="E1452" s="29">
        <f>ROUND(Balances[[#This Row],[Total]]*40%,0)</f>
        <v>0</v>
      </c>
      <c r="F1452" s="18">
        <f>SUM(Acueducto[[#This Row],[Acueducto]:[Aseo]])</f>
        <v>0</v>
      </c>
    </row>
    <row r="1453" spans="1:6" ht="15" x14ac:dyDescent="0.2">
      <c r="A1453" s="7">
        <v>327102</v>
      </c>
      <c r="B1453" s="3" t="s">
        <v>68</v>
      </c>
      <c r="C1453" s="29">
        <f>ROUND(Balances[[#This Row],[Total]]*40%,0)</f>
        <v>0</v>
      </c>
      <c r="D1453" s="29">
        <f>ROUND(Balances[[#This Row],[Total]]*20%,0)</f>
        <v>0</v>
      </c>
      <c r="E1453" s="29">
        <f>ROUND(Balances[[#This Row],[Total]]*40%,0)</f>
        <v>0</v>
      </c>
      <c r="F1453" s="18">
        <f>SUM(Acueducto[[#This Row],[Acueducto]:[Aseo]])</f>
        <v>0</v>
      </c>
    </row>
    <row r="1454" spans="1:6" ht="15" x14ac:dyDescent="0.2">
      <c r="A1454" s="7">
        <v>327103</v>
      </c>
      <c r="B1454" s="3" t="s">
        <v>69</v>
      </c>
      <c r="C1454" s="29">
        <f>ROUND(Balances[[#This Row],[Total]]*40%,0)</f>
        <v>0</v>
      </c>
      <c r="D1454" s="29">
        <f>ROUND(Balances[[#This Row],[Total]]*20%,0)</f>
        <v>0</v>
      </c>
      <c r="E1454" s="29">
        <f>ROUND(Balances[[#This Row],[Total]]*40%,0)</f>
        <v>0</v>
      </c>
      <c r="F1454" s="18">
        <f>SUM(Acueducto[[#This Row],[Acueducto]:[Aseo]])</f>
        <v>0</v>
      </c>
    </row>
    <row r="1455" spans="1:6" ht="15" x14ac:dyDescent="0.2">
      <c r="A1455" s="7">
        <v>327104</v>
      </c>
      <c r="B1455" s="3" t="s">
        <v>70</v>
      </c>
      <c r="C1455" s="29">
        <f>ROUND(Balances[[#This Row],[Total]]*40%,0)</f>
        <v>0</v>
      </c>
      <c r="D1455" s="29">
        <f>ROUND(Balances[[#This Row],[Total]]*20%,0)</f>
        <v>0</v>
      </c>
      <c r="E1455" s="29">
        <f>ROUND(Balances[[#This Row],[Total]]*40%,0)</f>
        <v>0</v>
      </c>
      <c r="F1455" s="18">
        <f>SUM(Acueducto[[#This Row],[Acueducto]:[Aseo]])</f>
        <v>0</v>
      </c>
    </row>
    <row r="1456" spans="1:6" ht="15" x14ac:dyDescent="0.2">
      <c r="A1456" s="7">
        <v>327105</v>
      </c>
      <c r="B1456" s="3" t="s">
        <v>71</v>
      </c>
      <c r="C1456" s="29">
        <f>ROUND(Balances[[#This Row],[Total]]*40%,0)</f>
        <v>0</v>
      </c>
      <c r="D1456" s="29">
        <f>ROUND(Balances[[#This Row],[Total]]*20%,0)</f>
        <v>0</v>
      </c>
      <c r="E1456" s="29">
        <f>ROUND(Balances[[#This Row],[Total]]*40%,0)</f>
        <v>0</v>
      </c>
      <c r="F1456" s="18">
        <f>SUM(Acueducto[[#This Row],[Acueducto]:[Aseo]])</f>
        <v>0</v>
      </c>
    </row>
    <row r="1457" spans="1:6" ht="15" x14ac:dyDescent="0.2">
      <c r="A1457" s="7">
        <v>327106</v>
      </c>
      <c r="B1457" s="3" t="s">
        <v>72</v>
      </c>
      <c r="C1457" s="29">
        <f>ROUND(Balances[[#This Row],[Total]]*40%,0)</f>
        <v>0</v>
      </c>
      <c r="D1457" s="29">
        <f>ROUND(Balances[[#This Row],[Total]]*20%,0)</f>
        <v>0</v>
      </c>
      <c r="E1457" s="29">
        <f>ROUND(Balances[[#This Row],[Total]]*40%,0)</f>
        <v>0</v>
      </c>
      <c r="F1457" s="18">
        <f>SUM(Acueducto[[#This Row],[Acueducto]:[Aseo]])</f>
        <v>0</v>
      </c>
    </row>
    <row r="1458" spans="1:6" ht="15" x14ac:dyDescent="0.2">
      <c r="A1458" s="7">
        <v>327118</v>
      </c>
      <c r="B1458" s="3" t="s">
        <v>62</v>
      </c>
      <c r="C1458" s="29">
        <f>ROUND(Balances[[#This Row],[Total]]*40%,0)</f>
        <v>0</v>
      </c>
      <c r="D1458" s="29">
        <f>ROUND(Balances[[#This Row],[Total]]*20%,0)</f>
        <v>0</v>
      </c>
      <c r="E1458" s="29">
        <f>ROUND(Balances[[#This Row],[Total]]*40%,0)</f>
        <v>0</v>
      </c>
      <c r="F1458" s="18">
        <f>SUM(Acueducto[[#This Row],[Acueducto]:[Aseo]])</f>
        <v>0</v>
      </c>
    </row>
    <row r="1459" spans="1:6" ht="15" x14ac:dyDescent="0.2">
      <c r="A1459" s="7">
        <v>327190</v>
      </c>
      <c r="B1459" s="3" t="s">
        <v>991</v>
      </c>
      <c r="C1459" s="29">
        <f>ROUND(Balances[[#This Row],[Total]]*40%,0)</f>
        <v>0</v>
      </c>
      <c r="D1459" s="29">
        <f>ROUND(Balances[[#This Row],[Total]]*20%,0)</f>
        <v>0</v>
      </c>
      <c r="E1459" s="29">
        <f>ROUND(Balances[[#This Row],[Total]]*40%,0)</f>
        <v>0</v>
      </c>
      <c r="F1459" s="18">
        <f>SUM(Acueducto[[#This Row],[Acueducto]:[Aseo]])</f>
        <v>0</v>
      </c>
    </row>
    <row r="1460" spans="1:6" ht="15" x14ac:dyDescent="0.2">
      <c r="A1460" s="6">
        <v>3272</v>
      </c>
      <c r="B1460" s="2" t="s">
        <v>992</v>
      </c>
      <c r="C1460" s="28">
        <f>ROUND(Balances[[#This Row],[Total]]*40%,0)</f>
        <v>0</v>
      </c>
      <c r="D1460" s="28">
        <f>ROUND(Balances[[#This Row],[Total]]*20%,0)</f>
        <v>0</v>
      </c>
      <c r="E1460" s="28">
        <f>ROUND(Balances[[#This Row],[Total]]*40%,0)</f>
        <v>0</v>
      </c>
      <c r="F1460" s="17">
        <f>SUM(Acueducto[[#This Row],[Acueducto]:[Aseo]])</f>
        <v>0</v>
      </c>
    </row>
    <row r="1461" spans="1:6" ht="15" x14ac:dyDescent="0.2">
      <c r="A1461" s="7">
        <v>327201</v>
      </c>
      <c r="B1461" s="3" t="s">
        <v>993</v>
      </c>
      <c r="C1461" s="29">
        <f>ROUND(Balances[[#This Row],[Total]]*40%,0)</f>
        <v>0</v>
      </c>
      <c r="D1461" s="29">
        <f>ROUND(Balances[[#This Row],[Total]]*20%,0)</f>
        <v>0</v>
      </c>
      <c r="E1461" s="29">
        <f>ROUND(Balances[[#This Row],[Total]]*40%,0)</f>
        <v>0</v>
      </c>
      <c r="F1461" s="18">
        <f>SUM(Acueducto[[#This Row],[Acueducto]:[Aseo]])</f>
        <v>0</v>
      </c>
    </row>
    <row r="1462" spans="1:6" ht="15" x14ac:dyDescent="0.2">
      <c r="A1462" s="6">
        <v>3273</v>
      </c>
      <c r="B1462" s="2" t="s">
        <v>994</v>
      </c>
      <c r="C1462" s="28">
        <f>ROUND(Balances[[#This Row],[Total]]*40%,0)</f>
        <v>0</v>
      </c>
      <c r="D1462" s="28">
        <f>ROUND(Balances[[#This Row],[Total]]*20%,0)</f>
        <v>0</v>
      </c>
      <c r="E1462" s="28">
        <f>ROUND(Balances[[#This Row],[Total]]*40%,0)</f>
        <v>0</v>
      </c>
      <c r="F1462" s="17">
        <f>SUM(Acueducto[[#This Row],[Acueducto]:[Aseo]])</f>
        <v>0</v>
      </c>
    </row>
    <row r="1463" spans="1:6" ht="15" x14ac:dyDescent="0.2">
      <c r="A1463" s="7">
        <v>327301</v>
      </c>
      <c r="B1463" s="3" t="s">
        <v>995</v>
      </c>
      <c r="C1463" s="29">
        <f>ROUND(Balances[[#This Row],[Total]]*40%,0)</f>
        <v>0</v>
      </c>
      <c r="D1463" s="29">
        <f>ROUND(Balances[[#This Row],[Total]]*20%,0)</f>
        <v>0</v>
      </c>
      <c r="E1463" s="29">
        <f>ROUND(Balances[[#This Row],[Total]]*40%,0)</f>
        <v>0</v>
      </c>
      <c r="F1463" s="18">
        <f>SUM(Acueducto[[#This Row],[Acueducto]:[Aseo]])</f>
        <v>0</v>
      </c>
    </row>
    <row r="1464" spans="1:6" ht="15" x14ac:dyDescent="0.2">
      <c r="A1464" s="6">
        <v>3274</v>
      </c>
      <c r="B1464" s="2" t="s">
        <v>996</v>
      </c>
      <c r="C1464" s="28">
        <f>ROUND(Balances[[#This Row],[Total]]*40%,0)</f>
        <v>0</v>
      </c>
      <c r="D1464" s="28">
        <f>ROUND(Balances[[#This Row],[Total]]*20%,0)</f>
        <v>0</v>
      </c>
      <c r="E1464" s="28">
        <f>ROUND(Balances[[#This Row],[Total]]*40%,0)</f>
        <v>0</v>
      </c>
      <c r="F1464" s="17">
        <f>SUM(Acueducto[[#This Row],[Acueducto]:[Aseo]])</f>
        <v>0</v>
      </c>
    </row>
    <row r="1465" spans="1:6" ht="15" x14ac:dyDescent="0.2">
      <c r="A1465" s="7">
        <v>327401</v>
      </c>
      <c r="B1465" s="3" t="s">
        <v>997</v>
      </c>
      <c r="C1465" s="29">
        <f>ROUND(Balances[[#This Row],[Total]]*40%,0)</f>
        <v>0</v>
      </c>
      <c r="D1465" s="29">
        <f>ROUND(Balances[[#This Row],[Total]]*20%,0)</f>
        <v>0</v>
      </c>
      <c r="E1465" s="29">
        <f>ROUND(Balances[[#This Row],[Total]]*40%,0)</f>
        <v>0</v>
      </c>
      <c r="F1465" s="18">
        <f>SUM(Acueducto[[#This Row],[Acueducto]:[Aseo]])</f>
        <v>0</v>
      </c>
    </row>
    <row r="1466" spans="1:6" ht="15" x14ac:dyDescent="0.2">
      <c r="A1466" s="7">
        <v>327402</v>
      </c>
      <c r="B1466" s="3" t="s">
        <v>998</v>
      </c>
      <c r="C1466" s="29">
        <f>ROUND(Balances[[#This Row],[Total]]*40%,0)</f>
        <v>0</v>
      </c>
      <c r="D1466" s="29">
        <f>ROUND(Balances[[#This Row],[Total]]*20%,0)</f>
        <v>0</v>
      </c>
      <c r="E1466" s="29">
        <f>ROUND(Balances[[#This Row],[Total]]*40%,0)</f>
        <v>0</v>
      </c>
      <c r="F1466" s="18">
        <f>SUM(Acueducto[[#This Row],[Acueducto]:[Aseo]])</f>
        <v>0</v>
      </c>
    </row>
    <row r="1467" spans="1:6" ht="15" x14ac:dyDescent="0.2">
      <c r="A1467" s="7">
        <v>327403</v>
      </c>
      <c r="B1467" s="3" t="s">
        <v>999</v>
      </c>
      <c r="C1467" s="29">
        <f>ROUND(Balances[[#This Row],[Total]]*40%,0)</f>
        <v>0</v>
      </c>
      <c r="D1467" s="29">
        <f>ROUND(Balances[[#This Row],[Total]]*20%,0)</f>
        <v>0</v>
      </c>
      <c r="E1467" s="29">
        <f>ROUND(Balances[[#This Row],[Total]]*40%,0)</f>
        <v>0</v>
      </c>
      <c r="F1467" s="18">
        <f>SUM(Acueducto[[#This Row],[Acueducto]:[Aseo]])</f>
        <v>0</v>
      </c>
    </row>
    <row r="1468" spans="1:6" ht="15" x14ac:dyDescent="0.2">
      <c r="A1468" s="7">
        <v>327404</v>
      </c>
      <c r="B1468" s="3" t="s">
        <v>1000</v>
      </c>
      <c r="C1468" s="29">
        <f>ROUND(Balances[[#This Row],[Total]]*40%,0)</f>
        <v>0</v>
      </c>
      <c r="D1468" s="29">
        <f>ROUND(Balances[[#This Row],[Total]]*20%,0)</f>
        <v>0</v>
      </c>
      <c r="E1468" s="29">
        <f>ROUND(Balances[[#This Row],[Total]]*40%,0)</f>
        <v>0</v>
      </c>
      <c r="F1468" s="18">
        <f>SUM(Acueducto[[#This Row],[Acueducto]:[Aseo]])</f>
        <v>0</v>
      </c>
    </row>
    <row r="1469" spans="1:6" ht="15" x14ac:dyDescent="0.2">
      <c r="A1469" s="7">
        <v>327405</v>
      </c>
      <c r="B1469" s="3" t="s">
        <v>1001</v>
      </c>
      <c r="C1469" s="29">
        <f>ROUND(Balances[[#This Row],[Total]]*40%,0)</f>
        <v>0</v>
      </c>
      <c r="D1469" s="29">
        <f>ROUND(Balances[[#This Row],[Total]]*20%,0)</f>
        <v>0</v>
      </c>
      <c r="E1469" s="29">
        <f>ROUND(Balances[[#This Row],[Total]]*40%,0)</f>
        <v>0</v>
      </c>
      <c r="F1469" s="18">
        <f>SUM(Acueducto[[#This Row],[Acueducto]:[Aseo]])</f>
        <v>0</v>
      </c>
    </row>
    <row r="1470" spans="1:6" ht="15" x14ac:dyDescent="0.2">
      <c r="A1470" s="6">
        <v>3275</v>
      </c>
      <c r="B1470" s="2" t="s">
        <v>1002</v>
      </c>
      <c r="C1470" s="28">
        <f>ROUND(Balances[[#This Row],[Total]]*40%,0)</f>
        <v>0</v>
      </c>
      <c r="D1470" s="28">
        <f>ROUND(Balances[[#This Row],[Total]]*20%,0)</f>
        <v>0</v>
      </c>
      <c r="E1470" s="28">
        <f>ROUND(Balances[[#This Row],[Total]]*40%,0)</f>
        <v>0</v>
      </c>
      <c r="F1470" s="17">
        <f>SUM(Acueducto[[#This Row],[Acueducto]:[Aseo]])</f>
        <v>0</v>
      </c>
    </row>
    <row r="1471" spans="1:6" ht="15" x14ac:dyDescent="0.2">
      <c r="A1471" s="7">
        <v>327501</v>
      </c>
      <c r="B1471" s="3" t="s">
        <v>997</v>
      </c>
      <c r="C1471" s="29">
        <f>ROUND(Balances[[#This Row],[Total]]*40%,0)</f>
        <v>0</v>
      </c>
      <c r="D1471" s="29">
        <f>ROUND(Balances[[#This Row],[Total]]*20%,0)</f>
        <v>0</v>
      </c>
      <c r="E1471" s="29">
        <f>ROUND(Balances[[#This Row],[Total]]*40%,0)</f>
        <v>0</v>
      </c>
      <c r="F1471" s="18">
        <f>SUM(Acueducto[[#This Row],[Acueducto]:[Aseo]])</f>
        <v>0</v>
      </c>
    </row>
    <row r="1472" spans="1:6" ht="15" x14ac:dyDescent="0.2">
      <c r="A1472" s="7">
        <v>327502</v>
      </c>
      <c r="B1472" s="3" t="s">
        <v>998</v>
      </c>
      <c r="C1472" s="29">
        <f>ROUND(Balances[[#This Row],[Total]]*40%,0)</f>
        <v>0</v>
      </c>
      <c r="D1472" s="29">
        <f>ROUND(Balances[[#This Row],[Total]]*20%,0)</f>
        <v>0</v>
      </c>
      <c r="E1472" s="29">
        <f>ROUND(Balances[[#This Row],[Total]]*40%,0)</f>
        <v>0</v>
      </c>
      <c r="F1472" s="18">
        <f>SUM(Acueducto[[#This Row],[Acueducto]:[Aseo]])</f>
        <v>0</v>
      </c>
    </row>
    <row r="1473" spans="1:6" ht="15" x14ac:dyDescent="0.2">
      <c r="A1473" s="7">
        <v>327503</v>
      </c>
      <c r="B1473" s="3" t="s">
        <v>999</v>
      </c>
      <c r="C1473" s="29">
        <f>ROUND(Balances[[#This Row],[Total]]*40%,0)</f>
        <v>0</v>
      </c>
      <c r="D1473" s="29">
        <f>ROUND(Balances[[#This Row],[Total]]*20%,0)</f>
        <v>0</v>
      </c>
      <c r="E1473" s="29">
        <f>ROUND(Balances[[#This Row],[Total]]*40%,0)</f>
        <v>0</v>
      </c>
      <c r="F1473" s="18">
        <f>SUM(Acueducto[[#This Row],[Acueducto]:[Aseo]])</f>
        <v>0</v>
      </c>
    </row>
    <row r="1474" spans="1:6" ht="15" x14ac:dyDescent="0.2">
      <c r="A1474" s="7">
        <v>327504</v>
      </c>
      <c r="B1474" s="3" t="s">
        <v>1000</v>
      </c>
      <c r="C1474" s="29">
        <f>ROUND(Balances[[#This Row],[Total]]*40%,0)</f>
        <v>0</v>
      </c>
      <c r="D1474" s="29">
        <f>ROUND(Balances[[#This Row],[Total]]*20%,0)</f>
        <v>0</v>
      </c>
      <c r="E1474" s="29">
        <f>ROUND(Balances[[#This Row],[Total]]*40%,0)</f>
        <v>0</v>
      </c>
      <c r="F1474" s="18">
        <f>SUM(Acueducto[[#This Row],[Acueducto]:[Aseo]])</f>
        <v>0</v>
      </c>
    </row>
    <row r="1475" spans="1:6" ht="15" x14ac:dyDescent="0.2">
      <c r="A1475" s="7">
        <v>327505</v>
      </c>
      <c r="B1475" s="3" t="s">
        <v>1001</v>
      </c>
      <c r="C1475" s="29">
        <f>ROUND(Balances[[#This Row],[Total]]*40%,0)</f>
        <v>0</v>
      </c>
      <c r="D1475" s="29">
        <f>ROUND(Balances[[#This Row],[Total]]*20%,0)</f>
        <v>0</v>
      </c>
      <c r="E1475" s="29">
        <f>ROUND(Balances[[#This Row],[Total]]*40%,0)</f>
        <v>0</v>
      </c>
      <c r="F1475" s="18">
        <f>SUM(Acueducto[[#This Row],[Acueducto]:[Aseo]])</f>
        <v>0</v>
      </c>
    </row>
    <row r="1476" spans="1:6" ht="15" x14ac:dyDescent="0.2">
      <c r="A1476" s="6">
        <v>3276</v>
      </c>
      <c r="B1476" s="2" t="s">
        <v>1003</v>
      </c>
      <c r="C1476" s="28">
        <f>ROUND(Balances[[#This Row],[Total]]*40%,0)</f>
        <v>0</v>
      </c>
      <c r="D1476" s="28">
        <f>ROUND(Balances[[#This Row],[Total]]*20%,0)</f>
        <v>0</v>
      </c>
      <c r="E1476" s="28">
        <f>ROUND(Balances[[#This Row],[Total]]*40%,0)</f>
        <v>0</v>
      </c>
      <c r="F1476" s="17">
        <f>SUM(Acueducto[[#This Row],[Acueducto]:[Aseo]])</f>
        <v>0</v>
      </c>
    </row>
    <row r="1477" spans="1:6" ht="15" x14ac:dyDescent="0.2">
      <c r="A1477" s="7">
        <v>327601</v>
      </c>
      <c r="B1477" s="3" t="s">
        <v>997</v>
      </c>
      <c r="C1477" s="29">
        <f>ROUND(Balances[[#This Row],[Total]]*40%,0)</f>
        <v>0</v>
      </c>
      <c r="D1477" s="29">
        <f>ROUND(Balances[[#This Row],[Total]]*20%,0)</f>
        <v>0</v>
      </c>
      <c r="E1477" s="29">
        <f>ROUND(Balances[[#This Row],[Total]]*40%,0)</f>
        <v>0</v>
      </c>
      <c r="F1477" s="18">
        <f>SUM(Acueducto[[#This Row],[Acueducto]:[Aseo]])</f>
        <v>0</v>
      </c>
    </row>
    <row r="1478" spans="1:6" ht="15" x14ac:dyDescent="0.2">
      <c r="A1478" s="7">
        <v>327602</v>
      </c>
      <c r="B1478" s="3" t="s">
        <v>998</v>
      </c>
      <c r="C1478" s="29">
        <f>ROUND(Balances[[#This Row],[Total]]*40%,0)</f>
        <v>0</v>
      </c>
      <c r="D1478" s="29">
        <f>ROUND(Balances[[#This Row],[Total]]*20%,0)</f>
        <v>0</v>
      </c>
      <c r="E1478" s="29">
        <f>ROUND(Balances[[#This Row],[Total]]*40%,0)</f>
        <v>0</v>
      </c>
      <c r="F1478" s="18">
        <f>SUM(Acueducto[[#This Row],[Acueducto]:[Aseo]])</f>
        <v>0</v>
      </c>
    </row>
    <row r="1479" spans="1:6" ht="15" x14ac:dyDescent="0.2">
      <c r="A1479" s="7">
        <v>327603</v>
      </c>
      <c r="B1479" s="3" t="s">
        <v>999</v>
      </c>
      <c r="C1479" s="29">
        <f>ROUND(Balances[[#This Row],[Total]]*40%,0)</f>
        <v>0</v>
      </c>
      <c r="D1479" s="29">
        <f>ROUND(Balances[[#This Row],[Total]]*20%,0)</f>
        <v>0</v>
      </c>
      <c r="E1479" s="29">
        <f>ROUND(Balances[[#This Row],[Total]]*40%,0)</f>
        <v>0</v>
      </c>
      <c r="F1479" s="18">
        <f>SUM(Acueducto[[#This Row],[Acueducto]:[Aseo]])</f>
        <v>0</v>
      </c>
    </row>
    <row r="1480" spans="1:6" ht="15" x14ac:dyDescent="0.2">
      <c r="A1480" s="7">
        <v>327604</v>
      </c>
      <c r="B1480" s="3" t="s">
        <v>1000</v>
      </c>
      <c r="C1480" s="29">
        <f>ROUND(Balances[[#This Row],[Total]]*40%,0)</f>
        <v>0</v>
      </c>
      <c r="D1480" s="29">
        <f>ROUND(Balances[[#This Row],[Total]]*20%,0)</f>
        <v>0</v>
      </c>
      <c r="E1480" s="29">
        <f>ROUND(Balances[[#This Row],[Total]]*40%,0)</f>
        <v>0</v>
      </c>
      <c r="F1480" s="18">
        <f>SUM(Acueducto[[#This Row],[Acueducto]:[Aseo]])</f>
        <v>0</v>
      </c>
    </row>
    <row r="1481" spans="1:6" ht="15" x14ac:dyDescent="0.2">
      <c r="A1481" s="7">
        <v>327605</v>
      </c>
      <c r="B1481" s="3" t="s">
        <v>1001</v>
      </c>
      <c r="C1481" s="29">
        <f>ROUND(Balances[[#This Row],[Total]]*40%,0)</f>
        <v>0</v>
      </c>
      <c r="D1481" s="29">
        <f>ROUND(Balances[[#This Row],[Total]]*20%,0)</f>
        <v>0</v>
      </c>
      <c r="E1481" s="29">
        <f>ROUND(Balances[[#This Row],[Total]]*40%,0)</f>
        <v>0</v>
      </c>
      <c r="F1481" s="18">
        <f>SUM(Acueducto[[#This Row],[Acueducto]:[Aseo]])</f>
        <v>0</v>
      </c>
    </row>
    <row r="1482" spans="1:6" ht="15" x14ac:dyDescent="0.2">
      <c r="A1482" s="6">
        <v>3280</v>
      </c>
      <c r="B1482" s="2" t="s">
        <v>1004</v>
      </c>
      <c r="C1482" s="28">
        <f>ROUND(Balances[[#This Row],[Total]]*40%,0)</f>
        <v>0</v>
      </c>
      <c r="D1482" s="28">
        <f>ROUND(Balances[[#This Row],[Total]]*20%,0)</f>
        <v>0</v>
      </c>
      <c r="E1482" s="28">
        <f>ROUND(Balances[[#This Row],[Total]]*40%,0)</f>
        <v>0</v>
      </c>
      <c r="F1482" s="17">
        <f>SUM(Acueducto[[#This Row],[Acueducto]:[Aseo]])</f>
        <v>0</v>
      </c>
    </row>
    <row r="1483" spans="1:6" ht="15" x14ac:dyDescent="0.2">
      <c r="A1483" s="7">
        <v>328001</v>
      </c>
      <c r="B1483" s="3" t="s">
        <v>1005</v>
      </c>
      <c r="C1483" s="29">
        <f>ROUND(Balances[[#This Row],[Total]]*40%,0)</f>
        <v>0</v>
      </c>
      <c r="D1483" s="29">
        <f>ROUND(Balances[[#This Row],[Total]]*20%,0)</f>
        <v>0</v>
      </c>
      <c r="E1483" s="29">
        <f>ROUND(Balances[[#This Row],[Total]]*40%,0)</f>
        <v>0</v>
      </c>
      <c r="F1483" s="18">
        <f>SUM(Acueducto[[#This Row],[Acueducto]:[Aseo]])</f>
        <v>0</v>
      </c>
    </row>
    <row r="1484" spans="1:6" ht="15" x14ac:dyDescent="0.2">
      <c r="A1484" s="7">
        <v>328003</v>
      </c>
      <c r="B1484" s="3" t="s">
        <v>1006</v>
      </c>
      <c r="C1484" s="29">
        <f>ROUND(Balances[[#This Row],[Total]]*40%,0)</f>
        <v>0</v>
      </c>
      <c r="D1484" s="29">
        <f>ROUND(Balances[[#This Row],[Total]]*20%,0)</f>
        <v>0</v>
      </c>
      <c r="E1484" s="29">
        <f>ROUND(Balances[[#This Row],[Total]]*40%,0)</f>
        <v>0</v>
      </c>
      <c r="F1484" s="18">
        <f>SUM(Acueducto[[#This Row],[Acueducto]:[Aseo]])</f>
        <v>0</v>
      </c>
    </row>
    <row r="1485" spans="1:6" ht="15" x14ac:dyDescent="0.2">
      <c r="A1485" s="6">
        <v>3281</v>
      </c>
      <c r="B1485" s="2" t="s">
        <v>1007</v>
      </c>
      <c r="C1485" s="28">
        <f>ROUND(Balances[[#This Row],[Total]]*40%,0)</f>
        <v>0</v>
      </c>
      <c r="D1485" s="28">
        <f>ROUND(Balances[[#This Row],[Total]]*20%,0)</f>
        <v>0</v>
      </c>
      <c r="E1485" s="28">
        <f>ROUND(Balances[[#This Row],[Total]]*40%,0)</f>
        <v>0</v>
      </c>
      <c r="F1485" s="17">
        <f>SUM(Acueducto[[#This Row],[Acueducto]:[Aseo]])</f>
        <v>0</v>
      </c>
    </row>
    <row r="1486" spans="1:6" ht="15" x14ac:dyDescent="0.2">
      <c r="A1486" s="7">
        <v>328101</v>
      </c>
      <c r="B1486" s="3" t="s">
        <v>1008</v>
      </c>
      <c r="C1486" s="29">
        <f>ROUND(Balances[[#This Row],[Total]]*40%,0)</f>
        <v>0</v>
      </c>
      <c r="D1486" s="29">
        <f>ROUND(Balances[[#This Row],[Total]]*20%,0)</f>
        <v>0</v>
      </c>
      <c r="E1486" s="29">
        <f>ROUND(Balances[[#This Row],[Total]]*40%,0)</f>
        <v>0</v>
      </c>
      <c r="F1486" s="18">
        <f>SUM(Acueducto[[#This Row],[Acueducto]:[Aseo]])</f>
        <v>0</v>
      </c>
    </row>
    <row r="1487" spans="1:6" ht="15" x14ac:dyDescent="0.2">
      <c r="A1487" s="6">
        <v>4</v>
      </c>
      <c r="B1487" s="2" t="s">
        <v>1009</v>
      </c>
      <c r="C1487" s="28">
        <f>ROUND(Balances[[#This Row],[Total]]*40%,0)</f>
        <v>153745561</v>
      </c>
      <c r="D1487" s="28">
        <f>ROUND(Balances[[#This Row],[Total]]*20%,0)</f>
        <v>76872781</v>
      </c>
      <c r="E1487" s="28">
        <f>ROUND(Balances[[#This Row],[Total]]*40%,0)</f>
        <v>153745561</v>
      </c>
      <c r="F1487" s="28">
        <f>SUM(Acueducto[[#This Row],[Acueducto]:[Aseo]])</f>
        <v>384363903</v>
      </c>
    </row>
    <row r="1488" spans="1:6" ht="15" x14ac:dyDescent="0.2">
      <c r="A1488" s="6">
        <v>41</v>
      </c>
      <c r="B1488" s="2" t="s">
        <v>1010</v>
      </c>
      <c r="C1488" s="28">
        <f>ROUND(Balances[[#This Row],[Total]]*40%,0)</f>
        <v>0</v>
      </c>
      <c r="D1488" s="28">
        <f>ROUND(Balances[[#This Row],[Total]]*20%,0)</f>
        <v>0</v>
      </c>
      <c r="E1488" s="28">
        <f>ROUND(Balances[[#This Row],[Total]]*40%,0)</f>
        <v>0</v>
      </c>
      <c r="F1488" s="17">
        <f>SUM(Acueducto[[#This Row],[Acueducto]:[Aseo]])</f>
        <v>0</v>
      </c>
    </row>
    <row r="1489" spans="1:6" ht="15" x14ac:dyDescent="0.2">
      <c r="A1489" s="6">
        <v>4110</v>
      </c>
      <c r="B1489" s="2" t="s">
        <v>110</v>
      </c>
      <c r="C1489" s="28">
        <f>ROUND(Balances[[#This Row],[Total]]*40%,0)</f>
        <v>0</v>
      </c>
      <c r="D1489" s="28">
        <f>ROUND(Balances[[#This Row],[Total]]*20%,0)</f>
        <v>0</v>
      </c>
      <c r="E1489" s="28">
        <f>ROUND(Balances[[#This Row],[Total]]*40%,0)</f>
        <v>0</v>
      </c>
      <c r="F1489" s="17">
        <f>SUM(Acueducto[[#This Row],[Acueducto]:[Aseo]])</f>
        <v>0</v>
      </c>
    </row>
    <row r="1490" spans="1:6" ht="15" x14ac:dyDescent="0.2">
      <c r="A1490" s="7">
        <v>411002</v>
      </c>
      <c r="B1490" s="3" t="s">
        <v>111</v>
      </c>
      <c r="C1490" s="29">
        <f>ROUND(Balances[[#This Row],[Total]]*40%,0)</f>
        <v>0</v>
      </c>
      <c r="D1490" s="29">
        <f>ROUND(Balances[[#This Row],[Total]]*20%,0)</f>
        <v>0</v>
      </c>
      <c r="E1490" s="29">
        <f>ROUND(Balances[[#This Row],[Total]]*40%,0)</f>
        <v>0</v>
      </c>
      <c r="F1490" s="18">
        <f>SUM(Acueducto[[#This Row],[Acueducto]:[Aseo]])</f>
        <v>0</v>
      </c>
    </row>
    <row r="1491" spans="1:6" ht="15" x14ac:dyDescent="0.2">
      <c r="A1491" s="7">
        <v>411004</v>
      </c>
      <c r="B1491" s="3" t="s">
        <v>112</v>
      </c>
      <c r="C1491" s="29">
        <f>ROUND(Balances[[#This Row],[Total]]*40%,0)</f>
        <v>0</v>
      </c>
      <c r="D1491" s="29">
        <f>ROUND(Balances[[#This Row],[Total]]*20%,0)</f>
        <v>0</v>
      </c>
      <c r="E1491" s="29">
        <f>ROUND(Balances[[#This Row],[Total]]*40%,0)</f>
        <v>0</v>
      </c>
      <c r="F1491" s="18">
        <f>SUM(Acueducto[[#This Row],[Acueducto]:[Aseo]])</f>
        <v>0</v>
      </c>
    </row>
    <row r="1492" spans="1:6" ht="15" x14ac:dyDescent="0.2">
      <c r="A1492" s="7">
        <v>411027</v>
      </c>
      <c r="B1492" s="3" t="s">
        <v>113</v>
      </c>
      <c r="C1492" s="29">
        <f>ROUND(Balances[[#This Row],[Total]]*40%,0)</f>
        <v>0</v>
      </c>
      <c r="D1492" s="29">
        <f>ROUND(Balances[[#This Row],[Total]]*20%,0)</f>
        <v>0</v>
      </c>
      <c r="E1492" s="29">
        <f>ROUND(Balances[[#This Row],[Total]]*40%,0)</f>
        <v>0</v>
      </c>
      <c r="F1492" s="18">
        <f>SUM(Acueducto[[#This Row],[Acueducto]:[Aseo]])</f>
        <v>0</v>
      </c>
    </row>
    <row r="1493" spans="1:6" ht="15" x14ac:dyDescent="0.2">
      <c r="A1493" s="7">
        <v>411045</v>
      </c>
      <c r="B1493" s="3" t="s">
        <v>114</v>
      </c>
      <c r="C1493" s="29">
        <f>ROUND(Balances[[#This Row],[Total]]*40%,0)</f>
        <v>0</v>
      </c>
      <c r="D1493" s="29">
        <f>ROUND(Balances[[#This Row],[Total]]*20%,0)</f>
        <v>0</v>
      </c>
      <c r="E1493" s="29">
        <f>ROUND(Balances[[#This Row],[Total]]*40%,0)</f>
        <v>0</v>
      </c>
      <c r="F1493" s="18">
        <f>SUM(Acueducto[[#This Row],[Acueducto]:[Aseo]])</f>
        <v>0</v>
      </c>
    </row>
    <row r="1494" spans="1:6" ht="15" x14ac:dyDescent="0.2">
      <c r="A1494" s="6">
        <v>4195</v>
      </c>
      <c r="B1494" s="2" t="s">
        <v>1011</v>
      </c>
      <c r="C1494" s="28">
        <f>ROUND(Balances[[#This Row],[Total]]*40%,0)</f>
        <v>0</v>
      </c>
      <c r="D1494" s="28">
        <f>ROUND(Balances[[#This Row],[Total]]*20%,0)</f>
        <v>0</v>
      </c>
      <c r="E1494" s="28">
        <f>ROUND(Balances[[#This Row],[Total]]*40%,0)</f>
        <v>0</v>
      </c>
      <c r="F1494" s="17">
        <f>SUM(Acueducto[[#This Row],[Acueducto]:[Aseo]])</f>
        <v>0</v>
      </c>
    </row>
    <row r="1495" spans="1:6" ht="15" x14ac:dyDescent="0.2">
      <c r="A1495" s="7">
        <v>419502</v>
      </c>
      <c r="B1495" s="3" t="s">
        <v>267</v>
      </c>
      <c r="C1495" s="29">
        <f>ROUND(Balances[[#This Row],[Total]]*40%,0)</f>
        <v>0</v>
      </c>
      <c r="D1495" s="29">
        <f>ROUND(Balances[[#This Row],[Total]]*20%,0)</f>
        <v>0</v>
      </c>
      <c r="E1495" s="29">
        <f>ROUND(Balances[[#This Row],[Total]]*40%,0)</f>
        <v>0</v>
      </c>
      <c r="F1495" s="18">
        <f>SUM(Acueducto[[#This Row],[Acueducto]:[Aseo]])</f>
        <v>0</v>
      </c>
    </row>
    <row r="1496" spans="1:6" ht="15" x14ac:dyDescent="0.2">
      <c r="A1496" s="6">
        <v>42</v>
      </c>
      <c r="B1496" s="2" t="s">
        <v>115</v>
      </c>
      <c r="C1496" s="28">
        <f>ROUND(Balances[[#This Row],[Total]]*40%,0)</f>
        <v>0</v>
      </c>
      <c r="D1496" s="28">
        <f>ROUND(Balances[[#This Row],[Total]]*20%,0)</f>
        <v>0</v>
      </c>
      <c r="E1496" s="28">
        <f>ROUND(Balances[[#This Row],[Total]]*40%,0)</f>
        <v>0</v>
      </c>
      <c r="F1496" s="17">
        <f>SUM(Acueducto[[#This Row],[Acueducto]:[Aseo]])</f>
        <v>0</v>
      </c>
    </row>
    <row r="1497" spans="1:6" ht="15" x14ac:dyDescent="0.2">
      <c r="A1497" s="6">
        <v>4201</v>
      </c>
      <c r="B1497" s="2" t="s">
        <v>1012</v>
      </c>
      <c r="C1497" s="28">
        <f>ROUND(Balances[[#This Row],[Total]]*40%,0)</f>
        <v>0</v>
      </c>
      <c r="D1497" s="28">
        <f>ROUND(Balances[[#This Row],[Total]]*20%,0)</f>
        <v>0</v>
      </c>
      <c r="E1497" s="28">
        <f>ROUND(Balances[[#This Row],[Total]]*40%,0)</f>
        <v>0</v>
      </c>
      <c r="F1497" s="17">
        <f>SUM(Acueducto[[#This Row],[Acueducto]:[Aseo]])</f>
        <v>0</v>
      </c>
    </row>
    <row r="1498" spans="1:6" ht="15" x14ac:dyDescent="0.2">
      <c r="A1498" s="7">
        <v>420101</v>
      </c>
      <c r="B1498" s="3" t="s">
        <v>1013</v>
      </c>
      <c r="C1498" s="29">
        <f>ROUND(Balances[[#This Row],[Total]]*40%,0)</f>
        <v>0</v>
      </c>
      <c r="D1498" s="29">
        <f>ROUND(Balances[[#This Row],[Total]]*20%,0)</f>
        <v>0</v>
      </c>
      <c r="E1498" s="29">
        <f>ROUND(Balances[[#This Row],[Total]]*40%,0)</f>
        <v>0</v>
      </c>
      <c r="F1498" s="18">
        <f>SUM(Acueducto[[#This Row],[Acueducto]:[Aseo]])</f>
        <v>0</v>
      </c>
    </row>
    <row r="1499" spans="1:6" ht="15" x14ac:dyDescent="0.2">
      <c r="A1499" s="7">
        <v>420102</v>
      </c>
      <c r="B1499" s="3" t="s">
        <v>1014</v>
      </c>
      <c r="C1499" s="29">
        <f>ROUND(Balances[[#This Row],[Total]]*40%,0)</f>
        <v>0</v>
      </c>
      <c r="D1499" s="29">
        <f>ROUND(Balances[[#This Row],[Total]]*20%,0)</f>
        <v>0</v>
      </c>
      <c r="E1499" s="29">
        <f>ROUND(Balances[[#This Row],[Total]]*40%,0)</f>
        <v>0</v>
      </c>
      <c r="F1499" s="18">
        <f>SUM(Acueducto[[#This Row],[Acueducto]:[Aseo]])</f>
        <v>0</v>
      </c>
    </row>
    <row r="1500" spans="1:6" ht="15" x14ac:dyDescent="0.2">
      <c r="A1500" s="7">
        <v>420103</v>
      </c>
      <c r="B1500" s="3" t="s">
        <v>1015</v>
      </c>
      <c r="C1500" s="29">
        <f>ROUND(Balances[[#This Row],[Total]]*40%,0)</f>
        <v>0</v>
      </c>
      <c r="D1500" s="29">
        <f>ROUND(Balances[[#This Row],[Total]]*20%,0)</f>
        <v>0</v>
      </c>
      <c r="E1500" s="29">
        <f>ROUND(Balances[[#This Row],[Total]]*40%,0)</f>
        <v>0</v>
      </c>
      <c r="F1500" s="18">
        <f>SUM(Acueducto[[#This Row],[Acueducto]:[Aseo]])</f>
        <v>0</v>
      </c>
    </row>
    <row r="1501" spans="1:6" ht="15" x14ac:dyDescent="0.2">
      <c r="A1501" s="7">
        <v>420104</v>
      </c>
      <c r="B1501" s="3" t="s">
        <v>307</v>
      </c>
      <c r="C1501" s="29">
        <f>ROUND(Balances[[#This Row],[Total]]*40%,0)</f>
        <v>0</v>
      </c>
      <c r="D1501" s="29">
        <f>ROUND(Balances[[#This Row],[Total]]*20%,0)</f>
        <v>0</v>
      </c>
      <c r="E1501" s="29">
        <f>ROUND(Balances[[#This Row],[Total]]*40%,0)</f>
        <v>0</v>
      </c>
      <c r="F1501" s="18">
        <f>SUM(Acueducto[[#This Row],[Acueducto]:[Aseo]])</f>
        <v>0</v>
      </c>
    </row>
    <row r="1502" spans="1:6" ht="15" x14ac:dyDescent="0.2">
      <c r="A1502" s="7">
        <v>420105</v>
      </c>
      <c r="B1502" s="3" t="s">
        <v>1016</v>
      </c>
      <c r="C1502" s="29">
        <f>ROUND(Balances[[#This Row],[Total]]*40%,0)</f>
        <v>0</v>
      </c>
      <c r="D1502" s="29">
        <f>ROUND(Balances[[#This Row],[Total]]*20%,0)</f>
        <v>0</v>
      </c>
      <c r="E1502" s="29">
        <f>ROUND(Balances[[#This Row],[Total]]*40%,0)</f>
        <v>0</v>
      </c>
      <c r="F1502" s="18">
        <f>SUM(Acueducto[[#This Row],[Acueducto]:[Aseo]])</f>
        <v>0</v>
      </c>
    </row>
    <row r="1503" spans="1:6" ht="15" x14ac:dyDescent="0.2">
      <c r="A1503" s="7">
        <v>420106</v>
      </c>
      <c r="B1503" s="3" t="s">
        <v>1017</v>
      </c>
      <c r="C1503" s="29">
        <f>ROUND(Balances[[#This Row],[Total]]*40%,0)</f>
        <v>0</v>
      </c>
      <c r="D1503" s="29">
        <f>ROUND(Balances[[#This Row],[Total]]*20%,0)</f>
        <v>0</v>
      </c>
      <c r="E1503" s="29">
        <f>ROUND(Balances[[#This Row],[Total]]*40%,0)</f>
        <v>0</v>
      </c>
      <c r="F1503" s="18">
        <f>SUM(Acueducto[[#This Row],[Acueducto]:[Aseo]])</f>
        <v>0</v>
      </c>
    </row>
    <row r="1504" spans="1:6" ht="15" x14ac:dyDescent="0.2">
      <c r="A1504" s="7">
        <v>420190</v>
      </c>
      <c r="B1504" s="3" t="s">
        <v>1018</v>
      </c>
      <c r="C1504" s="29">
        <f>ROUND(Balances[[#This Row],[Total]]*40%,0)</f>
        <v>0</v>
      </c>
      <c r="D1504" s="29">
        <f>ROUND(Balances[[#This Row],[Total]]*20%,0)</f>
        <v>0</v>
      </c>
      <c r="E1504" s="29">
        <f>ROUND(Balances[[#This Row],[Total]]*40%,0)</f>
        <v>0</v>
      </c>
      <c r="F1504" s="18">
        <f>SUM(Acueducto[[#This Row],[Acueducto]:[Aseo]])</f>
        <v>0</v>
      </c>
    </row>
    <row r="1505" spans="1:6" ht="15" x14ac:dyDescent="0.2">
      <c r="A1505" s="6">
        <v>4202</v>
      </c>
      <c r="B1505" s="2" t="s">
        <v>1019</v>
      </c>
      <c r="C1505" s="28">
        <f>ROUND(Balances[[#This Row],[Total]]*40%,0)</f>
        <v>0</v>
      </c>
      <c r="D1505" s="28">
        <f>ROUND(Balances[[#This Row],[Total]]*20%,0)</f>
        <v>0</v>
      </c>
      <c r="E1505" s="28">
        <f>ROUND(Balances[[#This Row],[Total]]*40%,0)</f>
        <v>0</v>
      </c>
      <c r="F1505" s="17">
        <f>SUM(Acueducto[[#This Row],[Acueducto]:[Aseo]])</f>
        <v>0</v>
      </c>
    </row>
    <row r="1506" spans="1:6" ht="15" x14ac:dyDescent="0.2">
      <c r="A1506" s="7">
        <v>420290</v>
      </c>
      <c r="B1506" s="3" t="s">
        <v>1020</v>
      </c>
      <c r="C1506" s="29">
        <f>ROUND(Balances[[#This Row],[Total]]*40%,0)</f>
        <v>0</v>
      </c>
      <c r="D1506" s="29">
        <f>ROUND(Balances[[#This Row],[Total]]*20%,0)</f>
        <v>0</v>
      </c>
      <c r="E1506" s="29">
        <f>ROUND(Balances[[#This Row],[Total]]*40%,0)</f>
        <v>0</v>
      </c>
      <c r="F1506" s="18">
        <f>SUM(Acueducto[[#This Row],[Acueducto]:[Aseo]])</f>
        <v>0</v>
      </c>
    </row>
    <row r="1507" spans="1:6" ht="15" x14ac:dyDescent="0.2">
      <c r="A1507" s="6">
        <v>4203</v>
      </c>
      <c r="B1507" s="2" t="s">
        <v>1021</v>
      </c>
      <c r="C1507" s="28">
        <f>ROUND(Balances[[#This Row],[Total]]*40%,0)</f>
        <v>0</v>
      </c>
      <c r="D1507" s="28">
        <f>ROUND(Balances[[#This Row],[Total]]*20%,0)</f>
        <v>0</v>
      </c>
      <c r="E1507" s="28">
        <f>ROUND(Balances[[#This Row],[Total]]*40%,0)</f>
        <v>0</v>
      </c>
      <c r="F1507" s="17">
        <f>SUM(Acueducto[[#This Row],[Acueducto]:[Aseo]])</f>
        <v>0</v>
      </c>
    </row>
    <row r="1508" spans="1:6" ht="15" x14ac:dyDescent="0.2">
      <c r="A1508" s="7">
        <v>420301</v>
      </c>
      <c r="B1508" s="3" t="s">
        <v>294</v>
      </c>
      <c r="C1508" s="29">
        <f>ROUND(Balances[[#This Row],[Total]]*40%,0)</f>
        <v>0</v>
      </c>
      <c r="D1508" s="29">
        <f>ROUND(Balances[[#This Row],[Total]]*20%,0)</f>
        <v>0</v>
      </c>
      <c r="E1508" s="29">
        <f>ROUND(Balances[[#This Row],[Total]]*40%,0)</f>
        <v>0</v>
      </c>
      <c r="F1508" s="18">
        <f>SUM(Acueducto[[#This Row],[Acueducto]:[Aseo]])</f>
        <v>0</v>
      </c>
    </row>
    <row r="1509" spans="1:6" ht="15" x14ac:dyDescent="0.2">
      <c r="A1509" s="7">
        <v>420302</v>
      </c>
      <c r="B1509" s="3" t="s">
        <v>298</v>
      </c>
      <c r="C1509" s="29">
        <f>ROUND(Balances[[#This Row],[Total]]*40%,0)</f>
        <v>0</v>
      </c>
      <c r="D1509" s="29">
        <f>ROUND(Balances[[#This Row],[Total]]*20%,0)</f>
        <v>0</v>
      </c>
      <c r="E1509" s="29">
        <f>ROUND(Balances[[#This Row],[Total]]*40%,0)</f>
        <v>0</v>
      </c>
      <c r="F1509" s="18">
        <f>SUM(Acueducto[[#This Row],[Acueducto]:[Aseo]])</f>
        <v>0</v>
      </c>
    </row>
    <row r="1510" spans="1:6" ht="15" x14ac:dyDescent="0.2">
      <c r="A1510" s="6">
        <v>4204</v>
      </c>
      <c r="B1510" s="2" t="s">
        <v>1022</v>
      </c>
      <c r="C1510" s="28">
        <f>ROUND(Balances[[#This Row],[Total]]*40%,0)</f>
        <v>0</v>
      </c>
      <c r="D1510" s="28">
        <f>ROUND(Balances[[#This Row],[Total]]*20%,0)</f>
        <v>0</v>
      </c>
      <c r="E1510" s="28">
        <f>ROUND(Balances[[#This Row],[Total]]*40%,0)</f>
        <v>0</v>
      </c>
      <c r="F1510" s="17">
        <f>SUM(Acueducto[[#This Row],[Acueducto]:[Aseo]])</f>
        <v>0</v>
      </c>
    </row>
    <row r="1511" spans="1:6" ht="15" x14ac:dyDescent="0.2">
      <c r="A1511" s="7">
        <v>420401</v>
      </c>
      <c r="B1511" s="3" t="s">
        <v>293</v>
      </c>
      <c r="C1511" s="29">
        <f>ROUND(Balances[[#This Row],[Total]]*40%,0)</f>
        <v>0</v>
      </c>
      <c r="D1511" s="29">
        <f>ROUND(Balances[[#This Row],[Total]]*20%,0)</f>
        <v>0</v>
      </c>
      <c r="E1511" s="29">
        <f>ROUND(Balances[[#This Row],[Total]]*40%,0)</f>
        <v>0</v>
      </c>
      <c r="F1511" s="18">
        <f>SUM(Acueducto[[#This Row],[Acueducto]:[Aseo]])</f>
        <v>0</v>
      </c>
    </row>
    <row r="1512" spans="1:6" ht="15" x14ac:dyDescent="0.2">
      <c r="A1512" s="7">
        <v>420405</v>
      </c>
      <c r="B1512" s="3" t="s">
        <v>295</v>
      </c>
      <c r="C1512" s="29">
        <f>ROUND(Balances[[#This Row],[Total]]*40%,0)</f>
        <v>0</v>
      </c>
      <c r="D1512" s="29">
        <f>ROUND(Balances[[#This Row],[Total]]*20%,0)</f>
        <v>0</v>
      </c>
      <c r="E1512" s="29">
        <f>ROUND(Balances[[#This Row],[Total]]*40%,0)</f>
        <v>0</v>
      </c>
      <c r="F1512" s="18">
        <f>SUM(Acueducto[[#This Row],[Acueducto]:[Aseo]])</f>
        <v>0</v>
      </c>
    </row>
    <row r="1513" spans="1:6" ht="15" x14ac:dyDescent="0.2">
      <c r="A1513" s="7">
        <v>420406</v>
      </c>
      <c r="B1513" s="3" t="s">
        <v>296</v>
      </c>
      <c r="C1513" s="29">
        <f>ROUND(Balances[[#This Row],[Total]]*40%,0)</f>
        <v>0</v>
      </c>
      <c r="D1513" s="29">
        <f>ROUND(Balances[[#This Row],[Total]]*20%,0)</f>
        <v>0</v>
      </c>
      <c r="E1513" s="29">
        <f>ROUND(Balances[[#This Row],[Total]]*40%,0)</f>
        <v>0</v>
      </c>
      <c r="F1513" s="18">
        <f>SUM(Acueducto[[#This Row],[Acueducto]:[Aseo]])</f>
        <v>0</v>
      </c>
    </row>
    <row r="1514" spans="1:6" ht="15" x14ac:dyDescent="0.2">
      <c r="A1514" s="7">
        <v>420407</v>
      </c>
      <c r="B1514" s="3" t="s">
        <v>300</v>
      </c>
      <c r="C1514" s="29">
        <f>ROUND(Balances[[#This Row],[Total]]*40%,0)</f>
        <v>0</v>
      </c>
      <c r="D1514" s="29">
        <f>ROUND(Balances[[#This Row],[Total]]*20%,0)</f>
        <v>0</v>
      </c>
      <c r="E1514" s="29">
        <f>ROUND(Balances[[#This Row],[Total]]*40%,0)</f>
        <v>0</v>
      </c>
      <c r="F1514" s="18">
        <f>SUM(Acueducto[[#This Row],[Acueducto]:[Aseo]])</f>
        <v>0</v>
      </c>
    </row>
    <row r="1515" spans="1:6" ht="15" x14ac:dyDescent="0.2">
      <c r="A1515" s="7">
        <v>420409</v>
      </c>
      <c r="B1515" s="3" t="s">
        <v>297</v>
      </c>
      <c r="C1515" s="29">
        <f>ROUND(Balances[[#This Row],[Total]]*40%,0)</f>
        <v>0</v>
      </c>
      <c r="D1515" s="29">
        <f>ROUND(Balances[[#This Row],[Total]]*20%,0)</f>
        <v>0</v>
      </c>
      <c r="E1515" s="29">
        <f>ROUND(Balances[[#This Row],[Total]]*40%,0)</f>
        <v>0</v>
      </c>
      <c r="F1515" s="18">
        <f>SUM(Acueducto[[#This Row],[Acueducto]:[Aseo]])</f>
        <v>0</v>
      </c>
    </row>
    <row r="1516" spans="1:6" ht="15" x14ac:dyDescent="0.2">
      <c r="A1516" s="7">
        <v>420410</v>
      </c>
      <c r="B1516" s="3" t="s">
        <v>301</v>
      </c>
      <c r="C1516" s="29">
        <f>ROUND(Balances[[#This Row],[Total]]*40%,0)</f>
        <v>0</v>
      </c>
      <c r="D1516" s="29">
        <f>ROUND(Balances[[#This Row],[Total]]*20%,0)</f>
        <v>0</v>
      </c>
      <c r="E1516" s="29">
        <f>ROUND(Balances[[#This Row],[Total]]*40%,0)</f>
        <v>0</v>
      </c>
      <c r="F1516" s="18">
        <f>SUM(Acueducto[[#This Row],[Acueducto]:[Aseo]])</f>
        <v>0</v>
      </c>
    </row>
    <row r="1517" spans="1:6" ht="15" x14ac:dyDescent="0.2">
      <c r="A1517" s="7">
        <v>420411</v>
      </c>
      <c r="B1517" s="3" t="s">
        <v>299</v>
      </c>
      <c r="C1517" s="29">
        <f>ROUND(Balances[[#This Row],[Total]]*40%,0)</f>
        <v>0</v>
      </c>
      <c r="D1517" s="29">
        <f>ROUND(Balances[[#This Row],[Total]]*20%,0)</f>
        <v>0</v>
      </c>
      <c r="E1517" s="29">
        <f>ROUND(Balances[[#This Row],[Total]]*40%,0)</f>
        <v>0</v>
      </c>
      <c r="F1517" s="18">
        <f>SUM(Acueducto[[#This Row],[Acueducto]:[Aseo]])</f>
        <v>0</v>
      </c>
    </row>
    <row r="1518" spans="1:6" ht="15" x14ac:dyDescent="0.2">
      <c r="A1518" s="7">
        <v>420412</v>
      </c>
      <c r="B1518" s="3" t="s">
        <v>302</v>
      </c>
      <c r="C1518" s="29">
        <f>ROUND(Balances[[#This Row],[Total]]*40%,0)</f>
        <v>0</v>
      </c>
      <c r="D1518" s="29">
        <f>ROUND(Balances[[#This Row],[Total]]*20%,0)</f>
        <v>0</v>
      </c>
      <c r="E1518" s="29">
        <f>ROUND(Balances[[#This Row],[Total]]*40%,0)</f>
        <v>0</v>
      </c>
      <c r="F1518" s="18">
        <f>SUM(Acueducto[[#This Row],[Acueducto]:[Aseo]])</f>
        <v>0</v>
      </c>
    </row>
    <row r="1519" spans="1:6" ht="15" x14ac:dyDescent="0.2">
      <c r="A1519" s="7">
        <v>420415</v>
      </c>
      <c r="B1519" s="3" t="s">
        <v>303</v>
      </c>
      <c r="C1519" s="29">
        <f>ROUND(Balances[[#This Row],[Total]]*40%,0)</f>
        <v>0</v>
      </c>
      <c r="D1519" s="29">
        <f>ROUND(Balances[[#This Row],[Total]]*20%,0)</f>
        <v>0</v>
      </c>
      <c r="E1519" s="29">
        <f>ROUND(Balances[[#This Row],[Total]]*40%,0)</f>
        <v>0</v>
      </c>
      <c r="F1519" s="18">
        <f>SUM(Acueducto[[#This Row],[Acueducto]:[Aseo]])</f>
        <v>0</v>
      </c>
    </row>
    <row r="1520" spans="1:6" ht="15" x14ac:dyDescent="0.2">
      <c r="A1520" s="7">
        <v>420416</v>
      </c>
      <c r="B1520" s="3" t="s">
        <v>116</v>
      </c>
      <c r="C1520" s="29">
        <f>ROUND(Balances[[#This Row],[Total]]*40%,0)</f>
        <v>0</v>
      </c>
      <c r="D1520" s="29">
        <f>ROUND(Balances[[#This Row],[Total]]*20%,0)</f>
        <v>0</v>
      </c>
      <c r="E1520" s="29">
        <f>ROUND(Balances[[#This Row],[Total]]*40%,0)</f>
        <v>0</v>
      </c>
      <c r="F1520" s="18">
        <f>SUM(Acueducto[[#This Row],[Acueducto]:[Aseo]])</f>
        <v>0</v>
      </c>
    </row>
    <row r="1521" spans="1:6" ht="15" x14ac:dyDescent="0.2">
      <c r="A1521" s="7">
        <v>420490</v>
      </c>
      <c r="B1521" s="3" t="s">
        <v>1023</v>
      </c>
      <c r="C1521" s="29">
        <f>ROUND(Balances[[#This Row],[Total]]*40%,0)</f>
        <v>0</v>
      </c>
      <c r="D1521" s="29">
        <f>ROUND(Balances[[#This Row],[Total]]*20%,0)</f>
        <v>0</v>
      </c>
      <c r="E1521" s="29">
        <f>ROUND(Balances[[#This Row],[Total]]*40%,0)</f>
        <v>0</v>
      </c>
      <c r="F1521" s="18">
        <f>SUM(Acueducto[[#This Row],[Acueducto]:[Aseo]])</f>
        <v>0</v>
      </c>
    </row>
    <row r="1522" spans="1:6" ht="15" x14ac:dyDescent="0.2">
      <c r="A1522" s="6">
        <v>4206</v>
      </c>
      <c r="B1522" s="2" t="s">
        <v>1024</v>
      </c>
      <c r="C1522" s="28">
        <f>ROUND(Balances[[#This Row],[Total]]*40%,0)</f>
        <v>0</v>
      </c>
      <c r="D1522" s="28">
        <f>ROUND(Balances[[#This Row],[Total]]*20%,0)</f>
        <v>0</v>
      </c>
      <c r="E1522" s="28">
        <f>ROUND(Balances[[#This Row],[Total]]*40%,0)</f>
        <v>0</v>
      </c>
      <c r="F1522" s="17">
        <f>SUM(Acueducto[[#This Row],[Acueducto]:[Aseo]])</f>
        <v>0</v>
      </c>
    </row>
    <row r="1523" spans="1:6" ht="15" x14ac:dyDescent="0.2">
      <c r="A1523" s="7">
        <v>420604</v>
      </c>
      <c r="B1523" s="3" t="s">
        <v>385</v>
      </c>
      <c r="C1523" s="29">
        <f>ROUND(Balances[[#This Row],[Total]]*40%,0)</f>
        <v>0</v>
      </c>
      <c r="D1523" s="29">
        <f>ROUND(Balances[[#This Row],[Total]]*20%,0)</f>
        <v>0</v>
      </c>
      <c r="E1523" s="29">
        <f>ROUND(Balances[[#This Row],[Total]]*40%,0)</f>
        <v>0</v>
      </c>
      <c r="F1523" s="18">
        <f>SUM(Acueducto[[#This Row],[Acueducto]:[Aseo]])</f>
        <v>0</v>
      </c>
    </row>
    <row r="1524" spans="1:6" ht="15" x14ac:dyDescent="0.2">
      <c r="A1524" s="7">
        <v>420690</v>
      </c>
      <c r="B1524" s="3" t="s">
        <v>1025</v>
      </c>
      <c r="C1524" s="29">
        <f>ROUND(Balances[[#This Row],[Total]]*40%,0)</f>
        <v>0</v>
      </c>
      <c r="D1524" s="29">
        <f>ROUND(Balances[[#This Row],[Total]]*20%,0)</f>
        <v>0</v>
      </c>
      <c r="E1524" s="29">
        <f>ROUND(Balances[[#This Row],[Total]]*40%,0)</f>
        <v>0</v>
      </c>
      <c r="F1524" s="18">
        <f>SUM(Acueducto[[#This Row],[Acueducto]:[Aseo]])</f>
        <v>0</v>
      </c>
    </row>
    <row r="1525" spans="1:6" ht="15" x14ac:dyDescent="0.2">
      <c r="A1525" s="6">
        <v>4210</v>
      </c>
      <c r="B1525" s="2" t="s">
        <v>1026</v>
      </c>
      <c r="C1525" s="28">
        <f>ROUND(Balances[[#This Row],[Total]]*40%,0)</f>
        <v>0</v>
      </c>
      <c r="D1525" s="28">
        <f>ROUND(Balances[[#This Row],[Total]]*20%,0)</f>
        <v>0</v>
      </c>
      <c r="E1525" s="28">
        <f>ROUND(Balances[[#This Row],[Total]]*40%,0)</f>
        <v>0</v>
      </c>
      <c r="F1525" s="17">
        <f>SUM(Acueducto[[#This Row],[Acueducto]:[Aseo]])</f>
        <v>0</v>
      </c>
    </row>
    <row r="1526" spans="1:6" ht="15" x14ac:dyDescent="0.2">
      <c r="A1526" s="7">
        <v>421002</v>
      </c>
      <c r="B1526" s="3" t="s">
        <v>306</v>
      </c>
      <c r="C1526" s="29">
        <f>ROUND(Balances[[#This Row],[Total]]*40%,0)</f>
        <v>0</v>
      </c>
      <c r="D1526" s="29">
        <f>ROUND(Balances[[#This Row],[Total]]*20%,0)</f>
        <v>0</v>
      </c>
      <c r="E1526" s="29">
        <f>ROUND(Balances[[#This Row],[Total]]*40%,0)</f>
        <v>0</v>
      </c>
      <c r="F1526" s="18">
        <f>SUM(Acueducto[[#This Row],[Acueducto]:[Aseo]])</f>
        <v>0</v>
      </c>
    </row>
    <row r="1527" spans="1:6" ht="15" x14ac:dyDescent="0.2">
      <c r="A1527" s="7">
        <v>421003</v>
      </c>
      <c r="B1527" s="3" t="s">
        <v>120</v>
      </c>
      <c r="C1527" s="29">
        <f>ROUND(Balances[[#This Row],[Total]]*40%,0)</f>
        <v>0</v>
      </c>
      <c r="D1527" s="29">
        <f>ROUND(Balances[[#This Row],[Total]]*20%,0)</f>
        <v>0</v>
      </c>
      <c r="E1527" s="29">
        <f>ROUND(Balances[[#This Row],[Total]]*40%,0)</f>
        <v>0</v>
      </c>
      <c r="F1527" s="18">
        <f>SUM(Acueducto[[#This Row],[Acueducto]:[Aseo]])</f>
        <v>0</v>
      </c>
    </row>
    <row r="1528" spans="1:6" ht="15" x14ac:dyDescent="0.2">
      <c r="A1528" s="7">
        <v>421004</v>
      </c>
      <c r="B1528" s="3" t="s">
        <v>293</v>
      </c>
      <c r="C1528" s="29">
        <f>ROUND(Balances[[#This Row],[Total]]*40%,0)</f>
        <v>0</v>
      </c>
      <c r="D1528" s="29">
        <f>ROUND(Balances[[#This Row],[Total]]*20%,0)</f>
        <v>0</v>
      </c>
      <c r="E1528" s="29">
        <f>ROUND(Balances[[#This Row],[Total]]*40%,0)</f>
        <v>0</v>
      </c>
      <c r="F1528" s="18">
        <f>SUM(Acueducto[[#This Row],[Acueducto]:[Aseo]])</f>
        <v>0</v>
      </c>
    </row>
    <row r="1529" spans="1:6" ht="15" x14ac:dyDescent="0.2">
      <c r="A1529" s="7">
        <v>421011</v>
      </c>
      <c r="B1529" s="3" t="s">
        <v>295</v>
      </c>
      <c r="C1529" s="29">
        <f>ROUND(Balances[[#This Row],[Total]]*40%,0)</f>
        <v>0</v>
      </c>
      <c r="D1529" s="29">
        <f>ROUND(Balances[[#This Row],[Total]]*20%,0)</f>
        <v>0</v>
      </c>
      <c r="E1529" s="29">
        <f>ROUND(Balances[[#This Row],[Total]]*40%,0)</f>
        <v>0</v>
      </c>
      <c r="F1529" s="18">
        <f>SUM(Acueducto[[#This Row],[Acueducto]:[Aseo]])</f>
        <v>0</v>
      </c>
    </row>
    <row r="1530" spans="1:6" ht="15" x14ac:dyDescent="0.2">
      <c r="A1530" s="7">
        <v>421012</v>
      </c>
      <c r="B1530" s="3" t="s">
        <v>307</v>
      </c>
      <c r="C1530" s="29">
        <f>ROUND(Balances[[#This Row],[Total]]*40%,0)</f>
        <v>0</v>
      </c>
      <c r="D1530" s="29">
        <f>ROUND(Balances[[#This Row],[Total]]*20%,0)</f>
        <v>0</v>
      </c>
      <c r="E1530" s="29">
        <f>ROUND(Balances[[#This Row],[Total]]*40%,0)</f>
        <v>0</v>
      </c>
      <c r="F1530" s="18">
        <f>SUM(Acueducto[[#This Row],[Acueducto]:[Aseo]])</f>
        <v>0</v>
      </c>
    </row>
    <row r="1531" spans="1:6" ht="15" x14ac:dyDescent="0.2">
      <c r="A1531" s="7">
        <v>421013</v>
      </c>
      <c r="B1531" s="3" t="s">
        <v>308</v>
      </c>
      <c r="C1531" s="29">
        <f>ROUND(Balances[[#This Row],[Total]]*40%,0)</f>
        <v>0</v>
      </c>
      <c r="D1531" s="29">
        <f>ROUND(Balances[[#This Row],[Total]]*20%,0)</f>
        <v>0</v>
      </c>
      <c r="E1531" s="29">
        <f>ROUND(Balances[[#This Row],[Total]]*40%,0)</f>
        <v>0</v>
      </c>
      <c r="F1531" s="18">
        <f>SUM(Acueducto[[#This Row],[Acueducto]:[Aseo]])</f>
        <v>0</v>
      </c>
    </row>
    <row r="1532" spans="1:6" ht="15" x14ac:dyDescent="0.2">
      <c r="A1532" s="7">
        <v>421014</v>
      </c>
      <c r="B1532" s="3" t="s">
        <v>309</v>
      </c>
      <c r="C1532" s="29">
        <f>ROUND(Balances[[#This Row],[Total]]*40%,0)</f>
        <v>0</v>
      </c>
      <c r="D1532" s="29">
        <f>ROUND(Balances[[#This Row],[Total]]*20%,0)</f>
        <v>0</v>
      </c>
      <c r="E1532" s="29">
        <f>ROUND(Balances[[#This Row],[Total]]*40%,0)</f>
        <v>0</v>
      </c>
      <c r="F1532" s="18">
        <f>SUM(Acueducto[[#This Row],[Acueducto]:[Aseo]])</f>
        <v>0</v>
      </c>
    </row>
    <row r="1533" spans="1:6" ht="15" x14ac:dyDescent="0.2">
      <c r="A1533" s="7">
        <v>421015</v>
      </c>
      <c r="B1533" s="3" t="s">
        <v>294</v>
      </c>
      <c r="C1533" s="29">
        <f>ROUND(Balances[[#This Row],[Total]]*40%,0)</f>
        <v>0</v>
      </c>
      <c r="D1533" s="29">
        <f>ROUND(Balances[[#This Row],[Total]]*20%,0)</f>
        <v>0</v>
      </c>
      <c r="E1533" s="29">
        <f>ROUND(Balances[[#This Row],[Total]]*40%,0)</f>
        <v>0</v>
      </c>
      <c r="F1533" s="18">
        <f>SUM(Acueducto[[#This Row],[Acueducto]:[Aseo]])</f>
        <v>0</v>
      </c>
    </row>
    <row r="1534" spans="1:6" ht="15" x14ac:dyDescent="0.2">
      <c r="A1534" s="7">
        <v>421016</v>
      </c>
      <c r="B1534" s="3" t="s">
        <v>297</v>
      </c>
      <c r="C1534" s="29">
        <f>ROUND(Balances[[#This Row],[Total]]*40%,0)</f>
        <v>0</v>
      </c>
      <c r="D1534" s="29">
        <f>ROUND(Balances[[#This Row],[Total]]*20%,0)</f>
        <v>0</v>
      </c>
      <c r="E1534" s="29">
        <f>ROUND(Balances[[#This Row],[Total]]*40%,0)</f>
        <v>0</v>
      </c>
      <c r="F1534" s="18">
        <f>SUM(Acueducto[[#This Row],[Acueducto]:[Aseo]])</f>
        <v>0</v>
      </c>
    </row>
    <row r="1535" spans="1:6" ht="15" x14ac:dyDescent="0.2">
      <c r="A1535" s="7">
        <v>421017</v>
      </c>
      <c r="B1535" s="3" t="s">
        <v>299</v>
      </c>
      <c r="C1535" s="29">
        <f>ROUND(Balances[[#This Row],[Total]]*40%,0)</f>
        <v>0</v>
      </c>
      <c r="D1535" s="29">
        <f>ROUND(Balances[[#This Row],[Total]]*20%,0)</f>
        <v>0</v>
      </c>
      <c r="E1535" s="29">
        <f>ROUND(Balances[[#This Row],[Total]]*40%,0)</f>
        <v>0</v>
      </c>
      <c r="F1535" s="18">
        <f>SUM(Acueducto[[#This Row],[Acueducto]:[Aseo]])</f>
        <v>0</v>
      </c>
    </row>
    <row r="1536" spans="1:6" ht="15" x14ac:dyDescent="0.2">
      <c r="A1536" s="7">
        <v>421018</v>
      </c>
      <c r="B1536" s="3" t="s">
        <v>310</v>
      </c>
      <c r="C1536" s="29">
        <f>ROUND(Balances[[#This Row],[Total]]*40%,0)</f>
        <v>0</v>
      </c>
      <c r="D1536" s="29">
        <f>ROUND(Balances[[#This Row],[Total]]*20%,0)</f>
        <v>0</v>
      </c>
      <c r="E1536" s="29">
        <f>ROUND(Balances[[#This Row],[Total]]*40%,0)</f>
        <v>0</v>
      </c>
      <c r="F1536" s="18">
        <f>SUM(Acueducto[[#This Row],[Acueducto]:[Aseo]])</f>
        <v>0</v>
      </c>
    </row>
    <row r="1537" spans="1:6" ht="15" x14ac:dyDescent="0.2">
      <c r="A1537" s="7">
        <v>421026</v>
      </c>
      <c r="B1537" s="3" t="s">
        <v>311</v>
      </c>
      <c r="C1537" s="29">
        <f>ROUND(Balances[[#This Row],[Total]]*40%,0)</f>
        <v>0</v>
      </c>
      <c r="D1537" s="29">
        <f>ROUND(Balances[[#This Row],[Total]]*20%,0)</f>
        <v>0</v>
      </c>
      <c r="E1537" s="29">
        <f>ROUND(Balances[[#This Row],[Total]]*40%,0)</f>
        <v>0</v>
      </c>
      <c r="F1537" s="18">
        <f>SUM(Acueducto[[#This Row],[Acueducto]:[Aseo]])</f>
        <v>0</v>
      </c>
    </row>
    <row r="1538" spans="1:6" ht="15" x14ac:dyDescent="0.2">
      <c r="A1538" s="7">
        <v>421027</v>
      </c>
      <c r="B1538" s="3" t="s">
        <v>312</v>
      </c>
      <c r="C1538" s="29">
        <f>ROUND(Balances[[#This Row],[Total]]*40%,0)</f>
        <v>0</v>
      </c>
      <c r="D1538" s="29">
        <f>ROUND(Balances[[#This Row],[Total]]*20%,0)</f>
        <v>0</v>
      </c>
      <c r="E1538" s="29">
        <f>ROUND(Balances[[#This Row],[Total]]*40%,0)</f>
        <v>0</v>
      </c>
      <c r="F1538" s="18">
        <f>SUM(Acueducto[[#This Row],[Acueducto]:[Aseo]])</f>
        <v>0</v>
      </c>
    </row>
    <row r="1539" spans="1:6" ht="15" x14ac:dyDescent="0.2">
      <c r="A1539" s="7">
        <v>421028</v>
      </c>
      <c r="B1539" s="3" t="s">
        <v>313</v>
      </c>
      <c r="C1539" s="29">
        <f>ROUND(Balances[[#This Row],[Total]]*40%,0)</f>
        <v>0</v>
      </c>
      <c r="D1539" s="29">
        <f>ROUND(Balances[[#This Row],[Total]]*20%,0)</f>
        <v>0</v>
      </c>
      <c r="E1539" s="29">
        <f>ROUND(Balances[[#This Row],[Total]]*40%,0)</f>
        <v>0</v>
      </c>
      <c r="F1539" s="18">
        <f>SUM(Acueducto[[#This Row],[Acueducto]:[Aseo]])</f>
        <v>0</v>
      </c>
    </row>
    <row r="1540" spans="1:6" ht="15" x14ac:dyDescent="0.2">
      <c r="A1540" s="7">
        <v>421030</v>
      </c>
      <c r="B1540" s="3" t="s">
        <v>314</v>
      </c>
      <c r="C1540" s="29">
        <f>ROUND(Balances[[#This Row],[Total]]*40%,0)</f>
        <v>0</v>
      </c>
      <c r="D1540" s="29">
        <f>ROUND(Balances[[#This Row],[Total]]*20%,0)</f>
        <v>0</v>
      </c>
      <c r="E1540" s="29">
        <f>ROUND(Balances[[#This Row],[Total]]*40%,0)</f>
        <v>0</v>
      </c>
      <c r="F1540" s="18">
        <f>SUM(Acueducto[[#This Row],[Acueducto]:[Aseo]])</f>
        <v>0</v>
      </c>
    </row>
    <row r="1541" spans="1:6" ht="15" x14ac:dyDescent="0.2">
      <c r="A1541" s="7">
        <v>421032</v>
      </c>
      <c r="B1541" s="3" t="s">
        <v>315</v>
      </c>
      <c r="C1541" s="29">
        <f>ROUND(Balances[[#This Row],[Total]]*40%,0)</f>
        <v>0</v>
      </c>
      <c r="D1541" s="29">
        <f>ROUND(Balances[[#This Row],[Total]]*20%,0)</f>
        <v>0</v>
      </c>
      <c r="E1541" s="29">
        <f>ROUND(Balances[[#This Row],[Total]]*40%,0)</f>
        <v>0</v>
      </c>
      <c r="F1541" s="18">
        <f>SUM(Acueducto[[#This Row],[Acueducto]:[Aseo]])</f>
        <v>0</v>
      </c>
    </row>
    <row r="1542" spans="1:6" ht="15" x14ac:dyDescent="0.2">
      <c r="A1542" s="7">
        <v>421033</v>
      </c>
      <c r="B1542" s="3" t="s">
        <v>1027</v>
      </c>
      <c r="C1542" s="29">
        <f>ROUND(Balances[[#This Row],[Total]]*40%,0)</f>
        <v>0</v>
      </c>
      <c r="D1542" s="29">
        <f>ROUND(Balances[[#This Row],[Total]]*20%,0)</f>
        <v>0</v>
      </c>
      <c r="E1542" s="29">
        <f>ROUND(Balances[[#This Row],[Total]]*40%,0)</f>
        <v>0</v>
      </c>
      <c r="F1542" s="18">
        <f>SUM(Acueducto[[#This Row],[Acueducto]:[Aseo]])</f>
        <v>0</v>
      </c>
    </row>
    <row r="1543" spans="1:6" ht="15" x14ac:dyDescent="0.2">
      <c r="A1543" s="7">
        <v>421034</v>
      </c>
      <c r="B1543" s="3" t="s">
        <v>316</v>
      </c>
      <c r="C1543" s="29">
        <f>ROUND(Balances[[#This Row],[Total]]*40%,0)</f>
        <v>0</v>
      </c>
      <c r="D1543" s="29">
        <f>ROUND(Balances[[#This Row],[Total]]*20%,0)</f>
        <v>0</v>
      </c>
      <c r="E1543" s="29">
        <f>ROUND(Balances[[#This Row],[Total]]*40%,0)</f>
        <v>0</v>
      </c>
      <c r="F1543" s="18">
        <f>SUM(Acueducto[[#This Row],[Acueducto]:[Aseo]])</f>
        <v>0</v>
      </c>
    </row>
    <row r="1544" spans="1:6" ht="15" x14ac:dyDescent="0.2">
      <c r="A1544" s="7">
        <v>421036</v>
      </c>
      <c r="B1544" s="3" t="s">
        <v>317</v>
      </c>
      <c r="C1544" s="29">
        <f>ROUND(Balances[[#This Row],[Total]]*40%,0)</f>
        <v>0</v>
      </c>
      <c r="D1544" s="29">
        <f>ROUND(Balances[[#This Row],[Total]]*20%,0)</f>
        <v>0</v>
      </c>
      <c r="E1544" s="29">
        <f>ROUND(Balances[[#This Row],[Total]]*40%,0)</f>
        <v>0</v>
      </c>
      <c r="F1544" s="18">
        <f>SUM(Acueducto[[#This Row],[Acueducto]:[Aseo]])</f>
        <v>0</v>
      </c>
    </row>
    <row r="1545" spans="1:6" ht="15" x14ac:dyDescent="0.2">
      <c r="A1545" s="7">
        <v>421038</v>
      </c>
      <c r="B1545" s="3" t="s">
        <v>318</v>
      </c>
      <c r="C1545" s="29">
        <f>ROUND(Balances[[#This Row],[Total]]*40%,0)</f>
        <v>0</v>
      </c>
      <c r="D1545" s="29">
        <f>ROUND(Balances[[#This Row],[Total]]*20%,0)</f>
        <v>0</v>
      </c>
      <c r="E1545" s="29">
        <f>ROUND(Balances[[#This Row],[Total]]*40%,0)</f>
        <v>0</v>
      </c>
      <c r="F1545" s="18">
        <f>SUM(Acueducto[[#This Row],[Acueducto]:[Aseo]])</f>
        <v>0</v>
      </c>
    </row>
    <row r="1546" spans="1:6" ht="15" x14ac:dyDescent="0.2">
      <c r="A1546" s="7">
        <v>421040</v>
      </c>
      <c r="B1546" s="3" t="s">
        <v>116</v>
      </c>
      <c r="C1546" s="29">
        <f>ROUND(Balances[[#This Row],[Total]]*40%,0)</f>
        <v>0</v>
      </c>
      <c r="D1546" s="29">
        <f>ROUND(Balances[[#This Row],[Total]]*20%,0)</f>
        <v>0</v>
      </c>
      <c r="E1546" s="29">
        <f>ROUND(Balances[[#This Row],[Total]]*40%,0)</f>
        <v>0</v>
      </c>
      <c r="F1546" s="18">
        <f>SUM(Acueducto[[#This Row],[Acueducto]:[Aseo]])</f>
        <v>0</v>
      </c>
    </row>
    <row r="1547" spans="1:6" ht="15" x14ac:dyDescent="0.2">
      <c r="A1547" s="7">
        <v>421060</v>
      </c>
      <c r="B1547" s="3" t="s">
        <v>296</v>
      </c>
      <c r="C1547" s="29">
        <f>ROUND(Balances[[#This Row],[Total]]*40%,0)</f>
        <v>0</v>
      </c>
      <c r="D1547" s="29">
        <f>ROUND(Balances[[#This Row],[Total]]*20%,0)</f>
        <v>0</v>
      </c>
      <c r="E1547" s="29">
        <f>ROUND(Balances[[#This Row],[Total]]*40%,0)</f>
        <v>0</v>
      </c>
      <c r="F1547" s="18">
        <f>SUM(Acueducto[[#This Row],[Acueducto]:[Aseo]])</f>
        <v>0</v>
      </c>
    </row>
    <row r="1548" spans="1:6" ht="15" x14ac:dyDescent="0.2">
      <c r="A1548" s="7">
        <v>421061</v>
      </c>
      <c r="B1548" s="3" t="s">
        <v>319</v>
      </c>
      <c r="C1548" s="29">
        <f>ROUND(Balances[[#This Row],[Total]]*40%,0)</f>
        <v>0</v>
      </c>
      <c r="D1548" s="29">
        <f>ROUND(Balances[[#This Row],[Total]]*20%,0)</f>
        <v>0</v>
      </c>
      <c r="E1548" s="29">
        <f>ROUND(Balances[[#This Row],[Total]]*40%,0)</f>
        <v>0</v>
      </c>
      <c r="F1548" s="18">
        <f>SUM(Acueducto[[#This Row],[Acueducto]:[Aseo]])</f>
        <v>0</v>
      </c>
    </row>
    <row r="1549" spans="1:6" ht="15" x14ac:dyDescent="0.2">
      <c r="A1549" s="7">
        <v>421065</v>
      </c>
      <c r="B1549" s="3" t="s">
        <v>320</v>
      </c>
      <c r="C1549" s="29">
        <f>ROUND(Balances[[#This Row],[Total]]*40%,0)</f>
        <v>0</v>
      </c>
      <c r="D1549" s="29">
        <f>ROUND(Balances[[#This Row],[Total]]*20%,0)</f>
        <v>0</v>
      </c>
      <c r="E1549" s="29">
        <f>ROUND(Balances[[#This Row],[Total]]*40%,0)</f>
        <v>0</v>
      </c>
      <c r="F1549" s="18">
        <f>SUM(Acueducto[[#This Row],[Acueducto]:[Aseo]])</f>
        <v>0</v>
      </c>
    </row>
    <row r="1550" spans="1:6" ht="15" x14ac:dyDescent="0.2">
      <c r="A1550" s="7">
        <v>421090</v>
      </c>
      <c r="B1550" s="3" t="s">
        <v>1028</v>
      </c>
      <c r="C1550" s="29">
        <f>ROUND(Balances[[#This Row],[Total]]*40%,0)</f>
        <v>0</v>
      </c>
      <c r="D1550" s="29">
        <f>ROUND(Balances[[#This Row],[Total]]*20%,0)</f>
        <v>0</v>
      </c>
      <c r="E1550" s="29">
        <f>ROUND(Balances[[#This Row],[Total]]*40%,0)</f>
        <v>0</v>
      </c>
      <c r="F1550" s="18">
        <f>SUM(Acueducto[[#This Row],[Acueducto]:[Aseo]])</f>
        <v>0</v>
      </c>
    </row>
    <row r="1551" spans="1:6" ht="15" x14ac:dyDescent="0.2">
      <c r="A1551" s="6">
        <v>4295</v>
      </c>
      <c r="B1551" s="2" t="s">
        <v>1029</v>
      </c>
      <c r="C1551" s="28">
        <f>ROUND(Balances[[#This Row],[Total]]*40%,0)</f>
        <v>0</v>
      </c>
      <c r="D1551" s="28">
        <f>ROUND(Balances[[#This Row],[Total]]*20%,0)</f>
        <v>0</v>
      </c>
      <c r="E1551" s="28">
        <f>ROUND(Balances[[#This Row],[Total]]*40%,0)</f>
        <v>0</v>
      </c>
      <c r="F1551" s="17">
        <f>SUM(Acueducto[[#This Row],[Acueducto]:[Aseo]])</f>
        <v>0</v>
      </c>
    </row>
    <row r="1552" spans="1:6" ht="15" x14ac:dyDescent="0.2">
      <c r="A1552" s="7">
        <v>429502</v>
      </c>
      <c r="B1552" s="3" t="s">
        <v>121</v>
      </c>
      <c r="C1552" s="29">
        <f>ROUND(Balances[[#This Row],[Total]]*40%,0)</f>
        <v>0</v>
      </c>
      <c r="D1552" s="29">
        <f>ROUND(Balances[[#This Row],[Total]]*20%,0)</f>
        <v>0</v>
      </c>
      <c r="E1552" s="29">
        <f>ROUND(Balances[[#This Row],[Total]]*40%,0)</f>
        <v>0</v>
      </c>
      <c r="F1552" s="18">
        <f>SUM(Acueducto[[#This Row],[Acueducto]:[Aseo]])</f>
        <v>0</v>
      </c>
    </row>
    <row r="1553" spans="1:6" ht="15" x14ac:dyDescent="0.2">
      <c r="A1553" s="7">
        <v>429503</v>
      </c>
      <c r="B1553" s="3" t="s">
        <v>1030</v>
      </c>
      <c r="C1553" s="29">
        <f>ROUND(Balances[[#This Row],[Total]]*40%,0)</f>
        <v>0</v>
      </c>
      <c r="D1553" s="29">
        <f>ROUND(Balances[[#This Row],[Total]]*20%,0)</f>
        <v>0</v>
      </c>
      <c r="E1553" s="29">
        <f>ROUND(Balances[[#This Row],[Total]]*40%,0)</f>
        <v>0</v>
      </c>
      <c r="F1553" s="18">
        <f>SUM(Acueducto[[#This Row],[Acueducto]:[Aseo]])</f>
        <v>0</v>
      </c>
    </row>
    <row r="1554" spans="1:6" ht="15" x14ac:dyDescent="0.2">
      <c r="A1554" s="7">
        <v>429504</v>
      </c>
      <c r="B1554" s="3" t="s">
        <v>117</v>
      </c>
      <c r="C1554" s="29">
        <f>ROUND(Balances[[#This Row],[Total]]*40%,0)</f>
        <v>0</v>
      </c>
      <c r="D1554" s="29">
        <f>ROUND(Balances[[#This Row],[Total]]*20%,0)</f>
        <v>0</v>
      </c>
      <c r="E1554" s="29">
        <f>ROUND(Balances[[#This Row],[Total]]*40%,0)</f>
        <v>0</v>
      </c>
      <c r="F1554" s="18">
        <f>SUM(Acueducto[[#This Row],[Acueducto]:[Aseo]])</f>
        <v>0</v>
      </c>
    </row>
    <row r="1555" spans="1:6" ht="15" x14ac:dyDescent="0.2">
      <c r="A1555" s="7">
        <v>429505</v>
      </c>
      <c r="B1555" s="3" t="s">
        <v>118</v>
      </c>
      <c r="C1555" s="29">
        <f>ROUND(Balances[[#This Row],[Total]]*40%,0)</f>
        <v>0</v>
      </c>
      <c r="D1555" s="29">
        <f>ROUND(Balances[[#This Row],[Total]]*20%,0)</f>
        <v>0</v>
      </c>
      <c r="E1555" s="29">
        <f>ROUND(Balances[[#This Row],[Total]]*40%,0)</f>
        <v>0</v>
      </c>
      <c r="F1555" s="18">
        <f>SUM(Acueducto[[#This Row],[Acueducto]:[Aseo]])</f>
        <v>0</v>
      </c>
    </row>
    <row r="1556" spans="1:6" ht="15" x14ac:dyDescent="0.2">
      <c r="A1556" s="7">
        <v>429506</v>
      </c>
      <c r="B1556" s="3" t="s">
        <v>119</v>
      </c>
      <c r="C1556" s="29">
        <f>ROUND(Balances[[#This Row],[Total]]*40%,0)</f>
        <v>0</v>
      </c>
      <c r="D1556" s="29">
        <f>ROUND(Balances[[#This Row],[Total]]*20%,0)</f>
        <v>0</v>
      </c>
      <c r="E1556" s="29">
        <f>ROUND(Balances[[#This Row],[Total]]*40%,0)</f>
        <v>0</v>
      </c>
      <c r="F1556" s="18">
        <f>SUM(Acueducto[[#This Row],[Acueducto]:[Aseo]])</f>
        <v>0</v>
      </c>
    </row>
    <row r="1557" spans="1:6" ht="15" x14ac:dyDescent="0.2">
      <c r="A1557" s="7">
        <v>429507</v>
      </c>
      <c r="B1557" s="3" t="s">
        <v>120</v>
      </c>
      <c r="C1557" s="29">
        <f>ROUND(Balances[[#This Row],[Total]]*40%,0)</f>
        <v>0</v>
      </c>
      <c r="D1557" s="29">
        <f>ROUND(Balances[[#This Row],[Total]]*20%,0)</f>
        <v>0</v>
      </c>
      <c r="E1557" s="29">
        <f>ROUND(Balances[[#This Row],[Total]]*40%,0)</f>
        <v>0</v>
      </c>
      <c r="F1557" s="18">
        <f>SUM(Acueducto[[#This Row],[Acueducto]:[Aseo]])</f>
        <v>0</v>
      </c>
    </row>
    <row r="1558" spans="1:6" ht="15" x14ac:dyDescent="0.2">
      <c r="A1558" s="6">
        <v>43</v>
      </c>
      <c r="B1558" s="2" t="s">
        <v>1031</v>
      </c>
      <c r="C1558" s="28">
        <f>ROUND(Balances[[#This Row],[Total]]*40%,0)</f>
        <v>153745561</v>
      </c>
      <c r="D1558" s="28">
        <f>ROUND(Balances[[#This Row],[Total]]*20%,0)</f>
        <v>76872781</v>
      </c>
      <c r="E1558" s="28">
        <f>ROUND(Balances[[#This Row],[Total]]*40%,0)</f>
        <v>153745561</v>
      </c>
      <c r="F1558" s="28">
        <f>SUM(Acueducto[[#This Row],[Acueducto]:[Aseo]])</f>
        <v>384363903</v>
      </c>
    </row>
    <row r="1559" spans="1:6" ht="15" x14ac:dyDescent="0.2">
      <c r="A1559" s="6">
        <v>4311</v>
      </c>
      <c r="B1559" s="2" t="s">
        <v>196</v>
      </c>
      <c r="C1559" s="28">
        <f>ROUND(Balances[[#This Row],[Total]]*40%,0)</f>
        <v>0</v>
      </c>
      <c r="D1559" s="28">
        <f>ROUND(Balances[[#This Row],[Total]]*20%,0)</f>
        <v>0</v>
      </c>
      <c r="E1559" s="28">
        <f>ROUND(Balances[[#This Row],[Total]]*40%,0)</f>
        <v>0</v>
      </c>
      <c r="F1559" s="17">
        <f>SUM(Acueducto[[#This Row],[Acueducto]:[Aseo]])</f>
        <v>0</v>
      </c>
    </row>
    <row r="1560" spans="1:6" ht="15" x14ac:dyDescent="0.2">
      <c r="A1560" s="7">
        <v>431101</v>
      </c>
      <c r="B1560" s="3" t="s">
        <v>1032</v>
      </c>
      <c r="C1560" s="29">
        <f>ROUND(Balances[[#This Row],[Total]]*40%,0)</f>
        <v>0</v>
      </c>
      <c r="D1560" s="29">
        <f>ROUND(Balances[[#This Row],[Total]]*20%,0)</f>
        <v>0</v>
      </c>
      <c r="E1560" s="29">
        <f>ROUND(Balances[[#This Row],[Total]]*40%,0)</f>
        <v>0</v>
      </c>
      <c r="F1560" s="18">
        <f>SUM(Acueducto[[#This Row],[Acueducto]:[Aseo]])</f>
        <v>0</v>
      </c>
    </row>
    <row r="1561" spans="1:6" ht="15" x14ac:dyDescent="0.2">
      <c r="A1561" s="7">
        <v>431102</v>
      </c>
      <c r="B1561" s="3" t="s">
        <v>1033</v>
      </c>
      <c r="C1561" s="29">
        <f>ROUND(Balances[[#This Row],[Total]]*40%,0)</f>
        <v>0</v>
      </c>
      <c r="D1561" s="29">
        <f>ROUND(Balances[[#This Row],[Total]]*20%,0)</f>
        <v>0</v>
      </c>
      <c r="E1561" s="29">
        <f>ROUND(Balances[[#This Row],[Total]]*40%,0)</f>
        <v>0</v>
      </c>
      <c r="F1561" s="18">
        <f>SUM(Acueducto[[#This Row],[Acueducto]:[Aseo]])</f>
        <v>0</v>
      </c>
    </row>
    <row r="1562" spans="1:6" ht="15" x14ac:dyDescent="0.2">
      <c r="A1562" s="7">
        <v>431103</v>
      </c>
      <c r="B1562" s="3" t="s">
        <v>199</v>
      </c>
      <c r="C1562" s="29">
        <f>ROUND(Balances[[#This Row],[Total]]*40%,0)</f>
        <v>0</v>
      </c>
      <c r="D1562" s="29">
        <f>ROUND(Balances[[#This Row],[Total]]*20%,0)</f>
        <v>0</v>
      </c>
      <c r="E1562" s="29">
        <f>ROUND(Balances[[#This Row],[Total]]*40%,0)</f>
        <v>0</v>
      </c>
      <c r="F1562" s="18">
        <f>SUM(Acueducto[[#This Row],[Acueducto]:[Aseo]])</f>
        <v>0</v>
      </c>
    </row>
    <row r="1563" spans="1:6" ht="15" x14ac:dyDescent="0.2">
      <c r="A1563" s="7">
        <v>431104</v>
      </c>
      <c r="B1563" s="3" t="s">
        <v>200</v>
      </c>
      <c r="C1563" s="29">
        <f>ROUND(Balances[[#This Row],[Total]]*40%,0)</f>
        <v>0</v>
      </c>
      <c r="D1563" s="29">
        <f>ROUND(Balances[[#This Row],[Total]]*20%,0)</f>
        <v>0</v>
      </c>
      <c r="E1563" s="29">
        <f>ROUND(Balances[[#This Row],[Total]]*40%,0)</f>
        <v>0</v>
      </c>
      <c r="F1563" s="18">
        <f>SUM(Acueducto[[#This Row],[Acueducto]:[Aseo]])</f>
        <v>0</v>
      </c>
    </row>
    <row r="1564" spans="1:6" ht="15" x14ac:dyDescent="0.2">
      <c r="A1564" s="7">
        <v>431105</v>
      </c>
      <c r="B1564" s="3" t="s">
        <v>1034</v>
      </c>
      <c r="C1564" s="29">
        <f>ROUND(Balances[[#This Row],[Total]]*40%,0)</f>
        <v>0</v>
      </c>
      <c r="D1564" s="29">
        <f>ROUND(Balances[[#This Row],[Total]]*20%,0)</f>
        <v>0</v>
      </c>
      <c r="E1564" s="29">
        <f>ROUND(Balances[[#This Row],[Total]]*40%,0)</f>
        <v>0</v>
      </c>
      <c r="F1564" s="18">
        <f>SUM(Acueducto[[#This Row],[Acueducto]:[Aseo]])</f>
        <v>0</v>
      </c>
    </row>
    <row r="1565" spans="1:6" ht="15" x14ac:dyDescent="0.2">
      <c r="A1565" s="7">
        <v>431106</v>
      </c>
      <c r="B1565" s="3" t="s">
        <v>1035</v>
      </c>
      <c r="C1565" s="29">
        <f>ROUND(Balances[[#This Row],[Total]]*40%,0)</f>
        <v>0</v>
      </c>
      <c r="D1565" s="29">
        <f>ROUND(Balances[[#This Row],[Total]]*20%,0)</f>
        <v>0</v>
      </c>
      <c r="E1565" s="29">
        <f>ROUND(Balances[[#This Row],[Total]]*40%,0)</f>
        <v>0</v>
      </c>
      <c r="F1565" s="18">
        <f>SUM(Acueducto[[#This Row],[Acueducto]:[Aseo]])</f>
        <v>0</v>
      </c>
    </row>
    <row r="1566" spans="1:6" ht="15" x14ac:dyDescent="0.2">
      <c r="A1566" s="7">
        <v>431107</v>
      </c>
      <c r="B1566" s="3" t="s">
        <v>203</v>
      </c>
      <c r="C1566" s="29">
        <f>ROUND(Balances[[#This Row],[Total]]*40%,0)</f>
        <v>0</v>
      </c>
      <c r="D1566" s="29">
        <f>ROUND(Balances[[#This Row],[Total]]*20%,0)</f>
        <v>0</v>
      </c>
      <c r="E1566" s="29">
        <f>ROUND(Balances[[#This Row],[Total]]*40%,0)</f>
        <v>0</v>
      </c>
      <c r="F1566" s="18">
        <f>SUM(Acueducto[[#This Row],[Acueducto]:[Aseo]])</f>
        <v>0</v>
      </c>
    </row>
    <row r="1567" spans="1:6" ht="15" x14ac:dyDescent="0.2">
      <c r="A1567" s="7">
        <v>431108</v>
      </c>
      <c r="B1567" s="3" t="s">
        <v>204</v>
      </c>
      <c r="C1567" s="29">
        <f>ROUND(Balances[[#This Row],[Total]]*40%,0)</f>
        <v>0</v>
      </c>
      <c r="D1567" s="29">
        <f>ROUND(Balances[[#This Row],[Total]]*20%,0)</f>
        <v>0</v>
      </c>
      <c r="E1567" s="29">
        <f>ROUND(Balances[[#This Row],[Total]]*40%,0)</f>
        <v>0</v>
      </c>
      <c r="F1567" s="18">
        <f>SUM(Acueducto[[#This Row],[Acueducto]:[Aseo]])</f>
        <v>0</v>
      </c>
    </row>
    <row r="1568" spans="1:6" ht="15" x14ac:dyDescent="0.2">
      <c r="A1568" s="7">
        <v>431109</v>
      </c>
      <c r="B1568" s="3" t="s">
        <v>1036</v>
      </c>
      <c r="C1568" s="29">
        <f>ROUND(Balances[[#This Row],[Total]]*40%,0)</f>
        <v>0</v>
      </c>
      <c r="D1568" s="29">
        <f>ROUND(Balances[[#This Row],[Total]]*20%,0)</f>
        <v>0</v>
      </c>
      <c r="E1568" s="29">
        <f>ROUND(Balances[[#This Row],[Total]]*40%,0)</f>
        <v>0</v>
      </c>
      <c r="F1568" s="18">
        <f>SUM(Acueducto[[#This Row],[Acueducto]:[Aseo]])</f>
        <v>0</v>
      </c>
    </row>
    <row r="1569" spans="1:6" ht="15" x14ac:dyDescent="0.2">
      <c r="A1569" s="7">
        <v>431114</v>
      </c>
      <c r="B1569" s="3" t="s">
        <v>210</v>
      </c>
      <c r="C1569" s="29">
        <f>ROUND(Balances[[#This Row],[Total]]*40%,0)</f>
        <v>0</v>
      </c>
      <c r="D1569" s="29">
        <f>ROUND(Balances[[#This Row],[Total]]*20%,0)</f>
        <v>0</v>
      </c>
      <c r="E1569" s="29">
        <f>ROUND(Balances[[#This Row],[Total]]*40%,0)</f>
        <v>0</v>
      </c>
      <c r="F1569" s="18">
        <f>SUM(Acueducto[[#This Row],[Acueducto]:[Aseo]])</f>
        <v>0</v>
      </c>
    </row>
    <row r="1570" spans="1:6" ht="15" x14ac:dyDescent="0.2">
      <c r="A1570" s="7">
        <v>431119</v>
      </c>
      <c r="B1570" s="3" t="s">
        <v>215</v>
      </c>
      <c r="C1570" s="29">
        <f>ROUND(Balances[[#This Row],[Total]]*40%,0)</f>
        <v>0</v>
      </c>
      <c r="D1570" s="29">
        <f>ROUND(Balances[[#This Row],[Total]]*20%,0)</f>
        <v>0</v>
      </c>
      <c r="E1570" s="29">
        <f>ROUND(Balances[[#This Row],[Total]]*40%,0)</f>
        <v>0</v>
      </c>
      <c r="F1570" s="18">
        <f>SUM(Acueducto[[#This Row],[Acueducto]:[Aseo]])</f>
        <v>0</v>
      </c>
    </row>
    <row r="1571" spans="1:6" ht="15" x14ac:dyDescent="0.2">
      <c r="A1571" s="7">
        <v>431120</v>
      </c>
      <c r="B1571" s="3" t="s">
        <v>216</v>
      </c>
      <c r="C1571" s="29">
        <f>ROUND(Balances[[#This Row],[Total]]*40%,0)</f>
        <v>0</v>
      </c>
      <c r="D1571" s="29">
        <f>ROUND(Balances[[#This Row],[Total]]*20%,0)</f>
        <v>0</v>
      </c>
      <c r="E1571" s="29">
        <f>ROUND(Balances[[#This Row],[Total]]*40%,0)</f>
        <v>0</v>
      </c>
      <c r="F1571" s="18">
        <f>SUM(Acueducto[[#This Row],[Acueducto]:[Aseo]])</f>
        <v>0</v>
      </c>
    </row>
    <row r="1572" spans="1:6" ht="15" x14ac:dyDescent="0.2">
      <c r="A1572" s="7">
        <v>431121</v>
      </c>
      <c r="B1572" s="3" t="s">
        <v>1037</v>
      </c>
      <c r="C1572" s="29">
        <f>ROUND(Balances[[#This Row],[Total]]*40%,0)</f>
        <v>0</v>
      </c>
      <c r="D1572" s="29">
        <f>ROUND(Balances[[#This Row],[Total]]*20%,0)</f>
        <v>0</v>
      </c>
      <c r="E1572" s="29">
        <f>ROUND(Balances[[#This Row],[Total]]*40%,0)</f>
        <v>0</v>
      </c>
      <c r="F1572" s="18">
        <f>SUM(Acueducto[[#This Row],[Acueducto]:[Aseo]])</f>
        <v>0</v>
      </c>
    </row>
    <row r="1573" spans="1:6" ht="15" x14ac:dyDescent="0.2">
      <c r="A1573" s="7">
        <v>431122</v>
      </c>
      <c r="B1573" s="3" t="s">
        <v>217</v>
      </c>
      <c r="C1573" s="29">
        <f>ROUND(Balances[[#This Row],[Total]]*40%,0)</f>
        <v>0</v>
      </c>
      <c r="D1573" s="29">
        <f>ROUND(Balances[[#This Row],[Total]]*20%,0)</f>
        <v>0</v>
      </c>
      <c r="E1573" s="29">
        <f>ROUND(Balances[[#This Row],[Total]]*40%,0)</f>
        <v>0</v>
      </c>
      <c r="F1573" s="18">
        <f>SUM(Acueducto[[#This Row],[Acueducto]:[Aseo]])</f>
        <v>0</v>
      </c>
    </row>
    <row r="1574" spans="1:6" ht="15" x14ac:dyDescent="0.2">
      <c r="A1574" s="7">
        <v>431123</v>
      </c>
      <c r="B1574" s="3" t="s">
        <v>1038</v>
      </c>
      <c r="C1574" s="29">
        <f>ROUND(Balances[[#This Row],[Total]]*40%,0)</f>
        <v>0</v>
      </c>
      <c r="D1574" s="29">
        <f>ROUND(Balances[[#This Row],[Total]]*20%,0)</f>
        <v>0</v>
      </c>
      <c r="E1574" s="29">
        <f>ROUND(Balances[[#This Row],[Total]]*40%,0)</f>
        <v>0</v>
      </c>
      <c r="F1574" s="18">
        <f>SUM(Acueducto[[#This Row],[Acueducto]:[Aseo]])</f>
        <v>0</v>
      </c>
    </row>
    <row r="1575" spans="1:6" ht="15" x14ac:dyDescent="0.2">
      <c r="A1575" s="7">
        <v>431190</v>
      </c>
      <c r="B1575" s="3" t="s">
        <v>220</v>
      </c>
      <c r="C1575" s="29">
        <f>ROUND(Balances[[#This Row],[Total]]*40%,0)</f>
        <v>0</v>
      </c>
      <c r="D1575" s="29">
        <f>ROUND(Balances[[#This Row],[Total]]*20%,0)</f>
        <v>0</v>
      </c>
      <c r="E1575" s="29">
        <f>ROUND(Balances[[#This Row],[Total]]*40%,0)</f>
        <v>0</v>
      </c>
      <c r="F1575" s="18">
        <f>SUM(Acueducto[[#This Row],[Acueducto]:[Aseo]])</f>
        <v>0</v>
      </c>
    </row>
    <row r="1576" spans="1:6" ht="15" x14ac:dyDescent="0.2">
      <c r="A1576" s="6">
        <v>4312</v>
      </c>
      <c r="B1576" s="2" t="s">
        <v>1039</v>
      </c>
      <c r="C1576" s="28">
        <f>ROUND(Balances[[#This Row],[Total]]*40%,0)</f>
        <v>0</v>
      </c>
      <c r="D1576" s="28">
        <f>ROUND(Balances[[#This Row],[Total]]*20%,0)</f>
        <v>0</v>
      </c>
      <c r="E1576" s="28">
        <f>ROUND(Balances[[#This Row],[Total]]*40%,0)</f>
        <v>0</v>
      </c>
      <c r="F1576" s="17">
        <f>SUM(Acueducto[[#This Row],[Acueducto]:[Aseo]])</f>
        <v>0</v>
      </c>
    </row>
    <row r="1577" spans="1:6" ht="15" x14ac:dyDescent="0.2">
      <c r="A1577" s="7">
        <v>431208</v>
      </c>
      <c r="B1577" s="3" t="s">
        <v>1040</v>
      </c>
      <c r="C1577" s="29">
        <f>ROUND(Balances[[#This Row],[Total]]*40%,0)</f>
        <v>0</v>
      </c>
      <c r="D1577" s="29">
        <f>ROUND(Balances[[#This Row],[Total]]*20%,0)</f>
        <v>0</v>
      </c>
      <c r="E1577" s="29">
        <f>ROUND(Balances[[#This Row],[Total]]*40%,0)</f>
        <v>0</v>
      </c>
      <c r="F1577" s="18">
        <f>SUM(Acueducto[[#This Row],[Acueducto]:[Aseo]])</f>
        <v>0</v>
      </c>
    </row>
    <row r="1578" spans="1:6" ht="15" x14ac:dyDescent="0.2">
      <c r="A1578" s="7">
        <v>431209</v>
      </c>
      <c r="B1578" s="3" t="s">
        <v>1041</v>
      </c>
      <c r="C1578" s="29">
        <f>ROUND(Balances[[#This Row],[Total]]*40%,0)</f>
        <v>0</v>
      </c>
      <c r="D1578" s="29">
        <f>ROUND(Balances[[#This Row],[Total]]*20%,0)</f>
        <v>0</v>
      </c>
      <c r="E1578" s="29">
        <f>ROUND(Balances[[#This Row],[Total]]*40%,0)</f>
        <v>0</v>
      </c>
      <c r="F1578" s="18">
        <f>SUM(Acueducto[[#This Row],[Acueducto]:[Aseo]])</f>
        <v>0</v>
      </c>
    </row>
    <row r="1579" spans="1:6" ht="15" x14ac:dyDescent="0.2">
      <c r="A1579" s="7">
        <v>431217</v>
      </c>
      <c r="B1579" s="3" t="s">
        <v>1042</v>
      </c>
      <c r="C1579" s="29">
        <f>ROUND(Balances[[#This Row],[Total]]*40%,0)</f>
        <v>0</v>
      </c>
      <c r="D1579" s="29">
        <f>ROUND(Balances[[#This Row],[Total]]*20%,0)</f>
        <v>0</v>
      </c>
      <c r="E1579" s="29">
        <f>ROUND(Balances[[#This Row],[Total]]*40%,0)</f>
        <v>0</v>
      </c>
      <c r="F1579" s="18">
        <f>SUM(Acueducto[[#This Row],[Acueducto]:[Aseo]])</f>
        <v>0</v>
      </c>
    </row>
    <row r="1580" spans="1:6" ht="15" x14ac:dyDescent="0.2">
      <c r="A1580" s="7">
        <v>431218</v>
      </c>
      <c r="B1580" s="3" t="s">
        <v>1043</v>
      </c>
      <c r="C1580" s="29">
        <f>ROUND(Balances[[#This Row],[Total]]*40%,0)</f>
        <v>0</v>
      </c>
      <c r="D1580" s="29">
        <f>ROUND(Balances[[#This Row],[Total]]*20%,0)</f>
        <v>0</v>
      </c>
      <c r="E1580" s="29">
        <f>ROUND(Balances[[#This Row],[Total]]*40%,0)</f>
        <v>0</v>
      </c>
      <c r="F1580" s="18">
        <f>SUM(Acueducto[[#This Row],[Acueducto]:[Aseo]])</f>
        <v>0</v>
      </c>
    </row>
    <row r="1581" spans="1:6" ht="15" x14ac:dyDescent="0.2">
      <c r="A1581" s="7">
        <v>431219</v>
      </c>
      <c r="B1581" s="3" t="s">
        <v>1044</v>
      </c>
      <c r="C1581" s="29">
        <f>ROUND(Balances[[#This Row],[Total]]*40%,0)</f>
        <v>0</v>
      </c>
      <c r="D1581" s="29">
        <f>ROUND(Balances[[#This Row],[Total]]*20%,0)</f>
        <v>0</v>
      </c>
      <c r="E1581" s="29">
        <f>ROUND(Balances[[#This Row],[Total]]*40%,0)</f>
        <v>0</v>
      </c>
      <c r="F1581" s="18">
        <f>SUM(Acueducto[[#This Row],[Acueducto]:[Aseo]])</f>
        <v>0</v>
      </c>
    </row>
    <row r="1582" spans="1:6" ht="15" x14ac:dyDescent="0.2">
      <c r="A1582" s="7">
        <v>431220</v>
      </c>
      <c r="B1582" s="3" t="s">
        <v>1045</v>
      </c>
      <c r="C1582" s="29">
        <f>ROUND(Balances[[#This Row],[Total]]*40%,0)</f>
        <v>0</v>
      </c>
      <c r="D1582" s="29">
        <f>ROUND(Balances[[#This Row],[Total]]*20%,0)</f>
        <v>0</v>
      </c>
      <c r="E1582" s="29">
        <f>ROUND(Balances[[#This Row],[Total]]*40%,0)</f>
        <v>0</v>
      </c>
      <c r="F1582" s="18">
        <f>SUM(Acueducto[[#This Row],[Acueducto]:[Aseo]])</f>
        <v>0</v>
      </c>
    </row>
    <row r="1583" spans="1:6" ht="15" x14ac:dyDescent="0.2">
      <c r="A1583" s="7">
        <v>431221</v>
      </c>
      <c r="B1583" s="3" t="s">
        <v>1046</v>
      </c>
      <c r="C1583" s="29">
        <f>ROUND(Balances[[#This Row],[Total]]*40%,0)</f>
        <v>0</v>
      </c>
      <c r="D1583" s="29">
        <f>ROUND(Balances[[#This Row],[Total]]*20%,0)</f>
        <v>0</v>
      </c>
      <c r="E1583" s="29">
        <f>ROUND(Balances[[#This Row],[Total]]*40%,0)</f>
        <v>0</v>
      </c>
      <c r="F1583" s="18">
        <f>SUM(Acueducto[[#This Row],[Acueducto]:[Aseo]])</f>
        <v>0</v>
      </c>
    </row>
    <row r="1584" spans="1:6" ht="15" x14ac:dyDescent="0.2">
      <c r="A1584" s="7">
        <v>431227</v>
      </c>
      <c r="B1584" s="3" t="s">
        <v>1047</v>
      </c>
      <c r="C1584" s="29">
        <f>ROUND(Balances[[#This Row],[Total]]*40%,0)</f>
        <v>0</v>
      </c>
      <c r="D1584" s="29">
        <f>ROUND(Balances[[#This Row],[Total]]*20%,0)</f>
        <v>0</v>
      </c>
      <c r="E1584" s="29">
        <f>ROUND(Balances[[#This Row],[Total]]*40%,0)</f>
        <v>0</v>
      </c>
      <c r="F1584" s="18">
        <f>SUM(Acueducto[[#This Row],[Acueducto]:[Aseo]])</f>
        <v>0</v>
      </c>
    </row>
    <row r="1585" spans="1:6" ht="15" x14ac:dyDescent="0.2">
      <c r="A1585" s="7">
        <v>431228</v>
      </c>
      <c r="B1585" s="3" t="s">
        <v>1048</v>
      </c>
      <c r="C1585" s="29">
        <f>ROUND(Balances[[#This Row],[Total]]*40%,0)</f>
        <v>0</v>
      </c>
      <c r="D1585" s="29">
        <f>ROUND(Balances[[#This Row],[Total]]*20%,0)</f>
        <v>0</v>
      </c>
      <c r="E1585" s="29">
        <f>ROUND(Balances[[#This Row],[Total]]*40%,0)</f>
        <v>0</v>
      </c>
      <c r="F1585" s="18">
        <f>SUM(Acueducto[[#This Row],[Acueducto]:[Aseo]])</f>
        <v>0</v>
      </c>
    </row>
    <row r="1586" spans="1:6" ht="15" x14ac:dyDescent="0.2">
      <c r="A1586" s="7">
        <v>431229</v>
      </c>
      <c r="B1586" s="3" t="s">
        <v>1049</v>
      </c>
      <c r="C1586" s="29">
        <f>ROUND(Balances[[#This Row],[Total]]*40%,0)</f>
        <v>0</v>
      </c>
      <c r="D1586" s="29">
        <f>ROUND(Balances[[#This Row],[Total]]*20%,0)</f>
        <v>0</v>
      </c>
      <c r="E1586" s="29">
        <f>ROUND(Balances[[#This Row],[Total]]*40%,0)</f>
        <v>0</v>
      </c>
      <c r="F1586" s="18">
        <f>SUM(Acueducto[[#This Row],[Acueducto]:[Aseo]])</f>
        <v>0</v>
      </c>
    </row>
    <row r="1587" spans="1:6" ht="15" x14ac:dyDescent="0.2">
      <c r="A1587" s="7">
        <v>431230</v>
      </c>
      <c r="B1587" s="3" t="s">
        <v>1050</v>
      </c>
      <c r="C1587" s="29">
        <f>ROUND(Balances[[#This Row],[Total]]*40%,0)</f>
        <v>0</v>
      </c>
      <c r="D1587" s="29">
        <f>ROUND(Balances[[#This Row],[Total]]*20%,0)</f>
        <v>0</v>
      </c>
      <c r="E1587" s="29">
        <f>ROUND(Balances[[#This Row],[Total]]*40%,0)</f>
        <v>0</v>
      </c>
      <c r="F1587" s="18">
        <f>SUM(Acueducto[[#This Row],[Acueducto]:[Aseo]])</f>
        <v>0</v>
      </c>
    </row>
    <row r="1588" spans="1:6" ht="15" x14ac:dyDescent="0.2">
      <c r="A1588" s="7">
        <v>431231</v>
      </c>
      <c r="B1588" s="3" t="s">
        <v>1051</v>
      </c>
      <c r="C1588" s="29">
        <f>ROUND(Balances[[#This Row],[Total]]*40%,0)</f>
        <v>0</v>
      </c>
      <c r="D1588" s="29">
        <f>ROUND(Balances[[#This Row],[Total]]*20%,0)</f>
        <v>0</v>
      </c>
      <c r="E1588" s="29">
        <f>ROUND(Balances[[#This Row],[Total]]*40%,0)</f>
        <v>0</v>
      </c>
      <c r="F1588" s="18">
        <f>SUM(Acueducto[[#This Row],[Acueducto]:[Aseo]])</f>
        <v>0</v>
      </c>
    </row>
    <row r="1589" spans="1:6" ht="15" x14ac:dyDescent="0.2">
      <c r="A1589" s="7">
        <v>431232</v>
      </c>
      <c r="B1589" s="3" t="s">
        <v>1052</v>
      </c>
      <c r="C1589" s="29">
        <f>ROUND(Balances[[#This Row],[Total]]*40%,0)</f>
        <v>0</v>
      </c>
      <c r="D1589" s="29">
        <f>ROUND(Balances[[#This Row],[Total]]*20%,0)</f>
        <v>0</v>
      </c>
      <c r="E1589" s="29">
        <f>ROUND(Balances[[#This Row],[Total]]*40%,0)</f>
        <v>0</v>
      </c>
      <c r="F1589" s="18">
        <f>SUM(Acueducto[[#This Row],[Acueducto]:[Aseo]])</f>
        <v>0</v>
      </c>
    </row>
    <row r="1590" spans="1:6" ht="15" x14ac:dyDescent="0.2">
      <c r="A1590" s="7">
        <v>431233</v>
      </c>
      <c r="B1590" s="3" t="s">
        <v>1053</v>
      </c>
      <c r="C1590" s="29">
        <f>ROUND(Balances[[#This Row],[Total]]*40%,0)</f>
        <v>0</v>
      </c>
      <c r="D1590" s="29">
        <f>ROUND(Balances[[#This Row],[Total]]*20%,0)</f>
        <v>0</v>
      </c>
      <c r="E1590" s="29">
        <f>ROUND(Balances[[#This Row],[Total]]*40%,0)</f>
        <v>0</v>
      </c>
      <c r="F1590" s="18">
        <f>SUM(Acueducto[[#This Row],[Acueducto]:[Aseo]])</f>
        <v>0</v>
      </c>
    </row>
    <row r="1591" spans="1:6" ht="15" x14ac:dyDescent="0.2">
      <c r="A1591" s="7">
        <v>431236</v>
      </c>
      <c r="B1591" s="3" t="s">
        <v>1054</v>
      </c>
      <c r="C1591" s="29">
        <f>ROUND(Balances[[#This Row],[Total]]*40%,0)</f>
        <v>0</v>
      </c>
      <c r="D1591" s="29">
        <f>ROUND(Balances[[#This Row],[Total]]*20%,0)</f>
        <v>0</v>
      </c>
      <c r="E1591" s="29">
        <f>ROUND(Balances[[#This Row],[Total]]*40%,0)</f>
        <v>0</v>
      </c>
      <c r="F1591" s="18">
        <f>SUM(Acueducto[[#This Row],[Acueducto]:[Aseo]])</f>
        <v>0</v>
      </c>
    </row>
    <row r="1592" spans="1:6" ht="15" x14ac:dyDescent="0.2">
      <c r="A1592" s="7">
        <v>431237</v>
      </c>
      <c r="B1592" s="3" t="s">
        <v>1055</v>
      </c>
      <c r="C1592" s="29">
        <f>ROUND(Balances[[#This Row],[Total]]*40%,0)</f>
        <v>0</v>
      </c>
      <c r="D1592" s="29">
        <f>ROUND(Balances[[#This Row],[Total]]*20%,0)</f>
        <v>0</v>
      </c>
      <c r="E1592" s="29">
        <f>ROUND(Balances[[#This Row],[Total]]*40%,0)</f>
        <v>0</v>
      </c>
      <c r="F1592" s="18">
        <f>SUM(Acueducto[[#This Row],[Acueducto]:[Aseo]])</f>
        <v>0</v>
      </c>
    </row>
    <row r="1593" spans="1:6" ht="15" x14ac:dyDescent="0.2">
      <c r="A1593" s="7">
        <v>431246</v>
      </c>
      <c r="B1593" s="3" t="s">
        <v>1056</v>
      </c>
      <c r="C1593" s="29">
        <f>ROUND(Balances[[#This Row],[Total]]*40%,0)</f>
        <v>0</v>
      </c>
      <c r="D1593" s="29">
        <f>ROUND(Balances[[#This Row],[Total]]*20%,0)</f>
        <v>0</v>
      </c>
      <c r="E1593" s="29">
        <f>ROUND(Balances[[#This Row],[Total]]*40%,0)</f>
        <v>0</v>
      </c>
      <c r="F1593" s="18">
        <f>SUM(Acueducto[[#This Row],[Acueducto]:[Aseo]])</f>
        <v>0</v>
      </c>
    </row>
    <row r="1594" spans="1:6" ht="15" x14ac:dyDescent="0.2">
      <c r="A1594" s="7">
        <v>431247</v>
      </c>
      <c r="B1594" s="3" t="s">
        <v>1057</v>
      </c>
      <c r="C1594" s="29">
        <f>ROUND(Balances[[#This Row],[Total]]*40%,0)</f>
        <v>0</v>
      </c>
      <c r="D1594" s="29">
        <f>ROUND(Balances[[#This Row],[Total]]*20%,0)</f>
        <v>0</v>
      </c>
      <c r="E1594" s="29">
        <f>ROUND(Balances[[#This Row],[Total]]*40%,0)</f>
        <v>0</v>
      </c>
      <c r="F1594" s="18">
        <f>SUM(Acueducto[[#This Row],[Acueducto]:[Aseo]])</f>
        <v>0</v>
      </c>
    </row>
    <row r="1595" spans="1:6" ht="15" x14ac:dyDescent="0.2">
      <c r="A1595" s="7">
        <v>431248</v>
      </c>
      <c r="B1595" s="3" t="s">
        <v>1058</v>
      </c>
      <c r="C1595" s="29">
        <f>ROUND(Balances[[#This Row],[Total]]*40%,0)</f>
        <v>0</v>
      </c>
      <c r="D1595" s="29">
        <f>ROUND(Balances[[#This Row],[Total]]*20%,0)</f>
        <v>0</v>
      </c>
      <c r="E1595" s="29">
        <f>ROUND(Balances[[#This Row],[Total]]*40%,0)</f>
        <v>0</v>
      </c>
      <c r="F1595" s="18">
        <f>SUM(Acueducto[[#This Row],[Acueducto]:[Aseo]])</f>
        <v>0</v>
      </c>
    </row>
    <row r="1596" spans="1:6" ht="15" x14ac:dyDescent="0.2">
      <c r="A1596" s="7">
        <v>431249</v>
      </c>
      <c r="B1596" s="3" t="s">
        <v>1059</v>
      </c>
      <c r="C1596" s="29">
        <f>ROUND(Balances[[#This Row],[Total]]*40%,0)</f>
        <v>0</v>
      </c>
      <c r="D1596" s="29">
        <f>ROUND(Balances[[#This Row],[Total]]*20%,0)</f>
        <v>0</v>
      </c>
      <c r="E1596" s="29">
        <f>ROUND(Balances[[#This Row],[Total]]*40%,0)</f>
        <v>0</v>
      </c>
      <c r="F1596" s="18">
        <f>SUM(Acueducto[[#This Row],[Acueducto]:[Aseo]])</f>
        <v>0</v>
      </c>
    </row>
    <row r="1597" spans="1:6" ht="15" x14ac:dyDescent="0.2">
      <c r="A1597" s="7">
        <v>431256</v>
      </c>
      <c r="B1597" s="3" t="s">
        <v>1060</v>
      </c>
      <c r="C1597" s="29">
        <f>ROUND(Balances[[#This Row],[Total]]*40%,0)</f>
        <v>0</v>
      </c>
      <c r="D1597" s="29">
        <f>ROUND(Balances[[#This Row],[Total]]*20%,0)</f>
        <v>0</v>
      </c>
      <c r="E1597" s="29">
        <f>ROUND(Balances[[#This Row],[Total]]*40%,0)</f>
        <v>0</v>
      </c>
      <c r="F1597" s="18">
        <f>SUM(Acueducto[[#This Row],[Acueducto]:[Aseo]])</f>
        <v>0</v>
      </c>
    </row>
    <row r="1598" spans="1:6" ht="15" x14ac:dyDescent="0.2">
      <c r="A1598" s="7">
        <v>431257</v>
      </c>
      <c r="B1598" s="3" t="s">
        <v>1061</v>
      </c>
      <c r="C1598" s="29">
        <f>ROUND(Balances[[#This Row],[Total]]*40%,0)</f>
        <v>0</v>
      </c>
      <c r="D1598" s="29">
        <f>ROUND(Balances[[#This Row],[Total]]*20%,0)</f>
        <v>0</v>
      </c>
      <c r="E1598" s="29">
        <f>ROUND(Balances[[#This Row],[Total]]*40%,0)</f>
        <v>0</v>
      </c>
      <c r="F1598" s="18">
        <f>SUM(Acueducto[[#This Row],[Acueducto]:[Aseo]])</f>
        <v>0</v>
      </c>
    </row>
    <row r="1599" spans="1:6" ht="15" x14ac:dyDescent="0.2">
      <c r="A1599" s="7">
        <v>431258</v>
      </c>
      <c r="B1599" s="3" t="s">
        <v>1062</v>
      </c>
      <c r="C1599" s="29">
        <f>ROUND(Balances[[#This Row],[Total]]*40%,0)</f>
        <v>0</v>
      </c>
      <c r="D1599" s="29">
        <f>ROUND(Balances[[#This Row],[Total]]*20%,0)</f>
        <v>0</v>
      </c>
      <c r="E1599" s="29">
        <f>ROUND(Balances[[#This Row],[Total]]*40%,0)</f>
        <v>0</v>
      </c>
      <c r="F1599" s="18">
        <f>SUM(Acueducto[[#This Row],[Acueducto]:[Aseo]])</f>
        <v>0</v>
      </c>
    </row>
    <row r="1600" spans="1:6" ht="15" x14ac:dyDescent="0.2">
      <c r="A1600" s="7">
        <v>431259</v>
      </c>
      <c r="B1600" s="3" t="s">
        <v>1063</v>
      </c>
      <c r="C1600" s="29">
        <f>ROUND(Balances[[#This Row],[Total]]*40%,0)</f>
        <v>0</v>
      </c>
      <c r="D1600" s="29">
        <f>ROUND(Balances[[#This Row],[Total]]*20%,0)</f>
        <v>0</v>
      </c>
      <c r="E1600" s="29">
        <f>ROUND(Balances[[#This Row],[Total]]*40%,0)</f>
        <v>0</v>
      </c>
      <c r="F1600" s="18">
        <f>SUM(Acueducto[[#This Row],[Acueducto]:[Aseo]])</f>
        <v>0</v>
      </c>
    </row>
    <row r="1601" spans="1:6" ht="15" x14ac:dyDescent="0.2">
      <c r="A1601" s="7">
        <v>431260</v>
      </c>
      <c r="B1601" s="3" t="s">
        <v>1064</v>
      </c>
      <c r="C1601" s="29">
        <f>ROUND(Balances[[#This Row],[Total]]*40%,0)</f>
        <v>0</v>
      </c>
      <c r="D1601" s="29">
        <f>ROUND(Balances[[#This Row],[Total]]*20%,0)</f>
        <v>0</v>
      </c>
      <c r="E1601" s="29">
        <f>ROUND(Balances[[#This Row],[Total]]*40%,0)</f>
        <v>0</v>
      </c>
      <c r="F1601" s="18">
        <f>SUM(Acueducto[[#This Row],[Acueducto]:[Aseo]])</f>
        <v>0</v>
      </c>
    </row>
    <row r="1602" spans="1:6" ht="15" x14ac:dyDescent="0.2">
      <c r="A1602" s="7">
        <v>431261</v>
      </c>
      <c r="B1602" s="3" t="s">
        <v>1065</v>
      </c>
      <c r="C1602" s="29">
        <f>ROUND(Balances[[#This Row],[Total]]*40%,0)</f>
        <v>0</v>
      </c>
      <c r="D1602" s="29">
        <f>ROUND(Balances[[#This Row],[Total]]*20%,0)</f>
        <v>0</v>
      </c>
      <c r="E1602" s="29">
        <f>ROUND(Balances[[#This Row],[Total]]*40%,0)</f>
        <v>0</v>
      </c>
      <c r="F1602" s="18">
        <f>SUM(Acueducto[[#This Row],[Acueducto]:[Aseo]])</f>
        <v>0</v>
      </c>
    </row>
    <row r="1603" spans="1:6" ht="15" x14ac:dyDescent="0.2">
      <c r="A1603" s="7">
        <v>431262</v>
      </c>
      <c r="B1603" s="3" t="s">
        <v>1066</v>
      </c>
      <c r="C1603" s="29">
        <f>ROUND(Balances[[#This Row],[Total]]*40%,0)</f>
        <v>0</v>
      </c>
      <c r="D1603" s="29">
        <f>ROUND(Balances[[#This Row],[Total]]*20%,0)</f>
        <v>0</v>
      </c>
      <c r="E1603" s="29">
        <f>ROUND(Balances[[#This Row],[Total]]*40%,0)</f>
        <v>0</v>
      </c>
      <c r="F1603" s="18">
        <f>SUM(Acueducto[[#This Row],[Acueducto]:[Aseo]])</f>
        <v>0</v>
      </c>
    </row>
    <row r="1604" spans="1:6" ht="15" x14ac:dyDescent="0.2">
      <c r="A1604" s="7">
        <v>431263</v>
      </c>
      <c r="B1604" s="3" t="s">
        <v>1067</v>
      </c>
      <c r="C1604" s="29">
        <f>ROUND(Balances[[#This Row],[Total]]*40%,0)</f>
        <v>0</v>
      </c>
      <c r="D1604" s="29">
        <f>ROUND(Balances[[#This Row],[Total]]*20%,0)</f>
        <v>0</v>
      </c>
      <c r="E1604" s="29">
        <f>ROUND(Balances[[#This Row],[Total]]*40%,0)</f>
        <v>0</v>
      </c>
      <c r="F1604" s="18">
        <f>SUM(Acueducto[[#This Row],[Acueducto]:[Aseo]])</f>
        <v>0</v>
      </c>
    </row>
    <row r="1605" spans="1:6" ht="15" x14ac:dyDescent="0.2">
      <c r="A1605" s="7">
        <v>431287</v>
      </c>
      <c r="B1605" s="3" t="s">
        <v>1068</v>
      </c>
      <c r="C1605" s="29">
        <f>ROUND(Balances[[#This Row],[Total]]*40%,0)</f>
        <v>0</v>
      </c>
      <c r="D1605" s="29">
        <f>ROUND(Balances[[#This Row],[Total]]*20%,0)</f>
        <v>0</v>
      </c>
      <c r="E1605" s="29">
        <f>ROUND(Balances[[#This Row],[Total]]*40%,0)</f>
        <v>0</v>
      </c>
      <c r="F1605" s="18">
        <f>SUM(Acueducto[[#This Row],[Acueducto]:[Aseo]])</f>
        <v>0</v>
      </c>
    </row>
    <row r="1606" spans="1:6" ht="15" x14ac:dyDescent="0.2">
      <c r="A1606" s="7">
        <v>431288</v>
      </c>
      <c r="B1606" s="3" t="s">
        <v>1069</v>
      </c>
      <c r="C1606" s="29">
        <f>ROUND(Balances[[#This Row],[Total]]*40%,0)</f>
        <v>0</v>
      </c>
      <c r="D1606" s="29">
        <f>ROUND(Balances[[#This Row],[Total]]*20%,0)</f>
        <v>0</v>
      </c>
      <c r="E1606" s="29">
        <f>ROUND(Balances[[#This Row],[Total]]*40%,0)</f>
        <v>0</v>
      </c>
      <c r="F1606" s="18">
        <f>SUM(Acueducto[[#This Row],[Acueducto]:[Aseo]])</f>
        <v>0</v>
      </c>
    </row>
    <row r="1607" spans="1:6" ht="15" x14ac:dyDescent="0.2">
      <c r="A1607" s="7">
        <v>431289</v>
      </c>
      <c r="B1607" s="3" t="s">
        <v>1070</v>
      </c>
      <c r="C1607" s="29">
        <f>ROUND(Balances[[#This Row],[Total]]*40%,0)</f>
        <v>0</v>
      </c>
      <c r="D1607" s="29">
        <f>ROUND(Balances[[#This Row],[Total]]*20%,0)</f>
        <v>0</v>
      </c>
      <c r="E1607" s="29">
        <f>ROUND(Balances[[#This Row],[Total]]*40%,0)</f>
        <v>0</v>
      </c>
      <c r="F1607" s="18">
        <f>SUM(Acueducto[[#This Row],[Acueducto]:[Aseo]])</f>
        <v>0</v>
      </c>
    </row>
    <row r="1608" spans="1:6" ht="15" x14ac:dyDescent="0.2">
      <c r="A1608" s="7">
        <v>431291</v>
      </c>
      <c r="B1608" s="3" t="s">
        <v>1071</v>
      </c>
      <c r="C1608" s="29">
        <f>ROUND(Balances[[#This Row],[Total]]*40%,0)</f>
        <v>0</v>
      </c>
      <c r="D1608" s="29">
        <f>ROUND(Balances[[#This Row],[Total]]*20%,0)</f>
        <v>0</v>
      </c>
      <c r="E1608" s="29">
        <f>ROUND(Balances[[#This Row],[Total]]*40%,0)</f>
        <v>0</v>
      </c>
      <c r="F1608" s="18">
        <f>SUM(Acueducto[[#This Row],[Acueducto]:[Aseo]])</f>
        <v>0</v>
      </c>
    </row>
    <row r="1609" spans="1:6" ht="15" x14ac:dyDescent="0.2">
      <c r="A1609" s="7">
        <v>431292</v>
      </c>
      <c r="B1609" s="3" t="s">
        <v>1072</v>
      </c>
      <c r="C1609" s="29">
        <f>ROUND(Balances[[#This Row],[Total]]*40%,0)</f>
        <v>0</v>
      </c>
      <c r="D1609" s="29">
        <f>ROUND(Balances[[#This Row],[Total]]*20%,0)</f>
        <v>0</v>
      </c>
      <c r="E1609" s="29">
        <f>ROUND(Balances[[#This Row],[Total]]*40%,0)</f>
        <v>0</v>
      </c>
      <c r="F1609" s="18">
        <f>SUM(Acueducto[[#This Row],[Acueducto]:[Aseo]])</f>
        <v>0</v>
      </c>
    </row>
    <row r="1610" spans="1:6" ht="15" x14ac:dyDescent="0.2">
      <c r="A1610" s="7">
        <v>431293</v>
      </c>
      <c r="B1610" s="3" t="s">
        <v>1073</v>
      </c>
      <c r="C1610" s="29">
        <f>ROUND(Balances[[#This Row],[Total]]*40%,0)</f>
        <v>0</v>
      </c>
      <c r="D1610" s="29">
        <f>ROUND(Balances[[#This Row],[Total]]*20%,0)</f>
        <v>0</v>
      </c>
      <c r="E1610" s="29">
        <f>ROUND(Balances[[#This Row],[Total]]*40%,0)</f>
        <v>0</v>
      </c>
      <c r="F1610" s="18">
        <f>SUM(Acueducto[[#This Row],[Acueducto]:[Aseo]])</f>
        <v>0</v>
      </c>
    </row>
    <row r="1611" spans="1:6" ht="15" x14ac:dyDescent="0.2">
      <c r="A1611" s="7">
        <v>431294</v>
      </c>
      <c r="B1611" s="3" t="s">
        <v>1074</v>
      </c>
      <c r="C1611" s="29">
        <f>ROUND(Balances[[#This Row],[Total]]*40%,0)</f>
        <v>0</v>
      </c>
      <c r="D1611" s="29">
        <f>ROUND(Balances[[#This Row],[Total]]*20%,0)</f>
        <v>0</v>
      </c>
      <c r="E1611" s="29">
        <f>ROUND(Balances[[#This Row],[Total]]*40%,0)</f>
        <v>0</v>
      </c>
      <c r="F1611" s="18">
        <f>SUM(Acueducto[[#This Row],[Acueducto]:[Aseo]])</f>
        <v>0</v>
      </c>
    </row>
    <row r="1612" spans="1:6" ht="15" x14ac:dyDescent="0.2">
      <c r="A1612" s="7">
        <v>431295</v>
      </c>
      <c r="B1612" s="3" t="s">
        <v>1075</v>
      </c>
      <c r="C1612" s="29">
        <f>ROUND(Balances[[#This Row],[Total]]*40%,0)</f>
        <v>0</v>
      </c>
      <c r="D1612" s="29">
        <f>ROUND(Balances[[#This Row],[Total]]*20%,0)</f>
        <v>0</v>
      </c>
      <c r="E1612" s="29">
        <f>ROUND(Balances[[#This Row],[Total]]*40%,0)</f>
        <v>0</v>
      </c>
      <c r="F1612" s="18">
        <f>SUM(Acueducto[[#This Row],[Acueducto]:[Aseo]])</f>
        <v>0</v>
      </c>
    </row>
    <row r="1613" spans="1:6" ht="15" x14ac:dyDescent="0.2">
      <c r="A1613" s="6">
        <v>4315</v>
      </c>
      <c r="B1613" s="2" t="s">
        <v>1076</v>
      </c>
      <c r="C1613" s="28">
        <f>ROUND(Balances[[#This Row],[Total]]*40%,0)</f>
        <v>0</v>
      </c>
      <c r="D1613" s="28">
        <f>ROUND(Balances[[#This Row],[Total]]*20%,0)</f>
        <v>0</v>
      </c>
      <c r="E1613" s="28">
        <f>ROUND(Balances[[#This Row],[Total]]*40%,0)</f>
        <v>0</v>
      </c>
      <c r="F1613" s="17">
        <f>SUM(Acueducto[[#This Row],[Acueducto]:[Aseo]])</f>
        <v>0</v>
      </c>
    </row>
    <row r="1614" spans="1:6" ht="15" x14ac:dyDescent="0.2">
      <c r="A1614" s="7">
        <v>431517</v>
      </c>
      <c r="B1614" s="3" t="s">
        <v>1077</v>
      </c>
      <c r="C1614" s="29">
        <f>ROUND(Balances[[#This Row],[Total]]*40%,0)</f>
        <v>0</v>
      </c>
      <c r="D1614" s="29">
        <f>ROUND(Balances[[#This Row],[Total]]*20%,0)</f>
        <v>0</v>
      </c>
      <c r="E1614" s="29">
        <f>ROUND(Balances[[#This Row],[Total]]*40%,0)</f>
        <v>0</v>
      </c>
      <c r="F1614" s="18">
        <f>SUM(Acueducto[[#This Row],[Acueducto]:[Aseo]])</f>
        <v>0</v>
      </c>
    </row>
    <row r="1615" spans="1:6" ht="15" x14ac:dyDescent="0.2">
      <c r="A1615" s="7">
        <v>431518</v>
      </c>
      <c r="B1615" s="3" t="s">
        <v>1078</v>
      </c>
      <c r="C1615" s="29">
        <f>ROUND(Balances[[#This Row],[Total]]*40%,0)</f>
        <v>0</v>
      </c>
      <c r="D1615" s="29">
        <f>ROUND(Balances[[#This Row],[Total]]*20%,0)</f>
        <v>0</v>
      </c>
      <c r="E1615" s="29">
        <f>ROUND(Balances[[#This Row],[Total]]*40%,0)</f>
        <v>0</v>
      </c>
      <c r="F1615" s="18">
        <f>SUM(Acueducto[[#This Row],[Acueducto]:[Aseo]])</f>
        <v>0</v>
      </c>
    </row>
    <row r="1616" spans="1:6" ht="15" x14ac:dyDescent="0.2">
      <c r="A1616" s="7">
        <v>431519</v>
      </c>
      <c r="B1616" s="3" t="s">
        <v>1079</v>
      </c>
      <c r="C1616" s="29">
        <f>ROUND(Balances[[#This Row],[Total]]*40%,0)</f>
        <v>0</v>
      </c>
      <c r="D1616" s="29">
        <f>ROUND(Balances[[#This Row],[Total]]*20%,0)</f>
        <v>0</v>
      </c>
      <c r="E1616" s="29">
        <f>ROUND(Balances[[#This Row],[Total]]*40%,0)</f>
        <v>0</v>
      </c>
      <c r="F1616" s="18">
        <f>SUM(Acueducto[[#This Row],[Acueducto]:[Aseo]])</f>
        <v>0</v>
      </c>
    </row>
    <row r="1617" spans="1:6" ht="15" x14ac:dyDescent="0.2">
      <c r="A1617" s="7">
        <v>431520</v>
      </c>
      <c r="B1617" s="3" t="s">
        <v>1080</v>
      </c>
      <c r="C1617" s="29">
        <f>ROUND(Balances[[#This Row],[Total]]*40%,0)</f>
        <v>0</v>
      </c>
      <c r="D1617" s="29">
        <f>ROUND(Balances[[#This Row],[Total]]*20%,0)</f>
        <v>0</v>
      </c>
      <c r="E1617" s="29">
        <f>ROUND(Balances[[#This Row],[Total]]*40%,0)</f>
        <v>0</v>
      </c>
      <c r="F1617" s="18">
        <f>SUM(Acueducto[[#This Row],[Acueducto]:[Aseo]])</f>
        <v>0</v>
      </c>
    </row>
    <row r="1618" spans="1:6" ht="15" x14ac:dyDescent="0.2">
      <c r="A1618" s="6">
        <v>4321</v>
      </c>
      <c r="B1618" s="2" t="s">
        <v>1081</v>
      </c>
      <c r="C1618" s="28">
        <f>ROUND(Balances[[#This Row],[Total]]*40%,0)</f>
        <v>68431819</v>
      </c>
      <c r="D1618" s="28">
        <f>ROUND(Balances[[#This Row],[Total]]*20%,0)</f>
        <v>34215909</v>
      </c>
      <c r="E1618" s="28">
        <f>ROUND(Balances[[#This Row],[Total]]*40%,0)</f>
        <v>68431819</v>
      </c>
      <c r="F1618" s="28">
        <f>SUM(Acueducto[[#This Row],[Acueducto]:[Aseo]])</f>
        <v>171079547</v>
      </c>
    </row>
    <row r="1619" spans="1:6" ht="15" x14ac:dyDescent="0.2">
      <c r="A1619" s="7">
        <v>432108</v>
      </c>
      <c r="B1619" s="3" t="s">
        <v>1082</v>
      </c>
      <c r="C1619" s="29">
        <f>ROUND(Balances[[#This Row],[Total]]*40%,0)</f>
        <v>0</v>
      </c>
      <c r="D1619" s="29">
        <f>ROUND(Balances[[#This Row],[Total]]*20%,0)</f>
        <v>0</v>
      </c>
      <c r="E1619" s="29">
        <f>ROUND(Balances[[#This Row],[Total]]*40%,0)</f>
        <v>0</v>
      </c>
      <c r="F1619" s="18">
        <f>SUM(Acueducto[[#This Row],[Acueducto]:[Aseo]])</f>
        <v>0</v>
      </c>
    </row>
    <row r="1620" spans="1:6" ht="15" x14ac:dyDescent="0.2">
      <c r="A1620" s="7">
        <v>432109</v>
      </c>
      <c r="B1620" s="3" t="s">
        <v>1079</v>
      </c>
      <c r="C1620" s="29">
        <f>ROUND(Balances[[#This Row],[Total]]*40%,0)</f>
        <v>68431819</v>
      </c>
      <c r="D1620" s="29">
        <f>ROUND(Balances[[#This Row],[Total]]*20%,0)</f>
        <v>34215909</v>
      </c>
      <c r="E1620" s="29">
        <f>ROUND(Balances[[#This Row],[Total]]*40%,0)</f>
        <v>68431819</v>
      </c>
      <c r="F1620" s="18">
        <f>SUM(Acueducto[[#This Row],[Acueducto]:[Aseo]])</f>
        <v>171079547</v>
      </c>
    </row>
    <row r="1621" spans="1:6" ht="15" x14ac:dyDescent="0.2">
      <c r="A1621" s="7">
        <v>432110</v>
      </c>
      <c r="B1621" s="3" t="s">
        <v>1080</v>
      </c>
      <c r="C1621" s="29">
        <f>ROUND(Balances[[#This Row],[Total]]*40%,0)</f>
        <v>0</v>
      </c>
      <c r="D1621" s="29">
        <f>ROUND(Balances[[#This Row],[Total]]*20%,0)</f>
        <v>0</v>
      </c>
      <c r="E1621" s="29">
        <f>ROUND(Balances[[#This Row],[Total]]*40%,0)</f>
        <v>0</v>
      </c>
      <c r="F1621" s="29">
        <f>SUM(Acueducto[[#This Row],[Acueducto]:[Aseo]])</f>
        <v>0</v>
      </c>
    </row>
    <row r="1622" spans="1:6" ht="15" x14ac:dyDescent="0.2">
      <c r="A1622" s="6">
        <v>4322</v>
      </c>
      <c r="B1622" s="2" t="s">
        <v>1083</v>
      </c>
      <c r="C1622" s="28">
        <f>ROUND(Balances[[#This Row],[Total]]*40%,0)</f>
        <v>32797866</v>
      </c>
      <c r="D1622" s="28">
        <f>ROUND(Balances[[#This Row],[Total]]*20%,0)</f>
        <v>16398933</v>
      </c>
      <c r="E1622" s="28">
        <f>ROUND(Balances[[#This Row],[Total]]*40%,0)</f>
        <v>32797866</v>
      </c>
      <c r="F1622" s="28">
        <f>SUM(Acueducto[[#This Row],[Acueducto]:[Aseo]])</f>
        <v>81994665</v>
      </c>
    </row>
    <row r="1623" spans="1:6" ht="15" x14ac:dyDescent="0.2">
      <c r="A1623" s="7">
        <v>432208</v>
      </c>
      <c r="B1623" s="3" t="s">
        <v>1084</v>
      </c>
      <c r="C1623" s="29">
        <f>ROUND(Balances[[#This Row],[Total]]*40%,0)</f>
        <v>32797866</v>
      </c>
      <c r="D1623" s="29">
        <f>ROUND(Balances[[#This Row],[Total]]*20%,0)</f>
        <v>16398933</v>
      </c>
      <c r="E1623" s="29">
        <f>ROUND(Balances[[#This Row],[Total]]*40%,0)</f>
        <v>32797866</v>
      </c>
      <c r="F1623" s="18">
        <f>SUM(Acueducto[[#This Row],[Acueducto]:[Aseo]])</f>
        <v>81994665</v>
      </c>
    </row>
    <row r="1624" spans="1:6" ht="15" x14ac:dyDescent="0.2">
      <c r="A1624" s="7">
        <v>432209</v>
      </c>
      <c r="B1624" s="3" t="s">
        <v>1085</v>
      </c>
      <c r="C1624" s="29">
        <f>ROUND(Balances[[#This Row],[Total]]*40%,0)</f>
        <v>0</v>
      </c>
      <c r="D1624" s="29">
        <f>ROUND(Balances[[#This Row],[Total]]*20%,0)</f>
        <v>0</v>
      </c>
      <c r="E1624" s="29">
        <f>ROUND(Balances[[#This Row],[Total]]*40%,0)</f>
        <v>0</v>
      </c>
      <c r="F1624" s="18">
        <f>SUM(Acueducto[[#This Row],[Acueducto]:[Aseo]])</f>
        <v>0</v>
      </c>
    </row>
    <row r="1625" spans="1:6" ht="15" x14ac:dyDescent="0.2">
      <c r="A1625" s="7">
        <v>432210</v>
      </c>
      <c r="B1625" s="3" t="s">
        <v>1080</v>
      </c>
      <c r="C1625" s="29">
        <f>ROUND(Balances[[#This Row],[Total]]*40%,0)</f>
        <v>0</v>
      </c>
      <c r="D1625" s="29">
        <f>ROUND(Balances[[#This Row],[Total]]*20%,0)</f>
        <v>0</v>
      </c>
      <c r="E1625" s="29">
        <f>ROUND(Balances[[#This Row],[Total]]*40%,0)</f>
        <v>0</v>
      </c>
      <c r="F1625" s="29">
        <f>SUM(Acueducto[[#This Row],[Acueducto]:[Aseo]])</f>
        <v>0</v>
      </c>
    </row>
    <row r="1626" spans="1:6" ht="15" x14ac:dyDescent="0.2">
      <c r="A1626" s="6">
        <v>4323</v>
      </c>
      <c r="B1626" s="2" t="s">
        <v>1086</v>
      </c>
      <c r="C1626" s="28">
        <f>ROUND(Balances[[#This Row],[Total]]*40%,0)</f>
        <v>52515876</v>
      </c>
      <c r="D1626" s="28">
        <f>ROUND(Balances[[#This Row],[Total]]*20%,0)</f>
        <v>26257938</v>
      </c>
      <c r="E1626" s="28">
        <f>ROUND(Balances[[#This Row],[Total]]*40%,0)</f>
        <v>52515876</v>
      </c>
      <c r="F1626" s="28">
        <f>SUM(Acueducto[[#This Row],[Acueducto]:[Aseo]])</f>
        <v>131289690</v>
      </c>
    </row>
    <row r="1627" spans="1:6" ht="15" x14ac:dyDescent="0.2">
      <c r="A1627" s="7">
        <v>432307</v>
      </c>
      <c r="B1627" s="3" t="s">
        <v>1087</v>
      </c>
      <c r="C1627" s="29">
        <f>ROUND(Balances[[#This Row],[Total]]*40%,0)</f>
        <v>52515876</v>
      </c>
      <c r="D1627" s="29">
        <f>ROUND(Balances[[#This Row],[Total]]*20%,0)</f>
        <v>26257938</v>
      </c>
      <c r="E1627" s="29">
        <f>ROUND(Balances[[#This Row],[Total]]*40%,0)</f>
        <v>52515876</v>
      </c>
      <c r="F1627" s="18">
        <f>SUM(Acueducto[[#This Row],[Acueducto]:[Aseo]])</f>
        <v>131289690</v>
      </c>
    </row>
    <row r="1628" spans="1:6" ht="15" x14ac:dyDescent="0.2">
      <c r="A1628" s="7">
        <v>432308</v>
      </c>
      <c r="B1628" s="3" t="s">
        <v>1088</v>
      </c>
      <c r="C1628" s="29">
        <f>ROUND(Balances[[#This Row],[Total]]*40%,0)</f>
        <v>0</v>
      </c>
      <c r="D1628" s="29">
        <f>ROUND(Balances[[#This Row],[Total]]*20%,0)</f>
        <v>0</v>
      </c>
      <c r="E1628" s="29">
        <f>ROUND(Balances[[#This Row],[Total]]*40%,0)</f>
        <v>0</v>
      </c>
      <c r="F1628" s="18">
        <f>SUM(Acueducto[[#This Row],[Acueducto]:[Aseo]])</f>
        <v>0</v>
      </c>
    </row>
    <row r="1629" spans="1:6" ht="15" x14ac:dyDescent="0.2">
      <c r="A1629" s="7">
        <v>432309</v>
      </c>
      <c r="B1629" s="3" t="s">
        <v>1089</v>
      </c>
      <c r="C1629" s="29">
        <f>ROUND(Balances[[#This Row],[Total]]*40%,0)</f>
        <v>0</v>
      </c>
      <c r="D1629" s="29">
        <f>ROUND(Balances[[#This Row],[Total]]*20%,0)</f>
        <v>0</v>
      </c>
      <c r="E1629" s="29">
        <f>ROUND(Balances[[#This Row],[Total]]*40%,0)</f>
        <v>0</v>
      </c>
      <c r="F1629" s="18">
        <f>SUM(Acueducto[[#This Row],[Acueducto]:[Aseo]])</f>
        <v>0</v>
      </c>
    </row>
    <row r="1630" spans="1:6" ht="15" x14ac:dyDescent="0.2">
      <c r="A1630" s="7">
        <v>432310</v>
      </c>
      <c r="B1630" s="3" t="s">
        <v>1090</v>
      </c>
      <c r="C1630" s="29">
        <f>ROUND(Balances[[#This Row],[Total]]*40%,0)</f>
        <v>0</v>
      </c>
      <c r="D1630" s="29">
        <f>ROUND(Balances[[#This Row],[Total]]*20%,0)</f>
        <v>0</v>
      </c>
      <c r="E1630" s="29">
        <f>ROUND(Balances[[#This Row],[Total]]*40%,0)</f>
        <v>0</v>
      </c>
      <c r="F1630" s="18">
        <f>SUM(Acueducto[[#This Row],[Acueducto]:[Aseo]])</f>
        <v>0</v>
      </c>
    </row>
    <row r="1631" spans="1:6" ht="15" x14ac:dyDescent="0.2">
      <c r="A1631" s="7">
        <v>432311</v>
      </c>
      <c r="B1631" s="3" t="s">
        <v>1091</v>
      </c>
      <c r="C1631" s="29">
        <f>ROUND(Balances[[#This Row],[Total]]*40%,0)</f>
        <v>0</v>
      </c>
      <c r="D1631" s="29">
        <f>ROUND(Balances[[#This Row],[Total]]*20%,0)</f>
        <v>0</v>
      </c>
      <c r="E1631" s="29">
        <f>ROUND(Balances[[#This Row],[Total]]*40%,0)</f>
        <v>0</v>
      </c>
      <c r="F1631" s="18">
        <f>SUM(Acueducto[[#This Row],[Acueducto]:[Aseo]])</f>
        <v>0</v>
      </c>
    </row>
    <row r="1632" spans="1:6" ht="15" x14ac:dyDescent="0.2">
      <c r="A1632" s="7">
        <v>432312</v>
      </c>
      <c r="B1632" s="3" t="s">
        <v>1092</v>
      </c>
      <c r="C1632" s="29">
        <f>ROUND(Balances[[#This Row],[Total]]*40%,0)</f>
        <v>0</v>
      </c>
      <c r="D1632" s="29">
        <f>ROUND(Balances[[#This Row],[Total]]*20%,0)</f>
        <v>0</v>
      </c>
      <c r="E1632" s="29">
        <f>ROUND(Balances[[#This Row],[Total]]*40%,0)</f>
        <v>0</v>
      </c>
      <c r="F1632" s="18">
        <f>SUM(Acueducto[[#This Row],[Acueducto]:[Aseo]])</f>
        <v>0</v>
      </c>
    </row>
    <row r="1633" spans="1:6" ht="15" x14ac:dyDescent="0.2">
      <c r="A1633" s="7">
        <v>432313</v>
      </c>
      <c r="B1633" s="3" t="s">
        <v>1093</v>
      </c>
      <c r="C1633" s="29">
        <f>ROUND(Balances[[#This Row],[Total]]*40%,0)</f>
        <v>0</v>
      </c>
      <c r="D1633" s="29">
        <f>ROUND(Balances[[#This Row],[Total]]*20%,0)</f>
        <v>0</v>
      </c>
      <c r="E1633" s="29">
        <f>ROUND(Balances[[#This Row],[Total]]*40%,0)</f>
        <v>0</v>
      </c>
      <c r="F1633" s="29">
        <f>SUM(Acueducto[[#This Row],[Acueducto]:[Aseo]])</f>
        <v>0</v>
      </c>
    </row>
    <row r="1634" spans="1:6" ht="15" x14ac:dyDescent="0.2">
      <c r="A1634" s="7">
        <v>432314</v>
      </c>
      <c r="B1634" s="3" t="s">
        <v>1094</v>
      </c>
      <c r="C1634" s="29">
        <f>ROUND(Balances[[#This Row],[Total]]*40%,0)</f>
        <v>0</v>
      </c>
      <c r="D1634" s="29">
        <f>ROUND(Balances[[#This Row],[Total]]*20%,0)</f>
        <v>0</v>
      </c>
      <c r="E1634" s="29">
        <f>ROUND(Balances[[#This Row],[Total]]*40%,0)</f>
        <v>0</v>
      </c>
      <c r="F1634" s="18">
        <f>SUM(Acueducto[[#This Row],[Acueducto]:[Aseo]])</f>
        <v>0</v>
      </c>
    </row>
    <row r="1635" spans="1:6" ht="15" x14ac:dyDescent="0.2">
      <c r="A1635" s="7">
        <v>432315</v>
      </c>
      <c r="B1635" s="3" t="s">
        <v>1095</v>
      </c>
      <c r="C1635" s="29">
        <f>ROUND(Balances[[#This Row],[Total]]*40%,0)</f>
        <v>0</v>
      </c>
      <c r="D1635" s="29">
        <f>ROUND(Balances[[#This Row],[Total]]*20%,0)</f>
        <v>0</v>
      </c>
      <c r="E1635" s="29">
        <f>ROUND(Balances[[#This Row],[Total]]*40%,0)</f>
        <v>0</v>
      </c>
      <c r="F1635" s="18">
        <f>SUM(Acueducto[[#This Row],[Acueducto]:[Aseo]])</f>
        <v>0</v>
      </c>
    </row>
    <row r="1636" spans="1:6" ht="15" x14ac:dyDescent="0.2">
      <c r="A1636" s="7">
        <v>432316</v>
      </c>
      <c r="B1636" s="3" t="s">
        <v>1096</v>
      </c>
      <c r="C1636" s="29">
        <f>ROUND(Balances[[#This Row],[Total]]*40%,0)</f>
        <v>0</v>
      </c>
      <c r="D1636" s="29">
        <f>ROUND(Balances[[#This Row],[Total]]*20%,0)</f>
        <v>0</v>
      </c>
      <c r="E1636" s="29">
        <f>ROUND(Balances[[#This Row],[Total]]*40%,0)</f>
        <v>0</v>
      </c>
      <c r="F1636" s="18">
        <f>SUM(Acueducto[[#This Row],[Acueducto]:[Aseo]])</f>
        <v>0</v>
      </c>
    </row>
    <row r="1637" spans="1:6" ht="15" x14ac:dyDescent="0.2">
      <c r="A1637" s="7">
        <v>432317</v>
      </c>
      <c r="B1637" s="3" t="s">
        <v>1080</v>
      </c>
      <c r="C1637" s="29">
        <f>ROUND(Balances[[#This Row],[Total]]*40%,0)</f>
        <v>0</v>
      </c>
      <c r="D1637" s="29">
        <f>ROUND(Balances[[#This Row],[Total]]*20%,0)</f>
        <v>0</v>
      </c>
      <c r="E1637" s="29">
        <f>ROUND(Balances[[#This Row],[Total]]*40%,0)</f>
        <v>0</v>
      </c>
      <c r="F1637" s="29">
        <f>SUM(Acueducto[[#This Row],[Acueducto]:[Aseo]])</f>
        <v>0</v>
      </c>
    </row>
    <row r="1638" spans="1:6" ht="15" x14ac:dyDescent="0.2">
      <c r="A1638" s="6">
        <v>4325</v>
      </c>
      <c r="B1638" s="2" t="s">
        <v>1097</v>
      </c>
      <c r="C1638" s="28">
        <f>ROUND(Balances[[#This Row],[Total]]*40%,0)</f>
        <v>0</v>
      </c>
      <c r="D1638" s="28">
        <f>ROUND(Balances[[#This Row],[Total]]*20%,0)</f>
        <v>0</v>
      </c>
      <c r="E1638" s="28">
        <f>ROUND(Balances[[#This Row],[Total]]*40%,0)</f>
        <v>0</v>
      </c>
      <c r="F1638" s="17">
        <f>SUM(Acueducto[[#This Row],[Acueducto]:[Aseo]])</f>
        <v>0</v>
      </c>
    </row>
    <row r="1639" spans="1:6" ht="15" x14ac:dyDescent="0.2">
      <c r="A1639" s="7">
        <v>432525</v>
      </c>
      <c r="B1639" s="3" t="s">
        <v>1098</v>
      </c>
      <c r="C1639" s="29">
        <f>ROUND(Balances[[#This Row],[Total]]*40%,0)</f>
        <v>0</v>
      </c>
      <c r="D1639" s="29">
        <f>ROUND(Balances[[#This Row],[Total]]*20%,0)</f>
        <v>0</v>
      </c>
      <c r="E1639" s="29">
        <f>ROUND(Balances[[#This Row],[Total]]*40%,0)</f>
        <v>0</v>
      </c>
      <c r="F1639" s="18">
        <f>SUM(Acueducto[[#This Row],[Acueducto]:[Aseo]])</f>
        <v>0</v>
      </c>
    </row>
    <row r="1640" spans="1:6" ht="15" x14ac:dyDescent="0.2">
      <c r="A1640" s="7">
        <v>432526</v>
      </c>
      <c r="B1640" s="3" t="s">
        <v>1099</v>
      </c>
      <c r="C1640" s="29">
        <f>ROUND(Balances[[#This Row],[Total]]*40%,0)</f>
        <v>0</v>
      </c>
      <c r="D1640" s="29">
        <f>ROUND(Balances[[#This Row],[Total]]*20%,0)</f>
        <v>0</v>
      </c>
      <c r="E1640" s="29">
        <f>ROUND(Balances[[#This Row],[Total]]*40%,0)</f>
        <v>0</v>
      </c>
      <c r="F1640" s="18">
        <f>SUM(Acueducto[[#This Row],[Acueducto]:[Aseo]])</f>
        <v>0</v>
      </c>
    </row>
    <row r="1641" spans="1:6" ht="15" x14ac:dyDescent="0.2">
      <c r="A1641" s="7">
        <v>432527</v>
      </c>
      <c r="B1641" s="3" t="s">
        <v>1100</v>
      </c>
      <c r="C1641" s="29">
        <f>ROUND(Balances[[#This Row],[Total]]*40%,0)</f>
        <v>0</v>
      </c>
      <c r="D1641" s="29">
        <f>ROUND(Balances[[#This Row],[Total]]*20%,0)</f>
        <v>0</v>
      </c>
      <c r="E1641" s="29">
        <f>ROUND(Balances[[#This Row],[Total]]*40%,0)</f>
        <v>0</v>
      </c>
      <c r="F1641" s="18">
        <f>SUM(Acueducto[[#This Row],[Acueducto]:[Aseo]])</f>
        <v>0</v>
      </c>
    </row>
    <row r="1642" spans="1:6" ht="15" x14ac:dyDescent="0.2">
      <c r="A1642" s="7">
        <v>432528</v>
      </c>
      <c r="B1642" s="3" t="s">
        <v>1101</v>
      </c>
      <c r="C1642" s="29">
        <f>ROUND(Balances[[#This Row],[Total]]*40%,0)</f>
        <v>0</v>
      </c>
      <c r="D1642" s="29">
        <f>ROUND(Balances[[#This Row],[Total]]*20%,0)</f>
        <v>0</v>
      </c>
      <c r="E1642" s="29">
        <f>ROUND(Balances[[#This Row],[Total]]*40%,0)</f>
        <v>0</v>
      </c>
      <c r="F1642" s="18">
        <f>SUM(Acueducto[[#This Row],[Acueducto]:[Aseo]])</f>
        <v>0</v>
      </c>
    </row>
    <row r="1643" spans="1:6" ht="15" x14ac:dyDescent="0.2">
      <c r="A1643" s="7">
        <v>432529</v>
      </c>
      <c r="B1643" s="3" t="s">
        <v>1102</v>
      </c>
      <c r="C1643" s="29">
        <f>ROUND(Balances[[#This Row],[Total]]*40%,0)</f>
        <v>0</v>
      </c>
      <c r="D1643" s="29">
        <f>ROUND(Balances[[#This Row],[Total]]*20%,0)</f>
        <v>0</v>
      </c>
      <c r="E1643" s="29">
        <f>ROUND(Balances[[#This Row],[Total]]*40%,0)</f>
        <v>0</v>
      </c>
      <c r="F1643" s="18">
        <f>SUM(Acueducto[[#This Row],[Acueducto]:[Aseo]])</f>
        <v>0</v>
      </c>
    </row>
    <row r="1644" spans="1:6" ht="15" x14ac:dyDescent="0.2">
      <c r="A1644" s="7">
        <v>432530</v>
      </c>
      <c r="B1644" s="3" t="s">
        <v>1103</v>
      </c>
      <c r="C1644" s="29">
        <f>ROUND(Balances[[#This Row],[Total]]*40%,0)</f>
        <v>0</v>
      </c>
      <c r="D1644" s="29">
        <f>ROUND(Balances[[#This Row],[Total]]*20%,0)</f>
        <v>0</v>
      </c>
      <c r="E1644" s="29">
        <f>ROUND(Balances[[#This Row],[Total]]*40%,0)</f>
        <v>0</v>
      </c>
      <c r="F1644" s="18">
        <f>SUM(Acueducto[[#This Row],[Acueducto]:[Aseo]])</f>
        <v>0</v>
      </c>
    </row>
    <row r="1645" spans="1:6" ht="15" x14ac:dyDescent="0.2">
      <c r="A1645" s="6">
        <v>4330</v>
      </c>
      <c r="B1645" s="2" t="s">
        <v>1104</v>
      </c>
      <c r="C1645" s="28">
        <f>ROUND(Balances[[#This Row],[Total]]*40%,0)</f>
        <v>0</v>
      </c>
      <c r="D1645" s="28">
        <f>ROUND(Balances[[#This Row],[Total]]*20%,0)</f>
        <v>0</v>
      </c>
      <c r="E1645" s="28">
        <f>ROUND(Balances[[#This Row],[Total]]*40%,0)</f>
        <v>0</v>
      </c>
      <c r="F1645" s="17">
        <f>SUM(Acueducto[[#This Row],[Acueducto]:[Aseo]])</f>
        <v>0</v>
      </c>
    </row>
    <row r="1646" spans="1:6" ht="15" x14ac:dyDescent="0.2">
      <c r="A1646" s="7">
        <v>433010</v>
      </c>
      <c r="B1646" s="3" t="s">
        <v>1105</v>
      </c>
      <c r="C1646" s="29">
        <f>ROUND(Balances[[#This Row],[Total]]*40%,0)</f>
        <v>0</v>
      </c>
      <c r="D1646" s="29">
        <f>ROUND(Balances[[#This Row],[Total]]*20%,0)</f>
        <v>0</v>
      </c>
      <c r="E1646" s="29">
        <f>ROUND(Balances[[#This Row],[Total]]*40%,0)</f>
        <v>0</v>
      </c>
      <c r="F1646" s="18">
        <f>SUM(Acueducto[[#This Row],[Acueducto]:[Aseo]])</f>
        <v>0</v>
      </c>
    </row>
    <row r="1647" spans="1:6" ht="15" x14ac:dyDescent="0.2">
      <c r="A1647" s="7">
        <v>433011</v>
      </c>
      <c r="B1647" s="3" t="s">
        <v>1106</v>
      </c>
      <c r="C1647" s="29">
        <f>ROUND(Balances[[#This Row],[Total]]*40%,0)</f>
        <v>0</v>
      </c>
      <c r="D1647" s="29">
        <f>ROUND(Balances[[#This Row],[Total]]*20%,0)</f>
        <v>0</v>
      </c>
      <c r="E1647" s="29">
        <f>ROUND(Balances[[#This Row],[Total]]*40%,0)</f>
        <v>0</v>
      </c>
      <c r="F1647" s="18">
        <f>SUM(Acueducto[[#This Row],[Acueducto]:[Aseo]])</f>
        <v>0</v>
      </c>
    </row>
    <row r="1648" spans="1:6" ht="15" x14ac:dyDescent="0.2">
      <c r="A1648" s="7">
        <v>433014</v>
      </c>
      <c r="B1648" s="3" t="s">
        <v>1107</v>
      </c>
      <c r="C1648" s="29">
        <f>ROUND(Balances[[#This Row],[Total]]*40%,0)</f>
        <v>0</v>
      </c>
      <c r="D1648" s="29">
        <f>ROUND(Balances[[#This Row],[Total]]*20%,0)</f>
        <v>0</v>
      </c>
      <c r="E1648" s="29">
        <f>ROUND(Balances[[#This Row],[Total]]*40%,0)</f>
        <v>0</v>
      </c>
      <c r="F1648" s="18">
        <f>SUM(Acueducto[[#This Row],[Acueducto]:[Aseo]])</f>
        <v>0</v>
      </c>
    </row>
    <row r="1649" spans="1:6" ht="15" x14ac:dyDescent="0.2">
      <c r="A1649" s="7">
        <v>433015</v>
      </c>
      <c r="B1649" s="3" t="s">
        <v>1108</v>
      </c>
      <c r="C1649" s="29">
        <f>ROUND(Balances[[#This Row],[Total]]*40%,0)</f>
        <v>0</v>
      </c>
      <c r="D1649" s="29">
        <f>ROUND(Balances[[#This Row],[Total]]*20%,0)</f>
        <v>0</v>
      </c>
      <c r="E1649" s="29">
        <f>ROUND(Balances[[#This Row],[Total]]*40%,0)</f>
        <v>0</v>
      </c>
      <c r="F1649" s="18">
        <f>SUM(Acueducto[[#This Row],[Acueducto]:[Aseo]])</f>
        <v>0</v>
      </c>
    </row>
    <row r="1650" spans="1:6" ht="15" x14ac:dyDescent="0.2">
      <c r="A1650" s="7">
        <v>433090</v>
      </c>
      <c r="B1650" s="3" t="s">
        <v>1109</v>
      </c>
      <c r="C1650" s="29">
        <f>ROUND(Balances[[#This Row],[Total]]*40%,0)</f>
        <v>0</v>
      </c>
      <c r="D1650" s="29">
        <f>ROUND(Balances[[#This Row],[Total]]*20%,0)</f>
        <v>0</v>
      </c>
      <c r="E1650" s="29">
        <f>ROUND(Balances[[#This Row],[Total]]*40%,0)</f>
        <v>0</v>
      </c>
      <c r="F1650" s="18">
        <f>SUM(Acueducto[[#This Row],[Acueducto]:[Aseo]])</f>
        <v>0</v>
      </c>
    </row>
    <row r="1651" spans="1:6" ht="15" x14ac:dyDescent="0.2">
      <c r="A1651" s="6">
        <v>4333</v>
      </c>
      <c r="B1651" s="2" t="s">
        <v>1110</v>
      </c>
      <c r="C1651" s="28">
        <f>ROUND(Balances[[#This Row],[Total]]*40%,0)</f>
        <v>0</v>
      </c>
      <c r="D1651" s="28">
        <f>ROUND(Balances[[#This Row],[Total]]*20%,0)</f>
        <v>0</v>
      </c>
      <c r="E1651" s="28">
        <f>ROUND(Balances[[#This Row],[Total]]*40%,0)</f>
        <v>0</v>
      </c>
      <c r="F1651" s="17">
        <f>SUM(Acueducto[[#This Row],[Acueducto]:[Aseo]])</f>
        <v>0</v>
      </c>
    </row>
    <row r="1652" spans="1:6" ht="15" x14ac:dyDescent="0.2">
      <c r="A1652" s="7">
        <v>433301</v>
      </c>
      <c r="B1652" s="3" t="s">
        <v>1111</v>
      </c>
      <c r="C1652" s="29">
        <f>ROUND(Balances[[#This Row],[Total]]*40%,0)</f>
        <v>0</v>
      </c>
      <c r="D1652" s="29">
        <f>ROUND(Balances[[#This Row],[Total]]*20%,0)</f>
        <v>0</v>
      </c>
      <c r="E1652" s="29">
        <f>ROUND(Balances[[#This Row],[Total]]*40%,0)</f>
        <v>0</v>
      </c>
      <c r="F1652" s="18">
        <f>SUM(Acueducto[[#This Row],[Acueducto]:[Aseo]])</f>
        <v>0</v>
      </c>
    </row>
    <row r="1653" spans="1:6" ht="15" x14ac:dyDescent="0.2">
      <c r="A1653" s="7">
        <v>433302</v>
      </c>
      <c r="B1653" s="3" t="s">
        <v>1112</v>
      </c>
      <c r="C1653" s="29">
        <f>ROUND(Balances[[#This Row],[Total]]*40%,0)</f>
        <v>0</v>
      </c>
      <c r="D1653" s="29">
        <f>ROUND(Balances[[#This Row],[Total]]*20%,0)</f>
        <v>0</v>
      </c>
      <c r="E1653" s="29">
        <f>ROUND(Balances[[#This Row],[Total]]*40%,0)</f>
        <v>0</v>
      </c>
      <c r="F1653" s="18">
        <f>SUM(Acueducto[[#This Row],[Acueducto]:[Aseo]])</f>
        <v>0</v>
      </c>
    </row>
    <row r="1654" spans="1:6" ht="15" x14ac:dyDescent="0.2">
      <c r="A1654" s="7">
        <v>433304</v>
      </c>
      <c r="B1654" s="3" t="s">
        <v>1113</v>
      </c>
      <c r="C1654" s="29">
        <f>ROUND(Balances[[#This Row],[Total]]*40%,0)</f>
        <v>0</v>
      </c>
      <c r="D1654" s="29">
        <f>ROUND(Balances[[#This Row],[Total]]*20%,0)</f>
        <v>0</v>
      </c>
      <c r="E1654" s="29">
        <f>ROUND(Balances[[#This Row],[Total]]*40%,0)</f>
        <v>0</v>
      </c>
      <c r="F1654" s="18">
        <f>SUM(Acueducto[[#This Row],[Acueducto]:[Aseo]])</f>
        <v>0</v>
      </c>
    </row>
    <row r="1655" spans="1:6" ht="15" x14ac:dyDescent="0.2">
      <c r="A1655" s="7">
        <v>433305</v>
      </c>
      <c r="B1655" s="3" t="s">
        <v>1114</v>
      </c>
      <c r="C1655" s="29">
        <f>ROUND(Balances[[#This Row],[Total]]*40%,0)</f>
        <v>0</v>
      </c>
      <c r="D1655" s="29">
        <f>ROUND(Balances[[#This Row],[Total]]*20%,0)</f>
        <v>0</v>
      </c>
      <c r="E1655" s="29">
        <f>ROUND(Balances[[#This Row],[Total]]*40%,0)</f>
        <v>0</v>
      </c>
      <c r="F1655" s="18">
        <f>SUM(Acueducto[[#This Row],[Acueducto]:[Aseo]])</f>
        <v>0</v>
      </c>
    </row>
    <row r="1656" spans="1:6" ht="15" x14ac:dyDescent="0.2">
      <c r="A1656" s="7">
        <v>433306</v>
      </c>
      <c r="B1656" s="3" t="s">
        <v>1115</v>
      </c>
      <c r="C1656" s="29">
        <f>ROUND(Balances[[#This Row],[Total]]*40%,0)</f>
        <v>0</v>
      </c>
      <c r="D1656" s="29">
        <f>ROUND(Balances[[#This Row],[Total]]*20%,0)</f>
        <v>0</v>
      </c>
      <c r="E1656" s="29">
        <f>ROUND(Balances[[#This Row],[Total]]*40%,0)</f>
        <v>0</v>
      </c>
      <c r="F1656" s="18">
        <f>SUM(Acueducto[[#This Row],[Acueducto]:[Aseo]])</f>
        <v>0</v>
      </c>
    </row>
    <row r="1657" spans="1:6" ht="15" x14ac:dyDescent="0.2">
      <c r="A1657" s="7">
        <v>433307</v>
      </c>
      <c r="B1657" s="3" t="s">
        <v>1116</v>
      </c>
      <c r="C1657" s="29">
        <f>ROUND(Balances[[#This Row],[Total]]*40%,0)</f>
        <v>0</v>
      </c>
      <c r="D1657" s="29">
        <f>ROUND(Balances[[#This Row],[Total]]*20%,0)</f>
        <v>0</v>
      </c>
      <c r="E1657" s="29">
        <f>ROUND(Balances[[#This Row],[Total]]*40%,0)</f>
        <v>0</v>
      </c>
      <c r="F1657" s="18">
        <f>SUM(Acueducto[[#This Row],[Acueducto]:[Aseo]])</f>
        <v>0</v>
      </c>
    </row>
    <row r="1658" spans="1:6" ht="15" x14ac:dyDescent="0.2">
      <c r="A1658" s="7">
        <v>433390</v>
      </c>
      <c r="B1658" s="3" t="s">
        <v>1117</v>
      </c>
      <c r="C1658" s="29">
        <f>ROUND(Balances[[#This Row],[Total]]*40%,0)</f>
        <v>0</v>
      </c>
      <c r="D1658" s="29">
        <f>ROUND(Balances[[#This Row],[Total]]*20%,0)</f>
        <v>0</v>
      </c>
      <c r="E1658" s="29">
        <f>ROUND(Balances[[#This Row],[Total]]*40%,0)</f>
        <v>0</v>
      </c>
      <c r="F1658" s="18">
        <f>SUM(Acueducto[[#This Row],[Acueducto]:[Aseo]])</f>
        <v>0</v>
      </c>
    </row>
    <row r="1659" spans="1:6" ht="15" x14ac:dyDescent="0.2">
      <c r="A1659" s="6">
        <v>4335</v>
      </c>
      <c r="B1659" s="2" t="s">
        <v>1118</v>
      </c>
      <c r="C1659" s="28">
        <f>ROUND(Balances[[#This Row],[Total]]*40%,0)</f>
        <v>0</v>
      </c>
      <c r="D1659" s="28">
        <f>ROUND(Balances[[#This Row],[Total]]*20%,0)</f>
        <v>0</v>
      </c>
      <c r="E1659" s="28">
        <f>ROUND(Balances[[#This Row],[Total]]*40%,0)</f>
        <v>0</v>
      </c>
      <c r="F1659" s="17">
        <f>SUM(Acueducto[[#This Row],[Acueducto]:[Aseo]])</f>
        <v>0</v>
      </c>
    </row>
    <row r="1660" spans="1:6" ht="15" x14ac:dyDescent="0.2">
      <c r="A1660" s="7">
        <v>433545</v>
      </c>
      <c r="B1660" s="3" t="s">
        <v>1119</v>
      </c>
      <c r="C1660" s="29">
        <f>ROUND(Balances[[#This Row],[Total]]*40%,0)</f>
        <v>0</v>
      </c>
      <c r="D1660" s="29">
        <f>ROUND(Balances[[#This Row],[Total]]*20%,0)</f>
        <v>0</v>
      </c>
      <c r="E1660" s="29">
        <f>ROUND(Balances[[#This Row],[Total]]*40%,0)</f>
        <v>0</v>
      </c>
      <c r="F1660" s="18">
        <f>SUM(Acueducto[[#This Row],[Acueducto]:[Aseo]])</f>
        <v>0</v>
      </c>
    </row>
    <row r="1661" spans="1:6" ht="15" x14ac:dyDescent="0.2">
      <c r="A1661" s="7">
        <v>433546</v>
      </c>
      <c r="B1661" s="3" t="s">
        <v>1120</v>
      </c>
      <c r="C1661" s="29">
        <f>ROUND(Balances[[#This Row],[Total]]*40%,0)</f>
        <v>0</v>
      </c>
      <c r="D1661" s="29">
        <f>ROUND(Balances[[#This Row],[Total]]*20%,0)</f>
        <v>0</v>
      </c>
      <c r="E1661" s="29">
        <f>ROUND(Balances[[#This Row],[Total]]*40%,0)</f>
        <v>0</v>
      </c>
      <c r="F1661" s="18">
        <f>SUM(Acueducto[[#This Row],[Acueducto]:[Aseo]])</f>
        <v>0</v>
      </c>
    </row>
    <row r="1662" spans="1:6" ht="15" x14ac:dyDescent="0.2">
      <c r="A1662" s="7">
        <v>433547</v>
      </c>
      <c r="B1662" s="3" t="s">
        <v>1121</v>
      </c>
      <c r="C1662" s="29">
        <f>ROUND(Balances[[#This Row],[Total]]*40%,0)</f>
        <v>0</v>
      </c>
      <c r="D1662" s="29">
        <f>ROUND(Balances[[#This Row],[Total]]*20%,0)</f>
        <v>0</v>
      </c>
      <c r="E1662" s="29">
        <f>ROUND(Balances[[#This Row],[Total]]*40%,0)</f>
        <v>0</v>
      </c>
      <c r="F1662" s="18">
        <f>SUM(Acueducto[[#This Row],[Acueducto]:[Aseo]])</f>
        <v>0</v>
      </c>
    </row>
    <row r="1663" spans="1:6" ht="15" x14ac:dyDescent="0.2">
      <c r="A1663" s="7">
        <v>433548</v>
      </c>
      <c r="B1663" s="3" t="s">
        <v>1122</v>
      </c>
      <c r="C1663" s="29">
        <f>ROUND(Balances[[#This Row],[Total]]*40%,0)</f>
        <v>0</v>
      </c>
      <c r="D1663" s="29">
        <f>ROUND(Balances[[#This Row],[Total]]*20%,0)</f>
        <v>0</v>
      </c>
      <c r="E1663" s="29">
        <f>ROUND(Balances[[#This Row],[Total]]*40%,0)</f>
        <v>0</v>
      </c>
      <c r="F1663" s="18">
        <f>SUM(Acueducto[[#This Row],[Acueducto]:[Aseo]])</f>
        <v>0</v>
      </c>
    </row>
    <row r="1664" spans="1:6" ht="15" x14ac:dyDescent="0.2">
      <c r="A1664" s="7">
        <v>433549</v>
      </c>
      <c r="B1664" s="3" t="s">
        <v>1123</v>
      </c>
      <c r="C1664" s="29">
        <f>ROUND(Balances[[#This Row],[Total]]*40%,0)</f>
        <v>0</v>
      </c>
      <c r="D1664" s="29">
        <f>ROUND(Balances[[#This Row],[Total]]*20%,0)</f>
        <v>0</v>
      </c>
      <c r="E1664" s="29">
        <f>ROUND(Balances[[#This Row],[Total]]*40%,0)</f>
        <v>0</v>
      </c>
      <c r="F1664" s="18">
        <f>SUM(Acueducto[[#This Row],[Acueducto]:[Aseo]])</f>
        <v>0</v>
      </c>
    </row>
    <row r="1665" spans="1:6" ht="15" x14ac:dyDescent="0.2">
      <c r="A1665" s="7">
        <v>433550</v>
      </c>
      <c r="B1665" s="3" t="s">
        <v>1124</v>
      </c>
      <c r="C1665" s="29">
        <f>ROUND(Balances[[#This Row],[Total]]*40%,0)</f>
        <v>0</v>
      </c>
      <c r="D1665" s="29">
        <f>ROUND(Balances[[#This Row],[Total]]*20%,0)</f>
        <v>0</v>
      </c>
      <c r="E1665" s="29">
        <f>ROUND(Balances[[#This Row],[Total]]*40%,0)</f>
        <v>0</v>
      </c>
      <c r="F1665" s="18">
        <f>SUM(Acueducto[[#This Row],[Acueducto]:[Aseo]])</f>
        <v>0</v>
      </c>
    </row>
    <row r="1666" spans="1:6" ht="15" x14ac:dyDescent="0.2">
      <c r="A1666" s="7">
        <v>433552</v>
      </c>
      <c r="B1666" s="3" t="s">
        <v>1080</v>
      </c>
      <c r="C1666" s="29">
        <f>ROUND(Balances[[#This Row],[Total]]*40%,0)</f>
        <v>0</v>
      </c>
      <c r="D1666" s="29">
        <f>ROUND(Balances[[#This Row],[Total]]*20%,0)</f>
        <v>0</v>
      </c>
      <c r="E1666" s="29">
        <f>ROUND(Balances[[#This Row],[Total]]*40%,0)</f>
        <v>0</v>
      </c>
      <c r="F1666" s="18">
        <f>SUM(Acueducto[[#This Row],[Acueducto]:[Aseo]])</f>
        <v>0</v>
      </c>
    </row>
    <row r="1667" spans="1:6" ht="15" x14ac:dyDescent="0.2">
      <c r="A1667" s="7">
        <v>433590</v>
      </c>
      <c r="B1667" s="3" t="s">
        <v>1125</v>
      </c>
      <c r="C1667" s="29">
        <f>ROUND(Balances[[#This Row],[Total]]*40%,0)</f>
        <v>0</v>
      </c>
      <c r="D1667" s="29">
        <f>ROUND(Balances[[#This Row],[Total]]*20%,0)</f>
        <v>0</v>
      </c>
      <c r="E1667" s="29">
        <f>ROUND(Balances[[#This Row],[Total]]*40%,0)</f>
        <v>0</v>
      </c>
      <c r="F1667" s="18">
        <f>SUM(Acueducto[[#This Row],[Acueducto]:[Aseo]])</f>
        <v>0</v>
      </c>
    </row>
    <row r="1668" spans="1:6" ht="15" x14ac:dyDescent="0.2">
      <c r="A1668" s="6">
        <v>4340</v>
      </c>
      <c r="B1668" s="2" t="s">
        <v>1126</v>
      </c>
      <c r="C1668" s="28">
        <f>ROUND(Balances[[#This Row],[Total]]*40%,0)</f>
        <v>0</v>
      </c>
      <c r="D1668" s="28">
        <f>ROUND(Balances[[#This Row],[Total]]*20%,0)</f>
        <v>0</v>
      </c>
      <c r="E1668" s="28">
        <f>ROUND(Balances[[#This Row],[Total]]*40%,0)</f>
        <v>0</v>
      </c>
      <c r="F1668" s="17">
        <f>SUM(Acueducto[[#This Row],[Acueducto]:[Aseo]])</f>
        <v>0</v>
      </c>
    </row>
    <row r="1669" spans="1:6" ht="15" x14ac:dyDescent="0.2">
      <c r="A1669" s="7">
        <v>434001</v>
      </c>
      <c r="B1669" s="3" t="s">
        <v>1127</v>
      </c>
      <c r="C1669" s="29">
        <f>ROUND(Balances[[#This Row],[Total]]*40%,0)</f>
        <v>0</v>
      </c>
      <c r="D1669" s="29">
        <f>ROUND(Balances[[#This Row],[Total]]*20%,0)</f>
        <v>0</v>
      </c>
      <c r="E1669" s="29">
        <f>ROUND(Balances[[#This Row],[Total]]*40%,0)</f>
        <v>0</v>
      </c>
      <c r="F1669" s="18">
        <f>SUM(Acueducto[[#This Row],[Acueducto]:[Aseo]])</f>
        <v>0</v>
      </c>
    </row>
    <row r="1670" spans="1:6" ht="15" x14ac:dyDescent="0.2">
      <c r="A1670" s="7">
        <v>434002</v>
      </c>
      <c r="B1670" s="3" t="s">
        <v>787</v>
      </c>
      <c r="C1670" s="29">
        <f>ROUND(Balances[[#This Row],[Total]]*40%,0)</f>
        <v>0</v>
      </c>
      <c r="D1670" s="29">
        <f>ROUND(Balances[[#This Row],[Total]]*20%,0)</f>
        <v>0</v>
      </c>
      <c r="E1670" s="29">
        <f>ROUND(Balances[[#This Row],[Total]]*40%,0)</f>
        <v>0</v>
      </c>
      <c r="F1670" s="18">
        <f>SUM(Acueducto[[#This Row],[Acueducto]:[Aseo]])</f>
        <v>0</v>
      </c>
    </row>
    <row r="1671" spans="1:6" ht="15" x14ac:dyDescent="0.2">
      <c r="A1671" s="7">
        <v>434003</v>
      </c>
      <c r="B1671" s="3" t="s">
        <v>1128</v>
      </c>
      <c r="C1671" s="29">
        <f>ROUND(Balances[[#This Row],[Total]]*40%,0)</f>
        <v>0</v>
      </c>
      <c r="D1671" s="29">
        <f>ROUND(Balances[[#This Row],[Total]]*20%,0)</f>
        <v>0</v>
      </c>
      <c r="E1671" s="29">
        <f>ROUND(Balances[[#This Row],[Total]]*40%,0)</f>
        <v>0</v>
      </c>
      <c r="F1671" s="18">
        <f>SUM(Acueducto[[#This Row],[Acueducto]:[Aseo]])</f>
        <v>0</v>
      </c>
    </row>
    <row r="1672" spans="1:6" ht="15" x14ac:dyDescent="0.2">
      <c r="A1672" s="7">
        <v>434004</v>
      </c>
      <c r="B1672" s="3" t="s">
        <v>1129</v>
      </c>
      <c r="C1672" s="29">
        <f>ROUND(Balances[[#This Row],[Total]]*40%,0)</f>
        <v>0</v>
      </c>
      <c r="D1672" s="29">
        <f>ROUND(Balances[[#This Row],[Total]]*20%,0)</f>
        <v>0</v>
      </c>
      <c r="E1672" s="29">
        <f>ROUND(Balances[[#This Row],[Total]]*40%,0)</f>
        <v>0</v>
      </c>
      <c r="F1672" s="18">
        <f>SUM(Acueducto[[#This Row],[Acueducto]:[Aseo]])</f>
        <v>0</v>
      </c>
    </row>
    <row r="1673" spans="1:6" ht="15" x14ac:dyDescent="0.2">
      <c r="A1673" s="7">
        <v>434005</v>
      </c>
      <c r="B1673" s="3" t="s">
        <v>1130</v>
      </c>
      <c r="C1673" s="29">
        <f>ROUND(Balances[[#This Row],[Total]]*40%,0)</f>
        <v>0</v>
      </c>
      <c r="D1673" s="29">
        <f>ROUND(Balances[[#This Row],[Total]]*20%,0)</f>
        <v>0</v>
      </c>
      <c r="E1673" s="29">
        <f>ROUND(Balances[[#This Row],[Total]]*40%,0)</f>
        <v>0</v>
      </c>
      <c r="F1673" s="18">
        <f>SUM(Acueducto[[#This Row],[Acueducto]:[Aseo]])</f>
        <v>0</v>
      </c>
    </row>
    <row r="1674" spans="1:6" ht="15" x14ac:dyDescent="0.2">
      <c r="A1674" s="7">
        <v>434006</v>
      </c>
      <c r="B1674" s="3" t="s">
        <v>1131</v>
      </c>
      <c r="C1674" s="29">
        <f>ROUND(Balances[[#This Row],[Total]]*40%,0)</f>
        <v>0</v>
      </c>
      <c r="D1674" s="29">
        <f>ROUND(Balances[[#This Row],[Total]]*20%,0)</f>
        <v>0</v>
      </c>
      <c r="E1674" s="29">
        <f>ROUND(Balances[[#This Row],[Total]]*40%,0)</f>
        <v>0</v>
      </c>
      <c r="F1674" s="18">
        <f>SUM(Acueducto[[#This Row],[Acueducto]:[Aseo]])</f>
        <v>0</v>
      </c>
    </row>
    <row r="1675" spans="1:6" ht="15" x14ac:dyDescent="0.2">
      <c r="A1675" s="7">
        <v>434007</v>
      </c>
      <c r="B1675" s="3" t="s">
        <v>1132</v>
      </c>
      <c r="C1675" s="29">
        <f>ROUND(Balances[[#This Row],[Total]]*40%,0)</f>
        <v>0</v>
      </c>
      <c r="D1675" s="29">
        <f>ROUND(Balances[[#This Row],[Total]]*20%,0)</f>
        <v>0</v>
      </c>
      <c r="E1675" s="29">
        <f>ROUND(Balances[[#This Row],[Total]]*40%,0)</f>
        <v>0</v>
      </c>
      <c r="F1675" s="18">
        <f>SUM(Acueducto[[#This Row],[Acueducto]:[Aseo]])</f>
        <v>0</v>
      </c>
    </row>
    <row r="1676" spans="1:6" ht="15" x14ac:dyDescent="0.2">
      <c r="A1676" s="7">
        <v>434008</v>
      </c>
      <c r="B1676" s="3" t="s">
        <v>620</v>
      </c>
      <c r="C1676" s="29">
        <f>ROUND(Balances[[#This Row],[Total]]*40%,0)</f>
        <v>0</v>
      </c>
      <c r="D1676" s="29">
        <f>ROUND(Balances[[#This Row],[Total]]*20%,0)</f>
        <v>0</v>
      </c>
      <c r="E1676" s="29">
        <f>ROUND(Balances[[#This Row],[Total]]*40%,0)</f>
        <v>0</v>
      </c>
      <c r="F1676" s="18">
        <f>SUM(Acueducto[[#This Row],[Acueducto]:[Aseo]])</f>
        <v>0</v>
      </c>
    </row>
    <row r="1677" spans="1:6" ht="15" x14ac:dyDescent="0.2">
      <c r="A1677" s="7">
        <v>434090</v>
      </c>
      <c r="B1677" s="3" t="s">
        <v>1133</v>
      </c>
      <c r="C1677" s="29">
        <f>ROUND(Balances[[#This Row],[Total]]*40%,0)</f>
        <v>0</v>
      </c>
      <c r="D1677" s="29">
        <f>ROUND(Balances[[#This Row],[Total]]*20%,0)</f>
        <v>0</v>
      </c>
      <c r="E1677" s="29">
        <f>ROUND(Balances[[#This Row],[Total]]*40%,0)</f>
        <v>0</v>
      </c>
      <c r="F1677" s="18">
        <f>SUM(Acueducto[[#This Row],[Acueducto]:[Aseo]])</f>
        <v>0</v>
      </c>
    </row>
    <row r="1678" spans="1:6" ht="15" x14ac:dyDescent="0.2">
      <c r="A1678" s="6">
        <v>4345</v>
      </c>
      <c r="B1678" s="2" t="s">
        <v>1134</v>
      </c>
      <c r="C1678" s="28">
        <f>ROUND(Balances[[#This Row],[Total]]*40%,0)</f>
        <v>0</v>
      </c>
      <c r="D1678" s="28">
        <f>ROUND(Balances[[#This Row],[Total]]*20%,0)</f>
        <v>0</v>
      </c>
      <c r="E1678" s="28">
        <f>ROUND(Balances[[#This Row],[Total]]*40%,0)</f>
        <v>0</v>
      </c>
      <c r="F1678" s="17">
        <f>SUM(Acueducto[[#This Row],[Acueducto]:[Aseo]])</f>
        <v>0</v>
      </c>
    </row>
    <row r="1679" spans="1:6" ht="15" x14ac:dyDescent="0.2">
      <c r="A1679" s="7">
        <v>434502</v>
      </c>
      <c r="B1679" s="3" t="s">
        <v>1135</v>
      </c>
      <c r="C1679" s="29">
        <f>ROUND(Balances[[#This Row],[Total]]*40%,0)</f>
        <v>0</v>
      </c>
      <c r="D1679" s="29">
        <f>ROUND(Balances[[#This Row],[Total]]*20%,0)</f>
        <v>0</v>
      </c>
      <c r="E1679" s="29">
        <f>ROUND(Balances[[#This Row],[Total]]*40%,0)</f>
        <v>0</v>
      </c>
      <c r="F1679" s="18">
        <f>SUM(Acueducto[[#This Row],[Acueducto]:[Aseo]])</f>
        <v>0</v>
      </c>
    </row>
    <row r="1680" spans="1:6" ht="15" x14ac:dyDescent="0.2">
      <c r="A1680" s="7">
        <v>434503</v>
      </c>
      <c r="B1680" s="3" t="s">
        <v>1136</v>
      </c>
      <c r="C1680" s="29">
        <f>ROUND(Balances[[#This Row],[Total]]*40%,0)</f>
        <v>0</v>
      </c>
      <c r="D1680" s="29">
        <f>ROUND(Balances[[#This Row],[Total]]*20%,0)</f>
        <v>0</v>
      </c>
      <c r="E1680" s="29">
        <f>ROUND(Balances[[#This Row],[Total]]*40%,0)</f>
        <v>0</v>
      </c>
      <c r="F1680" s="18">
        <f>SUM(Acueducto[[#This Row],[Acueducto]:[Aseo]])</f>
        <v>0</v>
      </c>
    </row>
    <row r="1681" spans="1:6" ht="15" x14ac:dyDescent="0.2">
      <c r="A1681" s="7">
        <v>434504</v>
      </c>
      <c r="B1681" s="3" t="s">
        <v>1137</v>
      </c>
      <c r="C1681" s="29">
        <f>ROUND(Balances[[#This Row],[Total]]*40%,0)</f>
        <v>0</v>
      </c>
      <c r="D1681" s="29">
        <f>ROUND(Balances[[#This Row],[Total]]*20%,0)</f>
        <v>0</v>
      </c>
      <c r="E1681" s="29">
        <f>ROUND(Balances[[#This Row],[Total]]*40%,0)</f>
        <v>0</v>
      </c>
      <c r="F1681" s="18">
        <f>SUM(Acueducto[[#This Row],[Acueducto]:[Aseo]])</f>
        <v>0</v>
      </c>
    </row>
    <row r="1682" spans="1:6" ht="15" x14ac:dyDescent="0.2">
      <c r="A1682" s="7">
        <v>434505</v>
      </c>
      <c r="B1682" s="3" t="s">
        <v>1138</v>
      </c>
      <c r="C1682" s="29">
        <f>ROUND(Balances[[#This Row],[Total]]*40%,0)</f>
        <v>0</v>
      </c>
      <c r="D1682" s="29">
        <f>ROUND(Balances[[#This Row],[Total]]*20%,0)</f>
        <v>0</v>
      </c>
      <c r="E1682" s="29">
        <f>ROUND(Balances[[#This Row],[Total]]*40%,0)</f>
        <v>0</v>
      </c>
      <c r="F1682" s="18">
        <f>SUM(Acueducto[[#This Row],[Acueducto]:[Aseo]])</f>
        <v>0</v>
      </c>
    </row>
    <row r="1683" spans="1:6" ht="15" x14ac:dyDescent="0.2">
      <c r="A1683" s="7">
        <v>434506</v>
      </c>
      <c r="B1683" s="3" t="s">
        <v>1139</v>
      </c>
      <c r="C1683" s="29">
        <f>ROUND(Balances[[#This Row],[Total]]*40%,0)</f>
        <v>0</v>
      </c>
      <c r="D1683" s="29">
        <f>ROUND(Balances[[#This Row],[Total]]*20%,0)</f>
        <v>0</v>
      </c>
      <c r="E1683" s="29">
        <f>ROUND(Balances[[#This Row],[Total]]*40%,0)</f>
        <v>0</v>
      </c>
      <c r="F1683" s="18">
        <f>SUM(Acueducto[[#This Row],[Acueducto]:[Aseo]])</f>
        <v>0</v>
      </c>
    </row>
    <row r="1684" spans="1:6" ht="15" x14ac:dyDescent="0.2">
      <c r="A1684" s="7">
        <v>434590</v>
      </c>
      <c r="B1684" s="3" t="s">
        <v>1140</v>
      </c>
      <c r="C1684" s="29">
        <f>ROUND(Balances[[#This Row],[Total]]*40%,0)</f>
        <v>0</v>
      </c>
      <c r="D1684" s="29">
        <f>ROUND(Balances[[#This Row],[Total]]*20%,0)</f>
        <v>0</v>
      </c>
      <c r="E1684" s="29">
        <f>ROUND(Balances[[#This Row],[Total]]*40%,0)</f>
        <v>0</v>
      </c>
      <c r="F1684" s="18">
        <f>SUM(Acueducto[[#This Row],[Acueducto]:[Aseo]])</f>
        <v>0</v>
      </c>
    </row>
    <row r="1685" spans="1:6" ht="15" x14ac:dyDescent="0.2">
      <c r="A1685" s="6">
        <v>4370</v>
      </c>
      <c r="B1685" s="2" t="s">
        <v>1141</v>
      </c>
      <c r="C1685" s="28">
        <f>ROUND(Balances[[#This Row],[Total]]*40%,0)</f>
        <v>0</v>
      </c>
      <c r="D1685" s="28">
        <f>ROUND(Balances[[#This Row],[Total]]*20%,0)</f>
        <v>0</v>
      </c>
      <c r="E1685" s="28">
        <f>ROUND(Balances[[#This Row],[Total]]*40%,0)</f>
        <v>0</v>
      </c>
      <c r="F1685" s="17">
        <f>SUM(Acueducto[[#This Row],[Acueducto]:[Aseo]])</f>
        <v>0</v>
      </c>
    </row>
    <row r="1686" spans="1:6" ht="15" x14ac:dyDescent="0.2">
      <c r="A1686" s="7">
        <v>437001</v>
      </c>
      <c r="B1686" s="3" t="s">
        <v>1142</v>
      </c>
      <c r="C1686" s="29">
        <f>ROUND(Balances[[#This Row],[Total]]*40%,0)</f>
        <v>0</v>
      </c>
      <c r="D1686" s="29">
        <f>ROUND(Balances[[#This Row],[Total]]*20%,0)</f>
        <v>0</v>
      </c>
      <c r="E1686" s="29">
        <f>ROUND(Balances[[#This Row],[Total]]*40%,0)</f>
        <v>0</v>
      </c>
      <c r="F1686" s="18">
        <f>SUM(Acueducto[[#This Row],[Acueducto]:[Aseo]])</f>
        <v>0</v>
      </c>
    </row>
    <row r="1687" spans="1:6" ht="15" x14ac:dyDescent="0.2">
      <c r="A1687" s="7">
        <v>437002</v>
      </c>
      <c r="B1687" s="3" t="s">
        <v>1143</v>
      </c>
      <c r="C1687" s="29">
        <f>ROUND(Balances[[#This Row],[Total]]*40%,0)</f>
        <v>0</v>
      </c>
      <c r="D1687" s="29">
        <f>ROUND(Balances[[#This Row],[Total]]*20%,0)</f>
        <v>0</v>
      </c>
      <c r="E1687" s="29">
        <f>ROUND(Balances[[#This Row],[Total]]*40%,0)</f>
        <v>0</v>
      </c>
      <c r="F1687" s="18">
        <f>SUM(Acueducto[[#This Row],[Acueducto]:[Aseo]])</f>
        <v>0</v>
      </c>
    </row>
    <row r="1688" spans="1:6" ht="15" x14ac:dyDescent="0.2">
      <c r="A1688" s="7">
        <v>437003</v>
      </c>
      <c r="B1688" s="3" t="s">
        <v>1144</v>
      </c>
      <c r="C1688" s="29">
        <f>ROUND(Balances[[#This Row],[Total]]*40%,0)</f>
        <v>0</v>
      </c>
      <c r="D1688" s="29">
        <f>ROUND(Balances[[#This Row],[Total]]*20%,0)</f>
        <v>0</v>
      </c>
      <c r="E1688" s="29">
        <f>ROUND(Balances[[#This Row],[Total]]*40%,0)</f>
        <v>0</v>
      </c>
      <c r="F1688" s="18">
        <f>SUM(Acueducto[[#This Row],[Acueducto]:[Aseo]])</f>
        <v>0</v>
      </c>
    </row>
    <row r="1689" spans="1:6" ht="15" x14ac:dyDescent="0.2">
      <c r="A1689" s="7">
        <v>437090</v>
      </c>
      <c r="B1689" s="3" t="s">
        <v>1145</v>
      </c>
      <c r="C1689" s="29">
        <f>ROUND(Balances[[#This Row],[Total]]*40%,0)</f>
        <v>0</v>
      </c>
      <c r="D1689" s="29">
        <f>ROUND(Balances[[#This Row],[Total]]*20%,0)</f>
        <v>0</v>
      </c>
      <c r="E1689" s="29">
        <f>ROUND(Balances[[#This Row],[Total]]*40%,0)</f>
        <v>0</v>
      </c>
      <c r="F1689" s="18">
        <f>SUM(Acueducto[[#This Row],[Acueducto]:[Aseo]])</f>
        <v>0</v>
      </c>
    </row>
    <row r="1690" spans="1:6" ht="15" x14ac:dyDescent="0.2">
      <c r="A1690" s="6">
        <v>4390</v>
      </c>
      <c r="B1690" s="2" t="s">
        <v>1146</v>
      </c>
      <c r="C1690" s="28">
        <f>ROUND(Balances[[#This Row],[Total]]*40%,0)</f>
        <v>0</v>
      </c>
      <c r="D1690" s="28">
        <f>ROUND(Balances[[#This Row],[Total]]*20%,0)</f>
        <v>0</v>
      </c>
      <c r="E1690" s="28">
        <f>ROUND(Balances[[#This Row],[Total]]*40%,0)</f>
        <v>0</v>
      </c>
      <c r="F1690" s="17">
        <f>SUM(Acueducto[[#This Row],[Acueducto]:[Aseo]])</f>
        <v>0</v>
      </c>
    </row>
    <row r="1691" spans="1:6" ht="15" x14ac:dyDescent="0.2">
      <c r="A1691" s="7">
        <v>439002</v>
      </c>
      <c r="B1691" s="3" t="s">
        <v>131</v>
      </c>
      <c r="C1691" s="29">
        <f>ROUND(Balances[[#This Row],[Total]]*40%,0)</f>
        <v>0</v>
      </c>
      <c r="D1691" s="29">
        <f>ROUND(Balances[[#This Row],[Total]]*20%,0)</f>
        <v>0</v>
      </c>
      <c r="E1691" s="29">
        <f>ROUND(Balances[[#This Row],[Total]]*40%,0)</f>
        <v>0</v>
      </c>
      <c r="F1691" s="18">
        <f>SUM(Acueducto[[#This Row],[Acueducto]:[Aseo]])</f>
        <v>0</v>
      </c>
    </row>
    <row r="1692" spans="1:6" ht="15" x14ac:dyDescent="0.2">
      <c r="A1692" s="7">
        <v>439003</v>
      </c>
      <c r="B1692" s="3" t="s">
        <v>132</v>
      </c>
      <c r="C1692" s="29">
        <f>ROUND(Balances[[#This Row],[Total]]*40%,0)</f>
        <v>0</v>
      </c>
      <c r="D1692" s="29">
        <f>ROUND(Balances[[#This Row],[Total]]*20%,0)</f>
        <v>0</v>
      </c>
      <c r="E1692" s="29">
        <f>ROUND(Balances[[#This Row],[Total]]*40%,0)</f>
        <v>0</v>
      </c>
      <c r="F1692" s="18">
        <f>SUM(Acueducto[[#This Row],[Acueducto]:[Aseo]])</f>
        <v>0</v>
      </c>
    </row>
    <row r="1693" spans="1:6" ht="15" x14ac:dyDescent="0.2">
      <c r="A1693" s="7">
        <v>439004</v>
      </c>
      <c r="B1693" s="3" t="s">
        <v>133</v>
      </c>
      <c r="C1693" s="29">
        <f>ROUND(Balances[[#This Row],[Total]]*40%,0)</f>
        <v>0</v>
      </c>
      <c r="D1693" s="29">
        <f>ROUND(Balances[[#This Row],[Total]]*20%,0)</f>
        <v>0</v>
      </c>
      <c r="E1693" s="29">
        <f>ROUND(Balances[[#This Row],[Total]]*40%,0)</f>
        <v>0</v>
      </c>
      <c r="F1693" s="18">
        <f>SUM(Acueducto[[#This Row],[Acueducto]:[Aseo]])</f>
        <v>0</v>
      </c>
    </row>
    <row r="1694" spans="1:6" ht="15" x14ac:dyDescent="0.2">
      <c r="A1694" s="7">
        <v>439005</v>
      </c>
      <c r="B1694" s="3" t="s">
        <v>134</v>
      </c>
      <c r="C1694" s="29">
        <f>ROUND(Balances[[#This Row],[Total]]*40%,0)</f>
        <v>0</v>
      </c>
      <c r="D1694" s="29">
        <f>ROUND(Balances[[#This Row],[Total]]*20%,0)</f>
        <v>0</v>
      </c>
      <c r="E1694" s="29">
        <f>ROUND(Balances[[#This Row],[Total]]*40%,0)</f>
        <v>0</v>
      </c>
      <c r="F1694" s="18">
        <f>SUM(Acueducto[[#This Row],[Acueducto]:[Aseo]])</f>
        <v>0</v>
      </c>
    </row>
    <row r="1695" spans="1:6" ht="15" x14ac:dyDescent="0.2">
      <c r="A1695" s="7">
        <v>439006</v>
      </c>
      <c r="B1695" s="3" t="s">
        <v>135</v>
      </c>
      <c r="C1695" s="29">
        <f>ROUND(Balances[[#This Row],[Total]]*40%,0)</f>
        <v>0</v>
      </c>
      <c r="D1695" s="29">
        <f>ROUND(Balances[[#This Row],[Total]]*20%,0)</f>
        <v>0</v>
      </c>
      <c r="E1695" s="29">
        <f>ROUND(Balances[[#This Row],[Total]]*40%,0)</f>
        <v>0</v>
      </c>
      <c r="F1695" s="18">
        <f>SUM(Acueducto[[#This Row],[Acueducto]:[Aseo]])</f>
        <v>0</v>
      </c>
    </row>
    <row r="1696" spans="1:6" ht="15" x14ac:dyDescent="0.2">
      <c r="A1696" s="7">
        <v>439007</v>
      </c>
      <c r="B1696" s="3" t="s">
        <v>143</v>
      </c>
      <c r="C1696" s="29">
        <f>ROUND(Balances[[#This Row],[Total]]*40%,0)</f>
        <v>0</v>
      </c>
      <c r="D1696" s="29">
        <f>ROUND(Balances[[#This Row],[Total]]*20%,0)</f>
        <v>0</v>
      </c>
      <c r="E1696" s="29">
        <f>ROUND(Balances[[#This Row],[Total]]*40%,0)</f>
        <v>0</v>
      </c>
      <c r="F1696" s="18">
        <f>SUM(Acueducto[[#This Row],[Acueducto]:[Aseo]])</f>
        <v>0</v>
      </c>
    </row>
    <row r="1697" spans="1:6" ht="15" x14ac:dyDescent="0.2">
      <c r="A1697" s="7">
        <v>439008</v>
      </c>
      <c r="B1697" s="3" t="s">
        <v>136</v>
      </c>
      <c r="C1697" s="29">
        <f>ROUND(Balances[[#This Row],[Total]]*40%,0)</f>
        <v>0</v>
      </c>
      <c r="D1697" s="29">
        <f>ROUND(Balances[[#This Row],[Total]]*20%,0)</f>
        <v>0</v>
      </c>
      <c r="E1697" s="29">
        <f>ROUND(Balances[[#This Row],[Total]]*40%,0)</f>
        <v>0</v>
      </c>
      <c r="F1697" s="18">
        <f>SUM(Acueducto[[#This Row],[Acueducto]:[Aseo]])</f>
        <v>0</v>
      </c>
    </row>
    <row r="1698" spans="1:6" ht="15" x14ac:dyDescent="0.2">
      <c r="A1698" s="7">
        <v>439014</v>
      </c>
      <c r="B1698" s="3" t="s">
        <v>137</v>
      </c>
      <c r="C1698" s="29">
        <f>ROUND(Balances[[#This Row],[Total]]*40%,0)</f>
        <v>0</v>
      </c>
      <c r="D1698" s="29">
        <f>ROUND(Balances[[#This Row],[Total]]*20%,0)</f>
        <v>0</v>
      </c>
      <c r="E1698" s="29">
        <f>ROUND(Balances[[#This Row],[Total]]*40%,0)</f>
        <v>0</v>
      </c>
      <c r="F1698" s="18">
        <f>SUM(Acueducto[[#This Row],[Acueducto]:[Aseo]])</f>
        <v>0</v>
      </c>
    </row>
    <row r="1699" spans="1:6" ht="15" x14ac:dyDescent="0.2">
      <c r="A1699" s="7">
        <v>439016</v>
      </c>
      <c r="B1699" s="3" t="s">
        <v>144</v>
      </c>
      <c r="C1699" s="29">
        <f>ROUND(Balances[[#This Row],[Total]]*40%,0)</f>
        <v>0</v>
      </c>
      <c r="D1699" s="29">
        <f>ROUND(Balances[[#This Row],[Total]]*20%,0)</f>
        <v>0</v>
      </c>
      <c r="E1699" s="29">
        <f>ROUND(Balances[[#This Row],[Total]]*40%,0)</f>
        <v>0</v>
      </c>
      <c r="F1699" s="18">
        <f>SUM(Acueducto[[#This Row],[Acueducto]:[Aseo]])</f>
        <v>0</v>
      </c>
    </row>
    <row r="1700" spans="1:6" ht="15" x14ac:dyDescent="0.2">
      <c r="A1700" s="7">
        <v>439017</v>
      </c>
      <c r="B1700" s="3" t="s">
        <v>138</v>
      </c>
      <c r="C1700" s="29">
        <f>ROUND(Balances[[#This Row],[Total]]*40%,0)</f>
        <v>0</v>
      </c>
      <c r="D1700" s="29">
        <f>ROUND(Balances[[#This Row],[Total]]*20%,0)</f>
        <v>0</v>
      </c>
      <c r="E1700" s="29">
        <f>ROUND(Balances[[#This Row],[Total]]*40%,0)</f>
        <v>0</v>
      </c>
      <c r="F1700" s="18">
        <f>SUM(Acueducto[[#This Row],[Acueducto]:[Aseo]])</f>
        <v>0</v>
      </c>
    </row>
    <row r="1701" spans="1:6" ht="15" x14ac:dyDescent="0.2">
      <c r="A1701" s="7">
        <v>439018</v>
      </c>
      <c r="B1701" s="3" t="s">
        <v>129</v>
      </c>
      <c r="C1701" s="29">
        <f>ROUND(Balances[[#This Row],[Total]]*40%,0)</f>
        <v>0</v>
      </c>
      <c r="D1701" s="29">
        <f>ROUND(Balances[[#This Row],[Total]]*20%,0)</f>
        <v>0</v>
      </c>
      <c r="E1701" s="29">
        <f>ROUND(Balances[[#This Row],[Total]]*40%,0)</f>
        <v>0</v>
      </c>
      <c r="F1701" s="18">
        <f>SUM(Acueducto[[#This Row],[Acueducto]:[Aseo]])</f>
        <v>0</v>
      </c>
    </row>
    <row r="1702" spans="1:6" ht="15" x14ac:dyDescent="0.2">
      <c r="A1702" s="7">
        <v>439022</v>
      </c>
      <c r="B1702" s="3" t="s">
        <v>130</v>
      </c>
      <c r="C1702" s="29">
        <f>ROUND(Balances[[#This Row],[Total]]*40%,0)</f>
        <v>0</v>
      </c>
      <c r="D1702" s="29">
        <f>ROUND(Balances[[#This Row],[Total]]*20%,0)</f>
        <v>0</v>
      </c>
      <c r="E1702" s="29">
        <f>ROUND(Balances[[#This Row],[Total]]*40%,0)</f>
        <v>0</v>
      </c>
      <c r="F1702" s="18">
        <f>SUM(Acueducto[[#This Row],[Acueducto]:[Aseo]])</f>
        <v>0</v>
      </c>
    </row>
    <row r="1703" spans="1:6" ht="15" x14ac:dyDescent="0.2">
      <c r="A1703" s="7">
        <v>439026</v>
      </c>
      <c r="B1703" s="3" t="s">
        <v>141</v>
      </c>
      <c r="C1703" s="29">
        <f>ROUND(Balances[[#This Row],[Total]]*40%,0)</f>
        <v>0</v>
      </c>
      <c r="D1703" s="29">
        <f>ROUND(Balances[[#This Row],[Total]]*20%,0)</f>
        <v>0</v>
      </c>
      <c r="E1703" s="29">
        <f>ROUND(Balances[[#This Row],[Total]]*40%,0)</f>
        <v>0</v>
      </c>
      <c r="F1703" s="18">
        <f>SUM(Acueducto[[#This Row],[Acueducto]:[Aseo]])</f>
        <v>0</v>
      </c>
    </row>
    <row r="1704" spans="1:6" ht="15" x14ac:dyDescent="0.2">
      <c r="A1704" s="7">
        <v>439027</v>
      </c>
      <c r="B1704" s="3" t="s">
        <v>139</v>
      </c>
      <c r="C1704" s="29">
        <f>ROUND(Balances[[#This Row],[Total]]*40%,0)</f>
        <v>0</v>
      </c>
      <c r="D1704" s="29">
        <f>ROUND(Balances[[#This Row],[Total]]*20%,0)</f>
        <v>0</v>
      </c>
      <c r="E1704" s="29">
        <f>ROUND(Balances[[#This Row],[Total]]*40%,0)</f>
        <v>0</v>
      </c>
      <c r="F1704" s="18">
        <f>SUM(Acueducto[[#This Row],[Acueducto]:[Aseo]])</f>
        <v>0</v>
      </c>
    </row>
    <row r="1705" spans="1:6" ht="15" x14ac:dyDescent="0.2">
      <c r="A1705" s="7">
        <v>439029</v>
      </c>
      <c r="B1705" s="3" t="s">
        <v>140</v>
      </c>
      <c r="C1705" s="29">
        <f>ROUND(Balances[[#This Row],[Total]]*40%,0)</f>
        <v>0</v>
      </c>
      <c r="D1705" s="29">
        <f>ROUND(Balances[[#This Row],[Total]]*20%,0)</f>
        <v>0</v>
      </c>
      <c r="E1705" s="29">
        <f>ROUND(Balances[[#This Row],[Total]]*40%,0)</f>
        <v>0</v>
      </c>
      <c r="F1705" s="18">
        <f>SUM(Acueducto[[#This Row],[Acueducto]:[Aseo]])</f>
        <v>0</v>
      </c>
    </row>
    <row r="1706" spans="1:6" ht="15" x14ac:dyDescent="0.2">
      <c r="A1706" s="7">
        <v>439030</v>
      </c>
      <c r="B1706" s="3" t="s">
        <v>142</v>
      </c>
      <c r="C1706" s="29">
        <f>ROUND(Balances[[#This Row],[Total]]*40%,0)</f>
        <v>0</v>
      </c>
      <c r="D1706" s="29">
        <f>ROUND(Balances[[#This Row],[Total]]*20%,0)</f>
        <v>0</v>
      </c>
      <c r="E1706" s="29">
        <f>ROUND(Balances[[#This Row],[Total]]*40%,0)</f>
        <v>0</v>
      </c>
      <c r="F1706" s="18">
        <f>SUM(Acueducto[[#This Row],[Acueducto]:[Aseo]])</f>
        <v>0</v>
      </c>
    </row>
    <row r="1707" spans="1:6" ht="15" x14ac:dyDescent="0.2">
      <c r="A1707" s="7">
        <v>439031</v>
      </c>
      <c r="B1707" s="3" t="s">
        <v>145</v>
      </c>
      <c r="C1707" s="29">
        <f>ROUND(Balances[[#This Row],[Total]]*40%,0)</f>
        <v>0</v>
      </c>
      <c r="D1707" s="29">
        <f>ROUND(Balances[[#This Row],[Total]]*20%,0)</f>
        <v>0</v>
      </c>
      <c r="E1707" s="29">
        <f>ROUND(Balances[[#This Row],[Total]]*40%,0)</f>
        <v>0</v>
      </c>
      <c r="F1707" s="18">
        <f>SUM(Acueducto[[#This Row],[Acueducto]:[Aseo]])</f>
        <v>0</v>
      </c>
    </row>
    <row r="1708" spans="1:6" ht="15" x14ac:dyDescent="0.2">
      <c r="A1708" s="7">
        <v>439032</v>
      </c>
      <c r="B1708" s="3" t="s">
        <v>149</v>
      </c>
      <c r="C1708" s="29">
        <f>ROUND(Balances[[#This Row],[Total]]*40%,0)</f>
        <v>0</v>
      </c>
      <c r="D1708" s="29">
        <f>ROUND(Balances[[#This Row],[Total]]*20%,0)</f>
        <v>0</v>
      </c>
      <c r="E1708" s="29">
        <f>ROUND(Balances[[#This Row],[Total]]*40%,0)</f>
        <v>0</v>
      </c>
      <c r="F1708" s="18">
        <f>SUM(Acueducto[[#This Row],[Acueducto]:[Aseo]])</f>
        <v>0</v>
      </c>
    </row>
    <row r="1709" spans="1:6" ht="15" x14ac:dyDescent="0.2">
      <c r="A1709" s="7">
        <v>439033</v>
      </c>
      <c r="B1709" s="3" t="s">
        <v>146</v>
      </c>
      <c r="C1709" s="29">
        <f>ROUND(Balances[[#This Row],[Total]]*40%,0)</f>
        <v>0</v>
      </c>
      <c r="D1709" s="29">
        <f>ROUND(Balances[[#This Row],[Total]]*20%,0)</f>
        <v>0</v>
      </c>
      <c r="E1709" s="29">
        <f>ROUND(Balances[[#This Row],[Total]]*40%,0)</f>
        <v>0</v>
      </c>
      <c r="F1709" s="18">
        <f>SUM(Acueducto[[#This Row],[Acueducto]:[Aseo]])</f>
        <v>0</v>
      </c>
    </row>
    <row r="1710" spans="1:6" ht="15" x14ac:dyDescent="0.2">
      <c r="A1710" s="7">
        <v>439034</v>
      </c>
      <c r="B1710" s="3" t="s">
        <v>147</v>
      </c>
      <c r="C1710" s="29">
        <f>ROUND(Balances[[#This Row],[Total]]*40%,0)</f>
        <v>0</v>
      </c>
      <c r="D1710" s="29">
        <f>ROUND(Balances[[#This Row],[Total]]*20%,0)</f>
        <v>0</v>
      </c>
      <c r="E1710" s="29">
        <f>ROUND(Balances[[#This Row],[Total]]*40%,0)</f>
        <v>0</v>
      </c>
      <c r="F1710" s="18">
        <f>SUM(Acueducto[[#This Row],[Acueducto]:[Aseo]])</f>
        <v>0</v>
      </c>
    </row>
    <row r="1711" spans="1:6" ht="15" x14ac:dyDescent="0.2">
      <c r="A1711" s="7">
        <v>439035</v>
      </c>
      <c r="B1711" s="3" t="s">
        <v>148</v>
      </c>
      <c r="C1711" s="29">
        <f>ROUND(Balances[[#This Row],[Total]]*40%,0)</f>
        <v>0</v>
      </c>
      <c r="D1711" s="29">
        <f>ROUND(Balances[[#This Row],[Total]]*20%,0)</f>
        <v>0</v>
      </c>
      <c r="E1711" s="29">
        <f>ROUND(Balances[[#This Row],[Total]]*40%,0)</f>
        <v>0</v>
      </c>
      <c r="F1711" s="18">
        <f>SUM(Acueducto[[#This Row],[Acueducto]:[Aseo]])</f>
        <v>0</v>
      </c>
    </row>
    <row r="1712" spans="1:6" ht="15" x14ac:dyDescent="0.2">
      <c r="A1712" s="7">
        <v>439090</v>
      </c>
      <c r="B1712" s="3" t="s">
        <v>150</v>
      </c>
      <c r="C1712" s="29">
        <f>ROUND(Balances[[#This Row],[Total]]*40%,0)</f>
        <v>0</v>
      </c>
      <c r="D1712" s="29">
        <f>ROUND(Balances[[#This Row],[Total]]*20%,0)</f>
        <v>0</v>
      </c>
      <c r="E1712" s="29">
        <f>ROUND(Balances[[#This Row],[Total]]*40%,0)</f>
        <v>0</v>
      </c>
      <c r="F1712" s="18">
        <f>SUM(Acueducto[[#This Row],[Acueducto]:[Aseo]])</f>
        <v>0</v>
      </c>
    </row>
    <row r="1713" spans="1:6" ht="15" x14ac:dyDescent="0.2">
      <c r="A1713" s="6">
        <v>4395</v>
      </c>
      <c r="B1713" s="2" t="s">
        <v>1147</v>
      </c>
      <c r="C1713" s="28">
        <f>ROUND(Balances[[#This Row],[Total]]*40%,0)</f>
        <v>0</v>
      </c>
      <c r="D1713" s="28">
        <f>ROUND(Balances[[#This Row],[Total]]*20%,0)</f>
        <v>0</v>
      </c>
      <c r="E1713" s="28">
        <f>ROUND(Balances[[#This Row],[Total]]*40%,0)</f>
        <v>0</v>
      </c>
      <c r="F1713" s="17">
        <f>SUM(Acueducto[[#This Row],[Acueducto]:[Aseo]])</f>
        <v>0</v>
      </c>
    </row>
    <row r="1714" spans="1:6" ht="15" x14ac:dyDescent="0.2">
      <c r="A1714" s="7">
        <v>439503</v>
      </c>
      <c r="B1714" s="3" t="s">
        <v>152</v>
      </c>
      <c r="C1714" s="29">
        <f>ROUND(Balances[[#This Row],[Total]]*40%,0)</f>
        <v>0</v>
      </c>
      <c r="D1714" s="29">
        <f>ROUND(Balances[[#This Row],[Total]]*20%,0)</f>
        <v>0</v>
      </c>
      <c r="E1714" s="29">
        <f>ROUND(Balances[[#This Row],[Total]]*40%,0)</f>
        <v>0</v>
      </c>
      <c r="F1714" s="18">
        <f>SUM(Acueducto[[#This Row],[Acueducto]:[Aseo]])</f>
        <v>0</v>
      </c>
    </row>
    <row r="1715" spans="1:6" ht="15" x14ac:dyDescent="0.2">
      <c r="A1715" s="7">
        <v>439505</v>
      </c>
      <c r="B1715" s="3" t="s">
        <v>156</v>
      </c>
      <c r="C1715" s="29">
        <f>ROUND(Balances[[#This Row],[Total]]*40%,0)</f>
        <v>0</v>
      </c>
      <c r="D1715" s="29">
        <f>ROUND(Balances[[#This Row],[Total]]*20%,0)</f>
        <v>0</v>
      </c>
      <c r="E1715" s="29">
        <f>ROUND(Balances[[#This Row],[Total]]*40%,0)</f>
        <v>0</v>
      </c>
      <c r="F1715" s="18">
        <f>SUM(Acueducto[[#This Row],[Acueducto]:[Aseo]])</f>
        <v>0</v>
      </c>
    </row>
    <row r="1716" spans="1:6" ht="15" x14ac:dyDescent="0.2">
      <c r="A1716" s="7">
        <v>439506</v>
      </c>
      <c r="B1716" s="3" t="s">
        <v>123</v>
      </c>
      <c r="C1716" s="29">
        <f>ROUND(Balances[[#This Row],[Total]]*40%,0)</f>
        <v>0</v>
      </c>
      <c r="D1716" s="29">
        <f>ROUND(Balances[[#This Row],[Total]]*20%,0)</f>
        <v>0</v>
      </c>
      <c r="E1716" s="29">
        <f>ROUND(Balances[[#This Row],[Total]]*40%,0)</f>
        <v>0</v>
      </c>
      <c r="F1716" s="18">
        <f>SUM(Acueducto[[#This Row],[Acueducto]:[Aseo]])</f>
        <v>0</v>
      </c>
    </row>
    <row r="1717" spans="1:6" ht="15" x14ac:dyDescent="0.2">
      <c r="A1717" s="7">
        <v>439507</v>
      </c>
      <c r="B1717" s="3" t="s">
        <v>157</v>
      </c>
      <c r="C1717" s="29">
        <f>ROUND(Balances[[#This Row],[Total]]*40%,0)</f>
        <v>0</v>
      </c>
      <c r="D1717" s="29">
        <f>ROUND(Balances[[#This Row],[Total]]*20%,0)</f>
        <v>0</v>
      </c>
      <c r="E1717" s="29">
        <f>ROUND(Balances[[#This Row],[Total]]*40%,0)</f>
        <v>0</v>
      </c>
      <c r="F1717" s="18">
        <f>SUM(Acueducto[[#This Row],[Acueducto]:[Aseo]])</f>
        <v>0</v>
      </c>
    </row>
    <row r="1718" spans="1:6" ht="15" x14ac:dyDescent="0.2">
      <c r="A1718" s="7">
        <v>439508</v>
      </c>
      <c r="B1718" s="3" t="s">
        <v>124</v>
      </c>
      <c r="C1718" s="29">
        <f>ROUND(Balances[[#This Row],[Total]]*40%,0)</f>
        <v>0</v>
      </c>
      <c r="D1718" s="29">
        <f>ROUND(Balances[[#This Row],[Total]]*20%,0)</f>
        <v>0</v>
      </c>
      <c r="E1718" s="29">
        <f>ROUND(Balances[[#This Row],[Total]]*40%,0)</f>
        <v>0</v>
      </c>
      <c r="F1718" s="18">
        <f>SUM(Acueducto[[#This Row],[Acueducto]:[Aseo]])</f>
        <v>0</v>
      </c>
    </row>
    <row r="1719" spans="1:6" ht="15" x14ac:dyDescent="0.2">
      <c r="A1719" s="7">
        <v>439509</v>
      </c>
      <c r="B1719" s="3" t="s">
        <v>125</v>
      </c>
      <c r="C1719" s="29">
        <f>ROUND(Balances[[#This Row],[Total]]*40%,0)</f>
        <v>0</v>
      </c>
      <c r="D1719" s="29">
        <f>ROUND(Balances[[#This Row],[Total]]*20%,0)</f>
        <v>0</v>
      </c>
      <c r="E1719" s="29">
        <f>ROUND(Balances[[#This Row],[Total]]*40%,0)</f>
        <v>0</v>
      </c>
      <c r="F1719" s="18">
        <f>SUM(Acueducto[[#This Row],[Acueducto]:[Aseo]])</f>
        <v>0</v>
      </c>
    </row>
    <row r="1720" spans="1:6" ht="15" x14ac:dyDescent="0.2">
      <c r="A1720" s="7">
        <v>439512</v>
      </c>
      <c r="B1720" s="3" t="s">
        <v>1148</v>
      </c>
      <c r="C1720" s="29">
        <f>ROUND(Balances[[#This Row],[Total]]*40%,0)</f>
        <v>0</v>
      </c>
      <c r="D1720" s="29">
        <f>ROUND(Balances[[#This Row],[Total]]*20%,0)</f>
        <v>0</v>
      </c>
      <c r="E1720" s="29">
        <f>ROUND(Balances[[#This Row],[Total]]*40%,0)</f>
        <v>0</v>
      </c>
      <c r="F1720" s="18">
        <f>SUM(Acueducto[[#This Row],[Acueducto]:[Aseo]])</f>
        <v>0</v>
      </c>
    </row>
    <row r="1721" spans="1:6" ht="15" x14ac:dyDescent="0.2">
      <c r="A1721" s="7">
        <v>439514</v>
      </c>
      <c r="B1721" s="3" t="s">
        <v>153</v>
      </c>
      <c r="C1721" s="29">
        <f>ROUND(Balances[[#This Row],[Total]]*40%,0)</f>
        <v>0</v>
      </c>
      <c r="D1721" s="29">
        <f>ROUND(Balances[[#This Row],[Total]]*20%,0)</f>
        <v>0</v>
      </c>
      <c r="E1721" s="29">
        <f>ROUND(Balances[[#This Row],[Total]]*40%,0)</f>
        <v>0</v>
      </c>
      <c r="F1721" s="18">
        <f>SUM(Acueducto[[#This Row],[Acueducto]:[Aseo]])</f>
        <v>0</v>
      </c>
    </row>
    <row r="1722" spans="1:6" ht="15" x14ac:dyDescent="0.2">
      <c r="A1722" s="7">
        <v>439515</v>
      </c>
      <c r="B1722" s="3" t="s">
        <v>154</v>
      </c>
      <c r="C1722" s="29">
        <f>ROUND(Balances[[#This Row],[Total]]*40%,0)</f>
        <v>0</v>
      </c>
      <c r="D1722" s="29">
        <f>ROUND(Balances[[#This Row],[Total]]*20%,0)</f>
        <v>0</v>
      </c>
      <c r="E1722" s="29">
        <f>ROUND(Balances[[#This Row],[Total]]*40%,0)</f>
        <v>0</v>
      </c>
      <c r="F1722" s="18">
        <f>SUM(Acueducto[[#This Row],[Acueducto]:[Aseo]])</f>
        <v>0</v>
      </c>
    </row>
    <row r="1723" spans="1:6" ht="15" x14ac:dyDescent="0.2">
      <c r="A1723" s="7">
        <v>439516</v>
      </c>
      <c r="B1723" s="3" t="s">
        <v>155</v>
      </c>
      <c r="C1723" s="29">
        <f>ROUND(Balances[[#This Row],[Total]]*40%,0)</f>
        <v>0</v>
      </c>
      <c r="D1723" s="29">
        <f>ROUND(Balances[[#This Row],[Total]]*20%,0)</f>
        <v>0</v>
      </c>
      <c r="E1723" s="29">
        <f>ROUND(Balances[[#This Row],[Total]]*40%,0)</f>
        <v>0</v>
      </c>
      <c r="F1723" s="18">
        <f>SUM(Acueducto[[#This Row],[Acueducto]:[Aseo]])</f>
        <v>0</v>
      </c>
    </row>
    <row r="1724" spans="1:6" ht="15" x14ac:dyDescent="0.2">
      <c r="A1724" s="7">
        <v>439517</v>
      </c>
      <c r="B1724" s="3" t="s">
        <v>127</v>
      </c>
      <c r="C1724" s="29">
        <f>ROUND(Balances[[#This Row],[Total]]*40%,0)</f>
        <v>0</v>
      </c>
      <c r="D1724" s="29">
        <f>ROUND(Balances[[#This Row],[Total]]*20%,0)</f>
        <v>0</v>
      </c>
      <c r="E1724" s="29">
        <f>ROUND(Balances[[#This Row],[Total]]*40%,0)</f>
        <v>0</v>
      </c>
      <c r="F1724" s="18">
        <f>SUM(Acueducto[[#This Row],[Acueducto]:[Aseo]])</f>
        <v>0</v>
      </c>
    </row>
    <row r="1725" spans="1:6" ht="15" x14ac:dyDescent="0.2">
      <c r="A1725" s="7">
        <v>439519</v>
      </c>
      <c r="B1725" s="3" t="s">
        <v>128</v>
      </c>
      <c r="C1725" s="29">
        <f>ROUND(Balances[[#This Row],[Total]]*40%,0)</f>
        <v>0</v>
      </c>
      <c r="D1725" s="29">
        <f>ROUND(Balances[[#This Row],[Total]]*20%,0)</f>
        <v>0</v>
      </c>
      <c r="E1725" s="29">
        <f>ROUND(Balances[[#This Row],[Total]]*40%,0)</f>
        <v>0</v>
      </c>
      <c r="F1725" s="18">
        <f>SUM(Acueducto[[#This Row],[Acueducto]:[Aseo]])</f>
        <v>0</v>
      </c>
    </row>
    <row r="1726" spans="1:6" ht="15" x14ac:dyDescent="0.2">
      <c r="A1726" s="7">
        <v>439590</v>
      </c>
      <c r="B1726" s="3" t="s">
        <v>150</v>
      </c>
      <c r="C1726" s="29">
        <f>ROUND(Balances[[#This Row],[Total]]*40%,0)</f>
        <v>0</v>
      </c>
      <c r="D1726" s="29">
        <f>ROUND(Balances[[#This Row],[Total]]*20%,0)</f>
        <v>0</v>
      </c>
      <c r="E1726" s="29">
        <f>ROUND(Balances[[#This Row],[Total]]*40%,0)</f>
        <v>0</v>
      </c>
      <c r="F1726" s="18">
        <f>SUM(Acueducto[[#This Row],[Acueducto]:[Aseo]])</f>
        <v>0</v>
      </c>
    </row>
    <row r="1727" spans="1:6" ht="15" x14ac:dyDescent="0.2">
      <c r="A1727" s="6">
        <v>44</v>
      </c>
      <c r="B1727" s="2" t="s">
        <v>1149</v>
      </c>
      <c r="C1727" s="28">
        <f>ROUND(Balances[[#This Row],[Total]]*40%,0)</f>
        <v>0</v>
      </c>
      <c r="D1727" s="28">
        <f>ROUND(Balances[[#This Row],[Total]]*20%,0)</f>
        <v>0</v>
      </c>
      <c r="E1727" s="28">
        <f>ROUND(Balances[[#This Row],[Total]]*40%,0)</f>
        <v>0</v>
      </c>
      <c r="F1727" s="28">
        <f>SUM(Acueducto[[#This Row],[Acueducto]:[Aseo]])</f>
        <v>0</v>
      </c>
    </row>
    <row r="1728" spans="1:6" ht="15" x14ac:dyDescent="0.2">
      <c r="A1728" s="6">
        <v>4430</v>
      </c>
      <c r="B1728" s="2" t="s">
        <v>1150</v>
      </c>
      <c r="C1728" s="28">
        <f>ROUND(Balances[[#This Row],[Total]]*40%,0)</f>
        <v>0</v>
      </c>
      <c r="D1728" s="28">
        <f>ROUND(Balances[[#This Row],[Total]]*20%,0)</f>
        <v>0</v>
      </c>
      <c r="E1728" s="28">
        <f>ROUND(Balances[[#This Row],[Total]]*40%,0)</f>
        <v>0</v>
      </c>
      <c r="F1728" s="28">
        <f>SUM(Acueducto[[#This Row],[Acueducto]:[Aseo]])</f>
        <v>0</v>
      </c>
    </row>
    <row r="1729" spans="1:6" ht="15" x14ac:dyDescent="0.2">
      <c r="A1729" s="7">
        <v>443001</v>
      </c>
      <c r="B1729" s="3" t="s">
        <v>1151</v>
      </c>
      <c r="C1729" s="29">
        <f>ROUND(Balances[[#This Row],[Total]]*40%,0)</f>
        <v>0</v>
      </c>
      <c r="D1729" s="29">
        <f>ROUND(Balances[[#This Row],[Total]]*20%,0)</f>
        <v>0</v>
      </c>
      <c r="E1729" s="29">
        <f>ROUND(Balances[[#This Row],[Total]]*40%,0)</f>
        <v>0</v>
      </c>
      <c r="F1729" s="18">
        <f>SUM(Acueducto[[#This Row],[Acueducto]:[Aseo]])</f>
        <v>0</v>
      </c>
    </row>
    <row r="1730" spans="1:6" ht="15" x14ac:dyDescent="0.2">
      <c r="A1730" s="7">
        <v>443002</v>
      </c>
      <c r="B1730" s="3" t="s">
        <v>1152</v>
      </c>
      <c r="C1730" s="29">
        <f>ROUND(Balances[[#This Row],[Total]]*40%,0)</f>
        <v>0</v>
      </c>
      <c r="D1730" s="29">
        <f>ROUND(Balances[[#This Row],[Total]]*20%,0)</f>
        <v>0</v>
      </c>
      <c r="E1730" s="29">
        <f>ROUND(Balances[[#This Row],[Total]]*40%,0)</f>
        <v>0</v>
      </c>
      <c r="F1730" s="18">
        <f>SUM(Acueducto[[#This Row],[Acueducto]:[Aseo]])</f>
        <v>0</v>
      </c>
    </row>
    <row r="1731" spans="1:6" ht="15" x14ac:dyDescent="0.2">
      <c r="A1731" s="7">
        <v>443003</v>
      </c>
      <c r="B1731" s="3" t="s">
        <v>1153</v>
      </c>
      <c r="C1731" s="29">
        <f>ROUND(Balances[[#This Row],[Total]]*40%,0)</f>
        <v>0</v>
      </c>
      <c r="D1731" s="29">
        <f>ROUND(Balances[[#This Row],[Total]]*20%,0)</f>
        <v>0</v>
      </c>
      <c r="E1731" s="29">
        <f>ROUND(Balances[[#This Row],[Total]]*40%,0)</f>
        <v>0</v>
      </c>
      <c r="F1731" s="18">
        <f>SUM(Acueducto[[#This Row],[Acueducto]:[Aseo]])</f>
        <v>0</v>
      </c>
    </row>
    <row r="1732" spans="1:6" ht="15" x14ac:dyDescent="0.2">
      <c r="A1732" s="7">
        <v>443004</v>
      </c>
      <c r="B1732" s="3" t="s">
        <v>222</v>
      </c>
      <c r="C1732" s="29">
        <f>ROUND(Balances[[#This Row],[Total]]*40%,0)</f>
        <v>0</v>
      </c>
      <c r="D1732" s="29">
        <f>ROUND(Balances[[#This Row],[Total]]*20%,0)</f>
        <v>0</v>
      </c>
      <c r="E1732" s="29">
        <f>ROUND(Balances[[#This Row],[Total]]*40%,0)</f>
        <v>0</v>
      </c>
      <c r="F1732" s="18">
        <f>SUM(Acueducto[[#This Row],[Acueducto]:[Aseo]])</f>
        <v>0</v>
      </c>
    </row>
    <row r="1733" spans="1:6" ht="15" x14ac:dyDescent="0.2">
      <c r="A1733" s="7">
        <v>443005</v>
      </c>
      <c r="B1733" s="3" t="s">
        <v>223</v>
      </c>
      <c r="C1733" s="29">
        <f>ROUND(Balances[[#This Row],[Total]]*40%,0)</f>
        <v>0</v>
      </c>
      <c r="D1733" s="29">
        <f>ROUND(Balances[[#This Row],[Total]]*20%,0)</f>
        <v>0</v>
      </c>
      <c r="E1733" s="29">
        <f>ROUND(Balances[[#This Row],[Total]]*40%,0)</f>
        <v>0</v>
      </c>
      <c r="F1733" s="29">
        <f>SUM(Acueducto[[#This Row],[Acueducto]:[Aseo]])</f>
        <v>0</v>
      </c>
    </row>
    <row r="1734" spans="1:6" ht="15" x14ac:dyDescent="0.2">
      <c r="A1734" s="7">
        <v>443006</v>
      </c>
      <c r="B1734" s="3" t="s">
        <v>1154</v>
      </c>
      <c r="C1734" s="29">
        <f>ROUND(Balances[[#This Row],[Total]]*40%,0)</f>
        <v>0</v>
      </c>
      <c r="D1734" s="29">
        <f>ROUND(Balances[[#This Row],[Total]]*20%,0)</f>
        <v>0</v>
      </c>
      <c r="E1734" s="29">
        <f>ROUND(Balances[[#This Row],[Total]]*40%,0)</f>
        <v>0</v>
      </c>
      <c r="F1734" s="18">
        <f>SUM(Acueducto[[#This Row],[Acueducto]:[Aseo]])</f>
        <v>0</v>
      </c>
    </row>
    <row r="1735" spans="1:6" ht="15" x14ac:dyDescent="0.2">
      <c r="A1735" s="7">
        <v>443007</v>
      </c>
      <c r="B1735" s="3" t="s">
        <v>1155</v>
      </c>
      <c r="C1735" s="29">
        <f>ROUND(Balances[[#This Row],[Total]]*40%,0)</f>
        <v>0</v>
      </c>
      <c r="D1735" s="29">
        <f>ROUND(Balances[[#This Row],[Total]]*20%,0)</f>
        <v>0</v>
      </c>
      <c r="E1735" s="29">
        <f>ROUND(Balances[[#This Row],[Total]]*40%,0)</f>
        <v>0</v>
      </c>
      <c r="F1735" s="18">
        <f>SUM(Acueducto[[#This Row],[Acueducto]:[Aseo]])</f>
        <v>0</v>
      </c>
    </row>
    <row r="1736" spans="1:6" ht="15" x14ac:dyDescent="0.2">
      <c r="A1736" s="7">
        <v>443090</v>
      </c>
      <c r="B1736" s="3" t="s">
        <v>224</v>
      </c>
      <c r="C1736" s="29">
        <f>ROUND(Balances[[#This Row],[Total]]*40%,0)</f>
        <v>0</v>
      </c>
      <c r="D1736" s="29">
        <f>ROUND(Balances[[#This Row],[Total]]*20%,0)</f>
        <v>0</v>
      </c>
      <c r="E1736" s="29">
        <f>ROUND(Balances[[#This Row],[Total]]*40%,0)</f>
        <v>0</v>
      </c>
      <c r="F1736" s="18">
        <f>SUM(Acueducto[[#This Row],[Acueducto]:[Aseo]])</f>
        <v>0</v>
      </c>
    </row>
    <row r="1737" spans="1:6" ht="15" x14ac:dyDescent="0.2">
      <c r="A1737" s="6">
        <v>48</v>
      </c>
      <c r="B1737" s="2" t="s">
        <v>1156</v>
      </c>
      <c r="C1737" s="28">
        <f>ROUND(Balances[[#This Row],[Total]]*40%,0)</f>
        <v>0</v>
      </c>
      <c r="D1737" s="28">
        <f>ROUND(Balances[[#This Row],[Total]]*20%,0)</f>
        <v>0</v>
      </c>
      <c r="E1737" s="28">
        <f>ROUND(Balances[[#This Row],[Total]]*40%,0)</f>
        <v>0</v>
      </c>
      <c r="F1737" s="17">
        <f>SUM(Acueducto[[#This Row],[Acueducto]:[Aseo]])</f>
        <v>0</v>
      </c>
    </row>
    <row r="1738" spans="1:6" ht="15" x14ac:dyDescent="0.2">
      <c r="A1738" s="6">
        <v>4802</v>
      </c>
      <c r="B1738" s="2" t="s">
        <v>1157</v>
      </c>
      <c r="C1738" s="28">
        <f>ROUND(Balances[[#This Row],[Total]]*40%,0)</f>
        <v>0</v>
      </c>
      <c r="D1738" s="28">
        <f>ROUND(Balances[[#This Row],[Total]]*20%,0)</f>
        <v>0</v>
      </c>
      <c r="E1738" s="28">
        <f>ROUND(Balances[[#This Row],[Total]]*40%,0)</f>
        <v>0</v>
      </c>
      <c r="F1738" s="17">
        <f>SUM(Acueducto[[#This Row],[Acueducto]:[Aseo]])</f>
        <v>0</v>
      </c>
    </row>
    <row r="1739" spans="1:6" ht="15" x14ac:dyDescent="0.2">
      <c r="A1739" s="7">
        <v>480201</v>
      </c>
      <c r="B1739" s="3" t="s">
        <v>1158</v>
      </c>
      <c r="C1739" s="29">
        <f>ROUND(Balances[[#This Row],[Total]]*40%,0)</f>
        <v>0</v>
      </c>
      <c r="D1739" s="29">
        <f>ROUND(Balances[[#This Row],[Total]]*20%,0)</f>
        <v>0</v>
      </c>
      <c r="E1739" s="29">
        <f>ROUND(Balances[[#This Row],[Total]]*40%,0)</f>
        <v>0</v>
      </c>
      <c r="F1739" s="18">
        <f>SUM(Acueducto[[#This Row],[Acueducto]:[Aseo]])</f>
        <v>0</v>
      </c>
    </row>
    <row r="1740" spans="1:6" ht="15" x14ac:dyDescent="0.2">
      <c r="A1740" s="7">
        <v>480202</v>
      </c>
      <c r="B1740" s="3" t="s">
        <v>245</v>
      </c>
      <c r="C1740" s="29">
        <f>ROUND(Balances[[#This Row],[Total]]*40%,0)</f>
        <v>0</v>
      </c>
      <c r="D1740" s="29">
        <f>ROUND(Balances[[#This Row],[Total]]*20%,0)</f>
        <v>0</v>
      </c>
      <c r="E1740" s="29">
        <f>ROUND(Balances[[#This Row],[Total]]*40%,0)</f>
        <v>0</v>
      </c>
      <c r="F1740" s="18">
        <f>SUM(Acueducto[[#This Row],[Acueducto]:[Aseo]])</f>
        <v>0</v>
      </c>
    </row>
    <row r="1741" spans="1:6" ht="15" x14ac:dyDescent="0.2">
      <c r="A1741" s="7">
        <v>480203</v>
      </c>
      <c r="B1741" s="3" t="s">
        <v>244</v>
      </c>
      <c r="C1741" s="29">
        <f>ROUND(Balances[[#This Row],[Total]]*40%,0)</f>
        <v>0</v>
      </c>
      <c r="D1741" s="29">
        <f>ROUND(Balances[[#This Row],[Total]]*20%,0)</f>
        <v>0</v>
      </c>
      <c r="E1741" s="29">
        <f>ROUND(Balances[[#This Row],[Total]]*40%,0)</f>
        <v>0</v>
      </c>
      <c r="F1741" s="18">
        <f>SUM(Acueducto[[#This Row],[Acueducto]:[Aseo]])</f>
        <v>0</v>
      </c>
    </row>
    <row r="1742" spans="1:6" ht="15" x14ac:dyDescent="0.2">
      <c r="A1742" s="7">
        <v>480204</v>
      </c>
      <c r="B1742" s="3" t="s">
        <v>1159</v>
      </c>
      <c r="C1742" s="29">
        <f>ROUND(Balances[[#This Row],[Total]]*40%,0)</f>
        <v>0</v>
      </c>
      <c r="D1742" s="29">
        <f>ROUND(Balances[[#This Row],[Total]]*20%,0)</f>
        <v>0</v>
      </c>
      <c r="E1742" s="29">
        <f>ROUND(Balances[[#This Row],[Total]]*40%,0)</f>
        <v>0</v>
      </c>
      <c r="F1742" s="18">
        <f>SUM(Acueducto[[#This Row],[Acueducto]:[Aseo]])</f>
        <v>0</v>
      </c>
    </row>
    <row r="1743" spans="1:6" ht="15" x14ac:dyDescent="0.2">
      <c r="A1743" s="7">
        <v>480205</v>
      </c>
      <c r="B1743" s="3" t="s">
        <v>1160</v>
      </c>
      <c r="C1743" s="29">
        <f>ROUND(Balances[[#This Row],[Total]]*40%,0)</f>
        <v>0</v>
      </c>
      <c r="D1743" s="29">
        <f>ROUND(Balances[[#This Row],[Total]]*20%,0)</f>
        <v>0</v>
      </c>
      <c r="E1743" s="29">
        <f>ROUND(Balances[[#This Row],[Total]]*40%,0)</f>
        <v>0</v>
      </c>
      <c r="F1743" s="18">
        <f>SUM(Acueducto[[#This Row],[Acueducto]:[Aseo]])</f>
        <v>0</v>
      </c>
    </row>
    <row r="1744" spans="1:6" ht="15" x14ac:dyDescent="0.2">
      <c r="A1744" s="7">
        <v>480206</v>
      </c>
      <c r="B1744" s="3" t="s">
        <v>1161</v>
      </c>
      <c r="C1744" s="29">
        <f>ROUND(Balances[[#This Row],[Total]]*40%,0)</f>
        <v>0</v>
      </c>
      <c r="D1744" s="29">
        <f>ROUND(Balances[[#This Row],[Total]]*20%,0)</f>
        <v>0</v>
      </c>
      <c r="E1744" s="29">
        <f>ROUND(Balances[[#This Row],[Total]]*40%,0)</f>
        <v>0</v>
      </c>
      <c r="F1744" s="18">
        <f>SUM(Acueducto[[#This Row],[Acueducto]:[Aseo]])</f>
        <v>0</v>
      </c>
    </row>
    <row r="1745" spans="1:6" ht="15" x14ac:dyDescent="0.2">
      <c r="A1745" s="7">
        <v>480207</v>
      </c>
      <c r="B1745" s="4" t="s">
        <v>1162</v>
      </c>
      <c r="C1745" s="29">
        <f>ROUND(Balances[[#This Row],[Total]]*40%,0)</f>
        <v>0</v>
      </c>
      <c r="D1745" s="29">
        <f>ROUND(Balances[[#This Row],[Total]]*20%,0)</f>
        <v>0</v>
      </c>
      <c r="E1745" s="29">
        <f>ROUND(Balances[[#This Row],[Total]]*40%,0)</f>
        <v>0</v>
      </c>
      <c r="F1745" s="18">
        <f>SUM(Acueducto[[#This Row],[Acueducto]:[Aseo]])</f>
        <v>0</v>
      </c>
    </row>
    <row r="1746" spans="1:6" ht="15" x14ac:dyDescent="0.2">
      <c r="A1746" s="7">
        <v>480208</v>
      </c>
      <c r="B1746" s="4" t="s">
        <v>1163</v>
      </c>
      <c r="C1746" s="29">
        <f>ROUND(Balances[[#This Row],[Total]]*40%,0)</f>
        <v>0</v>
      </c>
      <c r="D1746" s="29">
        <f>ROUND(Balances[[#This Row],[Total]]*20%,0)</f>
        <v>0</v>
      </c>
      <c r="E1746" s="29">
        <f>ROUND(Balances[[#This Row],[Total]]*40%,0)</f>
        <v>0</v>
      </c>
      <c r="F1746" s="18">
        <f>SUM(Acueducto[[#This Row],[Acueducto]:[Aseo]])</f>
        <v>0</v>
      </c>
    </row>
    <row r="1747" spans="1:6" ht="15" x14ac:dyDescent="0.2">
      <c r="A1747" s="7">
        <v>480209</v>
      </c>
      <c r="B1747" s="4" t="s">
        <v>1164</v>
      </c>
      <c r="C1747" s="29">
        <f>ROUND(Balances[[#This Row],[Total]]*40%,0)</f>
        <v>0</v>
      </c>
      <c r="D1747" s="29">
        <f>ROUND(Balances[[#This Row],[Total]]*20%,0)</f>
        <v>0</v>
      </c>
      <c r="E1747" s="29">
        <f>ROUND(Balances[[#This Row],[Total]]*40%,0)</f>
        <v>0</v>
      </c>
      <c r="F1747" s="18">
        <f>SUM(Acueducto[[#This Row],[Acueducto]:[Aseo]])</f>
        <v>0</v>
      </c>
    </row>
    <row r="1748" spans="1:6" ht="15" x14ac:dyDescent="0.2">
      <c r="A1748" s="7">
        <v>480210</v>
      </c>
      <c r="B1748" s="4" t="s">
        <v>1165</v>
      </c>
      <c r="C1748" s="29">
        <f>ROUND(Balances[[#This Row],[Total]]*40%,0)</f>
        <v>0</v>
      </c>
      <c r="D1748" s="29">
        <f>ROUND(Balances[[#This Row],[Total]]*20%,0)</f>
        <v>0</v>
      </c>
      <c r="E1748" s="29">
        <f>ROUND(Balances[[#This Row],[Total]]*40%,0)</f>
        <v>0</v>
      </c>
      <c r="F1748" s="18">
        <f>SUM(Acueducto[[#This Row],[Acueducto]:[Aseo]])</f>
        <v>0</v>
      </c>
    </row>
    <row r="1749" spans="1:6" ht="15" x14ac:dyDescent="0.2">
      <c r="A1749" s="7">
        <v>480211</v>
      </c>
      <c r="B1749" s="4" t="s">
        <v>1166</v>
      </c>
      <c r="C1749" s="29">
        <f>ROUND(Balances[[#This Row],[Total]]*40%,0)</f>
        <v>0</v>
      </c>
      <c r="D1749" s="29">
        <f>ROUND(Balances[[#This Row],[Total]]*20%,0)</f>
        <v>0</v>
      </c>
      <c r="E1749" s="29">
        <f>ROUND(Balances[[#This Row],[Total]]*40%,0)</f>
        <v>0</v>
      </c>
      <c r="F1749" s="18">
        <f>SUM(Acueducto[[#This Row],[Acueducto]:[Aseo]])</f>
        <v>0</v>
      </c>
    </row>
    <row r="1750" spans="1:6" ht="15" x14ac:dyDescent="0.2">
      <c r="A1750" s="7">
        <v>480212</v>
      </c>
      <c r="B1750" s="4" t="s">
        <v>1167</v>
      </c>
      <c r="C1750" s="29">
        <f>ROUND(Balances[[#This Row],[Total]]*40%,0)</f>
        <v>0</v>
      </c>
      <c r="D1750" s="29">
        <f>ROUND(Balances[[#This Row],[Total]]*20%,0)</f>
        <v>0</v>
      </c>
      <c r="E1750" s="29">
        <f>ROUND(Balances[[#This Row],[Total]]*40%,0)</f>
        <v>0</v>
      </c>
      <c r="F1750" s="18">
        <f>SUM(Acueducto[[#This Row],[Acueducto]:[Aseo]])</f>
        <v>0</v>
      </c>
    </row>
    <row r="1751" spans="1:6" ht="15" x14ac:dyDescent="0.2">
      <c r="A1751" s="7">
        <v>480213</v>
      </c>
      <c r="B1751" s="4" t="s">
        <v>1168</v>
      </c>
      <c r="C1751" s="29">
        <f>ROUND(Balances[[#This Row],[Total]]*40%,0)</f>
        <v>0</v>
      </c>
      <c r="D1751" s="29">
        <f>ROUND(Balances[[#This Row],[Total]]*20%,0)</f>
        <v>0</v>
      </c>
      <c r="E1751" s="29">
        <f>ROUND(Balances[[#This Row],[Total]]*40%,0)</f>
        <v>0</v>
      </c>
      <c r="F1751" s="18">
        <f>SUM(Acueducto[[#This Row],[Acueducto]:[Aseo]])</f>
        <v>0</v>
      </c>
    </row>
    <row r="1752" spans="1:6" ht="15" x14ac:dyDescent="0.2">
      <c r="A1752" s="7">
        <v>480214</v>
      </c>
      <c r="B1752" s="3" t="s">
        <v>1169</v>
      </c>
      <c r="C1752" s="29">
        <f>ROUND(Balances[[#This Row],[Total]]*40%,0)</f>
        <v>0</v>
      </c>
      <c r="D1752" s="29">
        <f>ROUND(Balances[[#This Row],[Total]]*20%,0)</f>
        <v>0</v>
      </c>
      <c r="E1752" s="29">
        <f>ROUND(Balances[[#This Row],[Total]]*40%,0)</f>
        <v>0</v>
      </c>
      <c r="F1752" s="18">
        <f>SUM(Acueducto[[#This Row],[Acueducto]:[Aseo]])</f>
        <v>0</v>
      </c>
    </row>
    <row r="1753" spans="1:6" ht="15" x14ac:dyDescent="0.2">
      <c r="A1753" s="7">
        <v>480215</v>
      </c>
      <c r="B1753" s="3" t="s">
        <v>1170</v>
      </c>
      <c r="C1753" s="29">
        <f>ROUND(Balances[[#This Row],[Total]]*40%,0)</f>
        <v>0</v>
      </c>
      <c r="D1753" s="29">
        <f>ROUND(Balances[[#This Row],[Total]]*20%,0)</f>
        <v>0</v>
      </c>
      <c r="E1753" s="29">
        <f>ROUND(Balances[[#This Row],[Total]]*40%,0)</f>
        <v>0</v>
      </c>
      <c r="F1753" s="18">
        <f>SUM(Acueducto[[#This Row],[Acueducto]:[Aseo]])</f>
        <v>0</v>
      </c>
    </row>
    <row r="1754" spans="1:6" ht="15" x14ac:dyDescent="0.2">
      <c r="A1754" s="7">
        <v>480216</v>
      </c>
      <c r="B1754" s="3" t="s">
        <v>1171</v>
      </c>
      <c r="C1754" s="29">
        <f>ROUND(Balances[[#This Row],[Total]]*40%,0)</f>
        <v>0</v>
      </c>
      <c r="D1754" s="29">
        <f>ROUND(Balances[[#This Row],[Total]]*20%,0)</f>
        <v>0</v>
      </c>
      <c r="E1754" s="29">
        <f>ROUND(Balances[[#This Row],[Total]]*40%,0)</f>
        <v>0</v>
      </c>
      <c r="F1754" s="18">
        <f>SUM(Acueducto[[#This Row],[Acueducto]:[Aseo]])</f>
        <v>0</v>
      </c>
    </row>
    <row r="1755" spans="1:6" ht="15" x14ac:dyDescent="0.2">
      <c r="A1755" s="7">
        <v>480217</v>
      </c>
      <c r="B1755" s="4" t="s">
        <v>1172</v>
      </c>
      <c r="C1755" s="29">
        <f>ROUND(Balances[[#This Row],[Total]]*40%,0)</f>
        <v>0</v>
      </c>
      <c r="D1755" s="29">
        <f>ROUND(Balances[[#This Row],[Total]]*20%,0)</f>
        <v>0</v>
      </c>
      <c r="E1755" s="29">
        <f>ROUND(Balances[[#This Row],[Total]]*40%,0)</f>
        <v>0</v>
      </c>
      <c r="F1755" s="18">
        <f>SUM(Acueducto[[#This Row],[Acueducto]:[Aseo]])</f>
        <v>0</v>
      </c>
    </row>
    <row r="1756" spans="1:6" ht="15" x14ac:dyDescent="0.2">
      <c r="A1756" s="7">
        <v>480218</v>
      </c>
      <c r="B1756" s="4" t="s">
        <v>1173</v>
      </c>
      <c r="C1756" s="29">
        <f>ROUND(Balances[[#This Row],[Total]]*40%,0)</f>
        <v>0</v>
      </c>
      <c r="D1756" s="29">
        <f>ROUND(Balances[[#This Row],[Total]]*20%,0)</f>
        <v>0</v>
      </c>
      <c r="E1756" s="29">
        <f>ROUND(Balances[[#This Row],[Total]]*40%,0)</f>
        <v>0</v>
      </c>
      <c r="F1756" s="18">
        <f>SUM(Acueducto[[#This Row],[Acueducto]:[Aseo]])</f>
        <v>0</v>
      </c>
    </row>
    <row r="1757" spans="1:6" ht="15" x14ac:dyDescent="0.2">
      <c r="A1757" s="7">
        <v>480219</v>
      </c>
      <c r="B1757" s="3" t="s">
        <v>1174</v>
      </c>
      <c r="C1757" s="29">
        <f>ROUND(Balances[[#This Row],[Total]]*40%,0)</f>
        <v>0</v>
      </c>
      <c r="D1757" s="29">
        <f>ROUND(Balances[[#This Row],[Total]]*20%,0)</f>
        <v>0</v>
      </c>
      <c r="E1757" s="29">
        <f>ROUND(Balances[[#This Row],[Total]]*40%,0)</f>
        <v>0</v>
      </c>
      <c r="F1757" s="18">
        <f>SUM(Acueducto[[#This Row],[Acueducto]:[Aseo]])</f>
        <v>0</v>
      </c>
    </row>
    <row r="1758" spans="1:6" ht="15" x14ac:dyDescent="0.2">
      <c r="A1758" s="7">
        <v>480220</v>
      </c>
      <c r="B1758" s="3" t="s">
        <v>1175</v>
      </c>
      <c r="C1758" s="29">
        <f>ROUND(Balances[[#This Row],[Total]]*40%,0)</f>
        <v>0</v>
      </c>
      <c r="D1758" s="29">
        <f>ROUND(Balances[[#This Row],[Total]]*20%,0)</f>
        <v>0</v>
      </c>
      <c r="E1758" s="29">
        <f>ROUND(Balances[[#This Row],[Total]]*40%,0)</f>
        <v>0</v>
      </c>
      <c r="F1758" s="18">
        <f>SUM(Acueducto[[#This Row],[Acueducto]:[Aseo]])</f>
        <v>0</v>
      </c>
    </row>
    <row r="1759" spans="1:6" ht="15" x14ac:dyDescent="0.2">
      <c r="A1759" s="7">
        <v>480221</v>
      </c>
      <c r="B1759" s="3" t="s">
        <v>1176</v>
      </c>
      <c r="C1759" s="29">
        <f>ROUND(Balances[[#This Row],[Total]]*40%,0)</f>
        <v>0</v>
      </c>
      <c r="D1759" s="29">
        <f>ROUND(Balances[[#This Row],[Total]]*20%,0)</f>
        <v>0</v>
      </c>
      <c r="E1759" s="29">
        <f>ROUND(Balances[[#This Row],[Total]]*40%,0)</f>
        <v>0</v>
      </c>
      <c r="F1759" s="18">
        <f>SUM(Acueducto[[#This Row],[Acueducto]:[Aseo]])</f>
        <v>0</v>
      </c>
    </row>
    <row r="1760" spans="1:6" ht="15" x14ac:dyDescent="0.2">
      <c r="A1760" s="7">
        <v>480222</v>
      </c>
      <c r="B1760" s="3" t="s">
        <v>1177</v>
      </c>
      <c r="C1760" s="29">
        <f>ROUND(Balances[[#This Row],[Total]]*40%,0)</f>
        <v>0</v>
      </c>
      <c r="D1760" s="29">
        <f>ROUND(Balances[[#This Row],[Total]]*20%,0)</f>
        <v>0</v>
      </c>
      <c r="E1760" s="29">
        <f>ROUND(Balances[[#This Row],[Total]]*40%,0)</f>
        <v>0</v>
      </c>
      <c r="F1760" s="18">
        <f>SUM(Acueducto[[#This Row],[Acueducto]:[Aseo]])</f>
        <v>0</v>
      </c>
    </row>
    <row r="1761" spans="1:6" ht="15" x14ac:dyDescent="0.2">
      <c r="A1761" s="7">
        <v>480223</v>
      </c>
      <c r="B1761" s="3" t="s">
        <v>231</v>
      </c>
      <c r="C1761" s="29">
        <f>ROUND(Balances[[#This Row],[Total]]*40%,0)</f>
        <v>0</v>
      </c>
      <c r="D1761" s="29">
        <f>ROUND(Balances[[#This Row],[Total]]*20%,0)</f>
        <v>0</v>
      </c>
      <c r="E1761" s="29">
        <f>ROUND(Balances[[#This Row],[Total]]*40%,0)</f>
        <v>0</v>
      </c>
      <c r="F1761" s="18">
        <f>SUM(Acueducto[[#This Row],[Acueducto]:[Aseo]])</f>
        <v>0</v>
      </c>
    </row>
    <row r="1762" spans="1:6" ht="15" x14ac:dyDescent="0.2">
      <c r="A1762" s="7">
        <v>480226</v>
      </c>
      <c r="B1762" s="3" t="s">
        <v>1178</v>
      </c>
      <c r="C1762" s="29">
        <f>ROUND(Balances[[#This Row],[Total]]*40%,0)</f>
        <v>0</v>
      </c>
      <c r="D1762" s="29">
        <f>ROUND(Balances[[#This Row],[Total]]*20%,0)</f>
        <v>0</v>
      </c>
      <c r="E1762" s="29">
        <f>ROUND(Balances[[#This Row],[Total]]*40%,0)</f>
        <v>0</v>
      </c>
      <c r="F1762" s="18">
        <f>SUM(Acueducto[[#This Row],[Acueducto]:[Aseo]])</f>
        <v>0</v>
      </c>
    </row>
    <row r="1763" spans="1:6" ht="15" x14ac:dyDescent="0.2">
      <c r="A1763" s="7">
        <v>480227</v>
      </c>
      <c r="B1763" s="3" t="s">
        <v>1179</v>
      </c>
      <c r="C1763" s="29">
        <f>ROUND(Balances[[#This Row],[Total]]*40%,0)</f>
        <v>0</v>
      </c>
      <c r="D1763" s="29">
        <f>ROUND(Balances[[#This Row],[Total]]*20%,0)</f>
        <v>0</v>
      </c>
      <c r="E1763" s="29">
        <f>ROUND(Balances[[#This Row],[Total]]*40%,0)</f>
        <v>0</v>
      </c>
      <c r="F1763" s="18">
        <f>SUM(Acueducto[[#This Row],[Acueducto]:[Aseo]])</f>
        <v>0</v>
      </c>
    </row>
    <row r="1764" spans="1:6" ht="15" x14ac:dyDescent="0.2">
      <c r="A1764" s="7">
        <v>480229</v>
      </c>
      <c r="B1764" s="3" t="s">
        <v>1180</v>
      </c>
      <c r="C1764" s="29">
        <f>ROUND(Balances[[#This Row],[Total]]*40%,0)</f>
        <v>0</v>
      </c>
      <c r="D1764" s="29">
        <f>ROUND(Balances[[#This Row],[Total]]*20%,0)</f>
        <v>0</v>
      </c>
      <c r="E1764" s="29">
        <f>ROUND(Balances[[#This Row],[Total]]*40%,0)</f>
        <v>0</v>
      </c>
      <c r="F1764" s="18">
        <f>SUM(Acueducto[[#This Row],[Acueducto]:[Aseo]])</f>
        <v>0</v>
      </c>
    </row>
    <row r="1765" spans="1:6" ht="15" x14ac:dyDescent="0.2">
      <c r="A1765" s="7">
        <v>480230</v>
      </c>
      <c r="B1765" s="3" t="s">
        <v>1181</v>
      </c>
      <c r="C1765" s="29">
        <f>ROUND(Balances[[#This Row],[Total]]*40%,0)</f>
        <v>0</v>
      </c>
      <c r="D1765" s="29">
        <f>ROUND(Balances[[#This Row],[Total]]*20%,0)</f>
        <v>0</v>
      </c>
      <c r="E1765" s="29">
        <f>ROUND(Balances[[#This Row],[Total]]*40%,0)</f>
        <v>0</v>
      </c>
      <c r="F1765" s="18">
        <f>SUM(Acueducto[[#This Row],[Acueducto]:[Aseo]])</f>
        <v>0</v>
      </c>
    </row>
    <row r="1766" spans="1:6" ht="15" x14ac:dyDescent="0.2">
      <c r="A1766" s="7">
        <v>480231</v>
      </c>
      <c r="B1766" s="3" t="s">
        <v>1182</v>
      </c>
      <c r="C1766" s="29">
        <f>ROUND(Balances[[#This Row],[Total]]*40%,0)</f>
        <v>0</v>
      </c>
      <c r="D1766" s="29">
        <f>ROUND(Balances[[#This Row],[Total]]*20%,0)</f>
        <v>0</v>
      </c>
      <c r="E1766" s="29">
        <f>ROUND(Balances[[#This Row],[Total]]*40%,0)</f>
        <v>0</v>
      </c>
      <c r="F1766" s="18">
        <f>SUM(Acueducto[[#This Row],[Acueducto]:[Aseo]])</f>
        <v>0</v>
      </c>
    </row>
    <row r="1767" spans="1:6" ht="15" x14ac:dyDescent="0.2">
      <c r="A1767" s="7">
        <v>480232</v>
      </c>
      <c r="B1767" s="3" t="s">
        <v>1183</v>
      </c>
      <c r="C1767" s="29">
        <f>ROUND(Balances[[#This Row],[Total]]*40%,0)</f>
        <v>0</v>
      </c>
      <c r="D1767" s="29">
        <f>ROUND(Balances[[#This Row],[Total]]*20%,0)</f>
        <v>0</v>
      </c>
      <c r="E1767" s="29">
        <f>ROUND(Balances[[#This Row],[Total]]*40%,0)</f>
        <v>0</v>
      </c>
      <c r="F1767" s="18">
        <f>SUM(Acueducto[[#This Row],[Acueducto]:[Aseo]])</f>
        <v>0</v>
      </c>
    </row>
    <row r="1768" spans="1:6" ht="15" x14ac:dyDescent="0.2">
      <c r="A1768" s="7">
        <v>480233</v>
      </c>
      <c r="B1768" s="3" t="s">
        <v>252</v>
      </c>
      <c r="C1768" s="29">
        <f>ROUND(Balances[[#This Row],[Total]]*40%,0)</f>
        <v>0</v>
      </c>
      <c r="D1768" s="29">
        <f>ROUND(Balances[[#This Row],[Total]]*20%,0)</f>
        <v>0</v>
      </c>
      <c r="E1768" s="29">
        <f>ROUND(Balances[[#This Row],[Total]]*40%,0)</f>
        <v>0</v>
      </c>
      <c r="F1768" s="18">
        <f>SUM(Acueducto[[#This Row],[Acueducto]:[Aseo]])</f>
        <v>0</v>
      </c>
    </row>
    <row r="1769" spans="1:6" ht="15" x14ac:dyDescent="0.2">
      <c r="A1769" s="7">
        <v>480236</v>
      </c>
      <c r="B1769" s="3" t="s">
        <v>1184</v>
      </c>
      <c r="C1769" s="29">
        <f>ROUND(Balances[[#This Row],[Total]]*40%,0)</f>
        <v>0</v>
      </c>
      <c r="D1769" s="29">
        <f>ROUND(Balances[[#This Row],[Total]]*20%,0)</f>
        <v>0</v>
      </c>
      <c r="E1769" s="29">
        <f>ROUND(Balances[[#This Row],[Total]]*40%,0)</f>
        <v>0</v>
      </c>
      <c r="F1769" s="18">
        <f>SUM(Acueducto[[#This Row],[Acueducto]:[Aseo]])</f>
        <v>0</v>
      </c>
    </row>
    <row r="1770" spans="1:6" ht="15" x14ac:dyDescent="0.2">
      <c r="A1770" s="7">
        <v>480238</v>
      </c>
      <c r="B1770" s="4" t="s">
        <v>1185</v>
      </c>
      <c r="C1770" s="29">
        <f>ROUND(Balances[[#This Row],[Total]]*40%,0)</f>
        <v>0</v>
      </c>
      <c r="D1770" s="29">
        <f>ROUND(Balances[[#This Row],[Total]]*20%,0)</f>
        <v>0</v>
      </c>
      <c r="E1770" s="29">
        <f>ROUND(Balances[[#This Row],[Total]]*40%,0)</f>
        <v>0</v>
      </c>
      <c r="F1770" s="18">
        <f>SUM(Acueducto[[#This Row],[Acueducto]:[Aseo]])</f>
        <v>0</v>
      </c>
    </row>
    <row r="1771" spans="1:6" ht="15" x14ac:dyDescent="0.2">
      <c r="A1771" s="7">
        <v>480239</v>
      </c>
      <c r="B1771" s="3" t="s">
        <v>93</v>
      </c>
      <c r="C1771" s="29">
        <f>ROUND(Balances[[#This Row],[Total]]*40%,0)</f>
        <v>0</v>
      </c>
      <c r="D1771" s="29">
        <f>ROUND(Balances[[#This Row],[Total]]*20%,0)</f>
        <v>0</v>
      </c>
      <c r="E1771" s="29">
        <f>ROUND(Balances[[#This Row],[Total]]*40%,0)</f>
        <v>0</v>
      </c>
      <c r="F1771" s="18">
        <f>SUM(Acueducto[[#This Row],[Acueducto]:[Aseo]])</f>
        <v>0</v>
      </c>
    </row>
    <row r="1772" spans="1:6" ht="15" x14ac:dyDescent="0.2">
      <c r="A1772" s="7">
        <v>480241</v>
      </c>
      <c r="B1772" s="3" t="s">
        <v>1186</v>
      </c>
      <c r="C1772" s="29">
        <f>ROUND(Balances[[#This Row],[Total]]*40%,0)</f>
        <v>0</v>
      </c>
      <c r="D1772" s="29">
        <f>ROUND(Balances[[#This Row],[Total]]*20%,0)</f>
        <v>0</v>
      </c>
      <c r="E1772" s="29">
        <f>ROUND(Balances[[#This Row],[Total]]*40%,0)</f>
        <v>0</v>
      </c>
      <c r="F1772" s="18">
        <f>SUM(Acueducto[[#This Row],[Acueducto]:[Aseo]])</f>
        <v>0</v>
      </c>
    </row>
    <row r="1773" spans="1:6" ht="15" x14ac:dyDescent="0.2">
      <c r="A1773" s="7">
        <v>480242</v>
      </c>
      <c r="B1773" s="3" t="s">
        <v>1187</v>
      </c>
      <c r="C1773" s="29">
        <f>ROUND(Balances[[#This Row],[Total]]*40%,0)</f>
        <v>0</v>
      </c>
      <c r="D1773" s="29">
        <f>ROUND(Balances[[#This Row],[Total]]*20%,0)</f>
        <v>0</v>
      </c>
      <c r="E1773" s="29">
        <f>ROUND(Balances[[#This Row],[Total]]*40%,0)</f>
        <v>0</v>
      </c>
      <c r="F1773" s="18">
        <f>SUM(Acueducto[[#This Row],[Acueducto]:[Aseo]])</f>
        <v>0</v>
      </c>
    </row>
    <row r="1774" spans="1:6" ht="15" x14ac:dyDescent="0.2">
      <c r="A1774" s="7">
        <v>480243</v>
      </c>
      <c r="B1774" s="3" t="s">
        <v>1188</v>
      </c>
      <c r="C1774" s="29">
        <f>ROUND(Balances[[#This Row],[Total]]*40%,0)</f>
        <v>0</v>
      </c>
      <c r="D1774" s="29">
        <f>ROUND(Balances[[#This Row],[Total]]*20%,0)</f>
        <v>0</v>
      </c>
      <c r="E1774" s="29">
        <f>ROUND(Balances[[#This Row],[Total]]*40%,0)</f>
        <v>0</v>
      </c>
      <c r="F1774" s="18">
        <f>SUM(Acueducto[[#This Row],[Acueducto]:[Aseo]])</f>
        <v>0</v>
      </c>
    </row>
    <row r="1775" spans="1:6" ht="15" x14ac:dyDescent="0.2">
      <c r="A1775" s="7">
        <v>480290</v>
      </c>
      <c r="B1775" s="3" t="s">
        <v>1189</v>
      </c>
      <c r="C1775" s="29">
        <f>ROUND(Balances[[#This Row],[Total]]*40%,0)</f>
        <v>0</v>
      </c>
      <c r="D1775" s="29">
        <f>ROUND(Balances[[#This Row],[Total]]*20%,0)</f>
        <v>0</v>
      </c>
      <c r="E1775" s="29">
        <f>ROUND(Balances[[#This Row],[Total]]*40%,0)</f>
        <v>0</v>
      </c>
      <c r="F1775" s="18">
        <f>SUM(Acueducto[[#This Row],[Acueducto]:[Aseo]])</f>
        <v>0</v>
      </c>
    </row>
    <row r="1776" spans="1:6" ht="15" x14ac:dyDescent="0.2">
      <c r="A1776" s="6">
        <v>4806</v>
      </c>
      <c r="B1776" s="2" t="s">
        <v>1190</v>
      </c>
      <c r="C1776" s="24">
        <f>ROUND(Balances[[#This Row],[Total]]*40%,0)</f>
        <v>0</v>
      </c>
      <c r="D1776" s="24">
        <f>ROUND(Balances[[#This Row],[Total]]*20%,0)</f>
        <v>0</v>
      </c>
      <c r="E1776" s="24">
        <f>ROUND(Balances[[#This Row],[Total]]*40%,0)</f>
        <v>0</v>
      </c>
      <c r="F1776" s="1">
        <f>SUM(Acueducto[[#This Row],[Acueducto]:[Aseo]])</f>
        <v>0</v>
      </c>
    </row>
    <row r="1777" spans="1:6" ht="15" x14ac:dyDescent="0.2">
      <c r="A1777" s="7">
        <v>480601</v>
      </c>
      <c r="B1777" s="3" t="s">
        <v>549</v>
      </c>
      <c r="C1777" s="29">
        <f>ROUND(Balances[[#This Row],[Total]]*40%,0)</f>
        <v>0</v>
      </c>
      <c r="D1777" s="29">
        <f>ROUND(Balances[[#This Row],[Total]]*20%,0)</f>
        <v>0</v>
      </c>
      <c r="E1777" s="29">
        <f>ROUND(Balances[[#This Row],[Total]]*40%,0)</f>
        <v>0</v>
      </c>
      <c r="F1777" s="18">
        <f>SUM(Acueducto[[#This Row],[Acueducto]:[Aseo]])</f>
        <v>0</v>
      </c>
    </row>
    <row r="1778" spans="1:6" ht="15" x14ac:dyDescent="0.2">
      <c r="A1778" s="7">
        <v>480602</v>
      </c>
      <c r="B1778" s="3" t="s">
        <v>226</v>
      </c>
      <c r="C1778" s="29">
        <f>ROUND(Balances[[#This Row],[Total]]*40%,0)</f>
        <v>0</v>
      </c>
      <c r="D1778" s="29">
        <f>ROUND(Balances[[#This Row],[Total]]*20%,0)</f>
        <v>0</v>
      </c>
      <c r="E1778" s="29">
        <f>ROUND(Balances[[#This Row],[Total]]*40%,0)</f>
        <v>0</v>
      </c>
      <c r="F1778" s="18">
        <f>SUM(Acueducto[[#This Row],[Acueducto]:[Aseo]])</f>
        <v>0</v>
      </c>
    </row>
    <row r="1779" spans="1:6" ht="15" x14ac:dyDescent="0.2">
      <c r="A1779" s="7">
        <v>480612</v>
      </c>
      <c r="B1779" s="3" t="s">
        <v>845</v>
      </c>
      <c r="C1779" s="29">
        <f>ROUND(Balances[[#This Row],[Total]]*40%,0)</f>
        <v>0</v>
      </c>
      <c r="D1779" s="29">
        <f>ROUND(Balances[[#This Row],[Total]]*20%,0)</f>
        <v>0</v>
      </c>
      <c r="E1779" s="29">
        <f>ROUND(Balances[[#This Row],[Total]]*40%,0)</f>
        <v>0</v>
      </c>
      <c r="F1779" s="18">
        <f>SUM(Acueducto[[#This Row],[Acueducto]:[Aseo]])</f>
        <v>0</v>
      </c>
    </row>
    <row r="1780" spans="1:6" ht="15" x14ac:dyDescent="0.2">
      <c r="A1780" s="7">
        <v>480613</v>
      </c>
      <c r="B1780" s="3" t="s">
        <v>846</v>
      </c>
      <c r="C1780" s="29">
        <f>ROUND(Balances[[#This Row],[Total]]*40%,0)</f>
        <v>0</v>
      </c>
      <c r="D1780" s="29">
        <f>ROUND(Balances[[#This Row],[Total]]*20%,0)</f>
        <v>0</v>
      </c>
      <c r="E1780" s="29">
        <f>ROUND(Balances[[#This Row],[Total]]*40%,0)</f>
        <v>0</v>
      </c>
      <c r="F1780" s="18">
        <f>SUM(Acueducto[[#This Row],[Acueducto]:[Aseo]])</f>
        <v>0</v>
      </c>
    </row>
    <row r="1781" spans="1:6" ht="15" x14ac:dyDescent="0.2">
      <c r="A1781" s="7">
        <v>480634</v>
      </c>
      <c r="B1781" s="3" t="s">
        <v>1191</v>
      </c>
      <c r="C1781" s="29">
        <f>ROUND(Balances[[#This Row],[Total]]*40%,0)</f>
        <v>0</v>
      </c>
      <c r="D1781" s="29">
        <f>ROUND(Balances[[#This Row],[Total]]*20%,0)</f>
        <v>0</v>
      </c>
      <c r="E1781" s="29">
        <f>ROUND(Balances[[#This Row],[Total]]*40%,0)</f>
        <v>0</v>
      </c>
      <c r="F1781" s="18">
        <f>SUM(Acueducto[[#This Row],[Acueducto]:[Aseo]])</f>
        <v>0</v>
      </c>
    </row>
    <row r="1782" spans="1:6" ht="15" x14ac:dyDescent="0.2">
      <c r="A1782" s="7">
        <v>480636</v>
      </c>
      <c r="B1782" s="3" t="s">
        <v>551</v>
      </c>
      <c r="C1782" s="29">
        <f>ROUND(Balances[[#This Row],[Total]]*40%,0)</f>
        <v>0</v>
      </c>
      <c r="D1782" s="29">
        <f>ROUND(Balances[[#This Row],[Total]]*20%,0)</f>
        <v>0</v>
      </c>
      <c r="E1782" s="29">
        <f>ROUND(Balances[[#This Row],[Total]]*40%,0)</f>
        <v>0</v>
      </c>
      <c r="F1782" s="18">
        <f>SUM(Acueducto[[#This Row],[Acueducto]:[Aseo]])</f>
        <v>0</v>
      </c>
    </row>
    <row r="1783" spans="1:6" ht="15" x14ac:dyDescent="0.2">
      <c r="A1783" s="7">
        <v>480637</v>
      </c>
      <c r="B1783" s="3" t="s">
        <v>1192</v>
      </c>
      <c r="C1783" s="29">
        <f>ROUND(Balances[[#This Row],[Total]]*40%,0)</f>
        <v>0</v>
      </c>
      <c r="D1783" s="29">
        <f>ROUND(Balances[[#This Row],[Total]]*20%,0)</f>
        <v>0</v>
      </c>
      <c r="E1783" s="29">
        <f>ROUND(Balances[[#This Row],[Total]]*40%,0)</f>
        <v>0</v>
      </c>
      <c r="F1783" s="18">
        <f>SUM(Acueducto[[#This Row],[Acueducto]:[Aseo]])</f>
        <v>0</v>
      </c>
    </row>
    <row r="1784" spans="1:6" ht="15" x14ac:dyDescent="0.2">
      <c r="A1784" s="7">
        <v>480638</v>
      </c>
      <c r="B1784" s="3" t="s">
        <v>1193</v>
      </c>
      <c r="C1784" s="29">
        <f>ROUND(Balances[[#This Row],[Total]]*40%,0)</f>
        <v>0</v>
      </c>
      <c r="D1784" s="29">
        <f>ROUND(Balances[[#This Row],[Total]]*20%,0)</f>
        <v>0</v>
      </c>
      <c r="E1784" s="29">
        <f>ROUND(Balances[[#This Row],[Total]]*40%,0)</f>
        <v>0</v>
      </c>
      <c r="F1784" s="18">
        <f>SUM(Acueducto[[#This Row],[Acueducto]:[Aseo]])</f>
        <v>0</v>
      </c>
    </row>
    <row r="1785" spans="1:6" ht="15" x14ac:dyDescent="0.2">
      <c r="A1785" s="7">
        <v>480639</v>
      </c>
      <c r="B1785" s="3" t="s">
        <v>1194</v>
      </c>
      <c r="C1785" s="29">
        <f>ROUND(Balances[[#This Row],[Total]]*40%,0)</f>
        <v>0</v>
      </c>
      <c r="D1785" s="29">
        <f>ROUND(Balances[[#This Row],[Total]]*20%,0)</f>
        <v>0</v>
      </c>
      <c r="E1785" s="29">
        <f>ROUND(Balances[[#This Row],[Total]]*40%,0)</f>
        <v>0</v>
      </c>
      <c r="F1785" s="18">
        <f>SUM(Acueducto[[#This Row],[Acueducto]:[Aseo]])</f>
        <v>0</v>
      </c>
    </row>
    <row r="1786" spans="1:6" ht="15" x14ac:dyDescent="0.2">
      <c r="A1786" s="7">
        <v>480640</v>
      </c>
      <c r="B1786" s="3" t="s">
        <v>1195</v>
      </c>
      <c r="C1786" s="29">
        <f>ROUND(Balances[[#This Row],[Total]]*40%,0)</f>
        <v>0</v>
      </c>
      <c r="D1786" s="29">
        <f>ROUND(Balances[[#This Row],[Total]]*20%,0)</f>
        <v>0</v>
      </c>
      <c r="E1786" s="29">
        <f>ROUND(Balances[[#This Row],[Total]]*40%,0)</f>
        <v>0</v>
      </c>
      <c r="F1786" s="18">
        <f>SUM(Acueducto[[#This Row],[Acueducto]:[Aseo]])</f>
        <v>0</v>
      </c>
    </row>
    <row r="1787" spans="1:6" ht="15" x14ac:dyDescent="0.2">
      <c r="A1787" s="7">
        <v>480642</v>
      </c>
      <c r="B1787" s="3" t="s">
        <v>1196</v>
      </c>
      <c r="C1787" s="29">
        <f>ROUND(Balances[[#This Row],[Total]]*40%,0)</f>
        <v>0</v>
      </c>
      <c r="D1787" s="29">
        <f>ROUND(Balances[[#This Row],[Total]]*20%,0)</f>
        <v>0</v>
      </c>
      <c r="E1787" s="29">
        <f>ROUND(Balances[[#This Row],[Total]]*40%,0)</f>
        <v>0</v>
      </c>
      <c r="F1787" s="18">
        <f>SUM(Acueducto[[#This Row],[Acueducto]:[Aseo]])</f>
        <v>0</v>
      </c>
    </row>
    <row r="1788" spans="1:6" ht="15" x14ac:dyDescent="0.2">
      <c r="A1788" s="7">
        <v>480643</v>
      </c>
      <c r="B1788" s="3" t="s">
        <v>1197</v>
      </c>
      <c r="C1788" s="29">
        <f>ROUND(Balances[[#This Row],[Total]]*40%,0)</f>
        <v>0</v>
      </c>
      <c r="D1788" s="29">
        <f>ROUND(Balances[[#This Row],[Total]]*20%,0)</f>
        <v>0</v>
      </c>
      <c r="E1788" s="29">
        <f>ROUND(Balances[[#This Row],[Total]]*40%,0)</f>
        <v>0</v>
      </c>
      <c r="F1788" s="18">
        <f>SUM(Acueducto[[#This Row],[Acueducto]:[Aseo]])</f>
        <v>0</v>
      </c>
    </row>
    <row r="1789" spans="1:6" ht="15" x14ac:dyDescent="0.2">
      <c r="A1789" s="7">
        <v>480644</v>
      </c>
      <c r="B1789" s="3" t="s">
        <v>1198</v>
      </c>
      <c r="C1789" s="29">
        <f>ROUND(Balances[[#This Row],[Total]]*40%,0)</f>
        <v>0</v>
      </c>
      <c r="D1789" s="29">
        <f>ROUND(Balances[[#This Row],[Total]]*20%,0)</f>
        <v>0</v>
      </c>
      <c r="E1789" s="29">
        <f>ROUND(Balances[[#This Row],[Total]]*40%,0)</f>
        <v>0</v>
      </c>
      <c r="F1789" s="18">
        <f>SUM(Acueducto[[#This Row],[Acueducto]:[Aseo]])</f>
        <v>0</v>
      </c>
    </row>
    <row r="1790" spans="1:6" ht="15" x14ac:dyDescent="0.2">
      <c r="A1790" s="7">
        <v>480645</v>
      </c>
      <c r="B1790" s="3" t="s">
        <v>1199</v>
      </c>
      <c r="C1790" s="29">
        <f>ROUND(Balances[[#This Row],[Total]]*40%,0)</f>
        <v>0</v>
      </c>
      <c r="D1790" s="29">
        <f>ROUND(Balances[[#This Row],[Total]]*20%,0)</f>
        <v>0</v>
      </c>
      <c r="E1790" s="29">
        <f>ROUND(Balances[[#This Row],[Total]]*40%,0)</f>
        <v>0</v>
      </c>
      <c r="F1790" s="18">
        <f>SUM(Acueducto[[#This Row],[Acueducto]:[Aseo]])</f>
        <v>0</v>
      </c>
    </row>
    <row r="1791" spans="1:6" ht="15" x14ac:dyDescent="0.2">
      <c r="A1791" s="7">
        <v>480646</v>
      </c>
      <c r="B1791" s="3" t="s">
        <v>287</v>
      </c>
      <c r="C1791" s="29">
        <f>ROUND(Balances[[#This Row],[Total]]*40%,0)</f>
        <v>0</v>
      </c>
      <c r="D1791" s="29">
        <f>ROUND(Balances[[#This Row],[Total]]*20%,0)</f>
        <v>0</v>
      </c>
      <c r="E1791" s="29">
        <f>ROUND(Balances[[#This Row],[Total]]*40%,0)</f>
        <v>0</v>
      </c>
      <c r="F1791" s="18">
        <f>SUM(Acueducto[[#This Row],[Acueducto]:[Aseo]])</f>
        <v>0</v>
      </c>
    </row>
    <row r="1792" spans="1:6" ht="15" x14ac:dyDescent="0.2">
      <c r="A1792" s="7">
        <v>480647</v>
      </c>
      <c r="B1792" s="3" t="s">
        <v>644</v>
      </c>
      <c r="C1792" s="29">
        <f>ROUND(Balances[[#This Row],[Total]]*40%,0)</f>
        <v>0</v>
      </c>
      <c r="D1792" s="29">
        <f>ROUND(Balances[[#This Row],[Total]]*20%,0)</f>
        <v>0</v>
      </c>
      <c r="E1792" s="29">
        <f>ROUND(Balances[[#This Row],[Total]]*40%,0)</f>
        <v>0</v>
      </c>
      <c r="F1792" s="18">
        <f>SUM(Acueducto[[#This Row],[Acueducto]:[Aseo]])</f>
        <v>0</v>
      </c>
    </row>
    <row r="1793" spans="1:6" ht="15" x14ac:dyDescent="0.2">
      <c r="A1793" s="7">
        <v>480650</v>
      </c>
      <c r="B1793" s="3" t="s">
        <v>550</v>
      </c>
      <c r="C1793" s="29">
        <f>ROUND(Balances[[#This Row],[Total]]*40%,0)</f>
        <v>0</v>
      </c>
      <c r="D1793" s="29">
        <f>ROUND(Balances[[#This Row],[Total]]*20%,0)</f>
        <v>0</v>
      </c>
      <c r="E1793" s="29">
        <f>ROUND(Balances[[#This Row],[Total]]*40%,0)</f>
        <v>0</v>
      </c>
      <c r="F1793" s="18">
        <f>SUM(Acueducto[[#This Row],[Acueducto]:[Aseo]])</f>
        <v>0</v>
      </c>
    </row>
    <row r="1794" spans="1:6" ht="15" x14ac:dyDescent="0.2">
      <c r="A1794" s="7">
        <v>480690</v>
      </c>
      <c r="B1794" s="3" t="s">
        <v>1200</v>
      </c>
      <c r="C1794" s="29">
        <f>ROUND(Balances[[#This Row],[Total]]*40%,0)</f>
        <v>0</v>
      </c>
      <c r="D1794" s="29">
        <f>ROUND(Balances[[#This Row],[Total]]*20%,0)</f>
        <v>0</v>
      </c>
      <c r="E1794" s="29">
        <f>ROUND(Balances[[#This Row],[Total]]*40%,0)</f>
        <v>0</v>
      </c>
      <c r="F1794" s="18">
        <f>SUM(Acueducto[[#This Row],[Acueducto]:[Aseo]])</f>
        <v>0</v>
      </c>
    </row>
    <row r="1795" spans="1:6" ht="15" x14ac:dyDescent="0.2">
      <c r="A1795" s="6">
        <v>4808</v>
      </c>
      <c r="B1795" s="2" t="s">
        <v>1201</v>
      </c>
      <c r="C1795" s="28">
        <f>ROUND(Balances[[#This Row],[Total]]*40%,0)</f>
        <v>0</v>
      </c>
      <c r="D1795" s="28">
        <f>ROUND(Balances[[#This Row],[Total]]*20%,0)</f>
        <v>0</v>
      </c>
      <c r="E1795" s="28">
        <f>ROUND(Balances[[#This Row],[Total]]*40%,0)</f>
        <v>0</v>
      </c>
      <c r="F1795" s="17">
        <f>SUM(Acueducto[[#This Row],[Acueducto]:[Aseo]])</f>
        <v>0</v>
      </c>
    </row>
    <row r="1796" spans="1:6" ht="15" x14ac:dyDescent="0.2">
      <c r="A1796" s="7">
        <v>480801</v>
      </c>
      <c r="B1796" s="3" t="s">
        <v>1202</v>
      </c>
      <c r="C1796" s="29">
        <f>ROUND(Balances[[#This Row],[Total]]*40%,0)</f>
        <v>0</v>
      </c>
      <c r="D1796" s="29">
        <f>ROUND(Balances[[#This Row],[Total]]*20%,0)</f>
        <v>0</v>
      </c>
      <c r="E1796" s="29">
        <f>ROUND(Balances[[#This Row],[Total]]*40%,0)</f>
        <v>0</v>
      </c>
      <c r="F1796" s="18">
        <f>SUM(Acueducto[[#This Row],[Acueducto]:[Aseo]])</f>
        <v>0</v>
      </c>
    </row>
    <row r="1797" spans="1:6" ht="15" x14ac:dyDescent="0.2">
      <c r="A1797" s="7">
        <v>480803</v>
      </c>
      <c r="B1797" s="3" t="s">
        <v>234</v>
      </c>
      <c r="C1797" s="29">
        <f>ROUND(Balances[[#This Row],[Total]]*40%,0)</f>
        <v>0</v>
      </c>
      <c r="D1797" s="29">
        <f>ROUND(Balances[[#This Row],[Total]]*20%,0)</f>
        <v>0</v>
      </c>
      <c r="E1797" s="29">
        <f>ROUND(Balances[[#This Row],[Total]]*40%,0)</f>
        <v>0</v>
      </c>
      <c r="F1797" s="18">
        <f>SUM(Acueducto[[#This Row],[Acueducto]:[Aseo]])</f>
        <v>0</v>
      </c>
    </row>
    <row r="1798" spans="1:6" ht="15" x14ac:dyDescent="0.2">
      <c r="A1798" s="7">
        <v>480805</v>
      </c>
      <c r="B1798" s="3" t="s">
        <v>1203</v>
      </c>
      <c r="C1798" s="29">
        <f>ROUND(Balances[[#This Row],[Total]]*40%,0)</f>
        <v>0</v>
      </c>
      <c r="D1798" s="29">
        <f>ROUND(Balances[[#This Row],[Total]]*20%,0)</f>
        <v>0</v>
      </c>
      <c r="E1798" s="29">
        <f>ROUND(Balances[[#This Row],[Total]]*40%,0)</f>
        <v>0</v>
      </c>
      <c r="F1798" s="18">
        <f>SUM(Acueducto[[#This Row],[Acueducto]:[Aseo]])</f>
        <v>0</v>
      </c>
    </row>
    <row r="1799" spans="1:6" ht="15" x14ac:dyDescent="0.2">
      <c r="A1799" s="7">
        <v>480806</v>
      </c>
      <c r="B1799" s="3" t="s">
        <v>1204</v>
      </c>
      <c r="C1799" s="29">
        <f>ROUND(Balances[[#This Row],[Total]]*40%,0)</f>
        <v>0</v>
      </c>
      <c r="D1799" s="29">
        <f>ROUND(Balances[[#This Row],[Total]]*20%,0)</f>
        <v>0</v>
      </c>
      <c r="E1799" s="29">
        <f>ROUND(Balances[[#This Row],[Total]]*40%,0)</f>
        <v>0</v>
      </c>
      <c r="F1799" s="18">
        <f>SUM(Acueducto[[#This Row],[Acueducto]:[Aseo]])</f>
        <v>0</v>
      </c>
    </row>
    <row r="1800" spans="1:6" ht="15" x14ac:dyDescent="0.2">
      <c r="A1800" s="7">
        <v>480807</v>
      </c>
      <c r="B1800" s="3" t="s">
        <v>246</v>
      </c>
      <c r="C1800" s="29">
        <f>ROUND(Balances[[#This Row],[Total]]*40%,0)</f>
        <v>0</v>
      </c>
      <c r="D1800" s="29">
        <f>ROUND(Balances[[#This Row],[Total]]*20%,0)</f>
        <v>0</v>
      </c>
      <c r="E1800" s="29">
        <f>ROUND(Balances[[#This Row],[Total]]*40%,0)</f>
        <v>0</v>
      </c>
      <c r="F1800" s="18">
        <f>SUM(Acueducto[[#This Row],[Acueducto]:[Aseo]])</f>
        <v>0</v>
      </c>
    </row>
    <row r="1801" spans="1:6" ht="15" x14ac:dyDescent="0.2">
      <c r="A1801" s="7">
        <v>480808</v>
      </c>
      <c r="B1801" s="3" t="s">
        <v>242</v>
      </c>
      <c r="C1801" s="29">
        <f>ROUND(Balances[[#This Row],[Total]]*40%,0)</f>
        <v>0</v>
      </c>
      <c r="D1801" s="29">
        <f>ROUND(Balances[[#This Row],[Total]]*20%,0)</f>
        <v>0</v>
      </c>
      <c r="E1801" s="29">
        <f>ROUND(Balances[[#This Row],[Total]]*40%,0)</f>
        <v>0</v>
      </c>
      <c r="F1801" s="18">
        <f>SUM(Acueducto[[#This Row],[Acueducto]:[Aseo]])</f>
        <v>0</v>
      </c>
    </row>
    <row r="1802" spans="1:6" ht="15" x14ac:dyDescent="0.2">
      <c r="A1802" s="7">
        <v>480809</v>
      </c>
      <c r="B1802" s="3" t="s">
        <v>839</v>
      </c>
      <c r="C1802" s="29">
        <f>ROUND(Balances[[#This Row],[Total]]*40%,0)</f>
        <v>0</v>
      </c>
      <c r="D1802" s="29">
        <f>ROUND(Balances[[#This Row],[Total]]*20%,0)</f>
        <v>0</v>
      </c>
      <c r="E1802" s="29">
        <f>ROUND(Balances[[#This Row],[Total]]*40%,0)</f>
        <v>0</v>
      </c>
      <c r="F1802" s="18">
        <f>SUM(Acueducto[[#This Row],[Acueducto]:[Aseo]])</f>
        <v>0</v>
      </c>
    </row>
    <row r="1803" spans="1:6" ht="15" x14ac:dyDescent="0.2">
      <c r="A1803" s="7">
        <v>480810</v>
      </c>
      <c r="B1803" s="3" t="s">
        <v>1205</v>
      </c>
      <c r="C1803" s="29">
        <f>ROUND(Balances[[#This Row],[Total]]*40%,0)</f>
        <v>0</v>
      </c>
      <c r="D1803" s="29">
        <f>ROUND(Balances[[#This Row],[Total]]*20%,0)</f>
        <v>0</v>
      </c>
      <c r="E1803" s="29">
        <f>ROUND(Balances[[#This Row],[Total]]*40%,0)</f>
        <v>0</v>
      </c>
      <c r="F1803" s="18">
        <f>SUM(Acueducto[[#This Row],[Acueducto]:[Aseo]])</f>
        <v>0</v>
      </c>
    </row>
    <row r="1804" spans="1:6" ht="15" x14ac:dyDescent="0.2">
      <c r="A1804" s="7">
        <v>480813</v>
      </c>
      <c r="B1804" s="3" t="s">
        <v>231</v>
      </c>
      <c r="C1804" s="29">
        <f>ROUND(Balances[[#This Row],[Total]]*40%,0)</f>
        <v>0</v>
      </c>
      <c r="D1804" s="29">
        <f>ROUND(Balances[[#This Row],[Total]]*20%,0)</f>
        <v>0</v>
      </c>
      <c r="E1804" s="29">
        <f>ROUND(Balances[[#This Row],[Total]]*40%,0)</f>
        <v>0</v>
      </c>
      <c r="F1804" s="18">
        <f>SUM(Acueducto[[#This Row],[Acueducto]:[Aseo]])</f>
        <v>0</v>
      </c>
    </row>
    <row r="1805" spans="1:6" ht="15" x14ac:dyDescent="0.2">
      <c r="A1805" s="7">
        <v>480815</v>
      </c>
      <c r="B1805" s="3" t="s">
        <v>1206</v>
      </c>
      <c r="C1805" s="29">
        <f>ROUND(Balances[[#This Row],[Total]]*40%,0)</f>
        <v>0</v>
      </c>
      <c r="D1805" s="29">
        <f>ROUND(Balances[[#This Row],[Total]]*20%,0)</f>
        <v>0</v>
      </c>
      <c r="E1805" s="29">
        <f>ROUND(Balances[[#This Row],[Total]]*40%,0)</f>
        <v>0</v>
      </c>
      <c r="F1805" s="18">
        <f>SUM(Acueducto[[#This Row],[Acueducto]:[Aseo]])</f>
        <v>0</v>
      </c>
    </row>
    <row r="1806" spans="1:6" ht="15" x14ac:dyDescent="0.2">
      <c r="A1806" s="7">
        <v>480817</v>
      </c>
      <c r="B1806" s="3" t="s">
        <v>256</v>
      </c>
      <c r="C1806" s="29">
        <f>ROUND(Balances[[#This Row],[Total]]*40%,0)</f>
        <v>0</v>
      </c>
      <c r="D1806" s="29">
        <f>ROUND(Balances[[#This Row],[Total]]*20%,0)</f>
        <v>0</v>
      </c>
      <c r="E1806" s="29">
        <f>ROUND(Balances[[#This Row],[Total]]*40%,0)</f>
        <v>0</v>
      </c>
      <c r="F1806" s="18">
        <f>SUM(Acueducto[[#This Row],[Acueducto]:[Aseo]])</f>
        <v>0</v>
      </c>
    </row>
    <row r="1807" spans="1:6" ht="15" x14ac:dyDescent="0.2">
      <c r="A1807" s="7">
        <v>480818</v>
      </c>
      <c r="B1807" s="3" t="s">
        <v>232</v>
      </c>
      <c r="C1807" s="29">
        <f>ROUND(Balances[[#This Row],[Total]]*40%,0)</f>
        <v>0</v>
      </c>
      <c r="D1807" s="29">
        <f>ROUND(Balances[[#This Row],[Total]]*20%,0)</f>
        <v>0</v>
      </c>
      <c r="E1807" s="29">
        <f>ROUND(Balances[[#This Row],[Total]]*40%,0)</f>
        <v>0</v>
      </c>
      <c r="F1807" s="18">
        <f>SUM(Acueducto[[#This Row],[Acueducto]:[Aseo]])</f>
        <v>0</v>
      </c>
    </row>
    <row r="1808" spans="1:6" ht="15" x14ac:dyDescent="0.2">
      <c r="A1808" s="7">
        <v>480820</v>
      </c>
      <c r="B1808" s="3" t="s">
        <v>229</v>
      </c>
      <c r="C1808" s="29">
        <f>ROUND(Balances[[#This Row],[Total]]*40%,0)</f>
        <v>0</v>
      </c>
      <c r="D1808" s="29">
        <f>ROUND(Balances[[#This Row],[Total]]*20%,0)</f>
        <v>0</v>
      </c>
      <c r="E1808" s="29">
        <f>ROUND(Balances[[#This Row],[Total]]*40%,0)</f>
        <v>0</v>
      </c>
      <c r="F1808" s="18">
        <f>SUM(Acueducto[[#This Row],[Acueducto]:[Aseo]])</f>
        <v>0</v>
      </c>
    </row>
    <row r="1809" spans="1:6" ht="15" x14ac:dyDescent="0.2">
      <c r="A1809" s="7">
        <v>480822</v>
      </c>
      <c r="B1809" s="3" t="s">
        <v>247</v>
      </c>
      <c r="C1809" s="29">
        <f>ROUND(Balances[[#This Row],[Total]]*40%,0)</f>
        <v>0</v>
      </c>
      <c r="D1809" s="29">
        <f>ROUND(Balances[[#This Row],[Total]]*20%,0)</f>
        <v>0</v>
      </c>
      <c r="E1809" s="29">
        <f>ROUND(Balances[[#This Row],[Total]]*40%,0)</f>
        <v>0</v>
      </c>
      <c r="F1809" s="18">
        <f>SUM(Acueducto[[#This Row],[Acueducto]:[Aseo]])</f>
        <v>0</v>
      </c>
    </row>
    <row r="1810" spans="1:6" ht="15" x14ac:dyDescent="0.2">
      <c r="A1810" s="7">
        <v>480823</v>
      </c>
      <c r="B1810" s="3" t="s">
        <v>1207</v>
      </c>
      <c r="C1810" s="29">
        <f>ROUND(Balances[[#This Row],[Total]]*40%,0)</f>
        <v>0</v>
      </c>
      <c r="D1810" s="29">
        <f>ROUND(Balances[[#This Row],[Total]]*20%,0)</f>
        <v>0</v>
      </c>
      <c r="E1810" s="29">
        <f>ROUND(Balances[[#This Row],[Total]]*40%,0)</f>
        <v>0</v>
      </c>
      <c r="F1810" s="18">
        <f>SUM(Acueducto[[#This Row],[Acueducto]:[Aseo]])</f>
        <v>0</v>
      </c>
    </row>
    <row r="1811" spans="1:6" ht="15" x14ac:dyDescent="0.2">
      <c r="A1811" s="7">
        <v>480824</v>
      </c>
      <c r="B1811" s="3" t="s">
        <v>1208</v>
      </c>
      <c r="C1811" s="29">
        <f>ROUND(Balances[[#This Row],[Total]]*40%,0)</f>
        <v>0</v>
      </c>
      <c r="D1811" s="29">
        <f>ROUND(Balances[[#This Row],[Total]]*20%,0)</f>
        <v>0</v>
      </c>
      <c r="E1811" s="29">
        <f>ROUND(Balances[[#This Row],[Total]]*40%,0)</f>
        <v>0</v>
      </c>
      <c r="F1811" s="18">
        <f>SUM(Acueducto[[#This Row],[Acueducto]:[Aseo]])</f>
        <v>0</v>
      </c>
    </row>
    <row r="1812" spans="1:6" ht="15" x14ac:dyDescent="0.2">
      <c r="A1812" s="7">
        <v>480825</v>
      </c>
      <c r="B1812" s="3" t="s">
        <v>1209</v>
      </c>
      <c r="C1812" s="29">
        <f>ROUND(Balances[[#This Row],[Total]]*40%,0)</f>
        <v>0</v>
      </c>
      <c r="D1812" s="29">
        <f>ROUND(Balances[[#This Row],[Total]]*20%,0)</f>
        <v>0</v>
      </c>
      <c r="E1812" s="29">
        <f>ROUND(Balances[[#This Row],[Total]]*40%,0)</f>
        <v>0</v>
      </c>
      <c r="F1812" s="18">
        <f>SUM(Acueducto[[#This Row],[Acueducto]:[Aseo]])</f>
        <v>0</v>
      </c>
    </row>
    <row r="1813" spans="1:6" ht="15" x14ac:dyDescent="0.2">
      <c r="A1813" s="7">
        <v>480826</v>
      </c>
      <c r="B1813" s="3" t="s">
        <v>1210</v>
      </c>
      <c r="C1813" s="29">
        <f>ROUND(Balances[[#This Row],[Total]]*40%,0)</f>
        <v>0</v>
      </c>
      <c r="D1813" s="29">
        <f>ROUND(Balances[[#This Row],[Total]]*20%,0)</f>
        <v>0</v>
      </c>
      <c r="E1813" s="29">
        <f>ROUND(Balances[[#This Row],[Total]]*40%,0)</f>
        <v>0</v>
      </c>
      <c r="F1813" s="18">
        <f>SUM(Acueducto[[#This Row],[Acueducto]:[Aseo]])</f>
        <v>0</v>
      </c>
    </row>
    <row r="1814" spans="1:6" ht="15" x14ac:dyDescent="0.2">
      <c r="A1814" s="7">
        <v>480827</v>
      </c>
      <c r="B1814" s="3" t="s">
        <v>1211</v>
      </c>
      <c r="C1814" s="29">
        <f>ROUND(Balances[[#This Row],[Total]]*40%,0)</f>
        <v>0</v>
      </c>
      <c r="D1814" s="29">
        <f>ROUND(Balances[[#This Row],[Total]]*20%,0)</f>
        <v>0</v>
      </c>
      <c r="E1814" s="29">
        <f>ROUND(Balances[[#This Row],[Total]]*40%,0)</f>
        <v>0</v>
      </c>
      <c r="F1814" s="18">
        <f>SUM(Acueducto[[#This Row],[Acueducto]:[Aseo]])</f>
        <v>0</v>
      </c>
    </row>
    <row r="1815" spans="1:6" ht="15" x14ac:dyDescent="0.2">
      <c r="A1815" s="7">
        <v>480828</v>
      </c>
      <c r="B1815" s="3" t="s">
        <v>243</v>
      </c>
      <c r="C1815" s="29">
        <f>ROUND(Balances[[#This Row],[Total]]*40%,0)</f>
        <v>0</v>
      </c>
      <c r="D1815" s="29">
        <f>ROUND(Balances[[#This Row],[Total]]*20%,0)</f>
        <v>0</v>
      </c>
      <c r="E1815" s="29">
        <f>ROUND(Balances[[#This Row],[Total]]*40%,0)</f>
        <v>0</v>
      </c>
      <c r="F1815" s="18">
        <f>SUM(Acueducto[[#This Row],[Acueducto]:[Aseo]])</f>
        <v>0</v>
      </c>
    </row>
    <row r="1816" spans="1:6" ht="15" x14ac:dyDescent="0.2">
      <c r="A1816" s="7">
        <v>480829</v>
      </c>
      <c r="B1816" s="3" t="s">
        <v>251</v>
      </c>
      <c r="C1816" s="29">
        <f>ROUND(Balances[[#This Row],[Total]]*40%,0)</f>
        <v>0</v>
      </c>
      <c r="D1816" s="29">
        <f>ROUND(Balances[[#This Row],[Total]]*20%,0)</f>
        <v>0</v>
      </c>
      <c r="E1816" s="29">
        <f>ROUND(Balances[[#This Row],[Total]]*40%,0)</f>
        <v>0</v>
      </c>
      <c r="F1816" s="18">
        <f>SUM(Acueducto[[#This Row],[Acueducto]:[Aseo]])</f>
        <v>0</v>
      </c>
    </row>
    <row r="1817" spans="1:6" ht="15" x14ac:dyDescent="0.2">
      <c r="A1817" s="7">
        <v>480832</v>
      </c>
      <c r="B1817" s="3" t="s">
        <v>1212</v>
      </c>
      <c r="C1817" s="29">
        <f>ROUND(Balances[[#This Row],[Total]]*40%,0)</f>
        <v>0</v>
      </c>
      <c r="D1817" s="29">
        <f>ROUND(Balances[[#This Row],[Total]]*20%,0)</f>
        <v>0</v>
      </c>
      <c r="E1817" s="29">
        <f>ROUND(Balances[[#This Row],[Total]]*40%,0)</f>
        <v>0</v>
      </c>
      <c r="F1817" s="18">
        <f>SUM(Acueducto[[#This Row],[Acueducto]:[Aseo]])</f>
        <v>0</v>
      </c>
    </row>
    <row r="1818" spans="1:6" ht="15" x14ac:dyDescent="0.2">
      <c r="A1818" s="7">
        <v>480833</v>
      </c>
      <c r="B1818" s="3" t="s">
        <v>1213</v>
      </c>
      <c r="C1818" s="29">
        <f>ROUND(Balances[[#This Row],[Total]]*40%,0)</f>
        <v>0</v>
      </c>
      <c r="D1818" s="29">
        <f>ROUND(Balances[[#This Row],[Total]]*20%,0)</f>
        <v>0</v>
      </c>
      <c r="E1818" s="29">
        <f>ROUND(Balances[[#This Row],[Total]]*40%,0)</f>
        <v>0</v>
      </c>
      <c r="F1818" s="18">
        <f>SUM(Acueducto[[#This Row],[Acueducto]:[Aseo]])</f>
        <v>0</v>
      </c>
    </row>
    <row r="1819" spans="1:6" ht="15" x14ac:dyDescent="0.2">
      <c r="A1819" s="7">
        <v>480834</v>
      </c>
      <c r="B1819" s="3" t="s">
        <v>1214</v>
      </c>
      <c r="C1819" s="29">
        <f>ROUND(Balances[[#This Row],[Total]]*40%,0)</f>
        <v>0</v>
      </c>
      <c r="D1819" s="29">
        <f>ROUND(Balances[[#This Row],[Total]]*20%,0)</f>
        <v>0</v>
      </c>
      <c r="E1819" s="29">
        <f>ROUND(Balances[[#This Row],[Total]]*40%,0)</f>
        <v>0</v>
      </c>
      <c r="F1819" s="18">
        <f>SUM(Acueducto[[#This Row],[Acueducto]:[Aseo]])</f>
        <v>0</v>
      </c>
    </row>
    <row r="1820" spans="1:6" ht="15" x14ac:dyDescent="0.2">
      <c r="A1820" s="7">
        <v>480835</v>
      </c>
      <c r="B1820" s="3" t="s">
        <v>126</v>
      </c>
      <c r="C1820" s="29">
        <f>ROUND(Balances[[#This Row],[Total]]*40%,0)</f>
        <v>0</v>
      </c>
      <c r="D1820" s="29">
        <f>ROUND(Balances[[#This Row],[Total]]*20%,0)</f>
        <v>0</v>
      </c>
      <c r="E1820" s="29">
        <f>ROUND(Balances[[#This Row],[Total]]*40%,0)</f>
        <v>0</v>
      </c>
      <c r="F1820" s="18">
        <f>SUM(Acueducto[[#This Row],[Acueducto]:[Aseo]])</f>
        <v>0</v>
      </c>
    </row>
    <row r="1821" spans="1:6" ht="15" x14ac:dyDescent="0.2">
      <c r="A1821" s="7">
        <v>480836</v>
      </c>
      <c r="B1821" s="3" t="s">
        <v>1215</v>
      </c>
      <c r="C1821" s="29">
        <f>ROUND(Balances[[#This Row],[Total]]*40%,0)</f>
        <v>0</v>
      </c>
      <c r="D1821" s="29">
        <f>ROUND(Balances[[#This Row],[Total]]*20%,0)</f>
        <v>0</v>
      </c>
      <c r="E1821" s="29">
        <f>ROUND(Balances[[#This Row],[Total]]*40%,0)</f>
        <v>0</v>
      </c>
      <c r="F1821" s="18">
        <f>SUM(Acueducto[[#This Row],[Acueducto]:[Aseo]])</f>
        <v>0</v>
      </c>
    </row>
    <row r="1822" spans="1:6" ht="15" x14ac:dyDescent="0.2">
      <c r="A1822" s="7">
        <v>480837</v>
      </c>
      <c r="B1822" s="3" t="s">
        <v>1216</v>
      </c>
      <c r="C1822" s="29">
        <f>ROUND(Balances[[#This Row],[Total]]*40%,0)</f>
        <v>0</v>
      </c>
      <c r="D1822" s="29">
        <f>ROUND(Balances[[#This Row],[Total]]*20%,0)</f>
        <v>0</v>
      </c>
      <c r="E1822" s="29">
        <f>ROUND(Balances[[#This Row],[Total]]*40%,0)</f>
        <v>0</v>
      </c>
      <c r="F1822" s="18">
        <f>SUM(Acueducto[[#This Row],[Acueducto]:[Aseo]])</f>
        <v>0</v>
      </c>
    </row>
    <row r="1823" spans="1:6" ht="15" x14ac:dyDescent="0.2">
      <c r="A1823" s="7">
        <v>480838</v>
      </c>
      <c r="B1823" s="3" t="s">
        <v>254</v>
      </c>
      <c r="C1823" s="29">
        <f>ROUND(Balances[[#This Row],[Total]]*40%,0)</f>
        <v>0</v>
      </c>
      <c r="D1823" s="29">
        <f>ROUND(Balances[[#This Row],[Total]]*20%,0)</f>
        <v>0</v>
      </c>
      <c r="E1823" s="29">
        <f>ROUND(Balances[[#This Row],[Total]]*40%,0)</f>
        <v>0</v>
      </c>
      <c r="F1823" s="18">
        <f>SUM(Acueducto[[#This Row],[Acueducto]:[Aseo]])</f>
        <v>0</v>
      </c>
    </row>
    <row r="1824" spans="1:6" ht="15" x14ac:dyDescent="0.2">
      <c r="A1824" s="7">
        <v>480839</v>
      </c>
      <c r="B1824" s="3" t="s">
        <v>255</v>
      </c>
      <c r="C1824" s="29">
        <f>ROUND(Balances[[#This Row],[Total]]*40%,0)</f>
        <v>0</v>
      </c>
      <c r="D1824" s="29">
        <f>ROUND(Balances[[#This Row],[Total]]*20%,0)</f>
        <v>0</v>
      </c>
      <c r="E1824" s="29">
        <f>ROUND(Balances[[#This Row],[Total]]*40%,0)</f>
        <v>0</v>
      </c>
      <c r="F1824" s="18">
        <f>SUM(Acueducto[[#This Row],[Acueducto]:[Aseo]])</f>
        <v>0</v>
      </c>
    </row>
    <row r="1825" spans="1:6" ht="15" x14ac:dyDescent="0.2">
      <c r="A1825" s="7">
        <v>480840</v>
      </c>
      <c r="B1825" s="3" t="s">
        <v>1217</v>
      </c>
      <c r="C1825" s="29">
        <f>ROUND(Balances[[#This Row],[Total]]*40%,0)</f>
        <v>0</v>
      </c>
      <c r="D1825" s="29">
        <f>ROUND(Balances[[#This Row],[Total]]*20%,0)</f>
        <v>0</v>
      </c>
      <c r="E1825" s="29">
        <f>ROUND(Balances[[#This Row],[Total]]*40%,0)</f>
        <v>0</v>
      </c>
      <c r="F1825" s="18">
        <f>SUM(Acueducto[[#This Row],[Acueducto]:[Aseo]])</f>
        <v>0</v>
      </c>
    </row>
    <row r="1826" spans="1:6" ht="15" x14ac:dyDescent="0.2">
      <c r="A1826" s="7">
        <v>480849</v>
      </c>
      <c r="B1826" s="3" t="s">
        <v>1218</v>
      </c>
      <c r="C1826" s="29">
        <f>ROUND(Balances[[#This Row],[Total]]*40%,0)</f>
        <v>0</v>
      </c>
      <c r="D1826" s="29">
        <f>ROUND(Balances[[#This Row],[Total]]*20%,0)</f>
        <v>0</v>
      </c>
      <c r="E1826" s="29">
        <f>ROUND(Balances[[#This Row],[Total]]*40%,0)</f>
        <v>0</v>
      </c>
      <c r="F1826" s="18">
        <f>SUM(Acueducto[[#This Row],[Acueducto]:[Aseo]])</f>
        <v>0</v>
      </c>
    </row>
    <row r="1827" spans="1:6" ht="15" x14ac:dyDescent="0.2">
      <c r="A1827" s="7">
        <v>480851</v>
      </c>
      <c r="B1827" s="3" t="s">
        <v>1219</v>
      </c>
      <c r="C1827" s="29">
        <f>ROUND(Balances[[#This Row],[Total]]*40%,0)</f>
        <v>0</v>
      </c>
      <c r="D1827" s="29">
        <f>ROUND(Balances[[#This Row],[Total]]*20%,0)</f>
        <v>0</v>
      </c>
      <c r="E1827" s="29">
        <f>ROUND(Balances[[#This Row],[Total]]*40%,0)</f>
        <v>0</v>
      </c>
      <c r="F1827" s="18">
        <f>SUM(Acueducto[[#This Row],[Acueducto]:[Aseo]])</f>
        <v>0</v>
      </c>
    </row>
    <row r="1828" spans="1:6" ht="15" x14ac:dyDescent="0.2">
      <c r="A1828" s="7">
        <v>480852</v>
      </c>
      <c r="B1828" s="3" t="s">
        <v>1220</v>
      </c>
      <c r="C1828" s="29">
        <f>ROUND(Balances[[#This Row],[Total]]*40%,0)</f>
        <v>0</v>
      </c>
      <c r="D1828" s="29">
        <f>ROUND(Balances[[#This Row],[Total]]*20%,0)</f>
        <v>0</v>
      </c>
      <c r="E1828" s="29">
        <f>ROUND(Balances[[#This Row],[Total]]*40%,0)</f>
        <v>0</v>
      </c>
      <c r="F1828" s="18">
        <f>SUM(Acueducto[[#This Row],[Acueducto]:[Aseo]])</f>
        <v>0</v>
      </c>
    </row>
    <row r="1829" spans="1:6" ht="15" x14ac:dyDescent="0.2">
      <c r="A1829" s="7">
        <v>480853</v>
      </c>
      <c r="B1829" s="3" t="s">
        <v>656</v>
      </c>
      <c r="C1829" s="29">
        <f>ROUND(Balances[[#This Row],[Total]]*40%,0)</f>
        <v>0</v>
      </c>
      <c r="D1829" s="29">
        <f>ROUND(Balances[[#This Row],[Total]]*20%,0)</f>
        <v>0</v>
      </c>
      <c r="E1829" s="29">
        <f>ROUND(Balances[[#This Row],[Total]]*40%,0)</f>
        <v>0</v>
      </c>
      <c r="F1829" s="18">
        <f>SUM(Acueducto[[#This Row],[Acueducto]:[Aseo]])</f>
        <v>0</v>
      </c>
    </row>
    <row r="1830" spans="1:6" ht="15" x14ac:dyDescent="0.2">
      <c r="A1830" s="7">
        <v>480854</v>
      </c>
      <c r="B1830" s="3" t="s">
        <v>657</v>
      </c>
      <c r="C1830" s="29">
        <f>ROUND(Balances[[#This Row],[Total]]*40%,0)</f>
        <v>0</v>
      </c>
      <c r="D1830" s="29">
        <f>ROUND(Balances[[#This Row],[Total]]*20%,0)</f>
        <v>0</v>
      </c>
      <c r="E1830" s="29">
        <f>ROUND(Balances[[#This Row],[Total]]*40%,0)</f>
        <v>0</v>
      </c>
      <c r="F1830" s="18">
        <f>SUM(Acueducto[[#This Row],[Acueducto]:[Aseo]])</f>
        <v>0</v>
      </c>
    </row>
    <row r="1831" spans="1:6" ht="15" x14ac:dyDescent="0.2">
      <c r="A1831" s="7">
        <v>480890</v>
      </c>
      <c r="B1831" s="3" t="s">
        <v>1221</v>
      </c>
      <c r="C1831" s="29">
        <f>ROUND(Balances[[#This Row],[Total]]*40%,0)</f>
        <v>0</v>
      </c>
      <c r="D1831" s="29">
        <f>ROUND(Balances[[#This Row],[Total]]*20%,0)</f>
        <v>0</v>
      </c>
      <c r="E1831" s="29">
        <f>ROUND(Balances[[#This Row],[Total]]*40%,0)</f>
        <v>0</v>
      </c>
      <c r="F1831" s="18">
        <f>SUM(Acueducto[[#This Row],[Acueducto]:[Aseo]])</f>
        <v>0</v>
      </c>
    </row>
    <row r="1832" spans="1:6" ht="15" x14ac:dyDescent="0.2">
      <c r="A1832" s="6">
        <v>4811</v>
      </c>
      <c r="B1832" s="4" t="s">
        <v>1222</v>
      </c>
      <c r="C1832" s="28">
        <f>ROUND(Balances[[#This Row],[Total]]*40%,0)</f>
        <v>0</v>
      </c>
      <c r="D1832" s="28">
        <f>ROUND(Balances[[#This Row],[Total]]*20%,0)</f>
        <v>0</v>
      </c>
      <c r="E1832" s="28">
        <f>ROUND(Balances[[#This Row],[Total]]*40%,0)</f>
        <v>0</v>
      </c>
      <c r="F1832" s="17">
        <f>SUM(Acueducto[[#This Row],[Acueducto]:[Aseo]])</f>
        <v>0</v>
      </c>
    </row>
    <row r="1833" spans="1:6" ht="15" x14ac:dyDescent="0.2">
      <c r="A1833" s="7">
        <v>481101</v>
      </c>
      <c r="B1833" s="3" t="s">
        <v>38</v>
      </c>
      <c r="C1833" s="29">
        <f>ROUND(Balances[[#This Row],[Total]]*40%,0)</f>
        <v>0</v>
      </c>
      <c r="D1833" s="29">
        <f>ROUND(Balances[[#This Row],[Total]]*20%,0)</f>
        <v>0</v>
      </c>
      <c r="E1833" s="29">
        <f>ROUND(Balances[[#This Row],[Total]]*40%,0)</f>
        <v>0</v>
      </c>
      <c r="F1833" s="18">
        <f>SUM(Acueducto[[#This Row],[Acueducto]:[Aseo]])</f>
        <v>0</v>
      </c>
    </row>
    <row r="1834" spans="1:6" ht="15" x14ac:dyDescent="0.2">
      <c r="A1834" s="7">
        <v>481102</v>
      </c>
      <c r="B1834" s="3" t="s">
        <v>39</v>
      </c>
      <c r="C1834" s="29">
        <f>ROUND(Balances[[#This Row],[Total]]*40%,0)</f>
        <v>0</v>
      </c>
      <c r="D1834" s="29">
        <f>ROUND(Balances[[#This Row],[Total]]*20%,0)</f>
        <v>0</v>
      </c>
      <c r="E1834" s="29">
        <f>ROUND(Balances[[#This Row],[Total]]*40%,0)</f>
        <v>0</v>
      </c>
      <c r="F1834" s="18">
        <f>SUM(Acueducto[[#This Row],[Acueducto]:[Aseo]])</f>
        <v>0</v>
      </c>
    </row>
    <row r="1835" spans="1:6" ht="15" x14ac:dyDescent="0.2">
      <c r="A1835" s="7">
        <v>481103</v>
      </c>
      <c r="B1835" s="3" t="s">
        <v>35</v>
      </c>
      <c r="C1835" s="29">
        <f>ROUND(Balances[[#This Row],[Total]]*40%,0)</f>
        <v>0</v>
      </c>
      <c r="D1835" s="29">
        <f>ROUND(Balances[[#This Row],[Total]]*20%,0)</f>
        <v>0</v>
      </c>
      <c r="E1835" s="29">
        <f>ROUND(Balances[[#This Row],[Total]]*40%,0)</f>
        <v>0</v>
      </c>
      <c r="F1835" s="18">
        <f>SUM(Acueducto[[#This Row],[Acueducto]:[Aseo]])</f>
        <v>0</v>
      </c>
    </row>
    <row r="1836" spans="1:6" ht="15" x14ac:dyDescent="0.2">
      <c r="A1836" s="7">
        <v>481104</v>
      </c>
      <c r="B1836" s="3" t="s">
        <v>36</v>
      </c>
      <c r="C1836" s="29">
        <f>ROUND(Balances[[#This Row],[Total]]*40%,0)</f>
        <v>0</v>
      </c>
      <c r="D1836" s="29">
        <f>ROUND(Balances[[#This Row],[Total]]*20%,0)</f>
        <v>0</v>
      </c>
      <c r="E1836" s="29">
        <f>ROUND(Balances[[#This Row],[Total]]*40%,0)</f>
        <v>0</v>
      </c>
      <c r="F1836" s="18">
        <f>SUM(Acueducto[[#This Row],[Acueducto]:[Aseo]])</f>
        <v>0</v>
      </c>
    </row>
    <row r="1837" spans="1:6" ht="15" x14ac:dyDescent="0.2">
      <c r="A1837" s="7">
        <v>481105</v>
      </c>
      <c r="B1837" s="3" t="s">
        <v>37</v>
      </c>
      <c r="C1837" s="29">
        <f>ROUND(Balances[[#This Row],[Total]]*40%,0)</f>
        <v>0</v>
      </c>
      <c r="D1837" s="29">
        <f>ROUND(Balances[[#This Row],[Total]]*20%,0)</f>
        <v>0</v>
      </c>
      <c r="E1837" s="29">
        <f>ROUND(Balances[[#This Row],[Total]]*40%,0)</f>
        <v>0</v>
      </c>
      <c r="F1837" s="18">
        <f>SUM(Acueducto[[#This Row],[Acueducto]:[Aseo]])</f>
        <v>0</v>
      </c>
    </row>
    <row r="1838" spans="1:6" ht="15" x14ac:dyDescent="0.2">
      <c r="A1838" s="6">
        <v>4812</v>
      </c>
      <c r="B1838" s="2" t="s">
        <v>1223</v>
      </c>
      <c r="C1838" s="28">
        <f>ROUND(Balances[[#This Row],[Total]]*40%,0)</f>
        <v>0</v>
      </c>
      <c r="D1838" s="28">
        <f>ROUND(Balances[[#This Row],[Total]]*20%,0)</f>
        <v>0</v>
      </c>
      <c r="E1838" s="28">
        <f>ROUND(Balances[[#This Row],[Total]]*40%,0)</f>
        <v>0</v>
      </c>
      <c r="F1838" s="17">
        <f>SUM(Acueducto[[#This Row],[Acueducto]:[Aseo]])</f>
        <v>0</v>
      </c>
    </row>
    <row r="1839" spans="1:6" ht="15" x14ac:dyDescent="0.2">
      <c r="A1839" s="7">
        <v>481201</v>
      </c>
      <c r="B1839" s="3" t="s">
        <v>38</v>
      </c>
      <c r="C1839" s="29">
        <f>ROUND(Balances[[#This Row],[Total]]*40%,0)</f>
        <v>0</v>
      </c>
      <c r="D1839" s="29">
        <f>ROUND(Balances[[#This Row],[Total]]*20%,0)</f>
        <v>0</v>
      </c>
      <c r="E1839" s="29">
        <f>ROUND(Balances[[#This Row],[Total]]*40%,0)</f>
        <v>0</v>
      </c>
      <c r="F1839" s="18">
        <f>SUM(Acueducto[[#This Row],[Acueducto]:[Aseo]])</f>
        <v>0</v>
      </c>
    </row>
    <row r="1840" spans="1:6" ht="15" x14ac:dyDescent="0.2">
      <c r="A1840" s="7">
        <v>481202</v>
      </c>
      <c r="B1840" s="3" t="s">
        <v>39</v>
      </c>
      <c r="C1840" s="29">
        <f>ROUND(Balances[[#This Row],[Total]]*40%,0)</f>
        <v>0</v>
      </c>
      <c r="D1840" s="29">
        <f>ROUND(Balances[[#This Row],[Total]]*20%,0)</f>
        <v>0</v>
      </c>
      <c r="E1840" s="29">
        <f>ROUND(Balances[[#This Row],[Total]]*40%,0)</f>
        <v>0</v>
      </c>
      <c r="F1840" s="18">
        <f>SUM(Acueducto[[#This Row],[Acueducto]:[Aseo]])</f>
        <v>0</v>
      </c>
    </row>
    <row r="1841" spans="1:6" ht="15" x14ac:dyDescent="0.2">
      <c r="A1841" s="7">
        <v>481203</v>
      </c>
      <c r="B1841" s="3" t="s">
        <v>35</v>
      </c>
      <c r="C1841" s="29">
        <f>ROUND(Balances[[#This Row],[Total]]*40%,0)</f>
        <v>0</v>
      </c>
      <c r="D1841" s="29">
        <f>ROUND(Balances[[#This Row],[Total]]*20%,0)</f>
        <v>0</v>
      </c>
      <c r="E1841" s="29">
        <f>ROUND(Balances[[#This Row],[Total]]*40%,0)</f>
        <v>0</v>
      </c>
      <c r="F1841" s="18">
        <f>SUM(Acueducto[[#This Row],[Acueducto]:[Aseo]])</f>
        <v>0</v>
      </c>
    </row>
    <row r="1842" spans="1:6" ht="15" x14ac:dyDescent="0.2">
      <c r="A1842" s="7">
        <v>481204</v>
      </c>
      <c r="B1842" s="3" t="s">
        <v>36</v>
      </c>
      <c r="C1842" s="29">
        <f>ROUND(Balances[[#This Row],[Total]]*40%,0)</f>
        <v>0</v>
      </c>
      <c r="D1842" s="29">
        <f>ROUND(Balances[[#This Row],[Total]]*20%,0)</f>
        <v>0</v>
      </c>
      <c r="E1842" s="29">
        <f>ROUND(Balances[[#This Row],[Total]]*40%,0)</f>
        <v>0</v>
      </c>
      <c r="F1842" s="18">
        <f>SUM(Acueducto[[#This Row],[Acueducto]:[Aseo]])</f>
        <v>0</v>
      </c>
    </row>
    <row r="1843" spans="1:6" ht="15" x14ac:dyDescent="0.2">
      <c r="A1843" s="7">
        <v>481205</v>
      </c>
      <c r="B1843" s="3" t="s">
        <v>37</v>
      </c>
      <c r="C1843" s="29">
        <f>ROUND(Balances[[#This Row],[Total]]*40%,0)</f>
        <v>0</v>
      </c>
      <c r="D1843" s="29">
        <f>ROUND(Balances[[#This Row],[Total]]*20%,0)</f>
        <v>0</v>
      </c>
      <c r="E1843" s="29">
        <f>ROUND(Balances[[#This Row],[Total]]*40%,0)</f>
        <v>0</v>
      </c>
      <c r="F1843" s="18">
        <f>SUM(Acueducto[[#This Row],[Acueducto]:[Aseo]])</f>
        <v>0</v>
      </c>
    </row>
    <row r="1844" spans="1:6" ht="15" x14ac:dyDescent="0.2">
      <c r="A1844" s="6">
        <v>4813</v>
      </c>
      <c r="B1844" s="2" t="s">
        <v>1224</v>
      </c>
      <c r="C1844" s="28">
        <f>ROUND(Balances[[#This Row],[Total]]*40%,0)</f>
        <v>0</v>
      </c>
      <c r="D1844" s="28">
        <f>ROUND(Balances[[#This Row],[Total]]*20%,0)</f>
        <v>0</v>
      </c>
      <c r="E1844" s="28">
        <f>ROUND(Balances[[#This Row],[Total]]*40%,0)</f>
        <v>0</v>
      </c>
      <c r="F1844" s="17">
        <f>SUM(Acueducto[[#This Row],[Acueducto]:[Aseo]])</f>
        <v>0</v>
      </c>
    </row>
    <row r="1845" spans="1:6" ht="15" x14ac:dyDescent="0.2">
      <c r="A1845" s="7">
        <v>481301</v>
      </c>
      <c r="B1845" s="3" t="s">
        <v>38</v>
      </c>
      <c r="C1845" s="29">
        <f>ROUND(Balances[[#This Row],[Total]]*40%,0)</f>
        <v>0</v>
      </c>
      <c r="D1845" s="29">
        <f>ROUND(Balances[[#This Row],[Total]]*20%,0)</f>
        <v>0</v>
      </c>
      <c r="E1845" s="29">
        <f>ROUND(Balances[[#This Row],[Total]]*40%,0)</f>
        <v>0</v>
      </c>
      <c r="F1845" s="18">
        <f>SUM(Acueducto[[#This Row],[Acueducto]:[Aseo]])</f>
        <v>0</v>
      </c>
    </row>
    <row r="1846" spans="1:6" ht="15" x14ac:dyDescent="0.2">
      <c r="A1846" s="7">
        <v>481302</v>
      </c>
      <c r="B1846" s="3" t="s">
        <v>39</v>
      </c>
      <c r="C1846" s="29">
        <f>ROUND(Balances[[#This Row],[Total]]*40%,0)</f>
        <v>0</v>
      </c>
      <c r="D1846" s="29">
        <f>ROUND(Balances[[#This Row],[Total]]*20%,0)</f>
        <v>0</v>
      </c>
      <c r="E1846" s="29">
        <f>ROUND(Balances[[#This Row],[Total]]*40%,0)</f>
        <v>0</v>
      </c>
      <c r="F1846" s="18">
        <f>SUM(Acueducto[[#This Row],[Acueducto]:[Aseo]])</f>
        <v>0</v>
      </c>
    </row>
    <row r="1847" spans="1:6" ht="15" x14ac:dyDescent="0.2">
      <c r="A1847" s="7">
        <v>481303</v>
      </c>
      <c r="B1847" s="3" t="s">
        <v>35</v>
      </c>
      <c r="C1847" s="29">
        <f>ROUND(Balances[[#This Row],[Total]]*40%,0)</f>
        <v>0</v>
      </c>
      <c r="D1847" s="29">
        <f>ROUND(Balances[[#This Row],[Total]]*20%,0)</f>
        <v>0</v>
      </c>
      <c r="E1847" s="29">
        <f>ROUND(Balances[[#This Row],[Total]]*40%,0)</f>
        <v>0</v>
      </c>
      <c r="F1847" s="18">
        <f>SUM(Acueducto[[#This Row],[Acueducto]:[Aseo]])</f>
        <v>0</v>
      </c>
    </row>
    <row r="1848" spans="1:6" ht="15" x14ac:dyDescent="0.2">
      <c r="A1848" s="7">
        <v>481304</v>
      </c>
      <c r="B1848" s="3" t="s">
        <v>36</v>
      </c>
      <c r="C1848" s="29">
        <f>ROUND(Balances[[#This Row],[Total]]*40%,0)</f>
        <v>0</v>
      </c>
      <c r="D1848" s="29">
        <f>ROUND(Balances[[#This Row],[Total]]*20%,0)</f>
        <v>0</v>
      </c>
      <c r="E1848" s="29">
        <f>ROUND(Balances[[#This Row],[Total]]*40%,0)</f>
        <v>0</v>
      </c>
      <c r="F1848" s="18">
        <f>SUM(Acueducto[[#This Row],[Acueducto]:[Aseo]])</f>
        <v>0</v>
      </c>
    </row>
    <row r="1849" spans="1:6" ht="15" x14ac:dyDescent="0.2">
      <c r="A1849" s="7">
        <v>481305</v>
      </c>
      <c r="B1849" s="3" t="s">
        <v>37</v>
      </c>
      <c r="C1849" s="29">
        <f>ROUND(Balances[[#This Row],[Total]]*40%,0)</f>
        <v>0</v>
      </c>
      <c r="D1849" s="29">
        <f>ROUND(Balances[[#This Row],[Total]]*20%,0)</f>
        <v>0</v>
      </c>
      <c r="E1849" s="29">
        <f>ROUND(Balances[[#This Row],[Total]]*40%,0)</f>
        <v>0</v>
      </c>
      <c r="F1849" s="18">
        <f>SUM(Acueducto[[#This Row],[Acueducto]:[Aseo]])</f>
        <v>0</v>
      </c>
    </row>
    <row r="1850" spans="1:6" ht="15" x14ac:dyDescent="0.2">
      <c r="A1850" s="6">
        <v>4819</v>
      </c>
      <c r="B1850" s="2" t="s">
        <v>1225</v>
      </c>
      <c r="C1850" s="28">
        <f>ROUND(Balances[[#This Row],[Total]]*40%,0)</f>
        <v>0</v>
      </c>
      <c r="D1850" s="28">
        <f>ROUND(Balances[[#This Row],[Total]]*20%,0)</f>
        <v>0</v>
      </c>
      <c r="E1850" s="28">
        <f>ROUND(Balances[[#This Row],[Total]]*40%,0)</f>
        <v>0</v>
      </c>
      <c r="F1850" s="17">
        <f>SUM(Acueducto[[#This Row],[Acueducto]:[Aseo]])</f>
        <v>0</v>
      </c>
    </row>
    <row r="1851" spans="1:6" ht="15" x14ac:dyDescent="0.2">
      <c r="A1851" s="7">
        <v>481901</v>
      </c>
      <c r="B1851" s="3" t="s">
        <v>1226</v>
      </c>
      <c r="C1851" s="29">
        <f>ROUND(Balances[[#This Row],[Total]]*40%,0)</f>
        <v>0</v>
      </c>
      <c r="D1851" s="29">
        <f>ROUND(Balances[[#This Row],[Total]]*20%,0)</f>
        <v>0</v>
      </c>
      <c r="E1851" s="29">
        <f>ROUND(Balances[[#This Row],[Total]]*40%,0)</f>
        <v>0</v>
      </c>
      <c r="F1851" s="18">
        <f>SUM(Acueducto[[#This Row],[Acueducto]:[Aseo]])</f>
        <v>0</v>
      </c>
    </row>
    <row r="1852" spans="1:6" ht="15" x14ac:dyDescent="0.2">
      <c r="A1852" s="7">
        <v>481902</v>
      </c>
      <c r="B1852" s="3" t="s">
        <v>1227</v>
      </c>
      <c r="C1852" s="29">
        <f>ROUND(Balances[[#This Row],[Total]]*40%,0)</f>
        <v>0</v>
      </c>
      <c r="D1852" s="29">
        <f>ROUND(Balances[[#This Row],[Total]]*20%,0)</f>
        <v>0</v>
      </c>
      <c r="E1852" s="29">
        <f>ROUND(Balances[[#This Row],[Total]]*40%,0)</f>
        <v>0</v>
      </c>
      <c r="F1852" s="18">
        <f>SUM(Acueducto[[#This Row],[Acueducto]:[Aseo]])</f>
        <v>0</v>
      </c>
    </row>
    <row r="1853" spans="1:6" ht="15" x14ac:dyDescent="0.2">
      <c r="A1853" s="6">
        <v>4823</v>
      </c>
      <c r="B1853" s="2" t="s">
        <v>1228</v>
      </c>
      <c r="C1853" s="28">
        <f>ROUND(Balances[[#This Row],[Total]]*40%,0)</f>
        <v>0</v>
      </c>
      <c r="D1853" s="28">
        <f>ROUND(Balances[[#This Row],[Total]]*20%,0)</f>
        <v>0</v>
      </c>
      <c r="E1853" s="28">
        <f>ROUND(Balances[[#This Row],[Total]]*40%,0)</f>
        <v>0</v>
      </c>
      <c r="F1853" s="17">
        <f>SUM(Acueducto[[#This Row],[Acueducto]:[Aseo]])</f>
        <v>0</v>
      </c>
    </row>
    <row r="1854" spans="1:6" ht="15" x14ac:dyDescent="0.2">
      <c r="A1854" s="7">
        <v>482301</v>
      </c>
      <c r="B1854" s="3" t="s">
        <v>628</v>
      </c>
      <c r="C1854" s="29">
        <f>ROUND(Balances[[#This Row],[Total]]*40%,0)</f>
        <v>0</v>
      </c>
      <c r="D1854" s="29">
        <f>ROUND(Balances[[#This Row],[Total]]*20%,0)</f>
        <v>0</v>
      </c>
      <c r="E1854" s="29">
        <f>ROUND(Balances[[#This Row],[Total]]*40%,0)</f>
        <v>0</v>
      </c>
      <c r="F1854" s="18">
        <f>SUM(Acueducto[[#This Row],[Acueducto]:[Aseo]])</f>
        <v>0</v>
      </c>
    </row>
    <row r="1855" spans="1:6" ht="15" x14ac:dyDescent="0.2">
      <c r="A1855" s="7">
        <v>482302</v>
      </c>
      <c r="B1855" s="3" t="s">
        <v>629</v>
      </c>
      <c r="C1855" s="29">
        <f>ROUND(Balances[[#This Row],[Total]]*40%,0)</f>
        <v>0</v>
      </c>
      <c r="D1855" s="29">
        <f>ROUND(Balances[[#This Row],[Total]]*20%,0)</f>
        <v>0</v>
      </c>
      <c r="E1855" s="29">
        <f>ROUND(Balances[[#This Row],[Total]]*40%,0)</f>
        <v>0</v>
      </c>
      <c r="F1855" s="18">
        <f>SUM(Acueducto[[#This Row],[Acueducto]:[Aseo]])</f>
        <v>0</v>
      </c>
    </row>
    <row r="1856" spans="1:6" ht="15" x14ac:dyDescent="0.2">
      <c r="A1856" s="7">
        <v>482303</v>
      </c>
      <c r="B1856" s="3" t="s">
        <v>630</v>
      </c>
      <c r="C1856" s="29">
        <f>ROUND(Balances[[#This Row],[Total]]*40%,0)</f>
        <v>0</v>
      </c>
      <c r="D1856" s="29">
        <f>ROUND(Balances[[#This Row],[Total]]*20%,0)</f>
        <v>0</v>
      </c>
      <c r="E1856" s="29">
        <f>ROUND(Balances[[#This Row],[Total]]*40%,0)</f>
        <v>0</v>
      </c>
      <c r="F1856" s="18">
        <f>SUM(Acueducto[[#This Row],[Acueducto]:[Aseo]])</f>
        <v>0</v>
      </c>
    </row>
    <row r="1857" spans="1:6" ht="15" x14ac:dyDescent="0.2">
      <c r="A1857" s="7">
        <v>482304</v>
      </c>
      <c r="B1857" s="3" t="s">
        <v>631</v>
      </c>
      <c r="C1857" s="29">
        <f>ROUND(Balances[[#This Row],[Total]]*40%,0)</f>
        <v>0</v>
      </c>
      <c r="D1857" s="29">
        <f>ROUND(Balances[[#This Row],[Total]]*20%,0)</f>
        <v>0</v>
      </c>
      <c r="E1857" s="29">
        <f>ROUND(Balances[[#This Row],[Total]]*40%,0)</f>
        <v>0</v>
      </c>
      <c r="F1857" s="18">
        <f>SUM(Acueducto[[#This Row],[Acueducto]:[Aseo]])</f>
        <v>0</v>
      </c>
    </row>
    <row r="1858" spans="1:6" ht="15" x14ac:dyDescent="0.2">
      <c r="A1858" s="6">
        <v>4825</v>
      </c>
      <c r="B1858" s="2" t="s">
        <v>1229</v>
      </c>
      <c r="C1858" s="28">
        <f>ROUND(Balances[[#This Row],[Total]]*40%,0)</f>
        <v>0</v>
      </c>
      <c r="D1858" s="28">
        <f>ROUND(Balances[[#This Row],[Total]]*20%,0)</f>
        <v>0</v>
      </c>
      <c r="E1858" s="28">
        <f>ROUND(Balances[[#This Row],[Total]]*40%,0)</f>
        <v>0</v>
      </c>
      <c r="F1858" s="17">
        <f>SUM(Acueducto[[#This Row],[Acueducto]:[Aseo]])</f>
        <v>0</v>
      </c>
    </row>
    <row r="1859" spans="1:6" ht="15" x14ac:dyDescent="0.2">
      <c r="A1859" s="7">
        <v>482501</v>
      </c>
      <c r="B1859" s="3" t="s">
        <v>549</v>
      </c>
      <c r="C1859" s="29">
        <f>ROUND(Balances[[#This Row],[Total]]*40%,0)</f>
        <v>0</v>
      </c>
      <c r="D1859" s="29">
        <f>ROUND(Balances[[#This Row],[Total]]*20%,0)</f>
        <v>0</v>
      </c>
      <c r="E1859" s="29">
        <f>ROUND(Balances[[#This Row],[Total]]*40%,0)</f>
        <v>0</v>
      </c>
      <c r="F1859" s="18">
        <f>SUM(Acueducto[[#This Row],[Acueducto]:[Aseo]])</f>
        <v>0</v>
      </c>
    </row>
    <row r="1860" spans="1:6" ht="15" x14ac:dyDescent="0.2">
      <c r="A1860" s="7">
        <v>482502</v>
      </c>
      <c r="B1860" s="3" t="s">
        <v>637</v>
      </c>
      <c r="C1860" s="29">
        <f>ROUND(Balances[[#This Row],[Total]]*40%,0)</f>
        <v>0</v>
      </c>
      <c r="D1860" s="29">
        <f>ROUND(Balances[[#This Row],[Total]]*20%,0)</f>
        <v>0</v>
      </c>
      <c r="E1860" s="29">
        <f>ROUND(Balances[[#This Row],[Total]]*40%,0)</f>
        <v>0</v>
      </c>
      <c r="F1860" s="18">
        <f>SUM(Acueducto[[#This Row],[Acueducto]:[Aseo]])</f>
        <v>0</v>
      </c>
    </row>
    <row r="1861" spans="1:6" ht="15" x14ac:dyDescent="0.2">
      <c r="A1861" s="7">
        <v>482503</v>
      </c>
      <c r="B1861" s="3" t="s">
        <v>226</v>
      </c>
      <c r="C1861" s="29">
        <f>ROUND(Balances[[#This Row],[Total]]*40%,0)</f>
        <v>0</v>
      </c>
      <c r="D1861" s="29">
        <f>ROUND(Balances[[#This Row],[Total]]*20%,0)</f>
        <v>0</v>
      </c>
      <c r="E1861" s="29">
        <f>ROUND(Balances[[#This Row],[Total]]*40%,0)</f>
        <v>0</v>
      </c>
      <c r="F1861" s="18">
        <f>SUM(Acueducto[[#This Row],[Acueducto]:[Aseo]])</f>
        <v>0</v>
      </c>
    </row>
    <row r="1862" spans="1:6" ht="15" x14ac:dyDescent="0.2">
      <c r="A1862" s="7">
        <v>482504</v>
      </c>
      <c r="B1862" s="3" t="s">
        <v>287</v>
      </c>
      <c r="C1862" s="29">
        <f>ROUND(Balances[[#This Row],[Total]]*40%,0)</f>
        <v>0</v>
      </c>
      <c r="D1862" s="29">
        <f>ROUND(Balances[[#This Row],[Total]]*20%,0)</f>
        <v>0</v>
      </c>
      <c r="E1862" s="29">
        <f>ROUND(Balances[[#This Row],[Total]]*40%,0)</f>
        <v>0</v>
      </c>
      <c r="F1862" s="18">
        <f>SUM(Acueducto[[#This Row],[Acueducto]:[Aseo]])</f>
        <v>0</v>
      </c>
    </row>
    <row r="1863" spans="1:6" ht="15" x14ac:dyDescent="0.2">
      <c r="A1863" s="7">
        <v>482505</v>
      </c>
      <c r="B1863" s="3" t="s">
        <v>638</v>
      </c>
      <c r="C1863" s="29">
        <f>ROUND(Balances[[#This Row],[Total]]*40%,0)</f>
        <v>0</v>
      </c>
      <c r="D1863" s="29">
        <f>ROUND(Balances[[#This Row],[Total]]*20%,0)</f>
        <v>0</v>
      </c>
      <c r="E1863" s="29">
        <f>ROUND(Balances[[#This Row],[Total]]*40%,0)</f>
        <v>0</v>
      </c>
      <c r="F1863" s="18">
        <f>SUM(Acueducto[[#This Row],[Acueducto]:[Aseo]])</f>
        <v>0</v>
      </c>
    </row>
    <row r="1864" spans="1:6" ht="15" x14ac:dyDescent="0.2">
      <c r="A1864" s="7">
        <v>482506</v>
      </c>
      <c r="B1864" s="3" t="s">
        <v>553</v>
      </c>
      <c r="C1864" s="29">
        <f>ROUND(Balances[[#This Row],[Total]]*40%,0)</f>
        <v>0</v>
      </c>
      <c r="D1864" s="29">
        <f>ROUND(Balances[[#This Row],[Total]]*20%,0)</f>
        <v>0</v>
      </c>
      <c r="E1864" s="29">
        <f>ROUND(Balances[[#This Row],[Total]]*40%,0)</f>
        <v>0</v>
      </c>
      <c r="F1864" s="18">
        <f>SUM(Acueducto[[#This Row],[Acueducto]:[Aseo]])</f>
        <v>0</v>
      </c>
    </row>
    <row r="1865" spans="1:6" ht="15" x14ac:dyDescent="0.2">
      <c r="A1865" s="7">
        <v>482507</v>
      </c>
      <c r="B1865" s="3" t="s">
        <v>639</v>
      </c>
      <c r="C1865" s="29">
        <f>ROUND(Balances[[#This Row],[Total]]*40%,0)</f>
        <v>0</v>
      </c>
      <c r="D1865" s="29">
        <f>ROUND(Balances[[#This Row],[Total]]*20%,0)</f>
        <v>0</v>
      </c>
      <c r="E1865" s="29">
        <f>ROUND(Balances[[#This Row],[Total]]*40%,0)</f>
        <v>0</v>
      </c>
      <c r="F1865" s="18">
        <f>SUM(Acueducto[[#This Row],[Acueducto]:[Aseo]])</f>
        <v>0</v>
      </c>
    </row>
    <row r="1866" spans="1:6" ht="15" x14ac:dyDescent="0.2">
      <c r="A1866" s="7">
        <v>482508</v>
      </c>
      <c r="B1866" s="3" t="s">
        <v>554</v>
      </c>
      <c r="C1866" s="29">
        <f>ROUND(Balances[[#This Row],[Total]]*40%,0)</f>
        <v>0</v>
      </c>
      <c r="D1866" s="29">
        <f>ROUND(Balances[[#This Row],[Total]]*20%,0)</f>
        <v>0</v>
      </c>
      <c r="E1866" s="29">
        <f>ROUND(Balances[[#This Row],[Total]]*40%,0)</f>
        <v>0</v>
      </c>
      <c r="F1866" s="18">
        <f>SUM(Acueducto[[#This Row],[Acueducto]:[Aseo]])</f>
        <v>0</v>
      </c>
    </row>
    <row r="1867" spans="1:6" ht="15" x14ac:dyDescent="0.2">
      <c r="A1867" s="7">
        <v>482509</v>
      </c>
      <c r="B1867" s="3" t="s">
        <v>640</v>
      </c>
      <c r="C1867" s="29">
        <f>ROUND(Balances[[#This Row],[Total]]*40%,0)</f>
        <v>0</v>
      </c>
      <c r="D1867" s="29">
        <f>ROUND(Balances[[#This Row],[Total]]*20%,0)</f>
        <v>0</v>
      </c>
      <c r="E1867" s="29">
        <f>ROUND(Balances[[#This Row],[Total]]*40%,0)</f>
        <v>0</v>
      </c>
      <c r="F1867" s="18">
        <f>SUM(Acueducto[[#This Row],[Acueducto]:[Aseo]])</f>
        <v>0</v>
      </c>
    </row>
    <row r="1868" spans="1:6" ht="15" x14ac:dyDescent="0.2">
      <c r="A1868" s="7">
        <v>482510</v>
      </c>
      <c r="B1868" s="3" t="s">
        <v>555</v>
      </c>
      <c r="C1868" s="29">
        <f>ROUND(Balances[[#This Row],[Total]]*40%,0)</f>
        <v>0</v>
      </c>
      <c r="D1868" s="29">
        <f>ROUND(Balances[[#This Row],[Total]]*20%,0)</f>
        <v>0</v>
      </c>
      <c r="E1868" s="29">
        <f>ROUND(Balances[[#This Row],[Total]]*40%,0)</f>
        <v>0</v>
      </c>
      <c r="F1868" s="18">
        <f>SUM(Acueducto[[#This Row],[Acueducto]:[Aseo]])</f>
        <v>0</v>
      </c>
    </row>
    <row r="1869" spans="1:6" ht="15" x14ac:dyDescent="0.2">
      <c r="A1869" s="7">
        <v>482511</v>
      </c>
      <c r="B1869" s="3" t="s">
        <v>641</v>
      </c>
      <c r="C1869" s="29">
        <f>ROUND(Balances[[#This Row],[Total]]*40%,0)</f>
        <v>0</v>
      </c>
      <c r="D1869" s="29">
        <f>ROUND(Balances[[#This Row],[Total]]*20%,0)</f>
        <v>0</v>
      </c>
      <c r="E1869" s="29">
        <f>ROUND(Balances[[#This Row],[Total]]*40%,0)</f>
        <v>0</v>
      </c>
      <c r="F1869" s="18">
        <f>SUM(Acueducto[[#This Row],[Acueducto]:[Aseo]])</f>
        <v>0</v>
      </c>
    </row>
    <row r="1870" spans="1:6" ht="15" x14ac:dyDescent="0.2">
      <c r="A1870" s="7">
        <v>482512</v>
      </c>
      <c r="B1870" s="3" t="s">
        <v>642</v>
      </c>
      <c r="C1870" s="29">
        <f>ROUND(Balances[[#This Row],[Total]]*40%,0)</f>
        <v>0</v>
      </c>
      <c r="D1870" s="29">
        <f>ROUND(Balances[[#This Row],[Total]]*20%,0)</f>
        <v>0</v>
      </c>
      <c r="E1870" s="29">
        <f>ROUND(Balances[[#This Row],[Total]]*40%,0)</f>
        <v>0</v>
      </c>
      <c r="F1870" s="18">
        <f>SUM(Acueducto[[#This Row],[Acueducto]:[Aseo]])</f>
        <v>0</v>
      </c>
    </row>
    <row r="1871" spans="1:6" ht="15" x14ac:dyDescent="0.2">
      <c r="A1871" s="7">
        <v>482513</v>
      </c>
      <c r="B1871" s="3" t="s">
        <v>643</v>
      </c>
      <c r="C1871" s="29">
        <f>ROUND(Balances[[#This Row],[Total]]*40%,0)</f>
        <v>0</v>
      </c>
      <c r="D1871" s="29">
        <f>ROUND(Balances[[#This Row],[Total]]*20%,0)</f>
        <v>0</v>
      </c>
      <c r="E1871" s="29">
        <f>ROUND(Balances[[#This Row],[Total]]*40%,0)</f>
        <v>0</v>
      </c>
      <c r="F1871" s="18">
        <f>SUM(Acueducto[[#This Row],[Acueducto]:[Aseo]])</f>
        <v>0</v>
      </c>
    </row>
    <row r="1872" spans="1:6" ht="15" x14ac:dyDescent="0.2">
      <c r="A1872" s="7">
        <v>482514</v>
      </c>
      <c r="B1872" s="3" t="s">
        <v>644</v>
      </c>
      <c r="C1872" s="29">
        <f>ROUND(Balances[[#This Row],[Total]]*40%,0)</f>
        <v>0</v>
      </c>
      <c r="D1872" s="29">
        <f>ROUND(Balances[[#This Row],[Total]]*20%,0)</f>
        <v>0</v>
      </c>
      <c r="E1872" s="29">
        <f>ROUND(Balances[[#This Row],[Total]]*40%,0)</f>
        <v>0</v>
      </c>
      <c r="F1872" s="18">
        <f>SUM(Acueducto[[#This Row],[Acueducto]:[Aseo]])</f>
        <v>0</v>
      </c>
    </row>
    <row r="1873" spans="1:6" ht="15" x14ac:dyDescent="0.2">
      <c r="A1873" s="7">
        <v>482515</v>
      </c>
      <c r="B1873" s="3" t="s">
        <v>645</v>
      </c>
      <c r="C1873" s="29">
        <f>ROUND(Balances[[#This Row],[Total]]*40%,0)</f>
        <v>0</v>
      </c>
      <c r="D1873" s="29">
        <f>ROUND(Balances[[#This Row],[Total]]*20%,0)</f>
        <v>0</v>
      </c>
      <c r="E1873" s="29">
        <f>ROUND(Balances[[#This Row],[Total]]*40%,0)</f>
        <v>0</v>
      </c>
      <c r="F1873" s="18">
        <f>SUM(Acueducto[[#This Row],[Acueducto]:[Aseo]])</f>
        <v>0</v>
      </c>
    </row>
    <row r="1874" spans="1:6" ht="15" x14ac:dyDescent="0.2">
      <c r="A1874" s="7">
        <v>482516</v>
      </c>
      <c r="B1874" s="3" t="s">
        <v>646</v>
      </c>
      <c r="C1874" s="29">
        <f>ROUND(Balances[[#This Row],[Total]]*40%,0)</f>
        <v>0</v>
      </c>
      <c r="D1874" s="29">
        <f>ROUND(Balances[[#This Row],[Total]]*20%,0)</f>
        <v>0</v>
      </c>
      <c r="E1874" s="29">
        <f>ROUND(Balances[[#This Row],[Total]]*40%,0)</f>
        <v>0</v>
      </c>
      <c r="F1874" s="18">
        <f>SUM(Acueducto[[#This Row],[Acueducto]:[Aseo]])</f>
        <v>0</v>
      </c>
    </row>
    <row r="1875" spans="1:6" ht="15" x14ac:dyDescent="0.2">
      <c r="A1875" s="7">
        <v>482517</v>
      </c>
      <c r="B1875" s="3" t="s">
        <v>647</v>
      </c>
      <c r="C1875" s="29">
        <f>ROUND(Balances[[#This Row],[Total]]*40%,0)</f>
        <v>0</v>
      </c>
      <c r="D1875" s="29">
        <f>ROUND(Balances[[#This Row],[Total]]*20%,0)</f>
        <v>0</v>
      </c>
      <c r="E1875" s="29">
        <f>ROUND(Balances[[#This Row],[Total]]*40%,0)</f>
        <v>0</v>
      </c>
      <c r="F1875" s="18">
        <f>SUM(Acueducto[[#This Row],[Acueducto]:[Aseo]])</f>
        <v>0</v>
      </c>
    </row>
    <row r="1876" spans="1:6" ht="15" x14ac:dyDescent="0.2">
      <c r="A1876" s="7">
        <v>482518</v>
      </c>
      <c r="B1876" s="3" t="s">
        <v>648</v>
      </c>
      <c r="C1876" s="29">
        <f>ROUND(Balances[[#This Row],[Total]]*40%,0)</f>
        <v>0</v>
      </c>
      <c r="D1876" s="29">
        <f>ROUND(Balances[[#This Row],[Total]]*20%,0)</f>
        <v>0</v>
      </c>
      <c r="E1876" s="29">
        <f>ROUND(Balances[[#This Row],[Total]]*40%,0)</f>
        <v>0</v>
      </c>
      <c r="F1876" s="18">
        <f>SUM(Acueducto[[#This Row],[Acueducto]:[Aseo]])</f>
        <v>0</v>
      </c>
    </row>
    <row r="1877" spans="1:6" ht="15" x14ac:dyDescent="0.2">
      <c r="A1877" s="6">
        <v>4830</v>
      </c>
      <c r="B1877" s="2" t="s">
        <v>1230</v>
      </c>
      <c r="C1877" s="28">
        <f>ROUND(Balances[[#This Row],[Total]]*40%,0)</f>
        <v>0</v>
      </c>
      <c r="D1877" s="28">
        <f>ROUND(Balances[[#This Row],[Total]]*20%,0)</f>
        <v>0</v>
      </c>
      <c r="E1877" s="28">
        <f>ROUND(Balances[[#This Row],[Total]]*40%,0)</f>
        <v>0</v>
      </c>
      <c r="F1877" s="17">
        <f>SUM(Acueducto[[#This Row],[Acueducto]:[Aseo]])</f>
        <v>0</v>
      </c>
    </row>
    <row r="1878" spans="1:6" ht="15" x14ac:dyDescent="0.2">
      <c r="A1878" s="7">
        <v>483001</v>
      </c>
      <c r="B1878" s="3" t="s">
        <v>551</v>
      </c>
      <c r="C1878" s="29">
        <f>ROUND(Balances[[#This Row],[Total]]*40%,0)</f>
        <v>0</v>
      </c>
      <c r="D1878" s="29">
        <f>ROUND(Balances[[#This Row],[Total]]*20%,0)</f>
        <v>0</v>
      </c>
      <c r="E1878" s="29">
        <f>ROUND(Balances[[#This Row],[Total]]*40%,0)</f>
        <v>0</v>
      </c>
      <c r="F1878" s="18">
        <f>SUM(Acueducto[[#This Row],[Acueducto]:[Aseo]])</f>
        <v>0</v>
      </c>
    </row>
    <row r="1879" spans="1:6" ht="15" x14ac:dyDescent="0.2">
      <c r="A1879" s="7">
        <v>483002</v>
      </c>
      <c r="B1879" s="3" t="s">
        <v>226</v>
      </c>
      <c r="C1879" s="29">
        <f>ROUND(Balances[[#This Row],[Total]]*40%,0)</f>
        <v>0</v>
      </c>
      <c r="D1879" s="29">
        <f>ROUND(Balances[[#This Row],[Total]]*20%,0)</f>
        <v>0</v>
      </c>
      <c r="E1879" s="29">
        <f>ROUND(Balances[[#This Row],[Total]]*40%,0)</f>
        <v>0</v>
      </c>
      <c r="F1879" s="18">
        <f>SUM(Acueducto[[#This Row],[Acueducto]:[Aseo]])</f>
        <v>0</v>
      </c>
    </row>
    <row r="1880" spans="1:6" ht="15" x14ac:dyDescent="0.2">
      <c r="A1880" s="7">
        <v>483003</v>
      </c>
      <c r="B1880" s="3" t="s">
        <v>1231</v>
      </c>
      <c r="C1880" s="29">
        <f>ROUND(Balances[[#This Row],[Total]]*40%,0)</f>
        <v>0</v>
      </c>
      <c r="D1880" s="29">
        <f>ROUND(Balances[[#This Row],[Total]]*20%,0)</f>
        <v>0</v>
      </c>
      <c r="E1880" s="29">
        <f>ROUND(Balances[[#This Row],[Total]]*40%,0)</f>
        <v>0</v>
      </c>
      <c r="F1880" s="18">
        <f>SUM(Acueducto[[#This Row],[Acueducto]:[Aseo]])</f>
        <v>0</v>
      </c>
    </row>
    <row r="1881" spans="1:6" ht="15" x14ac:dyDescent="0.2">
      <c r="A1881" s="7">
        <v>483004</v>
      </c>
      <c r="B1881" s="3" t="s">
        <v>287</v>
      </c>
      <c r="C1881" s="29">
        <f>ROUND(Balances[[#This Row],[Total]]*40%,0)</f>
        <v>0</v>
      </c>
      <c r="D1881" s="29">
        <f>ROUND(Balances[[#This Row],[Total]]*20%,0)</f>
        <v>0</v>
      </c>
      <c r="E1881" s="29">
        <f>ROUND(Balances[[#This Row],[Total]]*40%,0)</f>
        <v>0</v>
      </c>
      <c r="F1881" s="18">
        <f>SUM(Acueducto[[#This Row],[Acueducto]:[Aseo]])</f>
        <v>0</v>
      </c>
    </row>
    <row r="1882" spans="1:6" ht="15" x14ac:dyDescent="0.2">
      <c r="A1882" s="7">
        <v>483005</v>
      </c>
      <c r="B1882" s="3" t="s">
        <v>638</v>
      </c>
      <c r="C1882" s="29">
        <f>ROUND(Balances[[#This Row],[Total]]*40%,0)</f>
        <v>0</v>
      </c>
      <c r="D1882" s="29">
        <f>ROUND(Balances[[#This Row],[Total]]*20%,0)</f>
        <v>0</v>
      </c>
      <c r="E1882" s="29">
        <f>ROUND(Balances[[#This Row],[Total]]*40%,0)</f>
        <v>0</v>
      </c>
      <c r="F1882" s="18">
        <f>SUM(Acueducto[[#This Row],[Acueducto]:[Aseo]])</f>
        <v>0</v>
      </c>
    </row>
    <row r="1883" spans="1:6" ht="15" x14ac:dyDescent="0.2">
      <c r="A1883" s="7">
        <v>483006</v>
      </c>
      <c r="B1883" s="3" t="s">
        <v>553</v>
      </c>
      <c r="C1883" s="29">
        <f>ROUND(Balances[[#This Row],[Total]]*40%,0)</f>
        <v>0</v>
      </c>
      <c r="D1883" s="29">
        <f>ROUND(Balances[[#This Row],[Total]]*20%,0)</f>
        <v>0</v>
      </c>
      <c r="E1883" s="29">
        <f>ROUND(Balances[[#This Row],[Total]]*40%,0)</f>
        <v>0</v>
      </c>
      <c r="F1883" s="18">
        <f>SUM(Acueducto[[#This Row],[Acueducto]:[Aseo]])</f>
        <v>0</v>
      </c>
    </row>
    <row r="1884" spans="1:6" ht="15" x14ac:dyDescent="0.2">
      <c r="A1884" s="7">
        <v>483010</v>
      </c>
      <c r="B1884" s="3" t="s">
        <v>554</v>
      </c>
      <c r="C1884" s="29">
        <f>ROUND(Balances[[#This Row],[Total]]*40%,0)</f>
        <v>0</v>
      </c>
      <c r="D1884" s="29">
        <f>ROUND(Balances[[#This Row],[Total]]*20%,0)</f>
        <v>0</v>
      </c>
      <c r="E1884" s="29">
        <f>ROUND(Balances[[#This Row],[Total]]*40%,0)</f>
        <v>0</v>
      </c>
      <c r="F1884" s="18">
        <f>SUM(Acueducto[[#This Row],[Acueducto]:[Aseo]])</f>
        <v>0</v>
      </c>
    </row>
    <row r="1885" spans="1:6" ht="15" x14ac:dyDescent="0.2">
      <c r="A1885" s="7">
        <v>483012</v>
      </c>
      <c r="B1885" s="3" t="s">
        <v>639</v>
      </c>
      <c r="C1885" s="29">
        <f>ROUND(Balances[[#This Row],[Total]]*40%,0)</f>
        <v>0</v>
      </c>
      <c r="D1885" s="29">
        <f>ROUND(Balances[[#This Row],[Total]]*20%,0)</f>
        <v>0</v>
      </c>
      <c r="E1885" s="29">
        <f>ROUND(Balances[[#This Row],[Total]]*40%,0)</f>
        <v>0</v>
      </c>
      <c r="F1885" s="18">
        <f>SUM(Acueducto[[#This Row],[Acueducto]:[Aseo]])</f>
        <v>0</v>
      </c>
    </row>
    <row r="1886" spans="1:6" ht="15" x14ac:dyDescent="0.2">
      <c r="A1886" s="7">
        <v>483014</v>
      </c>
      <c r="B1886" s="3" t="s">
        <v>1232</v>
      </c>
      <c r="C1886" s="29">
        <f>ROUND(Balances[[#This Row],[Total]]*40%,0)</f>
        <v>0</v>
      </c>
      <c r="D1886" s="29">
        <f>ROUND(Balances[[#This Row],[Total]]*20%,0)</f>
        <v>0</v>
      </c>
      <c r="E1886" s="29">
        <f>ROUND(Balances[[#This Row],[Total]]*40%,0)</f>
        <v>0</v>
      </c>
      <c r="F1886" s="18">
        <f>SUM(Acueducto[[#This Row],[Acueducto]:[Aseo]])</f>
        <v>0</v>
      </c>
    </row>
    <row r="1887" spans="1:6" ht="15" x14ac:dyDescent="0.2">
      <c r="A1887" s="6">
        <v>5</v>
      </c>
      <c r="B1887" s="2" t="s">
        <v>1233</v>
      </c>
      <c r="C1887" s="28">
        <f>ROUND(Balances[[#This Row],[Total]]*40%,0)</f>
        <v>31679941</v>
      </c>
      <c r="D1887" s="28">
        <f>ROUND(Balances[[#This Row],[Total]]*20%,0)</f>
        <v>15839971</v>
      </c>
      <c r="E1887" s="28">
        <f>ROUND(Balances[[#This Row],[Total]]*40%,0)</f>
        <v>31679941</v>
      </c>
      <c r="F1887" s="28">
        <f>SUM(Acueducto[[#This Row],[Acueducto]:[Aseo]])</f>
        <v>79199853</v>
      </c>
    </row>
    <row r="1888" spans="1:6" ht="15" x14ac:dyDescent="0.2">
      <c r="A1888" s="6">
        <v>51</v>
      </c>
      <c r="B1888" s="2" t="s">
        <v>1234</v>
      </c>
      <c r="C1888" s="28">
        <f>ROUND(Balances[[#This Row],[Total]]*40%,0)</f>
        <v>31517461</v>
      </c>
      <c r="D1888" s="28">
        <f>ROUND(Balances[[#This Row],[Total]]*20%,0)</f>
        <v>15758731</v>
      </c>
      <c r="E1888" s="28">
        <f>ROUND(Balances[[#This Row],[Total]]*40%,0)</f>
        <v>31517461</v>
      </c>
      <c r="F1888" s="28">
        <f>SUM(Acueducto[[#This Row],[Acueducto]:[Aseo]])</f>
        <v>78793653</v>
      </c>
    </row>
    <row r="1889" spans="1:6" s="36" customFormat="1" ht="15" x14ac:dyDescent="0.2">
      <c r="A1889" s="33">
        <v>5101</v>
      </c>
      <c r="B1889" s="34" t="s">
        <v>1235</v>
      </c>
      <c r="C1889" s="35">
        <f>ROUND(Balances[[#This Row],[Total]]*40%,0)</f>
        <v>10765488</v>
      </c>
      <c r="D1889" s="35">
        <f>ROUND(Balances[[#This Row],[Total]]*20%,0)</f>
        <v>5382744</v>
      </c>
      <c r="E1889" s="35">
        <f>ROUND(Balances[[#This Row],[Total]]*40%,0)</f>
        <v>10765488</v>
      </c>
      <c r="F1889" s="35">
        <f>SUM(Acueducto[[#This Row],[Acueducto]:[Aseo]])</f>
        <v>26913720</v>
      </c>
    </row>
    <row r="1890" spans="1:6" ht="15" x14ac:dyDescent="0.2">
      <c r="A1890" s="7">
        <v>510101</v>
      </c>
      <c r="B1890" s="3" t="s">
        <v>1236</v>
      </c>
      <c r="C1890" s="29">
        <f>ROUND(Balances[[#This Row],[Total]]*40%,0)</f>
        <v>10090579</v>
      </c>
      <c r="D1890" s="29">
        <f>ROUND(Balances[[#This Row],[Total]]*20%,0)</f>
        <v>5045290</v>
      </c>
      <c r="E1890" s="29">
        <f>ROUND(Balances[[#This Row],[Total]]*40%,0)</f>
        <v>10090579</v>
      </c>
      <c r="F1890" s="29">
        <f>SUM(Acueducto[[#This Row],[Acueducto]:[Aseo]])</f>
        <v>25226448</v>
      </c>
    </row>
    <row r="1891" spans="1:6" ht="15" x14ac:dyDescent="0.2">
      <c r="A1891" s="7">
        <v>510102</v>
      </c>
      <c r="B1891" s="3" t="s">
        <v>1237</v>
      </c>
      <c r="C1891" s="29">
        <f>ROUND(Balances[[#This Row],[Total]]*40%,0)</f>
        <v>0</v>
      </c>
      <c r="D1891" s="29">
        <f>ROUND(Balances[[#This Row],[Total]]*20%,0)</f>
        <v>0</v>
      </c>
      <c r="E1891" s="29">
        <f>ROUND(Balances[[#This Row],[Total]]*40%,0)</f>
        <v>0</v>
      </c>
      <c r="F1891" s="29">
        <f>SUM(Acueducto[[#This Row],[Acueducto]:[Aseo]])</f>
        <v>0</v>
      </c>
    </row>
    <row r="1892" spans="1:6" ht="15" x14ac:dyDescent="0.2">
      <c r="A1892" s="7">
        <v>510103</v>
      </c>
      <c r="B1892" s="3" t="s">
        <v>1238</v>
      </c>
      <c r="C1892" s="29">
        <f>ROUND(Balances[[#This Row],[Total]]*40%,0)</f>
        <v>0</v>
      </c>
      <c r="D1892" s="29">
        <f>ROUND(Balances[[#This Row],[Total]]*20%,0)</f>
        <v>0</v>
      </c>
      <c r="E1892" s="29">
        <f>ROUND(Balances[[#This Row],[Total]]*40%,0)</f>
        <v>0</v>
      </c>
      <c r="F1892" s="18">
        <f>SUM(Acueducto[[#This Row],[Acueducto]:[Aseo]])</f>
        <v>0</v>
      </c>
    </row>
    <row r="1893" spans="1:6" ht="15" x14ac:dyDescent="0.2">
      <c r="A1893" s="7">
        <v>510105</v>
      </c>
      <c r="B1893" s="3" t="s">
        <v>827</v>
      </c>
      <c r="C1893" s="29">
        <f>ROUND(Balances[[#This Row],[Total]]*40%,0)</f>
        <v>0</v>
      </c>
      <c r="D1893" s="29">
        <f>ROUND(Balances[[#This Row],[Total]]*20%,0)</f>
        <v>0</v>
      </c>
      <c r="E1893" s="29">
        <f>ROUND(Balances[[#This Row],[Total]]*40%,0)</f>
        <v>0</v>
      </c>
      <c r="F1893" s="18">
        <f>SUM(Acueducto[[#This Row],[Acueducto]:[Aseo]])</f>
        <v>0</v>
      </c>
    </row>
    <row r="1894" spans="1:6" ht="15" x14ac:dyDescent="0.2">
      <c r="A1894" s="7">
        <v>510108</v>
      </c>
      <c r="B1894" s="3" t="s">
        <v>1239</v>
      </c>
      <c r="C1894" s="29">
        <f>ROUND(Balances[[#This Row],[Total]]*40%,0)</f>
        <v>0</v>
      </c>
      <c r="D1894" s="29">
        <f>ROUND(Balances[[#This Row],[Total]]*20%,0)</f>
        <v>0</v>
      </c>
      <c r="E1894" s="29">
        <f>ROUND(Balances[[#This Row],[Total]]*40%,0)</f>
        <v>0</v>
      </c>
      <c r="F1894" s="18">
        <f>SUM(Acueducto[[#This Row],[Acueducto]:[Aseo]])</f>
        <v>0</v>
      </c>
    </row>
    <row r="1895" spans="1:6" ht="15" x14ac:dyDescent="0.2">
      <c r="A1895" s="7">
        <v>510119</v>
      </c>
      <c r="B1895" s="3" t="s">
        <v>860</v>
      </c>
      <c r="C1895" s="29">
        <f>ROUND(Balances[[#This Row],[Total]]*40%,0)</f>
        <v>0</v>
      </c>
      <c r="D1895" s="29">
        <f>ROUND(Balances[[#This Row],[Total]]*20%,0)</f>
        <v>0</v>
      </c>
      <c r="E1895" s="29">
        <f>ROUND(Balances[[#This Row],[Total]]*40%,0)</f>
        <v>0</v>
      </c>
      <c r="F1895" s="29">
        <f>SUM(Acueducto[[#This Row],[Acueducto]:[Aseo]])</f>
        <v>0</v>
      </c>
    </row>
    <row r="1896" spans="1:6" ht="15" x14ac:dyDescent="0.2">
      <c r="A1896" s="7">
        <v>510123</v>
      </c>
      <c r="B1896" s="3" t="s">
        <v>1240</v>
      </c>
      <c r="C1896" s="29">
        <f>ROUND(Balances[[#This Row],[Total]]*40%,0)</f>
        <v>674909</v>
      </c>
      <c r="D1896" s="29">
        <f>ROUND(Balances[[#This Row],[Total]]*20%,0)</f>
        <v>337454</v>
      </c>
      <c r="E1896" s="29">
        <f>ROUND(Balances[[#This Row],[Total]]*40%,0)</f>
        <v>674909</v>
      </c>
      <c r="F1896" s="29">
        <f>SUM(Acueducto[[#This Row],[Acueducto]:[Aseo]])</f>
        <v>1687272</v>
      </c>
    </row>
    <row r="1897" spans="1:6" ht="15" x14ac:dyDescent="0.2">
      <c r="A1897" s="7">
        <v>510145</v>
      </c>
      <c r="B1897" s="3" t="s">
        <v>1241</v>
      </c>
      <c r="C1897" s="29">
        <f>ROUND(Balances[[#This Row],[Total]]*40%,0)</f>
        <v>0</v>
      </c>
      <c r="D1897" s="29">
        <f>ROUND(Balances[[#This Row],[Total]]*20%,0)</f>
        <v>0</v>
      </c>
      <c r="E1897" s="29">
        <f>ROUND(Balances[[#This Row],[Total]]*40%,0)</f>
        <v>0</v>
      </c>
      <c r="F1897" s="18">
        <f>SUM(Acueducto[[#This Row],[Acueducto]:[Aseo]])</f>
        <v>0</v>
      </c>
    </row>
    <row r="1898" spans="1:6" ht="15" x14ac:dyDescent="0.2">
      <c r="A1898" s="7">
        <v>510151</v>
      </c>
      <c r="B1898" s="3" t="s">
        <v>1242</v>
      </c>
      <c r="C1898" s="29">
        <f>ROUND(Balances[[#This Row],[Total]]*40%,0)</f>
        <v>0</v>
      </c>
      <c r="D1898" s="29">
        <f>ROUND(Balances[[#This Row],[Total]]*20%,0)</f>
        <v>0</v>
      </c>
      <c r="E1898" s="29">
        <f>ROUND(Balances[[#This Row],[Total]]*40%,0)</f>
        <v>0</v>
      </c>
      <c r="F1898" s="18">
        <f>SUM(Acueducto[[#This Row],[Acueducto]:[Aseo]])</f>
        <v>0</v>
      </c>
    </row>
    <row r="1899" spans="1:6" ht="15" x14ac:dyDescent="0.2">
      <c r="A1899" s="7">
        <v>510159</v>
      </c>
      <c r="B1899" s="3" t="s">
        <v>1243</v>
      </c>
      <c r="C1899" s="29">
        <f>ROUND(Balances[[#This Row],[Total]]*40%,0)</f>
        <v>0</v>
      </c>
      <c r="D1899" s="29">
        <f>ROUND(Balances[[#This Row],[Total]]*20%,0)</f>
        <v>0</v>
      </c>
      <c r="E1899" s="29">
        <f>ROUND(Balances[[#This Row],[Total]]*40%,0)</f>
        <v>0</v>
      </c>
      <c r="F1899" s="18">
        <f>SUM(Acueducto[[#This Row],[Acueducto]:[Aseo]])</f>
        <v>0</v>
      </c>
    </row>
    <row r="1900" spans="1:6" ht="15" x14ac:dyDescent="0.2">
      <c r="A1900" s="7">
        <v>510160</v>
      </c>
      <c r="B1900" s="3" t="s">
        <v>1244</v>
      </c>
      <c r="C1900" s="29">
        <f>ROUND(Balances[[#This Row],[Total]]*40%,0)</f>
        <v>0</v>
      </c>
      <c r="D1900" s="29">
        <f>ROUND(Balances[[#This Row],[Total]]*20%,0)</f>
        <v>0</v>
      </c>
      <c r="E1900" s="29">
        <f>ROUND(Balances[[#This Row],[Total]]*40%,0)</f>
        <v>0</v>
      </c>
      <c r="F1900" s="18">
        <f>SUM(Acueducto[[#This Row],[Acueducto]:[Aseo]])</f>
        <v>0</v>
      </c>
    </row>
    <row r="1901" spans="1:6" ht="15" x14ac:dyDescent="0.2">
      <c r="A1901" s="7">
        <v>510163</v>
      </c>
      <c r="B1901" s="3" t="s">
        <v>1245</v>
      </c>
      <c r="C1901" s="29">
        <f>ROUND(Balances[[#This Row],[Total]]*40%,0)</f>
        <v>0</v>
      </c>
      <c r="D1901" s="29">
        <f>ROUND(Balances[[#This Row],[Total]]*20%,0)</f>
        <v>0</v>
      </c>
      <c r="E1901" s="29">
        <f>ROUND(Balances[[#This Row],[Total]]*40%,0)</f>
        <v>0</v>
      </c>
      <c r="F1901" s="18">
        <f>SUM(Acueducto[[#This Row],[Acueducto]:[Aseo]])</f>
        <v>0</v>
      </c>
    </row>
    <row r="1902" spans="1:6" ht="15" x14ac:dyDescent="0.2">
      <c r="A1902" s="6">
        <v>5102</v>
      </c>
      <c r="B1902" s="2" t="s">
        <v>1246</v>
      </c>
      <c r="C1902" s="28">
        <f>ROUND(Balances[[#This Row],[Total]]*40%,0)</f>
        <v>0</v>
      </c>
      <c r="D1902" s="28">
        <f>ROUND(Balances[[#This Row],[Total]]*20%,0)</f>
        <v>0</v>
      </c>
      <c r="E1902" s="28">
        <f>ROUND(Balances[[#This Row],[Total]]*40%,0)</f>
        <v>0</v>
      </c>
      <c r="F1902" s="17">
        <f>SUM(Acueducto[[#This Row],[Acueducto]:[Aseo]])</f>
        <v>0</v>
      </c>
    </row>
    <row r="1903" spans="1:6" ht="15" x14ac:dyDescent="0.2">
      <c r="A1903" s="7">
        <v>510201</v>
      </c>
      <c r="B1903" s="3" t="s">
        <v>216</v>
      </c>
      <c r="C1903" s="29">
        <f>ROUND(Balances[[#This Row],[Total]]*40%,0)</f>
        <v>0</v>
      </c>
      <c r="D1903" s="29">
        <f>ROUND(Balances[[#This Row],[Total]]*20%,0)</f>
        <v>0</v>
      </c>
      <c r="E1903" s="29">
        <f>ROUND(Balances[[#This Row],[Total]]*40%,0)</f>
        <v>0</v>
      </c>
      <c r="F1903" s="18">
        <f>SUM(Acueducto[[#This Row],[Acueducto]:[Aseo]])</f>
        <v>0</v>
      </c>
    </row>
    <row r="1904" spans="1:6" ht="15" x14ac:dyDescent="0.2">
      <c r="A1904" s="7">
        <v>510202</v>
      </c>
      <c r="B1904" s="3" t="s">
        <v>1247</v>
      </c>
      <c r="C1904" s="29">
        <f>ROUND(Balances[[#This Row],[Total]]*40%,0)</f>
        <v>0</v>
      </c>
      <c r="D1904" s="29">
        <f>ROUND(Balances[[#This Row],[Total]]*20%,0)</f>
        <v>0</v>
      </c>
      <c r="E1904" s="29">
        <f>ROUND(Balances[[#This Row],[Total]]*40%,0)</f>
        <v>0</v>
      </c>
      <c r="F1904" s="18">
        <f>SUM(Acueducto[[#This Row],[Acueducto]:[Aseo]])</f>
        <v>0</v>
      </c>
    </row>
    <row r="1905" spans="1:6" ht="15" x14ac:dyDescent="0.2">
      <c r="A1905" s="7">
        <v>510203</v>
      </c>
      <c r="B1905" s="3" t="s">
        <v>243</v>
      </c>
      <c r="C1905" s="29">
        <f>ROUND(Balances[[#This Row],[Total]]*40%,0)</f>
        <v>0</v>
      </c>
      <c r="D1905" s="29">
        <f>ROUND(Balances[[#This Row],[Total]]*20%,0)</f>
        <v>0</v>
      </c>
      <c r="E1905" s="29">
        <f>ROUND(Balances[[#This Row],[Total]]*40%,0)</f>
        <v>0</v>
      </c>
      <c r="F1905" s="18">
        <f>SUM(Acueducto[[#This Row],[Acueducto]:[Aseo]])</f>
        <v>0</v>
      </c>
    </row>
    <row r="1906" spans="1:6" ht="15" x14ac:dyDescent="0.2">
      <c r="A1906" s="7">
        <v>510204</v>
      </c>
      <c r="B1906" s="3" t="s">
        <v>1248</v>
      </c>
      <c r="C1906" s="29">
        <f>ROUND(Balances[[#This Row],[Total]]*40%,0)</f>
        <v>0</v>
      </c>
      <c r="D1906" s="29">
        <f>ROUND(Balances[[#This Row],[Total]]*20%,0)</f>
        <v>0</v>
      </c>
      <c r="E1906" s="29">
        <f>ROUND(Balances[[#This Row],[Total]]*40%,0)</f>
        <v>0</v>
      </c>
      <c r="F1906" s="18">
        <f>SUM(Acueducto[[#This Row],[Acueducto]:[Aseo]])</f>
        <v>0</v>
      </c>
    </row>
    <row r="1907" spans="1:6" ht="15" x14ac:dyDescent="0.2">
      <c r="A1907" s="7">
        <v>510215</v>
      </c>
      <c r="B1907" s="3" t="s">
        <v>1249</v>
      </c>
      <c r="C1907" s="29">
        <f>ROUND(Balances[[#This Row],[Total]]*40%,0)</f>
        <v>0</v>
      </c>
      <c r="D1907" s="29">
        <f>ROUND(Balances[[#This Row],[Total]]*20%,0)</f>
        <v>0</v>
      </c>
      <c r="E1907" s="29">
        <f>ROUND(Balances[[#This Row],[Total]]*40%,0)</f>
        <v>0</v>
      </c>
      <c r="F1907" s="18">
        <f>SUM(Acueducto[[#This Row],[Acueducto]:[Aseo]])</f>
        <v>0</v>
      </c>
    </row>
    <row r="1908" spans="1:6" ht="15" x14ac:dyDescent="0.2">
      <c r="A1908" s="7">
        <v>510216</v>
      </c>
      <c r="B1908" s="3" t="s">
        <v>620</v>
      </c>
      <c r="C1908" s="29">
        <f>ROUND(Balances[[#This Row],[Total]]*40%,0)</f>
        <v>0</v>
      </c>
      <c r="D1908" s="29">
        <f>ROUND(Balances[[#This Row],[Total]]*20%,0)</f>
        <v>0</v>
      </c>
      <c r="E1908" s="29">
        <f>ROUND(Balances[[#This Row],[Total]]*40%,0)</f>
        <v>0</v>
      </c>
      <c r="F1908" s="18">
        <f>SUM(Acueducto[[#This Row],[Acueducto]:[Aseo]])</f>
        <v>0</v>
      </c>
    </row>
    <row r="1909" spans="1:6" ht="15" x14ac:dyDescent="0.2">
      <c r="A1909" s="7">
        <v>510217</v>
      </c>
      <c r="B1909" s="3" t="s">
        <v>894</v>
      </c>
      <c r="C1909" s="29">
        <f>ROUND(Balances[[#This Row],[Total]]*40%,0)</f>
        <v>0</v>
      </c>
      <c r="D1909" s="29">
        <f>ROUND(Balances[[#This Row],[Total]]*20%,0)</f>
        <v>0</v>
      </c>
      <c r="E1909" s="29">
        <f>ROUND(Balances[[#This Row],[Total]]*40%,0)</f>
        <v>0</v>
      </c>
      <c r="F1909" s="18">
        <f>SUM(Acueducto[[#This Row],[Acueducto]:[Aseo]])</f>
        <v>0</v>
      </c>
    </row>
    <row r="1910" spans="1:6" ht="15" x14ac:dyDescent="0.2">
      <c r="A1910" s="7">
        <v>510218</v>
      </c>
      <c r="B1910" s="3" t="s">
        <v>875</v>
      </c>
      <c r="C1910" s="29">
        <f>ROUND(Balances[[#This Row],[Total]]*40%,0)</f>
        <v>0</v>
      </c>
      <c r="D1910" s="29">
        <f>ROUND(Balances[[#This Row],[Total]]*20%,0)</f>
        <v>0</v>
      </c>
      <c r="E1910" s="29">
        <f>ROUND(Balances[[#This Row],[Total]]*40%,0)</f>
        <v>0</v>
      </c>
      <c r="F1910" s="18">
        <f>SUM(Acueducto[[#This Row],[Acueducto]:[Aseo]])</f>
        <v>0</v>
      </c>
    </row>
    <row r="1911" spans="1:6" ht="15" x14ac:dyDescent="0.2">
      <c r="A1911" s="7">
        <v>510290</v>
      </c>
      <c r="B1911" s="3" t="s">
        <v>1250</v>
      </c>
      <c r="C1911" s="29">
        <f>ROUND(Balances[[#This Row],[Total]]*40%,0)</f>
        <v>0</v>
      </c>
      <c r="D1911" s="29">
        <f>ROUND(Balances[[#This Row],[Total]]*20%,0)</f>
        <v>0</v>
      </c>
      <c r="E1911" s="29">
        <f>ROUND(Balances[[#This Row],[Total]]*40%,0)</f>
        <v>0</v>
      </c>
      <c r="F1911" s="18">
        <f>SUM(Acueducto[[#This Row],[Acueducto]:[Aseo]])</f>
        <v>0</v>
      </c>
    </row>
    <row r="1912" spans="1:6" s="36" customFormat="1" ht="15" x14ac:dyDescent="0.2">
      <c r="A1912" s="33">
        <v>5103</v>
      </c>
      <c r="B1912" s="34" t="s">
        <v>1251</v>
      </c>
      <c r="C1912" s="35">
        <f>ROUND(Balances[[#This Row],[Total]]*40%,0)</f>
        <v>2776195</v>
      </c>
      <c r="D1912" s="35">
        <f>ROUND(Balances[[#This Row],[Total]]*20%,0)</f>
        <v>1388098</v>
      </c>
      <c r="E1912" s="35">
        <f>ROUND(Balances[[#This Row],[Total]]*40%,0)</f>
        <v>2776195</v>
      </c>
      <c r="F1912" s="35">
        <f>SUM(Acueducto[[#This Row],[Acueducto]:[Aseo]])</f>
        <v>6940488</v>
      </c>
    </row>
    <row r="1913" spans="1:6" ht="15" x14ac:dyDescent="0.2">
      <c r="A1913" s="7">
        <v>510301</v>
      </c>
      <c r="B1913" s="3" t="s">
        <v>1252</v>
      </c>
      <c r="C1913" s="29">
        <f>ROUND(Balances[[#This Row],[Total]]*40%,0)</f>
        <v>0</v>
      </c>
      <c r="D1913" s="29">
        <f>ROUND(Balances[[#This Row],[Total]]*20%,0)</f>
        <v>0</v>
      </c>
      <c r="E1913" s="29">
        <f>ROUND(Balances[[#This Row],[Total]]*40%,0)</f>
        <v>0</v>
      </c>
      <c r="F1913" s="18">
        <f>SUM(Acueducto[[#This Row],[Acueducto]:[Aseo]])</f>
        <v>0</v>
      </c>
    </row>
    <row r="1914" spans="1:6" ht="15" x14ac:dyDescent="0.2">
      <c r="A1914" s="7">
        <v>510302</v>
      </c>
      <c r="B1914" s="3" t="s">
        <v>873</v>
      </c>
      <c r="C1914" s="29">
        <f>ROUND(Balances[[#This Row],[Total]]*40%,0)</f>
        <v>403680</v>
      </c>
      <c r="D1914" s="29">
        <f>ROUND(Balances[[#This Row],[Total]]*20%,0)</f>
        <v>201840</v>
      </c>
      <c r="E1914" s="29">
        <f>ROUND(Balances[[#This Row],[Total]]*40%,0)</f>
        <v>403680</v>
      </c>
      <c r="F1914" s="29">
        <f>SUM(Acueducto[[#This Row],[Acueducto]:[Aseo]])</f>
        <v>1009200</v>
      </c>
    </row>
    <row r="1915" spans="1:6" ht="15" x14ac:dyDescent="0.2">
      <c r="A1915" s="7">
        <v>510303</v>
      </c>
      <c r="B1915" s="3" t="s">
        <v>1253</v>
      </c>
      <c r="C1915" s="29">
        <f>ROUND(Balances[[#This Row],[Total]]*40%,0)</f>
        <v>857818</v>
      </c>
      <c r="D1915" s="29">
        <f>ROUND(Balances[[#This Row],[Total]]*20%,0)</f>
        <v>428909</v>
      </c>
      <c r="E1915" s="29">
        <f>ROUND(Balances[[#This Row],[Total]]*40%,0)</f>
        <v>857818</v>
      </c>
      <c r="F1915" s="29">
        <f>SUM(Acueducto[[#This Row],[Acueducto]:[Aseo]])</f>
        <v>2144545</v>
      </c>
    </row>
    <row r="1916" spans="1:6" ht="15" x14ac:dyDescent="0.2">
      <c r="A1916" s="7">
        <v>510304</v>
      </c>
      <c r="B1916" s="3" t="s">
        <v>1254</v>
      </c>
      <c r="C1916" s="29">
        <f>ROUND(Balances[[#This Row],[Total]]*40%,0)</f>
        <v>0</v>
      </c>
      <c r="D1916" s="29">
        <f>ROUND(Balances[[#This Row],[Total]]*20%,0)</f>
        <v>0</v>
      </c>
      <c r="E1916" s="29">
        <f>ROUND(Balances[[#This Row],[Total]]*40%,0)</f>
        <v>0</v>
      </c>
      <c r="F1916" s="18">
        <f>SUM(Acueducto[[#This Row],[Acueducto]:[Aseo]])</f>
        <v>0</v>
      </c>
    </row>
    <row r="1917" spans="1:6" ht="15" x14ac:dyDescent="0.2">
      <c r="A1917" s="7">
        <v>510305</v>
      </c>
      <c r="B1917" s="3" t="s">
        <v>1255</v>
      </c>
      <c r="C1917" s="29">
        <f>ROUND(Balances[[#This Row],[Total]]*40%,0)</f>
        <v>303600</v>
      </c>
      <c r="D1917" s="29">
        <f>ROUND(Balances[[#This Row],[Total]]*20%,0)</f>
        <v>151800</v>
      </c>
      <c r="E1917" s="29">
        <f>ROUND(Balances[[#This Row],[Total]]*40%,0)</f>
        <v>303600</v>
      </c>
      <c r="F1917" s="29">
        <f>SUM(Acueducto[[#This Row],[Acueducto]:[Aseo]])</f>
        <v>759000</v>
      </c>
    </row>
    <row r="1918" spans="1:6" ht="15" x14ac:dyDescent="0.2">
      <c r="A1918" s="7">
        <v>510306</v>
      </c>
      <c r="B1918" s="3" t="s">
        <v>1256</v>
      </c>
      <c r="C1918" s="29">
        <f>ROUND(Balances[[#This Row],[Total]]*40%,0)</f>
        <v>0</v>
      </c>
      <c r="D1918" s="29">
        <f>ROUND(Balances[[#This Row],[Total]]*20%,0)</f>
        <v>0</v>
      </c>
      <c r="E1918" s="29">
        <f>ROUND(Balances[[#This Row],[Total]]*40%,0)</f>
        <v>0</v>
      </c>
      <c r="F1918" s="18">
        <f>SUM(Acueducto[[#This Row],[Acueducto]:[Aseo]])</f>
        <v>0</v>
      </c>
    </row>
    <row r="1919" spans="1:6" ht="15" x14ac:dyDescent="0.2">
      <c r="A1919" s="7">
        <v>510307</v>
      </c>
      <c r="B1919" s="3" t="s">
        <v>1257</v>
      </c>
      <c r="C1919" s="29">
        <f>ROUND(Balances[[#This Row],[Total]]*40%,0)</f>
        <v>1211098</v>
      </c>
      <c r="D1919" s="29">
        <f>ROUND(Balances[[#This Row],[Total]]*20%,0)</f>
        <v>605549</v>
      </c>
      <c r="E1919" s="29">
        <f>ROUND(Balances[[#This Row],[Total]]*40%,0)</f>
        <v>1211098</v>
      </c>
      <c r="F1919" s="29">
        <f>SUM(Acueducto[[#This Row],[Acueducto]:[Aseo]])</f>
        <v>3027745</v>
      </c>
    </row>
    <row r="1920" spans="1:6" ht="15" x14ac:dyDescent="0.2">
      <c r="A1920" s="7">
        <v>510308</v>
      </c>
      <c r="B1920" s="3" t="s">
        <v>874</v>
      </c>
      <c r="C1920" s="29">
        <f>ROUND(Balances[[#This Row],[Total]]*40%,0)</f>
        <v>0</v>
      </c>
      <c r="D1920" s="29">
        <f>ROUND(Balances[[#This Row],[Total]]*20%,0)</f>
        <v>0</v>
      </c>
      <c r="E1920" s="29">
        <f>ROUND(Balances[[#This Row],[Total]]*40%,0)</f>
        <v>0</v>
      </c>
      <c r="F1920" s="18">
        <f>SUM(Acueducto[[#This Row],[Acueducto]:[Aseo]])</f>
        <v>0</v>
      </c>
    </row>
    <row r="1921" spans="1:6" ht="15" x14ac:dyDescent="0.2">
      <c r="A1921" s="7">
        <v>510390</v>
      </c>
      <c r="B1921" s="3" t="s">
        <v>1258</v>
      </c>
      <c r="C1921" s="29">
        <f>ROUND(Balances[[#This Row],[Total]]*40%,0)</f>
        <v>0</v>
      </c>
      <c r="D1921" s="29">
        <f>ROUND(Balances[[#This Row],[Total]]*20%,0)</f>
        <v>0</v>
      </c>
      <c r="E1921" s="29">
        <f>ROUND(Balances[[#This Row],[Total]]*40%,0)</f>
        <v>0</v>
      </c>
      <c r="F1921" s="18">
        <f>SUM(Acueducto[[#This Row],[Acueducto]:[Aseo]])</f>
        <v>0</v>
      </c>
    </row>
    <row r="1922" spans="1:6" s="36" customFormat="1" ht="15" x14ac:dyDescent="0.2">
      <c r="A1922" s="33">
        <v>5104</v>
      </c>
      <c r="B1922" s="34" t="s">
        <v>1259</v>
      </c>
      <c r="C1922" s="35">
        <f>ROUND(Balances[[#This Row],[Total]]*40%,0)</f>
        <v>504960</v>
      </c>
      <c r="D1922" s="35">
        <f>ROUND(Balances[[#This Row],[Total]]*20%,0)</f>
        <v>252480</v>
      </c>
      <c r="E1922" s="35">
        <f>ROUND(Balances[[#This Row],[Total]]*40%,0)</f>
        <v>504960</v>
      </c>
      <c r="F1922" s="35">
        <f>SUM(Acueducto[[#This Row],[Acueducto]:[Aseo]])</f>
        <v>1262400</v>
      </c>
    </row>
    <row r="1923" spans="1:6" ht="15" x14ac:dyDescent="0.2">
      <c r="A1923" s="7">
        <v>510401</v>
      </c>
      <c r="B1923" s="3" t="s">
        <v>1260</v>
      </c>
      <c r="C1923" s="29">
        <f>ROUND(Balances[[#This Row],[Total]]*40%,0)</f>
        <v>302880</v>
      </c>
      <c r="D1923" s="29">
        <f>ROUND(Balances[[#This Row],[Total]]*20%,0)</f>
        <v>151440</v>
      </c>
      <c r="E1923" s="29">
        <f>ROUND(Balances[[#This Row],[Total]]*40%,0)</f>
        <v>302880</v>
      </c>
      <c r="F1923" s="29">
        <f>SUM(Acueducto[[#This Row],[Acueducto]:[Aseo]])</f>
        <v>757200</v>
      </c>
    </row>
    <row r="1924" spans="1:6" ht="15" x14ac:dyDescent="0.2">
      <c r="A1924" s="7">
        <v>510402</v>
      </c>
      <c r="B1924" s="3" t="s">
        <v>1261</v>
      </c>
      <c r="C1924" s="29">
        <f>ROUND(Balances[[#This Row],[Total]]*40%,0)</f>
        <v>202080</v>
      </c>
      <c r="D1924" s="29">
        <f>ROUND(Balances[[#This Row],[Total]]*20%,0)</f>
        <v>101040</v>
      </c>
      <c r="E1924" s="29">
        <f>ROUND(Balances[[#This Row],[Total]]*40%,0)</f>
        <v>202080</v>
      </c>
      <c r="F1924" s="29">
        <f>SUM(Acueducto[[#This Row],[Acueducto]:[Aseo]])</f>
        <v>505200</v>
      </c>
    </row>
    <row r="1925" spans="1:6" ht="15" x14ac:dyDescent="0.2">
      <c r="A1925" s="7">
        <v>510403</v>
      </c>
      <c r="B1925" s="3" t="s">
        <v>1262</v>
      </c>
      <c r="C1925" s="29">
        <f>ROUND(Balances[[#This Row],[Total]]*40%,0)</f>
        <v>0</v>
      </c>
      <c r="D1925" s="29">
        <f>ROUND(Balances[[#This Row],[Total]]*20%,0)</f>
        <v>0</v>
      </c>
      <c r="E1925" s="29">
        <f>ROUND(Balances[[#This Row],[Total]]*40%,0)</f>
        <v>0</v>
      </c>
      <c r="F1925" s="29">
        <f>SUM(Acueducto[[#This Row],[Acueducto]:[Aseo]])</f>
        <v>0</v>
      </c>
    </row>
    <row r="1926" spans="1:6" ht="15" x14ac:dyDescent="0.2">
      <c r="A1926" s="7">
        <v>510404</v>
      </c>
      <c r="B1926" s="3" t="s">
        <v>1263</v>
      </c>
      <c r="C1926" s="29">
        <f>ROUND(Balances[[#This Row],[Total]]*40%,0)</f>
        <v>0</v>
      </c>
      <c r="D1926" s="29">
        <f>ROUND(Balances[[#This Row],[Total]]*20%,0)</f>
        <v>0</v>
      </c>
      <c r="E1926" s="29">
        <f>ROUND(Balances[[#This Row],[Total]]*40%,0)</f>
        <v>0</v>
      </c>
      <c r="F1926" s="29">
        <f>SUM(Acueducto[[#This Row],[Acueducto]:[Aseo]])</f>
        <v>0</v>
      </c>
    </row>
    <row r="1927" spans="1:6" s="36" customFormat="1" ht="15" x14ac:dyDescent="0.2">
      <c r="A1927" s="33">
        <v>5107</v>
      </c>
      <c r="B1927" s="34" t="s">
        <v>1264</v>
      </c>
      <c r="C1927" s="35">
        <f>ROUND(Balances[[#This Row],[Total]]*40%,0)</f>
        <v>2871256</v>
      </c>
      <c r="D1927" s="35">
        <f>ROUND(Balances[[#This Row],[Total]]*20%,0)</f>
        <v>1435628</v>
      </c>
      <c r="E1927" s="35">
        <f>ROUND(Balances[[#This Row],[Total]]*40%,0)</f>
        <v>2871256</v>
      </c>
      <c r="F1927" s="35">
        <f>SUM(Acueducto[[#This Row],[Acueducto]:[Aseo]])</f>
        <v>7178140</v>
      </c>
    </row>
    <row r="1928" spans="1:6" ht="15" x14ac:dyDescent="0.2">
      <c r="A1928" s="7">
        <v>510701</v>
      </c>
      <c r="B1928" s="3" t="s">
        <v>856</v>
      </c>
      <c r="C1928" s="29">
        <f>ROUND(Balances[[#This Row],[Total]]*40%,0)</f>
        <v>350367</v>
      </c>
      <c r="D1928" s="29">
        <f>ROUND(Balances[[#This Row],[Total]]*20%,0)</f>
        <v>175184</v>
      </c>
      <c r="E1928" s="29">
        <f>ROUND(Balances[[#This Row],[Total]]*40%,0)</f>
        <v>350367</v>
      </c>
      <c r="F1928" s="29">
        <f>SUM(Acueducto[[#This Row],[Acueducto]:[Aseo]])</f>
        <v>875918</v>
      </c>
    </row>
    <row r="1929" spans="1:6" ht="15" x14ac:dyDescent="0.2">
      <c r="A1929" s="7">
        <v>510702</v>
      </c>
      <c r="B1929" s="3" t="s">
        <v>854</v>
      </c>
      <c r="C1929" s="29">
        <f>ROUND(Balances[[#This Row],[Total]]*40%,0)</f>
        <v>897124</v>
      </c>
      <c r="D1929" s="29">
        <f>ROUND(Balances[[#This Row],[Total]]*20%,0)</f>
        <v>448562</v>
      </c>
      <c r="E1929" s="29">
        <f>ROUND(Balances[[#This Row],[Total]]*40%,0)</f>
        <v>897124</v>
      </c>
      <c r="F1929" s="29">
        <f>SUM(Acueducto[[#This Row],[Acueducto]:[Aseo]])</f>
        <v>2242810</v>
      </c>
    </row>
    <row r="1930" spans="1:6" ht="15" x14ac:dyDescent="0.2">
      <c r="A1930" s="7">
        <v>510703</v>
      </c>
      <c r="B1930" s="3" t="s">
        <v>1265</v>
      </c>
      <c r="C1930" s="29">
        <f>ROUND(Balances[[#This Row],[Total]]*40%,0)</f>
        <v>107655</v>
      </c>
      <c r="D1930" s="29">
        <f>ROUND(Balances[[#This Row],[Total]]*20%,0)</f>
        <v>53827</v>
      </c>
      <c r="E1930" s="29">
        <f>ROUND(Balances[[#This Row],[Total]]*40%,0)</f>
        <v>107655</v>
      </c>
      <c r="F1930" s="18">
        <f>SUM(Acueducto[[#This Row],[Acueducto]:[Aseo]])</f>
        <v>269137</v>
      </c>
    </row>
    <row r="1931" spans="1:6" ht="15" x14ac:dyDescent="0.2">
      <c r="A1931" s="7">
        <v>510704</v>
      </c>
      <c r="B1931" s="3" t="s">
        <v>857</v>
      </c>
      <c r="C1931" s="29">
        <f>ROUND(Balances[[#This Row],[Total]]*40%,0)</f>
        <v>0</v>
      </c>
      <c r="D1931" s="29">
        <f>ROUND(Balances[[#This Row],[Total]]*20%,0)</f>
        <v>0</v>
      </c>
      <c r="E1931" s="29">
        <f>ROUND(Balances[[#This Row],[Total]]*40%,0)</f>
        <v>0</v>
      </c>
      <c r="F1931" s="18">
        <f>SUM(Acueducto[[#This Row],[Acueducto]:[Aseo]])</f>
        <v>0</v>
      </c>
    </row>
    <row r="1932" spans="1:6" ht="15" x14ac:dyDescent="0.2">
      <c r="A1932" s="7">
        <v>510705</v>
      </c>
      <c r="B1932" s="3" t="s">
        <v>859</v>
      </c>
      <c r="C1932" s="29">
        <f>ROUND(Balances[[#This Row],[Total]]*40%,0)</f>
        <v>840882</v>
      </c>
      <c r="D1932" s="29">
        <f>ROUND(Balances[[#This Row],[Total]]*20%,0)</f>
        <v>420441</v>
      </c>
      <c r="E1932" s="29">
        <f>ROUND(Balances[[#This Row],[Total]]*40%,0)</f>
        <v>840882</v>
      </c>
      <c r="F1932" s="18">
        <f>SUM(Acueducto[[#This Row],[Acueducto]:[Aseo]])</f>
        <v>2102205</v>
      </c>
    </row>
    <row r="1933" spans="1:6" ht="15" x14ac:dyDescent="0.2">
      <c r="A1933" s="7">
        <v>510706</v>
      </c>
      <c r="B1933" s="3" t="s">
        <v>858</v>
      </c>
      <c r="C1933" s="29">
        <f>ROUND(Balances[[#This Row],[Total]]*40%,0)</f>
        <v>448562</v>
      </c>
      <c r="D1933" s="29">
        <f>ROUND(Balances[[#This Row],[Total]]*20%,0)</f>
        <v>224281</v>
      </c>
      <c r="E1933" s="29">
        <f>ROUND(Balances[[#This Row],[Total]]*40%,0)</f>
        <v>448562</v>
      </c>
      <c r="F1933" s="18">
        <f>SUM(Acueducto[[#This Row],[Acueducto]:[Aseo]])</f>
        <v>1121405</v>
      </c>
    </row>
    <row r="1934" spans="1:6" ht="15" x14ac:dyDescent="0.2">
      <c r="A1934" s="7">
        <v>510708</v>
      </c>
      <c r="B1934" s="3" t="s">
        <v>879</v>
      </c>
      <c r="C1934" s="29">
        <f>ROUND(Balances[[#This Row],[Total]]*40%,0)</f>
        <v>0</v>
      </c>
      <c r="D1934" s="29">
        <f>ROUND(Balances[[#This Row],[Total]]*20%,0)</f>
        <v>0</v>
      </c>
      <c r="E1934" s="29">
        <f>ROUND(Balances[[#This Row],[Total]]*40%,0)</f>
        <v>0</v>
      </c>
      <c r="F1934" s="18">
        <f>SUM(Acueducto[[#This Row],[Acueducto]:[Aseo]])</f>
        <v>0</v>
      </c>
    </row>
    <row r="1935" spans="1:6" ht="15" x14ac:dyDescent="0.2">
      <c r="A1935" s="7">
        <v>510790</v>
      </c>
      <c r="B1935" s="3" t="s">
        <v>861</v>
      </c>
      <c r="C1935" s="29">
        <f>ROUND(Balances[[#This Row],[Total]]*40%,0)</f>
        <v>0</v>
      </c>
      <c r="D1935" s="29">
        <f>ROUND(Balances[[#This Row],[Total]]*20%,0)</f>
        <v>0</v>
      </c>
      <c r="E1935" s="29">
        <f>ROUND(Balances[[#This Row],[Total]]*40%,0)</f>
        <v>0</v>
      </c>
      <c r="F1935" s="18">
        <f>SUM(Acueducto[[#This Row],[Acueducto]:[Aseo]])</f>
        <v>0</v>
      </c>
    </row>
    <row r="1936" spans="1:6" ht="15" x14ac:dyDescent="0.2">
      <c r="A1936" s="7">
        <v>510795</v>
      </c>
      <c r="B1936" s="3" t="s">
        <v>1266</v>
      </c>
      <c r="C1936" s="29">
        <f>ROUND(Balances[[#This Row],[Total]]*40%,0)</f>
        <v>226666</v>
      </c>
      <c r="D1936" s="29">
        <f>ROUND(Balances[[#This Row],[Total]]*20%,0)</f>
        <v>113333</v>
      </c>
      <c r="E1936" s="29">
        <f>ROUND(Balances[[#This Row],[Total]]*40%,0)</f>
        <v>226666</v>
      </c>
      <c r="F1936" s="18">
        <f>SUM(Acueducto[[#This Row],[Acueducto]:[Aseo]])</f>
        <v>566665</v>
      </c>
    </row>
    <row r="1937" spans="1:6" s="36" customFormat="1" ht="15" x14ac:dyDescent="0.2">
      <c r="A1937" s="33">
        <v>5108</v>
      </c>
      <c r="B1937" s="34" t="s">
        <v>1267</v>
      </c>
      <c r="C1937" s="35">
        <f>ROUND(Balances[[#This Row],[Total]]*40%,0)</f>
        <v>2932000</v>
      </c>
      <c r="D1937" s="35">
        <f>ROUND(Balances[[#This Row],[Total]]*20%,0)</f>
        <v>1466000</v>
      </c>
      <c r="E1937" s="35">
        <f>ROUND(Balances[[#This Row],[Total]]*40%,0)</f>
        <v>2932000</v>
      </c>
      <c r="F1937" s="35">
        <f>SUM(Acueducto[[#This Row],[Acueducto]:[Aseo]])</f>
        <v>7330000</v>
      </c>
    </row>
    <row r="1938" spans="1:6" ht="15" x14ac:dyDescent="0.2">
      <c r="A1938" s="7">
        <v>510801</v>
      </c>
      <c r="B1938" s="3" t="s">
        <v>864</v>
      </c>
      <c r="C1938" s="29">
        <f>ROUND(Balances[[#This Row],[Total]]*40%,0)</f>
        <v>0</v>
      </c>
      <c r="D1938" s="29">
        <f>ROUND(Balances[[#This Row],[Total]]*20%,0)</f>
        <v>0</v>
      </c>
      <c r="E1938" s="29">
        <f>ROUND(Balances[[#This Row],[Total]]*40%,0)</f>
        <v>0</v>
      </c>
      <c r="F1938" s="18">
        <f>SUM(Acueducto[[#This Row],[Acueducto]:[Aseo]])</f>
        <v>0</v>
      </c>
    </row>
    <row r="1939" spans="1:6" ht="15" x14ac:dyDescent="0.2">
      <c r="A1939" s="7">
        <v>510802</v>
      </c>
      <c r="B1939" s="3" t="s">
        <v>242</v>
      </c>
      <c r="C1939" s="29">
        <f>ROUND(Balances[[#This Row],[Total]]*40%,0)</f>
        <v>0</v>
      </c>
      <c r="D1939" s="29">
        <f>ROUND(Balances[[#This Row],[Total]]*20%,0)</f>
        <v>0</v>
      </c>
      <c r="E1939" s="29">
        <f>ROUND(Balances[[#This Row],[Total]]*40%,0)</f>
        <v>0</v>
      </c>
      <c r="F1939" s="18">
        <f>SUM(Acueducto[[#This Row],[Acueducto]:[Aseo]])</f>
        <v>0</v>
      </c>
    </row>
    <row r="1940" spans="1:6" ht="15" x14ac:dyDescent="0.2">
      <c r="A1940" s="7">
        <v>510803</v>
      </c>
      <c r="B1940" s="3" t="s">
        <v>865</v>
      </c>
      <c r="C1940" s="29">
        <f>ROUND(Balances[[#This Row],[Total]]*40%,0)</f>
        <v>0</v>
      </c>
      <c r="D1940" s="29">
        <f>ROUND(Balances[[#This Row],[Total]]*20%,0)</f>
        <v>0</v>
      </c>
      <c r="E1940" s="29">
        <f>ROUND(Balances[[#This Row],[Total]]*40%,0)</f>
        <v>0</v>
      </c>
      <c r="F1940" s="18">
        <f>SUM(Acueducto[[#This Row],[Acueducto]:[Aseo]])</f>
        <v>0</v>
      </c>
    </row>
    <row r="1941" spans="1:6" ht="15" x14ac:dyDescent="0.2">
      <c r="A1941" s="7">
        <v>510804</v>
      </c>
      <c r="B1941" s="3" t="s">
        <v>866</v>
      </c>
      <c r="C1941" s="29">
        <f>ROUND(Balances[[#This Row],[Total]]*40%,0)</f>
        <v>0</v>
      </c>
      <c r="D1941" s="29">
        <f>ROUND(Balances[[#This Row],[Total]]*20%,0)</f>
        <v>0</v>
      </c>
      <c r="E1941" s="29">
        <f>ROUND(Balances[[#This Row],[Total]]*40%,0)</f>
        <v>0</v>
      </c>
      <c r="F1941" s="18">
        <f>SUM(Acueducto[[#This Row],[Acueducto]:[Aseo]])</f>
        <v>0</v>
      </c>
    </row>
    <row r="1942" spans="1:6" ht="15" x14ac:dyDescent="0.2">
      <c r="A1942" s="7">
        <v>510805</v>
      </c>
      <c r="B1942" s="3" t="s">
        <v>867</v>
      </c>
      <c r="C1942" s="29">
        <f>ROUND(Balances[[#This Row],[Total]]*40%,0)</f>
        <v>0</v>
      </c>
      <c r="D1942" s="29">
        <f>ROUND(Balances[[#This Row],[Total]]*20%,0)</f>
        <v>0</v>
      </c>
      <c r="E1942" s="29">
        <f>ROUND(Balances[[#This Row],[Total]]*40%,0)</f>
        <v>0</v>
      </c>
      <c r="F1942" s="18">
        <f>SUM(Acueducto[[#This Row],[Acueducto]:[Aseo]])</f>
        <v>0</v>
      </c>
    </row>
    <row r="1943" spans="1:6" ht="15" x14ac:dyDescent="0.2">
      <c r="A1943" s="7">
        <v>510806</v>
      </c>
      <c r="B1943" s="3" t="s">
        <v>868</v>
      </c>
      <c r="C1943" s="29">
        <f>ROUND(Balances[[#This Row],[Total]]*40%,0)</f>
        <v>0</v>
      </c>
      <c r="D1943" s="29">
        <f>ROUND(Balances[[#This Row],[Total]]*20%,0)</f>
        <v>0</v>
      </c>
      <c r="E1943" s="29">
        <f>ROUND(Balances[[#This Row],[Total]]*40%,0)</f>
        <v>0</v>
      </c>
      <c r="F1943" s="18">
        <f>SUM(Acueducto[[#This Row],[Acueducto]:[Aseo]])</f>
        <v>0</v>
      </c>
    </row>
    <row r="1944" spans="1:6" ht="15" x14ac:dyDescent="0.2">
      <c r="A1944" s="7">
        <v>510807</v>
      </c>
      <c r="B1944" s="3" t="s">
        <v>869</v>
      </c>
      <c r="C1944" s="29">
        <f>ROUND(Balances[[#This Row],[Total]]*40%,0)</f>
        <v>0</v>
      </c>
      <c r="D1944" s="29">
        <f>ROUND(Balances[[#This Row],[Total]]*20%,0)</f>
        <v>0</v>
      </c>
      <c r="E1944" s="29">
        <f>ROUND(Balances[[#This Row],[Total]]*40%,0)</f>
        <v>0</v>
      </c>
      <c r="F1944" s="18">
        <f>SUM(Acueducto[[#This Row],[Acueducto]:[Aseo]])</f>
        <v>0</v>
      </c>
    </row>
    <row r="1945" spans="1:6" ht="15" x14ac:dyDescent="0.2">
      <c r="A1945" s="7">
        <v>510808</v>
      </c>
      <c r="B1945" s="3" t="s">
        <v>870</v>
      </c>
      <c r="C1945" s="29">
        <f>ROUND(Balances[[#This Row],[Total]]*40%,0)</f>
        <v>0</v>
      </c>
      <c r="D1945" s="29">
        <f>ROUND(Balances[[#This Row],[Total]]*20%,0)</f>
        <v>0</v>
      </c>
      <c r="E1945" s="29">
        <f>ROUND(Balances[[#This Row],[Total]]*40%,0)</f>
        <v>0</v>
      </c>
      <c r="F1945" s="18">
        <f>SUM(Acueducto[[#This Row],[Acueducto]:[Aseo]])</f>
        <v>0</v>
      </c>
    </row>
    <row r="1946" spans="1:6" ht="15" x14ac:dyDescent="0.2">
      <c r="A1946" s="7">
        <v>510810</v>
      </c>
      <c r="B1946" s="3" t="s">
        <v>1268</v>
      </c>
      <c r="C1946" s="29">
        <f>ROUND(Balances[[#This Row],[Total]]*40%,0)</f>
        <v>0</v>
      </c>
      <c r="D1946" s="29">
        <f>ROUND(Balances[[#This Row],[Total]]*20%,0)</f>
        <v>0</v>
      </c>
      <c r="E1946" s="29">
        <f>ROUND(Balances[[#This Row],[Total]]*40%,0)</f>
        <v>0</v>
      </c>
      <c r="F1946" s="29">
        <f>SUM(Acueducto[[#This Row],[Acueducto]:[Aseo]])</f>
        <v>0</v>
      </c>
    </row>
    <row r="1947" spans="1:6" ht="15" x14ac:dyDescent="0.2">
      <c r="A1947" s="7">
        <v>510811</v>
      </c>
      <c r="B1947" s="3" t="s">
        <v>1269</v>
      </c>
      <c r="C1947" s="29">
        <f>ROUND(Balances[[#This Row],[Total]]*40%,0)</f>
        <v>0</v>
      </c>
      <c r="D1947" s="29">
        <f>ROUND(Balances[[#This Row],[Total]]*20%,0)</f>
        <v>0</v>
      </c>
      <c r="E1947" s="29">
        <f>ROUND(Balances[[#This Row],[Total]]*40%,0)</f>
        <v>0</v>
      </c>
      <c r="F1947" s="18">
        <f>SUM(Acueducto[[#This Row],[Acueducto]:[Aseo]])</f>
        <v>0</v>
      </c>
    </row>
    <row r="1948" spans="1:6" ht="15" x14ac:dyDescent="0.2">
      <c r="A1948" s="7">
        <v>510812</v>
      </c>
      <c r="B1948" s="3" t="s">
        <v>1216</v>
      </c>
      <c r="C1948" s="29">
        <f>ROUND(Balances[[#This Row],[Total]]*40%,0)</f>
        <v>0</v>
      </c>
      <c r="D1948" s="29">
        <f>ROUND(Balances[[#This Row],[Total]]*20%,0)</f>
        <v>0</v>
      </c>
      <c r="E1948" s="29">
        <f>ROUND(Balances[[#This Row],[Total]]*40%,0)</f>
        <v>0</v>
      </c>
      <c r="F1948" s="18">
        <f>SUM(Acueducto[[#This Row],[Acueducto]:[Aseo]])</f>
        <v>0</v>
      </c>
    </row>
    <row r="1949" spans="1:6" ht="15" x14ac:dyDescent="0.2">
      <c r="A1949" s="7">
        <v>510813</v>
      </c>
      <c r="B1949" s="3" t="s">
        <v>1270</v>
      </c>
      <c r="C1949" s="29">
        <f>ROUND(Balances[[#This Row],[Total]]*40%,0)</f>
        <v>0</v>
      </c>
      <c r="D1949" s="29">
        <f>ROUND(Balances[[#This Row],[Total]]*20%,0)</f>
        <v>0</v>
      </c>
      <c r="E1949" s="29">
        <f>ROUND(Balances[[#This Row],[Total]]*40%,0)</f>
        <v>0</v>
      </c>
      <c r="F1949" s="18">
        <f>SUM(Acueducto[[#This Row],[Acueducto]:[Aseo]])</f>
        <v>0</v>
      </c>
    </row>
    <row r="1950" spans="1:6" ht="15" x14ac:dyDescent="0.2">
      <c r="A1950" s="7">
        <v>510890</v>
      </c>
      <c r="B1950" s="3" t="s">
        <v>1271</v>
      </c>
      <c r="C1950" s="29">
        <f>ROUND(Balances[[#This Row],[Total]]*40%,0)</f>
        <v>2932000</v>
      </c>
      <c r="D1950" s="29">
        <f>ROUND(Balances[[#This Row],[Total]]*20%,0)</f>
        <v>1466000</v>
      </c>
      <c r="E1950" s="29">
        <f>ROUND(Balances[[#This Row],[Total]]*40%,0)</f>
        <v>2932000</v>
      </c>
      <c r="F1950" s="18">
        <f>SUM(Acueducto[[#This Row],[Acueducto]:[Aseo]])</f>
        <v>7330000</v>
      </c>
    </row>
    <row r="1951" spans="1:6" ht="15" x14ac:dyDescent="0.2">
      <c r="A1951" s="6">
        <v>5111</v>
      </c>
      <c r="B1951" s="2" t="s">
        <v>1272</v>
      </c>
      <c r="C1951" s="28">
        <f>ROUND(Balances[[#This Row],[Total]]*40%,0)</f>
        <v>11566762</v>
      </c>
      <c r="D1951" s="28">
        <f>ROUND(Balances[[#This Row],[Total]]*20%,0)</f>
        <v>5783381</v>
      </c>
      <c r="E1951" s="28">
        <f>ROUND(Balances[[#This Row],[Total]]*40%,0)</f>
        <v>11566762</v>
      </c>
      <c r="F1951" s="28">
        <f>SUM(Acueducto[[#This Row],[Acueducto]:[Aseo]])</f>
        <v>28916905</v>
      </c>
    </row>
    <row r="1952" spans="1:6" ht="15" x14ac:dyDescent="0.2">
      <c r="A1952" s="7">
        <v>511101</v>
      </c>
      <c r="B1952" s="3" t="s">
        <v>1273</v>
      </c>
      <c r="C1952" s="29">
        <f>ROUND(Balances[[#This Row],[Total]]*40%,0)</f>
        <v>0</v>
      </c>
      <c r="D1952" s="29">
        <f>ROUND(Balances[[#This Row],[Total]]*20%,0)</f>
        <v>0</v>
      </c>
      <c r="E1952" s="29">
        <f>ROUND(Balances[[#This Row],[Total]]*40%,0)</f>
        <v>0</v>
      </c>
      <c r="F1952" s="18">
        <f>SUM(Acueducto[[#This Row],[Acueducto]:[Aseo]])</f>
        <v>0</v>
      </c>
    </row>
    <row r="1953" spans="1:6" ht="15" x14ac:dyDescent="0.2">
      <c r="A1953" s="7">
        <v>511102</v>
      </c>
      <c r="B1953" s="3" t="s">
        <v>1274</v>
      </c>
      <c r="C1953" s="29">
        <f>ROUND(Balances[[#This Row],[Total]]*40%,0)</f>
        <v>0</v>
      </c>
      <c r="D1953" s="29">
        <f>ROUND(Balances[[#This Row],[Total]]*20%,0)</f>
        <v>0</v>
      </c>
      <c r="E1953" s="29">
        <f>ROUND(Balances[[#This Row],[Total]]*40%,0)</f>
        <v>0</v>
      </c>
      <c r="F1953" s="18">
        <f>SUM(Acueducto[[#This Row],[Acueducto]:[Aseo]])</f>
        <v>0</v>
      </c>
    </row>
    <row r="1954" spans="1:6" ht="15" x14ac:dyDescent="0.2">
      <c r="A1954" s="7">
        <v>511103</v>
      </c>
      <c r="B1954" s="3" t="s">
        <v>1275</v>
      </c>
      <c r="C1954" s="29">
        <f>ROUND(Balances[[#This Row],[Total]]*40%,0)</f>
        <v>0</v>
      </c>
      <c r="D1954" s="29">
        <f>ROUND(Balances[[#This Row],[Total]]*20%,0)</f>
        <v>0</v>
      </c>
      <c r="E1954" s="29">
        <f>ROUND(Balances[[#This Row],[Total]]*40%,0)</f>
        <v>0</v>
      </c>
      <c r="F1954" s="18">
        <f>SUM(Acueducto[[#This Row],[Acueducto]:[Aseo]])</f>
        <v>0</v>
      </c>
    </row>
    <row r="1955" spans="1:6" ht="15" x14ac:dyDescent="0.2">
      <c r="A1955" s="7">
        <v>511104</v>
      </c>
      <c r="B1955" s="3" t="s">
        <v>1276</v>
      </c>
      <c r="C1955" s="29">
        <f>ROUND(Balances[[#This Row],[Total]]*40%,0)</f>
        <v>0</v>
      </c>
      <c r="D1955" s="29">
        <f>ROUND(Balances[[#This Row],[Total]]*20%,0)</f>
        <v>0</v>
      </c>
      <c r="E1955" s="29">
        <f>ROUND(Balances[[#This Row],[Total]]*40%,0)</f>
        <v>0</v>
      </c>
      <c r="F1955" s="18">
        <f>SUM(Acueducto[[#This Row],[Acueducto]:[Aseo]])</f>
        <v>0</v>
      </c>
    </row>
    <row r="1956" spans="1:6" ht="15" x14ac:dyDescent="0.2">
      <c r="A1956" s="7">
        <v>511105</v>
      </c>
      <c r="B1956" s="3" t="s">
        <v>1277</v>
      </c>
      <c r="C1956" s="29">
        <f>ROUND(Balances[[#This Row],[Total]]*40%,0)</f>
        <v>0</v>
      </c>
      <c r="D1956" s="29">
        <f>ROUND(Balances[[#This Row],[Total]]*20%,0)</f>
        <v>0</v>
      </c>
      <c r="E1956" s="29">
        <f>ROUND(Balances[[#This Row],[Total]]*40%,0)</f>
        <v>0</v>
      </c>
      <c r="F1956" s="18">
        <f>SUM(Acueducto[[#This Row],[Acueducto]:[Aseo]])</f>
        <v>0</v>
      </c>
    </row>
    <row r="1957" spans="1:6" ht="15" x14ac:dyDescent="0.2">
      <c r="A1957" s="7">
        <v>511106</v>
      </c>
      <c r="B1957" s="3" t="s">
        <v>570</v>
      </c>
      <c r="C1957" s="29">
        <f>ROUND(Balances[[#This Row],[Total]]*40%,0)</f>
        <v>0</v>
      </c>
      <c r="D1957" s="29">
        <f>ROUND(Balances[[#This Row],[Total]]*20%,0)</f>
        <v>0</v>
      </c>
      <c r="E1957" s="29">
        <f>ROUND(Balances[[#This Row],[Total]]*40%,0)</f>
        <v>0</v>
      </c>
      <c r="F1957" s="18">
        <f>SUM(Acueducto[[#This Row],[Acueducto]:[Aseo]])</f>
        <v>0</v>
      </c>
    </row>
    <row r="1958" spans="1:6" ht="15" x14ac:dyDescent="0.2">
      <c r="A1958" s="7">
        <v>511109</v>
      </c>
      <c r="B1958" s="3" t="s">
        <v>1278</v>
      </c>
      <c r="C1958" s="29">
        <f>ROUND(Balances[[#This Row],[Total]]*40%,0)</f>
        <v>0</v>
      </c>
      <c r="D1958" s="29">
        <f>ROUND(Balances[[#This Row],[Total]]*20%,0)</f>
        <v>0</v>
      </c>
      <c r="E1958" s="29">
        <f>ROUND(Balances[[#This Row],[Total]]*40%,0)</f>
        <v>0</v>
      </c>
      <c r="F1958" s="18">
        <f>SUM(Acueducto[[#This Row],[Acueducto]:[Aseo]])</f>
        <v>0</v>
      </c>
    </row>
    <row r="1959" spans="1:6" ht="15" x14ac:dyDescent="0.2">
      <c r="A1959" s="7">
        <v>511110</v>
      </c>
      <c r="B1959" s="3" t="s">
        <v>1279</v>
      </c>
      <c r="C1959" s="29">
        <f>ROUND(Balances[[#This Row],[Total]]*40%,0)</f>
        <v>0</v>
      </c>
      <c r="D1959" s="29">
        <f>ROUND(Balances[[#This Row],[Total]]*20%,0)</f>
        <v>0</v>
      </c>
      <c r="E1959" s="29">
        <f>ROUND(Balances[[#This Row],[Total]]*40%,0)</f>
        <v>0</v>
      </c>
      <c r="F1959" s="18">
        <f>SUM(Acueducto[[#This Row],[Acueducto]:[Aseo]])</f>
        <v>0</v>
      </c>
    </row>
    <row r="1960" spans="1:6" ht="15" x14ac:dyDescent="0.2">
      <c r="A1960" s="7">
        <v>511112</v>
      </c>
      <c r="B1960" s="3" t="s">
        <v>1280</v>
      </c>
      <c r="C1960" s="29">
        <f>ROUND(Balances[[#This Row],[Total]]*40%,0)</f>
        <v>0</v>
      </c>
      <c r="D1960" s="29">
        <f>ROUND(Balances[[#This Row],[Total]]*20%,0)</f>
        <v>0</v>
      </c>
      <c r="E1960" s="29">
        <f>ROUND(Balances[[#This Row],[Total]]*40%,0)</f>
        <v>0</v>
      </c>
      <c r="F1960" s="18">
        <f>SUM(Acueducto[[#This Row],[Acueducto]:[Aseo]])</f>
        <v>0</v>
      </c>
    </row>
    <row r="1961" spans="1:6" ht="15" x14ac:dyDescent="0.2">
      <c r="A1961" s="7">
        <v>511113</v>
      </c>
      <c r="B1961" s="3" t="s">
        <v>1281</v>
      </c>
      <c r="C1961" s="29">
        <f>ROUND(Balances[[#This Row],[Total]]*40%,0)</f>
        <v>0</v>
      </c>
      <c r="D1961" s="29">
        <f>ROUND(Balances[[#This Row],[Total]]*20%,0)</f>
        <v>0</v>
      </c>
      <c r="E1961" s="29">
        <f>ROUND(Balances[[#This Row],[Total]]*40%,0)</f>
        <v>0</v>
      </c>
      <c r="F1961" s="18">
        <f>SUM(Acueducto[[#This Row],[Acueducto]:[Aseo]])</f>
        <v>0</v>
      </c>
    </row>
    <row r="1962" spans="1:6" ht="15" x14ac:dyDescent="0.2">
      <c r="A1962" s="7">
        <v>511114</v>
      </c>
      <c r="B1962" s="3" t="s">
        <v>365</v>
      </c>
      <c r="C1962" s="29">
        <f>ROUND(Balances[[#This Row],[Total]]*40%,0)</f>
        <v>0</v>
      </c>
      <c r="D1962" s="29">
        <f>ROUND(Balances[[#This Row],[Total]]*20%,0)</f>
        <v>0</v>
      </c>
      <c r="E1962" s="29">
        <f>ROUND(Balances[[#This Row],[Total]]*40%,0)</f>
        <v>0</v>
      </c>
      <c r="F1962" s="29">
        <f>SUM(Acueducto[[#This Row],[Acueducto]:[Aseo]])</f>
        <v>0</v>
      </c>
    </row>
    <row r="1963" spans="1:6" ht="15" x14ac:dyDescent="0.2">
      <c r="A1963" s="7">
        <v>511115</v>
      </c>
      <c r="B1963" s="3" t="s">
        <v>565</v>
      </c>
      <c r="C1963" s="29">
        <f>ROUND(Balances[[#This Row],[Total]]*40%,0)</f>
        <v>0</v>
      </c>
      <c r="D1963" s="29">
        <f>ROUND(Balances[[#This Row],[Total]]*20%,0)</f>
        <v>0</v>
      </c>
      <c r="E1963" s="29">
        <f>ROUND(Balances[[#This Row],[Total]]*40%,0)</f>
        <v>0</v>
      </c>
      <c r="F1963" s="29">
        <f>SUM(Acueducto[[#This Row],[Acueducto]:[Aseo]])</f>
        <v>0</v>
      </c>
    </row>
    <row r="1964" spans="1:6" ht="15" x14ac:dyDescent="0.2">
      <c r="A1964" s="7">
        <v>511116</v>
      </c>
      <c r="B1964" s="3" t="s">
        <v>1282</v>
      </c>
      <c r="C1964" s="29">
        <f>ROUND(Balances[[#This Row],[Total]]*40%,0)</f>
        <v>0</v>
      </c>
      <c r="D1964" s="29">
        <f>ROUND(Balances[[#This Row],[Total]]*20%,0)</f>
        <v>0</v>
      </c>
      <c r="E1964" s="29">
        <f>ROUND(Balances[[#This Row],[Total]]*40%,0)</f>
        <v>0</v>
      </c>
      <c r="F1964" s="18">
        <f>SUM(Acueducto[[#This Row],[Acueducto]:[Aseo]])</f>
        <v>0</v>
      </c>
    </row>
    <row r="1965" spans="1:6" ht="15" x14ac:dyDescent="0.2">
      <c r="A1965" s="7">
        <v>511117</v>
      </c>
      <c r="B1965" s="3" t="s">
        <v>838</v>
      </c>
      <c r="C1965" s="29">
        <f>ROUND(Balances[[#This Row],[Total]]*40%,0)</f>
        <v>1410028</v>
      </c>
      <c r="D1965" s="29">
        <f>ROUND(Balances[[#This Row],[Total]]*20%,0)</f>
        <v>705014</v>
      </c>
      <c r="E1965" s="29">
        <f>ROUND(Balances[[#This Row],[Total]]*40%,0)</f>
        <v>1410028</v>
      </c>
      <c r="F1965" s="29">
        <f>SUM(Acueducto[[#This Row],[Acueducto]:[Aseo]])</f>
        <v>3525070</v>
      </c>
    </row>
    <row r="1966" spans="1:6" ht="15" x14ac:dyDescent="0.2">
      <c r="A1966" s="7">
        <v>511118</v>
      </c>
      <c r="B1966" s="3" t="s">
        <v>256</v>
      </c>
      <c r="C1966" s="29">
        <f>ROUND(Balances[[#This Row],[Total]]*40%,0)</f>
        <v>0</v>
      </c>
      <c r="D1966" s="29">
        <f>ROUND(Balances[[#This Row],[Total]]*20%,0)</f>
        <v>0</v>
      </c>
      <c r="E1966" s="29">
        <f>ROUND(Balances[[#This Row],[Total]]*40%,0)</f>
        <v>0</v>
      </c>
      <c r="F1966" s="29">
        <f>SUM(Acueducto[[#This Row],[Acueducto]:[Aseo]])</f>
        <v>0</v>
      </c>
    </row>
    <row r="1967" spans="1:6" ht="15" x14ac:dyDescent="0.2">
      <c r="A1967" s="7">
        <v>511119</v>
      </c>
      <c r="B1967" s="3" t="s">
        <v>823</v>
      </c>
      <c r="C1967" s="29">
        <f>ROUND(Balances[[#This Row],[Total]]*40%,0)</f>
        <v>0</v>
      </c>
      <c r="D1967" s="29">
        <f>ROUND(Balances[[#This Row],[Total]]*20%,0)</f>
        <v>0</v>
      </c>
      <c r="E1967" s="29">
        <f>ROUND(Balances[[#This Row],[Total]]*40%,0)</f>
        <v>0</v>
      </c>
      <c r="F1967" s="29">
        <f>SUM(Acueducto[[#This Row],[Acueducto]:[Aseo]])</f>
        <v>0</v>
      </c>
    </row>
    <row r="1968" spans="1:6" ht="15" x14ac:dyDescent="0.2">
      <c r="A1968" s="7">
        <v>511120</v>
      </c>
      <c r="B1968" s="3" t="s">
        <v>143</v>
      </c>
      <c r="C1968" s="29">
        <f>ROUND(Balances[[#This Row],[Total]]*40%,0)</f>
        <v>0</v>
      </c>
      <c r="D1968" s="29">
        <f>ROUND(Balances[[#This Row],[Total]]*20%,0)</f>
        <v>0</v>
      </c>
      <c r="E1968" s="29">
        <f>ROUND(Balances[[#This Row],[Total]]*40%,0)</f>
        <v>0</v>
      </c>
      <c r="F1968" s="29">
        <f>SUM(Acueducto[[#This Row],[Acueducto]:[Aseo]])</f>
        <v>0</v>
      </c>
    </row>
    <row r="1969" spans="1:6" ht="15" x14ac:dyDescent="0.2">
      <c r="A1969" s="7">
        <v>511121</v>
      </c>
      <c r="B1969" s="3" t="s">
        <v>564</v>
      </c>
      <c r="C1969" s="29">
        <f>ROUND(Balances[[#This Row],[Total]]*40%,0)</f>
        <v>0</v>
      </c>
      <c r="D1969" s="29">
        <f>ROUND(Balances[[#This Row],[Total]]*20%,0)</f>
        <v>0</v>
      </c>
      <c r="E1969" s="29">
        <f>ROUND(Balances[[#This Row],[Total]]*40%,0)</f>
        <v>0</v>
      </c>
      <c r="F1969" s="29">
        <f>SUM(Acueducto[[#This Row],[Acueducto]:[Aseo]])</f>
        <v>0</v>
      </c>
    </row>
    <row r="1970" spans="1:6" ht="15" x14ac:dyDescent="0.2">
      <c r="A1970" s="7">
        <v>511122</v>
      </c>
      <c r="B1970" s="3" t="s">
        <v>1206</v>
      </c>
      <c r="C1970" s="29">
        <f>ROUND(Balances[[#This Row],[Total]]*40%,0)</f>
        <v>0</v>
      </c>
      <c r="D1970" s="29">
        <f>ROUND(Balances[[#This Row],[Total]]*20%,0)</f>
        <v>0</v>
      </c>
      <c r="E1970" s="29">
        <f>ROUND(Balances[[#This Row],[Total]]*40%,0)</f>
        <v>0</v>
      </c>
      <c r="F1970" s="18">
        <f>SUM(Acueducto[[#This Row],[Acueducto]:[Aseo]])</f>
        <v>0</v>
      </c>
    </row>
    <row r="1971" spans="1:6" ht="15" x14ac:dyDescent="0.2">
      <c r="A1971" s="7">
        <v>511123</v>
      </c>
      <c r="B1971" s="3" t="s">
        <v>1283</v>
      </c>
      <c r="C1971" s="29">
        <f>ROUND(Balances[[#This Row],[Total]]*40%,0)</f>
        <v>0</v>
      </c>
      <c r="D1971" s="29">
        <f>ROUND(Balances[[#This Row],[Total]]*20%,0)</f>
        <v>0</v>
      </c>
      <c r="E1971" s="29">
        <f>ROUND(Balances[[#This Row],[Total]]*40%,0)</f>
        <v>0</v>
      </c>
      <c r="F1971" s="18">
        <f>SUM(Acueducto[[#This Row],[Acueducto]:[Aseo]])</f>
        <v>0</v>
      </c>
    </row>
    <row r="1972" spans="1:6" ht="15" x14ac:dyDescent="0.2">
      <c r="A1972" s="7">
        <v>511125</v>
      </c>
      <c r="B1972" s="3" t="s">
        <v>1284</v>
      </c>
      <c r="C1972" s="29">
        <f>ROUND(Balances[[#This Row],[Total]]*40%,0)</f>
        <v>0</v>
      </c>
      <c r="D1972" s="29">
        <f>ROUND(Balances[[#This Row],[Total]]*20%,0)</f>
        <v>0</v>
      </c>
      <c r="E1972" s="29">
        <f>ROUND(Balances[[#This Row],[Total]]*40%,0)</f>
        <v>0</v>
      </c>
      <c r="F1972" s="29">
        <f>SUM(Acueducto[[#This Row],[Acueducto]:[Aseo]])</f>
        <v>0</v>
      </c>
    </row>
    <row r="1973" spans="1:6" ht="15" x14ac:dyDescent="0.2">
      <c r="A1973" s="7">
        <v>511127</v>
      </c>
      <c r="B1973" s="3" t="s">
        <v>1285</v>
      </c>
      <c r="C1973" s="29">
        <f>ROUND(Balances[[#This Row],[Total]]*40%,0)</f>
        <v>0</v>
      </c>
      <c r="D1973" s="29">
        <f>ROUND(Balances[[#This Row],[Total]]*20%,0)</f>
        <v>0</v>
      </c>
      <c r="E1973" s="29">
        <f>ROUND(Balances[[#This Row],[Total]]*40%,0)</f>
        <v>0</v>
      </c>
      <c r="F1973" s="18">
        <f>SUM(Acueducto[[#This Row],[Acueducto]:[Aseo]])</f>
        <v>0</v>
      </c>
    </row>
    <row r="1974" spans="1:6" ht="15" x14ac:dyDescent="0.2">
      <c r="A1974" s="7">
        <v>511132</v>
      </c>
      <c r="B1974" s="3" t="s">
        <v>1286</v>
      </c>
      <c r="C1974" s="29">
        <f>ROUND(Balances[[#This Row],[Total]]*40%,0)</f>
        <v>0</v>
      </c>
      <c r="D1974" s="29">
        <f>ROUND(Balances[[#This Row],[Total]]*20%,0)</f>
        <v>0</v>
      </c>
      <c r="E1974" s="29">
        <f>ROUND(Balances[[#This Row],[Total]]*40%,0)</f>
        <v>0</v>
      </c>
      <c r="F1974" s="18">
        <f>SUM(Acueducto[[#This Row],[Acueducto]:[Aseo]])</f>
        <v>0</v>
      </c>
    </row>
    <row r="1975" spans="1:6" ht="15" x14ac:dyDescent="0.2">
      <c r="A1975" s="7">
        <v>511133</v>
      </c>
      <c r="B1975" s="3" t="s">
        <v>1287</v>
      </c>
      <c r="C1975" s="29">
        <f>ROUND(Balances[[#This Row],[Total]]*40%,0)</f>
        <v>0</v>
      </c>
      <c r="D1975" s="29">
        <f>ROUND(Balances[[#This Row],[Total]]*20%,0)</f>
        <v>0</v>
      </c>
      <c r="E1975" s="29">
        <f>ROUND(Balances[[#This Row],[Total]]*40%,0)</f>
        <v>0</v>
      </c>
      <c r="F1975" s="18">
        <f>SUM(Acueducto[[#This Row],[Acueducto]:[Aseo]])</f>
        <v>0</v>
      </c>
    </row>
    <row r="1976" spans="1:6" ht="15" x14ac:dyDescent="0.2">
      <c r="A1976" s="7">
        <v>511134</v>
      </c>
      <c r="B1976" s="3" t="s">
        <v>1288</v>
      </c>
      <c r="C1976" s="29">
        <f>ROUND(Balances[[#This Row],[Total]]*40%,0)</f>
        <v>0</v>
      </c>
      <c r="D1976" s="29">
        <f>ROUND(Balances[[#This Row],[Total]]*20%,0)</f>
        <v>0</v>
      </c>
      <c r="E1976" s="29">
        <f>ROUND(Balances[[#This Row],[Total]]*40%,0)</f>
        <v>0</v>
      </c>
      <c r="F1976" s="18">
        <f>SUM(Acueducto[[#This Row],[Acueducto]:[Aseo]])</f>
        <v>0</v>
      </c>
    </row>
    <row r="1977" spans="1:6" ht="15" x14ac:dyDescent="0.2">
      <c r="A1977" s="7">
        <v>511139</v>
      </c>
      <c r="B1977" s="3" t="s">
        <v>1289</v>
      </c>
      <c r="C1977" s="29">
        <f>ROUND(Balances[[#This Row],[Total]]*40%,0)</f>
        <v>0</v>
      </c>
      <c r="D1977" s="29">
        <f>ROUND(Balances[[#This Row],[Total]]*20%,0)</f>
        <v>0</v>
      </c>
      <c r="E1977" s="29">
        <f>ROUND(Balances[[#This Row],[Total]]*40%,0)</f>
        <v>0</v>
      </c>
      <c r="F1977" s="18">
        <f>SUM(Acueducto[[#This Row],[Acueducto]:[Aseo]])</f>
        <v>0</v>
      </c>
    </row>
    <row r="1978" spans="1:6" ht="15" x14ac:dyDescent="0.2">
      <c r="A1978" s="7">
        <v>511140</v>
      </c>
      <c r="B1978" s="3" t="s">
        <v>1290</v>
      </c>
      <c r="C1978" s="29">
        <f>ROUND(Balances[[#This Row],[Total]]*40%,0)</f>
        <v>0</v>
      </c>
      <c r="D1978" s="29">
        <f>ROUND(Balances[[#This Row],[Total]]*20%,0)</f>
        <v>0</v>
      </c>
      <c r="E1978" s="29">
        <f>ROUND(Balances[[#This Row],[Total]]*40%,0)</f>
        <v>0</v>
      </c>
      <c r="F1978" s="18">
        <f>SUM(Acueducto[[#This Row],[Acueducto]:[Aseo]])</f>
        <v>0</v>
      </c>
    </row>
    <row r="1979" spans="1:6" ht="15" x14ac:dyDescent="0.2">
      <c r="A1979" s="7">
        <v>511141</v>
      </c>
      <c r="B1979" s="3" t="s">
        <v>1291</v>
      </c>
      <c r="C1979" s="29">
        <f>ROUND(Balances[[#This Row],[Total]]*40%,0)</f>
        <v>0</v>
      </c>
      <c r="D1979" s="29">
        <f>ROUND(Balances[[#This Row],[Total]]*20%,0)</f>
        <v>0</v>
      </c>
      <c r="E1979" s="29">
        <f>ROUND(Balances[[#This Row],[Total]]*40%,0)</f>
        <v>0</v>
      </c>
      <c r="F1979" s="18">
        <f>SUM(Acueducto[[#This Row],[Acueducto]:[Aseo]])</f>
        <v>0</v>
      </c>
    </row>
    <row r="1980" spans="1:6" ht="15" x14ac:dyDescent="0.2">
      <c r="A1980" s="7">
        <v>511142</v>
      </c>
      <c r="B1980" s="3" t="s">
        <v>1292</v>
      </c>
      <c r="C1980" s="29">
        <f>ROUND(Balances[[#This Row],[Total]]*40%,0)</f>
        <v>0</v>
      </c>
      <c r="D1980" s="29">
        <f>ROUND(Balances[[#This Row],[Total]]*20%,0)</f>
        <v>0</v>
      </c>
      <c r="E1980" s="29">
        <f>ROUND(Balances[[#This Row],[Total]]*40%,0)</f>
        <v>0</v>
      </c>
      <c r="F1980" s="18">
        <f>SUM(Acueducto[[#This Row],[Acueducto]:[Aseo]])</f>
        <v>0</v>
      </c>
    </row>
    <row r="1981" spans="1:6" ht="15" x14ac:dyDescent="0.2">
      <c r="A1981" s="7">
        <v>511146</v>
      </c>
      <c r="B1981" s="3" t="s">
        <v>345</v>
      </c>
      <c r="C1981" s="29">
        <f>ROUND(Balances[[#This Row],[Total]]*40%,0)</f>
        <v>0</v>
      </c>
      <c r="D1981" s="29">
        <f>ROUND(Balances[[#This Row],[Total]]*20%,0)</f>
        <v>0</v>
      </c>
      <c r="E1981" s="29">
        <f>ROUND(Balances[[#This Row],[Total]]*40%,0)</f>
        <v>0</v>
      </c>
      <c r="F1981" s="18">
        <f>SUM(Acueducto[[#This Row],[Acueducto]:[Aseo]])</f>
        <v>0</v>
      </c>
    </row>
    <row r="1982" spans="1:6" ht="15" x14ac:dyDescent="0.2">
      <c r="A1982" s="7">
        <v>511147</v>
      </c>
      <c r="B1982" s="3" t="s">
        <v>1293</v>
      </c>
      <c r="C1982" s="29">
        <f>ROUND(Balances[[#This Row],[Total]]*40%,0)</f>
        <v>0</v>
      </c>
      <c r="D1982" s="29">
        <f>ROUND(Balances[[#This Row],[Total]]*20%,0)</f>
        <v>0</v>
      </c>
      <c r="E1982" s="29">
        <f>ROUND(Balances[[#This Row],[Total]]*40%,0)</f>
        <v>0</v>
      </c>
      <c r="F1982" s="18">
        <f>SUM(Acueducto[[#This Row],[Acueducto]:[Aseo]])</f>
        <v>0</v>
      </c>
    </row>
    <row r="1983" spans="1:6" ht="15" x14ac:dyDescent="0.2">
      <c r="A1983" s="7">
        <v>511149</v>
      </c>
      <c r="B1983" s="3" t="s">
        <v>1294</v>
      </c>
      <c r="C1983" s="29">
        <f>ROUND(Balances[[#This Row],[Total]]*40%,0)</f>
        <v>0</v>
      </c>
      <c r="D1983" s="29">
        <f>ROUND(Balances[[#This Row],[Total]]*20%,0)</f>
        <v>0</v>
      </c>
      <c r="E1983" s="29">
        <f>ROUND(Balances[[#This Row],[Total]]*40%,0)</f>
        <v>0</v>
      </c>
      <c r="F1983" s="18">
        <f>SUM(Acueducto[[#This Row],[Acueducto]:[Aseo]])</f>
        <v>0</v>
      </c>
    </row>
    <row r="1984" spans="1:6" ht="15" x14ac:dyDescent="0.2">
      <c r="A1984" s="7">
        <v>511150</v>
      </c>
      <c r="B1984" s="3" t="s">
        <v>1295</v>
      </c>
      <c r="C1984" s="29">
        <f>ROUND(Balances[[#This Row],[Total]]*40%,0)</f>
        <v>0</v>
      </c>
      <c r="D1984" s="29">
        <f>ROUND(Balances[[#This Row],[Total]]*20%,0)</f>
        <v>0</v>
      </c>
      <c r="E1984" s="29">
        <f>ROUND(Balances[[#This Row],[Total]]*40%,0)</f>
        <v>0</v>
      </c>
      <c r="F1984" s="18">
        <f>SUM(Acueducto[[#This Row],[Acueducto]:[Aseo]])</f>
        <v>0</v>
      </c>
    </row>
    <row r="1985" spans="1:6" ht="15" x14ac:dyDescent="0.2">
      <c r="A1985" s="7">
        <v>511151</v>
      </c>
      <c r="B1985" s="3" t="s">
        <v>1296</v>
      </c>
      <c r="C1985" s="29">
        <f>ROUND(Balances[[#This Row],[Total]]*40%,0)</f>
        <v>0</v>
      </c>
      <c r="D1985" s="29">
        <f>ROUND(Balances[[#This Row],[Total]]*20%,0)</f>
        <v>0</v>
      </c>
      <c r="E1985" s="29">
        <f>ROUND(Balances[[#This Row],[Total]]*40%,0)</f>
        <v>0</v>
      </c>
      <c r="F1985" s="18">
        <f>SUM(Acueducto[[#This Row],[Acueducto]:[Aseo]])</f>
        <v>0</v>
      </c>
    </row>
    <row r="1986" spans="1:6" ht="15" x14ac:dyDescent="0.2">
      <c r="A1986" s="7">
        <v>511152</v>
      </c>
      <c r="B1986" s="3" t="s">
        <v>1297</v>
      </c>
      <c r="C1986" s="29">
        <f>ROUND(Balances[[#This Row],[Total]]*40%,0)</f>
        <v>0</v>
      </c>
      <c r="D1986" s="29">
        <f>ROUND(Balances[[#This Row],[Total]]*20%,0)</f>
        <v>0</v>
      </c>
      <c r="E1986" s="29">
        <f>ROUND(Balances[[#This Row],[Total]]*40%,0)</f>
        <v>0</v>
      </c>
      <c r="F1986" s="18">
        <f>SUM(Acueducto[[#This Row],[Acueducto]:[Aseo]])</f>
        <v>0</v>
      </c>
    </row>
    <row r="1987" spans="1:6" ht="15" x14ac:dyDescent="0.2">
      <c r="A1987" s="7">
        <v>511154</v>
      </c>
      <c r="B1987" s="3" t="s">
        <v>130</v>
      </c>
      <c r="C1987" s="29">
        <f>ROUND(Balances[[#This Row],[Total]]*40%,0)</f>
        <v>1040000</v>
      </c>
      <c r="D1987" s="29">
        <f>ROUND(Balances[[#This Row],[Total]]*20%,0)</f>
        <v>520000</v>
      </c>
      <c r="E1987" s="29">
        <f>ROUND(Balances[[#This Row],[Total]]*40%,0)</f>
        <v>1040000</v>
      </c>
      <c r="F1987" s="18">
        <f>SUM(Acueducto[[#This Row],[Acueducto]:[Aseo]])</f>
        <v>2600000</v>
      </c>
    </row>
    <row r="1988" spans="1:6" ht="15" x14ac:dyDescent="0.2">
      <c r="A1988" s="7">
        <v>511155</v>
      </c>
      <c r="B1988" s="3" t="s">
        <v>1298</v>
      </c>
      <c r="C1988" s="29">
        <f>ROUND(Balances[[#This Row],[Total]]*40%,0)</f>
        <v>0</v>
      </c>
      <c r="D1988" s="29">
        <f>ROUND(Balances[[#This Row],[Total]]*20%,0)</f>
        <v>0</v>
      </c>
      <c r="E1988" s="29">
        <f>ROUND(Balances[[#This Row],[Total]]*40%,0)</f>
        <v>0</v>
      </c>
      <c r="F1988" s="18">
        <f>SUM(Acueducto[[#This Row],[Acueducto]:[Aseo]])</f>
        <v>0</v>
      </c>
    </row>
    <row r="1989" spans="1:6" ht="15" x14ac:dyDescent="0.2">
      <c r="A1989" s="7">
        <v>511156</v>
      </c>
      <c r="B1989" s="3" t="s">
        <v>566</v>
      </c>
      <c r="C1989" s="29">
        <f>ROUND(Balances[[#This Row],[Total]]*40%,0)</f>
        <v>0</v>
      </c>
      <c r="D1989" s="29">
        <f>ROUND(Balances[[#This Row],[Total]]*20%,0)</f>
        <v>0</v>
      </c>
      <c r="E1989" s="29">
        <f>ROUND(Balances[[#This Row],[Total]]*40%,0)</f>
        <v>0</v>
      </c>
      <c r="F1989" s="18">
        <f>SUM(Acueducto[[#This Row],[Acueducto]:[Aseo]])</f>
        <v>0</v>
      </c>
    </row>
    <row r="1990" spans="1:6" ht="15" x14ac:dyDescent="0.2">
      <c r="A1990" s="7">
        <v>511157</v>
      </c>
      <c r="B1990" s="3" t="s">
        <v>1299</v>
      </c>
      <c r="C1990" s="29">
        <f>ROUND(Balances[[#This Row],[Total]]*40%,0)</f>
        <v>0</v>
      </c>
      <c r="D1990" s="29">
        <f>ROUND(Balances[[#This Row],[Total]]*20%,0)</f>
        <v>0</v>
      </c>
      <c r="E1990" s="29">
        <f>ROUND(Balances[[#This Row],[Total]]*40%,0)</f>
        <v>0</v>
      </c>
      <c r="F1990" s="18">
        <f>SUM(Acueducto[[#This Row],[Acueducto]:[Aseo]])</f>
        <v>0</v>
      </c>
    </row>
    <row r="1991" spans="1:6" ht="15" x14ac:dyDescent="0.2">
      <c r="A1991" s="7">
        <v>511158</v>
      </c>
      <c r="B1991" s="3" t="s">
        <v>1300</v>
      </c>
      <c r="C1991" s="29">
        <f>ROUND(Balances[[#This Row],[Total]]*40%,0)</f>
        <v>0</v>
      </c>
      <c r="D1991" s="29">
        <f>ROUND(Balances[[#This Row],[Total]]*20%,0)</f>
        <v>0</v>
      </c>
      <c r="E1991" s="29">
        <f>ROUND(Balances[[#This Row],[Total]]*40%,0)</f>
        <v>0</v>
      </c>
      <c r="F1991" s="18">
        <f>SUM(Acueducto[[#This Row],[Acueducto]:[Aseo]])</f>
        <v>0</v>
      </c>
    </row>
    <row r="1992" spans="1:6" ht="15" x14ac:dyDescent="0.2">
      <c r="A1992" s="7">
        <v>511159</v>
      </c>
      <c r="B1992" s="3" t="s">
        <v>620</v>
      </c>
      <c r="C1992" s="29">
        <f>ROUND(Balances[[#This Row],[Total]]*40%,0)</f>
        <v>0</v>
      </c>
      <c r="D1992" s="29">
        <f>ROUND(Balances[[#This Row],[Total]]*20%,0)</f>
        <v>0</v>
      </c>
      <c r="E1992" s="29">
        <f>ROUND(Balances[[#This Row],[Total]]*40%,0)</f>
        <v>0</v>
      </c>
      <c r="F1992" s="18">
        <f>SUM(Acueducto[[#This Row],[Acueducto]:[Aseo]])</f>
        <v>0</v>
      </c>
    </row>
    <row r="1993" spans="1:6" ht="15" x14ac:dyDescent="0.2">
      <c r="A1993" s="7">
        <v>511161</v>
      </c>
      <c r="B1993" s="3" t="s">
        <v>1301</v>
      </c>
      <c r="C1993" s="29">
        <f>ROUND(Balances[[#This Row],[Total]]*40%,0)</f>
        <v>0</v>
      </c>
      <c r="D1993" s="29">
        <f>ROUND(Balances[[#This Row],[Total]]*20%,0)</f>
        <v>0</v>
      </c>
      <c r="E1993" s="29">
        <f>ROUND(Balances[[#This Row],[Total]]*40%,0)</f>
        <v>0</v>
      </c>
      <c r="F1993" s="18">
        <f>SUM(Acueducto[[#This Row],[Acueducto]:[Aseo]])</f>
        <v>0</v>
      </c>
    </row>
    <row r="1994" spans="1:6" ht="15" x14ac:dyDescent="0.2">
      <c r="A1994" s="7">
        <v>511162</v>
      </c>
      <c r="B1994" s="3" t="s">
        <v>1302</v>
      </c>
      <c r="C1994" s="29">
        <f>ROUND(Balances[[#This Row],[Total]]*40%,0)</f>
        <v>0</v>
      </c>
      <c r="D1994" s="29">
        <f>ROUND(Balances[[#This Row],[Total]]*20%,0)</f>
        <v>0</v>
      </c>
      <c r="E1994" s="29">
        <f>ROUND(Balances[[#This Row],[Total]]*40%,0)</f>
        <v>0</v>
      </c>
      <c r="F1994" s="18">
        <f>SUM(Acueducto[[#This Row],[Acueducto]:[Aseo]])</f>
        <v>0</v>
      </c>
    </row>
    <row r="1995" spans="1:6" ht="15" x14ac:dyDescent="0.2">
      <c r="A1995" s="7">
        <v>511163</v>
      </c>
      <c r="B1995" s="3" t="s">
        <v>1303</v>
      </c>
      <c r="C1995" s="29">
        <f>ROUND(Balances[[#This Row],[Total]]*40%,0)</f>
        <v>0</v>
      </c>
      <c r="D1995" s="29">
        <f>ROUND(Balances[[#This Row],[Total]]*20%,0)</f>
        <v>0</v>
      </c>
      <c r="E1995" s="29">
        <f>ROUND(Balances[[#This Row],[Total]]*40%,0)</f>
        <v>0</v>
      </c>
      <c r="F1995" s="18">
        <f>SUM(Acueducto[[#This Row],[Acueducto]:[Aseo]])</f>
        <v>0</v>
      </c>
    </row>
    <row r="1996" spans="1:6" ht="15" x14ac:dyDescent="0.2">
      <c r="A1996" s="7">
        <v>511164</v>
      </c>
      <c r="B1996" s="3" t="s">
        <v>825</v>
      </c>
      <c r="C1996" s="29">
        <f>ROUND(Balances[[#This Row],[Total]]*40%,0)</f>
        <v>0</v>
      </c>
      <c r="D1996" s="29">
        <f>ROUND(Balances[[#This Row],[Total]]*20%,0)</f>
        <v>0</v>
      </c>
      <c r="E1996" s="29">
        <f>ROUND(Balances[[#This Row],[Total]]*40%,0)</f>
        <v>0</v>
      </c>
      <c r="F1996" s="18">
        <f>SUM(Acueducto[[#This Row],[Acueducto]:[Aseo]])</f>
        <v>0</v>
      </c>
    </row>
    <row r="1997" spans="1:6" ht="15" x14ac:dyDescent="0.2">
      <c r="A1997" s="7">
        <v>511165</v>
      </c>
      <c r="B1997" s="3" t="s">
        <v>1304</v>
      </c>
      <c r="C1997" s="29">
        <f>ROUND(Balances[[#This Row],[Total]]*40%,0)</f>
        <v>0</v>
      </c>
      <c r="D1997" s="29">
        <f>ROUND(Balances[[#This Row],[Total]]*20%,0)</f>
        <v>0</v>
      </c>
      <c r="E1997" s="29">
        <f>ROUND(Balances[[#This Row],[Total]]*40%,0)</f>
        <v>0</v>
      </c>
      <c r="F1997" s="18">
        <f>SUM(Acueducto[[#This Row],[Acueducto]:[Aseo]])</f>
        <v>0</v>
      </c>
    </row>
    <row r="1998" spans="1:6" ht="15" x14ac:dyDescent="0.2">
      <c r="A1998" s="7">
        <v>511166</v>
      </c>
      <c r="B1998" s="3" t="s">
        <v>1305</v>
      </c>
      <c r="C1998" s="29">
        <f>ROUND(Balances[[#This Row],[Total]]*40%,0)</f>
        <v>0</v>
      </c>
      <c r="D1998" s="29">
        <f>ROUND(Balances[[#This Row],[Total]]*20%,0)</f>
        <v>0</v>
      </c>
      <c r="E1998" s="29">
        <f>ROUND(Balances[[#This Row],[Total]]*40%,0)</f>
        <v>0</v>
      </c>
      <c r="F1998" s="18">
        <f>SUM(Acueducto[[#This Row],[Acueducto]:[Aseo]])</f>
        <v>0</v>
      </c>
    </row>
    <row r="1999" spans="1:6" ht="15" x14ac:dyDescent="0.2">
      <c r="A1999" s="7">
        <v>511167</v>
      </c>
      <c r="B1999" s="3" t="s">
        <v>829</v>
      </c>
      <c r="C1999" s="29">
        <f>ROUND(Balances[[#This Row],[Total]]*40%,0)</f>
        <v>0</v>
      </c>
      <c r="D1999" s="29">
        <f>ROUND(Balances[[#This Row],[Total]]*20%,0)</f>
        <v>0</v>
      </c>
      <c r="E1999" s="29">
        <f>ROUND(Balances[[#This Row],[Total]]*40%,0)</f>
        <v>0</v>
      </c>
      <c r="F1999" s="18">
        <f>SUM(Acueducto[[#This Row],[Acueducto]:[Aseo]])</f>
        <v>0</v>
      </c>
    </row>
    <row r="2000" spans="1:6" ht="15" x14ac:dyDescent="0.2">
      <c r="A2000" s="7">
        <v>511173</v>
      </c>
      <c r="B2000" s="3" t="s">
        <v>1306</v>
      </c>
      <c r="C2000" s="29">
        <f>ROUND(Balances[[#This Row],[Total]]*40%,0)</f>
        <v>0</v>
      </c>
      <c r="D2000" s="29">
        <f>ROUND(Balances[[#This Row],[Total]]*20%,0)</f>
        <v>0</v>
      </c>
      <c r="E2000" s="29">
        <f>ROUND(Balances[[#This Row],[Total]]*40%,0)</f>
        <v>0</v>
      </c>
      <c r="F2000" s="18">
        <f>SUM(Acueducto[[#This Row],[Acueducto]:[Aseo]])</f>
        <v>0</v>
      </c>
    </row>
    <row r="2001" spans="1:6" ht="15" x14ac:dyDescent="0.2">
      <c r="A2001" s="7">
        <v>511174</v>
      </c>
      <c r="B2001" s="3" t="s">
        <v>1307</v>
      </c>
      <c r="C2001" s="29">
        <f>ROUND(Balances[[#This Row],[Total]]*40%,0)</f>
        <v>0</v>
      </c>
      <c r="D2001" s="29">
        <f>ROUND(Balances[[#This Row],[Total]]*20%,0)</f>
        <v>0</v>
      </c>
      <c r="E2001" s="29">
        <f>ROUND(Balances[[#This Row],[Total]]*40%,0)</f>
        <v>0</v>
      </c>
      <c r="F2001" s="18">
        <f>SUM(Acueducto[[#This Row],[Acueducto]:[Aseo]])</f>
        <v>0</v>
      </c>
    </row>
    <row r="2002" spans="1:6" ht="15" x14ac:dyDescent="0.2">
      <c r="A2002" s="7">
        <v>511178</v>
      </c>
      <c r="B2002" s="3" t="s">
        <v>231</v>
      </c>
      <c r="C2002" s="29">
        <f>ROUND(Balances[[#This Row],[Total]]*40%,0)</f>
        <v>0</v>
      </c>
      <c r="D2002" s="29">
        <f>ROUND(Balances[[#This Row],[Total]]*20%,0)</f>
        <v>0</v>
      </c>
      <c r="E2002" s="29">
        <f>ROUND(Balances[[#This Row],[Total]]*40%,0)</f>
        <v>0</v>
      </c>
      <c r="F2002" s="18">
        <f>SUM(Acueducto[[#This Row],[Acueducto]:[Aseo]])</f>
        <v>0</v>
      </c>
    </row>
    <row r="2003" spans="1:6" ht="15" x14ac:dyDescent="0.2">
      <c r="A2003" s="7">
        <v>511179</v>
      </c>
      <c r="B2003" s="3" t="s">
        <v>242</v>
      </c>
      <c r="C2003" s="29">
        <f>ROUND(Balances[[#This Row],[Total]]*40%,0)</f>
        <v>0</v>
      </c>
      <c r="D2003" s="29">
        <f>ROUND(Balances[[#This Row],[Total]]*20%,0)</f>
        <v>0</v>
      </c>
      <c r="E2003" s="29">
        <f>ROUND(Balances[[#This Row],[Total]]*40%,0)</f>
        <v>0</v>
      </c>
      <c r="F2003" s="29">
        <f>SUM(Acueducto[[#This Row],[Acueducto]:[Aseo]])</f>
        <v>0</v>
      </c>
    </row>
    <row r="2004" spans="1:6" ht="15" x14ac:dyDescent="0.2">
      <c r="A2004" s="7">
        <v>511180</v>
      </c>
      <c r="B2004" s="3" t="s">
        <v>724</v>
      </c>
      <c r="C2004" s="29">
        <f>ROUND(Balances[[#This Row],[Total]]*40%,0)</f>
        <v>5592000</v>
      </c>
      <c r="D2004" s="29">
        <f>ROUND(Balances[[#This Row],[Total]]*20%,0)</f>
        <v>2796000</v>
      </c>
      <c r="E2004" s="29">
        <f>ROUND(Balances[[#This Row],[Total]]*40%,0)</f>
        <v>5592000</v>
      </c>
      <c r="F2004" s="18">
        <f>SUM(Acueducto[[#This Row],[Acueducto]:[Aseo]])</f>
        <v>13980000</v>
      </c>
    </row>
    <row r="2005" spans="1:6" ht="15" x14ac:dyDescent="0.2">
      <c r="A2005" s="7">
        <v>511190</v>
      </c>
      <c r="B2005" s="3" t="s">
        <v>1308</v>
      </c>
      <c r="C2005" s="29">
        <f>ROUND(Balances[[#This Row],[Total]]*40%,0)</f>
        <v>3524734</v>
      </c>
      <c r="D2005" s="29">
        <f>ROUND(Balances[[#This Row],[Total]]*20%,0)</f>
        <v>1762367</v>
      </c>
      <c r="E2005" s="29">
        <f>ROUND(Balances[[#This Row],[Total]]*40%,0)</f>
        <v>3524734</v>
      </c>
      <c r="F2005" s="18">
        <f>SUM(Acueducto[[#This Row],[Acueducto]:[Aseo]])</f>
        <v>8811835</v>
      </c>
    </row>
    <row r="2006" spans="1:6" ht="15" x14ac:dyDescent="0.2">
      <c r="A2006" s="6">
        <v>5120</v>
      </c>
      <c r="B2006" s="2" t="s">
        <v>742</v>
      </c>
      <c r="C2006" s="28">
        <f>ROUND(Balances[[#This Row],[Total]]*40%,0)</f>
        <v>100800</v>
      </c>
      <c r="D2006" s="28">
        <f>ROUND(Balances[[#This Row],[Total]]*20%,0)</f>
        <v>50400</v>
      </c>
      <c r="E2006" s="28">
        <f>ROUND(Balances[[#This Row],[Total]]*40%,0)</f>
        <v>100800</v>
      </c>
      <c r="F2006" s="28">
        <f>SUM(Acueducto[[#This Row],[Acueducto]:[Aseo]])</f>
        <v>252000</v>
      </c>
    </row>
    <row r="2007" spans="1:6" ht="15" x14ac:dyDescent="0.2">
      <c r="A2007" s="7">
        <v>512001</v>
      </c>
      <c r="B2007" s="3" t="s">
        <v>744</v>
      </c>
      <c r="C2007" s="29">
        <f>ROUND(Balances[[#This Row],[Total]]*40%,0)</f>
        <v>0</v>
      </c>
      <c r="D2007" s="29">
        <f>ROUND(Balances[[#This Row],[Total]]*20%,0)</f>
        <v>0</v>
      </c>
      <c r="E2007" s="29">
        <f>ROUND(Balances[[#This Row],[Total]]*40%,0)</f>
        <v>0</v>
      </c>
      <c r="F2007" s="18">
        <f>SUM(Acueducto[[#This Row],[Acueducto]:[Aseo]])</f>
        <v>0</v>
      </c>
    </row>
    <row r="2008" spans="1:6" ht="15" x14ac:dyDescent="0.2">
      <c r="A2008" s="7">
        <v>512002</v>
      </c>
      <c r="B2008" s="3" t="s">
        <v>750</v>
      </c>
      <c r="C2008" s="29">
        <f>ROUND(Balances[[#This Row],[Total]]*40%,0)</f>
        <v>0</v>
      </c>
      <c r="D2008" s="29">
        <f>ROUND(Balances[[#This Row],[Total]]*20%,0)</f>
        <v>0</v>
      </c>
      <c r="E2008" s="29">
        <f>ROUND(Balances[[#This Row],[Total]]*40%,0)</f>
        <v>0</v>
      </c>
      <c r="F2008" s="18">
        <f>SUM(Acueducto[[#This Row],[Acueducto]:[Aseo]])</f>
        <v>0</v>
      </c>
    </row>
    <row r="2009" spans="1:6" ht="15" x14ac:dyDescent="0.2">
      <c r="A2009" s="7">
        <v>512009</v>
      </c>
      <c r="B2009" s="3" t="s">
        <v>745</v>
      </c>
      <c r="C2009" s="29">
        <f>ROUND(Balances[[#This Row],[Total]]*40%,0)</f>
        <v>0</v>
      </c>
      <c r="D2009" s="29">
        <f>ROUND(Balances[[#This Row],[Total]]*20%,0)</f>
        <v>0</v>
      </c>
      <c r="E2009" s="29">
        <f>ROUND(Balances[[#This Row],[Total]]*40%,0)</f>
        <v>0</v>
      </c>
      <c r="F2009" s="18">
        <f>SUM(Acueducto[[#This Row],[Acueducto]:[Aseo]])</f>
        <v>0</v>
      </c>
    </row>
    <row r="2010" spans="1:6" ht="15" x14ac:dyDescent="0.2">
      <c r="A2010" s="7">
        <v>512010</v>
      </c>
      <c r="B2010" s="3" t="s">
        <v>756</v>
      </c>
      <c r="C2010" s="29">
        <f>ROUND(Balances[[#This Row],[Total]]*40%,0)</f>
        <v>0</v>
      </c>
      <c r="D2010" s="29">
        <f>ROUND(Balances[[#This Row],[Total]]*20%,0)</f>
        <v>0</v>
      </c>
      <c r="E2010" s="29">
        <f>ROUND(Balances[[#This Row],[Total]]*40%,0)</f>
        <v>0</v>
      </c>
      <c r="F2010" s="29">
        <f>SUM(Acueducto[[#This Row],[Acueducto]:[Aseo]])</f>
        <v>0</v>
      </c>
    </row>
    <row r="2011" spans="1:6" ht="15" x14ac:dyDescent="0.2">
      <c r="A2011" s="7">
        <v>512011</v>
      </c>
      <c r="B2011" s="3" t="s">
        <v>751</v>
      </c>
      <c r="C2011" s="29">
        <f>ROUND(Balances[[#This Row],[Total]]*40%,0)</f>
        <v>0</v>
      </c>
      <c r="D2011" s="29">
        <f>ROUND(Balances[[#This Row],[Total]]*20%,0)</f>
        <v>0</v>
      </c>
      <c r="E2011" s="29">
        <f>ROUND(Balances[[#This Row],[Total]]*40%,0)</f>
        <v>0</v>
      </c>
      <c r="F2011" s="18">
        <f>SUM(Acueducto[[#This Row],[Acueducto]:[Aseo]])</f>
        <v>0</v>
      </c>
    </row>
    <row r="2012" spans="1:6" ht="15" x14ac:dyDescent="0.2">
      <c r="A2012" s="7">
        <v>512012</v>
      </c>
      <c r="B2012" s="3" t="s">
        <v>747</v>
      </c>
      <c r="C2012" s="29">
        <f>ROUND(Balances[[#This Row],[Total]]*40%,0)</f>
        <v>0</v>
      </c>
      <c r="D2012" s="29">
        <f>ROUND(Balances[[#This Row],[Total]]*20%,0)</f>
        <v>0</v>
      </c>
      <c r="E2012" s="29">
        <f>ROUND(Balances[[#This Row],[Total]]*40%,0)</f>
        <v>0</v>
      </c>
      <c r="F2012" s="18">
        <f>SUM(Acueducto[[#This Row],[Acueducto]:[Aseo]])</f>
        <v>0</v>
      </c>
    </row>
    <row r="2013" spans="1:6" ht="15" x14ac:dyDescent="0.2">
      <c r="A2013" s="7">
        <v>512013</v>
      </c>
      <c r="B2013" s="3" t="s">
        <v>748</v>
      </c>
      <c r="C2013" s="29">
        <f>ROUND(Balances[[#This Row],[Total]]*40%,0)</f>
        <v>0</v>
      </c>
      <c r="D2013" s="29">
        <f>ROUND(Balances[[#This Row],[Total]]*20%,0)</f>
        <v>0</v>
      </c>
      <c r="E2013" s="29">
        <f>ROUND(Balances[[#This Row],[Total]]*40%,0)</f>
        <v>0</v>
      </c>
      <c r="F2013" s="18">
        <f>SUM(Acueducto[[#This Row],[Acueducto]:[Aseo]])</f>
        <v>0</v>
      </c>
    </row>
    <row r="2014" spans="1:6" ht="15" x14ac:dyDescent="0.2">
      <c r="A2014" s="7">
        <v>512017</v>
      </c>
      <c r="B2014" s="3" t="s">
        <v>252</v>
      </c>
      <c r="C2014" s="29">
        <f>ROUND(Balances[[#This Row],[Total]]*40%,0)</f>
        <v>0</v>
      </c>
      <c r="D2014" s="29">
        <f>ROUND(Balances[[#This Row],[Total]]*20%,0)</f>
        <v>0</v>
      </c>
      <c r="E2014" s="29">
        <f>ROUND(Balances[[#This Row],[Total]]*40%,0)</f>
        <v>0</v>
      </c>
      <c r="F2014" s="18">
        <f>SUM(Acueducto[[#This Row],[Acueducto]:[Aseo]])</f>
        <v>0</v>
      </c>
    </row>
    <row r="2015" spans="1:6" ht="15" x14ac:dyDescent="0.2">
      <c r="A2015" s="7">
        <v>512019</v>
      </c>
      <c r="B2015" s="3" t="s">
        <v>1309</v>
      </c>
      <c r="C2015" s="29">
        <f>ROUND(Balances[[#This Row],[Total]]*40%,0)</f>
        <v>0</v>
      </c>
      <c r="D2015" s="29">
        <f>ROUND(Balances[[#This Row],[Total]]*20%,0)</f>
        <v>0</v>
      </c>
      <c r="E2015" s="29">
        <f>ROUND(Balances[[#This Row],[Total]]*40%,0)</f>
        <v>0</v>
      </c>
      <c r="F2015" s="18">
        <f>SUM(Acueducto[[#This Row],[Acueducto]:[Aseo]])</f>
        <v>0</v>
      </c>
    </row>
    <row r="2016" spans="1:6" ht="15" x14ac:dyDescent="0.2">
      <c r="A2016" s="7">
        <v>512021</v>
      </c>
      <c r="B2016" s="3" t="s">
        <v>753</v>
      </c>
      <c r="C2016" s="29">
        <f>ROUND(Balances[[#This Row],[Total]]*40%,0)</f>
        <v>0</v>
      </c>
      <c r="D2016" s="29">
        <f>ROUND(Balances[[#This Row],[Total]]*20%,0)</f>
        <v>0</v>
      </c>
      <c r="E2016" s="29">
        <f>ROUND(Balances[[#This Row],[Total]]*40%,0)</f>
        <v>0</v>
      </c>
      <c r="F2016" s="18">
        <f>SUM(Acueducto[[#This Row],[Acueducto]:[Aseo]])</f>
        <v>0</v>
      </c>
    </row>
    <row r="2017" spans="1:6" ht="15" x14ac:dyDescent="0.2">
      <c r="A2017" s="7">
        <v>512023</v>
      </c>
      <c r="B2017" s="3" t="s">
        <v>754</v>
      </c>
      <c r="C2017" s="29">
        <f>ROUND(Balances[[#This Row],[Total]]*40%,0)</f>
        <v>0</v>
      </c>
      <c r="D2017" s="29">
        <f>ROUND(Balances[[#This Row],[Total]]*20%,0)</f>
        <v>0</v>
      </c>
      <c r="E2017" s="29">
        <f>ROUND(Balances[[#This Row],[Total]]*40%,0)</f>
        <v>0</v>
      </c>
      <c r="F2017" s="18">
        <f>SUM(Acueducto[[#This Row],[Acueducto]:[Aseo]])</f>
        <v>0</v>
      </c>
    </row>
    <row r="2018" spans="1:6" ht="15" x14ac:dyDescent="0.2">
      <c r="A2018" s="7">
        <v>512024</v>
      </c>
      <c r="B2018" s="3" t="s">
        <v>752</v>
      </c>
      <c r="C2018" s="29">
        <f>ROUND(Balances[[#This Row],[Total]]*40%,0)</f>
        <v>0</v>
      </c>
      <c r="D2018" s="29">
        <f>ROUND(Balances[[#This Row],[Total]]*20%,0)</f>
        <v>0</v>
      </c>
      <c r="E2018" s="29">
        <f>ROUND(Balances[[#This Row],[Total]]*40%,0)</f>
        <v>0</v>
      </c>
      <c r="F2018" s="18">
        <f>SUM(Acueducto[[#This Row],[Acueducto]:[Aseo]])</f>
        <v>0</v>
      </c>
    </row>
    <row r="2019" spans="1:6" ht="15" x14ac:dyDescent="0.2">
      <c r="A2019" s="7">
        <v>512025</v>
      </c>
      <c r="B2019" s="3" t="s">
        <v>741</v>
      </c>
      <c r="C2019" s="29">
        <f>ROUND(Balances[[#This Row],[Total]]*40%,0)</f>
        <v>0</v>
      </c>
      <c r="D2019" s="29">
        <f>ROUND(Balances[[#This Row],[Total]]*20%,0)</f>
        <v>0</v>
      </c>
      <c r="E2019" s="29">
        <f>ROUND(Balances[[#This Row],[Total]]*40%,0)</f>
        <v>0</v>
      </c>
      <c r="F2019" s="18">
        <f>SUM(Acueducto[[#This Row],[Acueducto]:[Aseo]])</f>
        <v>0</v>
      </c>
    </row>
    <row r="2020" spans="1:6" ht="15" x14ac:dyDescent="0.2">
      <c r="A2020" s="7">
        <v>512026</v>
      </c>
      <c r="B2020" s="3" t="s">
        <v>755</v>
      </c>
      <c r="C2020" s="29">
        <f>ROUND(Balances[[#This Row],[Total]]*40%,0)</f>
        <v>0</v>
      </c>
      <c r="D2020" s="29">
        <f>ROUND(Balances[[#This Row],[Total]]*20%,0)</f>
        <v>0</v>
      </c>
      <c r="E2020" s="29">
        <f>ROUND(Balances[[#This Row],[Total]]*40%,0)</f>
        <v>0</v>
      </c>
      <c r="F2020" s="18">
        <f>SUM(Acueducto[[#This Row],[Acueducto]:[Aseo]])</f>
        <v>0</v>
      </c>
    </row>
    <row r="2021" spans="1:6" ht="15" x14ac:dyDescent="0.2">
      <c r="A2021" s="7">
        <v>512027</v>
      </c>
      <c r="B2021" s="3" t="s">
        <v>620</v>
      </c>
      <c r="C2021" s="29">
        <f>ROUND(Balances[[#This Row],[Total]]*40%,0)</f>
        <v>0</v>
      </c>
      <c r="D2021" s="29">
        <f>ROUND(Balances[[#This Row],[Total]]*20%,0)</f>
        <v>0</v>
      </c>
      <c r="E2021" s="29">
        <f>ROUND(Balances[[#This Row],[Total]]*40%,0)</f>
        <v>0</v>
      </c>
      <c r="F2021" s="18">
        <f>SUM(Acueducto[[#This Row],[Acueducto]:[Aseo]])</f>
        <v>0</v>
      </c>
    </row>
    <row r="2022" spans="1:6" ht="15" x14ac:dyDescent="0.2">
      <c r="A2022" s="7">
        <v>512028</v>
      </c>
      <c r="B2022" s="3" t="s">
        <v>746</v>
      </c>
      <c r="C2022" s="29">
        <f>ROUND(Balances[[#This Row],[Total]]*40%,0)</f>
        <v>0</v>
      </c>
      <c r="D2022" s="29">
        <f>ROUND(Balances[[#This Row],[Total]]*20%,0)</f>
        <v>0</v>
      </c>
      <c r="E2022" s="29">
        <f>ROUND(Balances[[#This Row],[Total]]*40%,0)</f>
        <v>0</v>
      </c>
      <c r="F2022" s="18">
        <f>SUM(Acueducto[[#This Row],[Acueducto]:[Aseo]])</f>
        <v>0</v>
      </c>
    </row>
    <row r="2023" spans="1:6" ht="15" x14ac:dyDescent="0.2">
      <c r="A2023" s="7">
        <v>512029</v>
      </c>
      <c r="B2023" s="3" t="s">
        <v>757</v>
      </c>
      <c r="C2023" s="29">
        <f>ROUND(Balances[[#This Row],[Total]]*40%,0)</f>
        <v>0</v>
      </c>
      <c r="D2023" s="29">
        <f>ROUND(Balances[[#This Row],[Total]]*20%,0)</f>
        <v>0</v>
      </c>
      <c r="E2023" s="29">
        <f>ROUND(Balances[[#This Row],[Total]]*40%,0)</f>
        <v>0</v>
      </c>
      <c r="F2023" s="18">
        <f>SUM(Acueducto[[#This Row],[Acueducto]:[Aseo]])</f>
        <v>0</v>
      </c>
    </row>
    <row r="2024" spans="1:6" ht="15" x14ac:dyDescent="0.2">
      <c r="A2024" s="7">
        <v>512030</v>
      </c>
      <c r="B2024" s="3" t="s">
        <v>758</v>
      </c>
      <c r="C2024" s="29">
        <f>ROUND(Balances[[#This Row],[Total]]*40%,0)</f>
        <v>0</v>
      </c>
      <c r="D2024" s="29">
        <f>ROUND(Balances[[#This Row],[Total]]*20%,0)</f>
        <v>0</v>
      </c>
      <c r="E2024" s="29">
        <f>ROUND(Balances[[#This Row],[Total]]*40%,0)</f>
        <v>0</v>
      </c>
      <c r="F2024" s="18">
        <f>SUM(Acueducto[[#This Row],[Acueducto]:[Aseo]])</f>
        <v>0</v>
      </c>
    </row>
    <row r="2025" spans="1:6" ht="15" x14ac:dyDescent="0.2">
      <c r="A2025" s="7">
        <v>512032</v>
      </c>
      <c r="B2025" s="3" t="s">
        <v>759</v>
      </c>
      <c r="C2025" s="29">
        <f>ROUND(Balances[[#This Row],[Total]]*40%,0)</f>
        <v>0</v>
      </c>
      <c r="D2025" s="29">
        <f>ROUND(Balances[[#This Row],[Total]]*20%,0)</f>
        <v>0</v>
      </c>
      <c r="E2025" s="29">
        <f>ROUND(Balances[[#This Row],[Total]]*40%,0)</f>
        <v>0</v>
      </c>
      <c r="F2025" s="18">
        <f>SUM(Acueducto[[#This Row],[Acueducto]:[Aseo]])</f>
        <v>0</v>
      </c>
    </row>
    <row r="2026" spans="1:6" ht="15" x14ac:dyDescent="0.2">
      <c r="A2026" s="7">
        <v>512033</v>
      </c>
      <c r="B2026" s="3" t="s">
        <v>760</v>
      </c>
      <c r="C2026" s="29">
        <f>ROUND(Balances[[#This Row],[Total]]*40%,0)</f>
        <v>0</v>
      </c>
      <c r="D2026" s="29">
        <f>ROUND(Balances[[#This Row],[Total]]*20%,0)</f>
        <v>0</v>
      </c>
      <c r="E2026" s="29">
        <f>ROUND(Balances[[#This Row],[Total]]*40%,0)</f>
        <v>0</v>
      </c>
      <c r="F2026" s="18">
        <f>SUM(Acueducto[[#This Row],[Acueducto]:[Aseo]])</f>
        <v>0</v>
      </c>
    </row>
    <row r="2027" spans="1:6" ht="15" x14ac:dyDescent="0.2">
      <c r="A2027" s="7">
        <v>512034</v>
      </c>
      <c r="B2027" s="3" t="s">
        <v>761</v>
      </c>
      <c r="C2027" s="29">
        <f>ROUND(Balances[[#This Row],[Total]]*40%,0)</f>
        <v>0</v>
      </c>
      <c r="D2027" s="29">
        <f>ROUND(Balances[[#This Row],[Total]]*20%,0)</f>
        <v>0</v>
      </c>
      <c r="E2027" s="29">
        <f>ROUND(Balances[[#This Row],[Total]]*40%,0)</f>
        <v>0</v>
      </c>
      <c r="F2027" s="18">
        <f>SUM(Acueducto[[#This Row],[Acueducto]:[Aseo]])</f>
        <v>0</v>
      </c>
    </row>
    <row r="2028" spans="1:6" ht="15" x14ac:dyDescent="0.2">
      <c r="A2028" s="7">
        <v>512035</v>
      </c>
      <c r="B2028" s="3" t="s">
        <v>113</v>
      </c>
      <c r="C2028" s="29">
        <f>ROUND(Balances[[#This Row],[Total]]*40%,0)</f>
        <v>0</v>
      </c>
      <c r="D2028" s="29">
        <f>ROUND(Balances[[#This Row],[Total]]*20%,0)</f>
        <v>0</v>
      </c>
      <c r="E2028" s="29">
        <f>ROUND(Balances[[#This Row],[Total]]*40%,0)</f>
        <v>0</v>
      </c>
      <c r="F2028" s="18">
        <f>SUM(Acueducto[[#This Row],[Acueducto]:[Aseo]])</f>
        <v>0</v>
      </c>
    </row>
    <row r="2029" spans="1:6" ht="15" x14ac:dyDescent="0.2">
      <c r="A2029" s="7">
        <v>512036</v>
      </c>
      <c r="B2029" s="3" t="s">
        <v>763</v>
      </c>
      <c r="C2029" s="29">
        <f>ROUND(Balances[[#This Row],[Total]]*40%,0)</f>
        <v>0</v>
      </c>
      <c r="D2029" s="29">
        <f>ROUND(Balances[[#This Row],[Total]]*20%,0)</f>
        <v>0</v>
      </c>
      <c r="E2029" s="29">
        <f>ROUND(Balances[[#This Row],[Total]]*40%,0)</f>
        <v>0</v>
      </c>
      <c r="F2029" s="18">
        <f>SUM(Acueducto[[#This Row],[Acueducto]:[Aseo]])</f>
        <v>0</v>
      </c>
    </row>
    <row r="2030" spans="1:6" ht="15" x14ac:dyDescent="0.2">
      <c r="A2030" s="7">
        <v>512090</v>
      </c>
      <c r="B2030" s="3" t="s">
        <v>1310</v>
      </c>
      <c r="C2030" s="29">
        <f>ROUND(Balances[[#This Row],[Total]]*40%,0)</f>
        <v>100800</v>
      </c>
      <c r="D2030" s="29">
        <f>ROUND(Balances[[#This Row],[Total]]*20%,0)</f>
        <v>50400</v>
      </c>
      <c r="E2030" s="29">
        <f>ROUND(Balances[[#This Row],[Total]]*40%,0)</f>
        <v>100800</v>
      </c>
      <c r="F2030" s="18">
        <f>SUM(Acueducto[[#This Row],[Acueducto]:[Aseo]])</f>
        <v>252000</v>
      </c>
    </row>
    <row r="2031" spans="1:6" ht="15" x14ac:dyDescent="0.2">
      <c r="A2031" s="6">
        <v>52</v>
      </c>
      <c r="B2031" s="2" t="s">
        <v>1311</v>
      </c>
      <c r="C2031" s="28">
        <f>ROUND(Balances[[#This Row],[Total]]*40%,0)</f>
        <v>0</v>
      </c>
      <c r="D2031" s="28">
        <f>ROUND(Balances[[#This Row],[Total]]*20%,0)</f>
        <v>0</v>
      </c>
      <c r="E2031" s="28">
        <f>ROUND(Balances[[#This Row],[Total]]*40%,0)</f>
        <v>0</v>
      </c>
      <c r="F2031" s="17">
        <f>SUM(Acueducto[[#This Row],[Acueducto]:[Aseo]])</f>
        <v>0</v>
      </c>
    </row>
    <row r="2032" spans="1:6" ht="15" x14ac:dyDescent="0.2">
      <c r="A2032" s="6">
        <v>5202</v>
      </c>
      <c r="B2032" s="2" t="s">
        <v>1235</v>
      </c>
      <c r="C2032" s="28">
        <f>ROUND(Balances[[#This Row],[Total]]*40%,0)</f>
        <v>0</v>
      </c>
      <c r="D2032" s="28">
        <f>ROUND(Balances[[#This Row],[Total]]*20%,0)</f>
        <v>0</v>
      </c>
      <c r="E2032" s="28">
        <f>ROUND(Balances[[#This Row],[Total]]*40%,0)</f>
        <v>0</v>
      </c>
      <c r="F2032" s="17">
        <f>SUM(Acueducto[[#This Row],[Acueducto]:[Aseo]])</f>
        <v>0</v>
      </c>
    </row>
    <row r="2033" spans="1:6" ht="15" x14ac:dyDescent="0.2">
      <c r="A2033" s="7">
        <v>520201</v>
      </c>
      <c r="B2033" s="3" t="s">
        <v>1236</v>
      </c>
      <c r="C2033" s="29">
        <f>ROUND(Balances[[#This Row],[Total]]*40%,0)</f>
        <v>0</v>
      </c>
      <c r="D2033" s="29">
        <f>ROUND(Balances[[#This Row],[Total]]*20%,0)</f>
        <v>0</v>
      </c>
      <c r="E2033" s="29">
        <f>ROUND(Balances[[#This Row],[Total]]*40%,0)</f>
        <v>0</v>
      </c>
      <c r="F2033" s="18">
        <f>SUM(Acueducto[[#This Row],[Acueducto]:[Aseo]])</f>
        <v>0</v>
      </c>
    </row>
    <row r="2034" spans="1:6" ht="15" x14ac:dyDescent="0.2">
      <c r="A2034" s="7">
        <v>520202</v>
      </c>
      <c r="B2034" s="3" t="s">
        <v>1237</v>
      </c>
      <c r="C2034" s="29">
        <f>ROUND(Balances[[#This Row],[Total]]*40%,0)</f>
        <v>0</v>
      </c>
      <c r="D2034" s="29">
        <f>ROUND(Balances[[#This Row],[Total]]*20%,0)</f>
        <v>0</v>
      </c>
      <c r="E2034" s="29">
        <f>ROUND(Balances[[#This Row],[Total]]*40%,0)</f>
        <v>0</v>
      </c>
      <c r="F2034" s="18">
        <f>SUM(Acueducto[[#This Row],[Acueducto]:[Aseo]])</f>
        <v>0</v>
      </c>
    </row>
    <row r="2035" spans="1:6" ht="15" x14ac:dyDescent="0.2">
      <c r="A2035" s="7">
        <v>520203</v>
      </c>
      <c r="B2035" s="3" t="s">
        <v>1238</v>
      </c>
      <c r="C2035" s="29">
        <f>ROUND(Balances[[#This Row],[Total]]*40%,0)</f>
        <v>0</v>
      </c>
      <c r="D2035" s="29">
        <f>ROUND(Balances[[#This Row],[Total]]*20%,0)</f>
        <v>0</v>
      </c>
      <c r="E2035" s="29">
        <f>ROUND(Balances[[#This Row],[Total]]*40%,0)</f>
        <v>0</v>
      </c>
      <c r="F2035" s="18">
        <f>SUM(Acueducto[[#This Row],[Acueducto]:[Aseo]])</f>
        <v>0</v>
      </c>
    </row>
    <row r="2036" spans="1:6" ht="15" x14ac:dyDescent="0.2">
      <c r="A2036" s="7">
        <v>520207</v>
      </c>
      <c r="B2036" s="3" t="s">
        <v>1239</v>
      </c>
      <c r="C2036" s="29">
        <f>ROUND(Balances[[#This Row],[Total]]*40%,0)</f>
        <v>0</v>
      </c>
      <c r="D2036" s="29">
        <f>ROUND(Balances[[#This Row],[Total]]*20%,0)</f>
        <v>0</v>
      </c>
      <c r="E2036" s="29">
        <f>ROUND(Balances[[#This Row],[Total]]*40%,0)</f>
        <v>0</v>
      </c>
      <c r="F2036" s="18">
        <f>SUM(Acueducto[[#This Row],[Acueducto]:[Aseo]])</f>
        <v>0</v>
      </c>
    </row>
    <row r="2037" spans="1:6" ht="15" x14ac:dyDescent="0.2">
      <c r="A2037" s="7">
        <v>520218</v>
      </c>
      <c r="B2037" s="3" t="s">
        <v>860</v>
      </c>
      <c r="C2037" s="29">
        <f>ROUND(Balances[[#This Row],[Total]]*40%,0)</f>
        <v>0</v>
      </c>
      <c r="D2037" s="29">
        <f>ROUND(Balances[[#This Row],[Total]]*20%,0)</f>
        <v>0</v>
      </c>
      <c r="E2037" s="29">
        <f>ROUND(Balances[[#This Row],[Total]]*40%,0)</f>
        <v>0</v>
      </c>
      <c r="F2037" s="18">
        <f>SUM(Acueducto[[#This Row],[Acueducto]:[Aseo]])</f>
        <v>0</v>
      </c>
    </row>
    <row r="2038" spans="1:6" ht="15" x14ac:dyDescent="0.2">
      <c r="A2038" s="7">
        <v>520220</v>
      </c>
      <c r="B2038" s="3" t="s">
        <v>1240</v>
      </c>
      <c r="C2038" s="29">
        <f>ROUND(Balances[[#This Row],[Total]]*40%,0)</f>
        <v>0</v>
      </c>
      <c r="D2038" s="29">
        <f>ROUND(Balances[[#This Row],[Total]]*20%,0)</f>
        <v>0</v>
      </c>
      <c r="E2038" s="29">
        <f>ROUND(Balances[[#This Row],[Total]]*40%,0)</f>
        <v>0</v>
      </c>
      <c r="F2038" s="18">
        <f>SUM(Acueducto[[#This Row],[Acueducto]:[Aseo]])</f>
        <v>0</v>
      </c>
    </row>
    <row r="2039" spans="1:6" ht="15" x14ac:dyDescent="0.2">
      <c r="A2039" s="7">
        <v>520226</v>
      </c>
      <c r="B2039" s="3" t="s">
        <v>1241</v>
      </c>
      <c r="C2039" s="29">
        <f>ROUND(Balances[[#This Row],[Total]]*40%,0)</f>
        <v>0</v>
      </c>
      <c r="D2039" s="29">
        <f>ROUND(Balances[[#This Row],[Total]]*20%,0)</f>
        <v>0</v>
      </c>
      <c r="E2039" s="29">
        <f>ROUND(Balances[[#This Row],[Total]]*40%,0)</f>
        <v>0</v>
      </c>
      <c r="F2039" s="18">
        <f>SUM(Acueducto[[#This Row],[Acueducto]:[Aseo]])</f>
        <v>0</v>
      </c>
    </row>
    <row r="2040" spans="1:6" ht="15" x14ac:dyDescent="0.2">
      <c r="A2040" s="7">
        <v>520230</v>
      </c>
      <c r="B2040" s="3" t="s">
        <v>231</v>
      </c>
      <c r="C2040" s="29">
        <f>ROUND(Balances[[#This Row],[Total]]*40%,0)</f>
        <v>0</v>
      </c>
      <c r="D2040" s="29">
        <f>ROUND(Balances[[#This Row],[Total]]*20%,0)</f>
        <v>0</v>
      </c>
      <c r="E2040" s="29">
        <f>ROUND(Balances[[#This Row],[Total]]*40%,0)</f>
        <v>0</v>
      </c>
      <c r="F2040" s="18">
        <f>SUM(Acueducto[[#This Row],[Acueducto]:[Aseo]])</f>
        <v>0</v>
      </c>
    </row>
    <row r="2041" spans="1:6" ht="15" x14ac:dyDescent="0.2">
      <c r="A2041" s="7">
        <v>520232</v>
      </c>
      <c r="B2041" s="3" t="s">
        <v>1242</v>
      </c>
      <c r="C2041" s="29">
        <f>ROUND(Balances[[#This Row],[Total]]*40%,0)</f>
        <v>0</v>
      </c>
      <c r="D2041" s="29">
        <f>ROUND(Balances[[#This Row],[Total]]*20%,0)</f>
        <v>0</v>
      </c>
      <c r="E2041" s="29">
        <f>ROUND(Balances[[#This Row],[Total]]*40%,0)</f>
        <v>0</v>
      </c>
      <c r="F2041" s="18">
        <f>SUM(Acueducto[[#This Row],[Acueducto]:[Aseo]])</f>
        <v>0</v>
      </c>
    </row>
    <row r="2042" spans="1:6" ht="15" x14ac:dyDescent="0.2">
      <c r="A2042" s="7">
        <v>520239</v>
      </c>
      <c r="B2042" s="3" t="s">
        <v>1243</v>
      </c>
      <c r="C2042" s="29">
        <f>ROUND(Balances[[#This Row],[Total]]*40%,0)</f>
        <v>0</v>
      </c>
      <c r="D2042" s="29">
        <f>ROUND(Balances[[#This Row],[Total]]*20%,0)</f>
        <v>0</v>
      </c>
      <c r="E2042" s="29">
        <f>ROUND(Balances[[#This Row],[Total]]*40%,0)</f>
        <v>0</v>
      </c>
      <c r="F2042" s="18">
        <f>SUM(Acueducto[[#This Row],[Acueducto]:[Aseo]])</f>
        <v>0</v>
      </c>
    </row>
    <row r="2043" spans="1:6" ht="15" x14ac:dyDescent="0.2">
      <c r="A2043" s="7">
        <v>520240</v>
      </c>
      <c r="B2043" s="3" t="s">
        <v>1244</v>
      </c>
      <c r="C2043" s="29">
        <f>ROUND(Balances[[#This Row],[Total]]*40%,0)</f>
        <v>0</v>
      </c>
      <c r="D2043" s="29">
        <f>ROUND(Balances[[#This Row],[Total]]*20%,0)</f>
        <v>0</v>
      </c>
      <c r="E2043" s="29">
        <f>ROUND(Balances[[#This Row],[Total]]*40%,0)</f>
        <v>0</v>
      </c>
      <c r="F2043" s="18">
        <f>SUM(Acueducto[[#This Row],[Acueducto]:[Aseo]])</f>
        <v>0</v>
      </c>
    </row>
    <row r="2044" spans="1:6" ht="15" x14ac:dyDescent="0.2">
      <c r="A2044" s="7">
        <v>520243</v>
      </c>
      <c r="B2044" s="3" t="s">
        <v>1245</v>
      </c>
      <c r="C2044" s="29">
        <f>ROUND(Balances[[#This Row],[Total]]*40%,0)</f>
        <v>0</v>
      </c>
      <c r="D2044" s="29">
        <f>ROUND(Balances[[#This Row],[Total]]*20%,0)</f>
        <v>0</v>
      </c>
      <c r="E2044" s="29">
        <f>ROUND(Balances[[#This Row],[Total]]*40%,0)</f>
        <v>0</v>
      </c>
      <c r="F2044" s="18">
        <f>SUM(Acueducto[[#This Row],[Acueducto]:[Aseo]])</f>
        <v>0</v>
      </c>
    </row>
    <row r="2045" spans="1:6" ht="15" x14ac:dyDescent="0.2">
      <c r="A2045" s="6">
        <v>5203</v>
      </c>
      <c r="B2045" s="2" t="s">
        <v>1246</v>
      </c>
      <c r="C2045" s="28">
        <f>ROUND(Balances[[#This Row],[Total]]*40%,0)</f>
        <v>0</v>
      </c>
      <c r="D2045" s="28">
        <f>ROUND(Balances[[#This Row],[Total]]*20%,0)</f>
        <v>0</v>
      </c>
      <c r="E2045" s="28">
        <f>ROUND(Balances[[#This Row],[Total]]*40%,0)</f>
        <v>0</v>
      </c>
      <c r="F2045" s="17">
        <f>SUM(Acueducto[[#This Row],[Acueducto]:[Aseo]])</f>
        <v>0</v>
      </c>
    </row>
    <row r="2046" spans="1:6" ht="15" x14ac:dyDescent="0.2">
      <c r="A2046" s="7">
        <v>520301</v>
      </c>
      <c r="B2046" s="3" t="s">
        <v>216</v>
      </c>
      <c r="C2046" s="29">
        <f>ROUND(Balances[[#This Row],[Total]]*40%,0)</f>
        <v>0</v>
      </c>
      <c r="D2046" s="29">
        <f>ROUND(Balances[[#This Row],[Total]]*20%,0)</f>
        <v>0</v>
      </c>
      <c r="E2046" s="29">
        <f>ROUND(Balances[[#This Row],[Total]]*40%,0)</f>
        <v>0</v>
      </c>
      <c r="F2046" s="18">
        <f>SUM(Acueducto[[#This Row],[Acueducto]:[Aseo]])</f>
        <v>0</v>
      </c>
    </row>
    <row r="2047" spans="1:6" ht="15" x14ac:dyDescent="0.2">
      <c r="A2047" s="7">
        <v>520302</v>
      </c>
      <c r="B2047" s="3" t="s">
        <v>1247</v>
      </c>
      <c r="C2047" s="29">
        <f>ROUND(Balances[[#This Row],[Total]]*40%,0)</f>
        <v>0</v>
      </c>
      <c r="D2047" s="29">
        <f>ROUND(Balances[[#This Row],[Total]]*20%,0)</f>
        <v>0</v>
      </c>
      <c r="E2047" s="29">
        <f>ROUND(Balances[[#This Row],[Total]]*40%,0)</f>
        <v>0</v>
      </c>
      <c r="F2047" s="18">
        <f>SUM(Acueducto[[#This Row],[Acueducto]:[Aseo]])</f>
        <v>0</v>
      </c>
    </row>
    <row r="2048" spans="1:6" ht="15" x14ac:dyDescent="0.2">
      <c r="A2048" s="7">
        <v>520303</v>
      </c>
      <c r="B2048" s="3" t="s">
        <v>243</v>
      </c>
      <c r="C2048" s="29">
        <f>ROUND(Balances[[#This Row],[Total]]*40%,0)</f>
        <v>0</v>
      </c>
      <c r="D2048" s="29">
        <f>ROUND(Balances[[#This Row],[Total]]*20%,0)</f>
        <v>0</v>
      </c>
      <c r="E2048" s="29">
        <f>ROUND(Balances[[#This Row],[Total]]*40%,0)</f>
        <v>0</v>
      </c>
      <c r="F2048" s="18">
        <f>SUM(Acueducto[[#This Row],[Acueducto]:[Aseo]])</f>
        <v>0</v>
      </c>
    </row>
    <row r="2049" spans="1:6" ht="15" x14ac:dyDescent="0.2">
      <c r="A2049" s="7">
        <v>520304</v>
      </c>
      <c r="B2049" s="3" t="s">
        <v>1248</v>
      </c>
      <c r="C2049" s="29">
        <f>ROUND(Balances[[#This Row],[Total]]*40%,0)</f>
        <v>0</v>
      </c>
      <c r="D2049" s="29">
        <f>ROUND(Balances[[#This Row],[Total]]*20%,0)</f>
        <v>0</v>
      </c>
      <c r="E2049" s="29">
        <f>ROUND(Balances[[#This Row],[Total]]*40%,0)</f>
        <v>0</v>
      </c>
      <c r="F2049" s="18">
        <f>SUM(Acueducto[[#This Row],[Acueducto]:[Aseo]])</f>
        <v>0</v>
      </c>
    </row>
    <row r="2050" spans="1:6" ht="15" x14ac:dyDescent="0.2">
      <c r="A2050" s="7">
        <v>520315</v>
      </c>
      <c r="B2050" s="3" t="s">
        <v>1249</v>
      </c>
      <c r="C2050" s="29">
        <f>ROUND(Balances[[#This Row],[Total]]*40%,0)</f>
        <v>0</v>
      </c>
      <c r="D2050" s="29">
        <f>ROUND(Balances[[#This Row],[Total]]*20%,0)</f>
        <v>0</v>
      </c>
      <c r="E2050" s="29">
        <f>ROUND(Balances[[#This Row],[Total]]*40%,0)</f>
        <v>0</v>
      </c>
      <c r="F2050" s="18">
        <f>SUM(Acueducto[[#This Row],[Acueducto]:[Aseo]])</f>
        <v>0</v>
      </c>
    </row>
    <row r="2051" spans="1:6" ht="15" x14ac:dyDescent="0.2">
      <c r="A2051" s="7">
        <v>520316</v>
      </c>
      <c r="B2051" s="3" t="s">
        <v>620</v>
      </c>
      <c r="C2051" s="29">
        <f>ROUND(Balances[[#This Row],[Total]]*40%,0)</f>
        <v>0</v>
      </c>
      <c r="D2051" s="29">
        <f>ROUND(Balances[[#This Row],[Total]]*20%,0)</f>
        <v>0</v>
      </c>
      <c r="E2051" s="29">
        <f>ROUND(Balances[[#This Row],[Total]]*40%,0)</f>
        <v>0</v>
      </c>
      <c r="F2051" s="18">
        <f>SUM(Acueducto[[#This Row],[Acueducto]:[Aseo]])</f>
        <v>0</v>
      </c>
    </row>
    <row r="2052" spans="1:6" ht="15" x14ac:dyDescent="0.2">
      <c r="A2052" s="7">
        <v>520317</v>
      </c>
      <c r="B2052" s="3" t="s">
        <v>875</v>
      </c>
      <c r="C2052" s="29">
        <f>ROUND(Balances[[#This Row],[Total]]*40%,0)</f>
        <v>0</v>
      </c>
      <c r="D2052" s="29">
        <f>ROUND(Balances[[#This Row],[Total]]*20%,0)</f>
        <v>0</v>
      </c>
      <c r="E2052" s="29">
        <f>ROUND(Balances[[#This Row],[Total]]*40%,0)</f>
        <v>0</v>
      </c>
      <c r="F2052" s="18">
        <f>SUM(Acueducto[[#This Row],[Acueducto]:[Aseo]])</f>
        <v>0</v>
      </c>
    </row>
    <row r="2053" spans="1:6" ht="15" x14ac:dyDescent="0.2">
      <c r="A2053" s="7">
        <v>520318</v>
      </c>
      <c r="B2053" s="3" t="s">
        <v>894</v>
      </c>
      <c r="C2053" s="29">
        <f>ROUND(Balances[[#This Row],[Total]]*40%,0)</f>
        <v>0</v>
      </c>
      <c r="D2053" s="29">
        <f>ROUND(Balances[[#This Row],[Total]]*20%,0)</f>
        <v>0</v>
      </c>
      <c r="E2053" s="29">
        <f>ROUND(Balances[[#This Row],[Total]]*40%,0)</f>
        <v>0</v>
      </c>
      <c r="F2053" s="18">
        <f>SUM(Acueducto[[#This Row],[Acueducto]:[Aseo]])</f>
        <v>0</v>
      </c>
    </row>
    <row r="2054" spans="1:6" ht="15" x14ac:dyDescent="0.2">
      <c r="A2054" s="7">
        <v>520390</v>
      </c>
      <c r="B2054" s="3" t="s">
        <v>1250</v>
      </c>
      <c r="C2054" s="29">
        <f>ROUND(Balances[[#This Row],[Total]]*40%,0)</f>
        <v>0</v>
      </c>
      <c r="D2054" s="29">
        <f>ROUND(Balances[[#This Row],[Total]]*20%,0)</f>
        <v>0</v>
      </c>
      <c r="E2054" s="29">
        <f>ROUND(Balances[[#This Row],[Total]]*40%,0)</f>
        <v>0</v>
      </c>
      <c r="F2054" s="18">
        <f>SUM(Acueducto[[#This Row],[Acueducto]:[Aseo]])</f>
        <v>0</v>
      </c>
    </row>
    <row r="2055" spans="1:6" ht="15" x14ac:dyDescent="0.2">
      <c r="A2055" s="6">
        <v>5204</v>
      </c>
      <c r="B2055" s="2" t="s">
        <v>1251</v>
      </c>
      <c r="C2055" s="28">
        <f>ROUND(Balances[[#This Row],[Total]]*40%,0)</f>
        <v>0</v>
      </c>
      <c r="D2055" s="28">
        <f>ROUND(Balances[[#This Row],[Total]]*20%,0)</f>
        <v>0</v>
      </c>
      <c r="E2055" s="28">
        <f>ROUND(Balances[[#This Row],[Total]]*40%,0)</f>
        <v>0</v>
      </c>
      <c r="F2055" s="17">
        <f>SUM(Acueducto[[#This Row],[Acueducto]:[Aseo]])</f>
        <v>0</v>
      </c>
    </row>
    <row r="2056" spans="1:6" ht="15" x14ac:dyDescent="0.2">
      <c r="A2056" s="7">
        <v>520401</v>
      </c>
      <c r="B2056" s="3" t="s">
        <v>1252</v>
      </c>
      <c r="C2056" s="29">
        <f>ROUND(Balances[[#This Row],[Total]]*40%,0)</f>
        <v>0</v>
      </c>
      <c r="D2056" s="29">
        <f>ROUND(Balances[[#This Row],[Total]]*20%,0)</f>
        <v>0</v>
      </c>
      <c r="E2056" s="29">
        <f>ROUND(Balances[[#This Row],[Total]]*40%,0)</f>
        <v>0</v>
      </c>
      <c r="F2056" s="18">
        <f>SUM(Acueducto[[#This Row],[Acueducto]:[Aseo]])</f>
        <v>0</v>
      </c>
    </row>
    <row r="2057" spans="1:6" ht="15" x14ac:dyDescent="0.2">
      <c r="A2057" s="7">
        <v>520402</v>
      </c>
      <c r="B2057" s="3" t="s">
        <v>873</v>
      </c>
      <c r="C2057" s="29">
        <f>ROUND(Balances[[#This Row],[Total]]*40%,0)</f>
        <v>0</v>
      </c>
      <c r="D2057" s="29">
        <f>ROUND(Balances[[#This Row],[Total]]*20%,0)</f>
        <v>0</v>
      </c>
      <c r="E2057" s="29">
        <f>ROUND(Balances[[#This Row],[Total]]*40%,0)</f>
        <v>0</v>
      </c>
      <c r="F2057" s="18">
        <f>SUM(Acueducto[[#This Row],[Acueducto]:[Aseo]])</f>
        <v>0</v>
      </c>
    </row>
    <row r="2058" spans="1:6" ht="15" x14ac:dyDescent="0.2">
      <c r="A2058" s="7">
        <v>520403</v>
      </c>
      <c r="B2058" s="3" t="s">
        <v>1253</v>
      </c>
      <c r="C2058" s="29">
        <f>ROUND(Balances[[#This Row],[Total]]*40%,0)</f>
        <v>0</v>
      </c>
      <c r="D2058" s="29">
        <f>ROUND(Balances[[#This Row],[Total]]*20%,0)</f>
        <v>0</v>
      </c>
      <c r="E2058" s="29">
        <f>ROUND(Balances[[#This Row],[Total]]*40%,0)</f>
        <v>0</v>
      </c>
      <c r="F2058" s="18">
        <f>SUM(Acueducto[[#This Row],[Acueducto]:[Aseo]])</f>
        <v>0</v>
      </c>
    </row>
    <row r="2059" spans="1:6" ht="15" x14ac:dyDescent="0.2">
      <c r="A2059" s="7">
        <v>520404</v>
      </c>
      <c r="B2059" s="3" t="s">
        <v>1254</v>
      </c>
      <c r="C2059" s="29">
        <f>ROUND(Balances[[#This Row],[Total]]*40%,0)</f>
        <v>0</v>
      </c>
      <c r="D2059" s="29">
        <f>ROUND(Balances[[#This Row],[Total]]*20%,0)</f>
        <v>0</v>
      </c>
      <c r="E2059" s="29">
        <f>ROUND(Balances[[#This Row],[Total]]*40%,0)</f>
        <v>0</v>
      </c>
      <c r="F2059" s="18">
        <f>SUM(Acueducto[[#This Row],[Acueducto]:[Aseo]])</f>
        <v>0</v>
      </c>
    </row>
    <row r="2060" spans="1:6" ht="15" x14ac:dyDescent="0.2">
      <c r="A2060" s="7">
        <v>520405</v>
      </c>
      <c r="B2060" s="3" t="s">
        <v>1255</v>
      </c>
      <c r="C2060" s="29">
        <f>ROUND(Balances[[#This Row],[Total]]*40%,0)</f>
        <v>0</v>
      </c>
      <c r="D2060" s="29">
        <f>ROUND(Balances[[#This Row],[Total]]*20%,0)</f>
        <v>0</v>
      </c>
      <c r="E2060" s="29">
        <f>ROUND(Balances[[#This Row],[Total]]*40%,0)</f>
        <v>0</v>
      </c>
      <c r="F2060" s="18">
        <f>SUM(Acueducto[[#This Row],[Acueducto]:[Aseo]])</f>
        <v>0</v>
      </c>
    </row>
    <row r="2061" spans="1:6" ht="15" x14ac:dyDescent="0.2">
      <c r="A2061" s="7">
        <v>520406</v>
      </c>
      <c r="B2061" s="3" t="s">
        <v>1256</v>
      </c>
      <c r="C2061" s="29">
        <f>ROUND(Balances[[#This Row],[Total]]*40%,0)</f>
        <v>0</v>
      </c>
      <c r="D2061" s="29">
        <f>ROUND(Balances[[#This Row],[Total]]*20%,0)</f>
        <v>0</v>
      </c>
      <c r="E2061" s="29">
        <f>ROUND(Balances[[#This Row],[Total]]*40%,0)</f>
        <v>0</v>
      </c>
      <c r="F2061" s="18">
        <f>SUM(Acueducto[[#This Row],[Acueducto]:[Aseo]])</f>
        <v>0</v>
      </c>
    </row>
    <row r="2062" spans="1:6" ht="15" x14ac:dyDescent="0.2">
      <c r="A2062" s="7">
        <v>520407</v>
      </c>
      <c r="B2062" s="3" t="s">
        <v>1257</v>
      </c>
      <c r="C2062" s="29">
        <f>ROUND(Balances[[#This Row],[Total]]*40%,0)</f>
        <v>0</v>
      </c>
      <c r="D2062" s="29">
        <f>ROUND(Balances[[#This Row],[Total]]*20%,0)</f>
        <v>0</v>
      </c>
      <c r="E2062" s="29">
        <f>ROUND(Balances[[#This Row],[Total]]*40%,0)</f>
        <v>0</v>
      </c>
      <c r="F2062" s="18">
        <f>SUM(Acueducto[[#This Row],[Acueducto]:[Aseo]])</f>
        <v>0</v>
      </c>
    </row>
    <row r="2063" spans="1:6" ht="15" x14ac:dyDescent="0.2">
      <c r="A2063" s="7">
        <v>520408</v>
      </c>
      <c r="B2063" s="3" t="s">
        <v>874</v>
      </c>
      <c r="C2063" s="29">
        <f>ROUND(Balances[[#This Row],[Total]]*40%,0)</f>
        <v>0</v>
      </c>
      <c r="D2063" s="29">
        <f>ROUND(Balances[[#This Row],[Total]]*20%,0)</f>
        <v>0</v>
      </c>
      <c r="E2063" s="29">
        <f>ROUND(Balances[[#This Row],[Total]]*40%,0)</f>
        <v>0</v>
      </c>
      <c r="F2063" s="18">
        <f>SUM(Acueducto[[#This Row],[Acueducto]:[Aseo]])</f>
        <v>0</v>
      </c>
    </row>
    <row r="2064" spans="1:6" ht="15" x14ac:dyDescent="0.2">
      <c r="A2064" s="7">
        <v>520490</v>
      </c>
      <c r="B2064" s="3" t="s">
        <v>1258</v>
      </c>
      <c r="C2064" s="29">
        <f>ROUND(Balances[[#This Row],[Total]]*40%,0)</f>
        <v>0</v>
      </c>
      <c r="D2064" s="29">
        <f>ROUND(Balances[[#This Row],[Total]]*20%,0)</f>
        <v>0</v>
      </c>
      <c r="E2064" s="29">
        <f>ROUND(Balances[[#This Row],[Total]]*40%,0)</f>
        <v>0</v>
      </c>
      <c r="F2064" s="18">
        <f>SUM(Acueducto[[#This Row],[Acueducto]:[Aseo]])</f>
        <v>0</v>
      </c>
    </row>
    <row r="2065" spans="1:6" ht="15" x14ac:dyDescent="0.2">
      <c r="A2065" s="6">
        <v>5207</v>
      </c>
      <c r="B2065" s="2" t="s">
        <v>1259</v>
      </c>
      <c r="C2065" s="28">
        <f>ROUND(Balances[[#This Row],[Total]]*40%,0)</f>
        <v>0</v>
      </c>
      <c r="D2065" s="28">
        <f>ROUND(Balances[[#This Row],[Total]]*20%,0)</f>
        <v>0</v>
      </c>
      <c r="E2065" s="28">
        <f>ROUND(Balances[[#This Row],[Total]]*40%,0)</f>
        <v>0</v>
      </c>
      <c r="F2065" s="17">
        <f>SUM(Acueducto[[#This Row],[Acueducto]:[Aseo]])</f>
        <v>0</v>
      </c>
    </row>
    <row r="2066" spans="1:6" ht="15" x14ac:dyDescent="0.2">
      <c r="A2066" s="7">
        <v>520701</v>
      </c>
      <c r="B2066" s="3" t="s">
        <v>1260</v>
      </c>
      <c r="C2066" s="29">
        <f>ROUND(Balances[[#This Row],[Total]]*40%,0)</f>
        <v>0</v>
      </c>
      <c r="D2066" s="29">
        <f>ROUND(Balances[[#This Row],[Total]]*20%,0)</f>
        <v>0</v>
      </c>
      <c r="E2066" s="29">
        <f>ROUND(Balances[[#This Row],[Total]]*40%,0)</f>
        <v>0</v>
      </c>
      <c r="F2066" s="18">
        <f>SUM(Acueducto[[#This Row],[Acueducto]:[Aseo]])</f>
        <v>0</v>
      </c>
    </row>
    <row r="2067" spans="1:6" ht="15" x14ac:dyDescent="0.2">
      <c r="A2067" s="7">
        <v>520702</v>
      </c>
      <c r="B2067" s="3" t="s">
        <v>1261</v>
      </c>
      <c r="C2067" s="29">
        <f>ROUND(Balances[[#This Row],[Total]]*40%,0)</f>
        <v>0</v>
      </c>
      <c r="D2067" s="29">
        <f>ROUND(Balances[[#This Row],[Total]]*20%,0)</f>
        <v>0</v>
      </c>
      <c r="E2067" s="29">
        <f>ROUND(Balances[[#This Row],[Total]]*40%,0)</f>
        <v>0</v>
      </c>
      <c r="F2067" s="18">
        <f>SUM(Acueducto[[#This Row],[Acueducto]:[Aseo]])</f>
        <v>0</v>
      </c>
    </row>
    <row r="2068" spans="1:6" ht="15" x14ac:dyDescent="0.2">
      <c r="A2068" s="7">
        <v>520703</v>
      </c>
      <c r="B2068" s="3" t="s">
        <v>1262</v>
      </c>
      <c r="C2068" s="29">
        <f>ROUND(Balances[[#This Row],[Total]]*40%,0)</f>
        <v>0</v>
      </c>
      <c r="D2068" s="29">
        <f>ROUND(Balances[[#This Row],[Total]]*20%,0)</f>
        <v>0</v>
      </c>
      <c r="E2068" s="29">
        <f>ROUND(Balances[[#This Row],[Total]]*40%,0)</f>
        <v>0</v>
      </c>
      <c r="F2068" s="18">
        <f>SUM(Acueducto[[#This Row],[Acueducto]:[Aseo]])</f>
        <v>0</v>
      </c>
    </row>
    <row r="2069" spans="1:6" ht="15" x14ac:dyDescent="0.2">
      <c r="A2069" s="7">
        <v>520704</v>
      </c>
      <c r="B2069" s="3" t="s">
        <v>1263</v>
      </c>
      <c r="C2069" s="29">
        <f>ROUND(Balances[[#This Row],[Total]]*40%,0)</f>
        <v>0</v>
      </c>
      <c r="D2069" s="29">
        <f>ROUND(Balances[[#This Row],[Total]]*20%,0)</f>
        <v>0</v>
      </c>
      <c r="E2069" s="29">
        <f>ROUND(Balances[[#This Row],[Total]]*40%,0)</f>
        <v>0</v>
      </c>
      <c r="F2069" s="18">
        <f>SUM(Acueducto[[#This Row],[Acueducto]:[Aseo]])</f>
        <v>0</v>
      </c>
    </row>
    <row r="2070" spans="1:6" ht="15" x14ac:dyDescent="0.2">
      <c r="A2070" s="6">
        <v>5208</v>
      </c>
      <c r="B2070" s="2" t="s">
        <v>1264</v>
      </c>
      <c r="C2070" s="28">
        <f>ROUND(Balances[[#This Row],[Total]]*40%,0)</f>
        <v>0</v>
      </c>
      <c r="D2070" s="28">
        <f>ROUND(Balances[[#This Row],[Total]]*20%,0)</f>
        <v>0</v>
      </c>
      <c r="E2070" s="28">
        <f>ROUND(Balances[[#This Row],[Total]]*40%,0)</f>
        <v>0</v>
      </c>
      <c r="F2070" s="17">
        <f>SUM(Acueducto[[#This Row],[Acueducto]:[Aseo]])</f>
        <v>0</v>
      </c>
    </row>
    <row r="2071" spans="1:6" ht="15" x14ac:dyDescent="0.2">
      <c r="A2071" s="7">
        <v>520801</v>
      </c>
      <c r="B2071" s="3" t="s">
        <v>856</v>
      </c>
      <c r="C2071" s="29">
        <f>ROUND(Balances[[#This Row],[Total]]*40%,0)</f>
        <v>0</v>
      </c>
      <c r="D2071" s="29">
        <f>ROUND(Balances[[#This Row],[Total]]*20%,0)</f>
        <v>0</v>
      </c>
      <c r="E2071" s="29">
        <f>ROUND(Balances[[#This Row],[Total]]*40%,0)</f>
        <v>0</v>
      </c>
      <c r="F2071" s="18">
        <f>SUM(Acueducto[[#This Row],[Acueducto]:[Aseo]])</f>
        <v>0</v>
      </c>
    </row>
    <row r="2072" spans="1:6" ht="15" x14ac:dyDescent="0.2">
      <c r="A2072" s="7">
        <v>520802</v>
      </c>
      <c r="B2072" s="3" t="s">
        <v>854</v>
      </c>
      <c r="C2072" s="29">
        <f>ROUND(Balances[[#This Row],[Total]]*40%,0)</f>
        <v>0</v>
      </c>
      <c r="D2072" s="29">
        <f>ROUND(Balances[[#This Row],[Total]]*20%,0)</f>
        <v>0</v>
      </c>
      <c r="E2072" s="29">
        <f>ROUND(Balances[[#This Row],[Total]]*40%,0)</f>
        <v>0</v>
      </c>
      <c r="F2072" s="18">
        <f>SUM(Acueducto[[#This Row],[Acueducto]:[Aseo]])</f>
        <v>0</v>
      </c>
    </row>
    <row r="2073" spans="1:6" ht="15" x14ac:dyDescent="0.2">
      <c r="A2073" s="7">
        <v>520803</v>
      </c>
      <c r="B2073" s="3" t="s">
        <v>1265</v>
      </c>
      <c r="C2073" s="29">
        <f>ROUND(Balances[[#This Row],[Total]]*40%,0)</f>
        <v>0</v>
      </c>
      <c r="D2073" s="29">
        <f>ROUND(Balances[[#This Row],[Total]]*20%,0)</f>
        <v>0</v>
      </c>
      <c r="E2073" s="29">
        <f>ROUND(Balances[[#This Row],[Total]]*40%,0)</f>
        <v>0</v>
      </c>
      <c r="F2073" s="18">
        <f>SUM(Acueducto[[#This Row],[Acueducto]:[Aseo]])</f>
        <v>0</v>
      </c>
    </row>
    <row r="2074" spans="1:6" ht="15" x14ac:dyDescent="0.2">
      <c r="A2074" s="7">
        <v>520804</v>
      </c>
      <c r="B2074" s="3" t="s">
        <v>857</v>
      </c>
      <c r="C2074" s="29">
        <f>ROUND(Balances[[#This Row],[Total]]*40%,0)</f>
        <v>0</v>
      </c>
      <c r="D2074" s="29">
        <f>ROUND(Balances[[#This Row],[Total]]*20%,0)</f>
        <v>0</v>
      </c>
      <c r="E2074" s="29">
        <f>ROUND(Balances[[#This Row],[Total]]*40%,0)</f>
        <v>0</v>
      </c>
      <c r="F2074" s="18">
        <f>SUM(Acueducto[[#This Row],[Acueducto]:[Aseo]])</f>
        <v>0</v>
      </c>
    </row>
    <row r="2075" spans="1:6" ht="15" x14ac:dyDescent="0.2">
      <c r="A2075" s="7">
        <v>520805</v>
      </c>
      <c r="B2075" s="3" t="s">
        <v>859</v>
      </c>
      <c r="C2075" s="29">
        <f>ROUND(Balances[[#This Row],[Total]]*40%,0)</f>
        <v>0</v>
      </c>
      <c r="D2075" s="29">
        <f>ROUND(Balances[[#This Row],[Total]]*20%,0)</f>
        <v>0</v>
      </c>
      <c r="E2075" s="29">
        <f>ROUND(Balances[[#This Row],[Total]]*40%,0)</f>
        <v>0</v>
      </c>
      <c r="F2075" s="18">
        <f>SUM(Acueducto[[#This Row],[Acueducto]:[Aseo]])</f>
        <v>0</v>
      </c>
    </row>
    <row r="2076" spans="1:6" ht="15" x14ac:dyDescent="0.2">
      <c r="A2076" s="7">
        <v>520806</v>
      </c>
      <c r="B2076" s="3" t="s">
        <v>858</v>
      </c>
      <c r="C2076" s="29">
        <f>ROUND(Balances[[#This Row],[Total]]*40%,0)</f>
        <v>0</v>
      </c>
      <c r="D2076" s="29">
        <f>ROUND(Balances[[#This Row],[Total]]*20%,0)</f>
        <v>0</v>
      </c>
      <c r="E2076" s="29">
        <f>ROUND(Balances[[#This Row],[Total]]*40%,0)</f>
        <v>0</v>
      </c>
      <c r="F2076" s="18">
        <f>SUM(Acueducto[[#This Row],[Acueducto]:[Aseo]])</f>
        <v>0</v>
      </c>
    </row>
    <row r="2077" spans="1:6" ht="15" x14ac:dyDescent="0.2">
      <c r="A2077" s="7">
        <v>520807</v>
      </c>
      <c r="B2077" s="3" t="s">
        <v>879</v>
      </c>
      <c r="C2077" s="29">
        <f>ROUND(Balances[[#This Row],[Total]]*40%,0)</f>
        <v>0</v>
      </c>
      <c r="D2077" s="29">
        <f>ROUND(Balances[[#This Row],[Total]]*20%,0)</f>
        <v>0</v>
      </c>
      <c r="E2077" s="29">
        <f>ROUND(Balances[[#This Row],[Total]]*40%,0)</f>
        <v>0</v>
      </c>
      <c r="F2077" s="18">
        <f>SUM(Acueducto[[#This Row],[Acueducto]:[Aseo]])</f>
        <v>0</v>
      </c>
    </row>
    <row r="2078" spans="1:6" ht="15" x14ac:dyDescent="0.2">
      <c r="A2078" s="7">
        <v>520890</v>
      </c>
      <c r="B2078" s="3" t="s">
        <v>861</v>
      </c>
      <c r="C2078" s="29">
        <f>ROUND(Balances[[#This Row],[Total]]*40%,0)</f>
        <v>0</v>
      </c>
      <c r="D2078" s="29">
        <f>ROUND(Balances[[#This Row],[Total]]*20%,0)</f>
        <v>0</v>
      </c>
      <c r="E2078" s="29">
        <f>ROUND(Balances[[#This Row],[Total]]*40%,0)</f>
        <v>0</v>
      </c>
      <c r="F2078" s="18">
        <f>SUM(Acueducto[[#This Row],[Acueducto]:[Aseo]])</f>
        <v>0</v>
      </c>
    </row>
    <row r="2079" spans="1:6" ht="15" x14ac:dyDescent="0.2">
      <c r="A2079" s="7">
        <v>520895</v>
      </c>
      <c r="B2079" s="3" t="s">
        <v>1266</v>
      </c>
      <c r="C2079" s="29">
        <f>ROUND(Balances[[#This Row],[Total]]*40%,0)</f>
        <v>0</v>
      </c>
      <c r="D2079" s="29">
        <f>ROUND(Balances[[#This Row],[Total]]*20%,0)</f>
        <v>0</v>
      </c>
      <c r="E2079" s="29">
        <f>ROUND(Balances[[#This Row],[Total]]*40%,0)</f>
        <v>0</v>
      </c>
      <c r="F2079" s="18">
        <f>SUM(Acueducto[[#This Row],[Acueducto]:[Aseo]])</f>
        <v>0</v>
      </c>
    </row>
    <row r="2080" spans="1:6" ht="15" x14ac:dyDescent="0.2">
      <c r="A2080" s="6">
        <v>5211</v>
      </c>
      <c r="B2080" s="2" t="s">
        <v>1272</v>
      </c>
      <c r="C2080" s="28">
        <f>ROUND(Balances[[#This Row],[Total]]*40%,0)</f>
        <v>0</v>
      </c>
      <c r="D2080" s="28">
        <f>ROUND(Balances[[#This Row],[Total]]*20%,0)</f>
        <v>0</v>
      </c>
      <c r="E2080" s="28">
        <f>ROUND(Balances[[#This Row],[Total]]*40%,0)</f>
        <v>0</v>
      </c>
      <c r="F2080" s="17">
        <f>SUM(Acueducto[[#This Row],[Acueducto]:[Aseo]])</f>
        <v>0</v>
      </c>
    </row>
    <row r="2081" spans="1:6" ht="15" x14ac:dyDescent="0.2">
      <c r="A2081" s="7">
        <v>521110</v>
      </c>
      <c r="B2081" s="3" t="s">
        <v>1280</v>
      </c>
      <c r="C2081" s="29">
        <f>ROUND(Balances[[#This Row],[Total]]*40%,0)</f>
        <v>0</v>
      </c>
      <c r="D2081" s="29">
        <f>ROUND(Balances[[#This Row],[Total]]*20%,0)</f>
        <v>0</v>
      </c>
      <c r="E2081" s="29">
        <f>ROUND(Balances[[#This Row],[Total]]*40%,0)</f>
        <v>0</v>
      </c>
      <c r="F2081" s="18">
        <f>SUM(Acueducto[[#This Row],[Acueducto]:[Aseo]])</f>
        <v>0</v>
      </c>
    </row>
    <row r="2082" spans="1:6" ht="15" x14ac:dyDescent="0.2">
      <c r="A2082" s="7">
        <v>521111</v>
      </c>
      <c r="B2082" s="3" t="s">
        <v>1281</v>
      </c>
      <c r="C2082" s="29">
        <f>ROUND(Balances[[#This Row],[Total]]*40%,0)</f>
        <v>0</v>
      </c>
      <c r="D2082" s="29">
        <f>ROUND(Balances[[#This Row],[Total]]*20%,0)</f>
        <v>0</v>
      </c>
      <c r="E2082" s="29">
        <f>ROUND(Balances[[#This Row],[Total]]*40%,0)</f>
        <v>0</v>
      </c>
      <c r="F2082" s="18">
        <f>SUM(Acueducto[[#This Row],[Acueducto]:[Aseo]])</f>
        <v>0</v>
      </c>
    </row>
    <row r="2083" spans="1:6" ht="15" x14ac:dyDescent="0.2">
      <c r="A2083" s="7">
        <v>521113</v>
      </c>
      <c r="B2083" s="3" t="s">
        <v>565</v>
      </c>
      <c r="C2083" s="29">
        <f>ROUND(Balances[[#This Row],[Total]]*40%,0)</f>
        <v>0</v>
      </c>
      <c r="D2083" s="29">
        <f>ROUND(Balances[[#This Row],[Total]]*20%,0)</f>
        <v>0</v>
      </c>
      <c r="E2083" s="29">
        <f>ROUND(Balances[[#This Row],[Total]]*40%,0)</f>
        <v>0</v>
      </c>
      <c r="F2083" s="18">
        <f>SUM(Acueducto[[#This Row],[Acueducto]:[Aseo]])</f>
        <v>0</v>
      </c>
    </row>
    <row r="2084" spans="1:6" ht="15" x14ac:dyDescent="0.2">
      <c r="A2084" s="7">
        <v>521114</v>
      </c>
      <c r="B2084" s="3" t="s">
        <v>1282</v>
      </c>
      <c r="C2084" s="29">
        <f>ROUND(Balances[[#This Row],[Total]]*40%,0)</f>
        <v>0</v>
      </c>
      <c r="D2084" s="29">
        <f>ROUND(Balances[[#This Row],[Total]]*20%,0)</f>
        <v>0</v>
      </c>
      <c r="E2084" s="29">
        <f>ROUND(Balances[[#This Row],[Total]]*40%,0)</f>
        <v>0</v>
      </c>
      <c r="F2084" s="18">
        <f>SUM(Acueducto[[#This Row],[Acueducto]:[Aseo]])</f>
        <v>0</v>
      </c>
    </row>
    <row r="2085" spans="1:6" ht="15" x14ac:dyDescent="0.2">
      <c r="A2085" s="7">
        <v>521115</v>
      </c>
      <c r="B2085" s="3" t="s">
        <v>838</v>
      </c>
      <c r="C2085" s="29">
        <f>ROUND(Balances[[#This Row],[Total]]*40%,0)</f>
        <v>0</v>
      </c>
      <c r="D2085" s="29">
        <f>ROUND(Balances[[#This Row],[Total]]*20%,0)</f>
        <v>0</v>
      </c>
      <c r="E2085" s="29">
        <f>ROUND(Balances[[#This Row],[Total]]*40%,0)</f>
        <v>0</v>
      </c>
      <c r="F2085" s="18">
        <f>SUM(Acueducto[[#This Row],[Acueducto]:[Aseo]])</f>
        <v>0</v>
      </c>
    </row>
    <row r="2086" spans="1:6" ht="15" x14ac:dyDescent="0.2">
      <c r="A2086" s="7">
        <v>521116</v>
      </c>
      <c r="B2086" s="3" t="s">
        <v>256</v>
      </c>
      <c r="C2086" s="29">
        <f>ROUND(Balances[[#This Row],[Total]]*40%,0)</f>
        <v>0</v>
      </c>
      <c r="D2086" s="29">
        <f>ROUND(Balances[[#This Row],[Total]]*20%,0)</f>
        <v>0</v>
      </c>
      <c r="E2086" s="29">
        <f>ROUND(Balances[[#This Row],[Total]]*40%,0)</f>
        <v>0</v>
      </c>
      <c r="F2086" s="18">
        <f>SUM(Acueducto[[#This Row],[Acueducto]:[Aseo]])</f>
        <v>0</v>
      </c>
    </row>
    <row r="2087" spans="1:6" ht="15" x14ac:dyDescent="0.2">
      <c r="A2087" s="7">
        <v>521117</v>
      </c>
      <c r="B2087" s="3" t="s">
        <v>823</v>
      </c>
      <c r="C2087" s="29">
        <f>ROUND(Balances[[#This Row],[Total]]*40%,0)</f>
        <v>0</v>
      </c>
      <c r="D2087" s="29">
        <f>ROUND(Balances[[#This Row],[Total]]*20%,0)</f>
        <v>0</v>
      </c>
      <c r="E2087" s="29">
        <f>ROUND(Balances[[#This Row],[Total]]*40%,0)</f>
        <v>0</v>
      </c>
      <c r="F2087" s="18">
        <f>SUM(Acueducto[[#This Row],[Acueducto]:[Aseo]])</f>
        <v>0</v>
      </c>
    </row>
    <row r="2088" spans="1:6" ht="15" x14ac:dyDescent="0.2">
      <c r="A2088" s="7">
        <v>521118</v>
      </c>
      <c r="B2088" s="3" t="s">
        <v>143</v>
      </c>
      <c r="C2088" s="29">
        <f>ROUND(Balances[[#This Row],[Total]]*40%,0)</f>
        <v>0</v>
      </c>
      <c r="D2088" s="29">
        <f>ROUND(Balances[[#This Row],[Total]]*20%,0)</f>
        <v>0</v>
      </c>
      <c r="E2088" s="29">
        <f>ROUND(Balances[[#This Row],[Total]]*40%,0)</f>
        <v>0</v>
      </c>
      <c r="F2088" s="18">
        <f>SUM(Acueducto[[#This Row],[Acueducto]:[Aseo]])</f>
        <v>0</v>
      </c>
    </row>
    <row r="2089" spans="1:6" ht="15" x14ac:dyDescent="0.2">
      <c r="A2089" s="7">
        <v>521119</v>
      </c>
      <c r="B2089" s="3" t="s">
        <v>564</v>
      </c>
      <c r="C2089" s="29">
        <f>ROUND(Balances[[#This Row],[Total]]*40%,0)</f>
        <v>0</v>
      </c>
      <c r="D2089" s="29">
        <f>ROUND(Balances[[#This Row],[Total]]*20%,0)</f>
        <v>0</v>
      </c>
      <c r="E2089" s="29">
        <f>ROUND(Balances[[#This Row],[Total]]*40%,0)</f>
        <v>0</v>
      </c>
      <c r="F2089" s="18">
        <f>SUM(Acueducto[[#This Row],[Acueducto]:[Aseo]])</f>
        <v>0</v>
      </c>
    </row>
    <row r="2090" spans="1:6" ht="15" x14ac:dyDescent="0.2">
      <c r="A2090" s="7">
        <v>521120</v>
      </c>
      <c r="B2090" s="3" t="s">
        <v>1206</v>
      </c>
      <c r="C2090" s="29">
        <f>ROUND(Balances[[#This Row],[Total]]*40%,0)</f>
        <v>0</v>
      </c>
      <c r="D2090" s="29">
        <f>ROUND(Balances[[#This Row],[Total]]*20%,0)</f>
        <v>0</v>
      </c>
      <c r="E2090" s="29">
        <f>ROUND(Balances[[#This Row],[Total]]*40%,0)</f>
        <v>0</v>
      </c>
      <c r="F2090" s="18">
        <f>SUM(Acueducto[[#This Row],[Acueducto]:[Aseo]])</f>
        <v>0</v>
      </c>
    </row>
    <row r="2091" spans="1:6" ht="15" x14ac:dyDescent="0.2">
      <c r="A2091" s="7">
        <v>521121</v>
      </c>
      <c r="B2091" s="3" t="s">
        <v>1283</v>
      </c>
      <c r="C2091" s="29">
        <f>ROUND(Balances[[#This Row],[Total]]*40%,0)</f>
        <v>0</v>
      </c>
      <c r="D2091" s="29">
        <f>ROUND(Balances[[#This Row],[Total]]*20%,0)</f>
        <v>0</v>
      </c>
      <c r="E2091" s="29">
        <f>ROUND(Balances[[#This Row],[Total]]*40%,0)</f>
        <v>0</v>
      </c>
      <c r="F2091" s="18">
        <f>SUM(Acueducto[[#This Row],[Acueducto]:[Aseo]])</f>
        <v>0</v>
      </c>
    </row>
    <row r="2092" spans="1:6" ht="15" x14ac:dyDescent="0.2">
      <c r="A2092" s="7">
        <v>521123</v>
      </c>
      <c r="B2092" s="3" t="s">
        <v>1284</v>
      </c>
      <c r="C2092" s="29">
        <f>ROUND(Balances[[#This Row],[Total]]*40%,0)</f>
        <v>0</v>
      </c>
      <c r="D2092" s="29">
        <f>ROUND(Balances[[#This Row],[Total]]*20%,0)</f>
        <v>0</v>
      </c>
      <c r="E2092" s="29">
        <f>ROUND(Balances[[#This Row],[Total]]*40%,0)</f>
        <v>0</v>
      </c>
      <c r="F2092" s="18">
        <f>SUM(Acueducto[[#This Row],[Acueducto]:[Aseo]])</f>
        <v>0</v>
      </c>
    </row>
    <row r="2093" spans="1:6" ht="15" x14ac:dyDescent="0.2">
      <c r="A2093" s="7">
        <v>521125</v>
      </c>
      <c r="B2093" s="3" t="s">
        <v>1285</v>
      </c>
      <c r="C2093" s="29">
        <f>ROUND(Balances[[#This Row],[Total]]*40%,0)</f>
        <v>0</v>
      </c>
      <c r="D2093" s="29">
        <f>ROUND(Balances[[#This Row],[Total]]*20%,0)</f>
        <v>0</v>
      </c>
      <c r="E2093" s="29">
        <f>ROUND(Balances[[#This Row],[Total]]*40%,0)</f>
        <v>0</v>
      </c>
      <c r="F2093" s="18">
        <f>SUM(Acueducto[[#This Row],[Acueducto]:[Aseo]])</f>
        <v>0</v>
      </c>
    </row>
    <row r="2094" spans="1:6" ht="15" x14ac:dyDescent="0.2">
      <c r="A2094" s="7">
        <v>521130</v>
      </c>
      <c r="B2094" s="3" t="s">
        <v>1286</v>
      </c>
      <c r="C2094" s="29">
        <f>ROUND(Balances[[#This Row],[Total]]*40%,0)</f>
        <v>0</v>
      </c>
      <c r="D2094" s="29">
        <f>ROUND(Balances[[#This Row],[Total]]*20%,0)</f>
        <v>0</v>
      </c>
      <c r="E2094" s="29">
        <f>ROUND(Balances[[#This Row],[Total]]*40%,0)</f>
        <v>0</v>
      </c>
      <c r="F2094" s="18">
        <f>SUM(Acueducto[[#This Row],[Acueducto]:[Aseo]])</f>
        <v>0</v>
      </c>
    </row>
    <row r="2095" spans="1:6" ht="15" x14ac:dyDescent="0.2">
      <c r="A2095" s="7">
        <v>521144</v>
      </c>
      <c r="B2095" s="3" t="s">
        <v>345</v>
      </c>
      <c r="C2095" s="29">
        <f>ROUND(Balances[[#This Row],[Total]]*40%,0)</f>
        <v>0</v>
      </c>
      <c r="D2095" s="29">
        <f>ROUND(Balances[[#This Row],[Total]]*20%,0)</f>
        <v>0</v>
      </c>
      <c r="E2095" s="29">
        <f>ROUND(Balances[[#This Row],[Total]]*40%,0)</f>
        <v>0</v>
      </c>
      <c r="F2095" s="18">
        <f>SUM(Acueducto[[#This Row],[Acueducto]:[Aseo]])</f>
        <v>0</v>
      </c>
    </row>
    <row r="2096" spans="1:6" ht="15" x14ac:dyDescent="0.2">
      <c r="A2096" s="7">
        <v>521147</v>
      </c>
      <c r="B2096" s="3" t="s">
        <v>1294</v>
      </c>
      <c r="C2096" s="29">
        <f>ROUND(Balances[[#This Row],[Total]]*40%,0)</f>
        <v>0</v>
      </c>
      <c r="D2096" s="29">
        <f>ROUND(Balances[[#This Row],[Total]]*20%,0)</f>
        <v>0</v>
      </c>
      <c r="E2096" s="29">
        <f>ROUND(Balances[[#This Row],[Total]]*40%,0)</f>
        <v>0</v>
      </c>
      <c r="F2096" s="18">
        <f>SUM(Acueducto[[#This Row],[Acueducto]:[Aseo]])</f>
        <v>0</v>
      </c>
    </row>
    <row r="2097" spans="1:6" ht="15" x14ac:dyDescent="0.2">
      <c r="A2097" s="7">
        <v>521153</v>
      </c>
      <c r="B2097" s="3" t="s">
        <v>1298</v>
      </c>
      <c r="C2097" s="29">
        <f>ROUND(Balances[[#This Row],[Total]]*40%,0)</f>
        <v>0</v>
      </c>
      <c r="D2097" s="29">
        <f>ROUND(Balances[[#This Row],[Total]]*20%,0)</f>
        <v>0</v>
      </c>
      <c r="E2097" s="29">
        <f>ROUND(Balances[[#This Row],[Total]]*40%,0)</f>
        <v>0</v>
      </c>
      <c r="F2097" s="18">
        <f>SUM(Acueducto[[#This Row],[Acueducto]:[Aseo]])</f>
        <v>0</v>
      </c>
    </row>
    <row r="2098" spans="1:6" ht="15" x14ac:dyDescent="0.2">
      <c r="A2098" s="7">
        <v>521154</v>
      </c>
      <c r="B2098" s="3" t="s">
        <v>566</v>
      </c>
      <c r="C2098" s="29">
        <f>ROUND(Balances[[#This Row],[Total]]*40%,0)</f>
        <v>0</v>
      </c>
      <c r="D2098" s="29">
        <f>ROUND(Balances[[#This Row],[Total]]*20%,0)</f>
        <v>0</v>
      </c>
      <c r="E2098" s="29">
        <f>ROUND(Balances[[#This Row],[Total]]*40%,0)</f>
        <v>0</v>
      </c>
      <c r="F2098" s="18">
        <f>SUM(Acueducto[[#This Row],[Acueducto]:[Aseo]])</f>
        <v>0</v>
      </c>
    </row>
    <row r="2099" spans="1:6" ht="15" x14ac:dyDescent="0.2">
      <c r="A2099" s="7">
        <v>521160</v>
      </c>
      <c r="B2099" s="3" t="s">
        <v>1301</v>
      </c>
      <c r="C2099" s="29">
        <f>ROUND(Balances[[#This Row],[Total]]*40%,0)</f>
        <v>0</v>
      </c>
      <c r="D2099" s="29">
        <f>ROUND(Balances[[#This Row],[Total]]*20%,0)</f>
        <v>0</v>
      </c>
      <c r="E2099" s="29">
        <f>ROUND(Balances[[#This Row],[Total]]*40%,0)</f>
        <v>0</v>
      </c>
      <c r="F2099" s="18">
        <f>SUM(Acueducto[[#This Row],[Acueducto]:[Aseo]])</f>
        <v>0</v>
      </c>
    </row>
    <row r="2100" spans="1:6" ht="15" x14ac:dyDescent="0.2">
      <c r="A2100" s="7">
        <v>521162</v>
      </c>
      <c r="B2100" s="3" t="s">
        <v>1303</v>
      </c>
      <c r="C2100" s="29">
        <f>ROUND(Balances[[#This Row],[Total]]*40%,0)</f>
        <v>0</v>
      </c>
      <c r="D2100" s="29">
        <f>ROUND(Balances[[#This Row],[Total]]*20%,0)</f>
        <v>0</v>
      </c>
      <c r="E2100" s="29">
        <f>ROUND(Balances[[#This Row],[Total]]*40%,0)</f>
        <v>0</v>
      </c>
      <c r="F2100" s="18">
        <f>SUM(Acueducto[[#This Row],[Acueducto]:[Aseo]])</f>
        <v>0</v>
      </c>
    </row>
    <row r="2101" spans="1:6" ht="15" x14ac:dyDescent="0.2">
      <c r="A2101" s="7">
        <v>521163</v>
      </c>
      <c r="B2101" s="3" t="s">
        <v>825</v>
      </c>
      <c r="C2101" s="29">
        <f>ROUND(Balances[[#This Row],[Total]]*40%,0)</f>
        <v>0</v>
      </c>
      <c r="D2101" s="29">
        <f>ROUND(Balances[[#This Row],[Total]]*20%,0)</f>
        <v>0</v>
      </c>
      <c r="E2101" s="29">
        <f>ROUND(Balances[[#This Row],[Total]]*40%,0)</f>
        <v>0</v>
      </c>
      <c r="F2101" s="18">
        <f>SUM(Acueducto[[#This Row],[Acueducto]:[Aseo]])</f>
        <v>0</v>
      </c>
    </row>
    <row r="2102" spans="1:6" ht="15" x14ac:dyDescent="0.2">
      <c r="A2102" s="7">
        <v>521171</v>
      </c>
      <c r="B2102" s="3" t="s">
        <v>231</v>
      </c>
      <c r="C2102" s="29">
        <f>ROUND(Balances[[#This Row],[Total]]*40%,0)</f>
        <v>0</v>
      </c>
      <c r="D2102" s="29">
        <f>ROUND(Balances[[#This Row],[Total]]*20%,0)</f>
        <v>0</v>
      </c>
      <c r="E2102" s="29">
        <f>ROUND(Balances[[#This Row],[Total]]*40%,0)</f>
        <v>0</v>
      </c>
      <c r="F2102" s="18">
        <f>SUM(Acueducto[[#This Row],[Acueducto]:[Aseo]])</f>
        <v>0</v>
      </c>
    </row>
    <row r="2103" spans="1:6" ht="15" x14ac:dyDescent="0.2">
      <c r="A2103" s="7">
        <v>521172</v>
      </c>
      <c r="B2103" s="3" t="s">
        <v>242</v>
      </c>
      <c r="C2103" s="29">
        <f>ROUND(Balances[[#This Row],[Total]]*40%,0)</f>
        <v>0</v>
      </c>
      <c r="D2103" s="29">
        <f>ROUND(Balances[[#This Row],[Total]]*20%,0)</f>
        <v>0</v>
      </c>
      <c r="E2103" s="29">
        <f>ROUND(Balances[[#This Row],[Total]]*40%,0)</f>
        <v>0</v>
      </c>
      <c r="F2103" s="18">
        <f>SUM(Acueducto[[#This Row],[Acueducto]:[Aseo]])</f>
        <v>0</v>
      </c>
    </row>
    <row r="2104" spans="1:6" ht="15" x14ac:dyDescent="0.2">
      <c r="A2104" s="7">
        <v>521173</v>
      </c>
      <c r="B2104" s="3" t="s">
        <v>724</v>
      </c>
      <c r="C2104" s="29">
        <f>ROUND(Balances[[#This Row],[Total]]*40%,0)</f>
        <v>0</v>
      </c>
      <c r="D2104" s="29">
        <f>ROUND(Balances[[#This Row],[Total]]*20%,0)</f>
        <v>0</v>
      </c>
      <c r="E2104" s="29">
        <f>ROUND(Balances[[#This Row],[Total]]*40%,0)</f>
        <v>0</v>
      </c>
      <c r="F2104" s="18">
        <f>SUM(Acueducto[[#This Row],[Acueducto]:[Aseo]])</f>
        <v>0</v>
      </c>
    </row>
    <row r="2105" spans="1:6" ht="15" x14ac:dyDescent="0.2">
      <c r="A2105" s="7">
        <v>521190</v>
      </c>
      <c r="B2105" s="3" t="s">
        <v>1308</v>
      </c>
      <c r="C2105" s="29">
        <f>ROUND(Balances[[#This Row],[Total]]*40%,0)</f>
        <v>0</v>
      </c>
      <c r="D2105" s="29">
        <f>ROUND(Balances[[#This Row],[Total]]*20%,0)</f>
        <v>0</v>
      </c>
      <c r="E2105" s="29">
        <f>ROUND(Balances[[#This Row],[Total]]*40%,0)</f>
        <v>0</v>
      </c>
      <c r="F2105" s="18">
        <f>SUM(Acueducto[[#This Row],[Acueducto]:[Aseo]])</f>
        <v>0</v>
      </c>
    </row>
    <row r="2106" spans="1:6" ht="15" x14ac:dyDescent="0.2">
      <c r="A2106" s="6">
        <v>5212</v>
      </c>
      <c r="B2106" s="2" t="s">
        <v>1267</v>
      </c>
      <c r="C2106" s="28">
        <f>ROUND(Balances[[#This Row],[Total]]*40%,0)</f>
        <v>0</v>
      </c>
      <c r="D2106" s="28">
        <f>ROUND(Balances[[#This Row],[Total]]*20%,0)</f>
        <v>0</v>
      </c>
      <c r="E2106" s="28">
        <f>ROUND(Balances[[#This Row],[Total]]*40%,0)</f>
        <v>0</v>
      </c>
      <c r="F2106" s="17">
        <f>SUM(Acueducto[[#This Row],[Acueducto]:[Aseo]])</f>
        <v>0</v>
      </c>
    </row>
    <row r="2107" spans="1:6" ht="15" x14ac:dyDescent="0.2">
      <c r="A2107" s="7">
        <v>521201</v>
      </c>
      <c r="B2107" s="3" t="s">
        <v>864</v>
      </c>
      <c r="C2107" s="29">
        <f>ROUND(Balances[[#This Row],[Total]]*40%,0)</f>
        <v>0</v>
      </c>
      <c r="D2107" s="29">
        <f>ROUND(Balances[[#This Row],[Total]]*20%,0)</f>
        <v>0</v>
      </c>
      <c r="E2107" s="29">
        <f>ROUND(Balances[[#This Row],[Total]]*40%,0)</f>
        <v>0</v>
      </c>
      <c r="F2107" s="18">
        <f>SUM(Acueducto[[#This Row],[Acueducto]:[Aseo]])</f>
        <v>0</v>
      </c>
    </row>
    <row r="2108" spans="1:6" ht="15" x14ac:dyDescent="0.2">
      <c r="A2108" s="7">
        <v>521202</v>
      </c>
      <c r="B2108" s="3" t="s">
        <v>242</v>
      </c>
      <c r="C2108" s="29">
        <f>ROUND(Balances[[#This Row],[Total]]*40%,0)</f>
        <v>0</v>
      </c>
      <c r="D2108" s="29">
        <f>ROUND(Balances[[#This Row],[Total]]*20%,0)</f>
        <v>0</v>
      </c>
      <c r="E2108" s="29">
        <f>ROUND(Balances[[#This Row],[Total]]*40%,0)</f>
        <v>0</v>
      </c>
      <c r="F2108" s="18">
        <f>SUM(Acueducto[[#This Row],[Acueducto]:[Aseo]])</f>
        <v>0</v>
      </c>
    </row>
    <row r="2109" spans="1:6" ht="15" x14ac:dyDescent="0.2">
      <c r="A2109" s="7">
        <v>521203</v>
      </c>
      <c r="B2109" s="3" t="s">
        <v>865</v>
      </c>
      <c r="C2109" s="29">
        <f>ROUND(Balances[[#This Row],[Total]]*40%,0)</f>
        <v>0</v>
      </c>
      <c r="D2109" s="29">
        <f>ROUND(Balances[[#This Row],[Total]]*20%,0)</f>
        <v>0</v>
      </c>
      <c r="E2109" s="29">
        <f>ROUND(Balances[[#This Row],[Total]]*40%,0)</f>
        <v>0</v>
      </c>
      <c r="F2109" s="18">
        <f>SUM(Acueducto[[#This Row],[Acueducto]:[Aseo]])</f>
        <v>0</v>
      </c>
    </row>
    <row r="2110" spans="1:6" ht="15" x14ac:dyDescent="0.2">
      <c r="A2110" s="7">
        <v>521204</v>
      </c>
      <c r="B2110" s="3" t="s">
        <v>866</v>
      </c>
      <c r="C2110" s="29">
        <f>ROUND(Balances[[#This Row],[Total]]*40%,0)</f>
        <v>0</v>
      </c>
      <c r="D2110" s="29">
        <f>ROUND(Balances[[#This Row],[Total]]*20%,0)</f>
        <v>0</v>
      </c>
      <c r="E2110" s="29">
        <f>ROUND(Balances[[#This Row],[Total]]*40%,0)</f>
        <v>0</v>
      </c>
      <c r="F2110" s="18">
        <f>SUM(Acueducto[[#This Row],[Acueducto]:[Aseo]])</f>
        <v>0</v>
      </c>
    </row>
    <row r="2111" spans="1:6" ht="15" x14ac:dyDescent="0.2">
      <c r="A2111" s="7">
        <v>521205</v>
      </c>
      <c r="B2111" s="3" t="s">
        <v>867</v>
      </c>
      <c r="C2111" s="29">
        <f>ROUND(Balances[[#This Row],[Total]]*40%,0)</f>
        <v>0</v>
      </c>
      <c r="D2111" s="29">
        <f>ROUND(Balances[[#This Row],[Total]]*20%,0)</f>
        <v>0</v>
      </c>
      <c r="E2111" s="29">
        <f>ROUND(Balances[[#This Row],[Total]]*40%,0)</f>
        <v>0</v>
      </c>
      <c r="F2111" s="18">
        <f>SUM(Acueducto[[#This Row],[Acueducto]:[Aseo]])</f>
        <v>0</v>
      </c>
    </row>
    <row r="2112" spans="1:6" ht="15" x14ac:dyDescent="0.2">
      <c r="A2112" s="7">
        <v>521206</v>
      </c>
      <c r="B2112" s="3" t="s">
        <v>868</v>
      </c>
      <c r="C2112" s="29">
        <f>ROUND(Balances[[#This Row],[Total]]*40%,0)</f>
        <v>0</v>
      </c>
      <c r="D2112" s="29">
        <f>ROUND(Balances[[#This Row],[Total]]*20%,0)</f>
        <v>0</v>
      </c>
      <c r="E2112" s="29">
        <f>ROUND(Balances[[#This Row],[Total]]*40%,0)</f>
        <v>0</v>
      </c>
      <c r="F2112" s="18">
        <f>SUM(Acueducto[[#This Row],[Acueducto]:[Aseo]])</f>
        <v>0</v>
      </c>
    </row>
    <row r="2113" spans="1:6" ht="15" x14ac:dyDescent="0.2">
      <c r="A2113" s="7">
        <v>521207</v>
      </c>
      <c r="B2113" s="3" t="s">
        <v>869</v>
      </c>
      <c r="C2113" s="29">
        <f>ROUND(Balances[[#This Row],[Total]]*40%,0)</f>
        <v>0</v>
      </c>
      <c r="D2113" s="29">
        <f>ROUND(Balances[[#This Row],[Total]]*20%,0)</f>
        <v>0</v>
      </c>
      <c r="E2113" s="29">
        <f>ROUND(Balances[[#This Row],[Total]]*40%,0)</f>
        <v>0</v>
      </c>
      <c r="F2113" s="18">
        <f>SUM(Acueducto[[#This Row],[Acueducto]:[Aseo]])</f>
        <v>0</v>
      </c>
    </row>
    <row r="2114" spans="1:6" ht="15" x14ac:dyDescent="0.2">
      <c r="A2114" s="7">
        <v>521209</v>
      </c>
      <c r="B2114" s="3" t="s">
        <v>827</v>
      </c>
      <c r="C2114" s="29">
        <f>ROUND(Balances[[#This Row],[Total]]*40%,0)</f>
        <v>0</v>
      </c>
      <c r="D2114" s="29">
        <f>ROUND(Balances[[#This Row],[Total]]*20%,0)</f>
        <v>0</v>
      </c>
      <c r="E2114" s="29">
        <f>ROUND(Balances[[#This Row],[Total]]*40%,0)</f>
        <v>0</v>
      </c>
      <c r="F2114" s="18">
        <f>SUM(Acueducto[[#This Row],[Acueducto]:[Aseo]])</f>
        <v>0</v>
      </c>
    </row>
    <row r="2115" spans="1:6" ht="15" x14ac:dyDescent="0.2">
      <c r="A2115" s="7">
        <v>521210</v>
      </c>
      <c r="B2115" s="3" t="s">
        <v>1268</v>
      </c>
      <c r="C2115" s="29">
        <f>ROUND(Balances[[#This Row],[Total]]*40%,0)</f>
        <v>0</v>
      </c>
      <c r="D2115" s="29">
        <f>ROUND(Balances[[#This Row],[Total]]*20%,0)</f>
        <v>0</v>
      </c>
      <c r="E2115" s="29">
        <f>ROUND(Balances[[#This Row],[Total]]*40%,0)</f>
        <v>0</v>
      </c>
      <c r="F2115" s="18">
        <f>SUM(Acueducto[[#This Row],[Acueducto]:[Aseo]])</f>
        <v>0</v>
      </c>
    </row>
    <row r="2116" spans="1:6" ht="15" x14ac:dyDescent="0.2">
      <c r="A2116" s="7">
        <v>521211</v>
      </c>
      <c r="B2116" s="3" t="s">
        <v>1269</v>
      </c>
      <c r="C2116" s="29">
        <f>ROUND(Balances[[#This Row],[Total]]*40%,0)</f>
        <v>0</v>
      </c>
      <c r="D2116" s="29">
        <f>ROUND(Balances[[#This Row],[Total]]*20%,0)</f>
        <v>0</v>
      </c>
      <c r="E2116" s="29">
        <f>ROUND(Balances[[#This Row],[Total]]*40%,0)</f>
        <v>0</v>
      </c>
      <c r="F2116" s="18">
        <f>SUM(Acueducto[[#This Row],[Acueducto]:[Aseo]])</f>
        <v>0</v>
      </c>
    </row>
    <row r="2117" spans="1:6" ht="15" x14ac:dyDescent="0.2">
      <c r="A2117" s="7">
        <v>521212</v>
      </c>
      <c r="B2117" s="3" t="s">
        <v>1216</v>
      </c>
      <c r="C2117" s="29">
        <f>ROUND(Balances[[#This Row],[Total]]*40%,0)</f>
        <v>0</v>
      </c>
      <c r="D2117" s="29">
        <f>ROUND(Balances[[#This Row],[Total]]*20%,0)</f>
        <v>0</v>
      </c>
      <c r="E2117" s="29">
        <f>ROUND(Balances[[#This Row],[Total]]*40%,0)</f>
        <v>0</v>
      </c>
      <c r="F2117" s="18">
        <f>SUM(Acueducto[[#This Row],[Acueducto]:[Aseo]])</f>
        <v>0</v>
      </c>
    </row>
    <row r="2118" spans="1:6" ht="15" x14ac:dyDescent="0.2">
      <c r="A2118" s="7">
        <v>521213</v>
      </c>
      <c r="B2118" s="3" t="s">
        <v>1270</v>
      </c>
      <c r="C2118" s="29">
        <f>ROUND(Balances[[#This Row],[Total]]*40%,0)</f>
        <v>0</v>
      </c>
      <c r="D2118" s="29">
        <f>ROUND(Balances[[#This Row],[Total]]*20%,0)</f>
        <v>0</v>
      </c>
      <c r="E2118" s="29">
        <f>ROUND(Balances[[#This Row],[Total]]*40%,0)</f>
        <v>0</v>
      </c>
      <c r="F2118" s="18">
        <f>SUM(Acueducto[[#This Row],[Acueducto]:[Aseo]])</f>
        <v>0</v>
      </c>
    </row>
    <row r="2119" spans="1:6" ht="15" x14ac:dyDescent="0.2">
      <c r="A2119" s="7">
        <v>521290</v>
      </c>
      <c r="B2119" s="3" t="s">
        <v>1271</v>
      </c>
      <c r="C2119" s="29">
        <f>ROUND(Balances[[#This Row],[Total]]*40%,0)</f>
        <v>0</v>
      </c>
      <c r="D2119" s="29">
        <f>ROUND(Balances[[#This Row],[Total]]*20%,0)</f>
        <v>0</v>
      </c>
      <c r="E2119" s="29">
        <f>ROUND(Balances[[#This Row],[Total]]*40%,0)</f>
        <v>0</v>
      </c>
      <c r="F2119" s="18">
        <f>SUM(Acueducto[[#This Row],[Acueducto]:[Aseo]])</f>
        <v>0</v>
      </c>
    </row>
    <row r="2120" spans="1:6" ht="15" x14ac:dyDescent="0.2">
      <c r="A2120" s="6">
        <v>5220</v>
      </c>
      <c r="B2120" s="2" t="s">
        <v>742</v>
      </c>
      <c r="C2120" s="28">
        <f>ROUND(Balances[[#This Row],[Total]]*40%,0)</f>
        <v>0</v>
      </c>
      <c r="D2120" s="28">
        <f>ROUND(Balances[[#This Row],[Total]]*20%,0)</f>
        <v>0</v>
      </c>
      <c r="E2120" s="28">
        <f>ROUND(Balances[[#This Row],[Total]]*40%,0)</f>
        <v>0</v>
      </c>
      <c r="F2120" s="17">
        <f>SUM(Acueducto[[#This Row],[Acueducto]:[Aseo]])</f>
        <v>0</v>
      </c>
    </row>
    <row r="2121" spans="1:6" ht="15" x14ac:dyDescent="0.2">
      <c r="A2121" s="7">
        <v>522001</v>
      </c>
      <c r="B2121" s="3" t="s">
        <v>744</v>
      </c>
      <c r="C2121" s="29">
        <f>ROUND(Balances[[#This Row],[Total]]*40%,0)</f>
        <v>0</v>
      </c>
      <c r="D2121" s="29">
        <f>ROUND(Balances[[#This Row],[Total]]*20%,0)</f>
        <v>0</v>
      </c>
      <c r="E2121" s="29">
        <f>ROUND(Balances[[#This Row],[Total]]*40%,0)</f>
        <v>0</v>
      </c>
      <c r="F2121" s="18">
        <f>SUM(Acueducto[[#This Row],[Acueducto]:[Aseo]])</f>
        <v>0</v>
      </c>
    </row>
    <row r="2122" spans="1:6" ht="15" x14ac:dyDescent="0.2">
      <c r="A2122" s="7">
        <v>522009</v>
      </c>
      <c r="B2122" s="3" t="s">
        <v>745</v>
      </c>
      <c r="C2122" s="29">
        <f>ROUND(Balances[[#This Row],[Total]]*40%,0)</f>
        <v>0</v>
      </c>
      <c r="D2122" s="29">
        <f>ROUND(Balances[[#This Row],[Total]]*20%,0)</f>
        <v>0</v>
      </c>
      <c r="E2122" s="29">
        <f>ROUND(Balances[[#This Row],[Total]]*40%,0)</f>
        <v>0</v>
      </c>
      <c r="F2122" s="18">
        <f>SUM(Acueducto[[#This Row],[Acueducto]:[Aseo]])</f>
        <v>0</v>
      </c>
    </row>
    <row r="2123" spans="1:6" ht="15" x14ac:dyDescent="0.2">
      <c r="A2123" s="7">
        <v>522010</v>
      </c>
      <c r="B2123" s="3" t="s">
        <v>756</v>
      </c>
      <c r="C2123" s="29">
        <f>ROUND(Balances[[#This Row],[Total]]*40%,0)</f>
        <v>0</v>
      </c>
      <c r="D2123" s="29">
        <f>ROUND(Balances[[#This Row],[Total]]*20%,0)</f>
        <v>0</v>
      </c>
      <c r="E2123" s="29">
        <f>ROUND(Balances[[#This Row],[Total]]*40%,0)</f>
        <v>0</v>
      </c>
      <c r="F2123" s="18">
        <f>SUM(Acueducto[[#This Row],[Acueducto]:[Aseo]])</f>
        <v>0</v>
      </c>
    </row>
    <row r="2124" spans="1:6" ht="15" x14ac:dyDescent="0.2">
      <c r="A2124" s="7">
        <v>522011</v>
      </c>
      <c r="B2124" s="3" t="s">
        <v>751</v>
      </c>
      <c r="C2124" s="29">
        <f>ROUND(Balances[[#This Row],[Total]]*40%,0)</f>
        <v>0</v>
      </c>
      <c r="D2124" s="29">
        <f>ROUND(Balances[[#This Row],[Total]]*20%,0)</f>
        <v>0</v>
      </c>
      <c r="E2124" s="29">
        <f>ROUND(Balances[[#This Row],[Total]]*40%,0)</f>
        <v>0</v>
      </c>
      <c r="F2124" s="18">
        <f>SUM(Acueducto[[#This Row],[Acueducto]:[Aseo]])</f>
        <v>0</v>
      </c>
    </row>
    <row r="2125" spans="1:6" ht="15" x14ac:dyDescent="0.2">
      <c r="A2125" s="7">
        <v>522012</v>
      </c>
      <c r="B2125" s="3" t="s">
        <v>747</v>
      </c>
      <c r="C2125" s="29">
        <f>ROUND(Balances[[#This Row],[Total]]*40%,0)</f>
        <v>0</v>
      </c>
      <c r="D2125" s="29">
        <f>ROUND(Balances[[#This Row],[Total]]*20%,0)</f>
        <v>0</v>
      </c>
      <c r="E2125" s="29">
        <f>ROUND(Balances[[#This Row],[Total]]*40%,0)</f>
        <v>0</v>
      </c>
      <c r="F2125" s="18">
        <f>SUM(Acueducto[[#This Row],[Acueducto]:[Aseo]])</f>
        <v>0</v>
      </c>
    </row>
    <row r="2126" spans="1:6" ht="15" x14ac:dyDescent="0.2">
      <c r="A2126" s="7">
        <v>522017</v>
      </c>
      <c r="B2126" s="3" t="s">
        <v>252</v>
      </c>
      <c r="C2126" s="29">
        <f>ROUND(Balances[[#This Row],[Total]]*40%,0)</f>
        <v>0</v>
      </c>
      <c r="D2126" s="29">
        <f>ROUND(Balances[[#This Row],[Total]]*20%,0)</f>
        <v>0</v>
      </c>
      <c r="E2126" s="29">
        <f>ROUND(Balances[[#This Row],[Total]]*40%,0)</f>
        <v>0</v>
      </c>
      <c r="F2126" s="18">
        <f>SUM(Acueducto[[#This Row],[Acueducto]:[Aseo]])</f>
        <v>0</v>
      </c>
    </row>
    <row r="2127" spans="1:6" ht="15" x14ac:dyDescent="0.2">
      <c r="A2127" s="7">
        <v>522019</v>
      </c>
      <c r="B2127" s="3" t="s">
        <v>1309</v>
      </c>
      <c r="C2127" s="29">
        <f>ROUND(Balances[[#This Row],[Total]]*40%,0)</f>
        <v>0</v>
      </c>
      <c r="D2127" s="29">
        <f>ROUND(Balances[[#This Row],[Total]]*20%,0)</f>
        <v>0</v>
      </c>
      <c r="E2127" s="29">
        <f>ROUND(Balances[[#This Row],[Total]]*40%,0)</f>
        <v>0</v>
      </c>
      <c r="F2127" s="18">
        <f>SUM(Acueducto[[#This Row],[Acueducto]:[Aseo]])</f>
        <v>0</v>
      </c>
    </row>
    <row r="2128" spans="1:6" ht="15" x14ac:dyDescent="0.2">
      <c r="A2128" s="7">
        <v>522024</v>
      </c>
      <c r="B2128" s="3" t="s">
        <v>752</v>
      </c>
      <c r="C2128" s="29">
        <f>ROUND(Balances[[#This Row],[Total]]*40%,0)</f>
        <v>0</v>
      </c>
      <c r="D2128" s="29">
        <f>ROUND(Balances[[#This Row],[Total]]*20%,0)</f>
        <v>0</v>
      </c>
      <c r="E2128" s="29">
        <f>ROUND(Balances[[#This Row],[Total]]*40%,0)</f>
        <v>0</v>
      </c>
      <c r="F2128" s="18">
        <f>SUM(Acueducto[[#This Row],[Acueducto]:[Aseo]])</f>
        <v>0</v>
      </c>
    </row>
    <row r="2129" spans="1:6" ht="15" x14ac:dyDescent="0.2">
      <c r="A2129" s="7">
        <v>522025</v>
      </c>
      <c r="B2129" s="3" t="s">
        <v>741</v>
      </c>
      <c r="C2129" s="29">
        <f>ROUND(Balances[[#This Row],[Total]]*40%,0)</f>
        <v>0</v>
      </c>
      <c r="D2129" s="29">
        <f>ROUND(Balances[[#This Row],[Total]]*20%,0)</f>
        <v>0</v>
      </c>
      <c r="E2129" s="29">
        <f>ROUND(Balances[[#This Row],[Total]]*40%,0)</f>
        <v>0</v>
      </c>
      <c r="F2129" s="18">
        <f>SUM(Acueducto[[#This Row],[Acueducto]:[Aseo]])</f>
        <v>0</v>
      </c>
    </row>
    <row r="2130" spans="1:6" ht="15" x14ac:dyDescent="0.2">
      <c r="A2130" s="7">
        <v>522026</v>
      </c>
      <c r="B2130" s="3" t="s">
        <v>755</v>
      </c>
      <c r="C2130" s="29">
        <f>ROUND(Balances[[#This Row],[Total]]*40%,0)</f>
        <v>0</v>
      </c>
      <c r="D2130" s="29">
        <f>ROUND(Balances[[#This Row],[Total]]*20%,0)</f>
        <v>0</v>
      </c>
      <c r="E2130" s="29">
        <f>ROUND(Balances[[#This Row],[Total]]*40%,0)</f>
        <v>0</v>
      </c>
      <c r="F2130" s="18">
        <f>SUM(Acueducto[[#This Row],[Acueducto]:[Aseo]])</f>
        <v>0</v>
      </c>
    </row>
    <row r="2131" spans="1:6" ht="15" x14ac:dyDescent="0.2">
      <c r="A2131" s="7">
        <v>522027</v>
      </c>
      <c r="B2131" s="3" t="s">
        <v>620</v>
      </c>
      <c r="C2131" s="29">
        <f>ROUND(Balances[[#This Row],[Total]]*40%,0)</f>
        <v>0</v>
      </c>
      <c r="D2131" s="29">
        <f>ROUND(Balances[[#This Row],[Total]]*20%,0)</f>
        <v>0</v>
      </c>
      <c r="E2131" s="29">
        <f>ROUND(Balances[[#This Row],[Total]]*40%,0)</f>
        <v>0</v>
      </c>
      <c r="F2131" s="18">
        <f>SUM(Acueducto[[#This Row],[Acueducto]:[Aseo]])</f>
        <v>0</v>
      </c>
    </row>
    <row r="2132" spans="1:6" ht="15" x14ac:dyDescent="0.2">
      <c r="A2132" s="7">
        <v>522028</v>
      </c>
      <c r="B2132" s="3" t="s">
        <v>746</v>
      </c>
      <c r="C2132" s="29">
        <f>ROUND(Balances[[#This Row],[Total]]*40%,0)</f>
        <v>0</v>
      </c>
      <c r="D2132" s="29">
        <f>ROUND(Balances[[#This Row],[Total]]*20%,0)</f>
        <v>0</v>
      </c>
      <c r="E2132" s="29">
        <f>ROUND(Balances[[#This Row],[Total]]*40%,0)</f>
        <v>0</v>
      </c>
      <c r="F2132" s="18">
        <f>SUM(Acueducto[[#This Row],[Acueducto]:[Aseo]])</f>
        <v>0</v>
      </c>
    </row>
    <row r="2133" spans="1:6" ht="15" x14ac:dyDescent="0.2">
      <c r="A2133" s="7">
        <v>522029</v>
      </c>
      <c r="B2133" s="3" t="s">
        <v>757</v>
      </c>
      <c r="C2133" s="29">
        <f>ROUND(Balances[[#This Row],[Total]]*40%,0)</f>
        <v>0</v>
      </c>
      <c r="D2133" s="29">
        <f>ROUND(Balances[[#This Row],[Total]]*20%,0)</f>
        <v>0</v>
      </c>
      <c r="E2133" s="29">
        <f>ROUND(Balances[[#This Row],[Total]]*40%,0)</f>
        <v>0</v>
      </c>
      <c r="F2133" s="18">
        <f>SUM(Acueducto[[#This Row],[Acueducto]:[Aseo]])</f>
        <v>0</v>
      </c>
    </row>
    <row r="2134" spans="1:6" ht="15" x14ac:dyDescent="0.2">
      <c r="A2134" s="7">
        <v>522034</v>
      </c>
      <c r="B2134" s="3" t="s">
        <v>113</v>
      </c>
      <c r="C2134" s="29">
        <f>ROUND(Balances[[#This Row],[Total]]*40%,0)</f>
        <v>0</v>
      </c>
      <c r="D2134" s="29">
        <f>ROUND(Balances[[#This Row],[Total]]*20%,0)</f>
        <v>0</v>
      </c>
      <c r="E2134" s="29">
        <f>ROUND(Balances[[#This Row],[Total]]*40%,0)</f>
        <v>0</v>
      </c>
      <c r="F2134" s="18">
        <f>SUM(Acueducto[[#This Row],[Acueducto]:[Aseo]])</f>
        <v>0</v>
      </c>
    </row>
    <row r="2135" spans="1:6" ht="15" x14ac:dyDescent="0.2">
      <c r="A2135" s="7">
        <v>522035</v>
      </c>
      <c r="B2135" s="3" t="s">
        <v>761</v>
      </c>
      <c r="C2135" s="29">
        <f>ROUND(Balances[[#This Row],[Total]]*40%,0)</f>
        <v>0</v>
      </c>
      <c r="D2135" s="29">
        <f>ROUND(Balances[[#This Row],[Total]]*20%,0)</f>
        <v>0</v>
      </c>
      <c r="E2135" s="29">
        <f>ROUND(Balances[[#This Row],[Total]]*40%,0)</f>
        <v>0</v>
      </c>
      <c r="F2135" s="18">
        <f>SUM(Acueducto[[#This Row],[Acueducto]:[Aseo]])</f>
        <v>0</v>
      </c>
    </row>
    <row r="2136" spans="1:6" ht="15" x14ac:dyDescent="0.2">
      <c r="A2136" s="7">
        <v>522036</v>
      </c>
      <c r="B2136" s="3" t="s">
        <v>763</v>
      </c>
      <c r="C2136" s="29">
        <f>ROUND(Balances[[#This Row],[Total]]*40%,0)</f>
        <v>0</v>
      </c>
      <c r="D2136" s="29">
        <f>ROUND(Balances[[#This Row],[Total]]*20%,0)</f>
        <v>0</v>
      </c>
      <c r="E2136" s="29">
        <f>ROUND(Balances[[#This Row],[Total]]*40%,0)</f>
        <v>0</v>
      </c>
      <c r="F2136" s="18">
        <f>SUM(Acueducto[[#This Row],[Acueducto]:[Aseo]])</f>
        <v>0</v>
      </c>
    </row>
    <row r="2137" spans="1:6" ht="15" x14ac:dyDescent="0.2">
      <c r="A2137" s="7">
        <v>522090</v>
      </c>
      <c r="B2137" s="3" t="s">
        <v>1310</v>
      </c>
      <c r="C2137" s="29">
        <f>ROUND(Balances[[#This Row],[Total]]*40%,0)</f>
        <v>0</v>
      </c>
      <c r="D2137" s="29">
        <f>ROUND(Balances[[#This Row],[Total]]*20%,0)</f>
        <v>0</v>
      </c>
      <c r="E2137" s="29">
        <f>ROUND(Balances[[#This Row],[Total]]*40%,0)</f>
        <v>0</v>
      </c>
      <c r="F2137" s="18">
        <f>SUM(Acueducto[[#This Row],[Acueducto]:[Aseo]])</f>
        <v>0</v>
      </c>
    </row>
    <row r="2138" spans="1:6" ht="15" x14ac:dyDescent="0.2">
      <c r="A2138" s="6">
        <v>53</v>
      </c>
      <c r="B2138" s="2" t="s">
        <v>1312</v>
      </c>
      <c r="C2138" s="28">
        <f>ROUND(Balances[[#This Row],[Total]]*40%,0)</f>
        <v>162480</v>
      </c>
      <c r="D2138" s="28">
        <f>ROUND(Balances[[#This Row],[Total]]*20%,0)</f>
        <v>81240</v>
      </c>
      <c r="E2138" s="28">
        <f>ROUND(Balances[[#This Row],[Total]]*40%,0)</f>
        <v>162480</v>
      </c>
      <c r="F2138" s="17">
        <f>SUM(Acueducto[[#This Row],[Acueducto]:[Aseo]])</f>
        <v>406200</v>
      </c>
    </row>
    <row r="2139" spans="1:6" ht="15" x14ac:dyDescent="0.2">
      <c r="A2139" s="6">
        <v>5346</v>
      </c>
      <c r="B2139" s="2" t="s">
        <v>1313</v>
      </c>
      <c r="C2139" s="28">
        <f>ROUND(Balances[[#This Row],[Total]]*40%,0)</f>
        <v>0</v>
      </c>
      <c r="D2139" s="28">
        <f>ROUND(Balances[[#This Row],[Total]]*20%,0)</f>
        <v>0</v>
      </c>
      <c r="E2139" s="28">
        <f>ROUND(Balances[[#This Row],[Total]]*40%,0)</f>
        <v>0</v>
      </c>
      <c r="F2139" s="17">
        <f>SUM(Acueducto[[#This Row],[Acueducto]:[Aseo]])</f>
        <v>0</v>
      </c>
    </row>
    <row r="2140" spans="1:6" ht="15" x14ac:dyDescent="0.2">
      <c r="A2140" s="7">
        <v>534601</v>
      </c>
      <c r="B2140" s="3" t="s">
        <v>43</v>
      </c>
      <c r="C2140" s="29">
        <f>ROUND(Balances[[#This Row],[Total]]*40%,0)</f>
        <v>0</v>
      </c>
      <c r="D2140" s="29">
        <f>ROUND(Balances[[#This Row],[Total]]*20%,0)</f>
        <v>0</v>
      </c>
      <c r="E2140" s="29">
        <f>ROUND(Balances[[#This Row],[Total]]*40%,0)</f>
        <v>0</v>
      </c>
      <c r="F2140" s="18">
        <f>SUM(Acueducto[[#This Row],[Acueducto]:[Aseo]])</f>
        <v>0</v>
      </c>
    </row>
    <row r="2141" spans="1:6" ht="15" x14ac:dyDescent="0.2">
      <c r="A2141" s="7">
        <v>534602</v>
      </c>
      <c r="B2141" s="3" t="s">
        <v>44</v>
      </c>
      <c r="C2141" s="29">
        <f>ROUND(Balances[[#This Row],[Total]]*40%,0)</f>
        <v>0</v>
      </c>
      <c r="D2141" s="29">
        <f>ROUND(Balances[[#This Row],[Total]]*20%,0)</f>
        <v>0</v>
      </c>
      <c r="E2141" s="29">
        <f>ROUND(Balances[[#This Row],[Total]]*40%,0)</f>
        <v>0</v>
      </c>
      <c r="F2141" s="18">
        <f>SUM(Acueducto[[#This Row],[Acueducto]:[Aseo]])</f>
        <v>0</v>
      </c>
    </row>
    <row r="2142" spans="1:6" ht="15" x14ac:dyDescent="0.2">
      <c r="A2142" s="7">
        <v>534603</v>
      </c>
      <c r="B2142" s="3" t="s">
        <v>45</v>
      </c>
      <c r="C2142" s="29">
        <f>ROUND(Balances[[#This Row],[Total]]*40%,0)</f>
        <v>0</v>
      </c>
      <c r="D2142" s="29">
        <f>ROUND(Balances[[#This Row],[Total]]*20%,0)</f>
        <v>0</v>
      </c>
      <c r="E2142" s="29">
        <f>ROUND(Balances[[#This Row],[Total]]*40%,0)</f>
        <v>0</v>
      </c>
      <c r="F2142" s="18">
        <f>SUM(Acueducto[[#This Row],[Acueducto]:[Aseo]])</f>
        <v>0</v>
      </c>
    </row>
    <row r="2143" spans="1:6" ht="15" x14ac:dyDescent="0.2">
      <c r="A2143" s="7">
        <v>534605</v>
      </c>
      <c r="B2143" s="3" t="s">
        <v>1314</v>
      </c>
      <c r="C2143" s="29">
        <f>ROUND(Balances[[#This Row],[Total]]*40%,0)</f>
        <v>0</v>
      </c>
      <c r="D2143" s="29">
        <f>ROUND(Balances[[#This Row],[Total]]*20%,0)</f>
        <v>0</v>
      </c>
      <c r="E2143" s="29">
        <f>ROUND(Balances[[#This Row],[Total]]*40%,0)</f>
        <v>0</v>
      </c>
      <c r="F2143" s="18">
        <f>SUM(Acueducto[[#This Row],[Acueducto]:[Aseo]])</f>
        <v>0</v>
      </c>
    </row>
    <row r="2144" spans="1:6" ht="15" x14ac:dyDescent="0.2">
      <c r="A2144" s="7">
        <v>534607</v>
      </c>
      <c r="B2144" s="3" t="s">
        <v>1315</v>
      </c>
      <c r="C2144" s="29">
        <f>ROUND(Balances[[#This Row],[Total]]*40%,0)</f>
        <v>0</v>
      </c>
      <c r="D2144" s="29">
        <f>ROUND(Balances[[#This Row],[Total]]*20%,0)</f>
        <v>0</v>
      </c>
      <c r="E2144" s="29">
        <f>ROUND(Balances[[#This Row],[Total]]*40%,0)</f>
        <v>0</v>
      </c>
      <c r="F2144" s="18">
        <f>SUM(Acueducto[[#This Row],[Acueducto]:[Aseo]])</f>
        <v>0</v>
      </c>
    </row>
    <row r="2145" spans="1:6" ht="15" x14ac:dyDescent="0.2">
      <c r="A2145" s="7">
        <v>534609</v>
      </c>
      <c r="B2145" s="3" t="s">
        <v>1316</v>
      </c>
      <c r="C2145" s="29">
        <f>ROUND(Balances[[#This Row],[Total]]*40%,0)</f>
        <v>0</v>
      </c>
      <c r="D2145" s="29">
        <f>ROUND(Balances[[#This Row],[Total]]*20%,0)</f>
        <v>0</v>
      </c>
      <c r="E2145" s="29">
        <f>ROUND(Balances[[#This Row],[Total]]*40%,0)</f>
        <v>0</v>
      </c>
      <c r="F2145" s="18">
        <f>SUM(Acueducto[[#This Row],[Acueducto]:[Aseo]])</f>
        <v>0</v>
      </c>
    </row>
    <row r="2146" spans="1:6" ht="15" x14ac:dyDescent="0.2">
      <c r="A2146" s="6">
        <v>5347</v>
      </c>
      <c r="B2146" s="2" t="s">
        <v>1317</v>
      </c>
      <c r="C2146" s="28">
        <f>ROUND(Balances[[#This Row],[Total]]*40%,0)</f>
        <v>0</v>
      </c>
      <c r="D2146" s="28">
        <f>ROUND(Balances[[#This Row],[Total]]*20%,0)</f>
        <v>0</v>
      </c>
      <c r="E2146" s="28">
        <f>ROUND(Balances[[#This Row],[Total]]*40%,0)</f>
        <v>0</v>
      </c>
      <c r="F2146" s="17">
        <f>SUM(Acueducto[[#This Row],[Acueducto]:[Aseo]])</f>
        <v>0</v>
      </c>
    </row>
    <row r="2147" spans="1:6" ht="15" x14ac:dyDescent="0.2">
      <c r="A2147" s="7">
        <v>534701</v>
      </c>
      <c r="B2147" s="3" t="s">
        <v>260</v>
      </c>
      <c r="C2147" s="29">
        <f>ROUND(Balances[[#This Row],[Total]]*40%,0)</f>
        <v>0</v>
      </c>
      <c r="D2147" s="29">
        <f>ROUND(Balances[[#This Row],[Total]]*20%,0)</f>
        <v>0</v>
      </c>
      <c r="E2147" s="29">
        <f>ROUND(Balances[[#This Row],[Total]]*40%,0)</f>
        <v>0</v>
      </c>
      <c r="F2147" s="18">
        <f>SUM(Acueducto[[#This Row],[Acueducto]:[Aseo]])</f>
        <v>0</v>
      </c>
    </row>
    <row r="2148" spans="1:6" ht="15" x14ac:dyDescent="0.2">
      <c r="A2148" s="7">
        <v>534702</v>
      </c>
      <c r="B2148" s="3" t="s">
        <v>261</v>
      </c>
      <c r="C2148" s="29">
        <f>ROUND(Balances[[#This Row],[Total]]*40%,0)</f>
        <v>0</v>
      </c>
      <c r="D2148" s="29">
        <f>ROUND(Balances[[#This Row],[Total]]*20%,0)</f>
        <v>0</v>
      </c>
      <c r="E2148" s="29">
        <f>ROUND(Balances[[#This Row],[Total]]*40%,0)</f>
        <v>0</v>
      </c>
      <c r="F2148" s="18">
        <f>SUM(Acueducto[[#This Row],[Acueducto]:[Aseo]])</f>
        <v>0</v>
      </c>
    </row>
    <row r="2149" spans="1:6" ht="15" x14ac:dyDescent="0.2">
      <c r="A2149" s="7">
        <v>534703</v>
      </c>
      <c r="B2149" s="3" t="s">
        <v>152</v>
      </c>
      <c r="C2149" s="29">
        <f>ROUND(Balances[[#This Row],[Total]]*40%,0)</f>
        <v>0</v>
      </c>
      <c r="D2149" s="29">
        <f>ROUND(Balances[[#This Row],[Total]]*20%,0)</f>
        <v>0</v>
      </c>
      <c r="E2149" s="29">
        <f>ROUND(Balances[[#This Row],[Total]]*40%,0)</f>
        <v>0</v>
      </c>
      <c r="F2149" s="18">
        <f>SUM(Acueducto[[#This Row],[Acueducto]:[Aseo]])</f>
        <v>0</v>
      </c>
    </row>
    <row r="2150" spans="1:6" ht="15" x14ac:dyDescent="0.2">
      <c r="A2150" s="7">
        <v>534704</v>
      </c>
      <c r="B2150" s="3" t="s">
        <v>153</v>
      </c>
      <c r="C2150" s="29">
        <f>ROUND(Balances[[#This Row],[Total]]*40%,0)</f>
        <v>0</v>
      </c>
      <c r="D2150" s="29">
        <f>ROUND(Balances[[#This Row],[Total]]*20%,0)</f>
        <v>0</v>
      </c>
      <c r="E2150" s="29">
        <f>ROUND(Balances[[#This Row],[Total]]*40%,0)</f>
        <v>0</v>
      </c>
      <c r="F2150" s="18">
        <f>SUM(Acueducto[[#This Row],[Acueducto]:[Aseo]])</f>
        <v>0</v>
      </c>
    </row>
    <row r="2151" spans="1:6" ht="15" x14ac:dyDescent="0.2">
      <c r="A2151" s="7">
        <v>534705</v>
      </c>
      <c r="B2151" s="3" t="s">
        <v>154</v>
      </c>
      <c r="C2151" s="29">
        <f>ROUND(Balances[[#This Row],[Total]]*40%,0)</f>
        <v>0</v>
      </c>
      <c r="D2151" s="29">
        <f>ROUND(Balances[[#This Row],[Total]]*20%,0)</f>
        <v>0</v>
      </c>
      <c r="E2151" s="29">
        <f>ROUND(Balances[[#This Row],[Total]]*40%,0)</f>
        <v>0</v>
      </c>
      <c r="F2151" s="18">
        <f>SUM(Acueducto[[#This Row],[Acueducto]:[Aseo]])</f>
        <v>0</v>
      </c>
    </row>
    <row r="2152" spans="1:6" ht="15" x14ac:dyDescent="0.2">
      <c r="A2152" s="7">
        <v>534706</v>
      </c>
      <c r="B2152" s="3" t="s">
        <v>155</v>
      </c>
      <c r="C2152" s="29">
        <f>ROUND(Balances[[#This Row],[Total]]*40%,0)</f>
        <v>0</v>
      </c>
      <c r="D2152" s="29">
        <f>ROUND(Balances[[#This Row],[Total]]*20%,0)</f>
        <v>0</v>
      </c>
      <c r="E2152" s="29">
        <f>ROUND(Balances[[#This Row],[Total]]*40%,0)</f>
        <v>0</v>
      </c>
      <c r="F2152" s="18">
        <f>SUM(Acueducto[[#This Row],[Acueducto]:[Aseo]])</f>
        <v>0</v>
      </c>
    </row>
    <row r="2153" spans="1:6" ht="15" x14ac:dyDescent="0.2">
      <c r="A2153" s="7">
        <v>534707</v>
      </c>
      <c r="B2153" s="3" t="s">
        <v>156</v>
      </c>
      <c r="C2153" s="29">
        <f>ROUND(Balances[[#This Row],[Total]]*40%,0)</f>
        <v>0</v>
      </c>
      <c r="D2153" s="29">
        <f>ROUND(Balances[[#This Row],[Total]]*20%,0)</f>
        <v>0</v>
      </c>
      <c r="E2153" s="29">
        <f>ROUND(Balances[[#This Row],[Total]]*40%,0)</f>
        <v>0</v>
      </c>
      <c r="F2153" s="18">
        <f>SUM(Acueducto[[#This Row],[Acueducto]:[Aseo]])</f>
        <v>0</v>
      </c>
    </row>
    <row r="2154" spans="1:6" ht="15" x14ac:dyDescent="0.2">
      <c r="A2154" s="7">
        <v>534708</v>
      </c>
      <c r="B2154" s="3" t="s">
        <v>157</v>
      </c>
      <c r="C2154" s="29">
        <f>ROUND(Balances[[#This Row],[Total]]*40%,0)</f>
        <v>0</v>
      </c>
      <c r="D2154" s="29">
        <f>ROUND(Balances[[#This Row],[Total]]*20%,0)</f>
        <v>0</v>
      </c>
      <c r="E2154" s="29">
        <f>ROUND(Balances[[#This Row],[Total]]*40%,0)</f>
        <v>0</v>
      </c>
      <c r="F2154" s="18">
        <f>SUM(Acueducto[[#This Row],[Acueducto]:[Aseo]])</f>
        <v>0</v>
      </c>
    </row>
    <row r="2155" spans="1:6" ht="15" x14ac:dyDescent="0.2">
      <c r="A2155" s="7">
        <v>534709</v>
      </c>
      <c r="B2155" s="3" t="s">
        <v>262</v>
      </c>
      <c r="C2155" s="29">
        <f>ROUND(Balances[[#This Row],[Total]]*40%,0)</f>
        <v>0</v>
      </c>
      <c r="D2155" s="29">
        <f>ROUND(Balances[[#This Row],[Total]]*20%,0)</f>
        <v>0</v>
      </c>
      <c r="E2155" s="29">
        <f>ROUND(Balances[[#This Row],[Total]]*40%,0)</f>
        <v>0</v>
      </c>
      <c r="F2155" s="18">
        <f>SUM(Acueducto[[#This Row],[Acueducto]:[Aseo]])</f>
        <v>0</v>
      </c>
    </row>
    <row r="2156" spans="1:6" ht="15" x14ac:dyDescent="0.2">
      <c r="A2156" s="7">
        <v>534710</v>
      </c>
      <c r="B2156" s="3" t="s">
        <v>263</v>
      </c>
      <c r="C2156" s="29">
        <f>ROUND(Balances[[#This Row],[Total]]*40%,0)</f>
        <v>0</v>
      </c>
      <c r="D2156" s="29">
        <f>ROUND(Balances[[#This Row],[Total]]*20%,0)</f>
        <v>0</v>
      </c>
      <c r="E2156" s="29">
        <f>ROUND(Balances[[#This Row],[Total]]*40%,0)</f>
        <v>0</v>
      </c>
      <c r="F2156" s="18">
        <f>SUM(Acueducto[[#This Row],[Acueducto]:[Aseo]])</f>
        <v>0</v>
      </c>
    </row>
    <row r="2157" spans="1:6" ht="15" x14ac:dyDescent="0.2">
      <c r="A2157" s="7">
        <v>534714</v>
      </c>
      <c r="B2157" s="3" t="s">
        <v>267</v>
      </c>
      <c r="C2157" s="29">
        <f>ROUND(Balances[[#This Row],[Total]]*40%,0)</f>
        <v>0</v>
      </c>
      <c r="D2157" s="29">
        <f>ROUND(Balances[[#This Row],[Total]]*20%,0)</f>
        <v>0</v>
      </c>
      <c r="E2157" s="29">
        <f>ROUND(Balances[[#This Row],[Total]]*40%,0)</f>
        <v>0</v>
      </c>
      <c r="F2157" s="18">
        <f>SUM(Acueducto[[#This Row],[Acueducto]:[Aseo]])</f>
        <v>0</v>
      </c>
    </row>
    <row r="2158" spans="1:6" ht="15" x14ac:dyDescent="0.2">
      <c r="A2158" s="7">
        <v>534790</v>
      </c>
      <c r="B2158" s="3" t="s">
        <v>258</v>
      </c>
      <c r="C2158" s="29">
        <f>ROUND(Balances[[#This Row],[Total]]*40%,0)</f>
        <v>0</v>
      </c>
      <c r="D2158" s="29">
        <f>ROUND(Balances[[#This Row],[Total]]*20%,0)</f>
        <v>0</v>
      </c>
      <c r="E2158" s="29">
        <f>ROUND(Balances[[#This Row],[Total]]*40%,0)</f>
        <v>0</v>
      </c>
      <c r="F2158" s="18">
        <f>SUM(Acueducto[[#This Row],[Acueducto]:[Aseo]])</f>
        <v>0</v>
      </c>
    </row>
    <row r="2159" spans="1:6" ht="15" x14ac:dyDescent="0.2">
      <c r="A2159" s="6">
        <v>5348</v>
      </c>
      <c r="B2159" s="2" t="s">
        <v>1318</v>
      </c>
      <c r="C2159" s="28">
        <f>ROUND(Balances[[#This Row],[Total]]*40%,0)</f>
        <v>0</v>
      </c>
      <c r="D2159" s="28">
        <f>ROUND(Balances[[#This Row],[Total]]*20%,0)</f>
        <v>0</v>
      </c>
      <c r="E2159" s="28">
        <f>ROUND(Balances[[#This Row],[Total]]*40%,0)</f>
        <v>0</v>
      </c>
      <c r="F2159" s="17">
        <f>SUM(Acueducto[[#This Row],[Acueducto]:[Aseo]])</f>
        <v>0</v>
      </c>
    </row>
    <row r="2160" spans="1:6" ht="15" x14ac:dyDescent="0.2">
      <c r="A2160" s="7">
        <v>534801</v>
      </c>
      <c r="B2160" s="3" t="s">
        <v>260</v>
      </c>
      <c r="C2160" s="29">
        <f>ROUND(Balances[[#This Row],[Total]]*40%,0)</f>
        <v>0</v>
      </c>
      <c r="D2160" s="29">
        <f>ROUND(Balances[[#This Row],[Total]]*20%,0)</f>
        <v>0</v>
      </c>
      <c r="E2160" s="29">
        <f>ROUND(Balances[[#This Row],[Total]]*40%,0)</f>
        <v>0</v>
      </c>
      <c r="F2160" s="18">
        <f>SUM(Acueducto[[#This Row],[Acueducto]:[Aseo]])</f>
        <v>0</v>
      </c>
    </row>
    <row r="2161" spans="1:6" ht="15" x14ac:dyDescent="0.2">
      <c r="A2161" s="7">
        <v>534802</v>
      </c>
      <c r="B2161" s="3" t="s">
        <v>261</v>
      </c>
      <c r="C2161" s="29">
        <f>ROUND(Balances[[#This Row],[Total]]*40%,0)</f>
        <v>0</v>
      </c>
      <c r="D2161" s="29">
        <f>ROUND(Balances[[#This Row],[Total]]*20%,0)</f>
        <v>0</v>
      </c>
      <c r="E2161" s="29">
        <f>ROUND(Balances[[#This Row],[Total]]*40%,0)</f>
        <v>0</v>
      </c>
      <c r="F2161" s="18">
        <f>SUM(Acueducto[[#This Row],[Acueducto]:[Aseo]])</f>
        <v>0</v>
      </c>
    </row>
    <row r="2162" spans="1:6" ht="15" x14ac:dyDescent="0.2">
      <c r="A2162" s="7">
        <v>534803</v>
      </c>
      <c r="B2162" s="3" t="s">
        <v>152</v>
      </c>
      <c r="C2162" s="29">
        <f>ROUND(Balances[[#This Row],[Total]]*40%,0)</f>
        <v>0</v>
      </c>
      <c r="D2162" s="29">
        <f>ROUND(Balances[[#This Row],[Total]]*20%,0)</f>
        <v>0</v>
      </c>
      <c r="E2162" s="29">
        <f>ROUND(Balances[[#This Row],[Total]]*40%,0)</f>
        <v>0</v>
      </c>
      <c r="F2162" s="18">
        <f>SUM(Acueducto[[#This Row],[Acueducto]:[Aseo]])</f>
        <v>0</v>
      </c>
    </row>
    <row r="2163" spans="1:6" ht="15" x14ac:dyDescent="0.2">
      <c r="A2163" s="7">
        <v>534804</v>
      </c>
      <c r="B2163" s="3" t="s">
        <v>153</v>
      </c>
      <c r="C2163" s="29">
        <f>ROUND(Balances[[#This Row],[Total]]*40%,0)</f>
        <v>0</v>
      </c>
      <c r="D2163" s="29">
        <f>ROUND(Balances[[#This Row],[Total]]*20%,0)</f>
        <v>0</v>
      </c>
      <c r="E2163" s="29">
        <f>ROUND(Balances[[#This Row],[Total]]*40%,0)</f>
        <v>0</v>
      </c>
      <c r="F2163" s="18">
        <f>SUM(Acueducto[[#This Row],[Acueducto]:[Aseo]])</f>
        <v>0</v>
      </c>
    </row>
    <row r="2164" spans="1:6" ht="15" x14ac:dyDescent="0.2">
      <c r="A2164" s="7">
        <v>534805</v>
      </c>
      <c r="B2164" s="3" t="s">
        <v>154</v>
      </c>
      <c r="C2164" s="29">
        <f>ROUND(Balances[[#This Row],[Total]]*40%,0)</f>
        <v>0</v>
      </c>
      <c r="D2164" s="29">
        <f>ROUND(Balances[[#This Row],[Total]]*20%,0)</f>
        <v>0</v>
      </c>
      <c r="E2164" s="29">
        <f>ROUND(Balances[[#This Row],[Total]]*40%,0)</f>
        <v>0</v>
      </c>
      <c r="F2164" s="18">
        <f>SUM(Acueducto[[#This Row],[Acueducto]:[Aseo]])</f>
        <v>0</v>
      </c>
    </row>
    <row r="2165" spans="1:6" ht="15" x14ac:dyDescent="0.2">
      <c r="A2165" s="7">
        <v>534806</v>
      </c>
      <c r="B2165" s="3" t="s">
        <v>155</v>
      </c>
      <c r="C2165" s="29">
        <f>ROUND(Balances[[#This Row],[Total]]*40%,0)</f>
        <v>0</v>
      </c>
      <c r="D2165" s="29">
        <f>ROUND(Balances[[#This Row],[Total]]*20%,0)</f>
        <v>0</v>
      </c>
      <c r="E2165" s="29">
        <f>ROUND(Balances[[#This Row],[Total]]*40%,0)</f>
        <v>0</v>
      </c>
      <c r="F2165" s="18">
        <f>SUM(Acueducto[[#This Row],[Acueducto]:[Aseo]])</f>
        <v>0</v>
      </c>
    </row>
    <row r="2166" spans="1:6" ht="15" x14ac:dyDescent="0.2">
      <c r="A2166" s="7">
        <v>534807</v>
      </c>
      <c r="B2166" s="3" t="s">
        <v>156</v>
      </c>
      <c r="C2166" s="29">
        <f>ROUND(Balances[[#This Row],[Total]]*40%,0)</f>
        <v>0</v>
      </c>
      <c r="D2166" s="29">
        <f>ROUND(Balances[[#This Row],[Total]]*20%,0)</f>
        <v>0</v>
      </c>
      <c r="E2166" s="29">
        <f>ROUND(Balances[[#This Row],[Total]]*40%,0)</f>
        <v>0</v>
      </c>
      <c r="F2166" s="18">
        <f>SUM(Acueducto[[#This Row],[Acueducto]:[Aseo]])</f>
        <v>0</v>
      </c>
    </row>
    <row r="2167" spans="1:6" ht="15" x14ac:dyDescent="0.2">
      <c r="A2167" s="7">
        <v>534808</v>
      </c>
      <c r="B2167" s="3" t="s">
        <v>157</v>
      </c>
      <c r="C2167" s="29">
        <f>ROUND(Balances[[#This Row],[Total]]*40%,0)</f>
        <v>0</v>
      </c>
      <c r="D2167" s="29">
        <f>ROUND(Balances[[#This Row],[Total]]*20%,0)</f>
        <v>0</v>
      </c>
      <c r="E2167" s="29">
        <f>ROUND(Balances[[#This Row],[Total]]*40%,0)</f>
        <v>0</v>
      </c>
      <c r="F2167" s="18">
        <f>SUM(Acueducto[[#This Row],[Acueducto]:[Aseo]])</f>
        <v>0</v>
      </c>
    </row>
    <row r="2168" spans="1:6" ht="15" x14ac:dyDescent="0.2">
      <c r="A2168" s="7">
        <v>534809</v>
      </c>
      <c r="B2168" s="3" t="s">
        <v>1319</v>
      </c>
      <c r="C2168" s="29">
        <f>ROUND(Balances[[#This Row],[Total]]*40%,0)</f>
        <v>0</v>
      </c>
      <c r="D2168" s="29">
        <f>ROUND(Balances[[#This Row],[Total]]*20%,0)</f>
        <v>0</v>
      </c>
      <c r="E2168" s="29">
        <f>ROUND(Balances[[#This Row],[Total]]*40%,0)</f>
        <v>0</v>
      </c>
      <c r="F2168" s="18">
        <f>SUM(Acueducto[[#This Row],[Acueducto]:[Aseo]])</f>
        <v>0</v>
      </c>
    </row>
    <row r="2169" spans="1:6" ht="15" x14ac:dyDescent="0.2">
      <c r="A2169" s="7">
        <v>534890</v>
      </c>
      <c r="B2169" s="3" t="s">
        <v>269</v>
      </c>
      <c r="C2169" s="29">
        <f>ROUND(Balances[[#This Row],[Total]]*40%,0)</f>
        <v>0</v>
      </c>
      <c r="D2169" s="29">
        <f>ROUND(Balances[[#This Row],[Total]]*20%,0)</f>
        <v>0</v>
      </c>
      <c r="E2169" s="29">
        <f>ROUND(Balances[[#This Row],[Total]]*40%,0)</f>
        <v>0</v>
      </c>
      <c r="F2169" s="18">
        <f>SUM(Acueducto[[#This Row],[Acueducto]:[Aseo]])</f>
        <v>0</v>
      </c>
    </row>
    <row r="2170" spans="1:6" ht="15" x14ac:dyDescent="0.2">
      <c r="A2170" s="6">
        <v>5349</v>
      </c>
      <c r="B2170" s="2" t="s">
        <v>1320</v>
      </c>
      <c r="C2170" s="28">
        <f>ROUND(Balances[[#This Row],[Total]]*40%,0)</f>
        <v>0</v>
      </c>
      <c r="D2170" s="28">
        <f>ROUND(Balances[[#This Row],[Total]]*20%,0)</f>
        <v>0</v>
      </c>
      <c r="E2170" s="28">
        <f>ROUND(Balances[[#This Row],[Total]]*40%,0)</f>
        <v>0</v>
      </c>
      <c r="F2170" s="17">
        <f>SUM(Acueducto[[#This Row],[Acueducto]:[Aseo]])</f>
        <v>0</v>
      </c>
    </row>
    <row r="2171" spans="1:6" ht="15" x14ac:dyDescent="0.2">
      <c r="A2171" s="7">
        <v>534901</v>
      </c>
      <c r="B2171" s="3" t="s">
        <v>289</v>
      </c>
      <c r="C2171" s="29">
        <f>ROUND(Balances[[#This Row],[Total]]*40%,0)</f>
        <v>0</v>
      </c>
      <c r="D2171" s="29">
        <f>ROUND(Balances[[#This Row],[Total]]*20%,0)</f>
        <v>0</v>
      </c>
      <c r="E2171" s="29">
        <f>ROUND(Balances[[#This Row],[Total]]*40%,0)</f>
        <v>0</v>
      </c>
      <c r="F2171" s="18">
        <f>SUM(Acueducto[[#This Row],[Acueducto]:[Aseo]])</f>
        <v>0</v>
      </c>
    </row>
    <row r="2172" spans="1:6" ht="15" x14ac:dyDescent="0.2">
      <c r="A2172" s="6">
        <v>5350</v>
      </c>
      <c r="B2172" s="2" t="s">
        <v>1321</v>
      </c>
      <c r="C2172" s="28">
        <f>ROUND(Balances[[#This Row],[Total]]*40%,0)</f>
        <v>0</v>
      </c>
      <c r="D2172" s="28">
        <f>ROUND(Balances[[#This Row],[Total]]*20%,0)</f>
        <v>0</v>
      </c>
      <c r="E2172" s="28">
        <f>ROUND(Balances[[#This Row],[Total]]*40%,0)</f>
        <v>0</v>
      </c>
      <c r="F2172" s="17">
        <f>SUM(Acueducto[[#This Row],[Acueducto]:[Aseo]])</f>
        <v>0</v>
      </c>
    </row>
    <row r="2173" spans="1:6" ht="15" x14ac:dyDescent="0.2">
      <c r="A2173" s="7">
        <v>535001</v>
      </c>
      <c r="B2173" s="3" t="s">
        <v>359</v>
      </c>
      <c r="C2173" s="29">
        <f>ROUND(Balances[[#This Row],[Total]]*40%,0)</f>
        <v>0</v>
      </c>
      <c r="D2173" s="29">
        <f>ROUND(Balances[[#This Row],[Total]]*20%,0)</f>
        <v>0</v>
      </c>
      <c r="E2173" s="29">
        <f>ROUND(Balances[[#This Row],[Total]]*40%,0)</f>
        <v>0</v>
      </c>
      <c r="F2173" s="18">
        <f>SUM(Acueducto[[#This Row],[Acueducto]:[Aseo]])</f>
        <v>0</v>
      </c>
    </row>
    <row r="2174" spans="1:6" ht="15" x14ac:dyDescent="0.2">
      <c r="A2174" s="7">
        <v>535002</v>
      </c>
      <c r="B2174" s="3" t="s">
        <v>360</v>
      </c>
      <c r="C2174" s="29">
        <f>ROUND(Balances[[#This Row],[Total]]*40%,0)</f>
        <v>0</v>
      </c>
      <c r="D2174" s="29">
        <f>ROUND(Balances[[#This Row],[Total]]*20%,0)</f>
        <v>0</v>
      </c>
      <c r="E2174" s="29">
        <f>ROUND(Balances[[#This Row],[Total]]*40%,0)</f>
        <v>0</v>
      </c>
      <c r="F2174" s="18">
        <f>SUM(Acueducto[[#This Row],[Acueducto]:[Aseo]])</f>
        <v>0</v>
      </c>
    </row>
    <row r="2175" spans="1:6" ht="15" x14ac:dyDescent="0.2">
      <c r="A2175" s="7">
        <v>535003</v>
      </c>
      <c r="B2175" s="3" t="s">
        <v>361</v>
      </c>
      <c r="C2175" s="29">
        <f>ROUND(Balances[[#This Row],[Total]]*40%,0)</f>
        <v>0</v>
      </c>
      <c r="D2175" s="29">
        <f>ROUND(Balances[[#This Row],[Total]]*20%,0)</f>
        <v>0</v>
      </c>
      <c r="E2175" s="29">
        <f>ROUND(Balances[[#This Row],[Total]]*40%,0)</f>
        <v>0</v>
      </c>
      <c r="F2175" s="18">
        <f>SUM(Acueducto[[#This Row],[Acueducto]:[Aseo]])</f>
        <v>0</v>
      </c>
    </row>
    <row r="2176" spans="1:6" ht="15" x14ac:dyDescent="0.2">
      <c r="A2176" s="7">
        <v>535004</v>
      </c>
      <c r="B2176" s="3" t="s">
        <v>326</v>
      </c>
      <c r="C2176" s="29">
        <f>ROUND(Balances[[#This Row],[Total]]*40%,0)</f>
        <v>0</v>
      </c>
      <c r="D2176" s="29">
        <f>ROUND(Balances[[#This Row],[Total]]*20%,0)</f>
        <v>0</v>
      </c>
      <c r="E2176" s="29">
        <f>ROUND(Balances[[#This Row],[Total]]*40%,0)</f>
        <v>0</v>
      </c>
      <c r="F2176" s="18">
        <f>SUM(Acueducto[[#This Row],[Acueducto]:[Aseo]])</f>
        <v>0</v>
      </c>
    </row>
    <row r="2177" spans="1:6" ht="15" x14ac:dyDescent="0.2">
      <c r="A2177" s="7">
        <v>535005</v>
      </c>
      <c r="B2177" s="3" t="s">
        <v>362</v>
      </c>
      <c r="C2177" s="29">
        <f>ROUND(Balances[[#This Row],[Total]]*40%,0)</f>
        <v>0</v>
      </c>
      <c r="D2177" s="29">
        <f>ROUND(Balances[[#This Row],[Total]]*20%,0)</f>
        <v>0</v>
      </c>
      <c r="E2177" s="29">
        <f>ROUND(Balances[[#This Row],[Total]]*40%,0)</f>
        <v>0</v>
      </c>
      <c r="F2177" s="18">
        <f>SUM(Acueducto[[#This Row],[Acueducto]:[Aseo]])</f>
        <v>0</v>
      </c>
    </row>
    <row r="2178" spans="1:6" ht="15" x14ac:dyDescent="0.2">
      <c r="A2178" s="7">
        <v>535006</v>
      </c>
      <c r="B2178" s="3" t="s">
        <v>363</v>
      </c>
      <c r="C2178" s="29">
        <f>ROUND(Balances[[#This Row],[Total]]*40%,0)</f>
        <v>0</v>
      </c>
      <c r="D2178" s="29">
        <f>ROUND(Balances[[#This Row],[Total]]*20%,0)</f>
        <v>0</v>
      </c>
      <c r="E2178" s="29">
        <f>ROUND(Balances[[#This Row],[Total]]*40%,0)</f>
        <v>0</v>
      </c>
      <c r="F2178" s="18">
        <f>SUM(Acueducto[[#This Row],[Acueducto]:[Aseo]])</f>
        <v>0</v>
      </c>
    </row>
    <row r="2179" spans="1:6" ht="15" x14ac:dyDescent="0.2">
      <c r="A2179" s="7">
        <v>535007</v>
      </c>
      <c r="B2179" s="3" t="s">
        <v>364</v>
      </c>
      <c r="C2179" s="29">
        <f>ROUND(Balances[[#This Row],[Total]]*40%,0)</f>
        <v>0</v>
      </c>
      <c r="D2179" s="29">
        <f>ROUND(Balances[[#This Row],[Total]]*20%,0)</f>
        <v>0</v>
      </c>
      <c r="E2179" s="29">
        <f>ROUND(Balances[[#This Row],[Total]]*40%,0)</f>
        <v>0</v>
      </c>
      <c r="F2179" s="18">
        <f>SUM(Acueducto[[#This Row],[Acueducto]:[Aseo]])</f>
        <v>0</v>
      </c>
    </row>
    <row r="2180" spans="1:6" ht="15" x14ac:dyDescent="0.2">
      <c r="A2180" s="7">
        <v>535008</v>
      </c>
      <c r="B2180" s="3" t="s">
        <v>365</v>
      </c>
      <c r="C2180" s="29">
        <f>ROUND(Balances[[#This Row],[Total]]*40%,0)</f>
        <v>0</v>
      </c>
      <c r="D2180" s="29">
        <f>ROUND(Balances[[#This Row],[Total]]*20%,0)</f>
        <v>0</v>
      </c>
      <c r="E2180" s="29">
        <f>ROUND(Balances[[#This Row],[Total]]*40%,0)</f>
        <v>0</v>
      </c>
      <c r="F2180" s="18">
        <f>SUM(Acueducto[[#This Row],[Acueducto]:[Aseo]])</f>
        <v>0</v>
      </c>
    </row>
    <row r="2181" spans="1:6" ht="15" x14ac:dyDescent="0.2">
      <c r="A2181" s="6">
        <v>5351</v>
      </c>
      <c r="B2181" s="2" t="s">
        <v>1322</v>
      </c>
      <c r="C2181" s="28">
        <f>ROUND(Balances[[#This Row],[Total]]*40%,0)</f>
        <v>0</v>
      </c>
      <c r="D2181" s="28">
        <f>ROUND(Balances[[#This Row],[Total]]*20%,0)</f>
        <v>0</v>
      </c>
      <c r="E2181" s="28">
        <f>ROUND(Balances[[#This Row],[Total]]*40%,0)</f>
        <v>0</v>
      </c>
      <c r="F2181" s="17">
        <f>SUM(Acueducto[[#This Row],[Acueducto]:[Aseo]])</f>
        <v>0</v>
      </c>
    </row>
    <row r="2182" spans="1:6" ht="15" x14ac:dyDescent="0.2">
      <c r="A2182" s="7">
        <v>535101</v>
      </c>
      <c r="B2182" s="3" t="s">
        <v>306</v>
      </c>
      <c r="C2182" s="29">
        <f>ROUND(Balances[[#This Row],[Total]]*40%,0)</f>
        <v>0</v>
      </c>
      <c r="D2182" s="29">
        <f>ROUND(Balances[[#This Row],[Total]]*20%,0)</f>
        <v>0</v>
      </c>
      <c r="E2182" s="29">
        <f>ROUND(Balances[[#This Row],[Total]]*40%,0)</f>
        <v>0</v>
      </c>
      <c r="F2182" s="18">
        <f>SUM(Acueducto[[#This Row],[Acueducto]:[Aseo]])</f>
        <v>0</v>
      </c>
    </row>
    <row r="2183" spans="1:6" ht="15" x14ac:dyDescent="0.2">
      <c r="A2183" s="7">
        <v>535102</v>
      </c>
      <c r="B2183" s="3" t="s">
        <v>398</v>
      </c>
      <c r="C2183" s="29">
        <f>ROUND(Balances[[#This Row],[Total]]*40%,0)</f>
        <v>0</v>
      </c>
      <c r="D2183" s="29">
        <f>ROUND(Balances[[#This Row],[Total]]*20%,0)</f>
        <v>0</v>
      </c>
      <c r="E2183" s="29">
        <f>ROUND(Balances[[#This Row],[Total]]*40%,0)</f>
        <v>0</v>
      </c>
      <c r="F2183" s="18">
        <f>SUM(Acueducto[[#This Row],[Acueducto]:[Aseo]])</f>
        <v>0</v>
      </c>
    </row>
    <row r="2184" spans="1:6" ht="15" x14ac:dyDescent="0.2">
      <c r="A2184" s="7">
        <v>535103</v>
      </c>
      <c r="B2184" s="3" t="s">
        <v>405</v>
      </c>
      <c r="C2184" s="29">
        <f>ROUND(Balances[[#This Row],[Total]]*40%,0)</f>
        <v>0</v>
      </c>
      <c r="D2184" s="29">
        <f>ROUND(Balances[[#This Row],[Total]]*20%,0)</f>
        <v>0</v>
      </c>
      <c r="E2184" s="29">
        <f>ROUND(Balances[[#This Row],[Total]]*40%,0)</f>
        <v>0</v>
      </c>
      <c r="F2184" s="18">
        <f>SUM(Acueducto[[#This Row],[Acueducto]:[Aseo]])</f>
        <v>0</v>
      </c>
    </row>
    <row r="2185" spans="1:6" ht="15" x14ac:dyDescent="0.2">
      <c r="A2185" s="7">
        <v>535104</v>
      </c>
      <c r="B2185" s="3" t="s">
        <v>544</v>
      </c>
      <c r="C2185" s="29">
        <f>ROUND(Balances[[#This Row],[Total]]*40%,0)</f>
        <v>0</v>
      </c>
      <c r="D2185" s="29">
        <f>ROUND(Balances[[#This Row],[Total]]*20%,0)</f>
        <v>0</v>
      </c>
      <c r="E2185" s="29">
        <f>ROUND(Balances[[#This Row],[Total]]*40%,0)</f>
        <v>0</v>
      </c>
      <c r="F2185" s="18">
        <f>SUM(Acueducto[[#This Row],[Acueducto]:[Aseo]])</f>
        <v>0</v>
      </c>
    </row>
    <row r="2186" spans="1:6" ht="15" x14ac:dyDescent="0.2">
      <c r="A2186" s="7">
        <v>535105</v>
      </c>
      <c r="B2186" s="3" t="s">
        <v>385</v>
      </c>
      <c r="C2186" s="29">
        <f>ROUND(Balances[[#This Row],[Total]]*40%,0)</f>
        <v>0</v>
      </c>
      <c r="D2186" s="29">
        <f>ROUND(Balances[[#This Row],[Total]]*20%,0)</f>
        <v>0</v>
      </c>
      <c r="E2186" s="29">
        <f>ROUND(Balances[[#This Row],[Total]]*40%,0)</f>
        <v>0</v>
      </c>
      <c r="F2186" s="18">
        <f>SUM(Acueducto[[#This Row],[Acueducto]:[Aseo]])</f>
        <v>0</v>
      </c>
    </row>
    <row r="2187" spans="1:6" ht="15" x14ac:dyDescent="0.2">
      <c r="A2187" s="7">
        <v>535106</v>
      </c>
      <c r="B2187" s="3" t="s">
        <v>386</v>
      </c>
      <c r="C2187" s="29">
        <f>ROUND(Balances[[#This Row],[Total]]*40%,0)</f>
        <v>0</v>
      </c>
      <c r="D2187" s="29">
        <f>ROUND(Balances[[#This Row],[Total]]*20%,0)</f>
        <v>0</v>
      </c>
      <c r="E2187" s="29">
        <f>ROUND(Balances[[#This Row],[Total]]*40%,0)</f>
        <v>0</v>
      </c>
      <c r="F2187" s="18">
        <f>SUM(Acueducto[[#This Row],[Acueducto]:[Aseo]])</f>
        <v>0</v>
      </c>
    </row>
    <row r="2188" spans="1:6" ht="15" x14ac:dyDescent="0.2">
      <c r="A2188" s="7">
        <v>535107</v>
      </c>
      <c r="B2188" s="3" t="s">
        <v>387</v>
      </c>
      <c r="C2188" s="29">
        <f>ROUND(Balances[[#This Row],[Total]]*40%,0)</f>
        <v>0</v>
      </c>
      <c r="D2188" s="29">
        <f>ROUND(Balances[[#This Row],[Total]]*20%,0)</f>
        <v>0</v>
      </c>
      <c r="E2188" s="29">
        <f>ROUND(Balances[[#This Row],[Total]]*40%,0)</f>
        <v>0</v>
      </c>
      <c r="F2188" s="18">
        <f>SUM(Acueducto[[#This Row],[Acueducto]:[Aseo]])</f>
        <v>0</v>
      </c>
    </row>
    <row r="2189" spans="1:6" ht="15" x14ac:dyDescent="0.2">
      <c r="A2189" s="7">
        <v>535108</v>
      </c>
      <c r="B2189" s="3" t="s">
        <v>390</v>
      </c>
      <c r="C2189" s="29">
        <f>ROUND(Balances[[#This Row],[Total]]*40%,0)</f>
        <v>0</v>
      </c>
      <c r="D2189" s="29">
        <f>ROUND(Balances[[#This Row],[Total]]*20%,0)</f>
        <v>0</v>
      </c>
      <c r="E2189" s="29">
        <f>ROUND(Balances[[#This Row],[Total]]*40%,0)</f>
        <v>0</v>
      </c>
      <c r="F2189" s="18">
        <f>SUM(Acueducto[[#This Row],[Acueducto]:[Aseo]])</f>
        <v>0</v>
      </c>
    </row>
    <row r="2190" spans="1:6" ht="15" x14ac:dyDescent="0.2">
      <c r="A2190" s="7">
        <v>535109</v>
      </c>
      <c r="B2190" s="3" t="s">
        <v>391</v>
      </c>
      <c r="C2190" s="29">
        <f>ROUND(Balances[[#This Row],[Total]]*40%,0)</f>
        <v>0</v>
      </c>
      <c r="D2190" s="29">
        <f>ROUND(Balances[[#This Row],[Total]]*20%,0)</f>
        <v>0</v>
      </c>
      <c r="E2190" s="29">
        <f>ROUND(Balances[[#This Row],[Total]]*40%,0)</f>
        <v>0</v>
      </c>
      <c r="F2190" s="18">
        <f>SUM(Acueducto[[#This Row],[Acueducto]:[Aseo]])</f>
        <v>0</v>
      </c>
    </row>
    <row r="2191" spans="1:6" ht="15" x14ac:dyDescent="0.2">
      <c r="A2191" s="7">
        <v>535110</v>
      </c>
      <c r="B2191" s="3" t="s">
        <v>397</v>
      </c>
      <c r="C2191" s="29">
        <f>ROUND(Balances[[#This Row],[Total]]*40%,0)</f>
        <v>0</v>
      </c>
      <c r="D2191" s="29">
        <f>ROUND(Balances[[#This Row],[Total]]*20%,0)</f>
        <v>0</v>
      </c>
      <c r="E2191" s="29">
        <f>ROUND(Balances[[#This Row],[Total]]*40%,0)</f>
        <v>0</v>
      </c>
      <c r="F2191" s="18">
        <f>SUM(Acueducto[[#This Row],[Acueducto]:[Aseo]])</f>
        <v>0</v>
      </c>
    </row>
    <row r="2192" spans="1:6" ht="15" x14ac:dyDescent="0.2">
      <c r="A2192" s="7">
        <v>535111</v>
      </c>
      <c r="B2192" s="3" t="s">
        <v>311</v>
      </c>
      <c r="C2192" s="29">
        <f>ROUND(Balances[[#This Row],[Total]]*40%,0)</f>
        <v>0</v>
      </c>
      <c r="D2192" s="29">
        <f>ROUND(Balances[[#This Row],[Total]]*20%,0)</f>
        <v>0</v>
      </c>
      <c r="E2192" s="29">
        <f>ROUND(Balances[[#This Row],[Total]]*40%,0)</f>
        <v>0</v>
      </c>
      <c r="F2192" s="18">
        <f>SUM(Acueducto[[#This Row],[Acueducto]:[Aseo]])</f>
        <v>0</v>
      </c>
    </row>
    <row r="2193" spans="1:6" ht="15" x14ac:dyDescent="0.2">
      <c r="A2193" s="7">
        <v>535112</v>
      </c>
      <c r="B2193" s="3" t="s">
        <v>545</v>
      </c>
      <c r="C2193" s="29">
        <f>ROUND(Balances[[#This Row],[Total]]*40%,0)</f>
        <v>0</v>
      </c>
      <c r="D2193" s="29">
        <f>ROUND(Balances[[#This Row],[Total]]*20%,0)</f>
        <v>0</v>
      </c>
      <c r="E2193" s="29">
        <f>ROUND(Balances[[#This Row],[Total]]*40%,0)</f>
        <v>0</v>
      </c>
      <c r="F2193" s="18">
        <f>SUM(Acueducto[[#This Row],[Acueducto]:[Aseo]])</f>
        <v>0</v>
      </c>
    </row>
    <row r="2194" spans="1:6" ht="15" x14ac:dyDescent="0.2">
      <c r="A2194" s="7">
        <v>535113</v>
      </c>
      <c r="B2194" s="3" t="s">
        <v>392</v>
      </c>
      <c r="C2194" s="29">
        <f>ROUND(Balances[[#This Row],[Total]]*40%,0)</f>
        <v>0</v>
      </c>
      <c r="D2194" s="29">
        <f>ROUND(Balances[[#This Row],[Total]]*20%,0)</f>
        <v>0</v>
      </c>
      <c r="E2194" s="29">
        <f>ROUND(Balances[[#This Row],[Total]]*40%,0)</f>
        <v>0</v>
      </c>
      <c r="F2194" s="18">
        <f>SUM(Acueducto[[#This Row],[Acueducto]:[Aseo]])</f>
        <v>0</v>
      </c>
    </row>
    <row r="2195" spans="1:6" ht="15" x14ac:dyDescent="0.2">
      <c r="A2195" s="7">
        <v>535114</v>
      </c>
      <c r="B2195" s="3" t="s">
        <v>536</v>
      </c>
      <c r="C2195" s="29">
        <f>ROUND(Balances[[#This Row],[Total]]*40%,0)</f>
        <v>0</v>
      </c>
      <c r="D2195" s="29">
        <f>ROUND(Balances[[#This Row],[Total]]*20%,0)</f>
        <v>0</v>
      </c>
      <c r="E2195" s="29">
        <f>ROUND(Balances[[#This Row],[Total]]*40%,0)</f>
        <v>0</v>
      </c>
      <c r="F2195" s="18">
        <f>SUM(Acueducto[[#This Row],[Acueducto]:[Aseo]])</f>
        <v>0</v>
      </c>
    </row>
    <row r="2196" spans="1:6" ht="15" x14ac:dyDescent="0.2">
      <c r="A2196" s="7">
        <v>535115</v>
      </c>
      <c r="B2196" s="3" t="s">
        <v>333</v>
      </c>
      <c r="C2196" s="29">
        <f>ROUND(Balances[[#This Row],[Total]]*40%,0)</f>
        <v>0</v>
      </c>
      <c r="D2196" s="29">
        <f>ROUND(Balances[[#This Row],[Total]]*20%,0)</f>
        <v>0</v>
      </c>
      <c r="E2196" s="29">
        <f>ROUND(Balances[[#This Row],[Total]]*40%,0)</f>
        <v>0</v>
      </c>
      <c r="F2196" s="18">
        <f>SUM(Acueducto[[#This Row],[Acueducto]:[Aseo]])</f>
        <v>0</v>
      </c>
    </row>
    <row r="2197" spans="1:6" ht="15" x14ac:dyDescent="0.2">
      <c r="A2197" s="7">
        <v>535116</v>
      </c>
      <c r="B2197" s="3" t="s">
        <v>546</v>
      </c>
      <c r="C2197" s="29">
        <f>ROUND(Balances[[#This Row],[Total]]*40%,0)</f>
        <v>0</v>
      </c>
      <c r="D2197" s="29">
        <f>ROUND(Balances[[#This Row],[Total]]*20%,0)</f>
        <v>0</v>
      </c>
      <c r="E2197" s="29">
        <f>ROUND(Balances[[#This Row],[Total]]*40%,0)</f>
        <v>0</v>
      </c>
      <c r="F2197" s="18">
        <f>SUM(Acueducto[[#This Row],[Acueducto]:[Aseo]])</f>
        <v>0</v>
      </c>
    </row>
    <row r="2198" spans="1:6" ht="15" x14ac:dyDescent="0.2">
      <c r="A2198" s="7">
        <v>535117</v>
      </c>
      <c r="B2198" s="3" t="s">
        <v>537</v>
      </c>
      <c r="C2198" s="29">
        <f>ROUND(Balances[[#This Row],[Total]]*40%,0)</f>
        <v>0</v>
      </c>
      <c r="D2198" s="29">
        <f>ROUND(Balances[[#This Row],[Total]]*20%,0)</f>
        <v>0</v>
      </c>
      <c r="E2198" s="29">
        <f>ROUND(Balances[[#This Row],[Total]]*40%,0)</f>
        <v>0</v>
      </c>
      <c r="F2198" s="18">
        <f>SUM(Acueducto[[#This Row],[Acueducto]:[Aseo]])</f>
        <v>0</v>
      </c>
    </row>
    <row r="2199" spans="1:6" ht="15" x14ac:dyDescent="0.2">
      <c r="A2199" s="7">
        <v>535118</v>
      </c>
      <c r="B2199" s="3" t="s">
        <v>541</v>
      </c>
      <c r="C2199" s="29">
        <f>ROUND(Balances[[#This Row],[Total]]*40%,0)</f>
        <v>0</v>
      </c>
      <c r="D2199" s="29">
        <f>ROUND(Balances[[#This Row],[Total]]*20%,0)</f>
        <v>0</v>
      </c>
      <c r="E2199" s="29">
        <f>ROUND(Balances[[#This Row],[Total]]*40%,0)</f>
        <v>0</v>
      </c>
      <c r="F2199" s="18">
        <f>SUM(Acueducto[[#This Row],[Acueducto]:[Aseo]])</f>
        <v>0</v>
      </c>
    </row>
    <row r="2200" spans="1:6" ht="15" x14ac:dyDescent="0.2">
      <c r="A2200" s="7">
        <v>535119</v>
      </c>
      <c r="B2200" s="3" t="s">
        <v>538</v>
      </c>
      <c r="C2200" s="29">
        <f>ROUND(Balances[[#This Row],[Total]]*40%,0)</f>
        <v>0</v>
      </c>
      <c r="D2200" s="29">
        <f>ROUND(Balances[[#This Row],[Total]]*20%,0)</f>
        <v>0</v>
      </c>
      <c r="E2200" s="29">
        <f>ROUND(Balances[[#This Row],[Total]]*40%,0)</f>
        <v>0</v>
      </c>
      <c r="F2200" s="18">
        <f>SUM(Acueducto[[#This Row],[Acueducto]:[Aseo]])</f>
        <v>0</v>
      </c>
    </row>
    <row r="2201" spans="1:6" ht="15" x14ac:dyDescent="0.2">
      <c r="A2201" s="7">
        <v>535120</v>
      </c>
      <c r="B2201" s="3" t="s">
        <v>539</v>
      </c>
      <c r="C2201" s="29">
        <f>ROUND(Balances[[#This Row],[Total]]*40%,0)</f>
        <v>0</v>
      </c>
      <c r="D2201" s="29">
        <f>ROUND(Balances[[#This Row],[Total]]*20%,0)</f>
        <v>0</v>
      </c>
      <c r="E2201" s="29">
        <f>ROUND(Balances[[#This Row],[Total]]*40%,0)</f>
        <v>0</v>
      </c>
      <c r="F2201" s="18">
        <f>SUM(Acueducto[[#This Row],[Acueducto]:[Aseo]])</f>
        <v>0</v>
      </c>
    </row>
    <row r="2202" spans="1:6" ht="15" x14ac:dyDescent="0.2">
      <c r="A2202" s="7">
        <v>535121</v>
      </c>
      <c r="B2202" s="3" t="s">
        <v>540</v>
      </c>
      <c r="C2202" s="29">
        <f>ROUND(Balances[[#This Row],[Total]]*40%,0)</f>
        <v>0</v>
      </c>
      <c r="D2202" s="29">
        <f>ROUND(Balances[[#This Row],[Total]]*20%,0)</f>
        <v>0</v>
      </c>
      <c r="E2202" s="29">
        <f>ROUND(Balances[[#This Row],[Total]]*40%,0)</f>
        <v>0</v>
      </c>
      <c r="F2202" s="18">
        <f>SUM(Acueducto[[#This Row],[Acueducto]:[Aseo]])</f>
        <v>0</v>
      </c>
    </row>
    <row r="2203" spans="1:6" ht="15" x14ac:dyDescent="0.2">
      <c r="A2203" s="6">
        <v>5355</v>
      </c>
      <c r="B2203" s="2" t="s">
        <v>1323</v>
      </c>
      <c r="C2203" s="28">
        <f>ROUND(Balances[[#This Row],[Total]]*40%,0)</f>
        <v>0</v>
      </c>
      <c r="D2203" s="28">
        <f>ROUND(Balances[[#This Row],[Total]]*20%,0)</f>
        <v>0</v>
      </c>
      <c r="E2203" s="28">
        <f>ROUND(Balances[[#This Row],[Total]]*40%,0)</f>
        <v>0</v>
      </c>
      <c r="F2203" s="17">
        <f>SUM(Acueducto[[#This Row],[Acueducto]:[Aseo]])</f>
        <v>0</v>
      </c>
    </row>
    <row r="2204" spans="1:6" ht="15" x14ac:dyDescent="0.2">
      <c r="A2204" s="7">
        <v>535501</v>
      </c>
      <c r="B2204" s="3" t="s">
        <v>306</v>
      </c>
      <c r="C2204" s="29">
        <f>ROUND(Balances[[#This Row],[Total]]*40%,0)</f>
        <v>0</v>
      </c>
      <c r="D2204" s="29">
        <f>ROUND(Balances[[#This Row],[Total]]*20%,0)</f>
        <v>0</v>
      </c>
      <c r="E2204" s="29">
        <f>ROUND(Balances[[#This Row],[Total]]*40%,0)</f>
        <v>0</v>
      </c>
      <c r="F2204" s="18">
        <f>SUM(Acueducto[[#This Row],[Acueducto]:[Aseo]])</f>
        <v>0</v>
      </c>
    </row>
    <row r="2205" spans="1:6" ht="15" x14ac:dyDescent="0.2">
      <c r="A2205" s="7">
        <v>535502</v>
      </c>
      <c r="B2205" s="3" t="s">
        <v>385</v>
      </c>
      <c r="C2205" s="29">
        <f>ROUND(Balances[[#This Row],[Total]]*40%,0)</f>
        <v>0</v>
      </c>
      <c r="D2205" s="29">
        <f>ROUND(Balances[[#This Row],[Total]]*20%,0)</f>
        <v>0</v>
      </c>
      <c r="E2205" s="29">
        <f>ROUND(Balances[[#This Row],[Total]]*40%,0)</f>
        <v>0</v>
      </c>
      <c r="F2205" s="18">
        <f>SUM(Acueducto[[#This Row],[Acueducto]:[Aseo]])</f>
        <v>0</v>
      </c>
    </row>
    <row r="2206" spans="1:6" ht="15" x14ac:dyDescent="0.2">
      <c r="A2206" s="7">
        <v>535503</v>
      </c>
      <c r="B2206" s="3" t="s">
        <v>610</v>
      </c>
      <c r="C2206" s="29">
        <f>ROUND(Balances[[#This Row],[Total]]*40%,0)</f>
        <v>0</v>
      </c>
      <c r="D2206" s="29">
        <f>ROUND(Balances[[#This Row],[Total]]*20%,0)</f>
        <v>0</v>
      </c>
      <c r="E2206" s="29">
        <f>ROUND(Balances[[#This Row],[Total]]*40%,0)</f>
        <v>0</v>
      </c>
      <c r="F2206" s="18">
        <f>SUM(Acueducto[[#This Row],[Acueducto]:[Aseo]])</f>
        <v>0</v>
      </c>
    </row>
    <row r="2207" spans="1:6" ht="15" x14ac:dyDescent="0.2">
      <c r="A2207" s="7">
        <v>535504</v>
      </c>
      <c r="B2207" s="3" t="s">
        <v>611</v>
      </c>
      <c r="C2207" s="29">
        <f>ROUND(Balances[[#This Row],[Total]]*40%,0)</f>
        <v>0</v>
      </c>
      <c r="D2207" s="29">
        <f>ROUND(Balances[[#This Row],[Total]]*20%,0)</f>
        <v>0</v>
      </c>
      <c r="E2207" s="29">
        <f>ROUND(Balances[[#This Row],[Total]]*40%,0)</f>
        <v>0</v>
      </c>
      <c r="F2207" s="18">
        <f>SUM(Acueducto[[#This Row],[Acueducto]:[Aseo]])</f>
        <v>0</v>
      </c>
    </row>
    <row r="2208" spans="1:6" ht="15" x14ac:dyDescent="0.2">
      <c r="A2208" s="6">
        <v>5357</v>
      </c>
      <c r="B2208" s="2" t="s">
        <v>1324</v>
      </c>
      <c r="C2208" s="28">
        <f>ROUND(Balances[[#This Row],[Total]]*40%,0)</f>
        <v>0</v>
      </c>
      <c r="D2208" s="28">
        <f>ROUND(Balances[[#This Row],[Total]]*20%,0)</f>
        <v>0</v>
      </c>
      <c r="E2208" s="28">
        <f>ROUND(Balances[[#This Row],[Total]]*40%,0)</f>
        <v>0</v>
      </c>
      <c r="F2208" s="17">
        <f>SUM(Acueducto[[#This Row],[Acueducto]:[Aseo]])</f>
        <v>0</v>
      </c>
    </row>
    <row r="2209" spans="1:6" ht="15" x14ac:dyDescent="0.2">
      <c r="A2209" s="7">
        <v>535701</v>
      </c>
      <c r="B2209" s="3" t="s">
        <v>615</v>
      </c>
      <c r="C2209" s="29">
        <f>ROUND(Balances[[#This Row],[Total]]*40%,0)</f>
        <v>0</v>
      </c>
      <c r="D2209" s="29">
        <f>ROUND(Balances[[#This Row],[Total]]*20%,0)</f>
        <v>0</v>
      </c>
      <c r="E2209" s="29">
        <f>ROUND(Balances[[#This Row],[Total]]*40%,0)</f>
        <v>0</v>
      </c>
      <c r="F2209" s="18">
        <f>SUM(Acueducto[[#This Row],[Acueducto]:[Aseo]])</f>
        <v>0</v>
      </c>
    </row>
    <row r="2210" spans="1:6" ht="15" x14ac:dyDescent="0.2">
      <c r="A2210" s="7">
        <v>535702</v>
      </c>
      <c r="B2210" s="3" t="s">
        <v>616</v>
      </c>
      <c r="C2210" s="29">
        <f>ROUND(Balances[[#This Row],[Total]]*40%,0)</f>
        <v>0</v>
      </c>
      <c r="D2210" s="29">
        <f>ROUND(Balances[[#This Row],[Total]]*20%,0)</f>
        <v>0</v>
      </c>
      <c r="E2210" s="29">
        <f>ROUND(Balances[[#This Row],[Total]]*40%,0)</f>
        <v>0</v>
      </c>
      <c r="F2210" s="18">
        <f>SUM(Acueducto[[#This Row],[Acueducto]:[Aseo]])</f>
        <v>0</v>
      </c>
    </row>
    <row r="2211" spans="1:6" ht="15" x14ac:dyDescent="0.2">
      <c r="A2211" s="7">
        <v>535703</v>
      </c>
      <c r="B2211" s="3" t="s">
        <v>617</v>
      </c>
      <c r="C2211" s="29">
        <f>ROUND(Balances[[#This Row],[Total]]*40%,0)</f>
        <v>0</v>
      </c>
      <c r="D2211" s="29">
        <f>ROUND(Balances[[#This Row],[Total]]*20%,0)</f>
        <v>0</v>
      </c>
      <c r="E2211" s="29">
        <f>ROUND(Balances[[#This Row],[Total]]*40%,0)</f>
        <v>0</v>
      </c>
      <c r="F2211" s="18">
        <f>SUM(Acueducto[[#This Row],[Acueducto]:[Aseo]])</f>
        <v>0</v>
      </c>
    </row>
    <row r="2212" spans="1:6" ht="15" x14ac:dyDescent="0.2">
      <c r="A2212" s="7">
        <v>535704</v>
      </c>
      <c r="B2212" s="3" t="s">
        <v>618</v>
      </c>
      <c r="C2212" s="29">
        <f>ROUND(Balances[[#This Row],[Total]]*40%,0)</f>
        <v>0</v>
      </c>
      <c r="D2212" s="29">
        <f>ROUND(Balances[[#This Row],[Total]]*20%,0)</f>
        <v>0</v>
      </c>
      <c r="E2212" s="29">
        <f>ROUND(Balances[[#This Row],[Total]]*40%,0)</f>
        <v>0</v>
      </c>
      <c r="F2212" s="18">
        <f>SUM(Acueducto[[#This Row],[Acueducto]:[Aseo]])</f>
        <v>0</v>
      </c>
    </row>
    <row r="2213" spans="1:6" ht="15" x14ac:dyDescent="0.2">
      <c r="A2213" s="7">
        <v>535705</v>
      </c>
      <c r="B2213" s="3" t="s">
        <v>619</v>
      </c>
      <c r="C2213" s="29">
        <f>ROUND(Balances[[#This Row],[Total]]*40%,0)</f>
        <v>0</v>
      </c>
      <c r="D2213" s="29">
        <f>ROUND(Balances[[#This Row],[Total]]*20%,0)</f>
        <v>0</v>
      </c>
      <c r="E2213" s="29">
        <f>ROUND(Balances[[#This Row],[Total]]*40%,0)</f>
        <v>0</v>
      </c>
      <c r="F2213" s="18">
        <f>SUM(Acueducto[[#This Row],[Acueducto]:[Aseo]])</f>
        <v>0</v>
      </c>
    </row>
    <row r="2214" spans="1:6" ht="15" x14ac:dyDescent="0.2">
      <c r="A2214" s="7">
        <v>535706</v>
      </c>
      <c r="B2214" s="3" t="s">
        <v>620</v>
      </c>
      <c r="C2214" s="29">
        <f>ROUND(Balances[[#This Row],[Total]]*40%,0)</f>
        <v>0</v>
      </c>
      <c r="D2214" s="29">
        <f>ROUND(Balances[[#This Row],[Total]]*20%,0)</f>
        <v>0</v>
      </c>
      <c r="E2214" s="29">
        <f>ROUND(Balances[[#This Row],[Total]]*40%,0)</f>
        <v>0</v>
      </c>
      <c r="F2214" s="18">
        <f>SUM(Acueducto[[#This Row],[Acueducto]:[Aseo]])</f>
        <v>0</v>
      </c>
    </row>
    <row r="2215" spans="1:6" ht="15" x14ac:dyDescent="0.2">
      <c r="A2215" s="7">
        <v>535707</v>
      </c>
      <c r="B2215" s="3" t="s">
        <v>621</v>
      </c>
      <c r="C2215" s="29">
        <f>ROUND(Balances[[#This Row],[Total]]*40%,0)</f>
        <v>0</v>
      </c>
      <c r="D2215" s="29">
        <f>ROUND(Balances[[#This Row],[Total]]*20%,0)</f>
        <v>0</v>
      </c>
      <c r="E2215" s="29">
        <f>ROUND(Balances[[#This Row],[Total]]*40%,0)</f>
        <v>0</v>
      </c>
      <c r="F2215" s="18">
        <f>SUM(Acueducto[[#This Row],[Acueducto]:[Aseo]])</f>
        <v>0</v>
      </c>
    </row>
    <row r="2216" spans="1:6" ht="15" x14ac:dyDescent="0.2">
      <c r="A2216" s="7">
        <v>535709</v>
      </c>
      <c r="B2216" s="3" t="s">
        <v>622</v>
      </c>
      <c r="C2216" s="29">
        <f>ROUND(Balances[[#This Row],[Total]]*40%,0)</f>
        <v>0</v>
      </c>
      <c r="D2216" s="29">
        <f>ROUND(Balances[[#This Row],[Total]]*20%,0)</f>
        <v>0</v>
      </c>
      <c r="E2216" s="29">
        <f>ROUND(Balances[[#This Row],[Total]]*40%,0)</f>
        <v>0</v>
      </c>
      <c r="F2216" s="18">
        <f>SUM(Acueducto[[#This Row],[Acueducto]:[Aseo]])</f>
        <v>0</v>
      </c>
    </row>
    <row r="2217" spans="1:6" ht="15" x14ac:dyDescent="0.2">
      <c r="A2217" s="7">
        <v>535711</v>
      </c>
      <c r="B2217" s="3" t="s">
        <v>623</v>
      </c>
      <c r="C2217" s="29">
        <f>ROUND(Balances[[#This Row],[Total]]*40%,0)</f>
        <v>0</v>
      </c>
      <c r="D2217" s="29">
        <f>ROUND(Balances[[#This Row],[Total]]*20%,0)</f>
        <v>0</v>
      </c>
      <c r="E2217" s="29">
        <f>ROUND(Balances[[#This Row],[Total]]*40%,0)</f>
        <v>0</v>
      </c>
      <c r="F2217" s="18">
        <f>SUM(Acueducto[[#This Row],[Acueducto]:[Aseo]])</f>
        <v>0</v>
      </c>
    </row>
    <row r="2218" spans="1:6" ht="15" x14ac:dyDescent="0.2">
      <c r="A2218" s="7">
        <v>535790</v>
      </c>
      <c r="B2218" s="3" t="s">
        <v>624</v>
      </c>
      <c r="C2218" s="29">
        <f>ROUND(Balances[[#This Row],[Total]]*40%,0)</f>
        <v>0</v>
      </c>
      <c r="D2218" s="29">
        <f>ROUND(Balances[[#This Row],[Total]]*20%,0)</f>
        <v>0</v>
      </c>
      <c r="E2218" s="29">
        <f>ROUND(Balances[[#This Row],[Total]]*40%,0)</f>
        <v>0</v>
      </c>
      <c r="F2218" s="18">
        <f>SUM(Acueducto[[#This Row],[Acueducto]:[Aseo]])</f>
        <v>0</v>
      </c>
    </row>
    <row r="2219" spans="1:6" ht="15" x14ac:dyDescent="0.2">
      <c r="A2219" s="6">
        <v>5359</v>
      </c>
      <c r="B2219" s="2" t="s">
        <v>1325</v>
      </c>
      <c r="C2219" s="28">
        <f>ROUND(Balances[[#This Row],[Total]]*40%,0)</f>
        <v>0</v>
      </c>
      <c r="D2219" s="28">
        <f>ROUND(Balances[[#This Row],[Total]]*20%,0)</f>
        <v>0</v>
      </c>
      <c r="E2219" s="28">
        <f>ROUND(Balances[[#This Row],[Total]]*40%,0)</f>
        <v>0</v>
      </c>
      <c r="F2219" s="17">
        <f>SUM(Acueducto[[#This Row],[Acueducto]:[Aseo]])</f>
        <v>0</v>
      </c>
    </row>
    <row r="2220" spans="1:6" ht="15" x14ac:dyDescent="0.2">
      <c r="A2220" s="7">
        <v>535901</v>
      </c>
      <c r="B2220" s="3" t="s">
        <v>628</v>
      </c>
      <c r="C2220" s="29">
        <f>ROUND(Balances[[#This Row],[Total]]*40%,0)</f>
        <v>0</v>
      </c>
      <c r="D2220" s="29">
        <f>ROUND(Balances[[#This Row],[Total]]*20%,0)</f>
        <v>0</v>
      </c>
      <c r="E2220" s="29">
        <f>ROUND(Balances[[#This Row],[Total]]*40%,0)</f>
        <v>0</v>
      </c>
      <c r="F2220" s="18">
        <f>SUM(Acueducto[[#This Row],[Acueducto]:[Aseo]])</f>
        <v>0</v>
      </c>
    </row>
    <row r="2221" spans="1:6" ht="15" x14ac:dyDescent="0.2">
      <c r="A2221" s="7">
        <v>535902</v>
      </c>
      <c r="B2221" s="3" t="s">
        <v>629</v>
      </c>
      <c r="C2221" s="29">
        <f>ROUND(Balances[[#This Row],[Total]]*40%,0)</f>
        <v>0</v>
      </c>
      <c r="D2221" s="29">
        <f>ROUND(Balances[[#This Row],[Total]]*20%,0)</f>
        <v>0</v>
      </c>
      <c r="E2221" s="29">
        <f>ROUND(Balances[[#This Row],[Total]]*40%,0)</f>
        <v>0</v>
      </c>
      <c r="F2221" s="18">
        <f>SUM(Acueducto[[#This Row],[Acueducto]:[Aseo]])</f>
        <v>0</v>
      </c>
    </row>
    <row r="2222" spans="1:6" ht="15" x14ac:dyDescent="0.2">
      <c r="A2222" s="7">
        <v>535903</v>
      </c>
      <c r="B2222" s="3" t="s">
        <v>630</v>
      </c>
      <c r="C2222" s="29">
        <f>ROUND(Balances[[#This Row],[Total]]*40%,0)</f>
        <v>0</v>
      </c>
      <c r="D2222" s="29">
        <f>ROUND(Balances[[#This Row],[Total]]*20%,0)</f>
        <v>0</v>
      </c>
      <c r="E2222" s="29">
        <f>ROUND(Balances[[#This Row],[Total]]*40%,0)</f>
        <v>0</v>
      </c>
      <c r="F2222" s="18">
        <f>SUM(Acueducto[[#This Row],[Acueducto]:[Aseo]])</f>
        <v>0</v>
      </c>
    </row>
    <row r="2223" spans="1:6" ht="15" x14ac:dyDescent="0.2">
      <c r="A2223" s="7">
        <v>535904</v>
      </c>
      <c r="B2223" s="3" t="s">
        <v>631</v>
      </c>
      <c r="C2223" s="29">
        <f>ROUND(Balances[[#This Row],[Total]]*40%,0)</f>
        <v>0</v>
      </c>
      <c r="D2223" s="29">
        <f>ROUND(Balances[[#This Row],[Total]]*20%,0)</f>
        <v>0</v>
      </c>
      <c r="E2223" s="29">
        <f>ROUND(Balances[[#This Row],[Total]]*40%,0)</f>
        <v>0</v>
      </c>
      <c r="F2223" s="18">
        <f>SUM(Acueducto[[#This Row],[Acueducto]:[Aseo]])</f>
        <v>0</v>
      </c>
    </row>
    <row r="2224" spans="1:6" ht="15" x14ac:dyDescent="0.2">
      <c r="A2224" s="6">
        <v>5360</v>
      </c>
      <c r="B2224" s="2" t="s">
        <v>1326</v>
      </c>
      <c r="C2224" s="28">
        <f>ROUND(Balances[[#This Row],[Total]]*40%,0)</f>
        <v>162480</v>
      </c>
      <c r="D2224" s="28">
        <f>ROUND(Balances[[#This Row],[Total]]*20%,0)</f>
        <v>81240</v>
      </c>
      <c r="E2224" s="28">
        <f>ROUND(Balances[[#This Row],[Total]]*40%,0)</f>
        <v>162480</v>
      </c>
      <c r="F2224" s="17">
        <f>SUM(Acueducto[[#This Row],[Acueducto]:[Aseo]])</f>
        <v>406200</v>
      </c>
    </row>
    <row r="2225" spans="1:6" ht="15" x14ac:dyDescent="0.2">
      <c r="A2225" s="7">
        <v>536001</v>
      </c>
      <c r="B2225" s="3" t="s">
        <v>385</v>
      </c>
      <c r="C2225" s="29">
        <f>ROUND(Balances[[#This Row],[Total]]*40%,0)</f>
        <v>0</v>
      </c>
      <c r="D2225" s="29">
        <f>ROUND(Balances[[#This Row],[Total]]*20%,0)</f>
        <v>0</v>
      </c>
      <c r="E2225" s="29">
        <f>ROUND(Balances[[#This Row],[Total]]*40%,0)</f>
        <v>0</v>
      </c>
      <c r="F2225" s="18">
        <f>SUM(Acueducto[[#This Row],[Acueducto]:[Aseo]])</f>
        <v>0</v>
      </c>
    </row>
    <row r="2226" spans="1:6" ht="15" x14ac:dyDescent="0.2">
      <c r="A2226" s="7">
        <v>536002</v>
      </c>
      <c r="B2226" s="3" t="s">
        <v>386</v>
      </c>
      <c r="C2226" s="29">
        <f>ROUND(Balances[[#This Row],[Total]]*40%,0)</f>
        <v>0</v>
      </c>
      <c r="D2226" s="29">
        <f>ROUND(Balances[[#This Row],[Total]]*20%,0)</f>
        <v>0</v>
      </c>
      <c r="E2226" s="29">
        <f>ROUND(Balances[[#This Row],[Total]]*40%,0)</f>
        <v>0</v>
      </c>
      <c r="F2226" s="18">
        <f>SUM(Acueducto[[#This Row],[Acueducto]:[Aseo]])</f>
        <v>0</v>
      </c>
    </row>
    <row r="2227" spans="1:6" ht="15" x14ac:dyDescent="0.2">
      <c r="A2227" s="7">
        <v>536003</v>
      </c>
      <c r="B2227" s="3" t="s">
        <v>387</v>
      </c>
      <c r="C2227" s="29">
        <f>ROUND(Balances[[#This Row],[Total]]*40%,0)</f>
        <v>0</v>
      </c>
      <c r="D2227" s="29">
        <f>ROUND(Balances[[#This Row],[Total]]*20%,0)</f>
        <v>0</v>
      </c>
      <c r="E2227" s="29">
        <f>ROUND(Balances[[#This Row],[Total]]*40%,0)</f>
        <v>0</v>
      </c>
      <c r="F2227" s="18">
        <f>SUM(Acueducto[[#This Row],[Acueducto]:[Aseo]])</f>
        <v>0</v>
      </c>
    </row>
    <row r="2228" spans="1:6" ht="15" x14ac:dyDescent="0.2">
      <c r="A2228" s="7">
        <v>536004</v>
      </c>
      <c r="B2228" s="3" t="s">
        <v>390</v>
      </c>
      <c r="C2228" s="29">
        <f>ROUND(Balances[[#This Row],[Total]]*40%,0)</f>
        <v>0</v>
      </c>
      <c r="D2228" s="29">
        <f>ROUND(Balances[[#This Row],[Total]]*20%,0)</f>
        <v>0</v>
      </c>
      <c r="E2228" s="29">
        <f>ROUND(Balances[[#This Row],[Total]]*40%,0)</f>
        <v>0</v>
      </c>
      <c r="F2228" s="18">
        <f>SUM(Acueducto[[#This Row],[Acueducto]:[Aseo]])</f>
        <v>0</v>
      </c>
    </row>
    <row r="2229" spans="1:6" ht="15" x14ac:dyDescent="0.2">
      <c r="A2229" s="7">
        <v>536005</v>
      </c>
      <c r="B2229" s="3" t="s">
        <v>391</v>
      </c>
      <c r="C2229" s="29">
        <f>ROUND(Balances[[#This Row],[Total]]*40%,0)</f>
        <v>0</v>
      </c>
      <c r="D2229" s="29">
        <f>ROUND(Balances[[#This Row],[Total]]*20%,0)</f>
        <v>0</v>
      </c>
      <c r="E2229" s="29">
        <f>ROUND(Balances[[#This Row],[Total]]*40%,0)</f>
        <v>0</v>
      </c>
      <c r="F2229" s="18">
        <f>SUM(Acueducto[[#This Row],[Acueducto]:[Aseo]])</f>
        <v>0</v>
      </c>
    </row>
    <row r="2230" spans="1:6" ht="15" x14ac:dyDescent="0.2">
      <c r="A2230" s="7">
        <v>536006</v>
      </c>
      <c r="B2230" s="3" t="s">
        <v>397</v>
      </c>
      <c r="C2230" s="29">
        <f>ROUND(Balances[[#This Row],[Total]]*40%,0)</f>
        <v>40000</v>
      </c>
      <c r="D2230" s="29">
        <f>ROUND(Balances[[#This Row],[Total]]*20%,0)</f>
        <v>20000</v>
      </c>
      <c r="E2230" s="29">
        <f>ROUND(Balances[[#This Row],[Total]]*40%,0)</f>
        <v>40000</v>
      </c>
      <c r="F2230" s="18">
        <f>SUM(Acueducto[[#This Row],[Acueducto]:[Aseo]])</f>
        <v>100000</v>
      </c>
    </row>
    <row r="2231" spans="1:6" ht="15" x14ac:dyDescent="0.2">
      <c r="A2231" s="7">
        <v>536007</v>
      </c>
      <c r="B2231" s="3" t="s">
        <v>311</v>
      </c>
      <c r="C2231" s="29">
        <f>ROUND(Balances[[#This Row],[Total]]*40%,0)</f>
        <v>122480</v>
      </c>
      <c r="D2231" s="29">
        <f>ROUND(Balances[[#This Row],[Total]]*20%,0)</f>
        <v>61240</v>
      </c>
      <c r="E2231" s="29">
        <f>ROUND(Balances[[#This Row],[Total]]*40%,0)</f>
        <v>122480</v>
      </c>
      <c r="F2231" s="18">
        <f>SUM(Acueducto[[#This Row],[Acueducto]:[Aseo]])</f>
        <v>306200</v>
      </c>
    </row>
    <row r="2232" spans="1:6" ht="15" x14ac:dyDescent="0.2">
      <c r="A2232" s="7">
        <v>536008</v>
      </c>
      <c r="B2232" s="3" t="s">
        <v>393</v>
      </c>
      <c r="C2232" s="29">
        <f>ROUND(Balances[[#This Row],[Total]]*40%,0)</f>
        <v>0</v>
      </c>
      <c r="D2232" s="29">
        <f>ROUND(Balances[[#This Row],[Total]]*20%,0)</f>
        <v>0</v>
      </c>
      <c r="E2232" s="29">
        <f>ROUND(Balances[[#This Row],[Total]]*40%,0)</f>
        <v>0</v>
      </c>
      <c r="F2232" s="18">
        <f>SUM(Acueducto[[#This Row],[Acueducto]:[Aseo]])</f>
        <v>0</v>
      </c>
    </row>
    <row r="2233" spans="1:6" ht="15" x14ac:dyDescent="0.2">
      <c r="A2233" s="7">
        <v>536009</v>
      </c>
      <c r="B2233" s="3" t="s">
        <v>392</v>
      </c>
      <c r="C2233" s="29">
        <f>ROUND(Balances[[#This Row],[Total]]*40%,0)</f>
        <v>0</v>
      </c>
      <c r="D2233" s="29">
        <f>ROUND(Balances[[#This Row],[Total]]*20%,0)</f>
        <v>0</v>
      </c>
      <c r="E2233" s="29">
        <f>ROUND(Balances[[#This Row],[Total]]*40%,0)</f>
        <v>0</v>
      </c>
      <c r="F2233" s="18">
        <f>SUM(Acueducto[[#This Row],[Acueducto]:[Aseo]])</f>
        <v>0</v>
      </c>
    </row>
    <row r="2234" spans="1:6" ht="15" x14ac:dyDescent="0.2">
      <c r="A2234" s="7">
        <v>536010</v>
      </c>
      <c r="B2234" s="3" t="s">
        <v>398</v>
      </c>
      <c r="C2234" s="29">
        <f>ROUND(Balances[[#This Row],[Total]]*40%,0)</f>
        <v>0</v>
      </c>
      <c r="D2234" s="29">
        <f>ROUND(Balances[[#This Row],[Total]]*20%,0)</f>
        <v>0</v>
      </c>
      <c r="E2234" s="29">
        <f>ROUND(Balances[[#This Row],[Total]]*40%,0)</f>
        <v>0</v>
      </c>
      <c r="F2234" s="18">
        <f>SUM(Acueducto[[#This Row],[Acueducto]:[Aseo]])</f>
        <v>0</v>
      </c>
    </row>
    <row r="2235" spans="1:6" ht="15" x14ac:dyDescent="0.2">
      <c r="A2235" s="7">
        <v>536011</v>
      </c>
      <c r="B2235" s="3" t="s">
        <v>536</v>
      </c>
      <c r="C2235" s="29">
        <f>ROUND(Balances[[#This Row],[Total]]*40%,0)</f>
        <v>0</v>
      </c>
      <c r="D2235" s="29">
        <f>ROUND(Balances[[#This Row],[Total]]*20%,0)</f>
        <v>0</v>
      </c>
      <c r="E2235" s="29">
        <f>ROUND(Balances[[#This Row],[Total]]*40%,0)</f>
        <v>0</v>
      </c>
      <c r="F2235" s="18">
        <f>SUM(Acueducto[[#This Row],[Acueducto]:[Aseo]])</f>
        <v>0</v>
      </c>
    </row>
    <row r="2236" spans="1:6" ht="15" x14ac:dyDescent="0.2">
      <c r="A2236" s="7">
        <v>536012</v>
      </c>
      <c r="B2236" s="3" t="s">
        <v>537</v>
      </c>
      <c r="C2236" s="29">
        <f>ROUND(Balances[[#This Row],[Total]]*40%,0)</f>
        <v>0</v>
      </c>
      <c r="D2236" s="29">
        <f>ROUND(Balances[[#This Row],[Total]]*20%,0)</f>
        <v>0</v>
      </c>
      <c r="E2236" s="29">
        <f>ROUND(Balances[[#This Row],[Total]]*40%,0)</f>
        <v>0</v>
      </c>
      <c r="F2236" s="18">
        <f>SUM(Acueducto[[#This Row],[Acueducto]:[Aseo]])</f>
        <v>0</v>
      </c>
    </row>
    <row r="2237" spans="1:6" ht="15" x14ac:dyDescent="0.2">
      <c r="A2237" s="7">
        <v>536013</v>
      </c>
      <c r="B2237" s="3" t="s">
        <v>538</v>
      </c>
      <c r="C2237" s="29">
        <f>ROUND(Balances[[#This Row],[Total]]*40%,0)</f>
        <v>0</v>
      </c>
      <c r="D2237" s="29">
        <f>ROUND(Balances[[#This Row],[Total]]*20%,0)</f>
        <v>0</v>
      </c>
      <c r="E2237" s="29">
        <f>ROUND(Balances[[#This Row],[Total]]*40%,0)</f>
        <v>0</v>
      </c>
      <c r="F2237" s="18">
        <f>SUM(Acueducto[[#This Row],[Acueducto]:[Aseo]])</f>
        <v>0</v>
      </c>
    </row>
    <row r="2238" spans="1:6" ht="15" x14ac:dyDescent="0.2">
      <c r="A2238" s="7">
        <v>536014</v>
      </c>
      <c r="B2238" s="3" t="s">
        <v>539</v>
      </c>
      <c r="C2238" s="29">
        <f>ROUND(Balances[[#This Row],[Total]]*40%,0)</f>
        <v>0</v>
      </c>
      <c r="D2238" s="29">
        <f>ROUND(Balances[[#This Row],[Total]]*20%,0)</f>
        <v>0</v>
      </c>
      <c r="E2238" s="29">
        <f>ROUND(Balances[[#This Row],[Total]]*40%,0)</f>
        <v>0</v>
      </c>
      <c r="F2238" s="18">
        <f>SUM(Acueducto[[#This Row],[Acueducto]:[Aseo]])</f>
        <v>0</v>
      </c>
    </row>
    <row r="2239" spans="1:6" ht="15" x14ac:dyDescent="0.2">
      <c r="A2239" s="7">
        <v>536015</v>
      </c>
      <c r="B2239" s="3" t="s">
        <v>540</v>
      </c>
      <c r="C2239" s="29">
        <f>ROUND(Balances[[#This Row],[Total]]*40%,0)</f>
        <v>0</v>
      </c>
      <c r="D2239" s="29">
        <f>ROUND(Balances[[#This Row],[Total]]*20%,0)</f>
        <v>0</v>
      </c>
      <c r="E2239" s="29">
        <f>ROUND(Balances[[#This Row],[Total]]*40%,0)</f>
        <v>0</v>
      </c>
      <c r="F2239" s="18">
        <f>SUM(Acueducto[[#This Row],[Acueducto]:[Aseo]])</f>
        <v>0</v>
      </c>
    </row>
    <row r="2240" spans="1:6" ht="15" x14ac:dyDescent="0.2">
      <c r="A2240" s="7">
        <v>536016</v>
      </c>
      <c r="B2240" s="3" t="s">
        <v>541</v>
      </c>
      <c r="C2240" s="29">
        <f>ROUND(Balances[[#This Row],[Total]]*40%,0)</f>
        <v>0</v>
      </c>
      <c r="D2240" s="29">
        <f>ROUND(Balances[[#This Row],[Total]]*20%,0)</f>
        <v>0</v>
      </c>
      <c r="E2240" s="29">
        <f>ROUND(Balances[[#This Row],[Total]]*40%,0)</f>
        <v>0</v>
      </c>
      <c r="F2240" s="18">
        <f>SUM(Acueducto[[#This Row],[Acueducto]:[Aseo]])</f>
        <v>0</v>
      </c>
    </row>
    <row r="2241" spans="1:6" ht="15" x14ac:dyDescent="0.2">
      <c r="A2241" s="7">
        <v>536017</v>
      </c>
      <c r="B2241" s="3" t="s">
        <v>542</v>
      </c>
      <c r="C2241" s="29">
        <f>ROUND(Balances[[#This Row],[Total]]*40%,0)</f>
        <v>0</v>
      </c>
      <c r="D2241" s="29">
        <f>ROUND(Balances[[#This Row],[Total]]*20%,0)</f>
        <v>0</v>
      </c>
      <c r="E2241" s="29">
        <f>ROUND(Balances[[#This Row],[Total]]*40%,0)</f>
        <v>0</v>
      </c>
      <c r="F2241" s="18">
        <f>SUM(Acueducto[[#This Row],[Acueducto]:[Aseo]])</f>
        <v>0</v>
      </c>
    </row>
    <row r="2242" spans="1:6" ht="15" x14ac:dyDescent="0.2">
      <c r="A2242" s="6">
        <v>5362</v>
      </c>
      <c r="B2242" s="2" t="s">
        <v>1327</v>
      </c>
      <c r="C2242" s="28">
        <f>ROUND(Balances[[#This Row],[Total]]*40%,0)</f>
        <v>0</v>
      </c>
      <c r="D2242" s="28">
        <f>ROUND(Balances[[#This Row],[Total]]*20%,0)</f>
        <v>0</v>
      </c>
      <c r="E2242" s="28">
        <f>ROUND(Balances[[#This Row],[Total]]*40%,0)</f>
        <v>0</v>
      </c>
      <c r="F2242" s="17">
        <f>SUM(Acueducto[[#This Row],[Acueducto]:[Aseo]])</f>
        <v>0</v>
      </c>
    </row>
    <row r="2243" spans="1:6" ht="15" x14ac:dyDescent="0.2">
      <c r="A2243" s="7">
        <v>536201</v>
      </c>
      <c r="B2243" s="3" t="s">
        <v>385</v>
      </c>
      <c r="C2243" s="29">
        <f>ROUND(Balances[[#This Row],[Total]]*40%,0)</f>
        <v>0</v>
      </c>
      <c r="D2243" s="29">
        <f>ROUND(Balances[[#This Row],[Total]]*20%,0)</f>
        <v>0</v>
      </c>
      <c r="E2243" s="29">
        <f>ROUND(Balances[[#This Row],[Total]]*40%,0)</f>
        <v>0</v>
      </c>
      <c r="F2243" s="18">
        <f>SUM(Acueducto[[#This Row],[Acueducto]:[Aseo]])</f>
        <v>0</v>
      </c>
    </row>
    <row r="2244" spans="1:6" ht="15" x14ac:dyDescent="0.2">
      <c r="A2244" s="7">
        <v>536202</v>
      </c>
      <c r="B2244" s="3" t="s">
        <v>611</v>
      </c>
      <c r="C2244" s="29">
        <f>ROUND(Balances[[#This Row],[Total]]*40%,0)</f>
        <v>0</v>
      </c>
      <c r="D2244" s="29">
        <f>ROUND(Balances[[#This Row],[Total]]*20%,0)</f>
        <v>0</v>
      </c>
      <c r="E2244" s="29">
        <f>ROUND(Balances[[#This Row],[Total]]*40%,0)</f>
        <v>0</v>
      </c>
      <c r="F2244" s="18">
        <f>SUM(Acueducto[[#This Row],[Acueducto]:[Aseo]])</f>
        <v>0</v>
      </c>
    </row>
    <row r="2245" spans="1:6" ht="15" x14ac:dyDescent="0.2">
      <c r="A2245" s="6">
        <v>5363</v>
      </c>
      <c r="B2245" s="2" t="s">
        <v>1328</v>
      </c>
      <c r="C2245" s="28">
        <f>ROUND(Balances[[#This Row],[Total]]*40%,0)</f>
        <v>0</v>
      </c>
      <c r="D2245" s="28">
        <f>ROUND(Balances[[#This Row],[Total]]*20%,0)</f>
        <v>0</v>
      </c>
      <c r="E2245" s="28">
        <f>ROUND(Balances[[#This Row],[Total]]*40%,0)</f>
        <v>0</v>
      </c>
      <c r="F2245" s="17">
        <f>SUM(Acueducto[[#This Row],[Acueducto]:[Aseo]])</f>
        <v>0</v>
      </c>
    </row>
    <row r="2246" spans="1:6" ht="15" x14ac:dyDescent="0.2">
      <c r="A2246" s="7">
        <v>536301</v>
      </c>
      <c r="B2246" s="3" t="s">
        <v>628</v>
      </c>
      <c r="C2246" s="29">
        <f>ROUND(Balances[[#This Row],[Total]]*40%,0)</f>
        <v>0</v>
      </c>
      <c r="D2246" s="29">
        <f>ROUND(Balances[[#This Row],[Total]]*20%,0)</f>
        <v>0</v>
      </c>
      <c r="E2246" s="29">
        <f>ROUND(Balances[[#This Row],[Total]]*40%,0)</f>
        <v>0</v>
      </c>
      <c r="F2246" s="18">
        <f>SUM(Acueducto[[#This Row],[Acueducto]:[Aseo]])</f>
        <v>0</v>
      </c>
    </row>
    <row r="2247" spans="1:6" ht="15" x14ac:dyDescent="0.2">
      <c r="A2247" s="7">
        <v>536302</v>
      </c>
      <c r="B2247" s="3" t="s">
        <v>629</v>
      </c>
      <c r="C2247" s="29">
        <f>ROUND(Balances[[#This Row],[Total]]*40%,0)</f>
        <v>0</v>
      </c>
      <c r="D2247" s="29">
        <f>ROUND(Balances[[#This Row],[Total]]*20%,0)</f>
        <v>0</v>
      </c>
      <c r="E2247" s="29">
        <f>ROUND(Balances[[#This Row],[Total]]*40%,0)</f>
        <v>0</v>
      </c>
      <c r="F2247" s="18">
        <f>SUM(Acueducto[[#This Row],[Acueducto]:[Aseo]])</f>
        <v>0</v>
      </c>
    </row>
    <row r="2248" spans="1:6" ht="15" x14ac:dyDescent="0.2">
      <c r="A2248" s="7">
        <v>536303</v>
      </c>
      <c r="B2248" s="3" t="s">
        <v>630</v>
      </c>
      <c r="C2248" s="29">
        <f>ROUND(Balances[[#This Row],[Total]]*40%,0)</f>
        <v>0</v>
      </c>
      <c r="D2248" s="29">
        <f>ROUND(Balances[[#This Row],[Total]]*20%,0)</f>
        <v>0</v>
      </c>
      <c r="E2248" s="29">
        <f>ROUND(Balances[[#This Row],[Total]]*40%,0)</f>
        <v>0</v>
      </c>
      <c r="F2248" s="18">
        <f>SUM(Acueducto[[#This Row],[Acueducto]:[Aseo]])</f>
        <v>0</v>
      </c>
    </row>
    <row r="2249" spans="1:6" ht="15" x14ac:dyDescent="0.2">
      <c r="A2249" s="7">
        <v>536304</v>
      </c>
      <c r="B2249" s="3" t="s">
        <v>631</v>
      </c>
      <c r="C2249" s="29">
        <f>ROUND(Balances[[#This Row],[Total]]*40%,0)</f>
        <v>0</v>
      </c>
      <c r="D2249" s="29">
        <f>ROUND(Balances[[#This Row],[Total]]*20%,0)</f>
        <v>0</v>
      </c>
      <c r="E2249" s="29">
        <f>ROUND(Balances[[#This Row],[Total]]*40%,0)</f>
        <v>0</v>
      </c>
      <c r="F2249" s="18">
        <f>SUM(Acueducto[[#This Row],[Acueducto]:[Aseo]])</f>
        <v>0</v>
      </c>
    </row>
    <row r="2250" spans="1:6" ht="15" x14ac:dyDescent="0.2">
      <c r="A2250" s="6">
        <v>5366</v>
      </c>
      <c r="B2250" s="2" t="s">
        <v>1329</v>
      </c>
      <c r="C2250" s="28">
        <f>ROUND(Balances[[#This Row],[Total]]*40%,0)</f>
        <v>0</v>
      </c>
      <c r="D2250" s="28">
        <f>ROUND(Balances[[#This Row],[Total]]*20%,0)</f>
        <v>0</v>
      </c>
      <c r="E2250" s="28">
        <f>ROUND(Balances[[#This Row],[Total]]*40%,0)</f>
        <v>0</v>
      </c>
      <c r="F2250" s="17">
        <f>SUM(Acueducto[[#This Row],[Acueducto]:[Aseo]])</f>
        <v>0</v>
      </c>
    </row>
    <row r="2251" spans="1:6" ht="15" x14ac:dyDescent="0.2">
      <c r="A2251" s="7">
        <v>536601</v>
      </c>
      <c r="B2251" s="3" t="s">
        <v>616</v>
      </c>
      <c r="C2251" s="29">
        <f>ROUND(Balances[[#This Row],[Total]]*40%,0)</f>
        <v>0</v>
      </c>
      <c r="D2251" s="29">
        <f>ROUND(Balances[[#This Row],[Total]]*20%,0)</f>
        <v>0</v>
      </c>
      <c r="E2251" s="29">
        <f>ROUND(Balances[[#This Row],[Total]]*40%,0)</f>
        <v>0</v>
      </c>
      <c r="F2251" s="18">
        <f>SUM(Acueducto[[#This Row],[Acueducto]:[Aseo]])</f>
        <v>0</v>
      </c>
    </row>
    <row r="2252" spans="1:6" ht="15" x14ac:dyDescent="0.2">
      <c r="A2252" s="7">
        <v>536602</v>
      </c>
      <c r="B2252" s="3" t="s">
        <v>617</v>
      </c>
      <c r="C2252" s="29">
        <f>ROUND(Balances[[#This Row],[Total]]*40%,0)</f>
        <v>0</v>
      </c>
      <c r="D2252" s="29">
        <f>ROUND(Balances[[#This Row],[Total]]*20%,0)</f>
        <v>0</v>
      </c>
      <c r="E2252" s="29">
        <f>ROUND(Balances[[#This Row],[Total]]*40%,0)</f>
        <v>0</v>
      </c>
      <c r="F2252" s="18">
        <f>SUM(Acueducto[[#This Row],[Acueducto]:[Aseo]])</f>
        <v>0</v>
      </c>
    </row>
    <row r="2253" spans="1:6" ht="15" x14ac:dyDescent="0.2">
      <c r="A2253" s="7">
        <v>536603</v>
      </c>
      <c r="B2253" s="3" t="s">
        <v>618</v>
      </c>
      <c r="C2253" s="29">
        <f>ROUND(Balances[[#This Row],[Total]]*40%,0)</f>
        <v>0</v>
      </c>
      <c r="D2253" s="29">
        <f>ROUND(Balances[[#This Row],[Total]]*20%,0)</f>
        <v>0</v>
      </c>
      <c r="E2253" s="29">
        <f>ROUND(Balances[[#This Row],[Total]]*40%,0)</f>
        <v>0</v>
      </c>
      <c r="F2253" s="18">
        <f>SUM(Acueducto[[#This Row],[Acueducto]:[Aseo]])</f>
        <v>0</v>
      </c>
    </row>
    <row r="2254" spans="1:6" ht="15" x14ac:dyDescent="0.2">
      <c r="A2254" s="7">
        <v>536604</v>
      </c>
      <c r="B2254" s="3" t="s">
        <v>619</v>
      </c>
      <c r="C2254" s="29">
        <f>ROUND(Balances[[#This Row],[Total]]*40%,0)</f>
        <v>0</v>
      </c>
      <c r="D2254" s="29">
        <f>ROUND(Balances[[#This Row],[Total]]*20%,0)</f>
        <v>0</v>
      </c>
      <c r="E2254" s="29">
        <f>ROUND(Balances[[#This Row],[Total]]*40%,0)</f>
        <v>0</v>
      </c>
      <c r="F2254" s="18">
        <f>SUM(Acueducto[[#This Row],[Acueducto]:[Aseo]])</f>
        <v>0</v>
      </c>
    </row>
    <row r="2255" spans="1:6" ht="15" x14ac:dyDescent="0.2">
      <c r="A2255" s="7">
        <v>536605</v>
      </c>
      <c r="B2255" s="3" t="s">
        <v>620</v>
      </c>
      <c r="C2255" s="29">
        <f>ROUND(Balances[[#This Row],[Total]]*40%,0)</f>
        <v>0</v>
      </c>
      <c r="D2255" s="29">
        <f>ROUND(Balances[[#This Row],[Total]]*20%,0)</f>
        <v>0</v>
      </c>
      <c r="E2255" s="29">
        <f>ROUND(Balances[[#This Row],[Total]]*40%,0)</f>
        <v>0</v>
      </c>
      <c r="F2255" s="18">
        <f>SUM(Acueducto[[#This Row],[Acueducto]:[Aseo]])</f>
        <v>0</v>
      </c>
    </row>
    <row r="2256" spans="1:6" ht="15" x14ac:dyDescent="0.2">
      <c r="A2256" s="7">
        <v>536606</v>
      </c>
      <c r="B2256" s="3" t="s">
        <v>621</v>
      </c>
      <c r="C2256" s="29">
        <f>ROUND(Balances[[#This Row],[Total]]*40%,0)</f>
        <v>0</v>
      </c>
      <c r="D2256" s="29">
        <f>ROUND(Balances[[#This Row],[Total]]*20%,0)</f>
        <v>0</v>
      </c>
      <c r="E2256" s="29">
        <f>ROUND(Balances[[#This Row],[Total]]*40%,0)</f>
        <v>0</v>
      </c>
      <c r="F2256" s="18">
        <f>SUM(Acueducto[[#This Row],[Acueducto]:[Aseo]])</f>
        <v>0</v>
      </c>
    </row>
    <row r="2257" spans="1:6" ht="15" x14ac:dyDescent="0.2">
      <c r="A2257" s="7">
        <v>536609</v>
      </c>
      <c r="B2257" s="3" t="s">
        <v>623</v>
      </c>
      <c r="C2257" s="29">
        <f>ROUND(Balances[[#This Row],[Total]]*40%,0)</f>
        <v>0</v>
      </c>
      <c r="D2257" s="29">
        <f>ROUND(Balances[[#This Row],[Total]]*20%,0)</f>
        <v>0</v>
      </c>
      <c r="E2257" s="29">
        <f>ROUND(Balances[[#This Row],[Total]]*40%,0)</f>
        <v>0</v>
      </c>
      <c r="F2257" s="18">
        <f>SUM(Acueducto[[#This Row],[Acueducto]:[Aseo]])</f>
        <v>0</v>
      </c>
    </row>
    <row r="2258" spans="1:6" ht="15" x14ac:dyDescent="0.2">
      <c r="A2258" s="7">
        <v>536690</v>
      </c>
      <c r="B2258" s="3" t="s">
        <v>624</v>
      </c>
      <c r="C2258" s="29">
        <f>ROUND(Balances[[#This Row],[Total]]*40%,0)</f>
        <v>0</v>
      </c>
      <c r="D2258" s="29">
        <f>ROUND(Balances[[#This Row],[Total]]*20%,0)</f>
        <v>0</v>
      </c>
      <c r="E2258" s="29">
        <f>ROUND(Balances[[#This Row],[Total]]*40%,0)</f>
        <v>0</v>
      </c>
      <c r="F2258" s="18">
        <f>SUM(Acueducto[[#This Row],[Acueducto]:[Aseo]])</f>
        <v>0</v>
      </c>
    </row>
    <row r="2259" spans="1:6" ht="15" x14ac:dyDescent="0.2">
      <c r="A2259" s="6">
        <v>5368</v>
      </c>
      <c r="B2259" s="2" t="s">
        <v>1330</v>
      </c>
      <c r="C2259" s="28">
        <f>ROUND(Balances[[#This Row],[Total]]*40%,0)</f>
        <v>0</v>
      </c>
      <c r="D2259" s="28">
        <f>ROUND(Balances[[#This Row],[Total]]*20%,0)</f>
        <v>0</v>
      </c>
      <c r="E2259" s="28">
        <f>ROUND(Balances[[#This Row],[Total]]*40%,0)</f>
        <v>0</v>
      </c>
      <c r="F2259" s="17">
        <f>SUM(Acueducto[[#This Row],[Acueducto]:[Aseo]])</f>
        <v>0</v>
      </c>
    </row>
    <row r="2260" spans="1:6" ht="15" x14ac:dyDescent="0.2">
      <c r="A2260" s="7">
        <v>536801</v>
      </c>
      <c r="B2260" s="3" t="s">
        <v>912</v>
      </c>
      <c r="C2260" s="29">
        <f>ROUND(Balances[[#This Row],[Total]]*40%,0)</f>
        <v>0</v>
      </c>
      <c r="D2260" s="29">
        <f>ROUND(Balances[[#This Row],[Total]]*20%,0)</f>
        <v>0</v>
      </c>
      <c r="E2260" s="29">
        <f>ROUND(Balances[[#This Row],[Total]]*40%,0)</f>
        <v>0</v>
      </c>
      <c r="F2260" s="18">
        <f>SUM(Acueducto[[#This Row],[Acueducto]:[Aseo]])</f>
        <v>0</v>
      </c>
    </row>
    <row r="2261" spans="1:6" ht="15" x14ac:dyDescent="0.2">
      <c r="A2261" s="7">
        <v>536802</v>
      </c>
      <c r="B2261" s="3" t="s">
        <v>913</v>
      </c>
      <c r="C2261" s="29">
        <f>ROUND(Balances[[#This Row],[Total]]*40%,0)</f>
        <v>0</v>
      </c>
      <c r="D2261" s="29">
        <f>ROUND(Balances[[#This Row],[Total]]*20%,0)</f>
        <v>0</v>
      </c>
      <c r="E2261" s="29">
        <f>ROUND(Balances[[#This Row],[Total]]*40%,0)</f>
        <v>0</v>
      </c>
      <c r="F2261" s="18">
        <f>SUM(Acueducto[[#This Row],[Acueducto]:[Aseo]])</f>
        <v>0</v>
      </c>
    </row>
    <row r="2262" spans="1:6" ht="15" x14ac:dyDescent="0.2">
      <c r="A2262" s="7">
        <v>536803</v>
      </c>
      <c r="B2262" s="3" t="s">
        <v>914</v>
      </c>
      <c r="C2262" s="29">
        <f>ROUND(Balances[[#This Row],[Total]]*40%,0)</f>
        <v>0</v>
      </c>
      <c r="D2262" s="29">
        <f>ROUND(Balances[[#This Row],[Total]]*20%,0)</f>
        <v>0</v>
      </c>
      <c r="E2262" s="29">
        <f>ROUND(Balances[[#This Row],[Total]]*40%,0)</f>
        <v>0</v>
      </c>
      <c r="F2262" s="18">
        <f>SUM(Acueducto[[#This Row],[Acueducto]:[Aseo]])</f>
        <v>0</v>
      </c>
    </row>
    <row r="2263" spans="1:6" ht="15" x14ac:dyDescent="0.2">
      <c r="A2263" s="7">
        <v>536804</v>
      </c>
      <c r="B2263" s="3" t="s">
        <v>915</v>
      </c>
      <c r="C2263" s="29">
        <f>ROUND(Balances[[#This Row],[Total]]*40%,0)</f>
        <v>0</v>
      </c>
      <c r="D2263" s="29">
        <f>ROUND(Balances[[#This Row],[Total]]*20%,0)</f>
        <v>0</v>
      </c>
      <c r="E2263" s="29">
        <f>ROUND(Balances[[#This Row],[Total]]*40%,0)</f>
        <v>0</v>
      </c>
      <c r="F2263" s="18">
        <f>SUM(Acueducto[[#This Row],[Acueducto]:[Aseo]])</f>
        <v>0</v>
      </c>
    </row>
    <row r="2264" spans="1:6" ht="15" x14ac:dyDescent="0.2">
      <c r="A2264" s="7">
        <v>536805</v>
      </c>
      <c r="B2264" s="3" t="s">
        <v>916</v>
      </c>
      <c r="C2264" s="29">
        <f>ROUND(Balances[[#This Row],[Total]]*40%,0)</f>
        <v>0</v>
      </c>
      <c r="D2264" s="29">
        <f>ROUND(Balances[[#This Row],[Total]]*20%,0)</f>
        <v>0</v>
      </c>
      <c r="E2264" s="29">
        <f>ROUND(Balances[[#This Row],[Total]]*40%,0)</f>
        <v>0</v>
      </c>
      <c r="F2264" s="18">
        <f>SUM(Acueducto[[#This Row],[Acueducto]:[Aseo]])</f>
        <v>0</v>
      </c>
    </row>
    <row r="2265" spans="1:6" ht="15" x14ac:dyDescent="0.2">
      <c r="A2265" s="7">
        <v>536890</v>
      </c>
      <c r="B2265" s="3" t="s">
        <v>917</v>
      </c>
      <c r="C2265" s="29">
        <f>ROUND(Balances[[#This Row],[Total]]*40%,0)</f>
        <v>0</v>
      </c>
      <c r="D2265" s="29">
        <f>ROUND(Balances[[#This Row],[Total]]*20%,0)</f>
        <v>0</v>
      </c>
      <c r="E2265" s="29">
        <f>ROUND(Balances[[#This Row],[Total]]*40%,0)</f>
        <v>0</v>
      </c>
      <c r="F2265" s="18">
        <f>SUM(Acueducto[[#This Row],[Acueducto]:[Aseo]])</f>
        <v>0</v>
      </c>
    </row>
    <row r="2266" spans="1:6" ht="15" x14ac:dyDescent="0.2">
      <c r="A2266" s="6">
        <v>5369</v>
      </c>
      <c r="B2266" s="2" t="s">
        <v>1331</v>
      </c>
      <c r="C2266" s="28">
        <f>ROUND(Balances[[#This Row],[Total]]*40%,0)</f>
        <v>0</v>
      </c>
      <c r="D2266" s="28">
        <f>ROUND(Balances[[#This Row],[Total]]*20%,0)</f>
        <v>0</v>
      </c>
      <c r="E2266" s="28">
        <f>ROUND(Balances[[#This Row],[Total]]*40%,0)</f>
        <v>0</v>
      </c>
      <c r="F2266" s="17">
        <f>SUM(Acueducto[[#This Row],[Acueducto]:[Aseo]])</f>
        <v>0</v>
      </c>
    </row>
    <row r="2267" spans="1:6" ht="15" x14ac:dyDescent="0.2">
      <c r="A2267" s="7">
        <v>536901</v>
      </c>
      <c r="B2267" s="3" t="s">
        <v>919</v>
      </c>
      <c r="C2267" s="29">
        <f>ROUND(Balances[[#This Row],[Total]]*40%,0)</f>
        <v>0</v>
      </c>
      <c r="D2267" s="29">
        <f>ROUND(Balances[[#This Row],[Total]]*20%,0)</f>
        <v>0</v>
      </c>
      <c r="E2267" s="29">
        <f>ROUND(Balances[[#This Row],[Total]]*40%,0)</f>
        <v>0</v>
      </c>
      <c r="F2267" s="18">
        <f>SUM(Acueducto[[#This Row],[Acueducto]:[Aseo]])</f>
        <v>0</v>
      </c>
    </row>
    <row r="2268" spans="1:6" ht="15" x14ac:dyDescent="0.2">
      <c r="A2268" s="7">
        <v>536902</v>
      </c>
      <c r="B2268" s="3" t="s">
        <v>820</v>
      </c>
      <c r="C2268" s="29">
        <f>ROUND(Balances[[#This Row],[Total]]*40%,0)</f>
        <v>0</v>
      </c>
      <c r="D2268" s="29">
        <f>ROUND(Balances[[#This Row],[Total]]*20%,0)</f>
        <v>0</v>
      </c>
      <c r="E2268" s="29">
        <f>ROUND(Balances[[#This Row],[Total]]*40%,0)</f>
        <v>0</v>
      </c>
      <c r="F2268" s="18">
        <f>SUM(Acueducto[[#This Row],[Acueducto]:[Aseo]])</f>
        <v>0</v>
      </c>
    </row>
    <row r="2269" spans="1:6" ht="15" x14ac:dyDescent="0.2">
      <c r="A2269" s="6">
        <v>5373</v>
      </c>
      <c r="B2269" s="2" t="s">
        <v>920</v>
      </c>
      <c r="C2269" s="28">
        <f>ROUND(Balances[[#This Row],[Total]]*40%,0)</f>
        <v>0</v>
      </c>
      <c r="D2269" s="28">
        <f>ROUND(Balances[[#This Row],[Total]]*20%,0)</f>
        <v>0</v>
      </c>
      <c r="E2269" s="28">
        <f>ROUND(Balances[[#This Row],[Total]]*40%,0)</f>
        <v>0</v>
      </c>
      <c r="F2269" s="17">
        <f>SUM(Acueducto[[#This Row],[Acueducto]:[Aseo]])</f>
        <v>0</v>
      </c>
    </row>
    <row r="2270" spans="1:6" ht="15" x14ac:dyDescent="0.2">
      <c r="A2270" s="7">
        <v>537302</v>
      </c>
      <c r="B2270" s="3" t="s">
        <v>921</v>
      </c>
      <c r="C2270" s="29">
        <f>ROUND(Balances[[#This Row],[Total]]*40%,0)</f>
        <v>0</v>
      </c>
      <c r="D2270" s="29">
        <f>ROUND(Balances[[#This Row],[Total]]*20%,0)</f>
        <v>0</v>
      </c>
      <c r="E2270" s="29">
        <f>ROUND(Balances[[#This Row],[Total]]*40%,0)</f>
        <v>0</v>
      </c>
      <c r="F2270" s="18">
        <f>SUM(Acueducto[[#This Row],[Acueducto]:[Aseo]])</f>
        <v>0</v>
      </c>
    </row>
    <row r="2271" spans="1:6" ht="15" x14ac:dyDescent="0.2">
      <c r="A2271" s="7">
        <v>537303</v>
      </c>
      <c r="B2271" s="3" t="s">
        <v>922</v>
      </c>
      <c r="C2271" s="29">
        <f>ROUND(Balances[[#This Row],[Total]]*40%,0)</f>
        <v>0</v>
      </c>
      <c r="D2271" s="29">
        <f>ROUND(Balances[[#This Row],[Total]]*20%,0)</f>
        <v>0</v>
      </c>
      <c r="E2271" s="29">
        <f>ROUND(Balances[[#This Row],[Total]]*40%,0)</f>
        <v>0</v>
      </c>
      <c r="F2271" s="18">
        <f>SUM(Acueducto[[#This Row],[Acueducto]:[Aseo]])</f>
        <v>0</v>
      </c>
    </row>
    <row r="2272" spans="1:6" ht="15" x14ac:dyDescent="0.2">
      <c r="A2272" s="7">
        <v>537304</v>
      </c>
      <c r="B2272" s="3" t="s">
        <v>923</v>
      </c>
      <c r="C2272" s="29">
        <f>ROUND(Balances[[#This Row],[Total]]*40%,0)</f>
        <v>0</v>
      </c>
      <c r="D2272" s="29">
        <f>ROUND(Balances[[#This Row],[Total]]*20%,0)</f>
        <v>0</v>
      </c>
      <c r="E2272" s="29">
        <f>ROUND(Balances[[#This Row],[Total]]*40%,0)</f>
        <v>0</v>
      </c>
      <c r="F2272" s="18">
        <f>SUM(Acueducto[[#This Row],[Acueducto]:[Aseo]])</f>
        <v>0</v>
      </c>
    </row>
    <row r="2273" spans="1:6" ht="15" x14ac:dyDescent="0.2">
      <c r="A2273" s="7">
        <v>537305</v>
      </c>
      <c r="B2273" s="3" t="s">
        <v>924</v>
      </c>
      <c r="C2273" s="29">
        <f>ROUND(Balances[[#This Row],[Total]]*40%,0)</f>
        <v>0</v>
      </c>
      <c r="D2273" s="29">
        <f>ROUND(Balances[[#This Row],[Total]]*20%,0)</f>
        <v>0</v>
      </c>
      <c r="E2273" s="29">
        <f>ROUND(Balances[[#This Row],[Total]]*40%,0)</f>
        <v>0</v>
      </c>
      <c r="F2273" s="18">
        <f>SUM(Acueducto[[#This Row],[Acueducto]:[Aseo]])</f>
        <v>0</v>
      </c>
    </row>
    <row r="2274" spans="1:6" ht="15" x14ac:dyDescent="0.2">
      <c r="A2274" s="7">
        <v>537306</v>
      </c>
      <c r="B2274" s="3" t="s">
        <v>925</v>
      </c>
      <c r="C2274" s="29">
        <f>ROUND(Balances[[#This Row],[Total]]*40%,0)</f>
        <v>0</v>
      </c>
      <c r="D2274" s="29">
        <f>ROUND(Balances[[#This Row],[Total]]*20%,0)</f>
        <v>0</v>
      </c>
      <c r="E2274" s="29">
        <f>ROUND(Balances[[#This Row],[Total]]*40%,0)</f>
        <v>0</v>
      </c>
      <c r="F2274" s="18">
        <f>SUM(Acueducto[[#This Row],[Acueducto]:[Aseo]])</f>
        <v>0</v>
      </c>
    </row>
    <row r="2275" spans="1:6" ht="15" x14ac:dyDescent="0.2">
      <c r="A2275" s="7">
        <v>537307</v>
      </c>
      <c r="B2275" s="3" t="s">
        <v>926</v>
      </c>
      <c r="C2275" s="29">
        <f>ROUND(Balances[[#This Row],[Total]]*40%,0)</f>
        <v>0</v>
      </c>
      <c r="D2275" s="29">
        <f>ROUND(Balances[[#This Row],[Total]]*20%,0)</f>
        <v>0</v>
      </c>
      <c r="E2275" s="29">
        <f>ROUND(Balances[[#This Row],[Total]]*40%,0)</f>
        <v>0</v>
      </c>
      <c r="F2275" s="18">
        <f>SUM(Acueducto[[#This Row],[Acueducto]:[Aseo]])</f>
        <v>0</v>
      </c>
    </row>
    <row r="2276" spans="1:6" ht="15" x14ac:dyDescent="0.2">
      <c r="A2276" s="7">
        <v>537308</v>
      </c>
      <c r="B2276" s="3" t="s">
        <v>931</v>
      </c>
      <c r="C2276" s="29">
        <f>ROUND(Balances[[#This Row],[Total]]*40%,0)</f>
        <v>0</v>
      </c>
      <c r="D2276" s="29">
        <f>ROUND(Balances[[#This Row],[Total]]*20%,0)</f>
        <v>0</v>
      </c>
      <c r="E2276" s="29">
        <f>ROUND(Balances[[#This Row],[Total]]*40%,0)</f>
        <v>0</v>
      </c>
      <c r="F2276" s="18">
        <f>SUM(Acueducto[[#This Row],[Acueducto]:[Aseo]])</f>
        <v>0</v>
      </c>
    </row>
    <row r="2277" spans="1:6" ht="15" x14ac:dyDescent="0.2">
      <c r="A2277" s="7">
        <v>537390</v>
      </c>
      <c r="B2277" s="3" t="s">
        <v>932</v>
      </c>
      <c r="C2277" s="29">
        <f>ROUND(Balances[[#This Row],[Total]]*40%,0)</f>
        <v>0</v>
      </c>
      <c r="D2277" s="29">
        <f>ROUND(Balances[[#This Row],[Total]]*20%,0)</f>
        <v>0</v>
      </c>
      <c r="E2277" s="29">
        <f>ROUND(Balances[[#This Row],[Total]]*40%,0)</f>
        <v>0</v>
      </c>
      <c r="F2277" s="18">
        <f>SUM(Acueducto[[#This Row],[Acueducto]:[Aseo]])</f>
        <v>0</v>
      </c>
    </row>
    <row r="2278" spans="1:6" ht="15" x14ac:dyDescent="0.2">
      <c r="A2278" s="6">
        <v>54</v>
      </c>
      <c r="B2278" s="2" t="s">
        <v>1149</v>
      </c>
      <c r="C2278" s="28">
        <f>ROUND(Balances[[#This Row],[Total]]*40%,0)</f>
        <v>0</v>
      </c>
      <c r="D2278" s="28">
        <f>ROUND(Balances[[#This Row],[Total]]*20%,0)</f>
        <v>0</v>
      </c>
      <c r="E2278" s="28">
        <f>ROUND(Balances[[#This Row],[Total]]*40%,0)</f>
        <v>0</v>
      </c>
      <c r="F2278" s="17">
        <f>SUM(Acueducto[[#This Row],[Acueducto]:[Aseo]])</f>
        <v>0</v>
      </c>
    </row>
    <row r="2279" spans="1:6" ht="15" x14ac:dyDescent="0.2">
      <c r="A2279" s="6">
        <v>5424</v>
      </c>
      <c r="B2279" s="2" t="s">
        <v>1150</v>
      </c>
      <c r="C2279" s="28">
        <f>ROUND(Balances[[#This Row],[Total]]*40%,0)</f>
        <v>0</v>
      </c>
      <c r="D2279" s="28">
        <f>ROUND(Balances[[#This Row],[Total]]*20%,0)</f>
        <v>0</v>
      </c>
      <c r="E2279" s="28">
        <f>ROUND(Balances[[#This Row],[Total]]*40%,0)</f>
        <v>0</v>
      </c>
      <c r="F2279" s="17">
        <f>SUM(Acueducto[[#This Row],[Acueducto]:[Aseo]])</f>
        <v>0</v>
      </c>
    </row>
    <row r="2280" spans="1:6" ht="15" x14ac:dyDescent="0.2">
      <c r="A2280" s="7">
        <v>542401</v>
      </c>
      <c r="B2280" s="3" t="s">
        <v>1151</v>
      </c>
      <c r="C2280" s="29">
        <f>ROUND(Balances[[#This Row],[Total]]*40%,0)</f>
        <v>0</v>
      </c>
      <c r="D2280" s="29">
        <f>ROUND(Balances[[#This Row],[Total]]*20%,0)</f>
        <v>0</v>
      </c>
      <c r="E2280" s="29">
        <f>ROUND(Balances[[#This Row],[Total]]*40%,0)</f>
        <v>0</v>
      </c>
      <c r="F2280" s="18">
        <f>SUM(Acueducto[[#This Row],[Acueducto]:[Aseo]])</f>
        <v>0</v>
      </c>
    </row>
    <row r="2281" spans="1:6" ht="15" x14ac:dyDescent="0.2">
      <c r="A2281" s="7">
        <v>542402</v>
      </c>
      <c r="B2281" s="3" t="s">
        <v>1152</v>
      </c>
      <c r="C2281" s="29">
        <f>ROUND(Balances[[#This Row],[Total]]*40%,0)</f>
        <v>0</v>
      </c>
      <c r="D2281" s="29">
        <f>ROUND(Balances[[#This Row],[Total]]*20%,0)</f>
        <v>0</v>
      </c>
      <c r="E2281" s="29">
        <f>ROUND(Balances[[#This Row],[Total]]*40%,0)</f>
        <v>0</v>
      </c>
      <c r="F2281" s="18">
        <f>SUM(Acueducto[[#This Row],[Acueducto]:[Aseo]])</f>
        <v>0</v>
      </c>
    </row>
    <row r="2282" spans="1:6" ht="15" x14ac:dyDescent="0.2">
      <c r="A2282" s="7">
        <v>542403</v>
      </c>
      <c r="B2282" s="3" t="s">
        <v>1332</v>
      </c>
      <c r="C2282" s="29">
        <f>ROUND(Balances[[#This Row],[Total]]*40%,0)</f>
        <v>0</v>
      </c>
      <c r="D2282" s="29">
        <f>ROUND(Balances[[#This Row],[Total]]*20%,0)</f>
        <v>0</v>
      </c>
      <c r="E2282" s="29">
        <f>ROUND(Balances[[#This Row],[Total]]*40%,0)</f>
        <v>0</v>
      </c>
      <c r="F2282" s="18">
        <f>SUM(Acueducto[[#This Row],[Acueducto]:[Aseo]])</f>
        <v>0</v>
      </c>
    </row>
    <row r="2283" spans="1:6" ht="15" x14ac:dyDescent="0.2">
      <c r="A2283" s="7">
        <v>542404</v>
      </c>
      <c r="B2283" s="3" t="s">
        <v>222</v>
      </c>
      <c r="C2283" s="29">
        <f>ROUND(Balances[[#This Row],[Total]]*40%,0)</f>
        <v>0</v>
      </c>
      <c r="D2283" s="29">
        <f>ROUND(Balances[[#This Row],[Total]]*20%,0)</f>
        <v>0</v>
      </c>
      <c r="E2283" s="29">
        <f>ROUND(Balances[[#This Row],[Total]]*40%,0)</f>
        <v>0</v>
      </c>
      <c r="F2283" s="18">
        <f>SUM(Acueducto[[#This Row],[Acueducto]:[Aseo]])</f>
        <v>0</v>
      </c>
    </row>
    <row r="2284" spans="1:6" ht="15" x14ac:dyDescent="0.2">
      <c r="A2284" s="7">
        <v>542405</v>
      </c>
      <c r="B2284" s="3" t="s">
        <v>694</v>
      </c>
      <c r="C2284" s="29">
        <f>ROUND(Balances[[#This Row],[Total]]*40%,0)</f>
        <v>0</v>
      </c>
      <c r="D2284" s="29">
        <f>ROUND(Balances[[#This Row],[Total]]*20%,0)</f>
        <v>0</v>
      </c>
      <c r="E2284" s="29">
        <f>ROUND(Balances[[#This Row],[Total]]*40%,0)</f>
        <v>0</v>
      </c>
      <c r="F2284" s="18">
        <f>SUM(Acueducto[[#This Row],[Acueducto]:[Aseo]])</f>
        <v>0</v>
      </c>
    </row>
    <row r="2285" spans="1:6" ht="15" x14ac:dyDescent="0.2">
      <c r="A2285" s="7">
        <v>542407</v>
      </c>
      <c r="B2285" s="3" t="s">
        <v>1333</v>
      </c>
      <c r="C2285" s="29">
        <f>ROUND(Balances[[#This Row],[Total]]*40%,0)</f>
        <v>0</v>
      </c>
      <c r="D2285" s="29">
        <f>ROUND(Balances[[#This Row],[Total]]*20%,0)</f>
        <v>0</v>
      </c>
      <c r="E2285" s="29">
        <f>ROUND(Balances[[#This Row],[Total]]*40%,0)</f>
        <v>0</v>
      </c>
      <c r="F2285" s="18">
        <f>SUM(Acueducto[[#This Row],[Acueducto]:[Aseo]])</f>
        <v>0</v>
      </c>
    </row>
    <row r="2286" spans="1:6" ht="15" x14ac:dyDescent="0.2">
      <c r="A2286" s="7">
        <v>542416</v>
      </c>
      <c r="B2286" s="3" t="s">
        <v>1155</v>
      </c>
      <c r="C2286" s="29">
        <f>ROUND(Balances[[#This Row],[Total]]*40%,0)</f>
        <v>0</v>
      </c>
      <c r="D2286" s="29">
        <f>ROUND(Balances[[#This Row],[Total]]*20%,0)</f>
        <v>0</v>
      </c>
      <c r="E2286" s="29">
        <f>ROUND(Balances[[#This Row],[Total]]*40%,0)</f>
        <v>0</v>
      </c>
      <c r="F2286" s="18">
        <f>SUM(Acueducto[[#This Row],[Acueducto]:[Aseo]])</f>
        <v>0</v>
      </c>
    </row>
    <row r="2287" spans="1:6" ht="15" x14ac:dyDescent="0.2">
      <c r="A2287" s="7">
        <v>542490</v>
      </c>
      <c r="B2287" s="3" t="s">
        <v>224</v>
      </c>
      <c r="C2287" s="29">
        <f>ROUND(Balances[[#This Row],[Total]]*40%,0)</f>
        <v>0</v>
      </c>
      <c r="D2287" s="29">
        <f>ROUND(Balances[[#This Row],[Total]]*20%,0)</f>
        <v>0</v>
      </c>
      <c r="E2287" s="29">
        <f>ROUND(Balances[[#This Row],[Total]]*40%,0)</f>
        <v>0</v>
      </c>
      <c r="F2287" s="18">
        <f>SUM(Acueducto[[#This Row],[Acueducto]:[Aseo]])</f>
        <v>0</v>
      </c>
    </row>
    <row r="2288" spans="1:6" ht="15" x14ac:dyDescent="0.2">
      <c r="A2288" s="6">
        <v>56</v>
      </c>
      <c r="B2288" s="2" t="s">
        <v>1334</v>
      </c>
      <c r="C2288" s="28">
        <f>ROUND(Balances[[#This Row],[Total]]*40%,0)</f>
        <v>0</v>
      </c>
      <c r="D2288" s="28">
        <f>ROUND(Balances[[#This Row],[Total]]*20%,0)</f>
        <v>0</v>
      </c>
      <c r="E2288" s="28">
        <f>ROUND(Balances[[#This Row],[Total]]*40%,0)</f>
        <v>0</v>
      </c>
      <c r="F2288" s="17">
        <f>SUM(Acueducto[[#This Row],[Acueducto]:[Aseo]])</f>
        <v>0</v>
      </c>
    </row>
    <row r="2289" spans="1:6" ht="15" x14ac:dyDescent="0.2">
      <c r="A2289" s="6">
        <v>5613</v>
      </c>
      <c r="B2289" s="2" t="s">
        <v>795</v>
      </c>
      <c r="C2289" s="28">
        <f>ROUND(Balances[[#This Row],[Total]]*40%,0)</f>
        <v>0</v>
      </c>
      <c r="D2289" s="28">
        <f>ROUND(Balances[[#This Row],[Total]]*20%,0)</f>
        <v>0</v>
      </c>
      <c r="E2289" s="28">
        <f>ROUND(Balances[[#This Row],[Total]]*40%,0)</f>
        <v>0</v>
      </c>
      <c r="F2289" s="17">
        <f>SUM(Acueducto[[#This Row],[Acueducto]:[Aseo]])</f>
        <v>0</v>
      </c>
    </row>
    <row r="2290" spans="1:6" ht="15" x14ac:dyDescent="0.2">
      <c r="A2290" s="7">
        <v>561301</v>
      </c>
      <c r="B2290" s="3" t="s">
        <v>796</v>
      </c>
      <c r="C2290" s="29">
        <f>ROUND(Balances[[#This Row],[Total]]*40%,0)</f>
        <v>0</v>
      </c>
      <c r="D2290" s="29">
        <f>ROUND(Balances[[#This Row],[Total]]*20%,0)</f>
        <v>0</v>
      </c>
      <c r="E2290" s="29">
        <f>ROUND(Balances[[#This Row],[Total]]*40%,0)</f>
        <v>0</v>
      </c>
      <c r="F2290" s="18">
        <f>SUM(Acueducto[[#This Row],[Acueducto]:[Aseo]])</f>
        <v>0</v>
      </c>
    </row>
    <row r="2291" spans="1:6" ht="15" x14ac:dyDescent="0.2">
      <c r="A2291" s="7">
        <v>561302</v>
      </c>
      <c r="B2291" s="3" t="s">
        <v>797</v>
      </c>
      <c r="C2291" s="29">
        <f>ROUND(Balances[[#This Row],[Total]]*40%,0)</f>
        <v>0</v>
      </c>
      <c r="D2291" s="29">
        <f>ROUND(Balances[[#This Row],[Total]]*20%,0)</f>
        <v>0</v>
      </c>
      <c r="E2291" s="29">
        <f>ROUND(Balances[[#This Row],[Total]]*40%,0)</f>
        <v>0</v>
      </c>
      <c r="F2291" s="18">
        <f>SUM(Acueducto[[#This Row],[Acueducto]:[Aseo]])</f>
        <v>0</v>
      </c>
    </row>
    <row r="2292" spans="1:6" ht="15" x14ac:dyDescent="0.2">
      <c r="A2292" s="7">
        <v>561303</v>
      </c>
      <c r="B2292" s="3" t="s">
        <v>798</v>
      </c>
      <c r="C2292" s="29">
        <f>ROUND(Balances[[#This Row],[Total]]*40%,0)</f>
        <v>0</v>
      </c>
      <c r="D2292" s="29">
        <f>ROUND(Balances[[#This Row],[Total]]*20%,0)</f>
        <v>0</v>
      </c>
      <c r="E2292" s="29">
        <f>ROUND(Balances[[#This Row],[Total]]*40%,0)</f>
        <v>0</v>
      </c>
      <c r="F2292" s="18">
        <f>SUM(Acueducto[[#This Row],[Acueducto]:[Aseo]])</f>
        <v>0</v>
      </c>
    </row>
    <row r="2293" spans="1:6" ht="15" x14ac:dyDescent="0.2">
      <c r="A2293" s="7">
        <v>561304</v>
      </c>
      <c r="B2293" s="3" t="s">
        <v>799</v>
      </c>
      <c r="C2293" s="29">
        <f>ROUND(Balances[[#This Row],[Total]]*40%,0)</f>
        <v>0</v>
      </c>
      <c r="D2293" s="29">
        <f>ROUND(Balances[[#This Row],[Total]]*20%,0)</f>
        <v>0</v>
      </c>
      <c r="E2293" s="29">
        <f>ROUND(Balances[[#This Row],[Total]]*40%,0)</f>
        <v>0</v>
      </c>
      <c r="F2293" s="18">
        <f>SUM(Acueducto[[#This Row],[Acueducto]:[Aseo]])</f>
        <v>0</v>
      </c>
    </row>
    <row r="2294" spans="1:6" ht="15" x14ac:dyDescent="0.2">
      <c r="A2294" s="7">
        <v>561305</v>
      </c>
      <c r="B2294" s="3" t="s">
        <v>800</v>
      </c>
      <c r="C2294" s="29">
        <f>ROUND(Balances[[#This Row],[Total]]*40%,0)</f>
        <v>0</v>
      </c>
      <c r="D2294" s="29">
        <f>ROUND(Balances[[#This Row],[Total]]*20%,0)</f>
        <v>0</v>
      </c>
      <c r="E2294" s="29">
        <f>ROUND(Balances[[#This Row],[Total]]*40%,0)</f>
        <v>0</v>
      </c>
      <c r="F2294" s="18">
        <f>SUM(Acueducto[[#This Row],[Acueducto]:[Aseo]])</f>
        <v>0</v>
      </c>
    </row>
    <row r="2295" spans="1:6" ht="15" x14ac:dyDescent="0.2">
      <c r="A2295" s="7">
        <v>561306</v>
      </c>
      <c r="B2295" s="3" t="s">
        <v>1335</v>
      </c>
      <c r="C2295" s="29">
        <f>ROUND(Balances[[#This Row],[Total]]*40%,0)</f>
        <v>0</v>
      </c>
      <c r="D2295" s="29">
        <f>ROUND(Balances[[#This Row],[Total]]*20%,0)</f>
        <v>0</v>
      </c>
      <c r="E2295" s="29">
        <f>ROUND(Balances[[#This Row],[Total]]*40%,0)</f>
        <v>0</v>
      </c>
      <c r="F2295" s="18">
        <f>SUM(Acueducto[[#This Row],[Acueducto]:[Aseo]])</f>
        <v>0</v>
      </c>
    </row>
    <row r="2296" spans="1:6" ht="15" x14ac:dyDescent="0.2">
      <c r="A2296" s="7">
        <v>561307</v>
      </c>
      <c r="B2296" s="3" t="s">
        <v>802</v>
      </c>
      <c r="C2296" s="29">
        <f>ROUND(Balances[[#This Row],[Total]]*40%,0)</f>
        <v>0</v>
      </c>
      <c r="D2296" s="29">
        <f>ROUND(Balances[[#This Row],[Total]]*20%,0)</f>
        <v>0</v>
      </c>
      <c r="E2296" s="29">
        <f>ROUND(Balances[[#This Row],[Total]]*40%,0)</f>
        <v>0</v>
      </c>
      <c r="F2296" s="18">
        <f>SUM(Acueducto[[#This Row],[Acueducto]:[Aseo]])</f>
        <v>0</v>
      </c>
    </row>
    <row r="2297" spans="1:6" ht="15" x14ac:dyDescent="0.2">
      <c r="A2297" s="7">
        <v>561308</v>
      </c>
      <c r="B2297" s="3" t="s">
        <v>1336</v>
      </c>
      <c r="C2297" s="29">
        <f>ROUND(Balances[[#This Row],[Total]]*40%,0)</f>
        <v>0</v>
      </c>
      <c r="D2297" s="29">
        <f>ROUND(Balances[[#This Row],[Total]]*20%,0)</f>
        <v>0</v>
      </c>
      <c r="E2297" s="29">
        <f>ROUND(Balances[[#This Row],[Total]]*40%,0)</f>
        <v>0</v>
      </c>
      <c r="F2297" s="18">
        <f>SUM(Acueducto[[#This Row],[Acueducto]:[Aseo]])</f>
        <v>0</v>
      </c>
    </row>
    <row r="2298" spans="1:6" ht="15" x14ac:dyDescent="0.2">
      <c r="A2298" s="7">
        <v>561309</v>
      </c>
      <c r="B2298" s="3" t="s">
        <v>804</v>
      </c>
      <c r="C2298" s="29">
        <f>ROUND(Balances[[#This Row],[Total]]*40%,0)</f>
        <v>0</v>
      </c>
      <c r="D2298" s="29">
        <f>ROUND(Balances[[#This Row],[Total]]*20%,0)</f>
        <v>0</v>
      </c>
      <c r="E2298" s="29">
        <f>ROUND(Balances[[#This Row],[Total]]*40%,0)</f>
        <v>0</v>
      </c>
      <c r="F2298" s="18">
        <f>SUM(Acueducto[[#This Row],[Acueducto]:[Aseo]])</f>
        <v>0</v>
      </c>
    </row>
    <row r="2299" spans="1:6" ht="15" x14ac:dyDescent="0.2">
      <c r="A2299" s="7">
        <v>561310</v>
      </c>
      <c r="B2299" s="3" t="s">
        <v>805</v>
      </c>
      <c r="C2299" s="29">
        <f>ROUND(Balances[[#This Row],[Total]]*40%,0)</f>
        <v>0</v>
      </c>
      <c r="D2299" s="29">
        <f>ROUND(Balances[[#This Row],[Total]]*20%,0)</f>
        <v>0</v>
      </c>
      <c r="E2299" s="29">
        <f>ROUND(Balances[[#This Row],[Total]]*40%,0)</f>
        <v>0</v>
      </c>
      <c r="F2299" s="18">
        <f>SUM(Acueducto[[#This Row],[Acueducto]:[Aseo]])</f>
        <v>0</v>
      </c>
    </row>
    <row r="2300" spans="1:6" ht="15" x14ac:dyDescent="0.2">
      <c r="A2300" s="7">
        <v>561311</v>
      </c>
      <c r="B2300" s="3" t="s">
        <v>806</v>
      </c>
      <c r="C2300" s="29">
        <f>ROUND(Balances[[#This Row],[Total]]*40%,0)</f>
        <v>0</v>
      </c>
      <c r="D2300" s="29">
        <f>ROUND(Balances[[#This Row],[Total]]*20%,0)</f>
        <v>0</v>
      </c>
      <c r="E2300" s="29">
        <f>ROUND(Balances[[#This Row],[Total]]*40%,0)</f>
        <v>0</v>
      </c>
      <c r="F2300" s="18">
        <f>SUM(Acueducto[[#This Row],[Acueducto]:[Aseo]])</f>
        <v>0</v>
      </c>
    </row>
    <row r="2301" spans="1:6" ht="15" x14ac:dyDescent="0.2">
      <c r="A2301" s="7">
        <v>561312</v>
      </c>
      <c r="B2301" s="3" t="s">
        <v>1337</v>
      </c>
      <c r="C2301" s="29">
        <f>ROUND(Balances[[#This Row],[Total]]*40%,0)</f>
        <v>0</v>
      </c>
      <c r="D2301" s="29">
        <f>ROUND(Balances[[#This Row],[Total]]*20%,0)</f>
        <v>0</v>
      </c>
      <c r="E2301" s="29">
        <f>ROUND(Balances[[#This Row],[Total]]*40%,0)</f>
        <v>0</v>
      </c>
      <c r="F2301" s="18">
        <f>SUM(Acueducto[[#This Row],[Acueducto]:[Aseo]])</f>
        <v>0</v>
      </c>
    </row>
    <row r="2302" spans="1:6" ht="15" x14ac:dyDescent="0.2">
      <c r="A2302" s="7">
        <v>561315</v>
      </c>
      <c r="B2302" s="3" t="s">
        <v>810</v>
      </c>
      <c r="C2302" s="29">
        <f>ROUND(Balances[[#This Row],[Total]]*40%,0)</f>
        <v>0</v>
      </c>
      <c r="D2302" s="29">
        <f>ROUND(Balances[[#This Row],[Total]]*20%,0)</f>
        <v>0</v>
      </c>
      <c r="E2302" s="29">
        <f>ROUND(Balances[[#This Row],[Total]]*40%,0)</f>
        <v>0</v>
      </c>
      <c r="F2302" s="18">
        <f>SUM(Acueducto[[#This Row],[Acueducto]:[Aseo]])</f>
        <v>0</v>
      </c>
    </row>
    <row r="2303" spans="1:6" ht="15" x14ac:dyDescent="0.2">
      <c r="A2303" s="7">
        <v>561316</v>
      </c>
      <c r="B2303" s="3" t="s">
        <v>811</v>
      </c>
      <c r="C2303" s="29">
        <f>ROUND(Balances[[#This Row],[Total]]*40%,0)</f>
        <v>0</v>
      </c>
      <c r="D2303" s="29">
        <f>ROUND(Balances[[#This Row],[Total]]*20%,0)</f>
        <v>0</v>
      </c>
      <c r="E2303" s="29">
        <f>ROUND(Balances[[#This Row],[Total]]*40%,0)</f>
        <v>0</v>
      </c>
      <c r="F2303" s="18">
        <f>SUM(Acueducto[[#This Row],[Acueducto]:[Aseo]])</f>
        <v>0</v>
      </c>
    </row>
    <row r="2304" spans="1:6" ht="15" x14ac:dyDescent="0.2">
      <c r="A2304" s="7">
        <v>561317</v>
      </c>
      <c r="B2304" s="3" t="s">
        <v>812</v>
      </c>
      <c r="C2304" s="29">
        <f>ROUND(Balances[[#This Row],[Total]]*40%,0)</f>
        <v>0</v>
      </c>
      <c r="D2304" s="29">
        <f>ROUND(Balances[[#This Row],[Total]]*20%,0)</f>
        <v>0</v>
      </c>
      <c r="E2304" s="29">
        <f>ROUND(Balances[[#This Row],[Total]]*40%,0)</f>
        <v>0</v>
      </c>
      <c r="F2304" s="18">
        <f>SUM(Acueducto[[#This Row],[Acueducto]:[Aseo]])</f>
        <v>0</v>
      </c>
    </row>
    <row r="2305" spans="1:6" ht="15" x14ac:dyDescent="0.2">
      <c r="A2305" s="7">
        <v>561318</v>
      </c>
      <c r="B2305" s="3" t="s">
        <v>215</v>
      </c>
      <c r="C2305" s="29">
        <f>ROUND(Balances[[#This Row],[Total]]*40%,0)</f>
        <v>0</v>
      </c>
      <c r="D2305" s="29">
        <f>ROUND(Balances[[#This Row],[Total]]*20%,0)</f>
        <v>0</v>
      </c>
      <c r="E2305" s="29">
        <f>ROUND(Balances[[#This Row],[Total]]*40%,0)</f>
        <v>0</v>
      </c>
      <c r="F2305" s="18">
        <f>SUM(Acueducto[[#This Row],[Acueducto]:[Aseo]])</f>
        <v>0</v>
      </c>
    </row>
    <row r="2306" spans="1:6" ht="15" x14ac:dyDescent="0.2">
      <c r="A2306" s="7">
        <v>561319</v>
      </c>
      <c r="B2306" s="3" t="s">
        <v>1037</v>
      </c>
      <c r="C2306" s="29">
        <f>ROUND(Balances[[#This Row],[Total]]*40%,0)</f>
        <v>0</v>
      </c>
      <c r="D2306" s="29">
        <f>ROUND(Balances[[#This Row],[Total]]*20%,0)</f>
        <v>0</v>
      </c>
      <c r="E2306" s="29">
        <f>ROUND(Balances[[#This Row],[Total]]*40%,0)</f>
        <v>0</v>
      </c>
      <c r="F2306" s="18">
        <f>SUM(Acueducto[[#This Row],[Acueducto]:[Aseo]])</f>
        <v>0</v>
      </c>
    </row>
    <row r="2307" spans="1:6" ht="15" x14ac:dyDescent="0.2">
      <c r="A2307" s="7">
        <v>561320</v>
      </c>
      <c r="B2307" s="3" t="s">
        <v>927</v>
      </c>
      <c r="C2307" s="29">
        <f>ROUND(Balances[[#This Row],[Total]]*40%,0)</f>
        <v>0</v>
      </c>
      <c r="D2307" s="29">
        <f>ROUND(Balances[[#This Row],[Total]]*20%,0)</f>
        <v>0</v>
      </c>
      <c r="E2307" s="29">
        <f>ROUND(Balances[[#This Row],[Total]]*40%,0)</f>
        <v>0</v>
      </c>
      <c r="F2307" s="18">
        <f>SUM(Acueducto[[#This Row],[Acueducto]:[Aseo]])</f>
        <v>0</v>
      </c>
    </row>
    <row r="2308" spans="1:6" ht="15" x14ac:dyDescent="0.2">
      <c r="A2308" s="7">
        <v>561321</v>
      </c>
      <c r="B2308" s="3" t="s">
        <v>928</v>
      </c>
      <c r="C2308" s="29">
        <f>ROUND(Balances[[#This Row],[Total]]*40%,0)</f>
        <v>0</v>
      </c>
      <c r="D2308" s="29">
        <f>ROUND(Balances[[#This Row],[Total]]*20%,0)</f>
        <v>0</v>
      </c>
      <c r="E2308" s="29">
        <f>ROUND(Balances[[#This Row],[Total]]*40%,0)</f>
        <v>0</v>
      </c>
      <c r="F2308" s="18">
        <f>SUM(Acueducto[[#This Row],[Acueducto]:[Aseo]])</f>
        <v>0</v>
      </c>
    </row>
    <row r="2309" spans="1:6" ht="15" x14ac:dyDescent="0.2">
      <c r="A2309" s="7">
        <v>561322</v>
      </c>
      <c r="B2309" s="3" t="s">
        <v>929</v>
      </c>
      <c r="C2309" s="29">
        <f>ROUND(Balances[[#This Row],[Total]]*40%,0)</f>
        <v>0</v>
      </c>
      <c r="D2309" s="29">
        <f>ROUND(Balances[[#This Row],[Total]]*20%,0)</f>
        <v>0</v>
      </c>
      <c r="E2309" s="29">
        <f>ROUND(Balances[[#This Row],[Total]]*40%,0)</f>
        <v>0</v>
      </c>
      <c r="F2309" s="18">
        <f>SUM(Acueducto[[#This Row],[Acueducto]:[Aseo]])</f>
        <v>0</v>
      </c>
    </row>
    <row r="2310" spans="1:6" ht="15" x14ac:dyDescent="0.2">
      <c r="A2310" s="7">
        <v>561323</v>
      </c>
      <c r="B2310" s="3" t="s">
        <v>930</v>
      </c>
      <c r="C2310" s="29">
        <f>ROUND(Balances[[#This Row],[Total]]*40%,0)</f>
        <v>0</v>
      </c>
      <c r="D2310" s="29">
        <f>ROUND(Balances[[#This Row],[Total]]*20%,0)</f>
        <v>0</v>
      </c>
      <c r="E2310" s="29">
        <f>ROUND(Balances[[#This Row],[Total]]*40%,0)</f>
        <v>0</v>
      </c>
      <c r="F2310" s="18">
        <f>SUM(Acueducto[[#This Row],[Acueducto]:[Aseo]])</f>
        <v>0</v>
      </c>
    </row>
    <row r="2311" spans="1:6" ht="15" x14ac:dyDescent="0.2">
      <c r="A2311" s="7">
        <v>561324</v>
      </c>
      <c r="B2311" s="3" t="s">
        <v>793</v>
      </c>
      <c r="C2311" s="29">
        <f>ROUND(Balances[[#This Row],[Total]]*40%,0)</f>
        <v>0</v>
      </c>
      <c r="D2311" s="29">
        <f>ROUND(Balances[[#This Row],[Total]]*20%,0)</f>
        <v>0</v>
      </c>
      <c r="E2311" s="29">
        <f>ROUND(Balances[[#This Row],[Total]]*40%,0)</f>
        <v>0</v>
      </c>
      <c r="F2311" s="18">
        <f>SUM(Acueducto[[#This Row],[Acueducto]:[Aseo]])</f>
        <v>0</v>
      </c>
    </row>
    <row r="2312" spans="1:6" ht="15" x14ac:dyDescent="0.2">
      <c r="A2312" s="7">
        <v>561390</v>
      </c>
      <c r="B2312" s="3" t="s">
        <v>1338</v>
      </c>
      <c r="C2312" s="29">
        <f>ROUND(Balances[[#This Row],[Total]]*40%,0)</f>
        <v>0</v>
      </c>
      <c r="D2312" s="29">
        <f>ROUND(Balances[[#This Row],[Total]]*20%,0)</f>
        <v>0</v>
      </c>
      <c r="E2312" s="29">
        <f>ROUND(Balances[[#This Row],[Total]]*40%,0)</f>
        <v>0</v>
      </c>
      <c r="F2312" s="18">
        <f>SUM(Acueducto[[#This Row],[Acueducto]:[Aseo]])</f>
        <v>0</v>
      </c>
    </row>
    <row r="2313" spans="1:6" ht="15" x14ac:dyDescent="0.2">
      <c r="A2313" s="8">
        <v>5618</v>
      </c>
      <c r="B2313" s="5" t="s">
        <v>1126</v>
      </c>
      <c r="C2313" s="28">
        <f>ROUND(Balances[[#This Row],[Total]]*40%,0)</f>
        <v>0</v>
      </c>
      <c r="D2313" s="28">
        <f>ROUND(Balances[[#This Row],[Total]]*20%,0)</f>
        <v>0</v>
      </c>
      <c r="E2313" s="28">
        <f>ROUND(Balances[[#This Row],[Total]]*40%,0)</f>
        <v>0</v>
      </c>
      <c r="F2313" s="17">
        <f>SUM(Acueducto[[#This Row],[Acueducto]:[Aseo]])</f>
        <v>0</v>
      </c>
    </row>
    <row r="2314" spans="1:6" ht="15" x14ac:dyDescent="0.2">
      <c r="A2314" s="7">
        <v>561802</v>
      </c>
      <c r="B2314" s="3" t="s">
        <v>1339</v>
      </c>
      <c r="C2314" s="29">
        <f>ROUND(Balances[[#This Row],[Total]]*40%,0)</f>
        <v>0</v>
      </c>
      <c r="D2314" s="29">
        <f>ROUND(Balances[[#This Row],[Total]]*20%,0)</f>
        <v>0</v>
      </c>
      <c r="E2314" s="29">
        <f>ROUND(Balances[[#This Row],[Total]]*40%,0)</f>
        <v>0</v>
      </c>
      <c r="F2314" s="18">
        <f>SUM(Acueducto[[#This Row],[Acueducto]:[Aseo]])</f>
        <v>0</v>
      </c>
    </row>
    <row r="2315" spans="1:6" ht="15" x14ac:dyDescent="0.2">
      <c r="A2315" s="7">
        <v>561804</v>
      </c>
      <c r="B2315" s="3" t="s">
        <v>1340</v>
      </c>
      <c r="C2315" s="29">
        <f>ROUND(Balances[[#This Row],[Total]]*40%,0)</f>
        <v>0</v>
      </c>
      <c r="D2315" s="29">
        <f>ROUND(Balances[[#This Row],[Total]]*20%,0)</f>
        <v>0</v>
      </c>
      <c r="E2315" s="29">
        <f>ROUND(Balances[[#This Row],[Total]]*40%,0)</f>
        <v>0</v>
      </c>
      <c r="F2315" s="18">
        <f>SUM(Acueducto[[#This Row],[Acueducto]:[Aseo]])</f>
        <v>0</v>
      </c>
    </row>
    <row r="2316" spans="1:6" ht="15" x14ac:dyDescent="0.2">
      <c r="A2316" s="7">
        <v>561805</v>
      </c>
      <c r="B2316" s="3" t="s">
        <v>1341</v>
      </c>
      <c r="C2316" s="29">
        <f>ROUND(Balances[[#This Row],[Total]]*40%,0)</f>
        <v>0</v>
      </c>
      <c r="D2316" s="29">
        <f>ROUND(Balances[[#This Row],[Total]]*20%,0)</f>
        <v>0</v>
      </c>
      <c r="E2316" s="29">
        <f>ROUND(Balances[[#This Row],[Total]]*40%,0)</f>
        <v>0</v>
      </c>
      <c r="F2316" s="18">
        <f>SUM(Acueducto[[#This Row],[Acueducto]:[Aseo]])</f>
        <v>0</v>
      </c>
    </row>
    <row r="2317" spans="1:6" ht="15" x14ac:dyDescent="0.2">
      <c r="A2317" s="7">
        <v>561807</v>
      </c>
      <c r="B2317" s="3" t="s">
        <v>1342</v>
      </c>
      <c r="C2317" s="29">
        <f>ROUND(Balances[[#This Row],[Total]]*40%,0)</f>
        <v>0</v>
      </c>
      <c r="D2317" s="29">
        <f>ROUND(Balances[[#This Row],[Total]]*20%,0)</f>
        <v>0</v>
      </c>
      <c r="E2317" s="29">
        <f>ROUND(Balances[[#This Row],[Total]]*40%,0)</f>
        <v>0</v>
      </c>
      <c r="F2317" s="18">
        <f>SUM(Acueducto[[#This Row],[Acueducto]:[Aseo]])</f>
        <v>0</v>
      </c>
    </row>
    <row r="2318" spans="1:6" ht="15" x14ac:dyDescent="0.2">
      <c r="A2318" s="7">
        <v>561808</v>
      </c>
      <c r="B2318" s="3" t="s">
        <v>1088</v>
      </c>
      <c r="C2318" s="29">
        <f>ROUND(Balances[[#This Row],[Total]]*40%,0)</f>
        <v>0</v>
      </c>
      <c r="D2318" s="29">
        <f>ROUND(Balances[[#This Row],[Total]]*20%,0)</f>
        <v>0</v>
      </c>
      <c r="E2318" s="29">
        <f>ROUND(Balances[[#This Row],[Total]]*40%,0)</f>
        <v>0</v>
      </c>
      <c r="F2318" s="18">
        <f>SUM(Acueducto[[#This Row],[Acueducto]:[Aseo]])</f>
        <v>0</v>
      </c>
    </row>
    <row r="2319" spans="1:6" ht="15" x14ac:dyDescent="0.2">
      <c r="A2319" s="7">
        <v>561809</v>
      </c>
      <c r="B2319" s="3" t="s">
        <v>1343</v>
      </c>
      <c r="C2319" s="29">
        <f>ROUND(Balances[[#This Row],[Total]]*40%,0)</f>
        <v>0</v>
      </c>
      <c r="D2319" s="29">
        <f>ROUND(Balances[[#This Row],[Total]]*20%,0)</f>
        <v>0</v>
      </c>
      <c r="E2319" s="29">
        <f>ROUND(Balances[[#This Row],[Total]]*40%,0)</f>
        <v>0</v>
      </c>
      <c r="F2319" s="18">
        <f>SUM(Acueducto[[#This Row],[Acueducto]:[Aseo]])</f>
        <v>0</v>
      </c>
    </row>
    <row r="2320" spans="1:6" ht="15" x14ac:dyDescent="0.2">
      <c r="A2320" s="7">
        <v>561810</v>
      </c>
      <c r="B2320" s="3" t="s">
        <v>922</v>
      </c>
      <c r="C2320" s="29">
        <f>ROUND(Balances[[#This Row],[Total]]*40%,0)</f>
        <v>0</v>
      </c>
      <c r="D2320" s="29">
        <f>ROUND(Balances[[#This Row],[Total]]*20%,0)</f>
        <v>0</v>
      </c>
      <c r="E2320" s="29">
        <f>ROUND(Balances[[#This Row],[Total]]*40%,0)</f>
        <v>0</v>
      </c>
      <c r="F2320" s="18">
        <f>SUM(Acueducto[[#This Row],[Acueducto]:[Aseo]])</f>
        <v>0</v>
      </c>
    </row>
    <row r="2321" spans="1:6" ht="15" x14ac:dyDescent="0.2">
      <c r="A2321" s="7">
        <v>561811</v>
      </c>
      <c r="B2321" s="3" t="s">
        <v>842</v>
      </c>
      <c r="C2321" s="29">
        <f>ROUND(Balances[[#This Row],[Total]]*40%,0)</f>
        <v>0</v>
      </c>
      <c r="D2321" s="29">
        <f>ROUND(Balances[[#This Row],[Total]]*20%,0)</f>
        <v>0</v>
      </c>
      <c r="E2321" s="29">
        <f>ROUND(Balances[[#This Row],[Total]]*40%,0)</f>
        <v>0</v>
      </c>
      <c r="F2321" s="18">
        <f>SUM(Acueducto[[#This Row],[Acueducto]:[Aseo]])</f>
        <v>0</v>
      </c>
    </row>
    <row r="2322" spans="1:6" ht="15" x14ac:dyDescent="0.2">
      <c r="A2322" s="7">
        <v>561890</v>
      </c>
      <c r="B2322" s="3" t="s">
        <v>1344</v>
      </c>
      <c r="C2322" s="29">
        <f>ROUND(Balances[[#This Row],[Total]]*40%,0)</f>
        <v>0</v>
      </c>
      <c r="D2322" s="29">
        <f>ROUND(Balances[[#This Row],[Total]]*20%,0)</f>
        <v>0</v>
      </c>
      <c r="E2322" s="29">
        <f>ROUND(Balances[[#This Row],[Total]]*40%,0)</f>
        <v>0</v>
      </c>
      <c r="F2322" s="18">
        <f>SUM(Acueducto[[#This Row],[Acueducto]:[Aseo]])</f>
        <v>0</v>
      </c>
    </row>
    <row r="2323" spans="1:6" ht="15" x14ac:dyDescent="0.2">
      <c r="A2323" s="6">
        <v>58</v>
      </c>
      <c r="B2323" s="2" t="s">
        <v>1345</v>
      </c>
      <c r="C2323" s="28">
        <f>ROUND(Balances[[#This Row],[Total]]*40%,0)</f>
        <v>0</v>
      </c>
      <c r="D2323" s="28">
        <f>ROUND(Balances[[#This Row],[Total]]*20%,0)</f>
        <v>0</v>
      </c>
      <c r="E2323" s="28">
        <f>ROUND(Balances[[#This Row],[Total]]*40%,0)</f>
        <v>0</v>
      </c>
      <c r="F2323" s="28">
        <f>SUM(Acueducto[[#This Row],[Acueducto]:[Aseo]])</f>
        <v>0</v>
      </c>
    </row>
    <row r="2324" spans="1:6" ht="15" x14ac:dyDescent="0.2">
      <c r="A2324" s="6">
        <v>5802</v>
      </c>
      <c r="B2324" s="2" t="s">
        <v>1346</v>
      </c>
      <c r="C2324" s="28">
        <f>ROUND(Balances[[#This Row],[Total]]*40%,0)</f>
        <v>0</v>
      </c>
      <c r="D2324" s="28">
        <f>ROUND(Balances[[#This Row],[Total]]*20%,0)</f>
        <v>0</v>
      </c>
      <c r="E2324" s="28">
        <f>ROUND(Balances[[#This Row],[Total]]*40%,0)</f>
        <v>0</v>
      </c>
      <c r="F2324" s="17">
        <f>SUM(Acueducto[[#This Row],[Acueducto]:[Aseo]])</f>
        <v>0</v>
      </c>
    </row>
    <row r="2325" spans="1:6" ht="15" x14ac:dyDescent="0.2">
      <c r="A2325" s="7">
        <v>580206</v>
      </c>
      <c r="B2325" s="3" t="s">
        <v>1347</v>
      </c>
      <c r="C2325" s="29">
        <f>ROUND(Balances[[#This Row],[Total]]*40%,0)</f>
        <v>0</v>
      </c>
      <c r="D2325" s="29">
        <f>ROUND(Balances[[#This Row],[Total]]*20%,0)</f>
        <v>0</v>
      </c>
      <c r="E2325" s="29">
        <f>ROUND(Balances[[#This Row],[Total]]*40%,0)</f>
        <v>0</v>
      </c>
      <c r="F2325" s="18">
        <f>SUM(Acueducto[[#This Row],[Acueducto]:[Aseo]])</f>
        <v>0</v>
      </c>
    </row>
    <row r="2326" spans="1:6" ht="15" x14ac:dyDescent="0.2">
      <c r="A2326" s="7">
        <v>580237</v>
      </c>
      <c r="B2326" s="3" t="s">
        <v>1348</v>
      </c>
      <c r="C2326" s="29">
        <f>ROUND(Balances[[#This Row],[Total]]*40%,0)</f>
        <v>0</v>
      </c>
      <c r="D2326" s="29">
        <f>ROUND(Balances[[#This Row],[Total]]*20%,0)</f>
        <v>0</v>
      </c>
      <c r="E2326" s="29">
        <f>ROUND(Balances[[#This Row],[Total]]*40%,0)</f>
        <v>0</v>
      </c>
      <c r="F2326" s="18">
        <f>SUM(Acueducto[[#This Row],[Acueducto]:[Aseo]])</f>
        <v>0</v>
      </c>
    </row>
    <row r="2327" spans="1:6" ht="15" x14ac:dyDescent="0.2">
      <c r="A2327" s="7">
        <v>580239</v>
      </c>
      <c r="B2327" s="3" t="s">
        <v>556</v>
      </c>
      <c r="C2327" s="29">
        <f>ROUND(Balances[[#This Row],[Total]]*40%,0)</f>
        <v>0</v>
      </c>
      <c r="D2327" s="29">
        <f>ROUND(Balances[[#This Row],[Total]]*20%,0)</f>
        <v>0</v>
      </c>
      <c r="E2327" s="29">
        <f>ROUND(Balances[[#This Row],[Total]]*40%,0)</f>
        <v>0</v>
      </c>
      <c r="F2327" s="18">
        <f>SUM(Acueducto[[#This Row],[Acueducto]:[Aseo]])</f>
        <v>0</v>
      </c>
    </row>
    <row r="2328" spans="1:6" ht="15" x14ac:dyDescent="0.2">
      <c r="A2328" s="7">
        <v>580240</v>
      </c>
      <c r="B2328" s="3" t="s">
        <v>1349</v>
      </c>
      <c r="C2328" s="29">
        <f>ROUND(Balances[[#This Row],[Total]]*40%,0)</f>
        <v>0</v>
      </c>
      <c r="D2328" s="29">
        <f>ROUND(Balances[[#This Row],[Total]]*20%,0)</f>
        <v>0</v>
      </c>
      <c r="E2328" s="29">
        <f>ROUND(Balances[[#This Row],[Total]]*40%,0)</f>
        <v>0</v>
      </c>
      <c r="F2328" s="18">
        <f>SUM(Acueducto[[#This Row],[Acueducto]:[Aseo]])</f>
        <v>0</v>
      </c>
    </row>
    <row r="2329" spans="1:6" ht="15" x14ac:dyDescent="0.2">
      <c r="A2329" s="7">
        <v>580290</v>
      </c>
      <c r="B2329" s="3" t="s">
        <v>1350</v>
      </c>
      <c r="C2329" s="29">
        <f>ROUND(Balances[[#This Row],[Total]]*40%,0)</f>
        <v>0</v>
      </c>
      <c r="D2329" s="29">
        <f>ROUND(Balances[[#This Row],[Total]]*20%,0)</f>
        <v>0</v>
      </c>
      <c r="E2329" s="29">
        <f>ROUND(Balances[[#This Row],[Total]]*40%,0)</f>
        <v>0</v>
      </c>
      <c r="F2329" s="18">
        <f>SUM(Acueducto[[#This Row],[Acueducto]:[Aseo]])</f>
        <v>0</v>
      </c>
    </row>
    <row r="2330" spans="1:6" ht="15" x14ac:dyDescent="0.2">
      <c r="A2330" s="6">
        <v>5803</v>
      </c>
      <c r="B2330" s="2" t="s">
        <v>1190</v>
      </c>
      <c r="C2330" s="28">
        <f>ROUND(Balances[[#This Row],[Total]]*40%,0)</f>
        <v>0</v>
      </c>
      <c r="D2330" s="28">
        <f>ROUND(Balances[[#This Row],[Total]]*20%,0)</f>
        <v>0</v>
      </c>
      <c r="E2330" s="28">
        <f>ROUND(Balances[[#This Row],[Total]]*40%,0)</f>
        <v>0</v>
      </c>
      <c r="F2330" s="17">
        <f>SUM(Acueducto[[#This Row],[Acueducto]:[Aseo]])</f>
        <v>0</v>
      </c>
    </row>
    <row r="2331" spans="1:6" ht="15" x14ac:dyDescent="0.2">
      <c r="A2331" s="7">
        <v>580301</v>
      </c>
      <c r="B2331" s="3" t="s">
        <v>549</v>
      </c>
      <c r="C2331" s="29">
        <f>ROUND(Balances[[#This Row],[Total]]*40%,0)</f>
        <v>0</v>
      </c>
      <c r="D2331" s="29">
        <f>ROUND(Balances[[#This Row],[Total]]*20%,0)</f>
        <v>0</v>
      </c>
      <c r="E2331" s="29">
        <f>ROUND(Balances[[#This Row],[Total]]*40%,0)</f>
        <v>0</v>
      </c>
      <c r="F2331" s="18">
        <f>SUM(Acueducto[[#This Row],[Acueducto]:[Aseo]])</f>
        <v>0</v>
      </c>
    </row>
    <row r="2332" spans="1:6" ht="15" x14ac:dyDescent="0.2">
      <c r="A2332" s="7">
        <v>580302</v>
      </c>
      <c r="B2332" s="3" t="s">
        <v>226</v>
      </c>
      <c r="C2332" s="29">
        <f>ROUND(Balances[[#This Row],[Total]]*40%,0)</f>
        <v>0</v>
      </c>
      <c r="D2332" s="29">
        <f>ROUND(Balances[[#This Row],[Total]]*20%,0)</f>
        <v>0</v>
      </c>
      <c r="E2332" s="29">
        <f>ROUND(Balances[[#This Row],[Total]]*40%,0)</f>
        <v>0</v>
      </c>
      <c r="F2332" s="18">
        <f>SUM(Acueducto[[#This Row],[Acueducto]:[Aseo]])</f>
        <v>0</v>
      </c>
    </row>
    <row r="2333" spans="1:6" ht="15" x14ac:dyDescent="0.2">
      <c r="A2333" s="7">
        <v>580303</v>
      </c>
      <c r="B2333" s="3" t="s">
        <v>287</v>
      </c>
      <c r="C2333" s="29">
        <f>ROUND(Balances[[#This Row],[Total]]*40%,0)</f>
        <v>0</v>
      </c>
      <c r="D2333" s="29">
        <f>ROUND(Balances[[#This Row],[Total]]*20%,0)</f>
        <v>0</v>
      </c>
      <c r="E2333" s="29">
        <f>ROUND(Balances[[#This Row],[Total]]*40%,0)</f>
        <v>0</v>
      </c>
      <c r="F2333" s="18">
        <f>SUM(Acueducto[[#This Row],[Acueducto]:[Aseo]])</f>
        <v>0</v>
      </c>
    </row>
    <row r="2334" spans="1:6" ht="15" x14ac:dyDescent="0.2">
      <c r="A2334" s="7">
        <v>580312</v>
      </c>
      <c r="B2334" s="3" t="s">
        <v>845</v>
      </c>
      <c r="C2334" s="29">
        <f>ROUND(Balances[[#This Row],[Total]]*40%,0)</f>
        <v>0</v>
      </c>
      <c r="D2334" s="29">
        <f>ROUND(Balances[[#This Row],[Total]]*20%,0)</f>
        <v>0</v>
      </c>
      <c r="E2334" s="29">
        <f>ROUND(Balances[[#This Row],[Total]]*40%,0)</f>
        <v>0</v>
      </c>
      <c r="F2334" s="18">
        <f>SUM(Acueducto[[#This Row],[Acueducto]:[Aseo]])</f>
        <v>0</v>
      </c>
    </row>
    <row r="2335" spans="1:6" ht="15" x14ac:dyDescent="0.2">
      <c r="A2335" s="7">
        <v>580313</v>
      </c>
      <c r="B2335" s="3" t="s">
        <v>846</v>
      </c>
      <c r="C2335" s="29">
        <f>ROUND(Balances[[#This Row],[Total]]*40%,0)</f>
        <v>0</v>
      </c>
      <c r="D2335" s="29">
        <f>ROUND(Balances[[#This Row],[Total]]*20%,0)</f>
        <v>0</v>
      </c>
      <c r="E2335" s="29">
        <f>ROUND(Balances[[#This Row],[Total]]*40%,0)</f>
        <v>0</v>
      </c>
      <c r="F2335" s="18">
        <f>SUM(Acueducto[[#This Row],[Acueducto]:[Aseo]])</f>
        <v>0</v>
      </c>
    </row>
    <row r="2336" spans="1:6" ht="15" x14ac:dyDescent="0.2">
      <c r="A2336" s="7">
        <v>580334</v>
      </c>
      <c r="B2336" s="3" t="s">
        <v>1191</v>
      </c>
      <c r="C2336" s="29">
        <f>ROUND(Balances[[#This Row],[Total]]*40%,0)</f>
        <v>0</v>
      </c>
      <c r="D2336" s="29">
        <f>ROUND(Balances[[#This Row],[Total]]*20%,0)</f>
        <v>0</v>
      </c>
      <c r="E2336" s="29">
        <f>ROUND(Balances[[#This Row],[Total]]*40%,0)</f>
        <v>0</v>
      </c>
      <c r="F2336" s="18">
        <f>SUM(Acueducto[[#This Row],[Acueducto]:[Aseo]])</f>
        <v>0</v>
      </c>
    </row>
    <row r="2337" spans="1:6" ht="15" x14ac:dyDescent="0.2">
      <c r="A2337" s="7">
        <v>580336</v>
      </c>
      <c r="B2337" s="3" t="s">
        <v>551</v>
      </c>
      <c r="C2337" s="29">
        <f>ROUND(Balances[[#This Row],[Total]]*40%,0)</f>
        <v>0</v>
      </c>
      <c r="D2337" s="29">
        <f>ROUND(Balances[[#This Row],[Total]]*20%,0)</f>
        <v>0</v>
      </c>
      <c r="E2337" s="29">
        <f>ROUND(Balances[[#This Row],[Total]]*40%,0)</f>
        <v>0</v>
      </c>
      <c r="F2337" s="18">
        <f>SUM(Acueducto[[#This Row],[Acueducto]:[Aseo]])</f>
        <v>0</v>
      </c>
    </row>
    <row r="2338" spans="1:6" ht="15" x14ac:dyDescent="0.2">
      <c r="A2338" s="7">
        <v>580337</v>
      </c>
      <c r="B2338" s="3" t="s">
        <v>1192</v>
      </c>
      <c r="C2338" s="29">
        <f>ROUND(Balances[[#This Row],[Total]]*40%,0)</f>
        <v>0</v>
      </c>
      <c r="D2338" s="29">
        <f>ROUND(Balances[[#This Row],[Total]]*20%,0)</f>
        <v>0</v>
      </c>
      <c r="E2338" s="29">
        <f>ROUND(Balances[[#This Row],[Total]]*40%,0)</f>
        <v>0</v>
      </c>
      <c r="F2338" s="18">
        <f>SUM(Acueducto[[#This Row],[Acueducto]:[Aseo]])</f>
        <v>0</v>
      </c>
    </row>
    <row r="2339" spans="1:6" ht="15" x14ac:dyDescent="0.2">
      <c r="A2339" s="7">
        <v>580338</v>
      </c>
      <c r="B2339" s="3" t="s">
        <v>1193</v>
      </c>
      <c r="C2339" s="29">
        <f>ROUND(Balances[[#This Row],[Total]]*40%,0)</f>
        <v>0</v>
      </c>
      <c r="D2339" s="29">
        <f>ROUND(Balances[[#This Row],[Total]]*20%,0)</f>
        <v>0</v>
      </c>
      <c r="E2339" s="29">
        <f>ROUND(Balances[[#This Row],[Total]]*40%,0)</f>
        <v>0</v>
      </c>
      <c r="F2339" s="18">
        <f>SUM(Acueducto[[#This Row],[Acueducto]:[Aseo]])</f>
        <v>0</v>
      </c>
    </row>
    <row r="2340" spans="1:6" ht="15" x14ac:dyDescent="0.2">
      <c r="A2340" s="7">
        <v>580339</v>
      </c>
      <c r="B2340" s="3" t="s">
        <v>1194</v>
      </c>
      <c r="C2340" s="29">
        <f>ROUND(Balances[[#This Row],[Total]]*40%,0)</f>
        <v>0</v>
      </c>
      <c r="D2340" s="29">
        <f>ROUND(Balances[[#This Row],[Total]]*20%,0)</f>
        <v>0</v>
      </c>
      <c r="E2340" s="29">
        <f>ROUND(Balances[[#This Row],[Total]]*40%,0)</f>
        <v>0</v>
      </c>
      <c r="F2340" s="18">
        <f>SUM(Acueducto[[#This Row],[Acueducto]:[Aseo]])</f>
        <v>0</v>
      </c>
    </row>
    <row r="2341" spans="1:6" ht="15" x14ac:dyDescent="0.2">
      <c r="A2341" s="7">
        <v>580340</v>
      </c>
      <c r="B2341" s="3" t="s">
        <v>1195</v>
      </c>
      <c r="C2341" s="29">
        <f>ROUND(Balances[[#This Row],[Total]]*40%,0)</f>
        <v>0</v>
      </c>
      <c r="D2341" s="29">
        <f>ROUND(Balances[[#This Row],[Total]]*20%,0)</f>
        <v>0</v>
      </c>
      <c r="E2341" s="29">
        <f>ROUND(Balances[[#This Row],[Total]]*40%,0)</f>
        <v>0</v>
      </c>
      <c r="F2341" s="18">
        <f>SUM(Acueducto[[#This Row],[Acueducto]:[Aseo]])</f>
        <v>0</v>
      </c>
    </row>
    <row r="2342" spans="1:6" ht="15" x14ac:dyDescent="0.2">
      <c r="A2342" s="7">
        <v>580342</v>
      </c>
      <c r="B2342" s="3" t="s">
        <v>1196</v>
      </c>
      <c r="C2342" s="29">
        <f>ROUND(Balances[[#This Row],[Total]]*40%,0)</f>
        <v>0</v>
      </c>
      <c r="D2342" s="29">
        <f>ROUND(Balances[[#This Row],[Total]]*20%,0)</f>
        <v>0</v>
      </c>
      <c r="E2342" s="29">
        <f>ROUND(Balances[[#This Row],[Total]]*40%,0)</f>
        <v>0</v>
      </c>
      <c r="F2342" s="18">
        <f>SUM(Acueducto[[#This Row],[Acueducto]:[Aseo]])</f>
        <v>0</v>
      </c>
    </row>
    <row r="2343" spans="1:6" ht="15" x14ac:dyDescent="0.2">
      <c r="A2343" s="7">
        <v>580343</v>
      </c>
      <c r="B2343" s="3" t="s">
        <v>1197</v>
      </c>
      <c r="C2343" s="29">
        <f>ROUND(Balances[[#This Row],[Total]]*40%,0)</f>
        <v>0</v>
      </c>
      <c r="D2343" s="29">
        <f>ROUND(Balances[[#This Row],[Total]]*20%,0)</f>
        <v>0</v>
      </c>
      <c r="E2343" s="29">
        <f>ROUND(Balances[[#This Row],[Total]]*40%,0)</f>
        <v>0</v>
      </c>
      <c r="F2343" s="18">
        <f>SUM(Acueducto[[#This Row],[Acueducto]:[Aseo]])</f>
        <v>0</v>
      </c>
    </row>
    <row r="2344" spans="1:6" ht="15" x14ac:dyDescent="0.2">
      <c r="A2344" s="7">
        <v>580344</v>
      </c>
      <c r="B2344" s="3" t="s">
        <v>1198</v>
      </c>
      <c r="C2344" s="29">
        <f>ROUND(Balances[[#This Row],[Total]]*40%,0)</f>
        <v>0</v>
      </c>
      <c r="D2344" s="29">
        <f>ROUND(Balances[[#This Row],[Total]]*20%,0)</f>
        <v>0</v>
      </c>
      <c r="E2344" s="29">
        <f>ROUND(Balances[[#This Row],[Total]]*40%,0)</f>
        <v>0</v>
      </c>
      <c r="F2344" s="18">
        <f>SUM(Acueducto[[#This Row],[Acueducto]:[Aseo]])</f>
        <v>0</v>
      </c>
    </row>
    <row r="2345" spans="1:6" ht="15" x14ac:dyDescent="0.2">
      <c r="A2345" s="7">
        <v>580345</v>
      </c>
      <c r="B2345" s="3" t="s">
        <v>1199</v>
      </c>
      <c r="C2345" s="29">
        <f>ROUND(Balances[[#This Row],[Total]]*40%,0)</f>
        <v>0</v>
      </c>
      <c r="D2345" s="29">
        <f>ROUND(Balances[[#This Row],[Total]]*20%,0)</f>
        <v>0</v>
      </c>
      <c r="E2345" s="29">
        <f>ROUND(Balances[[#This Row],[Total]]*40%,0)</f>
        <v>0</v>
      </c>
      <c r="F2345" s="18">
        <f>SUM(Acueducto[[#This Row],[Acueducto]:[Aseo]])</f>
        <v>0</v>
      </c>
    </row>
    <row r="2346" spans="1:6" ht="15" x14ac:dyDescent="0.2">
      <c r="A2346" s="7">
        <v>580346</v>
      </c>
      <c r="B2346" s="3" t="s">
        <v>644</v>
      </c>
      <c r="C2346" s="29">
        <f>ROUND(Balances[[#This Row],[Total]]*40%,0)</f>
        <v>0</v>
      </c>
      <c r="D2346" s="29">
        <f>ROUND(Balances[[#This Row],[Total]]*20%,0)</f>
        <v>0</v>
      </c>
      <c r="E2346" s="29">
        <f>ROUND(Balances[[#This Row],[Total]]*40%,0)</f>
        <v>0</v>
      </c>
      <c r="F2346" s="18">
        <f>SUM(Acueducto[[#This Row],[Acueducto]:[Aseo]])</f>
        <v>0</v>
      </c>
    </row>
    <row r="2347" spans="1:6" ht="15" x14ac:dyDescent="0.2">
      <c r="A2347" s="7">
        <v>580349</v>
      </c>
      <c r="B2347" s="3" t="s">
        <v>550</v>
      </c>
      <c r="C2347" s="29">
        <f>ROUND(Balances[[#This Row],[Total]]*40%,0)</f>
        <v>0</v>
      </c>
      <c r="D2347" s="29">
        <f>ROUND(Balances[[#This Row],[Total]]*20%,0)</f>
        <v>0</v>
      </c>
      <c r="E2347" s="29">
        <f>ROUND(Balances[[#This Row],[Total]]*40%,0)</f>
        <v>0</v>
      </c>
      <c r="F2347" s="18">
        <f>SUM(Acueducto[[#This Row],[Acueducto]:[Aseo]])</f>
        <v>0</v>
      </c>
    </row>
    <row r="2348" spans="1:6" ht="15" x14ac:dyDescent="0.2">
      <c r="A2348" s="7">
        <v>580390</v>
      </c>
      <c r="B2348" s="3" t="s">
        <v>1200</v>
      </c>
      <c r="C2348" s="29">
        <f>ROUND(Balances[[#This Row],[Total]]*40%,0)</f>
        <v>0</v>
      </c>
      <c r="D2348" s="29">
        <f>ROUND(Balances[[#This Row],[Total]]*20%,0)</f>
        <v>0</v>
      </c>
      <c r="E2348" s="29">
        <f>ROUND(Balances[[#This Row],[Total]]*40%,0)</f>
        <v>0</v>
      </c>
      <c r="F2348" s="18">
        <f>SUM(Acueducto[[#This Row],[Acueducto]:[Aseo]])</f>
        <v>0</v>
      </c>
    </row>
    <row r="2349" spans="1:6" ht="15" x14ac:dyDescent="0.2">
      <c r="A2349" s="6">
        <v>5804</v>
      </c>
      <c r="B2349" s="2" t="s">
        <v>1157</v>
      </c>
      <c r="C2349" s="28">
        <f>ROUND(Balances[[#This Row],[Total]]*40%,0)</f>
        <v>0</v>
      </c>
      <c r="D2349" s="28">
        <f>ROUND(Balances[[#This Row],[Total]]*20%,0)</f>
        <v>0</v>
      </c>
      <c r="E2349" s="28">
        <f>ROUND(Balances[[#This Row],[Total]]*40%,0)</f>
        <v>0</v>
      </c>
      <c r="F2349" s="17">
        <f>SUM(Acueducto[[#This Row],[Acueducto]:[Aseo]])</f>
        <v>0</v>
      </c>
    </row>
    <row r="2350" spans="1:6" ht="15" x14ac:dyDescent="0.2">
      <c r="A2350" s="7">
        <v>580401</v>
      </c>
      <c r="B2350" s="3" t="s">
        <v>1351</v>
      </c>
      <c r="C2350" s="29">
        <f>ROUND(Balances[[#This Row],[Total]]*40%,0)</f>
        <v>0</v>
      </c>
      <c r="D2350" s="29">
        <f>ROUND(Balances[[#This Row],[Total]]*20%,0)</f>
        <v>0</v>
      </c>
      <c r="E2350" s="29">
        <f>ROUND(Balances[[#This Row],[Total]]*40%,0)</f>
        <v>0</v>
      </c>
      <c r="F2350" s="18">
        <f>SUM(Acueducto[[#This Row],[Acueducto]:[Aseo]])</f>
        <v>0</v>
      </c>
    </row>
    <row r="2351" spans="1:6" ht="15" x14ac:dyDescent="0.2">
      <c r="A2351" s="7">
        <v>580402</v>
      </c>
      <c r="B2351" s="3" t="s">
        <v>1352</v>
      </c>
      <c r="C2351" s="29">
        <f>ROUND(Balances[[#This Row],[Total]]*40%,0)</f>
        <v>0</v>
      </c>
      <c r="D2351" s="29">
        <f>ROUND(Balances[[#This Row],[Total]]*20%,0)</f>
        <v>0</v>
      </c>
      <c r="E2351" s="29">
        <f>ROUND(Balances[[#This Row],[Total]]*40%,0)</f>
        <v>0</v>
      </c>
      <c r="F2351" s="18">
        <f>SUM(Acueducto[[#This Row],[Acueducto]:[Aseo]])</f>
        <v>0</v>
      </c>
    </row>
    <row r="2352" spans="1:6" ht="15" x14ac:dyDescent="0.2">
      <c r="A2352" s="7">
        <v>580403</v>
      </c>
      <c r="B2352" s="3" t="s">
        <v>1353</v>
      </c>
      <c r="C2352" s="29">
        <f>ROUND(Balances[[#This Row],[Total]]*40%,0)</f>
        <v>0</v>
      </c>
      <c r="D2352" s="29">
        <f>ROUND(Balances[[#This Row],[Total]]*20%,0)</f>
        <v>0</v>
      </c>
      <c r="E2352" s="29">
        <f>ROUND(Balances[[#This Row],[Total]]*40%,0)</f>
        <v>0</v>
      </c>
      <c r="F2352" s="18">
        <f>SUM(Acueducto[[#This Row],[Acueducto]:[Aseo]])</f>
        <v>0</v>
      </c>
    </row>
    <row r="2353" spans="1:6" ht="15" x14ac:dyDescent="0.2">
      <c r="A2353" s="7">
        <v>580404</v>
      </c>
      <c r="B2353" s="3" t="s">
        <v>1354</v>
      </c>
      <c r="C2353" s="29">
        <f>ROUND(Balances[[#This Row],[Total]]*40%,0)</f>
        <v>0</v>
      </c>
      <c r="D2353" s="29">
        <f>ROUND(Balances[[#This Row],[Total]]*20%,0)</f>
        <v>0</v>
      </c>
      <c r="E2353" s="29">
        <f>ROUND(Balances[[#This Row],[Total]]*40%,0)</f>
        <v>0</v>
      </c>
      <c r="F2353" s="18">
        <f>SUM(Acueducto[[#This Row],[Acueducto]:[Aseo]])</f>
        <v>0</v>
      </c>
    </row>
    <row r="2354" spans="1:6" ht="15" x14ac:dyDescent="0.2">
      <c r="A2354" s="7">
        <v>580405</v>
      </c>
      <c r="B2354" s="3" t="s">
        <v>567</v>
      </c>
      <c r="C2354" s="29">
        <f>ROUND(Balances[[#This Row],[Total]]*40%,0)</f>
        <v>0</v>
      </c>
      <c r="D2354" s="29">
        <f>ROUND(Balances[[#This Row],[Total]]*20%,0)</f>
        <v>0</v>
      </c>
      <c r="E2354" s="29">
        <f>ROUND(Balances[[#This Row],[Total]]*40%,0)</f>
        <v>0</v>
      </c>
      <c r="F2354" s="18">
        <f>SUM(Acueducto[[#This Row],[Acueducto]:[Aseo]])</f>
        <v>0</v>
      </c>
    </row>
    <row r="2355" spans="1:6" ht="15" x14ac:dyDescent="0.2">
      <c r="A2355" s="7">
        <v>580406</v>
      </c>
      <c r="B2355" s="3" t="s">
        <v>1355</v>
      </c>
      <c r="C2355" s="29">
        <f>ROUND(Balances[[#This Row],[Total]]*40%,0)</f>
        <v>0</v>
      </c>
      <c r="D2355" s="29">
        <f>ROUND(Balances[[#This Row],[Total]]*20%,0)</f>
        <v>0</v>
      </c>
      <c r="E2355" s="29">
        <f>ROUND(Balances[[#This Row],[Total]]*40%,0)</f>
        <v>0</v>
      </c>
      <c r="F2355" s="18">
        <f>SUM(Acueducto[[#This Row],[Acueducto]:[Aseo]])</f>
        <v>0</v>
      </c>
    </row>
    <row r="2356" spans="1:6" ht="15" x14ac:dyDescent="0.2">
      <c r="A2356" s="7">
        <v>580407</v>
      </c>
      <c r="B2356" s="3" t="s">
        <v>1356</v>
      </c>
      <c r="C2356" s="29">
        <f>ROUND(Balances[[#This Row],[Total]]*40%,0)</f>
        <v>0</v>
      </c>
      <c r="D2356" s="29">
        <f>ROUND(Balances[[#This Row],[Total]]*20%,0)</f>
        <v>0</v>
      </c>
      <c r="E2356" s="29">
        <f>ROUND(Balances[[#This Row],[Total]]*40%,0)</f>
        <v>0</v>
      </c>
      <c r="F2356" s="18">
        <f>SUM(Acueducto[[#This Row],[Acueducto]:[Aseo]])</f>
        <v>0</v>
      </c>
    </row>
    <row r="2357" spans="1:6" ht="15" x14ac:dyDescent="0.2">
      <c r="A2357" s="7">
        <v>580409</v>
      </c>
      <c r="B2357" s="3" t="s">
        <v>1357</v>
      </c>
      <c r="C2357" s="29">
        <f>ROUND(Balances[[#This Row],[Total]]*40%,0)</f>
        <v>0</v>
      </c>
      <c r="D2357" s="29">
        <f>ROUND(Balances[[#This Row],[Total]]*20%,0)</f>
        <v>0</v>
      </c>
      <c r="E2357" s="29">
        <f>ROUND(Balances[[#This Row],[Total]]*40%,0)</f>
        <v>0</v>
      </c>
      <c r="F2357" s="18">
        <f>SUM(Acueducto[[#This Row],[Acueducto]:[Aseo]])</f>
        <v>0</v>
      </c>
    </row>
    <row r="2358" spans="1:6" ht="15" x14ac:dyDescent="0.2">
      <c r="A2358" s="7">
        <v>580410</v>
      </c>
      <c r="B2358" s="3" t="s">
        <v>1358</v>
      </c>
      <c r="C2358" s="29">
        <f>ROUND(Balances[[#This Row],[Total]]*40%,0)</f>
        <v>0</v>
      </c>
      <c r="D2358" s="29">
        <f>ROUND(Balances[[#This Row],[Total]]*20%,0)</f>
        <v>0</v>
      </c>
      <c r="E2358" s="29">
        <f>ROUND(Balances[[#This Row],[Total]]*40%,0)</f>
        <v>0</v>
      </c>
      <c r="F2358" s="18">
        <f>SUM(Acueducto[[#This Row],[Acueducto]:[Aseo]])</f>
        <v>0</v>
      </c>
    </row>
    <row r="2359" spans="1:6" ht="15" x14ac:dyDescent="0.2">
      <c r="A2359" s="7">
        <v>580411</v>
      </c>
      <c r="B2359" s="4" t="s">
        <v>1359</v>
      </c>
      <c r="C2359" s="29">
        <f>ROUND(Balances[[#This Row],[Total]]*40%,0)</f>
        <v>0</v>
      </c>
      <c r="D2359" s="29">
        <f>ROUND(Balances[[#This Row],[Total]]*20%,0)</f>
        <v>0</v>
      </c>
      <c r="E2359" s="29">
        <f>ROUND(Balances[[#This Row],[Total]]*40%,0)</f>
        <v>0</v>
      </c>
      <c r="F2359" s="18">
        <f>SUM(Acueducto[[#This Row],[Acueducto]:[Aseo]])</f>
        <v>0</v>
      </c>
    </row>
    <row r="2360" spans="1:6" ht="15" x14ac:dyDescent="0.2">
      <c r="A2360" s="7">
        <v>580412</v>
      </c>
      <c r="B2360" s="4" t="s">
        <v>1360</v>
      </c>
      <c r="C2360" s="29">
        <f>ROUND(Balances[[#This Row],[Total]]*40%,0)</f>
        <v>0</v>
      </c>
      <c r="D2360" s="29">
        <f>ROUND(Balances[[#This Row],[Total]]*20%,0)</f>
        <v>0</v>
      </c>
      <c r="E2360" s="29">
        <f>ROUND(Balances[[#This Row],[Total]]*40%,0)</f>
        <v>0</v>
      </c>
      <c r="F2360" s="18">
        <f>SUM(Acueducto[[#This Row],[Acueducto]:[Aseo]])</f>
        <v>0</v>
      </c>
    </row>
    <row r="2361" spans="1:6" ht="15" x14ac:dyDescent="0.2">
      <c r="A2361" s="7">
        <v>580413</v>
      </c>
      <c r="B2361" s="4" t="s">
        <v>1361</v>
      </c>
      <c r="C2361" s="29">
        <f>ROUND(Balances[[#This Row],[Total]]*40%,0)</f>
        <v>0</v>
      </c>
      <c r="D2361" s="29">
        <f>ROUND(Balances[[#This Row],[Total]]*20%,0)</f>
        <v>0</v>
      </c>
      <c r="E2361" s="29">
        <f>ROUND(Balances[[#This Row],[Total]]*40%,0)</f>
        <v>0</v>
      </c>
      <c r="F2361" s="18">
        <f>SUM(Acueducto[[#This Row],[Acueducto]:[Aseo]])</f>
        <v>0</v>
      </c>
    </row>
    <row r="2362" spans="1:6" ht="15" x14ac:dyDescent="0.2">
      <c r="A2362" s="7">
        <v>580414</v>
      </c>
      <c r="B2362" s="4" t="s">
        <v>1362</v>
      </c>
      <c r="C2362" s="29">
        <f>ROUND(Balances[[#This Row],[Total]]*40%,0)</f>
        <v>0</v>
      </c>
      <c r="D2362" s="29">
        <f>ROUND(Balances[[#This Row],[Total]]*20%,0)</f>
        <v>0</v>
      </c>
      <c r="E2362" s="29">
        <f>ROUND(Balances[[#This Row],[Total]]*40%,0)</f>
        <v>0</v>
      </c>
      <c r="F2362" s="18">
        <f>SUM(Acueducto[[#This Row],[Acueducto]:[Aseo]])</f>
        <v>0</v>
      </c>
    </row>
    <row r="2363" spans="1:6" ht="15" x14ac:dyDescent="0.2">
      <c r="A2363" s="7">
        <v>580415</v>
      </c>
      <c r="B2363" s="4" t="s">
        <v>1363</v>
      </c>
      <c r="C2363" s="29">
        <f>ROUND(Balances[[#This Row],[Total]]*40%,0)</f>
        <v>0</v>
      </c>
      <c r="D2363" s="29">
        <f>ROUND(Balances[[#This Row],[Total]]*20%,0)</f>
        <v>0</v>
      </c>
      <c r="E2363" s="29">
        <f>ROUND(Balances[[#This Row],[Total]]*40%,0)</f>
        <v>0</v>
      </c>
      <c r="F2363" s="18">
        <f>SUM(Acueducto[[#This Row],[Acueducto]:[Aseo]])</f>
        <v>0</v>
      </c>
    </row>
    <row r="2364" spans="1:6" ht="15" x14ac:dyDescent="0.2">
      <c r="A2364" s="7">
        <v>580416</v>
      </c>
      <c r="B2364" s="4" t="s">
        <v>1364</v>
      </c>
      <c r="C2364" s="29">
        <f>ROUND(Balances[[#This Row],[Total]]*40%,0)</f>
        <v>0</v>
      </c>
      <c r="D2364" s="29">
        <f>ROUND(Balances[[#This Row],[Total]]*20%,0)</f>
        <v>0</v>
      </c>
      <c r="E2364" s="29">
        <f>ROUND(Balances[[#This Row],[Total]]*40%,0)</f>
        <v>0</v>
      </c>
      <c r="F2364" s="18">
        <f>SUM(Acueducto[[#This Row],[Acueducto]:[Aseo]])</f>
        <v>0</v>
      </c>
    </row>
    <row r="2365" spans="1:6" ht="15" x14ac:dyDescent="0.2">
      <c r="A2365" s="7">
        <v>580417</v>
      </c>
      <c r="B2365" s="3" t="s">
        <v>1365</v>
      </c>
      <c r="C2365" s="29">
        <f>ROUND(Balances[[#This Row],[Total]]*40%,0)</f>
        <v>0</v>
      </c>
      <c r="D2365" s="29">
        <f>ROUND(Balances[[#This Row],[Total]]*20%,0)</f>
        <v>0</v>
      </c>
      <c r="E2365" s="29">
        <f>ROUND(Balances[[#This Row],[Total]]*40%,0)</f>
        <v>0</v>
      </c>
      <c r="F2365" s="18">
        <f>SUM(Acueducto[[#This Row],[Acueducto]:[Aseo]])</f>
        <v>0</v>
      </c>
    </row>
    <row r="2366" spans="1:6" ht="15" x14ac:dyDescent="0.2">
      <c r="A2366" s="7">
        <v>580418</v>
      </c>
      <c r="B2366" s="3" t="s">
        <v>1366</v>
      </c>
      <c r="C2366" s="29">
        <f>ROUND(Balances[[#This Row],[Total]]*40%,0)</f>
        <v>0</v>
      </c>
      <c r="D2366" s="29">
        <f>ROUND(Balances[[#This Row],[Total]]*20%,0)</f>
        <v>0</v>
      </c>
      <c r="E2366" s="29">
        <f>ROUND(Balances[[#This Row],[Total]]*40%,0)</f>
        <v>0</v>
      </c>
      <c r="F2366" s="18">
        <f>SUM(Acueducto[[#This Row],[Acueducto]:[Aseo]])</f>
        <v>0</v>
      </c>
    </row>
    <row r="2367" spans="1:6" ht="15" x14ac:dyDescent="0.2">
      <c r="A2367" s="7">
        <v>580419</v>
      </c>
      <c r="B2367" s="3" t="s">
        <v>1367</v>
      </c>
      <c r="C2367" s="29">
        <f>ROUND(Balances[[#This Row],[Total]]*40%,0)</f>
        <v>0</v>
      </c>
      <c r="D2367" s="29">
        <f>ROUND(Balances[[#This Row],[Total]]*20%,0)</f>
        <v>0</v>
      </c>
      <c r="E2367" s="29">
        <f>ROUND(Balances[[#This Row],[Total]]*40%,0)</f>
        <v>0</v>
      </c>
      <c r="F2367" s="18">
        <f>SUM(Acueducto[[#This Row],[Acueducto]:[Aseo]])</f>
        <v>0</v>
      </c>
    </row>
    <row r="2368" spans="1:6" ht="15" x14ac:dyDescent="0.2">
      <c r="A2368" s="7">
        <v>580420</v>
      </c>
      <c r="B2368" s="4" t="s">
        <v>1368</v>
      </c>
      <c r="C2368" s="29">
        <f>ROUND(Balances[[#This Row],[Total]]*40%,0)</f>
        <v>0</v>
      </c>
      <c r="D2368" s="29">
        <f>ROUND(Balances[[#This Row],[Total]]*20%,0)</f>
        <v>0</v>
      </c>
      <c r="E2368" s="29">
        <f>ROUND(Balances[[#This Row],[Total]]*40%,0)</f>
        <v>0</v>
      </c>
      <c r="F2368" s="18">
        <f>SUM(Acueducto[[#This Row],[Acueducto]:[Aseo]])</f>
        <v>0</v>
      </c>
    </row>
    <row r="2369" spans="1:6" ht="15" x14ac:dyDescent="0.2">
      <c r="A2369" s="7">
        <v>580421</v>
      </c>
      <c r="B2369" s="4" t="s">
        <v>1369</v>
      </c>
      <c r="C2369" s="29">
        <f>ROUND(Balances[[#This Row],[Total]]*40%,0)</f>
        <v>0</v>
      </c>
      <c r="D2369" s="29">
        <f>ROUND(Balances[[#This Row],[Total]]*20%,0)</f>
        <v>0</v>
      </c>
      <c r="E2369" s="29">
        <f>ROUND(Balances[[#This Row],[Total]]*40%,0)</f>
        <v>0</v>
      </c>
      <c r="F2369" s="18">
        <f>SUM(Acueducto[[#This Row],[Acueducto]:[Aseo]])</f>
        <v>0</v>
      </c>
    </row>
    <row r="2370" spans="1:6" ht="15" x14ac:dyDescent="0.2">
      <c r="A2370" s="7">
        <v>580422</v>
      </c>
      <c r="B2370" s="3" t="s">
        <v>1370</v>
      </c>
      <c r="C2370" s="29">
        <f>ROUND(Balances[[#This Row],[Total]]*40%,0)</f>
        <v>0</v>
      </c>
      <c r="D2370" s="29">
        <f>ROUND(Balances[[#This Row],[Total]]*20%,0)</f>
        <v>0</v>
      </c>
      <c r="E2370" s="29">
        <f>ROUND(Balances[[#This Row],[Total]]*40%,0)</f>
        <v>0</v>
      </c>
      <c r="F2370" s="18">
        <f>SUM(Acueducto[[#This Row],[Acueducto]:[Aseo]])</f>
        <v>0</v>
      </c>
    </row>
    <row r="2371" spans="1:6" ht="15" x14ac:dyDescent="0.2">
      <c r="A2371" s="7">
        <v>580423</v>
      </c>
      <c r="B2371" s="3" t="s">
        <v>1371</v>
      </c>
      <c r="C2371" s="29">
        <f>ROUND(Balances[[#This Row],[Total]]*40%,0)</f>
        <v>0</v>
      </c>
      <c r="D2371" s="29">
        <f>ROUND(Balances[[#This Row],[Total]]*20%,0)</f>
        <v>0</v>
      </c>
      <c r="E2371" s="29">
        <f>ROUND(Balances[[#This Row],[Total]]*40%,0)</f>
        <v>0</v>
      </c>
      <c r="F2371" s="18">
        <f>SUM(Acueducto[[#This Row],[Acueducto]:[Aseo]])</f>
        <v>0</v>
      </c>
    </row>
    <row r="2372" spans="1:6" ht="15" x14ac:dyDescent="0.2">
      <c r="A2372" s="7">
        <v>580426</v>
      </c>
      <c r="B2372" s="3" t="s">
        <v>1372</v>
      </c>
      <c r="C2372" s="29">
        <f>ROUND(Balances[[#This Row],[Total]]*40%,0)</f>
        <v>0</v>
      </c>
      <c r="D2372" s="29">
        <f>ROUND(Balances[[#This Row],[Total]]*20%,0)</f>
        <v>0</v>
      </c>
      <c r="E2372" s="29">
        <f>ROUND(Balances[[#This Row],[Total]]*40%,0)</f>
        <v>0</v>
      </c>
      <c r="F2372" s="18">
        <f>SUM(Acueducto[[#This Row],[Acueducto]:[Aseo]])</f>
        <v>0</v>
      </c>
    </row>
    <row r="2373" spans="1:6" ht="15" x14ac:dyDescent="0.2">
      <c r="A2373" s="7">
        <v>580427</v>
      </c>
      <c r="B2373" s="3" t="s">
        <v>1373</v>
      </c>
      <c r="C2373" s="29">
        <f>ROUND(Balances[[#This Row],[Total]]*40%,0)</f>
        <v>0</v>
      </c>
      <c r="D2373" s="29">
        <f>ROUND(Balances[[#This Row],[Total]]*20%,0)</f>
        <v>0</v>
      </c>
      <c r="E2373" s="29">
        <f>ROUND(Balances[[#This Row],[Total]]*40%,0)</f>
        <v>0</v>
      </c>
      <c r="F2373" s="18">
        <f>SUM(Acueducto[[#This Row],[Acueducto]:[Aseo]])</f>
        <v>0</v>
      </c>
    </row>
    <row r="2374" spans="1:6" ht="15" x14ac:dyDescent="0.2">
      <c r="A2374" s="7">
        <v>580428</v>
      </c>
      <c r="B2374" s="3" t="s">
        <v>1374</v>
      </c>
      <c r="C2374" s="29">
        <f>ROUND(Balances[[#This Row],[Total]]*40%,0)</f>
        <v>0</v>
      </c>
      <c r="D2374" s="29">
        <f>ROUND(Balances[[#This Row],[Total]]*20%,0)</f>
        <v>0</v>
      </c>
      <c r="E2374" s="29">
        <f>ROUND(Balances[[#This Row],[Total]]*40%,0)</f>
        <v>0</v>
      </c>
      <c r="F2374" s="18">
        <f>SUM(Acueducto[[#This Row],[Acueducto]:[Aseo]])</f>
        <v>0</v>
      </c>
    </row>
    <row r="2375" spans="1:6" ht="15" x14ac:dyDescent="0.2">
      <c r="A2375" s="7">
        <v>580429</v>
      </c>
      <c r="B2375" s="3" t="s">
        <v>1375</v>
      </c>
      <c r="C2375" s="29">
        <f>ROUND(Balances[[#This Row],[Total]]*40%,0)</f>
        <v>0</v>
      </c>
      <c r="D2375" s="29">
        <f>ROUND(Balances[[#This Row],[Total]]*20%,0)</f>
        <v>0</v>
      </c>
      <c r="E2375" s="29">
        <f>ROUND(Balances[[#This Row],[Total]]*40%,0)</f>
        <v>0</v>
      </c>
      <c r="F2375" s="18">
        <f>SUM(Acueducto[[#This Row],[Acueducto]:[Aseo]])</f>
        <v>0</v>
      </c>
    </row>
    <row r="2376" spans="1:6" ht="15" x14ac:dyDescent="0.2">
      <c r="A2376" s="7">
        <v>580430</v>
      </c>
      <c r="B2376" s="3" t="s">
        <v>1376</v>
      </c>
      <c r="C2376" s="29">
        <f>ROUND(Balances[[#This Row],[Total]]*40%,0)</f>
        <v>0</v>
      </c>
      <c r="D2376" s="29">
        <f>ROUND(Balances[[#This Row],[Total]]*20%,0)</f>
        <v>0</v>
      </c>
      <c r="E2376" s="29">
        <f>ROUND(Balances[[#This Row],[Total]]*40%,0)</f>
        <v>0</v>
      </c>
      <c r="F2376" s="18">
        <f>SUM(Acueducto[[#This Row],[Acueducto]:[Aseo]])</f>
        <v>0</v>
      </c>
    </row>
    <row r="2377" spans="1:6" ht="15" x14ac:dyDescent="0.2">
      <c r="A2377" s="7">
        <v>580431</v>
      </c>
      <c r="B2377" s="3" t="s">
        <v>1377</v>
      </c>
      <c r="C2377" s="29">
        <f>ROUND(Balances[[#This Row],[Total]]*40%,0)</f>
        <v>0</v>
      </c>
      <c r="D2377" s="29">
        <f>ROUND(Balances[[#This Row],[Total]]*20%,0)</f>
        <v>0</v>
      </c>
      <c r="E2377" s="29">
        <f>ROUND(Balances[[#This Row],[Total]]*40%,0)</f>
        <v>0</v>
      </c>
      <c r="F2377" s="18">
        <f>SUM(Acueducto[[#This Row],[Acueducto]:[Aseo]])</f>
        <v>0</v>
      </c>
    </row>
    <row r="2378" spans="1:6" ht="15" x14ac:dyDescent="0.2">
      <c r="A2378" s="7">
        <v>580433</v>
      </c>
      <c r="B2378" s="3" t="s">
        <v>1378</v>
      </c>
      <c r="C2378" s="29">
        <f>ROUND(Balances[[#This Row],[Total]]*40%,0)</f>
        <v>0</v>
      </c>
      <c r="D2378" s="29">
        <f>ROUND(Balances[[#This Row],[Total]]*20%,0)</f>
        <v>0</v>
      </c>
      <c r="E2378" s="29">
        <f>ROUND(Balances[[#This Row],[Total]]*40%,0)</f>
        <v>0</v>
      </c>
      <c r="F2378" s="18">
        <f>SUM(Acueducto[[#This Row],[Acueducto]:[Aseo]])</f>
        <v>0</v>
      </c>
    </row>
    <row r="2379" spans="1:6" ht="15" x14ac:dyDescent="0.2">
      <c r="A2379" s="7">
        <v>580434</v>
      </c>
      <c r="B2379" s="3" t="s">
        <v>1379</v>
      </c>
      <c r="C2379" s="29">
        <f>ROUND(Balances[[#This Row],[Total]]*40%,0)</f>
        <v>0</v>
      </c>
      <c r="D2379" s="29">
        <f>ROUND(Balances[[#This Row],[Total]]*20%,0)</f>
        <v>0</v>
      </c>
      <c r="E2379" s="29">
        <f>ROUND(Balances[[#This Row],[Total]]*40%,0)</f>
        <v>0</v>
      </c>
      <c r="F2379" s="18">
        <f>SUM(Acueducto[[#This Row],[Acueducto]:[Aseo]])</f>
        <v>0</v>
      </c>
    </row>
    <row r="2380" spans="1:6" ht="15" x14ac:dyDescent="0.2">
      <c r="A2380" s="7">
        <v>580435</v>
      </c>
      <c r="B2380" s="3" t="s">
        <v>1380</v>
      </c>
      <c r="C2380" s="29">
        <f>ROUND(Balances[[#This Row],[Total]]*40%,0)</f>
        <v>0</v>
      </c>
      <c r="D2380" s="29">
        <f>ROUND(Balances[[#This Row],[Total]]*20%,0)</f>
        <v>0</v>
      </c>
      <c r="E2380" s="29">
        <f>ROUND(Balances[[#This Row],[Total]]*40%,0)</f>
        <v>0</v>
      </c>
      <c r="F2380" s="18">
        <f>SUM(Acueducto[[#This Row],[Acueducto]:[Aseo]])</f>
        <v>0</v>
      </c>
    </row>
    <row r="2381" spans="1:6" ht="15" x14ac:dyDescent="0.2">
      <c r="A2381" s="7">
        <v>580436</v>
      </c>
      <c r="B2381" s="3" t="s">
        <v>1381</v>
      </c>
      <c r="C2381" s="29">
        <f>ROUND(Balances[[#This Row],[Total]]*40%,0)</f>
        <v>0</v>
      </c>
      <c r="D2381" s="29">
        <f>ROUND(Balances[[#This Row],[Total]]*20%,0)</f>
        <v>0</v>
      </c>
      <c r="E2381" s="29">
        <f>ROUND(Balances[[#This Row],[Total]]*40%,0)</f>
        <v>0</v>
      </c>
      <c r="F2381" s="18">
        <f>SUM(Acueducto[[#This Row],[Acueducto]:[Aseo]])</f>
        <v>0</v>
      </c>
    </row>
    <row r="2382" spans="1:6" ht="15" x14ac:dyDescent="0.2">
      <c r="A2382" s="7">
        <v>580437</v>
      </c>
      <c r="B2382" s="3" t="s">
        <v>1382</v>
      </c>
      <c r="C2382" s="29">
        <f>ROUND(Balances[[#This Row],[Total]]*40%,0)</f>
        <v>0</v>
      </c>
      <c r="D2382" s="29">
        <f>ROUND(Balances[[#This Row],[Total]]*20%,0)</f>
        <v>0</v>
      </c>
      <c r="E2382" s="29">
        <f>ROUND(Balances[[#This Row],[Total]]*40%,0)</f>
        <v>0</v>
      </c>
      <c r="F2382" s="18">
        <f>SUM(Acueducto[[#This Row],[Acueducto]:[Aseo]])</f>
        <v>0</v>
      </c>
    </row>
    <row r="2383" spans="1:6" ht="15" x14ac:dyDescent="0.2">
      <c r="A2383" s="7">
        <v>580439</v>
      </c>
      <c r="B2383" s="3" t="s">
        <v>252</v>
      </c>
      <c r="C2383" s="29">
        <f>ROUND(Balances[[#This Row],[Total]]*40%,0)</f>
        <v>0</v>
      </c>
      <c r="D2383" s="29">
        <f>ROUND(Balances[[#This Row],[Total]]*20%,0)</f>
        <v>0</v>
      </c>
      <c r="E2383" s="29">
        <f>ROUND(Balances[[#This Row],[Total]]*40%,0)</f>
        <v>0</v>
      </c>
      <c r="F2383" s="18">
        <f>SUM(Acueducto[[#This Row],[Acueducto]:[Aseo]])</f>
        <v>0</v>
      </c>
    </row>
    <row r="2384" spans="1:6" ht="15" x14ac:dyDescent="0.2">
      <c r="A2384" s="7">
        <v>580440</v>
      </c>
      <c r="B2384" s="3" t="s">
        <v>1383</v>
      </c>
      <c r="C2384" s="29">
        <f>ROUND(Balances[[#This Row],[Total]]*40%,0)</f>
        <v>0</v>
      </c>
      <c r="D2384" s="29">
        <f>ROUND(Balances[[#This Row],[Total]]*20%,0)</f>
        <v>0</v>
      </c>
      <c r="E2384" s="29">
        <f>ROUND(Balances[[#This Row],[Total]]*40%,0)</f>
        <v>0</v>
      </c>
      <c r="F2384" s="18">
        <f>SUM(Acueducto[[#This Row],[Acueducto]:[Aseo]])</f>
        <v>0</v>
      </c>
    </row>
    <row r="2385" spans="1:6" ht="15" x14ac:dyDescent="0.2">
      <c r="A2385" s="7">
        <v>580442</v>
      </c>
      <c r="B2385" s="3" t="s">
        <v>1384</v>
      </c>
      <c r="C2385" s="29">
        <f>ROUND(Balances[[#This Row],[Total]]*40%,0)</f>
        <v>0</v>
      </c>
      <c r="D2385" s="29">
        <f>ROUND(Balances[[#This Row],[Total]]*20%,0)</f>
        <v>0</v>
      </c>
      <c r="E2385" s="29">
        <f>ROUND(Balances[[#This Row],[Total]]*40%,0)</f>
        <v>0</v>
      </c>
      <c r="F2385" s="18">
        <f>SUM(Acueducto[[#This Row],[Acueducto]:[Aseo]])</f>
        <v>0</v>
      </c>
    </row>
    <row r="2386" spans="1:6" ht="15" x14ac:dyDescent="0.2">
      <c r="A2386" s="7">
        <v>580443</v>
      </c>
      <c r="B2386" s="3" t="s">
        <v>1385</v>
      </c>
      <c r="C2386" s="29">
        <f>ROUND(Balances[[#This Row],[Total]]*40%,0)</f>
        <v>0</v>
      </c>
      <c r="D2386" s="29">
        <f>ROUND(Balances[[#This Row],[Total]]*20%,0)</f>
        <v>0</v>
      </c>
      <c r="E2386" s="29">
        <f>ROUND(Balances[[#This Row],[Total]]*40%,0)</f>
        <v>0</v>
      </c>
      <c r="F2386" s="18">
        <f>SUM(Acueducto[[#This Row],[Acueducto]:[Aseo]])</f>
        <v>0</v>
      </c>
    </row>
    <row r="2387" spans="1:6" ht="15" x14ac:dyDescent="0.2">
      <c r="A2387" s="7">
        <v>580444</v>
      </c>
      <c r="B2387" s="4" t="s">
        <v>1185</v>
      </c>
      <c r="C2387" s="29">
        <f>ROUND(Balances[[#This Row],[Total]]*40%,0)</f>
        <v>0</v>
      </c>
      <c r="D2387" s="29">
        <f>ROUND(Balances[[#This Row],[Total]]*20%,0)</f>
        <v>0</v>
      </c>
      <c r="E2387" s="29">
        <f>ROUND(Balances[[#This Row],[Total]]*40%,0)</f>
        <v>0</v>
      </c>
      <c r="F2387" s="18">
        <f>SUM(Acueducto[[#This Row],[Acueducto]:[Aseo]])</f>
        <v>0</v>
      </c>
    </row>
    <row r="2388" spans="1:6" ht="15" x14ac:dyDescent="0.2">
      <c r="A2388" s="7">
        <v>580445</v>
      </c>
      <c r="B2388" s="3" t="s">
        <v>905</v>
      </c>
      <c r="C2388" s="29">
        <f>ROUND(Balances[[#This Row],[Total]]*40%,0)</f>
        <v>0</v>
      </c>
      <c r="D2388" s="29">
        <f>ROUND(Balances[[#This Row],[Total]]*20%,0)</f>
        <v>0</v>
      </c>
      <c r="E2388" s="29">
        <f>ROUND(Balances[[#This Row],[Total]]*40%,0)</f>
        <v>0</v>
      </c>
      <c r="F2388" s="18">
        <f>SUM(Acueducto[[#This Row],[Acueducto]:[Aseo]])</f>
        <v>0</v>
      </c>
    </row>
    <row r="2389" spans="1:6" ht="15" x14ac:dyDescent="0.2">
      <c r="A2389" s="7">
        <v>580446</v>
      </c>
      <c r="B2389" s="3" t="s">
        <v>1386</v>
      </c>
      <c r="C2389" s="29">
        <f>ROUND(Balances[[#This Row],[Total]]*40%,0)</f>
        <v>0</v>
      </c>
      <c r="D2389" s="29">
        <f>ROUND(Balances[[#This Row],[Total]]*20%,0)</f>
        <v>0</v>
      </c>
      <c r="E2389" s="29">
        <f>ROUND(Balances[[#This Row],[Total]]*40%,0)</f>
        <v>0</v>
      </c>
      <c r="F2389" s="18">
        <f>SUM(Acueducto[[#This Row],[Acueducto]:[Aseo]])</f>
        <v>0</v>
      </c>
    </row>
    <row r="2390" spans="1:6" ht="15" x14ac:dyDescent="0.2">
      <c r="A2390" s="7">
        <v>580447</v>
      </c>
      <c r="B2390" s="3" t="s">
        <v>1387</v>
      </c>
      <c r="C2390" s="29">
        <f>ROUND(Balances[[#This Row],[Total]]*40%,0)</f>
        <v>0</v>
      </c>
      <c r="D2390" s="29">
        <f>ROUND(Balances[[#This Row],[Total]]*20%,0)</f>
        <v>0</v>
      </c>
      <c r="E2390" s="29">
        <f>ROUND(Balances[[#This Row],[Total]]*40%,0)</f>
        <v>0</v>
      </c>
      <c r="F2390" s="18">
        <f>SUM(Acueducto[[#This Row],[Acueducto]:[Aseo]])</f>
        <v>0</v>
      </c>
    </row>
    <row r="2391" spans="1:6" ht="15" x14ac:dyDescent="0.2">
      <c r="A2391" s="7">
        <v>580490</v>
      </c>
      <c r="B2391" s="3" t="s">
        <v>1388</v>
      </c>
      <c r="C2391" s="29">
        <f>ROUND(Balances[[#This Row],[Total]]*40%,0)</f>
        <v>0</v>
      </c>
      <c r="D2391" s="29">
        <f>ROUND(Balances[[#This Row],[Total]]*20%,0)</f>
        <v>0</v>
      </c>
      <c r="E2391" s="29">
        <f>ROUND(Balances[[#This Row],[Total]]*40%,0)</f>
        <v>0</v>
      </c>
      <c r="F2391" s="18">
        <f>SUM(Acueducto[[#This Row],[Acueducto]:[Aseo]])</f>
        <v>0</v>
      </c>
    </row>
    <row r="2392" spans="1:6" ht="15" x14ac:dyDescent="0.2">
      <c r="A2392" s="6">
        <v>5811</v>
      </c>
      <c r="B2392" s="2" t="s">
        <v>1389</v>
      </c>
      <c r="C2392" s="28">
        <f>ROUND(Balances[[#This Row],[Total]]*40%,0)</f>
        <v>0</v>
      </c>
      <c r="D2392" s="28">
        <f>ROUND(Balances[[#This Row],[Total]]*20%,0)</f>
        <v>0</v>
      </c>
      <c r="E2392" s="28">
        <f>ROUND(Balances[[#This Row],[Total]]*40%,0)</f>
        <v>0</v>
      </c>
      <c r="F2392" s="17">
        <f>SUM(Acueducto[[#This Row],[Acueducto]:[Aseo]])</f>
        <v>0</v>
      </c>
    </row>
    <row r="2393" spans="1:6" ht="15" x14ac:dyDescent="0.2">
      <c r="A2393" s="7">
        <v>581101</v>
      </c>
      <c r="B2393" s="3" t="s">
        <v>38</v>
      </c>
      <c r="C2393" s="29">
        <f>ROUND(Balances[[#This Row],[Total]]*40%,0)</f>
        <v>0</v>
      </c>
      <c r="D2393" s="29">
        <f>ROUND(Balances[[#This Row],[Total]]*20%,0)</f>
        <v>0</v>
      </c>
      <c r="E2393" s="29">
        <f>ROUND(Balances[[#This Row],[Total]]*40%,0)</f>
        <v>0</v>
      </c>
      <c r="F2393" s="18">
        <f>SUM(Acueducto[[#This Row],[Acueducto]:[Aseo]])</f>
        <v>0</v>
      </c>
    </row>
    <row r="2394" spans="1:6" ht="15" x14ac:dyDescent="0.2">
      <c r="A2394" s="7">
        <v>581102</v>
      </c>
      <c r="B2394" s="3" t="s">
        <v>39</v>
      </c>
      <c r="C2394" s="29">
        <f>ROUND(Balances[[#This Row],[Total]]*40%,0)</f>
        <v>0</v>
      </c>
      <c r="D2394" s="29">
        <f>ROUND(Balances[[#This Row],[Total]]*20%,0)</f>
        <v>0</v>
      </c>
      <c r="E2394" s="29">
        <f>ROUND(Balances[[#This Row],[Total]]*40%,0)</f>
        <v>0</v>
      </c>
      <c r="F2394" s="18">
        <f>SUM(Acueducto[[#This Row],[Acueducto]:[Aseo]])</f>
        <v>0</v>
      </c>
    </row>
    <row r="2395" spans="1:6" ht="15" x14ac:dyDescent="0.2">
      <c r="A2395" s="7">
        <v>581103</v>
      </c>
      <c r="B2395" s="3" t="s">
        <v>35</v>
      </c>
      <c r="C2395" s="29">
        <f>ROUND(Balances[[#This Row],[Total]]*40%,0)</f>
        <v>0</v>
      </c>
      <c r="D2395" s="29">
        <f>ROUND(Balances[[#This Row],[Total]]*20%,0)</f>
        <v>0</v>
      </c>
      <c r="E2395" s="29">
        <f>ROUND(Balances[[#This Row],[Total]]*40%,0)</f>
        <v>0</v>
      </c>
      <c r="F2395" s="18">
        <f>SUM(Acueducto[[#This Row],[Acueducto]:[Aseo]])</f>
        <v>0</v>
      </c>
    </row>
    <row r="2396" spans="1:6" ht="15" x14ac:dyDescent="0.2">
      <c r="A2396" s="7">
        <v>581104</v>
      </c>
      <c r="B2396" s="3" t="s">
        <v>36</v>
      </c>
      <c r="C2396" s="29">
        <f>ROUND(Balances[[#This Row],[Total]]*40%,0)</f>
        <v>0</v>
      </c>
      <c r="D2396" s="29">
        <f>ROUND(Balances[[#This Row],[Total]]*20%,0)</f>
        <v>0</v>
      </c>
      <c r="E2396" s="29">
        <f>ROUND(Balances[[#This Row],[Total]]*40%,0)</f>
        <v>0</v>
      </c>
      <c r="F2396" s="18">
        <f>SUM(Acueducto[[#This Row],[Acueducto]:[Aseo]])</f>
        <v>0</v>
      </c>
    </row>
    <row r="2397" spans="1:6" ht="15" x14ac:dyDescent="0.2">
      <c r="A2397" s="7">
        <v>581105</v>
      </c>
      <c r="B2397" s="3" t="s">
        <v>37</v>
      </c>
      <c r="C2397" s="29">
        <f>ROUND(Balances[[#This Row],[Total]]*40%,0)</f>
        <v>0</v>
      </c>
      <c r="D2397" s="29">
        <f>ROUND(Balances[[#This Row],[Total]]*20%,0)</f>
        <v>0</v>
      </c>
      <c r="E2397" s="29">
        <f>ROUND(Balances[[#This Row],[Total]]*40%,0)</f>
        <v>0</v>
      </c>
      <c r="F2397" s="18">
        <f>SUM(Acueducto[[#This Row],[Acueducto]:[Aseo]])</f>
        <v>0</v>
      </c>
    </row>
    <row r="2398" spans="1:6" ht="15" x14ac:dyDescent="0.2">
      <c r="A2398" s="6">
        <v>5812</v>
      </c>
      <c r="B2398" s="2" t="s">
        <v>1390</v>
      </c>
      <c r="C2398" s="28">
        <f>ROUND(Balances[[#This Row],[Total]]*40%,0)</f>
        <v>0</v>
      </c>
      <c r="D2398" s="28">
        <f>ROUND(Balances[[#This Row],[Total]]*20%,0)</f>
        <v>0</v>
      </c>
      <c r="E2398" s="28">
        <f>ROUND(Balances[[#This Row],[Total]]*40%,0)</f>
        <v>0</v>
      </c>
      <c r="F2398" s="17">
        <f>SUM(Acueducto[[#This Row],[Acueducto]:[Aseo]])</f>
        <v>0</v>
      </c>
    </row>
    <row r="2399" spans="1:6" ht="15" x14ac:dyDescent="0.2">
      <c r="A2399" s="7">
        <v>581201</v>
      </c>
      <c r="B2399" s="3" t="s">
        <v>38</v>
      </c>
      <c r="C2399" s="29">
        <f>ROUND(Balances[[#This Row],[Total]]*40%,0)</f>
        <v>0</v>
      </c>
      <c r="D2399" s="29">
        <f>ROUND(Balances[[#This Row],[Total]]*20%,0)</f>
        <v>0</v>
      </c>
      <c r="E2399" s="29">
        <f>ROUND(Balances[[#This Row],[Total]]*40%,0)</f>
        <v>0</v>
      </c>
      <c r="F2399" s="18">
        <f>SUM(Acueducto[[#This Row],[Acueducto]:[Aseo]])</f>
        <v>0</v>
      </c>
    </row>
    <row r="2400" spans="1:6" ht="15" x14ac:dyDescent="0.2">
      <c r="A2400" s="7">
        <v>581202</v>
      </c>
      <c r="B2400" s="3" t="s">
        <v>39</v>
      </c>
      <c r="C2400" s="29">
        <f>ROUND(Balances[[#This Row],[Total]]*40%,0)</f>
        <v>0</v>
      </c>
      <c r="D2400" s="29">
        <f>ROUND(Balances[[#This Row],[Total]]*20%,0)</f>
        <v>0</v>
      </c>
      <c r="E2400" s="29">
        <f>ROUND(Balances[[#This Row],[Total]]*40%,0)</f>
        <v>0</v>
      </c>
      <c r="F2400" s="18">
        <f>SUM(Acueducto[[#This Row],[Acueducto]:[Aseo]])</f>
        <v>0</v>
      </c>
    </row>
    <row r="2401" spans="1:6" ht="15" x14ac:dyDescent="0.2">
      <c r="A2401" s="7">
        <v>581203</v>
      </c>
      <c r="B2401" s="3" t="s">
        <v>35</v>
      </c>
      <c r="C2401" s="29">
        <f>ROUND(Balances[[#This Row],[Total]]*40%,0)</f>
        <v>0</v>
      </c>
      <c r="D2401" s="29">
        <f>ROUND(Balances[[#This Row],[Total]]*20%,0)</f>
        <v>0</v>
      </c>
      <c r="E2401" s="29">
        <f>ROUND(Balances[[#This Row],[Total]]*40%,0)</f>
        <v>0</v>
      </c>
      <c r="F2401" s="18">
        <f>SUM(Acueducto[[#This Row],[Acueducto]:[Aseo]])</f>
        <v>0</v>
      </c>
    </row>
    <row r="2402" spans="1:6" ht="15" x14ac:dyDescent="0.2">
      <c r="A2402" s="7">
        <v>581204</v>
      </c>
      <c r="B2402" s="3" t="s">
        <v>36</v>
      </c>
      <c r="C2402" s="29">
        <f>ROUND(Balances[[#This Row],[Total]]*40%,0)</f>
        <v>0</v>
      </c>
      <c r="D2402" s="29">
        <f>ROUND(Balances[[#This Row],[Total]]*20%,0)</f>
        <v>0</v>
      </c>
      <c r="E2402" s="29">
        <f>ROUND(Balances[[#This Row],[Total]]*40%,0)</f>
        <v>0</v>
      </c>
      <c r="F2402" s="18">
        <f>SUM(Acueducto[[#This Row],[Acueducto]:[Aseo]])</f>
        <v>0</v>
      </c>
    </row>
    <row r="2403" spans="1:6" ht="15" x14ac:dyDescent="0.2">
      <c r="A2403" s="7">
        <v>581205</v>
      </c>
      <c r="B2403" s="3" t="s">
        <v>37</v>
      </c>
      <c r="C2403" s="29">
        <f>ROUND(Balances[[#This Row],[Total]]*40%,0)</f>
        <v>0</v>
      </c>
      <c r="D2403" s="29">
        <f>ROUND(Balances[[#This Row],[Total]]*20%,0)</f>
        <v>0</v>
      </c>
      <c r="E2403" s="29">
        <f>ROUND(Balances[[#This Row],[Total]]*40%,0)</f>
        <v>0</v>
      </c>
      <c r="F2403" s="18">
        <f>SUM(Acueducto[[#This Row],[Acueducto]:[Aseo]])</f>
        <v>0</v>
      </c>
    </row>
    <row r="2404" spans="1:6" ht="15" x14ac:dyDescent="0.2">
      <c r="A2404" s="6">
        <v>5813</v>
      </c>
      <c r="B2404" s="2" t="s">
        <v>1391</v>
      </c>
      <c r="C2404" s="28">
        <f>ROUND(Balances[[#This Row],[Total]]*40%,0)</f>
        <v>0</v>
      </c>
      <c r="D2404" s="28">
        <f>ROUND(Balances[[#This Row],[Total]]*20%,0)</f>
        <v>0</v>
      </c>
      <c r="E2404" s="28">
        <f>ROUND(Balances[[#This Row],[Total]]*40%,0)</f>
        <v>0</v>
      </c>
      <c r="F2404" s="17">
        <f>SUM(Acueducto[[#This Row],[Acueducto]:[Aseo]])</f>
        <v>0</v>
      </c>
    </row>
    <row r="2405" spans="1:6" ht="15" x14ac:dyDescent="0.2">
      <c r="A2405" s="7">
        <v>581301</v>
      </c>
      <c r="B2405" s="3" t="s">
        <v>38</v>
      </c>
      <c r="C2405" s="29">
        <f>ROUND(Balances[[#This Row],[Total]]*40%,0)</f>
        <v>0</v>
      </c>
      <c r="D2405" s="29">
        <f>ROUND(Balances[[#This Row],[Total]]*20%,0)</f>
        <v>0</v>
      </c>
      <c r="E2405" s="29">
        <f>ROUND(Balances[[#This Row],[Total]]*40%,0)</f>
        <v>0</v>
      </c>
      <c r="F2405" s="18">
        <f>SUM(Acueducto[[#This Row],[Acueducto]:[Aseo]])</f>
        <v>0</v>
      </c>
    </row>
    <row r="2406" spans="1:6" ht="15" x14ac:dyDescent="0.2">
      <c r="A2406" s="7">
        <v>581302</v>
      </c>
      <c r="B2406" s="3" t="s">
        <v>39</v>
      </c>
      <c r="C2406" s="29">
        <f>ROUND(Balances[[#This Row],[Total]]*40%,0)</f>
        <v>0</v>
      </c>
      <c r="D2406" s="29">
        <f>ROUND(Balances[[#This Row],[Total]]*20%,0)</f>
        <v>0</v>
      </c>
      <c r="E2406" s="29">
        <f>ROUND(Balances[[#This Row],[Total]]*40%,0)</f>
        <v>0</v>
      </c>
      <c r="F2406" s="18">
        <f>SUM(Acueducto[[#This Row],[Acueducto]:[Aseo]])</f>
        <v>0</v>
      </c>
    </row>
    <row r="2407" spans="1:6" ht="15" x14ac:dyDescent="0.2">
      <c r="A2407" s="7">
        <v>581303</v>
      </c>
      <c r="B2407" s="3" t="s">
        <v>35</v>
      </c>
      <c r="C2407" s="29">
        <f>ROUND(Balances[[#This Row],[Total]]*40%,0)</f>
        <v>0</v>
      </c>
      <c r="D2407" s="29">
        <f>ROUND(Balances[[#This Row],[Total]]*20%,0)</f>
        <v>0</v>
      </c>
      <c r="E2407" s="29">
        <f>ROUND(Balances[[#This Row],[Total]]*40%,0)</f>
        <v>0</v>
      </c>
      <c r="F2407" s="18">
        <f>SUM(Acueducto[[#This Row],[Acueducto]:[Aseo]])</f>
        <v>0</v>
      </c>
    </row>
    <row r="2408" spans="1:6" ht="15" x14ac:dyDescent="0.2">
      <c r="A2408" s="7">
        <v>581304</v>
      </c>
      <c r="B2408" s="3" t="s">
        <v>36</v>
      </c>
      <c r="C2408" s="29">
        <f>ROUND(Balances[[#This Row],[Total]]*40%,0)</f>
        <v>0</v>
      </c>
      <c r="D2408" s="29">
        <f>ROUND(Balances[[#This Row],[Total]]*20%,0)</f>
        <v>0</v>
      </c>
      <c r="E2408" s="29">
        <f>ROUND(Balances[[#This Row],[Total]]*40%,0)</f>
        <v>0</v>
      </c>
      <c r="F2408" s="18">
        <f>SUM(Acueducto[[#This Row],[Acueducto]:[Aseo]])</f>
        <v>0</v>
      </c>
    </row>
    <row r="2409" spans="1:6" ht="15" x14ac:dyDescent="0.2">
      <c r="A2409" s="7">
        <v>581305</v>
      </c>
      <c r="B2409" s="3" t="s">
        <v>37</v>
      </c>
      <c r="C2409" s="29">
        <f>ROUND(Balances[[#This Row],[Total]]*40%,0)</f>
        <v>0</v>
      </c>
      <c r="D2409" s="29">
        <f>ROUND(Balances[[#This Row],[Total]]*20%,0)</f>
        <v>0</v>
      </c>
      <c r="E2409" s="29">
        <f>ROUND(Balances[[#This Row],[Total]]*40%,0)</f>
        <v>0</v>
      </c>
      <c r="F2409" s="18">
        <f>SUM(Acueducto[[#This Row],[Acueducto]:[Aseo]])</f>
        <v>0</v>
      </c>
    </row>
    <row r="2410" spans="1:6" ht="15" x14ac:dyDescent="0.2">
      <c r="A2410" s="6">
        <v>5816</v>
      </c>
      <c r="B2410" s="2" t="s">
        <v>1392</v>
      </c>
      <c r="C2410" s="28">
        <f>ROUND(Balances[[#This Row],[Total]]*40%,0)</f>
        <v>0</v>
      </c>
      <c r="D2410" s="28">
        <f>ROUND(Balances[[#This Row],[Total]]*20%,0)</f>
        <v>0</v>
      </c>
      <c r="E2410" s="28">
        <f>ROUND(Balances[[#This Row],[Total]]*40%,0)</f>
        <v>0</v>
      </c>
      <c r="F2410" s="17">
        <f>SUM(Acueducto[[#This Row],[Acueducto]:[Aseo]])</f>
        <v>0</v>
      </c>
    </row>
    <row r="2411" spans="1:6" ht="15" x14ac:dyDescent="0.2">
      <c r="A2411" s="7">
        <v>581601</v>
      </c>
      <c r="B2411" s="3" t="s">
        <v>1226</v>
      </c>
      <c r="C2411" s="29">
        <f>ROUND(Balances[[#This Row],[Total]]*40%,0)</f>
        <v>0</v>
      </c>
      <c r="D2411" s="29">
        <f>ROUND(Balances[[#This Row],[Total]]*20%,0)</f>
        <v>0</v>
      </c>
      <c r="E2411" s="29">
        <f>ROUND(Balances[[#This Row],[Total]]*40%,0)</f>
        <v>0</v>
      </c>
      <c r="F2411" s="18">
        <f>SUM(Acueducto[[#This Row],[Acueducto]:[Aseo]])</f>
        <v>0</v>
      </c>
    </row>
    <row r="2412" spans="1:6" ht="15" x14ac:dyDescent="0.2">
      <c r="A2412" s="7">
        <v>581602</v>
      </c>
      <c r="B2412" s="3" t="s">
        <v>1227</v>
      </c>
      <c r="C2412" s="29">
        <f>ROUND(Balances[[#This Row],[Total]]*40%,0)</f>
        <v>0</v>
      </c>
      <c r="D2412" s="29">
        <f>ROUND(Balances[[#This Row],[Total]]*20%,0)</f>
        <v>0</v>
      </c>
      <c r="E2412" s="29">
        <f>ROUND(Balances[[#This Row],[Total]]*40%,0)</f>
        <v>0</v>
      </c>
      <c r="F2412" s="18">
        <f>SUM(Acueducto[[#This Row],[Acueducto]:[Aseo]])</f>
        <v>0</v>
      </c>
    </row>
    <row r="2413" spans="1:6" ht="15" x14ac:dyDescent="0.2">
      <c r="A2413" s="6">
        <v>5820</v>
      </c>
      <c r="B2413" s="2" t="s">
        <v>1393</v>
      </c>
      <c r="C2413" s="28">
        <f>ROUND(Balances[[#This Row],[Total]]*40%,0)</f>
        <v>0</v>
      </c>
      <c r="D2413" s="28">
        <f>ROUND(Balances[[#This Row],[Total]]*20%,0)</f>
        <v>0</v>
      </c>
      <c r="E2413" s="28">
        <f>ROUND(Balances[[#This Row],[Total]]*40%,0)</f>
        <v>0</v>
      </c>
      <c r="F2413" s="17">
        <f>SUM(Acueducto[[#This Row],[Acueducto]:[Aseo]])</f>
        <v>0</v>
      </c>
    </row>
    <row r="2414" spans="1:6" ht="15" x14ac:dyDescent="0.2">
      <c r="A2414" s="7">
        <v>582001</v>
      </c>
      <c r="B2414" s="3" t="s">
        <v>628</v>
      </c>
      <c r="C2414" s="29">
        <f>ROUND(Balances[[#This Row],[Total]]*40%,0)</f>
        <v>0</v>
      </c>
      <c r="D2414" s="29">
        <f>ROUND(Balances[[#This Row],[Total]]*20%,0)</f>
        <v>0</v>
      </c>
      <c r="E2414" s="29">
        <f>ROUND(Balances[[#This Row],[Total]]*40%,0)</f>
        <v>0</v>
      </c>
      <c r="F2414" s="18">
        <f>SUM(Acueducto[[#This Row],[Acueducto]:[Aseo]])</f>
        <v>0</v>
      </c>
    </row>
    <row r="2415" spans="1:6" ht="15" x14ac:dyDescent="0.2">
      <c r="A2415" s="7">
        <v>582002</v>
      </c>
      <c r="B2415" s="3" t="s">
        <v>629</v>
      </c>
      <c r="C2415" s="29">
        <f>ROUND(Balances[[#This Row],[Total]]*40%,0)</f>
        <v>0</v>
      </c>
      <c r="D2415" s="29">
        <f>ROUND(Balances[[#This Row],[Total]]*20%,0)</f>
        <v>0</v>
      </c>
      <c r="E2415" s="29">
        <f>ROUND(Balances[[#This Row],[Total]]*40%,0)</f>
        <v>0</v>
      </c>
      <c r="F2415" s="18">
        <f>SUM(Acueducto[[#This Row],[Acueducto]:[Aseo]])</f>
        <v>0</v>
      </c>
    </row>
    <row r="2416" spans="1:6" ht="15" x14ac:dyDescent="0.2">
      <c r="A2416" s="7">
        <v>582003</v>
      </c>
      <c r="B2416" s="3" t="s">
        <v>630</v>
      </c>
      <c r="C2416" s="29">
        <f>ROUND(Balances[[#This Row],[Total]]*40%,0)</f>
        <v>0</v>
      </c>
      <c r="D2416" s="29">
        <f>ROUND(Balances[[#This Row],[Total]]*20%,0)</f>
        <v>0</v>
      </c>
      <c r="E2416" s="29">
        <f>ROUND(Balances[[#This Row],[Total]]*40%,0)</f>
        <v>0</v>
      </c>
      <c r="F2416" s="18">
        <f>SUM(Acueducto[[#This Row],[Acueducto]:[Aseo]])</f>
        <v>0</v>
      </c>
    </row>
    <row r="2417" spans="1:6" ht="15" x14ac:dyDescent="0.2">
      <c r="A2417" s="7">
        <v>582004</v>
      </c>
      <c r="B2417" s="3" t="s">
        <v>631</v>
      </c>
      <c r="C2417" s="29">
        <f>ROUND(Balances[[#This Row],[Total]]*40%,0)</f>
        <v>0</v>
      </c>
      <c r="D2417" s="29">
        <f>ROUND(Balances[[#This Row],[Total]]*20%,0)</f>
        <v>0</v>
      </c>
      <c r="E2417" s="29">
        <f>ROUND(Balances[[#This Row],[Total]]*40%,0)</f>
        <v>0</v>
      </c>
      <c r="F2417" s="18">
        <f>SUM(Acueducto[[#This Row],[Acueducto]:[Aseo]])</f>
        <v>0</v>
      </c>
    </row>
    <row r="2418" spans="1:6" ht="15" x14ac:dyDescent="0.2">
      <c r="A2418" s="6">
        <v>5821</v>
      </c>
      <c r="B2418" s="2" t="s">
        <v>1394</v>
      </c>
      <c r="C2418" s="28">
        <f>ROUND(Balances[[#This Row],[Total]]*40%,0)</f>
        <v>0</v>
      </c>
      <c r="D2418" s="28">
        <f>ROUND(Balances[[#This Row],[Total]]*20%,0)</f>
        <v>0</v>
      </c>
      <c r="E2418" s="28">
        <f>ROUND(Balances[[#This Row],[Total]]*40%,0)</f>
        <v>0</v>
      </c>
      <c r="F2418" s="17">
        <f>SUM(Acueducto[[#This Row],[Acueducto]:[Aseo]])</f>
        <v>0</v>
      </c>
    </row>
    <row r="2419" spans="1:6" ht="15" x14ac:dyDescent="0.2">
      <c r="A2419" s="7">
        <v>582101</v>
      </c>
      <c r="B2419" s="3" t="s">
        <v>743</v>
      </c>
      <c r="C2419" s="29">
        <f>ROUND(Balances[[#This Row],[Total]]*40%,0)</f>
        <v>0</v>
      </c>
      <c r="D2419" s="29">
        <f>ROUND(Balances[[#This Row],[Total]]*20%,0)</f>
        <v>0</v>
      </c>
      <c r="E2419" s="29">
        <f>ROUND(Balances[[#This Row],[Total]]*40%,0)</f>
        <v>0</v>
      </c>
      <c r="F2419" s="18">
        <f>SUM(Acueducto[[#This Row],[Acueducto]:[Aseo]])</f>
        <v>0</v>
      </c>
    </row>
    <row r="2420" spans="1:6" ht="15" x14ac:dyDescent="0.2">
      <c r="A2420" s="7">
        <v>582104</v>
      </c>
      <c r="B2420" s="3" t="s">
        <v>762</v>
      </c>
      <c r="C2420" s="29">
        <f>ROUND(Balances[[#This Row],[Total]]*40%,0)</f>
        <v>0</v>
      </c>
      <c r="D2420" s="29">
        <f>ROUND(Balances[[#This Row],[Total]]*20%,0)</f>
        <v>0</v>
      </c>
      <c r="E2420" s="29">
        <f>ROUND(Balances[[#This Row],[Total]]*40%,0)</f>
        <v>0</v>
      </c>
      <c r="F2420" s="18">
        <f>SUM(Acueducto[[#This Row],[Acueducto]:[Aseo]])</f>
        <v>0</v>
      </c>
    </row>
    <row r="2421" spans="1:6" ht="15" x14ac:dyDescent="0.2">
      <c r="A2421" s="6">
        <v>5822</v>
      </c>
      <c r="B2421" s="2" t="s">
        <v>1229</v>
      </c>
      <c r="C2421" s="28">
        <f>ROUND(Balances[[#This Row],[Total]]*40%,0)</f>
        <v>0</v>
      </c>
      <c r="D2421" s="28">
        <f>ROUND(Balances[[#This Row],[Total]]*20%,0)</f>
        <v>0</v>
      </c>
      <c r="E2421" s="28">
        <f>ROUND(Balances[[#This Row],[Total]]*40%,0)</f>
        <v>0</v>
      </c>
      <c r="F2421" s="17">
        <f>SUM(Acueducto[[#This Row],[Acueducto]:[Aseo]])</f>
        <v>0</v>
      </c>
    </row>
    <row r="2422" spans="1:6" ht="15" x14ac:dyDescent="0.2">
      <c r="A2422" s="7">
        <v>582201</v>
      </c>
      <c r="B2422" s="3" t="s">
        <v>549</v>
      </c>
      <c r="C2422" s="29">
        <f>ROUND(Balances[[#This Row],[Total]]*40%,0)</f>
        <v>0</v>
      </c>
      <c r="D2422" s="29">
        <f>ROUND(Balances[[#This Row],[Total]]*20%,0)</f>
        <v>0</v>
      </c>
      <c r="E2422" s="29">
        <f>ROUND(Balances[[#This Row],[Total]]*40%,0)</f>
        <v>0</v>
      </c>
      <c r="F2422" s="18">
        <f>SUM(Acueducto[[#This Row],[Acueducto]:[Aseo]])</f>
        <v>0</v>
      </c>
    </row>
    <row r="2423" spans="1:6" ht="15" x14ac:dyDescent="0.2">
      <c r="A2423" s="7">
        <v>582202</v>
      </c>
      <c r="B2423" s="3" t="s">
        <v>637</v>
      </c>
      <c r="C2423" s="29">
        <f>ROUND(Balances[[#This Row],[Total]]*40%,0)</f>
        <v>0</v>
      </c>
      <c r="D2423" s="29">
        <f>ROUND(Balances[[#This Row],[Total]]*20%,0)</f>
        <v>0</v>
      </c>
      <c r="E2423" s="29">
        <f>ROUND(Balances[[#This Row],[Total]]*40%,0)</f>
        <v>0</v>
      </c>
      <c r="F2423" s="18">
        <f>SUM(Acueducto[[#This Row],[Acueducto]:[Aseo]])</f>
        <v>0</v>
      </c>
    </row>
    <row r="2424" spans="1:6" ht="15" x14ac:dyDescent="0.2">
      <c r="A2424" s="7">
        <v>582203</v>
      </c>
      <c r="B2424" s="3" t="s">
        <v>226</v>
      </c>
      <c r="C2424" s="29">
        <f>ROUND(Balances[[#This Row],[Total]]*40%,0)</f>
        <v>0</v>
      </c>
      <c r="D2424" s="29">
        <f>ROUND(Balances[[#This Row],[Total]]*20%,0)</f>
        <v>0</v>
      </c>
      <c r="E2424" s="29">
        <f>ROUND(Balances[[#This Row],[Total]]*40%,0)</f>
        <v>0</v>
      </c>
      <c r="F2424" s="18">
        <f>SUM(Acueducto[[#This Row],[Acueducto]:[Aseo]])</f>
        <v>0</v>
      </c>
    </row>
    <row r="2425" spans="1:6" ht="15" x14ac:dyDescent="0.2">
      <c r="A2425" s="7">
        <v>582204</v>
      </c>
      <c r="B2425" s="3" t="s">
        <v>287</v>
      </c>
      <c r="C2425" s="29">
        <f>ROUND(Balances[[#This Row],[Total]]*40%,0)</f>
        <v>0</v>
      </c>
      <c r="D2425" s="29">
        <f>ROUND(Balances[[#This Row],[Total]]*20%,0)</f>
        <v>0</v>
      </c>
      <c r="E2425" s="29">
        <f>ROUND(Balances[[#This Row],[Total]]*40%,0)</f>
        <v>0</v>
      </c>
      <c r="F2425" s="18">
        <f>SUM(Acueducto[[#This Row],[Acueducto]:[Aseo]])</f>
        <v>0</v>
      </c>
    </row>
    <row r="2426" spans="1:6" ht="15" x14ac:dyDescent="0.2">
      <c r="A2426" s="7">
        <v>582205</v>
      </c>
      <c r="B2426" s="3" t="s">
        <v>638</v>
      </c>
      <c r="C2426" s="29">
        <f>ROUND(Balances[[#This Row],[Total]]*40%,0)</f>
        <v>0</v>
      </c>
      <c r="D2426" s="29">
        <f>ROUND(Balances[[#This Row],[Total]]*20%,0)</f>
        <v>0</v>
      </c>
      <c r="E2426" s="29">
        <f>ROUND(Balances[[#This Row],[Total]]*40%,0)</f>
        <v>0</v>
      </c>
      <c r="F2426" s="18">
        <f>SUM(Acueducto[[#This Row],[Acueducto]:[Aseo]])</f>
        <v>0</v>
      </c>
    </row>
    <row r="2427" spans="1:6" ht="15" x14ac:dyDescent="0.2">
      <c r="A2427" s="7">
        <v>582206</v>
      </c>
      <c r="B2427" s="3" t="s">
        <v>553</v>
      </c>
      <c r="C2427" s="29">
        <f>ROUND(Balances[[#This Row],[Total]]*40%,0)</f>
        <v>0</v>
      </c>
      <c r="D2427" s="29">
        <f>ROUND(Balances[[#This Row],[Total]]*20%,0)</f>
        <v>0</v>
      </c>
      <c r="E2427" s="29">
        <f>ROUND(Balances[[#This Row],[Total]]*40%,0)</f>
        <v>0</v>
      </c>
      <c r="F2427" s="18">
        <f>SUM(Acueducto[[#This Row],[Acueducto]:[Aseo]])</f>
        <v>0</v>
      </c>
    </row>
    <row r="2428" spans="1:6" ht="15" x14ac:dyDescent="0.2">
      <c r="A2428" s="7">
        <v>582207</v>
      </c>
      <c r="B2428" s="3" t="s">
        <v>639</v>
      </c>
      <c r="C2428" s="29">
        <f>ROUND(Balances[[#This Row],[Total]]*40%,0)</f>
        <v>0</v>
      </c>
      <c r="D2428" s="29">
        <f>ROUND(Balances[[#This Row],[Total]]*20%,0)</f>
        <v>0</v>
      </c>
      <c r="E2428" s="29">
        <f>ROUND(Balances[[#This Row],[Total]]*40%,0)</f>
        <v>0</v>
      </c>
      <c r="F2428" s="18">
        <f>SUM(Acueducto[[#This Row],[Acueducto]:[Aseo]])</f>
        <v>0</v>
      </c>
    </row>
    <row r="2429" spans="1:6" ht="15" x14ac:dyDescent="0.2">
      <c r="A2429" s="7">
        <v>582208</v>
      </c>
      <c r="B2429" s="3" t="s">
        <v>554</v>
      </c>
      <c r="C2429" s="29">
        <f>ROUND(Balances[[#This Row],[Total]]*40%,0)</f>
        <v>0</v>
      </c>
      <c r="D2429" s="29">
        <f>ROUND(Balances[[#This Row],[Total]]*20%,0)</f>
        <v>0</v>
      </c>
      <c r="E2429" s="29">
        <f>ROUND(Balances[[#This Row],[Total]]*40%,0)</f>
        <v>0</v>
      </c>
      <c r="F2429" s="18">
        <f>SUM(Acueducto[[#This Row],[Acueducto]:[Aseo]])</f>
        <v>0</v>
      </c>
    </row>
    <row r="2430" spans="1:6" ht="15" x14ac:dyDescent="0.2">
      <c r="A2430" s="7">
        <v>582209</v>
      </c>
      <c r="B2430" s="3" t="s">
        <v>640</v>
      </c>
      <c r="C2430" s="29">
        <f>ROUND(Balances[[#This Row],[Total]]*40%,0)</f>
        <v>0</v>
      </c>
      <c r="D2430" s="29">
        <f>ROUND(Balances[[#This Row],[Total]]*20%,0)</f>
        <v>0</v>
      </c>
      <c r="E2430" s="29">
        <f>ROUND(Balances[[#This Row],[Total]]*40%,0)</f>
        <v>0</v>
      </c>
      <c r="F2430" s="18">
        <f>SUM(Acueducto[[#This Row],[Acueducto]:[Aseo]])</f>
        <v>0</v>
      </c>
    </row>
    <row r="2431" spans="1:6" ht="15" x14ac:dyDescent="0.2">
      <c r="A2431" s="7">
        <v>582210</v>
      </c>
      <c r="B2431" s="3" t="s">
        <v>555</v>
      </c>
      <c r="C2431" s="29">
        <f>ROUND(Balances[[#This Row],[Total]]*40%,0)</f>
        <v>0</v>
      </c>
      <c r="D2431" s="29">
        <f>ROUND(Balances[[#This Row],[Total]]*20%,0)</f>
        <v>0</v>
      </c>
      <c r="E2431" s="29">
        <f>ROUND(Balances[[#This Row],[Total]]*40%,0)</f>
        <v>0</v>
      </c>
      <c r="F2431" s="18">
        <f>SUM(Acueducto[[#This Row],[Acueducto]:[Aseo]])</f>
        <v>0</v>
      </c>
    </row>
    <row r="2432" spans="1:6" ht="15" x14ac:dyDescent="0.2">
      <c r="A2432" s="7">
        <v>582211</v>
      </c>
      <c r="B2432" s="3" t="s">
        <v>641</v>
      </c>
      <c r="C2432" s="29">
        <f>ROUND(Balances[[#This Row],[Total]]*40%,0)</f>
        <v>0</v>
      </c>
      <c r="D2432" s="29">
        <f>ROUND(Balances[[#This Row],[Total]]*20%,0)</f>
        <v>0</v>
      </c>
      <c r="E2432" s="29">
        <f>ROUND(Balances[[#This Row],[Total]]*40%,0)</f>
        <v>0</v>
      </c>
      <c r="F2432" s="18">
        <f>SUM(Acueducto[[#This Row],[Acueducto]:[Aseo]])</f>
        <v>0</v>
      </c>
    </row>
    <row r="2433" spans="1:6" ht="15" x14ac:dyDescent="0.2">
      <c r="A2433" s="7">
        <v>582212</v>
      </c>
      <c r="B2433" s="3" t="s">
        <v>642</v>
      </c>
      <c r="C2433" s="29">
        <f>ROUND(Balances[[#This Row],[Total]]*40%,0)</f>
        <v>0</v>
      </c>
      <c r="D2433" s="29">
        <f>ROUND(Balances[[#This Row],[Total]]*20%,0)</f>
        <v>0</v>
      </c>
      <c r="E2433" s="29">
        <f>ROUND(Balances[[#This Row],[Total]]*40%,0)</f>
        <v>0</v>
      </c>
      <c r="F2433" s="18">
        <f>SUM(Acueducto[[#This Row],[Acueducto]:[Aseo]])</f>
        <v>0</v>
      </c>
    </row>
    <row r="2434" spans="1:6" ht="15" x14ac:dyDescent="0.2">
      <c r="A2434" s="7">
        <v>582213</v>
      </c>
      <c r="B2434" s="3" t="s">
        <v>643</v>
      </c>
      <c r="C2434" s="29">
        <f>ROUND(Balances[[#This Row],[Total]]*40%,0)</f>
        <v>0</v>
      </c>
      <c r="D2434" s="29">
        <f>ROUND(Balances[[#This Row],[Total]]*20%,0)</f>
        <v>0</v>
      </c>
      <c r="E2434" s="29">
        <f>ROUND(Balances[[#This Row],[Total]]*40%,0)</f>
        <v>0</v>
      </c>
      <c r="F2434" s="18">
        <f>SUM(Acueducto[[#This Row],[Acueducto]:[Aseo]])</f>
        <v>0</v>
      </c>
    </row>
    <row r="2435" spans="1:6" ht="15" x14ac:dyDescent="0.2">
      <c r="A2435" s="7">
        <v>582214</v>
      </c>
      <c r="B2435" s="3" t="s">
        <v>644</v>
      </c>
      <c r="C2435" s="29">
        <f>ROUND(Balances[[#This Row],[Total]]*40%,0)</f>
        <v>0</v>
      </c>
      <c r="D2435" s="29">
        <f>ROUND(Balances[[#This Row],[Total]]*20%,0)</f>
        <v>0</v>
      </c>
      <c r="E2435" s="29">
        <f>ROUND(Balances[[#This Row],[Total]]*40%,0)</f>
        <v>0</v>
      </c>
      <c r="F2435" s="18">
        <f>SUM(Acueducto[[#This Row],[Acueducto]:[Aseo]])</f>
        <v>0</v>
      </c>
    </row>
    <row r="2436" spans="1:6" ht="15" x14ac:dyDescent="0.2">
      <c r="A2436" s="7">
        <v>582215</v>
      </c>
      <c r="B2436" s="3" t="s">
        <v>645</v>
      </c>
      <c r="C2436" s="29">
        <f>ROUND(Balances[[#This Row],[Total]]*40%,0)</f>
        <v>0</v>
      </c>
      <c r="D2436" s="29">
        <f>ROUND(Balances[[#This Row],[Total]]*20%,0)</f>
        <v>0</v>
      </c>
      <c r="E2436" s="29">
        <f>ROUND(Balances[[#This Row],[Total]]*40%,0)</f>
        <v>0</v>
      </c>
      <c r="F2436" s="18">
        <f>SUM(Acueducto[[#This Row],[Acueducto]:[Aseo]])</f>
        <v>0</v>
      </c>
    </row>
    <row r="2437" spans="1:6" ht="15" x14ac:dyDescent="0.2">
      <c r="A2437" s="7">
        <v>582216</v>
      </c>
      <c r="B2437" s="3" t="s">
        <v>646</v>
      </c>
      <c r="C2437" s="29">
        <f>ROUND(Balances[[#This Row],[Total]]*40%,0)</f>
        <v>0</v>
      </c>
      <c r="D2437" s="29">
        <f>ROUND(Balances[[#This Row],[Total]]*20%,0)</f>
        <v>0</v>
      </c>
      <c r="E2437" s="29">
        <f>ROUND(Balances[[#This Row],[Total]]*40%,0)</f>
        <v>0</v>
      </c>
      <c r="F2437" s="18">
        <f>SUM(Acueducto[[#This Row],[Acueducto]:[Aseo]])</f>
        <v>0</v>
      </c>
    </row>
    <row r="2438" spans="1:6" ht="15" x14ac:dyDescent="0.2">
      <c r="A2438" s="7">
        <v>582217</v>
      </c>
      <c r="B2438" s="3" t="s">
        <v>647</v>
      </c>
      <c r="C2438" s="29">
        <f>ROUND(Balances[[#This Row],[Total]]*40%,0)</f>
        <v>0</v>
      </c>
      <c r="D2438" s="29">
        <f>ROUND(Balances[[#This Row],[Total]]*20%,0)</f>
        <v>0</v>
      </c>
      <c r="E2438" s="29">
        <f>ROUND(Balances[[#This Row],[Total]]*40%,0)</f>
        <v>0</v>
      </c>
      <c r="F2438" s="18">
        <f>SUM(Acueducto[[#This Row],[Acueducto]:[Aseo]])</f>
        <v>0</v>
      </c>
    </row>
    <row r="2439" spans="1:6" ht="15" x14ac:dyDescent="0.2">
      <c r="A2439" s="7">
        <v>582218</v>
      </c>
      <c r="B2439" s="3" t="s">
        <v>648</v>
      </c>
      <c r="C2439" s="29">
        <f>ROUND(Balances[[#This Row],[Total]]*40%,0)</f>
        <v>0</v>
      </c>
      <c r="D2439" s="29">
        <f>ROUND(Balances[[#This Row],[Total]]*20%,0)</f>
        <v>0</v>
      </c>
      <c r="E2439" s="29">
        <f>ROUND(Balances[[#This Row],[Total]]*40%,0)</f>
        <v>0</v>
      </c>
      <c r="F2439" s="18">
        <f>SUM(Acueducto[[#This Row],[Acueducto]:[Aseo]])</f>
        <v>0</v>
      </c>
    </row>
    <row r="2440" spans="1:6" ht="15" x14ac:dyDescent="0.2">
      <c r="A2440" s="6">
        <v>5890</v>
      </c>
      <c r="B2440" s="2" t="s">
        <v>1395</v>
      </c>
      <c r="C2440" s="28">
        <f>ROUND(Balances[[#This Row],[Total]]*40%,0)</f>
        <v>0</v>
      </c>
      <c r="D2440" s="28">
        <f>ROUND(Balances[[#This Row],[Total]]*20%,0)</f>
        <v>0</v>
      </c>
      <c r="E2440" s="28">
        <f>ROUND(Balances[[#This Row],[Total]]*40%,0)</f>
        <v>0</v>
      </c>
      <c r="F2440" s="28">
        <f>SUM(Acueducto[[#This Row],[Acueducto]:[Aseo]])</f>
        <v>0</v>
      </c>
    </row>
    <row r="2441" spans="1:6" ht="15" x14ac:dyDescent="0.2">
      <c r="A2441" s="7">
        <v>589003</v>
      </c>
      <c r="B2441" s="3" t="s">
        <v>1396</v>
      </c>
      <c r="C2441" s="29">
        <f>ROUND(Balances[[#This Row],[Total]]*40%,0)</f>
        <v>0</v>
      </c>
      <c r="D2441" s="29">
        <f>ROUND(Balances[[#This Row],[Total]]*20%,0)</f>
        <v>0</v>
      </c>
      <c r="E2441" s="29">
        <f>ROUND(Balances[[#This Row],[Total]]*40%,0)</f>
        <v>0</v>
      </c>
      <c r="F2441" s="29">
        <f>SUM(Acueducto[[#This Row],[Acueducto]:[Aseo]])</f>
        <v>0</v>
      </c>
    </row>
    <row r="2442" spans="1:6" ht="15" x14ac:dyDescent="0.2">
      <c r="A2442" s="7">
        <v>589004</v>
      </c>
      <c r="B2442" s="3" t="s">
        <v>1207</v>
      </c>
      <c r="C2442" s="29">
        <f>ROUND(Balances[[#This Row],[Total]]*40%,0)</f>
        <v>0</v>
      </c>
      <c r="D2442" s="29">
        <f>ROUND(Balances[[#This Row],[Total]]*20%,0)</f>
        <v>0</v>
      </c>
      <c r="E2442" s="29">
        <f>ROUND(Balances[[#This Row],[Total]]*40%,0)</f>
        <v>0</v>
      </c>
      <c r="F2442" s="18">
        <f>SUM(Acueducto[[#This Row],[Acueducto]:[Aseo]])</f>
        <v>0</v>
      </c>
    </row>
    <row r="2443" spans="1:6" ht="15" x14ac:dyDescent="0.2">
      <c r="A2443" s="7">
        <v>589012</v>
      </c>
      <c r="B2443" s="3" t="s">
        <v>780</v>
      </c>
      <c r="C2443" s="29">
        <f>ROUND(Balances[[#This Row],[Total]]*40%,0)</f>
        <v>0</v>
      </c>
      <c r="D2443" s="29">
        <f>ROUND(Balances[[#This Row],[Total]]*20%,0)</f>
        <v>0</v>
      </c>
      <c r="E2443" s="29">
        <f>ROUND(Balances[[#This Row],[Total]]*40%,0)</f>
        <v>0</v>
      </c>
      <c r="F2443" s="29">
        <f>SUM(Acueducto[[#This Row],[Acueducto]:[Aseo]])</f>
        <v>0</v>
      </c>
    </row>
    <row r="2444" spans="1:6" ht="15" x14ac:dyDescent="0.2">
      <c r="A2444" s="7">
        <v>589013</v>
      </c>
      <c r="B2444" s="3" t="s">
        <v>781</v>
      </c>
      <c r="C2444" s="29">
        <f>ROUND(Balances[[#This Row],[Total]]*40%,0)</f>
        <v>0</v>
      </c>
      <c r="D2444" s="29">
        <f>ROUND(Balances[[#This Row],[Total]]*20%,0)</f>
        <v>0</v>
      </c>
      <c r="E2444" s="29">
        <f>ROUND(Balances[[#This Row],[Total]]*40%,0)</f>
        <v>0</v>
      </c>
      <c r="F2444" s="18">
        <f>SUM(Acueducto[[#This Row],[Acueducto]:[Aseo]])</f>
        <v>0</v>
      </c>
    </row>
    <row r="2445" spans="1:6" ht="15" x14ac:dyDescent="0.2">
      <c r="A2445" s="7">
        <v>589014</v>
      </c>
      <c r="B2445" s="3" t="s">
        <v>1397</v>
      </c>
      <c r="C2445" s="29">
        <f>ROUND(Balances[[#This Row],[Total]]*40%,0)</f>
        <v>0</v>
      </c>
      <c r="D2445" s="29">
        <f>ROUND(Balances[[#This Row],[Total]]*20%,0)</f>
        <v>0</v>
      </c>
      <c r="E2445" s="29">
        <f>ROUND(Balances[[#This Row],[Total]]*40%,0)</f>
        <v>0</v>
      </c>
      <c r="F2445" s="18">
        <f>SUM(Acueducto[[#This Row],[Acueducto]:[Aseo]])</f>
        <v>0</v>
      </c>
    </row>
    <row r="2446" spans="1:6" ht="15" x14ac:dyDescent="0.2">
      <c r="A2446" s="7">
        <v>589015</v>
      </c>
      <c r="B2446" s="3" t="s">
        <v>246</v>
      </c>
      <c r="C2446" s="29">
        <f>ROUND(Balances[[#This Row],[Total]]*40%,0)</f>
        <v>0</v>
      </c>
      <c r="D2446" s="29">
        <f>ROUND(Balances[[#This Row],[Total]]*20%,0)</f>
        <v>0</v>
      </c>
      <c r="E2446" s="29">
        <f>ROUND(Balances[[#This Row],[Total]]*40%,0)</f>
        <v>0</v>
      </c>
      <c r="F2446" s="18">
        <f>SUM(Acueducto[[#This Row],[Acueducto]:[Aseo]])</f>
        <v>0</v>
      </c>
    </row>
    <row r="2447" spans="1:6" ht="15" x14ac:dyDescent="0.2">
      <c r="A2447" s="7">
        <v>589017</v>
      </c>
      <c r="B2447" s="3" t="s">
        <v>1398</v>
      </c>
      <c r="C2447" s="29">
        <f>ROUND(Balances[[#This Row],[Total]]*40%,0)</f>
        <v>0</v>
      </c>
      <c r="D2447" s="29">
        <f>ROUND(Balances[[#This Row],[Total]]*20%,0)</f>
        <v>0</v>
      </c>
      <c r="E2447" s="29">
        <f>ROUND(Balances[[#This Row],[Total]]*40%,0)</f>
        <v>0</v>
      </c>
      <c r="F2447" s="18">
        <f>SUM(Acueducto[[#This Row],[Acueducto]:[Aseo]])</f>
        <v>0</v>
      </c>
    </row>
    <row r="2448" spans="1:6" ht="15" x14ac:dyDescent="0.2">
      <c r="A2448" s="7">
        <v>589018</v>
      </c>
      <c r="B2448" s="3" t="s">
        <v>1399</v>
      </c>
      <c r="C2448" s="29">
        <f>ROUND(Balances[[#This Row],[Total]]*40%,0)</f>
        <v>0</v>
      </c>
      <c r="D2448" s="29">
        <f>ROUND(Balances[[#This Row],[Total]]*20%,0)</f>
        <v>0</v>
      </c>
      <c r="E2448" s="29">
        <f>ROUND(Balances[[#This Row],[Total]]*40%,0)</f>
        <v>0</v>
      </c>
      <c r="F2448" s="18">
        <f>SUM(Acueducto[[#This Row],[Acueducto]:[Aseo]])</f>
        <v>0</v>
      </c>
    </row>
    <row r="2449" spans="1:6" ht="15" x14ac:dyDescent="0.2">
      <c r="A2449" s="7">
        <v>589019</v>
      </c>
      <c r="B2449" s="3" t="s">
        <v>1400</v>
      </c>
      <c r="C2449" s="29">
        <f>ROUND(Balances[[#This Row],[Total]]*40%,0)</f>
        <v>0</v>
      </c>
      <c r="D2449" s="29">
        <f>ROUND(Balances[[#This Row],[Total]]*20%,0)</f>
        <v>0</v>
      </c>
      <c r="E2449" s="29">
        <f>ROUND(Balances[[#This Row],[Total]]*40%,0)</f>
        <v>0</v>
      </c>
      <c r="F2449" s="18">
        <f>SUM(Acueducto[[#This Row],[Acueducto]:[Aseo]])</f>
        <v>0</v>
      </c>
    </row>
    <row r="2450" spans="1:6" ht="15" x14ac:dyDescent="0.2">
      <c r="A2450" s="7">
        <v>589020</v>
      </c>
      <c r="B2450" s="3" t="s">
        <v>1401</v>
      </c>
      <c r="C2450" s="29">
        <f>ROUND(Balances[[#This Row],[Total]]*40%,0)</f>
        <v>0</v>
      </c>
      <c r="D2450" s="29">
        <f>ROUND(Balances[[#This Row],[Total]]*20%,0)</f>
        <v>0</v>
      </c>
      <c r="E2450" s="29">
        <f>ROUND(Balances[[#This Row],[Total]]*40%,0)</f>
        <v>0</v>
      </c>
      <c r="F2450" s="18">
        <f>SUM(Acueducto[[#This Row],[Acueducto]:[Aseo]])</f>
        <v>0</v>
      </c>
    </row>
    <row r="2451" spans="1:6" ht="15" x14ac:dyDescent="0.2">
      <c r="A2451" s="7">
        <v>589021</v>
      </c>
      <c r="B2451" s="3" t="s">
        <v>1402</v>
      </c>
      <c r="C2451" s="29">
        <f>ROUND(Balances[[#This Row],[Total]]*40%,0)</f>
        <v>0</v>
      </c>
      <c r="D2451" s="29">
        <f>ROUND(Balances[[#This Row],[Total]]*20%,0)</f>
        <v>0</v>
      </c>
      <c r="E2451" s="29">
        <f>ROUND(Balances[[#This Row],[Total]]*40%,0)</f>
        <v>0</v>
      </c>
      <c r="F2451" s="18">
        <f>SUM(Acueducto[[#This Row],[Acueducto]:[Aseo]])</f>
        <v>0</v>
      </c>
    </row>
    <row r="2452" spans="1:6" ht="15" x14ac:dyDescent="0.2">
      <c r="A2452" s="7">
        <v>589022</v>
      </c>
      <c r="B2452" s="3" t="s">
        <v>1403</v>
      </c>
      <c r="C2452" s="29">
        <f>ROUND(Balances[[#This Row],[Total]]*40%,0)</f>
        <v>0</v>
      </c>
      <c r="D2452" s="29">
        <f>ROUND(Balances[[#This Row],[Total]]*20%,0)</f>
        <v>0</v>
      </c>
      <c r="E2452" s="29">
        <f>ROUND(Balances[[#This Row],[Total]]*40%,0)</f>
        <v>0</v>
      </c>
      <c r="F2452" s="18">
        <f>SUM(Acueducto[[#This Row],[Acueducto]:[Aseo]])</f>
        <v>0</v>
      </c>
    </row>
    <row r="2453" spans="1:6" ht="15" x14ac:dyDescent="0.2">
      <c r="A2453" s="7">
        <v>589024</v>
      </c>
      <c r="B2453" s="3" t="s">
        <v>1404</v>
      </c>
      <c r="C2453" s="29">
        <f>ROUND(Balances[[#This Row],[Total]]*40%,0)</f>
        <v>0</v>
      </c>
      <c r="D2453" s="29">
        <f>ROUND(Balances[[#This Row],[Total]]*20%,0)</f>
        <v>0</v>
      </c>
      <c r="E2453" s="29">
        <f>ROUND(Balances[[#This Row],[Total]]*40%,0)</f>
        <v>0</v>
      </c>
      <c r="F2453" s="18">
        <f>SUM(Acueducto[[#This Row],[Acueducto]:[Aseo]])</f>
        <v>0</v>
      </c>
    </row>
    <row r="2454" spans="1:6" ht="15" x14ac:dyDescent="0.2">
      <c r="A2454" s="7">
        <v>589025</v>
      </c>
      <c r="B2454" s="3" t="s">
        <v>833</v>
      </c>
      <c r="C2454" s="29">
        <f>ROUND(Balances[[#This Row],[Total]]*40%,0)</f>
        <v>0</v>
      </c>
      <c r="D2454" s="29">
        <f>ROUND(Balances[[#This Row],[Total]]*20%,0)</f>
        <v>0</v>
      </c>
      <c r="E2454" s="29">
        <f>ROUND(Balances[[#This Row],[Total]]*40%,0)</f>
        <v>0</v>
      </c>
      <c r="F2454" s="18">
        <f>SUM(Acueducto[[#This Row],[Acueducto]:[Aseo]])</f>
        <v>0</v>
      </c>
    </row>
    <row r="2455" spans="1:6" ht="15" x14ac:dyDescent="0.2">
      <c r="A2455" s="7">
        <v>589026</v>
      </c>
      <c r="B2455" s="3" t="s">
        <v>126</v>
      </c>
      <c r="C2455" s="29">
        <f>ROUND(Balances[[#This Row],[Total]]*40%,0)</f>
        <v>0</v>
      </c>
      <c r="D2455" s="29">
        <f>ROUND(Balances[[#This Row],[Total]]*20%,0)</f>
        <v>0</v>
      </c>
      <c r="E2455" s="29">
        <f>ROUND(Balances[[#This Row],[Total]]*40%,0)</f>
        <v>0</v>
      </c>
      <c r="F2455" s="29">
        <f>SUM(Acueducto[[#This Row],[Acueducto]:[Aseo]])</f>
        <v>0</v>
      </c>
    </row>
    <row r="2456" spans="1:6" ht="15" x14ac:dyDescent="0.2">
      <c r="A2456" s="7">
        <v>589027</v>
      </c>
      <c r="B2456" s="3" t="s">
        <v>243</v>
      </c>
      <c r="C2456" s="29">
        <f>ROUND(Balances[[#This Row],[Total]]*40%,0)</f>
        <v>0</v>
      </c>
      <c r="D2456" s="29">
        <f>ROUND(Balances[[#This Row],[Total]]*20%,0)</f>
        <v>0</v>
      </c>
      <c r="E2456" s="29">
        <f>ROUND(Balances[[#This Row],[Total]]*40%,0)</f>
        <v>0</v>
      </c>
      <c r="F2456" s="18">
        <f>SUM(Acueducto[[#This Row],[Acueducto]:[Aseo]])</f>
        <v>0</v>
      </c>
    </row>
    <row r="2457" spans="1:6" ht="15" x14ac:dyDescent="0.2">
      <c r="A2457" s="7">
        <v>589029</v>
      </c>
      <c r="B2457" s="3" t="s">
        <v>1405</v>
      </c>
      <c r="C2457" s="29">
        <f>ROUND(Balances[[#This Row],[Total]]*40%,0)</f>
        <v>0</v>
      </c>
      <c r="D2457" s="29">
        <f>ROUND(Balances[[#This Row],[Total]]*20%,0)</f>
        <v>0</v>
      </c>
      <c r="E2457" s="29">
        <f>ROUND(Balances[[#This Row],[Total]]*40%,0)</f>
        <v>0</v>
      </c>
      <c r="F2457" s="18">
        <f>SUM(Acueducto[[#This Row],[Acueducto]:[Aseo]])</f>
        <v>0</v>
      </c>
    </row>
    <row r="2458" spans="1:6" ht="15" x14ac:dyDescent="0.2">
      <c r="A2458" s="7">
        <v>589034</v>
      </c>
      <c r="B2458" s="3" t="s">
        <v>1406</v>
      </c>
      <c r="C2458" s="29">
        <f>ROUND(Balances[[#This Row],[Total]]*40%,0)</f>
        <v>0</v>
      </c>
      <c r="D2458" s="29">
        <f>ROUND(Balances[[#This Row],[Total]]*20%,0)</f>
        <v>0</v>
      </c>
      <c r="E2458" s="29">
        <f>ROUND(Balances[[#This Row],[Total]]*40%,0)</f>
        <v>0</v>
      </c>
      <c r="F2458" s="18">
        <f>SUM(Acueducto[[#This Row],[Acueducto]:[Aseo]])</f>
        <v>0</v>
      </c>
    </row>
    <row r="2459" spans="1:6" ht="15" x14ac:dyDescent="0.2">
      <c r="A2459" s="7">
        <v>589035</v>
      </c>
      <c r="B2459" s="3" t="s">
        <v>1407</v>
      </c>
      <c r="C2459" s="29">
        <f>ROUND(Balances[[#This Row],[Total]]*40%,0)</f>
        <v>0</v>
      </c>
      <c r="D2459" s="29">
        <f>ROUND(Balances[[#This Row],[Total]]*20%,0)</f>
        <v>0</v>
      </c>
      <c r="E2459" s="29">
        <f>ROUND(Balances[[#This Row],[Total]]*40%,0)</f>
        <v>0</v>
      </c>
      <c r="F2459" s="18">
        <f>SUM(Acueducto[[#This Row],[Acueducto]:[Aseo]])</f>
        <v>0</v>
      </c>
    </row>
    <row r="2460" spans="1:6" ht="15" x14ac:dyDescent="0.2">
      <c r="A2460" s="7">
        <v>589036</v>
      </c>
      <c r="B2460" s="3" t="s">
        <v>1408</v>
      </c>
      <c r="C2460" s="29">
        <f>ROUND(Balances[[#This Row],[Total]]*40%,0)</f>
        <v>0</v>
      </c>
      <c r="D2460" s="29">
        <f>ROUND(Balances[[#This Row],[Total]]*20%,0)</f>
        <v>0</v>
      </c>
      <c r="E2460" s="29">
        <f>ROUND(Balances[[#This Row],[Total]]*40%,0)</f>
        <v>0</v>
      </c>
      <c r="F2460" s="18">
        <f>SUM(Acueducto[[#This Row],[Acueducto]:[Aseo]])</f>
        <v>0</v>
      </c>
    </row>
    <row r="2461" spans="1:6" ht="15" x14ac:dyDescent="0.2">
      <c r="A2461" s="7">
        <v>589037</v>
      </c>
      <c r="B2461" s="3" t="s">
        <v>1409</v>
      </c>
      <c r="C2461" s="29">
        <f>ROUND(Balances[[#This Row],[Total]]*40%,0)</f>
        <v>0</v>
      </c>
      <c r="D2461" s="29">
        <f>ROUND(Balances[[#This Row],[Total]]*20%,0)</f>
        <v>0</v>
      </c>
      <c r="E2461" s="29">
        <f>ROUND(Balances[[#This Row],[Total]]*40%,0)</f>
        <v>0</v>
      </c>
      <c r="F2461" s="18">
        <f>SUM(Acueducto[[#This Row],[Acueducto]:[Aseo]])</f>
        <v>0</v>
      </c>
    </row>
    <row r="2462" spans="1:6" ht="15" x14ac:dyDescent="0.2">
      <c r="A2462" s="7">
        <v>589090</v>
      </c>
      <c r="B2462" s="3" t="s">
        <v>1410</v>
      </c>
      <c r="C2462" s="29">
        <f>ROUND(Balances[[#This Row],[Total]]*40%,0)</f>
        <v>0</v>
      </c>
      <c r="D2462" s="29">
        <f>ROUND(Balances[[#This Row],[Total]]*20%,0)</f>
        <v>0</v>
      </c>
      <c r="E2462" s="29">
        <f>ROUND(Balances[[#This Row],[Total]]*40%,0)</f>
        <v>0</v>
      </c>
      <c r="F2462" s="18">
        <f>SUM(Acueducto[[#This Row],[Acueducto]:[Aseo]])</f>
        <v>0</v>
      </c>
    </row>
    <row r="2463" spans="1:6" ht="15" x14ac:dyDescent="0.2">
      <c r="A2463" s="6">
        <v>5893</v>
      </c>
      <c r="B2463" s="2" t="s">
        <v>1411</v>
      </c>
      <c r="C2463" s="28">
        <f>ROUND(Balances[[#This Row],[Total]]*40%,0)</f>
        <v>0</v>
      </c>
      <c r="D2463" s="28">
        <f>ROUND(Balances[[#This Row],[Total]]*20%,0)</f>
        <v>0</v>
      </c>
      <c r="E2463" s="28">
        <f>ROUND(Balances[[#This Row],[Total]]*40%,0)</f>
        <v>0</v>
      </c>
      <c r="F2463" s="17">
        <f>SUM(Acueducto[[#This Row],[Acueducto]:[Aseo]])</f>
        <v>0</v>
      </c>
    </row>
    <row r="2464" spans="1:6" ht="15" x14ac:dyDescent="0.2">
      <c r="A2464" s="7">
        <v>589301</v>
      </c>
      <c r="B2464" s="3" t="s">
        <v>267</v>
      </c>
      <c r="C2464" s="29">
        <f>ROUND(Balances[[#This Row],[Total]]*40%,0)</f>
        <v>0</v>
      </c>
      <c r="D2464" s="29">
        <f>ROUND(Balances[[#This Row],[Total]]*20%,0)</f>
        <v>0</v>
      </c>
      <c r="E2464" s="29">
        <f>ROUND(Balances[[#This Row],[Total]]*40%,0)</f>
        <v>0</v>
      </c>
      <c r="F2464" s="18">
        <f>SUM(Acueducto[[#This Row],[Acueducto]:[Aseo]])</f>
        <v>0</v>
      </c>
    </row>
    <row r="2465" spans="1:6" ht="15" x14ac:dyDescent="0.2">
      <c r="A2465" s="6">
        <v>5894</v>
      </c>
      <c r="B2465" s="2" t="s">
        <v>1412</v>
      </c>
      <c r="C2465" s="28">
        <f>ROUND(Balances[[#This Row],[Total]]*40%,0)</f>
        <v>0</v>
      </c>
      <c r="D2465" s="28">
        <f>ROUND(Balances[[#This Row],[Total]]*20%,0)</f>
        <v>0</v>
      </c>
      <c r="E2465" s="28">
        <f>ROUND(Balances[[#This Row],[Total]]*40%,0)</f>
        <v>0</v>
      </c>
      <c r="F2465" s="17">
        <f>SUM(Acueducto[[#This Row],[Acueducto]:[Aseo]])</f>
        <v>0</v>
      </c>
    </row>
    <row r="2466" spans="1:6" ht="15" x14ac:dyDescent="0.2">
      <c r="A2466" s="7">
        <v>589401</v>
      </c>
      <c r="B2466" s="3" t="s">
        <v>121</v>
      </c>
      <c r="C2466" s="29">
        <f>ROUND(Balances[[#This Row],[Total]]*40%,0)</f>
        <v>0</v>
      </c>
      <c r="D2466" s="29">
        <f>ROUND(Balances[[#This Row],[Total]]*20%,0)</f>
        <v>0</v>
      </c>
      <c r="E2466" s="29">
        <f>ROUND(Balances[[#This Row],[Total]]*40%,0)</f>
        <v>0</v>
      </c>
      <c r="F2466" s="18">
        <f>SUM(Acueducto[[#This Row],[Acueducto]:[Aseo]])</f>
        <v>0</v>
      </c>
    </row>
    <row r="2467" spans="1:6" ht="15" x14ac:dyDescent="0.2">
      <c r="A2467" s="7">
        <v>589402</v>
      </c>
      <c r="B2467" s="3" t="s">
        <v>1030</v>
      </c>
      <c r="C2467" s="29">
        <f>ROUND(Balances[[#This Row],[Total]]*40%,0)</f>
        <v>0</v>
      </c>
      <c r="D2467" s="29">
        <f>ROUND(Balances[[#This Row],[Total]]*20%,0)</f>
        <v>0</v>
      </c>
      <c r="E2467" s="29">
        <f>ROUND(Balances[[#This Row],[Total]]*40%,0)</f>
        <v>0</v>
      </c>
      <c r="F2467" s="18">
        <f>SUM(Acueducto[[#This Row],[Acueducto]:[Aseo]])</f>
        <v>0</v>
      </c>
    </row>
    <row r="2468" spans="1:6" ht="15" x14ac:dyDescent="0.2">
      <c r="A2468" s="7">
        <v>589403</v>
      </c>
      <c r="B2468" s="3" t="s">
        <v>117</v>
      </c>
      <c r="C2468" s="29">
        <f>ROUND(Balances[[#This Row],[Total]]*40%,0)</f>
        <v>0</v>
      </c>
      <c r="D2468" s="29">
        <f>ROUND(Balances[[#This Row],[Total]]*20%,0)</f>
        <v>0</v>
      </c>
      <c r="E2468" s="29">
        <f>ROUND(Balances[[#This Row],[Total]]*40%,0)</f>
        <v>0</v>
      </c>
      <c r="F2468" s="18">
        <f>SUM(Acueducto[[#This Row],[Acueducto]:[Aseo]])</f>
        <v>0</v>
      </c>
    </row>
    <row r="2469" spans="1:6" ht="15" x14ac:dyDescent="0.2">
      <c r="A2469" s="7">
        <v>589404</v>
      </c>
      <c r="B2469" s="3" t="s">
        <v>118</v>
      </c>
      <c r="C2469" s="29">
        <f>ROUND(Balances[[#This Row],[Total]]*40%,0)</f>
        <v>0</v>
      </c>
      <c r="D2469" s="29">
        <f>ROUND(Balances[[#This Row],[Total]]*20%,0)</f>
        <v>0</v>
      </c>
      <c r="E2469" s="29">
        <f>ROUND(Balances[[#This Row],[Total]]*40%,0)</f>
        <v>0</v>
      </c>
      <c r="F2469" s="18">
        <f>SUM(Acueducto[[#This Row],[Acueducto]:[Aseo]])</f>
        <v>0</v>
      </c>
    </row>
    <row r="2470" spans="1:6" ht="15" x14ac:dyDescent="0.2">
      <c r="A2470" s="7">
        <v>589405</v>
      </c>
      <c r="B2470" s="3" t="s">
        <v>119</v>
      </c>
      <c r="C2470" s="29">
        <f>ROUND(Balances[[#This Row],[Total]]*40%,0)</f>
        <v>0</v>
      </c>
      <c r="D2470" s="29">
        <f>ROUND(Balances[[#This Row],[Total]]*20%,0)</f>
        <v>0</v>
      </c>
      <c r="E2470" s="29">
        <f>ROUND(Balances[[#This Row],[Total]]*40%,0)</f>
        <v>0</v>
      </c>
      <c r="F2470" s="18">
        <f>SUM(Acueducto[[#This Row],[Acueducto]:[Aseo]])</f>
        <v>0</v>
      </c>
    </row>
    <row r="2471" spans="1:6" ht="15" x14ac:dyDescent="0.2">
      <c r="A2471" s="7">
        <v>589406</v>
      </c>
      <c r="B2471" s="3" t="s">
        <v>120</v>
      </c>
      <c r="C2471" s="29">
        <f>ROUND(Balances[[#This Row],[Total]]*40%,0)</f>
        <v>0</v>
      </c>
      <c r="D2471" s="29">
        <f>ROUND(Balances[[#This Row],[Total]]*20%,0)</f>
        <v>0</v>
      </c>
      <c r="E2471" s="29">
        <f>ROUND(Balances[[#This Row],[Total]]*40%,0)</f>
        <v>0</v>
      </c>
      <c r="F2471" s="18">
        <f>SUM(Acueducto[[#This Row],[Acueducto]:[Aseo]])</f>
        <v>0</v>
      </c>
    </row>
    <row r="2472" spans="1:6" ht="15" x14ac:dyDescent="0.2">
      <c r="A2472" s="6">
        <v>5895</v>
      </c>
      <c r="B2472" s="2" t="s">
        <v>1413</v>
      </c>
      <c r="C2472" s="28">
        <f>ROUND(Balances[[#This Row],[Total]]*40%,0)</f>
        <v>0</v>
      </c>
      <c r="D2472" s="28">
        <f>ROUND(Balances[[#This Row],[Total]]*20%,0)</f>
        <v>0</v>
      </c>
      <c r="E2472" s="28">
        <f>ROUND(Balances[[#This Row],[Total]]*40%,0)</f>
        <v>0</v>
      </c>
      <c r="F2472" s="17">
        <f>SUM(Acueducto[[#This Row],[Acueducto]:[Aseo]])</f>
        <v>0</v>
      </c>
    </row>
    <row r="2473" spans="1:6" ht="15" x14ac:dyDescent="0.2">
      <c r="A2473" s="7">
        <v>589502</v>
      </c>
      <c r="B2473" s="3" t="s">
        <v>152</v>
      </c>
      <c r="C2473" s="29">
        <f>ROUND(Balances[[#This Row],[Total]]*40%,0)</f>
        <v>0</v>
      </c>
      <c r="D2473" s="29">
        <f>ROUND(Balances[[#This Row],[Total]]*20%,0)</f>
        <v>0</v>
      </c>
      <c r="E2473" s="29">
        <f>ROUND(Balances[[#This Row],[Total]]*40%,0)</f>
        <v>0</v>
      </c>
      <c r="F2473" s="18">
        <f>SUM(Acueducto[[#This Row],[Acueducto]:[Aseo]])</f>
        <v>0</v>
      </c>
    </row>
    <row r="2474" spans="1:6" ht="15" x14ac:dyDescent="0.2">
      <c r="A2474" s="7">
        <v>589503</v>
      </c>
      <c r="B2474" s="3" t="s">
        <v>156</v>
      </c>
      <c r="C2474" s="29">
        <f>ROUND(Balances[[#This Row],[Total]]*40%,0)</f>
        <v>0</v>
      </c>
      <c r="D2474" s="29">
        <f>ROUND(Balances[[#This Row],[Total]]*20%,0)</f>
        <v>0</v>
      </c>
      <c r="E2474" s="29">
        <f>ROUND(Balances[[#This Row],[Total]]*40%,0)</f>
        <v>0</v>
      </c>
      <c r="F2474" s="18">
        <f>SUM(Acueducto[[#This Row],[Acueducto]:[Aseo]])</f>
        <v>0</v>
      </c>
    </row>
    <row r="2475" spans="1:6" ht="15" x14ac:dyDescent="0.2">
      <c r="A2475" s="7">
        <v>589504</v>
      </c>
      <c r="B2475" s="3" t="s">
        <v>123</v>
      </c>
      <c r="C2475" s="29">
        <f>ROUND(Balances[[#This Row],[Total]]*40%,0)</f>
        <v>0</v>
      </c>
      <c r="D2475" s="29">
        <f>ROUND(Balances[[#This Row],[Total]]*20%,0)</f>
        <v>0</v>
      </c>
      <c r="E2475" s="29">
        <f>ROUND(Balances[[#This Row],[Total]]*40%,0)</f>
        <v>0</v>
      </c>
      <c r="F2475" s="18">
        <f>SUM(Acueducto[[#This Row],[Acueducto]:[Aseo]])</f>
        <v>0</v>
      </c>
    </row>
    <row r="2476" spans="1:6" ht="15" x14ac:dyDescent="0.2">
      <c r="A2476" s="7">
        <v>589505</v>
      </c>
      <c r="B2476" s="3" t="s">
        <v>157</v>
      </c>
      <c r="C2476" s="29">
        <f>ROUND(Balances[[#This Row],[Total]]*40%,0)</f>
        <v>0</v>
      </c>
      <c r="D2476" s="29">
        <f>ROUND(Balances[[#This Row],[Total]]*20%,0)</f>
        <v>0</v>
      </c>
      <c r="E2476" s="29">
        <f>ROUND(Balances[[#This Row],[Total]]*40%,0)</f>
        <v>0</v>
      </c>
      <c r="F2476" s="18">
        <f>SUM(Acueducto[[#This Row],[Acueducto]:[Aseo]])</f>
        <v>0</v>
      </c>
    </row>
    <row r="2477" spans="1:6" ht="15" x14ac:dyDescent="0.2">
      <c r="A2477" s="7">
        <v>589506</v>
      </c>
      <c r="B2477" s="3" t="s">
        <v>124</v>
      </c>
      <c r="C2477" s="29">
        <f>ROUND(Balances[[#This Row],[Total]]*40%,0)</f>
        <v>0</v>
      </c>
      <c r="D2477" s="29">
        <f>ROUND(Balances[[#This Row],[Total]]*20%,0)</f>
        <v>0</v>
      </c>
      <c r="E2477" s="29">
        <f>ROUND(Balances[[#This Row],[Total]]*40%,0)</f>
        <v>0</v>
      </c>
      <c r="F2477" s="18">
        <f>SUM(Acueducto[[#This Row],[Acueducto]:[Aseo]])</f>
        <v>0</v>
      </c>
    </row>
    <row r="2478" spans="1:6" ht="15" x14ac:dyDescent="0.2">
      <c r="A2478" s="7">
        <v>589507</v>
      </c>
      <c r="B2478" s="3" t="s">
        <v>125</v>
      </c>
      <c r="C2478" s="29">
        <f>ROUND(Balances[[#This Row],[Total]]*40%,0)</f>
        <v>0</v>
      </c>
      <c r="D2478" s="29">
        <f>ROUND(Balances[[#This Row],[Total]]*20%,0)</f>
        <v>0</v>
      </c>
      <c r="E2478" s="29">
        <f>ROUND(Balances[[#This Row],[Total]]*40%,0)</f>
        <v>0</v>
      </c>
      <c r="F2478" s="18">
        <f>SUM(Acueducto[[#This Row],[Acueducto]:[Aseo]])</f>
        <v>0</v>
      </c>
    </row>
    <row r="2479" spans="1:6" ht="15" x14ac:dyDescent="0.2">
      <c r="A2479" s="7">
        <v>589509</v>
      </c>
      <c r="B2479" s="3" t="s">
        <v>1148</v>
      </c>
      <c r="C2479" s="29">
        <f>ROUND(Balances[[#This Row],[Total]]*40%,0)</f>
        <v>0</v>
      </c>
      <c r="D2479" s="29">
        <f>ROUND(Balances[[#This Row],[Total]]*20%,0)</f>
        <v>0</v>
      </c>
      <c r="E2479" s="29">
        <f>ROUND(Balances[[#This Row],[Total]]*40%,0)</f>
        <v>0</v>
      </c>
      <c r="F2479" s="18">
        <f>SUM(Acueducto[[#This Row],[Acueducto]:[Aseo]])</f>
        <v>0</v>
      </c>
    </row>
    <row r="2480" spans="1:6" ht="15" x14ac:dyDescent="0.2">
      <c r="A2480" s="7">
        <v>589511</v>
      </c>
      <c r="B2480" s="3" t="s">
        <v>153</v>
      </c>
      <c r="C2480" s="29">
        <f>ROUND(Balances[[#This Row],[Total]]*40%,0)</f>
        <v>0</v>
      </c>
      <c r="D2480" s="29">
        <f>ROUND(Balances[[#This Row],[Total]]*20%,0)</f>
        <v>0</v>
      </c>
      <c r="E2480" s="29">
        <f>ROUND(Balances[[#This Row],[Total]]*40%,0)</f>
        <v>0</v>
      </c>
      <c r="F2480" s="18">
        <f>SUM(Acueducto[[#This Row],[Acueducto]:[Aseo]])</f>
        <v>0</v>
      </c>
    </row>
    <row r="2481" spans="1:6" ht="15" x14ac:dyDescent="0.2">
      <c r="A2481" s="7">
        <v>589512</v>
      </c>
      <c r="B2481" s="3" t="s">
        <v>154</v>
      </c>
      <c r="C2481" s="29">
        <f>ROUND(Balances[[#This Row],[Total]]*40%,0)</f>
        <v>0</v>
      </c>
      <c r="D2481" s="29">
        <f>ROUND(Balances[[#This Row],[Total]]*20%,0)</f>
        <v>0</v>
      </c>
      <c r="E2481" s="29">
        <f>ROUND(Balances[[#This Row],[Total]]*40%,0)</f>
        <v>0</v>
      </c>
      <c r="F2481" s="18">
        <f>SUM(Acueducto[[#This Row],[Acueducto]:[Aseo]])</f>
        <v>0</v>
      </c>
    </row>
    <row r="2482" spans="1:6" ht="15" x14ac:dyDescent="0.2">
      <c r="A2482" s="7">
        <v>589513</v>
      </c>
      <c r="B2482" s="3" t="s">
        <v>155</v>
      </c>
      <c r="C2482" s="29">
        <f>ROUND(Balances[[#This Row],[Total]]*40%,0)</f>
        <v>0</v>
      </c>
      <c r="D2482" s="29">
        <f>ROUND(Balances[[#This Row],[Total]]*20%,0)</f>
        <v>0</v>
      </c>
      <c r="E2482" s="29">
        <f>ROUND(Balances[[#This Row],[Total]]*40%,0)</f>
        <v>0</v>
      </c>
      <c r="F2482" s="18">
        <f>SUM(Acueducto[[#This Row],[Acueducto]:[Aseo]])</f>
        <v>0</v>
      </c>
    </row>
    <row r="2483" spans="1:6" ht="15" x14ac:dyDescent="0.2">
      <c r="A2483" s="7">
        <v>589514</v>
      </c>
      <c r="B2483" s="3" t="s">
        <v>127</v>
      </c>
      <c r="C2483" s="29">
        <f>ROUND(Balances[[#This Row],[Total]]*40%,0)</f>
        <v>0</v>
      </c>
      <c r="D2483" s="29">
        <f>ROUND(Balances[[#This Row],[Total]]*20%,0)</f>
        <v>0</v>
      </c>
      <c r="E2483" s="29">
        <f>ROUND(Balances[[#This Row],[Total]]*40%,0)</f>
        <v>0</v>
      </c>
      <c r="F2483" s="18">
        <f>SUM(Acueducto[[#This Row],[Acueducto]:[Aseo]])</f>
        <v>0</v>
      </c>
    </row>
    <row r="2484" spans="1:6" ht="15" x14ac:dyDescent="0.2">
      <c r="A2484" s="7">
        <v>589515</v>
      </c>
      <c r="B2484" s="3" t="s">
        <v>128</v>
      </c>
      <c r="C2484" s="29">
        <f>ROUND(Balances[[#This Row],[Total]]*40%,0)</f>
        <v>0</v>
      </c>
      <c r="D2484" s="29">
        <f>ROUND(Balances[[#This Row],[Total]]*20%,0)</f>
        <v>0</v>
      </c>
      <c r="E2484" s="29">
        <f>ROUND(Balances[[#This Row],[Total]]*40%,0)</f>
        <v>0</v>
      </c>
      <c r="F2484" s="18">
        <f>SUM(Acueducto[[#This Row],[Acueducto]:[Aseo]])</f>
        <v>0</v>
      </c>
    </row>
    <row r="2485" spans="1:6" ht="15" x14ac:dyDescent="0.2">
      <c r="A2485" s="7">
        <v>589516</v>
      </c>
      <c r="B2485" s="3" t="s">
        <v>150</v>
      </c>
      <c r="C2485" s="29">
        <f>ROUND(Balances[[#This Row],[Total]]*40%,0)</f>
        <v>0</v>
      </c>
      <c r="D2485" s="29">
        <f>ROUND(Balances[[#This Row],[Total]]*20%,0)</f>
        <v>0</v>
      </c>
      <c r="E2485" s="29">
        <f>ROUND(Balances[[#This Row],[Total]]*40%,0)</f>
        <v>0</v>
      </c>
      <c r="F2485" s="18">
        <f>SUM(Acueducto[[#This Row],[Acueducto]:[Aseo]])</f>
        <v>0</v>
      </c>
    </row>
    <row r="2486" spans="1:6" ht="15" x14ac:dyDescent="0.2">
      <c r="A2486" s="6">
        <v>5897</v>
      </c>
      <c r="B2486" s="2" t="s">
        <v>1414</v>
      </c>
      <c r="C2486" s="28">
        <f>ROUND(Balances[[#This Row],[Total]]*40%,0)</f>
        <v>0</v>
      </c>
      <c r="D2486" s="28">
        <f>ROUND(Balances[[#This Row],[Total]]*20%,0)</f>
        <v>0</v>
      </c>
      <c r="E2486" s="28">
        <f>ROUND(Balances[[#This Row],[Total]]*40%,0)</f>
        <v>0</v>
      </c>
      <c r="F2486" s="17">
        <f>SUM(Acueducto[[#This Row],[Acueducto]:[Aseo]])</f>
        <v>0</v>
      </c>
    </row>
    <row r="2487" spans="1:6" ht="15" x14ac:dyDescent="0.2">
      <c r="A2487" s="7">
        <v>589701</v>
      </c>
      <c r="B2487" s="3" t="s">
        <v>359</v>
      </c>
      <c r="C2487" s="29">
        <f>ROUND(Balances[[#This Row],[Total]]*40%,0)</f>
        <v>0</v>
      </c>
      <c r="D2487" s="29">
        <f>ROUND(Balances[[#This Row],[Total]]*20%,0)</f>
        <v>0</v>
      </c>
      <c r="E2487" s="29">
        <f>ROUND(Balances[[#This Row],[Total]]*40%,0)</f>
        <v>0</v>
      </c>
      <c r="F2487" s="18">
        <f>SUM(Acueducto[[#This Row],[Acueducto]:[Aseo]])</f>
        <v>0</v>
      </c>
    </row>
    <row r="2488" spans="1:6" ht="15" x14ac:dyDescent="0.2">
      <c r="A2488" s="7">
        <v>589723</v>
      </c>
      <c r="B2488" s="3" t="s">
        <v>724</v>
      </c>
      <c r="C2488" s="29">
        <f>ROUND(Balances[[#This Row],[Total]]*40%,0)</f>
        <v>0</v>
      </c>
      <c r="D2488" s="29">
        <f>ROUND(Balances[[#This Row],[Total]]*20%,0)</f>
        <v>0</v>
      </c>
      <c r="E2488" s="29">
        <f>ROUND(Balances[[#This Row],[Total]]*40%,0)</f>
        <v>0</v>
      </c>
      <c r="F2488" s="18">
        <f>SUM(Acueducto[[#This Row],[Acueducto]:[Aseo]])</f>
        <v>0</v>
      </c>
    </row>
    <row r="2489" spans="1:6" ht="15" x14ac:dyDescent="0.2">
      <c r="A2489" s="6">
        <v>59</v>
      </c>
      <c r="B2489" s="2" t="s">
        <v>1415</v>
      </c>
      <c r="C2489" s="28">
        <f>ROUND(Balances[[#This Row],[Total]]*40%,0)</f>
        <v>0</v>
      </c>
      <c r="D2489" s="28">
        <f>ROUND(Balances[[#This Row],[Total]]*20%,0)</f>
        <v>0</v>
      </c>
      <c r="E2489" s="28">
        <f>ROUND(Balances[[#This Row],[Total]]*40%,0)</f>
        <v>0</v>
      </c>
      <c r="F2489" s="17">
        <f>SUM(Acueducto[[#This Row],[Acueducto]:[Aseo]])</f>
        <v>0</v>
      </c>
    </row>
    <row r="2490" spans="1:6" ht="15" x14ac:dyDescent="0.2">
      <c r="A2490" s="6">
        <v>5905</v>
      </c>
      <c r="B2490" s="2" t="s">
        <v>1415</v>
      </c>
      <c r="C2490" s="28">
        <f>ROUND(Balances[[#This Row],[Total]]*40%,0)</f>
        <v>0</v>
      </c>
      <c r="D2490" s="28">
        <f>ROUND(Balances[[#This Row],[Total]]*20%,0)</f>
        <v>0</v>
      </c>
      <c r="E2490" s="28">
        <f>ROUND(Balances[[#This Row],[Total]]*40%,0)</f>
        <v>0</v>
      </c>
      <c r="F2490" s="17">
        <f>SUM(Acueducto[[#This Row],[Acueducto]:[Aseo]])</f>
        <v>0</v>
      </c>
    </row>
    <row r="2491" spans="1:6" ht="15" x14ac:dyDescent="0.2">
      <c r="A2491" s="7">
        <v>590501</v>
      </c>
      <c r="B2491" s="3" t="s">
        <v>1416</v>
      </c>
      <c r="C2491" s="29">
        <f>ROUND(Balances[[#This Row],[Total]]*40%,0)</f>
        <v>0</v>
      </c>
      <c r="D2491" s="29">
        <f>ROUND(Balances[[#This Row],[Total]]*20%,0)</f>
        <v>0</v>
      </c>
      <c r="E2491" s="29">
        <f>ROUND(Balances[[#This Row],[Total]]*40%,0)</f>
        <v>0</v>
      </c>
      <c r="F2491" s="18">
        <f>SUM(Acueducto[[#This Row],[Acueducto]:[Aseo]])</f>
        <v>0</v>
      </c>
    </row>
    <row r="2492" spans="1:6" ht="15" x14ac:dyDescent="0.2">
      <c r="A2492" s="6">
        <v>6</v>
      </c>
      <c r="B2492" s="2" t="s">
        <v>1417</v>
      </c>
      <c r="C2492" s="28">
        <f>ROUND(Balances[[#This Row],[Total]]*40%,0)</f>
        <v>123482730</v>
      </c>
      <c r="D2492" s="28">
        <f>ROUND(Balances[[#This Row],[Total]]*20%,0)</f>
        <v>61741365</v>
      </c>
      <c r="E2492" s="28">
        <f>ROUND(Balances[[#This Row],[Total]]*40%,0)</f>
        <v>123482730</v>
      </c>
      <c r="F2492" s="28">
        <f>SUM(Acueducto[[#This Row],[Acueducto]:[Aseo]])</f>
        <v>308706825</v>
      </c>
    </row>
    <row r="2493" spans="1:6" ht="15" x14ac:dyDescent="0.2">
      <c r="A2493" s="6">
        <v>62</v>
      </c>
      <c r="B2493" s="2" t="s">
        <v>1418</v>
      </c>
      <c r="C2493" s="28">
        <f>ROUND(Balances[[#This Row],[Total]]*40%,0)</f>
        <v>0</v>
      </c>
      <c r="D2493" s="28">
        <f>ROUND(Balances[[#This Row],[Total]]*20%,0)</f>
        <v>0</v>
      </c>
      <c r="E2493" s="28">
        <f>ROUND(Balances[[#This Row],[Total]]*40%,0)</f>
        <v>0</v>
      </c>
      <c r="F2493" s="17">
        <f>SUM(Acueducto[[#This Row],[Acueducto]:[Aseo]])</f>
        <v>0</v>
      </c>
    </row>
    <row r="2494" spans="1:6" ht="15" x14ac:dyDescent="0.2">
      <c r="A2494" s="6">
        <v>6205</v>
      </c>
      <c r="B2494" s="2" t="s">
        <v>292</v>
      </c>
      <c r="C2494" s="28">
        <f>ROUND(Balances[[#This Row],[Total]]*40%,0)</f>
        <v>0</v>
      </c>
      <c r="D2494" s="28">
        <f>ROUND(Balances[[#This Row],[Total]]*20%,0)</f>
        <v>0</v>
      </c>
      <c r="E2494" s="28">
        <f>ROUND(Balances[[#This Row],[Total]]*40%,0)</f>
        <v>0</v>
      </c>
      <c r="F2494" s="17">
        <f>SUM(Acueducto[[#This Row],[Acueducto]:[Aseo]])</f>
        <v>0</v>
      </c>
    </row>
    <row r="2495" spans="1:6" ht="15" x14ac:dyDescent="0.2">
      <c r="A2495" s="7">
        <v>620507</v>
      </c>
      <c r="B2495" s="3" t="s">
        <v>293</v>
      </c>
      <c r="C2495" s="29">
        <f>ROUND(Balances[[#This Row],[Total]]*40%,0)</f>
        <v>0</v>
      </c>
      <c r="D2495" s="29">
        <f>ROUND(Balances[[#This Row],[Total]]*20%,0)</f>
        <v>0</v>
      </c>
      <c r="E2495" s="29">
        <f>ROUND(Balances[[#This Row],[Total]]*40%,0)</f>
        <v>0</v>
      </c>
      <c r="F2495" s="18">
        <f>SUM(Acueducto[[#This Row],[Acueducto]:[Aseo]])</f>
        <v>0</v>
      </c>
    </row>
    <row r="2496" spans="1:6" ht="15" x14ac:dyDescent="0.2">
      <c r="A2496" s="7">
        <v>620511</v>
      </c>
      <c r="B2496" s="3" t="s">
        <v>295</v>
      </c>
      <c r="C2496" s="29">
        <f>ROUND(Balances[[#This Row],[Total]]*40%,0)</f>
        <v>0</v>
      </c>
      <c r="D2496" s="29">
        <f>ROUND(Balances[[#This Row],[Total]]*20%,0)</f>
        <v>0</v>
      </c>
      <c r="E2496" s="29">
        <f>ROUND(Balances[[#This Row],[Total]]*40%,0)</f>
        <v>0</v>
      </c>
      <c r="F2496" s="18">
        <f>SUM(Acueducto[[#This Row],[Acueducto]:[Aseo]])</f>
        <v>0</v>
      </c>
    </row>
    <row r="2497" spans="1:6" ht="15" x14ac:dyDescent="0.2">
      <c r="A2497" s="7">
        <v>620513</v>
      </c>
      <c r="B2497" s="3" t="s">
        <v>296</v>
      </c>
      <c r="C2497" s="29">
        <f>ROUND(Balances[[#This Row],[Total]]*40%,0)</f>
        <v>0</v>
      </c>
      <c r="D2497" s="29">
        <f>ROUND(Balances[[#This Row],[Total]]*20%,0)</f>
        <v>0</v>
      </c>
      <c r="E2497" s="29">
        <f>ROUND(Balances[[#This Row],[Total]]*40%,0)</f>
        <v>0</v>
      </c>
      <c r="F2497" s="18">
        <f>SUM(Acueducto[[#This Row],[Acueducto]:[Aseo]])</f>
        <v>0</v>
      </c>
    </row>
    <row r="2498" spans="1:6" ht="15" x14ac:dyDescent="0.2">
      <c r="A2498" s="7">
        <v>620514</v>
      </c>
      <c r="B2498" s="3" t="s">
        <v>300</v>
      </c>
      <c r="C2498" s="29">
        <f>ROUND(Balances[[#This Row],[Total]]*40%,0)</f>
        <v>0</v>
      </c>
      <c r="D2498" s="29">
        <f>ROUND(Balances[[#This Row],[Total]]*20%,0)</f>
        <v>0</v>
      </c>
      <c r="E2498" s="29">
        <f>ROUND(Balances[[#This Row],[Total]]*40%,0)</f>
        <v>0</v>
      </c>
      <c r="F2498" s="18">
        <f>SUM(Acueducto[[#This Row],[Acueducto]:[Aseo]])</f>
        <v>0</v>
      </c>
    </row>
    <row r="2499" spans="1:6" ht="15" x14ac:dyDescent="0.2">
      <c r="A2499" s="7">
        <v>620515</v>
      </c>
      <c r="B2499" s="3" t="s">
        <v>297</v>
      </c>
      <c r="C2499" s="29">
        <f>ROUND(Balances[[#This Row],[Total]]*40%,0)</f>
        <v>0</v>
      </c>
      <c r="D2499" s="29">
        <f>ROUND(Balances[[#This Row],[Total]]*20%,0)</f>
        <v>0</v>
      </c>
      <c r="E2499" s="29">
        <f>ROUND(Balances[[#This Row],[Total]]*40%,0)</f>
        <v>0</v>
      </c>
      <c r="F2499" s="18">
        <f>SUM(Acueducto[[#This Row],[Acueducto]:[Aseo]])</f>
        <v>0</v>
      </c>
    </row>
    <row r="2500" spans="1:6" ht="15" x14ac:dyDescent="0.2">
      <c r="A2500" s="7">
        <v>620516</v>
      </c>
      <c r="B2500" s="3" t="s">
        <v>301</v>
      </c>
      <c r="C2500" s="29">
        <f>ROUND(Balances[[#This Row],[Total]]*40%,0)</f>
        <v>0</v>
      </c>
      <c r="D2500" s="29">
        <f>ROUND(Balances[[#This Row],[Total]]*20%,0)</f>
        <v>0</v>
      </c>
      <c r="E2500" s="29">
        <f>ROUND(Balances[[#This Row],[Total]]*40%,0)</f>
        <v>0</v>
      </c>
      <c r="F2500" s="18">
        <f>SUM(Acueducto[[#This Row],[Acueducto]:[Aseo]])</f>
        <v>0</v>
      </c>
    </row>
    <row r="2501" spans="1:6" ht="15" x14ac:dyDescent="0.2">
      <c r="A2501" s="7">
        <v>620517</v>
      </c>
      <c r="B2501" s="3" t="s">
        <v>299</v>
      </c>
      <c r="C2501" s="29">
        <f>ROUND(Balances[[#This Row],[Total]]*40%,0)</f>
        <v>0</v>
      </c>
      <c r="D2501" s="29">
        <f>ROUND(Balances[[#This Row],[Total]]*20%,0)</f>
        <v>0</v>
      </c>
      <c r="E2501" s="29">
        <f>ROUND(Balances[[#This Row],[Total]]*40%,0)</f>
        <v>0</v>
      </c>
      <c r="F2501" s="18">
        <f>SUM(Acueducto[[#This Row],[Acueducto]:[Aseo]])</f>
        <v>0</v>
      </c>
    </row>
    <row r="2502" spans="1:6" ht="15" x14ac:dyDescent="0.2">
      <c r="A2502" s="7">
        <v>620518</v>
      </c>
      <c r="B2502" s="3" t="s">
        <v>302</v>
      </c>
      <c r="C2502" s="29">
        <f>ROUND(Balances[[#This Row],[Total]]*40%,0)</f>
        <v>0</v>
      </c>
      <c r="D2502" s="29">
        <f>ROUND(Balances[[#This Row],[Total]]*20%,0)</f>
        <v>0</v>
      </c>
      <c r="E2502" s="29">
        <f>ROUND(Balances[[#This Row],[Total]]*40%,0)</f>
        <v>0</v>
      </c>
      <c r="F2502" s="18">
        <f>SUM(Acueducto[[#This Row],[Acueducto]:[Aseo]])</f>
        <v>0</v>
      </c>
    </row>
    <row r="2503" spans="1:6" ht="15" x14ac:dyDescent="0.2">
      <c r="A2503" s="7">
        <v>620519</v>
      </c>
      <c r="B2503" s="3" t="s">
        <v>294</v>
      </c>
      <c r="C2503" s="29">
        <f>ROUND(Balances[[#This Row],[Total]]*40%,0)</f>
        <v>0</v>
      </c>
      <c r="D2503" s="29">
        <f>ROUND(Balances[[#This Row],[Total]]*20%,0)</f>
        <v>0</v>
      </c>
      <c r="E2503" s="29">
        <f>ROUND(Balances[[#This Row],[Total]]*40%,0)</f>
        <v>0</v>
      </c>
      <c r="F2503" s="18">
        <f>SUM(Acueducto[[#This Row],[Acueducto]:[Aseo]])</f>
        <v>0</v>
      </c>
    </row>
    <row r="2504" spans="1:6" ht="15" x14ac:dyDescent="0.2">
      <c r="A2504" s="7">
        <v>620520</v>
      </c>
      <c r="B2504" s="3" t="s">
        <v>298</v>
      </c>
      <c r="C2504" s="29">
        <f>ROUND(Balances[[#This Row],[Total]]*40%,0)</f>
        <v>0</v>
      </c>
      <c r="D2504" s="29">
        <f>ROUND(Balances[[#This Row],[Total]]*20%,0)</f>
        <v>0</v>
      </c>
      <c r="E2504" s="29">
        <f>ROUND(Balances[[#This Row],[Total]]*40%,0)</f>
        <v>0</v>
      </c>
      <c r="F2504" s="18">
        <f>SUM(Acueducto[[#This Row],[Acueducto]:[Aseo]])</f>
        <v>0</v>
      </c>
    </row>
    <row r="2505" spans="1:6" ht="15" x14ac:dyDescent="0.2">
      <c r="A2505" s="7">
        <v>620521</v>
      </c>
      <c r="B2505" s="3" t="s">
        <v>120</v>
      </c>
      <c r="C2505" s="29">
        <f>ROUND(Balances[[#This Row],[Total]]*40%,0)</f>
        <v>0</v>
      </c>
      <c r="D2505" s="29">
        <f>ROUND(Balances[[#This Row],[Total]]*20%,0)</f>
        <v>0</v>
      </c>
      <c r="E2505" s="29">
        <f>ROUND(Balances[[#This Row],[Total]]*40%,0)</f>
        <v>0</v>
      </c>
      <c r="F2505" s="18">
        <f>SUM(Acueducto[[#This Row],[Acueducto]:[Aseo]])</f>
        <v>0</v>
      </c>
    </row>
    <row r="2506" spans="1:6" ht="15" x14ac:dyDescent="0.2">
      <c r="A2506" s="7">
        <v>620528</v>
      </c>
      <c r="B2506" s="3" t="s">
        <v>303</v>
      </c>
      <c r="C2506" s="29">
        <f>ROUND(Balances[[#This Row],[Total]]*40%,0)</f>
        <v>0</v>
      </c>
      <c r="D2506" s="29">
        <f>ROUND(Balances[[#This Row],[Total]]*20%,0)</f>
        <v>0</v>
      </c>
      <c r="E2506" s="29">
        <f>ROUND(Balances[[#This Row],[Total]]*40%,0)</f>
        <v>0</v>
      </c>
      <c r="F2506" s="18">
        <f>SUM(Acueducto[[#This Row],[Acueducto]:[Aseo]])</f>
        <v>0</v>
      </c>
    </row>
    <row r="2507" spans="1:6" ht="15" x14ac:dyDescent="0.2">
      <c r="A2507" s="7">
        <v>620529</v>
      </c>
      <c r="B2507" s="3" t="s">
        <v>116</v>
      </c>
      <c r="C2507" s="29">
        <f>ROUND(Balances[[#This Row],[Total]]*40%,0)</f>
        <v>0</v>
      </c>
      <c r="D2507" s="29">
        <f>ROUND(Balances[[#This Row],[Total]]*20%,0)</f>
        <v>0</v>
      </c>
      <c r="E2507" s="29">
        <f>ROUND(Balances[[#This Row],[Total]]*40%,0)</f>
        <v>0</v>
      </c>
      <c r="F2507" s="18">
        <f>SUM(Acueducto[[#This Row],[Acueducto]:[Aseo]])</f>
        <v>0</v>
      </c>
    </row>
    <row r="2508" spans="1:6" ht="15" x14ac:dyDescent="0.2">
      <c r="A2508" s="7">
        <v>620590</v>
      </c>
      <c r="B2508" s="3" t="s">
        <v>304</v>
      </c>
      <c r="C2508" s="29">
        <f>ROUND(Balances[[#This Row],[Total]]*40%,0)</f>
        <v>0</v>
      </c>
      <c r="D2508" s="29">
        <f>ROUND(Balances[[#This Row],[Total]]*20%,0)</f>
        <v>0</v>
      </c>
      <c r="E2508" s="29">
        <f>ROUND(Balances[[#This Row],[Total]]*40%,0)</f>
        <v>0</v>
      </c>
      <c r="F2508" s="18">
        <f>SUM(Acueducto[[#This Row],[Acueducto]:[Aseo]])</f>
        <v>0</v>
      </c>
    </row>
    <row r="2509" spans="1:6" ht="15" x14ac:dyDescent="0.2">
      <c r="A2509" s="6">
        <v>6210</v>
      </c>
      <c r="B2509" s="2" t="s">
        <v>1026</v>
      </c>
      <c r="C2509" s="28">
        <f>ROUND(Balances[[#This Row],[Total]]*40%,0)</f>
        <v>0</v>
      </c>
      <c r="D2509" s="28">
        <f>ROUND(Balances[[#This Row],[Total]]*20%,0)</f>
        <v>0</v>
      </c>
      <c r="E2509" s="28">
        <f>ROUND(Balances[[#This Row],[Total]]*40%,0)</f>
        <v>0</v>
      </c>
      <c r="F2509" s="17">
        <f>SUM(Acueducto[[#This Row],[Acueducto]:[Aseo]])</f>
        <v>0</v>
      </c>
    </row>
    <row r="2510" spans="1:6" ht="15" x14ac:dyDescent="0.2">
      <c r="A2510" s="7">
        <v>621001</v>
      </c>
      <c r="B2510" s="3" t="s">
        <v>306</v>
      </c>
      <c r="C2510" s="29">
        <f>ROUND(Balances[[#This Row],[Total]]*40%,0)</f>
        <v>0</v>
      </c>
      <c r="D2510" s="29">
        <f>ROUND(Balances[[#This Row],[Total]]*20%,0)</f>
        <v>0</v>
      </c>
      <c r="E2510" s="29">
        <f>ROUND(Balances[[#This Row],[Total]]*40%,0)</f>
        <v>0</v>
      </c>
      <c r="F2510" s="18">
        <f>SUM(Acueducto[[#This Row],[Acueducto]:[Aseo]])</f>
        <v>0</v>
      </c>
    </row>
    <row r="2511" spans="1:6" ht="15" x14ac:dyDescent="0.2">
      <c r="A2511" s="7">
        <v>621002</v>
      </c>
      <c r="B2511" s="3" t="s">
        <v>120</v>
      </c>
      <c r="C2511" s="29">
        <f>ROUND(Balances[[#This Row],[Total]]*40%,0)</f>
        <v>0</v>
      </c>
      <c r="D2511" s="29">
        <f>ROUND(Balances[[#This Row],[Total]]*20%,0)</f>
        <v>0</v>
      </c>
      <c r="E2511" s="29">
        <f>ROUND(Balances[[#This Row],[Total]]*40%,0)</f>
        <v>0</v>
      </c>
      <c r="F2511" s="18">
        <f>SUM(Acueducto[[#This Row],[Acueducto]:[Aseo]])</f>
        <v>0</v>
      </c>
    </row>
    <row r="2512" spans="1:6" ht="15" x14ac:dyDescent="0.2">
      <c r="A2512" s="7">
        <v>621003</v>
      </c>
      <c r="B2512" s="3" t="s">
        <v>293</v>
      </c>
      <c r="C2512" s="29">
        <f>ROUND(Balances[[#This Row],[Total]]*40%,0)</f>
        <v>0</v>
      </c>
      <c r="D2512" s="29">
        <f>ROUND(Balances[[#This Row],[Total]]*20%,0)</f>
        <v>0</v>
      </c>
      <c r="E2512" s="29">
        <f>ROUND(Balances[[#This Row],[Total]]*40%,0)</f>
        <v>0</v>
      </c>
      <c r="F2512" s="18">
        <f>SUM(Acueducto[[#This Row],[Acueducto]:[Aseo]])</f>
        <v>0</v>
      </c>
    </row>
    <row r="2513" spans="1:6" ht="15" x14ac:dyDescent="0.2">
      <c r="A2513" s="7">
        <v>621008</v>
      </c>
      <c r="B2513" s="3" t="s">
        <v>295</v>
      </c>
      <c r="C2513" s="29">
        <f>ROUND(Balances[[#This Row],[Total]]*40%,0)</f>
        <v>0</v>
      </c>
      <c r="D2513" s="29">
        <f>ROUND(Balances[[#This Row],[Total]]*20%,0)</f>
        <v>0</v>
      </c>
      <c r="E2513" s="29">
        <f>ROUND(Balances[[#This Row],[Total]]*40%,0)</f>
        <v>0</v>
      </c>
      <c r="F2513" s="18">
        <f>SUM(Acueducto[[#This Row],[Acueducto]:[Aseo]])</f>
        <v>0</v>
      </c>
    </row>
    <row r="2514" spans="1:6" ht="15" x14ac:dyDescent="0.2">
      <c r="A2514" s="7">
        <v>621010</v>
      </c>
      <c r="B2514" s="3" t="s">
        <v>307</v>
      </c>
      <c r="C2514" s="29">
        <f>ROUND(Balances[[#This Row],[Total]]*40%,0)</f>
        <v>0</v>
      </c>
      <c r="D2514" s="29">
        <f>ROUND(Balances[[#This Row],[Total]]*20%,0)</f>
        <v>0</v>
      </c>
      <c r="E2514" s="29">
        <f>ROUND(Balances[[#This Row],[Total]]*40%,0)</f>
        <v>0</v>
      </c>
      <c r="F2514" s="18">
        <f>SUM(Acueducto[[#This Row],[Acueducto]:[Aseo]])</f>
        <v>0</v>
      </c>
    </row>
    <row r="2515" spans="1:6" ht="15" x14ac:dyDescent="0.2">
      <c r="A2515" s="7">
        <v>621011</v>
      </c>
      <c r="B2515" s="3" t="s">
        <v>308</v>
      </c>
      <c r="C2515" s="29">
        <f>ROUND(Balances[[#This Row],[Total]]*40%,0)</f>
        <v>0</v>
      </c>
      <c r="D2515" s="29">
        <f>ROUND(Balances[[#This Row],[Total]]*20%,0)</f>
        <v>0</v>
      </c>
      <c r="E2515" s="29">
        <f>ROUND(Balances[[#This Row],[Total]]*40%,0)</f>
        <v>0</v>
      </c>
      <c r="F2515" s="18">
        <f>SUM(Acueducto[[#This Row],[Acueducto]:[Aseo]])</f>
        <v>0</v>
      </c>
    </row>
    <row r="2516" spans="1:6" ht="15" x14ac:dyDescent="0.2">
      <c r="A2516" s="7">
        <v>621012</v>
      </c>
      <c r="B2516" s="3" t="s">
        <v>309</v>
      </c>
      <c r="C2516" s="29">
        <f>ROUND(Balances[[#This Row],[Total]]*40%,0)</f>
        <v>0</v>
      </c>
      <c r="D2516" s="29">
        <f>ROUND(Balances[[#This Row],[Total]]*20%,0)</f>
        <v>0</v>
      </c>
      <c r="E2516" s="29">
        <f>ROUND(Balances[[#This Row],[Total]]*40%,0)</f>
        <v>0</v>
      </c>
      <c r="F2516" s="18">
        <f>SUM(Acueducto[[#This Row],[Acueducto]:[Aseo]])</f>
        <v>0</v>
      </c>
    </row>
    <row r="2517" spans="1:6" ht="15" x14ac:dyDescent="0.2">
      <c r="A2517" s="7">
        <v>621013</v>
      </c>
      <c r="B2517" s="3" t="s">
        <v>294</v>
      </c>
      <c r="C2517" s="29">
        <f>ROUND(Balances[[#This Row],[Total]]*40%,0)</f>
        <v>0</v>
      </c>
      <c r="D2517" s="29">
        <f>ROUND(Balances[[#This Row],[Total]]*20%,0)</f>
        <v>0</v>
      </c>
      <c r="E2517" s="29">
        <f>ROUND(Balances[[#This Row],[Total]]*40%,0)</f>
        <v>0</v>
      </c>
      <c r="F2517" s="18">
        <f>SUM(Acueducto[[#This Row],[Acueducto]:[Aseo]])</f>
        <v>0</v>
      </c>
    </row>
    <row r="2518" spans="1:6" ht="15" x14ac:dyDescent="0.2">
      <c r="A2518" s="7">
        <v>621015</v>
      </c>
      <c r="B2518" s="3" t="s">
        <v>297</v>
      </c>
      <c r="C2518" s="29">
        <f>ROUND(Balances[[#This Row],[Total]]*40%,0)</f>
        <v>0</v>
      </c>
      <c r="D2518" s="29">
        <f>ROUND(Balances[[#This Row],[Total]]*20%,0)</f>
        <v>0</v>
      </c>
      <c r="E2518" s="29">
        <f>ROUND(Balances[[#This Row],[Total]]*40%,0)</f>
        <v>0</v>
      </c>
      <c r="F2518" s="18">
        <f>SUM(Acueducto[[#This Row],[Acueducto]:[Aseo]])</f>
        <v>0</v>
      </c>
    </row>
    <row r="2519" spans="1:6" ht="15" x14ac:dyDescent="0.2">
      <c r="A2519" s="7">
        <v>621016</v>
      </c>
      <c r="B2519" s="3" t="s">
        <v>299</v>
      </c>
      <c r="C2519" s="29">
        <f>ROUND(Balances[[#This Row],[Total]]*40%,0)</f>
        <v>0</v>
      </c>
      <c r="D2519" s="29">
        <f>ROUND(Balances[[#This Row],[Total]]*20%,0)</f>
        <v>0</v>
      </c>
      <c r="E2519" s="29">
        <f>ROUND(Balances[[#This Row],[Total]]*40%,0)</f>
        <v>0</v>
      </c>
      <c r="F2519" s="18">
        <f>SUM(Acueducto[[#This Row],[Acueducto]:[Aseo]])</f>
        <v>0</v>
      </c>
    </row>
    <row r="2520" spans="1:6" ht="15" x14ac:dyDescent="0.2">
      <c r="A2520" s="7">
        <v>621017</v>
      </c>
      <c r="B2520" s="3" t="s">
        <v>310</v>
      </c>
      <c r="C2520" s="29">
        <f>ROUND(Balances[[#This Row],[Total]]*40%,0)</f>
        <v>0</v>
      </c>
      <c r="D2520" s="29">
        <f>ROUND(Balances[[#This Row],[Total]]*20%,0)</f>
        <v>0</v>
      </c>
      <c r="E2520" s="29">
        <f>ROUND(Balances[[#This Row],[Total]]*40%,0)</f>
        <v>0</v>
      </c>
      <c r="F2520" s="18">
        <f>SUM(Acueducto[[#This Row],[Acueducto]:[Aseo]])</f>
        <v>0</v>
      </c>
    </row>
    <row r="2521" spans="1:6" ht="15" x14ac:dyDescent="0.2">
      <c r="A2521" s="7">
        <v>621023</v>
      </c>
      <c r="B2521" s="3" t="s">
        <v>296</v>
      </c>
      <c r="C2521" s="29">
        <f>ROUND(Balances[[#This Row],[Total]]*40%,0)</f>
        <v>0</v>
      </c>
      <c r="D2521" s="29">
        <f>ROUND(Balances[[#This Row],[Total]]*20%,0)</f>
        <v>0</v>
      </c>
      <c r="E2521" s="29">
        <f>ROUND(Balances[[#This Row],[Total]]*40%,0)</f>
        <v>0</v>
      </c>
      <c r="F2521" s="18">
        <f>SUM(Acueducto[[#This Row],[Acueducto]:[Aseo]])</f>
        <v>0</v>
      </c>
    </row>
    <row r="2522" spans="1:6" ht="15" x14ac:dyDescent="0.2">
      <c r="A2522" s="7">
        <v>621024</v>
      </c>
      <c r="B2522" s="3" t="s">
        <v>319</v>
      </c>
      <c r="C2522" s="29">
        <f>ROUND(Balances[[#This Row],[Total]]*40%,0)</f>
        <v>0</v>
      </c>
      <c r="D2522" s="29">
        <f>ROUND(Balances[[#This Row],[Total]]*20%,0)</f>
        <v>0</v>
      </c>
      <c r="E2522" s="29">
        <f>ROUND(Balances[[#This Row],[Total]]*40%,0)</f>
        <v>0</v>
      </c>
      <c r="F2522" s="18">
        <f>SUM(Acueducto[[#This Row],[Acueducto]:[Aseo]])</f>
        <v>0</v>
      </c>
    </row>
    <row r="2523" spans="1:6" ht="15" x14ac:dyDescent="0.2">
      <c r="A2523" s="7">
        <v>621025</v>
      </c>
      <c r="B2523" s="3" t="s">
        <v>320</v>
      </c>
      <c r="C2523" s="29">
        <f>ROUND(Balances[[#This Row],[Total]]*40%,0)</f>
        <v>0</v>
      </c>
      <c r="D2523" s="29">
        <f>ROUND(Balances[[#This Row],[Total]]*20%,0)</f>
        <v>0</v>
      </c>
      <c r="E2523" s="29">
        <f>ROUND(Balances[[#This Row],[Total]]*40%,0)</f>
        <v>0</v>
      </c>
      <c r="F2523" s="18">
        <f>SUM(Acueducto[[#This Row],[Acueducto]:[Aseo]])</f>
        <v>0</v>
      </c>
    </row>
    <row r="2524" spans="1:6" ht="15" x14ac:dyDescent="0.2">
      <c r="A2524" s="7">
        <v>621028</v>
      </c>
      <c r="B2524" s="3" t="s">
        <v>311</v>
      </c>
      <c r="C2524" s="29">
        <f>ROUND(Balances[[#This Row],[Total]]*40%,0)</f>
        <v>0</v>
      </c>
      <c r="D2524" s="29">
        <f>ROUND(Balances[[#This Row],[Total]]*20%,0)</f>
        <v>0</v>
      </c>
      <c r="E2524" s="29">
        <f>ROUND(Balances[[#This Row],[Total]]*40%,0)</f>
        <v>0</v>
      </c>
      <c r="F2524" s="18">
        <f>SUM(Acueducto[[#This Row],[Acueducto]:[Aseo]])</f>
        <v>0</v>
      </c>
    </row>
    <row r="2525" spans="1:6" ht="15" x14ac:dyDescent="0.2">
      <c r="A2525" s="7">
        <v>621029</v>
      </c>
      <c r="B2525" s="3" t="s">
        <v>312</v>
      </c>
      <c r="C2525" s="29">
        <f>ROUND(Balances[[#This Row],[Total]]*40%,0)</f>
        <v>0</v>
      </c>
      <c r="D2525" s="29">
        <f>ROUND(Balances[[#This Row],[Total]]*20%,0)</f>
        <v>0</v>
      </c>
      <c r="E2525" s="29">
        <f>ROUND(Balances[[#This Row],[Total]]*40%,0)</f>
        <v>0</v>
      </c>
      <c r="F2525" s="18">
        <f>SUM(Acueducto[[#This Row],[Acueducto]:[Aseo]])</f>
        <v>0</v>
      </c>
    </row>
    <row r="2526" spans="1:6" ht="15" x14ac:dyDescent="0.2">
      <c r="A2526" s="7">
        <v>621030</v>
      </c>
      <c r="B2526" s="3" t="s">
        <v>313</v>
      </c>
      <c r="C2526" s="29">
        <f>ROUND(Balances[[#This Row],[Total]]*40%,0)</f>
        <v>0</v>
      </c>
      <c r="D2526" s="29">
        <f>ROUND(Balances[[#This Row],[Total]]*20%,0)</f>
        <v>0</v>
      </c>
      <c r="E2526" s="29">
        <f>ROUND(Balances[[#This Row],[Total]]*40%,0)</f>
        <v>0</v>
      </c>
      <c r="F2526" s="18">
        <f>SUM(Acueducto[[#This Row],[Acueducto]:[Aseo]])</f>
        <v>0</v>
      </c>
    </row>
    <row r="2527" spans="1:6" ht="15" x14ac:dyDescent="0.2">
      <c r="A2527" s="7">
        <v>621031</v>
      </c>
      <c r="B2527" s="3" t="s">
        <v>314</v>
      </c>
      <c r="C2527" s="29">
        <f>ROUND(Balances[[#This Row],[Total]]*40%,0)</f>
        <v>0</v>
      </c>
      <c r="D2527" s="29">
        <f>ROUND(Balances[[#This Row],[Total]]*20%,0)</f>
        <v>0</v>
      </c>
      <c r="E2527" s="29">
        <f>ROUND(Balances[[#This Row],[Total]]*40%,0)</f>
        <v>0</v>
      </c>
      <c r="F2527" s="18">
        <f>SUM(Acueducto[[#This Row],[Acueducto]:[Aseo]])</f>
        <v>0</v>
      </c>
    </row>
    <row r="2528" spans="1:6" ht="15" x14ac:dyDescent="0.2">
      <c r="A2528" s="7">
        <v>621033</v>
      </c>
      <c r="B2528" s="3" t="s">
        <v>315</v>
      </c>
      <c r="C2528" s="29">
        <f>ROUND(Balances[[#This Row],[Total]]*40%,0)</f>
        <v>0</v>
      </c>
      <c r="D2528" s="29">
        <f>ROUND(Balances[[#This Row],[Total]]*20%,0)</f>
        <v>0</v>
      </c>
      <c r="E2528" s="29">
        <f>ROUND(Balances[[#This Row],[Total]]*40%,0)</f>
        <v>0</v>
      </c>
      <c r="F2528" s="18">
        <f>SUM(Acueducto[[#This Row],[Acueducto]:[Aseo]])</f>
        <v>0</v>
      </c>
    </row>
    <row r="2529" spans="1:6" ht="15" x14ac:dyDescent="0.2">
      <c r="A2529" s="7">
        <v>621034</v>
      </c>
      <c r="B2529" s="3" t="s">
        <v>1027</v>
      </c>
      <c r="C2529" s="29">
        <f>ROUND(Balances[[#This Row],[Total]]*40%,0)</f>
        <v>0</v>
      </c>
      <c r="D2529" s="29">
        <f>ROUND(Balances[[#This Row],[Total]]*20%,0)</f>
        <v>0</v>
      </c>
      <c r="E2529" s="29">
        <f>ROUND(Balances[[#This Row],[Total]]*40%,0)</f>
        <v>0</v>
      </c>
      <c r="F2529" s="18">
        <f>SUM(Acueducto[[#This Row],[Acueducto]:[Aseo]])</f>
        <v>0</v>
      </c>
    </row>
    <row r="2530" spans="1:6" ht="15" x14ac:dyDescent="0.2">
      <c r="A2530" s="7">
        <v>621035</v>
      </c>
      <c r="B2530" s="3" t="s">
        <v>316</v>
      </c>
      <c r="C2530" s="29">
        <f>ROUND(Balances[[#This Row],[Total]]*40%,0)</f>
        <v>0</v>
      </c>
      <c r="D2530" s="29">
        <f>ROUND(Balances[[#This Row],[Total]]*20%,0)</f>
        <v>0</v>
      </c>
      <c r="E2530" s="29">
        <f>ROUND(Balances[[#This Row],[Total]]*40%,0)</f>
        <v>0</v>
      </c>
      <c r="F2530" s="18">
        <f>SUM(Acueducto[[#This Row],[Acueducto]:[Aseo]])</f>
        <v>0</v>
      </c>
    </row>
    <row r="2531" spans="1:6" ht="15" x14ac:dyDescent="0.2">
      <c r="A2531" s="7">
        <v>621037</v>
      </c>
      <c r="B2531" s="3" t="s">
        <v>317</v>
      </c>
      <c r="C2531" s="29">
        <f>ROUND(Balances[[#This Row],[Total]]*40%,0)</f>
        <v>0</v>
      </c>
      <c r="D2531" s="29">
        <f>ROUND(Balances[[#This Row],[Total]]*20%,0)</f>
        <v>0</v>
      </c>
      <c r="E2531" s="29">
        <f>ROUND(Balances[[#This Row],[Total]]*40%,0)</f>
        <v>0</v>
      </c>
      <c r="F2531" s="18">
        <f>SUM(Acueducto[[#This Row],[Acueducto]:[Aseo]])</f>
        <v>0</v>
      </c>
    </row>
    <row r="2532" spans="1:6" ht="15" x14ac:dyDescent="0.2">
      <c r="A2532" s="7">
        <v>621039</v>
      </c>
      <c r="B2532" s="3" t="s">
        <v>318</v>
      </c>
      <c r="C2532" s="29">
        <f>ROUND(Balances[[#This Row],[Total]]*40%,0)</f>
        <v>0</v>
      </c>
      <c r="D2532" s="29">
        <f>ROUND(Balances[[#This Row],[Total]]*20%,0)</f>
        <v>0</v>
      </c>
      <c r="E2532" s="29">
        <f>ROUND(Balances[[#This Row],[Total]]*40%,0)</f>
        <v>0</v>
      </c>
      <c r="F2532" s="18">
        <f>SUM(Acueducto[[#This Row],[Acueducto]:[Aseo]])</f>
        <v>0</v>
      </c>
    </row>
    <row r="2533" spans="1:6" ht="15" x14ac:dyDescent="0.2">
      <c r="A2533" s="7">
        <v>621040</v>
      </c>
      <c r="B2533" s="3" t="s">
        <v>116</v>
      </c>
      <c r="C2533" s="29">
        <f>ROUND(Balances[[#This Row],[Total]]*40%,0)</f>
        <v>0</v>
      </c>
      <c r="D2533" s="29">
        <f>ROUND(Balances[[#This Row],[Total]]*20%,0)</f>
        <v>0</v>
      </c>
      <c r="E2533" s="29">
        <f>ROUND(Balances[[#This Row],[Total]]*40%,0)</f>
        <v>0</v>
      </c>
      <c r="F2533" s="18">
        <f>SUM(Acueducto[[#This Row],[Acueducto]:[Aseo]])</f>
        <v>0</v>
      </c>
    </row>
    <row r="2534" spans="1:6" ht="15" x14ac:dyDescent="0.2">
      <c r="A2534" s="7">
        <v>621090</v>
      </c>
      <c r="B2534" s="3" t="s">
        <v>1028</v>
      </c>
      <c r="C2534" s="29">
        <f>ROUND(Balances[[#This Row],[Total]]*40%,0)</f>
        <v>0</v>
      </c>
      <c r="D2534" s="29">
        <f>ROUND(Balances[[#This Row],[Total]]*20%,0)</f>
        <v>0</v>
      </c>
      <c r="E2534" s="29">
        <f>ROUND(Balances[[#This Row],[Total]]*40%,0)</f>
        <v>0</v>
      </c>
      <c r="F2534" s="18">
        <f>SUM(Acueducto[[#This Row],[Acueducto]:[Aseo]])</f>
        <v>0</v>
      </c>
    </row>
    <row r="2535" spans="1:6" ht="15" x14ac:dyDescent="0.2">
      <c r="A2535" s="6">
        <v>63</v>
      </c>
      <c r="B2535" s="2" t="s">
        <v>1419</v>
      </c>
      <c r="C2535" s="28">
        <f>ROUND(Balances[[#This Row],[Total]]*40%,0)</f>
        <v>123482730</v>
      </c>
      <c r="D2535" s="28">
        <f>ROUND(Balances[[#This Row],[Total]]*20%,0)</f>
        <v>61741365</v>
      </c>
      <c r="E2535" s="28">
        <f>ROUND(Balances[[#This Row],[Total]]*40%,0)</f>
        <v>123482730</v>
      </c>
      <c r="F2535" s="28">
        <f>SUM(Acueducto[[#This Row],[Acueducto]:[Aseo]])</f>
        <v>308706825</v>
      </c>
    </row>
    <row r="2536" spans="1:6" ht="15" x14ac:dyDescent="0.2">
      <c r="A2536" s="6">
        <v>6310</v>
      </c>
      <c r="B2536" s="2" t="s">
        <v>1039</v>
      </c>
      <c r="C2536" s="28">
        <f>ROUND(Balances[[#This Row],[Total]]*40%,0)</f>
        <v>0</v>
      </c>
      <c r="D2536" s="28">
        <f>ROUND(Balances[[#This Row],[Total]]*20%,0)</f>
        <v>0</v>
      </c>
      <c r="E2536" s="28">
        <f>ROUND(Balances[[#This Row],[Total]]*40%,0)</f>
        <v>0</v>
      </c>
      <c r="F2536" s="17">
        <f>SUM(Acueducto[[#This Row],[Acueducto]:[Aseo]])</f>
        <v>0</v>
      </c>
    </row>
    <row r="2537" spans="1:6" ht="15" x14ac:dyDescent="0.2">
      <c r="A2537" s="7">
        <v>631001</v>
      </c>
      <c r="B2537" s="3" t="s">
        <v>1040</v>
      </c>
      <c r="C2537" s="29">
        <f>ROUND(Balances[[#This Row],[Total]]*40%,0)</f>
        <v>0</v>
      </c>
      <c r="D2537" s="29">
        <f>ROUND(Balances[[#This Row],[Total]]*20%,0)</f>
        <v>0</v>
      </c>
      <c r="E2537" s="29">
        <f>ROUND(Balances[[#This Row],[Total]]*40%,0)</f>
        <v>0</v>
      </c>
      <c r="F2537" s="18">
        <f>SUM(Acueducto[[#This Row],[Acueducto]:[Aseo]])</f>
        <v>0</v>
      </c>
    </row>
    <row r="2538" spans="1:6" ht="15" x14ac:dyDescent="0.2">
      <c r="A2538" s="7">
        <v>631002</v>
      </c>
      <c r="B2538" s="3" t="s">
        <v>1041</v>
      </c>
      <c r="C2538" s="29">
        <f>ROUND(Balances[[#This Row],[Total]]*40%,0)</f>
        <v>0</v>
      </c>
      <c r="D2538" s="29">
        <f>ROUND(Balances[[#This Row],[Total]]*20%,0)</f>
        <v>0</v>
      </c>
      <c r="E2538" s="29">
        <f>ROUND(Balances[[#This Row],[Total]]*40%,0)</f>
        <v>0</v>
      </c>
      <c r="F2538" s="18">
        <f>SUM(Acueducto[[#This Row],[Acueducto]:[Aseo]])</f>
        <v>0</v>
      </c>
    </row>
    <row r="2539" spans="1:6" ht="15" x14ac:dyDescent="0.2">
      <c r="A2539" s="7">
        <v>631015</v>
      </c>
      <c r="B2539" s="3" t="s">
        <v>1042</v>
      </c>
      <c r="C2539" s="29">
        <f>ROUND(Balances[[#This Row],[Total]]*40%,0)</f>
        <v>0</v>
      </c>
      <c r="D2539" s="29">
        <f>ROUND(Balances[[#This Row],[Total]]*20%,0)</f>
        <v>0</v>
      </c>
      <c r="E2539" s="29">
        <f>ROUND(Balances[[#This Row],[Total]]*40%,0)</f>
        <v>0</v>
      </c>
      <c r="F2539" s="18">
        <f>SUM(Acueducto[[#This Row],[Acueducto]:[Aseo]])</f>
        <v>0</v>
      </c>
    </row>
    <row r="2540" spans="1:6" ht="15" x14ac:dyDescent="0.2">
      <c r="A2540" s="7">
        <v>631016</v>
      </c>
      <c r="B2540" s="3" t="s">
        <v>1043</v>
      </c>
      <c r="C2540" s="29">
        <f>ROUND(Balances[[#This Row],[Total]]*40%,0)</f>
        <v>0</v>
      </c>
      <c r="D2540" s="29">
        <f>ROUND(Balances[[#This Row],[Total]]*20%,0)</f>
        <v>0</v>
      </c>
      <c r="E2540" s="29">
        <f>ROUND(Balances[[#This Row],[Total]]*40%,0)</f>
        <v>0</v>
      </c>
      <c r="F2540" s="18">
        <f>SUM(Acueducto[[#This Row],[Acueducto]:[Aseo]])</f>
        <v>0</v>
      </c>
    </row>
    <row r="2541" spans="1:6" ht="15" x14ac:dyDescent="0.2">
      <c r="A2541" s="7">
        <v>631017</v>
      </c>
      <c r="B2541" s="3" t="s">
        <v>1420</v>
      </c>
      <c r="C2541" s="29">
        <f>ROUND(Balances[[#This Row],[Total]]*40%,0)</f>
        <v>0</v>
      </c>
      <c r="D2541" s="29">
        <f>ROUND(Balances[[#This Row],[Total]]*20%,0)</f>
        <v>0</v>
      </c>
      <c r="E2541" s="29">
        <f>ROUND(Balances[[#This Row],[Total]]*40%,0)</f>
        <v>0</v>
      </c>
      <c r="F2541" s="18">
        <f>SUM(Acueducto[[#This Row],[Acueducto]:[Aseo]])</f>
        <v>0</v>
      </c>
    </row>
    <row r="2542" spans="1:6" ht="15" x14ac:dyDescent="0.2">
      <c r="A2542" s="7">
        <v>631018</v>
      </c>
      <c r="B2542" s="3" t="s">
        <v>1421</v>
      </c>
      <c r="C2542" s="29">
        <f>ROUND(Balances[[#This Row],[Total]]*40%,0)</f>
        <v>0</v>
      </c>
      <c r="D2542" s="29">
        <f>ROUND(Balances[[#This Row],[Total]]*20%,0)</f>
        <v>0</v>
      </c>
      <c r="E2542" s="29">
        <f>ROUND(Balances[[#This Row],[Total]]*40%,0)</f>
        <v>0</v>
      </c>
      <c r="F2542" s="18">
        <f>SUM(Acueducto[[#This Row],[Acueducto]:[Aseo]])</f>
        <v>0</v>
      </c>
    </row>
    <row r="2543" spans="1:6" ht="15" x14ac:dyDescent="0.2">
      <c r="A2543" s="7">
        <v>631019</v>
      </c>
      <c r="B2543" s="3" t="s">
        <v>1046</v>
      </c>
      <c r="C2543" s="29">
        <f>ROUND(Balances[[#This Row],[Total]]*40%,0)</f>
        <v>0</v>
      </c>
      <c r="D2543" s="29">
        <f>ROUND(Balances[[#This Row],[Total]]*20%,0)</f>
        <v>0</v>
      </c>
      <c r="E2543" s="29">
        <f>ROUND(Balances[[#This Row],[Total]]*40%,0)</f>
        <v>0</v>
      </c>
      <c r="F2543" s="18">
        <f>SUM(Acueducto[[#This Row],[Acueducto]:[Aseo]])</f>
        <v>0</v>
      </c>
    </row>
    <row r="2544" spans="1:6" ht="15" x14ac:dyDescent="0.2">
      <c r="A2544" s="7">
        <v>631025</v>
      </c>
      <c r="B2544" s="3" t="s">
        <v>1047</v>
      </c>
      <c r="C2544" s="29">
        <f>ROUND(Balances[[#This Row],[Total]]*40%,0)</f>
        <v>0</v>
      </c>
      <c r="D2544" s="29">
        <f>ROUND(Balances[[#This Row],[Total]]*20%,0)</f>
        <v>0</v>
      </c>
      <c r="E2544" s="29">
        <f>ROUND(Balances[[#This Row],[Total]]*40%,0)</f>
        <v>0</v>
      </c>
      <c r="F2544" s="18">
        <f>SUM(Acueducto[[#This Row],[Acueducto]:[Aseo]])</f>
        <v>0</v>
      </c>
    </row>
    <row r="2545" spans="1:6" ht="15" x14ac:dyDescent="0.2">
      <c r="A2545" s="7">
        <v>631026</v>
      </c>
      <c r="B2545" s="3" t="s">
        <v>1048</v>
      </c>
      <c r="C2545" s="29">
        <f>ROUND(Balances[[#This Row],[Total]]*40%,0)</f>
        <v>0</v>
      </c>
      <c r="D2545" s="29">
        <f>ROUND(Balances[[#This Row],[Total]]*20%,0)</f>
        <v>0</v>
      </c>
      <c r="E2545" s="29">
        <f>ROUND(Balances[[#This Row],[Total]]*40%,0)</f>
        <v>0</v>
      </c>
      <c r="F2545" s="18">
        <f>SUM(Acueducto[[#This Row],[Acueducto]:[Aseo]])</f>
        <v>0</v>
      </c>
    </row>
    <row r="2546" spans="1:6" ht="15" x14ac:dyDescent="0.2">
      <c r="A2546" s="7">
        <v>631027</v>
      </c>
      <c r="B2546" s="3" t="s">
        <v>1049</v>
      </c>
      <c r="C2546" s="29">
        <f>ROUND(Balances[[#This Row],[Total]]*40%,0)</f>
        <v>0</v>
      </c>
      <c r="D2546" s="29">
        <f>ROUND(Balances[[#This Row],[Total]]*20%,0)</f>
        <v>0</v>
      </c>
      <c r="E2546" s="29">
        <f>ROUND(Balances[[#This Row],[Total]]*40%,0)</f>
        <v>0</v>
      </c>
      <c r="F2546" s="18">
        <f>SUM(Acueducto[[#This Row],[Acueducto]:[Aseo]])</f>
        <v>0</v>
      </c>
    </row>
    <row r="2547" spans="1:6" ht="15" x14ac:dyDescent="0.2">
      <c r="A2547" s="7">
        <v>631028</v>
      </c>
      <c r="B2547" s="3" t="s">
        <v>1050</v>
      </c>
      <c r="C2547" s="29">
        <f>ROUND(Balances[[#This Row],[Total]]*40%,0)</f>
        <v>0</v>
      </c>
      <c r="D2547" s="29">
        <f>ROUND(Balances[[#This Row],[Total]]*20%,0)</f>
        <v>0</v>
      </c>
      <c r="E2547" s="29">
        <f>ROUND(Balances[[#This Row],[Total]]*40%,0)</f>
        <v>0</v>
      </c>
      <c r="F2547" s="18">
        <f>SUM(Acueducto[[#This Row],[Acueducto]:[Aseo]])</f>
        <v>0</v>
      </c>
    </row>
    <row r="2548" spans="1:6" ht="15" x14ac:dyDescent="0.2">
      <c r="A2548" s="7">
        <v>631029</v>
      </c>
      <c r="B2548" s="3" t="s">
        <v>1051</v>
      </c>
      <c r="C2548" s="29">
        <f>ROUND(Balances[[#This Row],[Total]]*40%,0)</f>
        <v>0</v>
      </c>
      <c r="D2548" s="29">
        <f>ROUND(Balances[[#This Row],[Total]]*20%,0)</f>
        <v>0</v>
      </c>
      <c r="E2548" s="29">
        <f>ROUND(Balances[[#This Row],[Total]]*40%,0)</f>
        <v>0</v>
      </c>
      <c r="F2548" s="18">
        <f>SUM(Acueducto[[#This Row],[Acueducto]:[Aseo]])</f>
        <v>0</v>
      </c>
    </row>
    <row r="2549" spans="1:6" ht="15" x14ac:dyDescent="0.2">
      <c r="A2549" s="7">
        <v>631030</v>
      </c>
      <c r="B2549" s="3" t="s">
        <v>1052</v>
      </c>
      <c r="C2549" s="29">
        <f>ROUND(Balances[[#This Row],[Total]]*40%,0)</f>
        <v>0</v>
      </c>
      <c r="D2549" s="29">
        <f>ROUND(Balances[[#This Row],[Total]]*20%,0)</f>
        <v>0</v>
      </c>
      <c r="E2549" s="29">
        <f>ROUND(Balances[[#This Row],[Total]]*40%,0)</f>
        <v>0</v>
      </c>
      <c r="F2549" s="18">
        <f>SUM(Acueducto[[#This Row],[Acueducto]:[Aseo]])</f>
        <v>0</v>
      </c>
    </row>
    <row r="2550" spans="1:6" ht="15" x14ac:dyDescent="0.2">
      <c r="A2550" s="7">
        <v>631031</v>
      </c>
      <c r="B2550" s="3" t="s">
        <v>1053</v>
      </c>
      <c r="C2550" s="29">
        <f>ROUND(Balances[[#This Row],[Total]]*40%,0)</f>
        <v>0</v>
      </c>
      <c r="D2550" s="29">
        <f>ROUND(Balances[[#This Row],[Total]]*20%,0)</f>
        <v>0</v>
      </c>
      <c r="E2550" s="29">
        <f>ROUND(Balances[[#This Row],[Total]]*40%,0)</f>
        <v>0</v>
      </c>
      <c r="F2550" s="18">
        <f>SUM(Acueducto[[#This Row],[Acueducto]:[Aseo]])</f>
        <v>0</v>
      </c>
    </row>
    <row r="2551" spans="1:6" ht="15" x14ac:dyDescent="0.2">
      <c r="A2551" s="7">
        <v>631035</v>
      </c>
      <c r="B2551" s="3" t="s">
        <v>1054</v>
      </c>
      <c r="C2551" s="29">
        <f>ROUND(Balances[[#This Row],[Total]]*40%,0)</f>
        <v>0</v>
      </c>
      <c r="D2551" s="29">
        <f>ROUND(Balances[[#This Row],[Total]]*20%,0)</f>
        <v>0</v>
      </c>
      <c r="E2551" s="29">
        <f>ROUND(Balances[[#This Row],[Total]]*40%,0)</f>
        <v>0</v>
      </c>
      <c r="F2551" s="18">
        <f>SUM(Acueducto[[#This Row],[Acueducto]:[Aseo]])</f>
        <v>0</v>
      </c>
    </row>
    <row r="2552" spans="1:6" ht="15" x14ac:dyDescent="0.2">
      <c r="A2552" s="7">
        <v>631036</v>
      </c>
      <c r="B2552" s="3" t="s">
        <v>1055</v>
      </c>
      <c r="C2552" s="29">
        <f>ROUND(Balances[[#This Row],[Total]]*40%,0)</f>
        <v>0</v>
      </c>
      <c r="D2552" s="29">
        <f>ROUND(Balances[[#This Row],[Total]]*20%,0)</f>
        <v>0</v>
      </c>
      <c r="E2552" s="29">
        <f>ROUND(Balances[[#This Row],[Total]]*40%,0)</f>
        <v>0</v>
      </c>
      <c r="F2552" s="18">
        <f>SUM(Acueducto[[#This Row],[Acueducto]:[Aseo]])</f>
        <v>0</v>
      </c>
    </row>
    <row r="2553" spans="1:6" ht="15" x14ac:dyDescent="0.2">
      <c r="A2553" s="7">
        <v>631040</v>
      </c>
      <c r="B2553" s="3" t="s">
        <v>1056</v>
      </c>
      <c r="C2553" s="29">
        <f>ROUND(Balances[[#This Row],[Total]]*40%,0)</f>
        <v>0</v>
      </c>
      <c r="D2553" s="29">
        <f>ROUND(Balances[[#This Row],[Total]]*20%,0)</f>
        <v>0</v>
      </c>
      <c r="E2553" s="29">
        <f>ROUND(Balances[[#This Row],[Total]]*40%,0)</f>
        <v>0</v>
      </c>
      <c r="F2553" s="18">
        <f>SUM(Acueducto[[#This Row],[Acueducto]:[Aseo]])</f>
        <v>0</v>
      </c>
    </row>
    <row r="2554" spans="1:6" ht="15" x14ac:dyDescent="0.2">
      <c r="A2554" s="7">
        <v>631041</v>
      </c>
      <c r="B2554" s="3" t="s">
        <v>1057</v>
      </c>
      <c r="C2554" s="29">
        <f>ROUND(Balances[[#This Row],[Total]]*40%,0)</f>
        <v>0</v>
      </c>
      <c r="D2554" s="29">
        <f>ROUND(Balances[[#This Row],[Total]]*20%,0)</f>
        <v>0</v>
      </c>
      <c r="E2554" s="29">
        <f>ROUND(Balances[[#This Row],[Total]]*40%,0)</f>
        <v>0</v>
      </c>
      <c r="F2554" s="18">
        <f>SUM(Acueducto[[#This Row],[Acueducto]:[Aseo]])</f>
        <v>0</v>
      </c>
    </row>
    <row r="2555" spans="1:6" ht="15" x14ac:dyDescent="0.2">
      <c r="A2555" s="7">
        <v>631042</v>
      </c>
      <c r="B2555" s="3" t="s">
        <v>1058</v>
      </c>
      <c r="C2555" s="29">
        <f>ROUND(Balances[[#This Row],[Total]]*40%,0)</f>
        <v>0</v>
      </c>
      <c r="D2555" s="29">
        <f>ROUND(Balances[[#This Row],[Total]]*20%,0)</f>
        <v>0</v>
      </c>
      <c r="E2555" s="29">
        <f>ROUND(Balances[[#This Row],[Total]]*40%,0)</f>
        <v>0</v>
      </c>
      <c r="F2555" s="18">
        <f>SUM(Acueducto[[#This Row],[Acueducto]:[Aseo]])</f>
        <v>0</v>
      </c>
    </row>
    <row r="2556" spans="1:6" ht="15" x14ac:dyDescent="0.2">
      <c r="A2556" s="7">
        <v>631043</v>
      </c>
      <c r="B2556" s="3" t="s">
        <v>1059</v>
      </c>
      <c r="C2556" s="29">
        <f>ROUND(Balances[[#This Row],[Total]]*40%,0)</f>
        <v>0</v>
      </c>
      <c r="D2556" s="29">
        <f>ROUND(Balances[[#This Row],[Total]]*20%,0)</f>
        <v>0</v>
      </c>
      <c r="E2556" s="29">
        <f>ROUND(Balances[[#This Row],[Total]]*40%,0)</f>
        <v>0</v>
      </c>
      <c r="F2556" s="18">
        <f>SUM(Acueducto[[#This Row],[Acueducto]:[Aseo]])</f>
        <v>0</v>
      </c>
    </row>
    <row r="2557" spans="1:6" ht="15" x14ac:dyDescent="0.2">
      <c r="A2557" s="7">
        <v>631050</v>
      </c>
      <c r="B2557" s="3" t="s">
        <v>1060</v>
      </c>
      <c r="C2557" s="29">
        <f>ROUND(Balances[[#This Row],[Total]]*40%,0)</f>
        <v>0</v>
      </c>
      <c r="D2557" s="29">
        <f>ROUND(Balances[[#This Row],[Total]]*20%,0)</f>
        <v>0</v>
      </c>
      <c r="E2557" s="29">
        <f>ROUND(Balances[[#This Row],[Total]]*40%,0)</f>
        <v>0</v>
      </c>
      <c r="F2557" s="18">
        <f>SUM(Acueducto[[#This Row],[Acueducto]:[Aseo]])</f>
        <v>0</v>
      </c>
    </row>
    <row r="2558" spans="1:6" ht="15" x14ac:dyDescent="0.2">
      <c r="A2558" s="7">
        <v>631051</v>
      </c>
      <c r="B2558" s="3" t="s">
        <v>1061</v>
      </c>
      <c r="C2558" s="29">
        <f>ROUND(Balances[[#This Row],[Total]]*40%,0)</f>
        <v>0</v>
      </c>
      <c r="D2558" s="29">
        <f>ROUND(Balances[[#This Row],[Total]]*20%,0)</f>
        <v>0</v>
      </c>
      <c r="E2558" s="29">
        <f>ROUND(Balances[[#This Row],[Total]]*40%,0)</f>
        <v>0</v>
      </c>
      <c r="F2558" s="18">
        <f>SUM(Acueducto[[#This Row],[Acueducto]:[Aseo]])</f>
        <v>0</v>
      </c>
    </row>
    <row r="2559" spans="1:6" ht="15" x14ac:dyDescent="0.2">
      <c r="A2559" s="7">
        <v>631052</v>
      </c>
      <c r="B2559" s="3" t="s">
        <v>1062</v>
      </c>
      <c r="C2559" s="29">
        <f>ROUND(Balances[[#This Row],[Total]]*40%,0)</f>
        <v>0</v>
      </c>
      <c r="D2559" s="29">
        <f>ROUND(Balances[[#This Row],[Total]]*20%,0)</f>
        <v>0</v>
      </c>
      <c r="E2559" s="29">
        <f>ROUND(Balances[[#This Row],[Total]]*40%,0)</f>
        <v>0</v>
      </c>
      <c r="F2559" s="18">
        <f>SUM(Acueducto[[#This Row],[Acueducto]:[Aseo]])</f>
        <v>0</v>
      </c>
    </row>
    <row r="2560" spans="1:6" ht="15" x14ac:dyDescent="0.2">
      <c r="A2560" s="7">
        <v>631053</v>
      </c>
      <c r="B2560" s="3" t="s">
        <v>1063</v>
      </c>
      <c r="C2560" s="29">
        <f>ROUND(Balances[[#This Row],[Total]]*40%,0)</f>
        <v>0</v>
      </c>
      <c r="D2560" s="29">
        <f>ROUND(Balances[[#This Row],[Total]]*20%,0)</f>
        <v>0</v>
      </c>
      <c r="E2560" s="29">
        <f>ROUND(Balances[[#This Row],[Total]]*40%,0)</f>
        <v>0</v>
      </c>
      <c r="F2560" s="18">
        <f>SUM(Acueducto[[#This Row],[Acueducto]:[Aseo]])</f>
        <v>0</v>
      </c>
    </row>
    <row r="2561" spans="1:6" ht="15" x14ac:dyDescent="0.2">
      <c r="A2561" s="7">
        <v>631054</v>
      </c>
      <c r="B2561" s="3" t="s">
        <v>1064</v>
      </c>
      <c r="C2561" s="29">
        <f>ROUND(Balances[[#This Row],[Total]]*40%,0)</f>
        <v>0</v>
      </c>
      <c r="D2561" s="29">
        <f>ROUND(Balances[[#This Row],[Total]]*20%,0)</f>
        <v>0</v>
      </c>
      <c r="E2561" s="29">
        <f>ROUND(Balances[[#This Row],[Total]]*40%,0)</f>
        <v>0</v>
      </c>
      <c r="F2561" s="18">
        <f>SUM(Acueducto[[#This Row],[Acueducto]:[Aseo]])</f>
        <v>0</v>
      </c>
    </row>
    <row r="2562" spans="1:6" ht="15" x14ac:dyDescent="0.2">
      <c r="A2562" s="7">
        <v>631055</v>
      </c>
      <c r="B2562" s="3" t="s">
        <v>1065</v>
      </c>
      <c r="C2562" s="29">
        <f>ROUND(Balances[[#This Row],[Total]]*40%,0)</f>
        <v>0</v>
      </c>
      <c r="D2562" s="29">
        <f>ROUND(Balances[[#This Row],[Total]]*20%,0)</f>
        <v>0</v>
      </c>
      <c r="E2562" s="29">
        <f>ROUND(Balances[[#This Row],[Total]]*40%,0)</f>
        <v>0</v>
      </c>
      <c r="F2562" s="18">
        <f>SUM(Acueducto[[#This Row],[Acueducto]:[Aseo]])</f>
        <v>0</v>
      </c>
    </row>
    <row r="2563" spans="1:6" ht="15" x14ac:dyDescent="0.2">
      <c r="A2563" s="7">
        <v>631056</v>
      </c>
      <c r="B2563" s="3" t="s">
        <v>1066</v>
      </c>
      <c r="C2563" s="29">
        <f>ROUND(Balances[[#This Row],[Total]]*40%,0)</f>
        <v>0</v>
      </c>
      <c r="D2563" s="29">
        <f>ROUND(Balances[[#This Row],[Total]]*20%,0)</f>
        <v>0</v>
      </c>
      <c r="E2563" s="29">
        <f>ROUND(Balances[[#This Row],[Total]]*40%,0)</f>
        <v>0</v>
      </c>
      <c r="F2563" s="18">
        <f>SUM(Acueducto[[#This Row],[Acueducto]:[Aseo]])</f>
        <v>0</v>
      </c>
    </row>
    <row r="2564" spans="1:6" ht="15" x14ac:dyDescent="0.2">
      <c r="A2564" s="7">
        <v>631057</v>
      </c>
      <c r="B2564" s="3" t="s">
        <v>1067</v>
      </c>
      <c r="C2564" s="29">
        <f>ROUND(Balances[[#This Row],[Total]]*40%,0)</f>
        <v>0</v>
      </c>
      <c r="D2564" s="29">
        <f>ROUND(Balances[[#This Row],[Total]]*20%,0)</f>
        <v>0</v>
      </c>
      <c r="E2564" s="29">
        <f>ROUND(Balances[[#This Row],[Total]]*40%,0)</f>
        <v>0</v>
      </c>
      <c r="F2564" s="18">
        <f>SUM(Acueducto[[#This Row],[Acueducto]:[Aseo]])</f>
        <v>0</v>
      </c>
    </row>
    <row r="2565" spans="1:6" ht="15" x14ac:dyDescent="0.2">
      <c r="A2565" s="7">
        <v>631060</v>
      </c>
      <c r="B2565" s="3" t="s">
        <v>1068</v>
      </c>
      <c r="C2565" s="29">
        <f>ROUND(Balances[[#This Row],[Total]]*40%,0)</f>
        <v>0</v>
      </c>
      <c r="D2565" s="29">
        <f>ROUND(Balances[[#This Row],[Total]]*20%,0)</f>
        <v>0</v>
      </c>
      <c r="E2565" s="29">
        <f>ROUND(Balances[[#This Row],[Total]]*40%,0)</f>
        <v>0</v>
      </c>
      <c r="F2565" s="18">
        <f>SUM(Acueducto[[#This Row],[Acueducto]:[Aseo]])</f>
        <v>0</v>
      </c>
    </row>
    <row r="2566" spans="1:6" ht="15" x14ac:dyDescent="0.2">
      <c r="A2566" s="7">
        <v>631061</v>
      </c>
      <c r="B2566" s="3" t="s">
        <v>1069</v>
      </c>
      <c r="C2566" s="29">
        <f>ROUND(Balances[[#This Row],[Total]]*40%,0)</f>
        <v>0</v>
      </c>
      <c r="D2566" s="29">
        <f>ROUND(Balances[[#This Row],[Total]]*20%,0)</f>
        <v>0</v>
      </c>
      <c r="E2566" s="29">
        <f>ROUND(Balances[[#This Row],[Total]]*40%,0)</f>
        <v>0</v>
      </c>
      <c r="F2566" s="18">
        <f>SUM(Acueducto[[#This Row],[Acueducto]:[Aseo]])</f>
        <v>0</v>
      </c>
    </row>
    <row r="2567" spans="1:6" ht="15" x14ac:dyDescent="0.2">
      <c r="A2567" s="7">
        <v>631062</v>
      </c>
      <c r="B2567" s="3" t="s">
        <v>1070</v>
      </c>
      <c r="C2567" s="29">
        <f>ROUND(Balances[[#This Row],[Total]]*40%,0)</f>
        <v>0</v>
      </c>
      <c r="D2567" s="29">
        <f>ROUND(Balances[[#This Row],[Total]]*20%,0)</f>
        <v>0</v>
      </c>
      <c r="E2567" s="29">
        <f>ROUND(Balances[[#This Row],[Total]]*40%,0)</f>
        <v>0</v>
      </c>
      <c r="F2567" s="18">
        <f>SUM(Acueducto[[#This Row],[Acueducto]:[Aseo]])</f>
        <v>0</v>
      </c>
    </row>
    <row r="2568" spans="1:6" ht="15" x14ac:dyDescent="0.2">
      <c r="A2568" s="7">
        <v>631063</v>
      </c>
      <c r="B2568" s="3" t="s">
        <v>1071</v>
      </c>
      <c r="C2568" s="29">
        <f>ROUND(Balances[[#This Row],[Total]]*40%,0)</f>
        <v>0</v>
      </c>
      <c r="D2568" s="29">
        <f>ROUND(Balances[[#This Row],[Total]]*20%,0)</f>
        <v>0</v>
      </c>
      <c r="E2568" s="29">
        <f>ROUND(Balances[[#This Row],[Total]]*40%,0)</f>
        <v>0</v>
      </c>
      <c r="F2568" s="18">
        <f>SUM(Acueducto[[#This Row],[Acueducto]:[Aseo]])</f>
        <v>0</v>
      </c>
    </row>
    <row r="2569" spans="1:6" ht="15" x14ac:dyDescent="0.2">
      <c r="A2569" s="7">
        <v>631064</v>
      </c>
      <c r="B2569" s="3" t="s">
        <v>1422</v>
      </c>
      <c r="C2569" s="29">
        <f>ROUND(Balances[[#This Row],[Total]]*40%,0)</f>
        <v>0</v>
      </c>
      <c r="D2569" s="29">
        <f>ROUND(Balances[[#This Row],[Total]]*20%,0)</f>
        <v>0</v>
      </c>
      <c r="E2569" s="29">
        <f>ROUND(Balances[[#This Row],[Total]]*40%,0)</f>
        <v>0</v>
      </c>
      <c r="F2569" s="18">
        <f>SUM(Acueducto[[#This Row],[Acueducto]:[Aseo]])</f>
        <v>0</v>
      </c>
    </row>
    <row r="2570" spans="1:6" ht="15" x14ac:dyDescent="0.2">
      <c r="A2570" s="7">
        <v>631065</v>
      </c>
      <c r="B2570" s="3" t="s">
        <v>1073</v>
      </c>
      <c r="C2570" s="29">
        <f>ROUND(Balances[[#This Row],[Total]]*40%,0)</f>
        <v>0</v>
      </c>
      <c r="D2570" s="29">
        <f>ROUND(Balances[[#This Row],[Total]]*20%,0)</f>
        <v>0</v>
      </c>
      <c r="E2570" s="29">
        <f>ROUND(Balances[[#This Row],[Total]]*40%,0)</f>
        <v>0</v>
      </c>
      <c r="F2570" s="18">
        <f>SUM(Acueducto[[#This Row],[Acueducto]:[Aseo]])</f>
        <v>0</v>
      </c>
    </row>
    <row r="2571" spans="1:6" ht="15" x14ac:dyDescent="0.2">
      <c r="A2571" s="7">
        <v>631066</v>
      </c>
      <c r="B2571" s="3" t="s">
        <v>1074</v>
      </c>
      <c r="C2571" s="29">
        <f>ROUND(Balances[[#This Row],[Total]]*40%,0)</f>
        <v>0</v>
      </c>
      <c r="D2571" s="29">
        <f>ROUND(Balances[[#This Row],[Total]]*20%,0)</f>
        <v>0</v>
      </c>
      <c r="E2571" s="29">
        <f>ROUND(Balances[[#This Row],[Total]]*40%,0)</f>
        <v>0</v>
      </c>
      <c r="F2571" s="18">
        <f>SUM(Acueducto[[#This Row],[Acueducto]:[Aseo]])</f>
        <v>0</v>
      </c>
    </row>
    <row r="2572" spans="1:6" ht="15" x14ac:dyDescent="0.2">
      <c r="A2572" s="7">
        <v>631067</v>
      </c>
      <c r="B2572" s="3" t="s">
        <v>1075</v>
      </c>
      <c r="C2572" s="29">
        <f>ROUND(Balances[[#This Row],[Total]]*40%,0)</f>
        <v>0</v>
      </c>
      <c r="D2572" s="29">
        <f>ROUND(Balances[[#This Row],[Total]]*20%,0)</f>
        <v>0</v>
      </c>
      <c r="E2572" s="29">
        <f>ROUND(Balances[[#This Row],[Total]]*40%,0)</f>
        <v>0</v>
      </c>
      <c r="F2572" s="18">
        <f>SUM(Acueducto[[#This Row],[Acueducto]:[Aseo]])</f>
        <v>0</v>
      </c>
    </row>
    <row r="2573" spans="1:6" ht="15" x14ac:dyDescent="0.2">
      <c r="A2573" s="6">
        <v>6345</v>
      </c>
      <c r="B2573" s="2" t="s">
        <v>1104</v>
      </c>
      <c r="C2573" s="28">
        <f>ROUND(Balances[[#This Row],[Total]]*40%,0)</f>
        <v>0</v>
      </c>
      <c r="D2573" s="28">
        <f>ROUND(Balances[[#This Row],[Total]]*20%,0)</f>
        <v>0</v>
      </c>
      <c r="E2573" s="28">
        <f>ROUND(Balances[[#This Row],[Total]]*40%,0)</f>
        <v>0</v>
      </c>
      <c r="F2573" s="17">
        <f>SUM(Acueducto[[#This Row],[Acueducto]:[Aseo]])</f>
        <v>0</v>
      </c>
    </row>
    <row r="2574" spans="1:6" ht="15" x14ac:dyDescent="0.2">
      <c r="A2574" s="7">
        <v>634501</v>
      </c>
      <c r="B2574" s="3" t="s">
        <v>1106</v>
      </c>
      <c r="C2574" s="29">
        <f>ROUND(Balances[[#This Row],[Total]]*40%,0)</f>
        <v>0</v>
      </c>
      <c r="D2574" s="29">
        <f>ROUND(Balances[[#This Row],[Total]]*20%,0)</f>
        <v>0</v>
      </c>
      <c r="E2574" s="29">
        <f>ROUND(Balances[[#This Row],[Total]]*40%,0)</f>
        <v>0</v>
      </c>
      <c r="F2574" s="18">
        <f>SUM(Acueducto[[#This Row],[Acueducto]:[Aseo]])</f>
        <v>0</v>
      </c>
    </row>
    <row r="2575" spans="1:6" ht="15" x14ac:dyDescent="0.2">
      <c r="A2575" s="7">
        <v>634502</v>
      </c>
      <c r="B2575" s="3" t="s">
        <v>1105</v>
      </c>
      <c r="C2575" s="29">
        <f>ROUND(Balances[[#This Row],[Total]]*40%,0)</f>
        <v>0</v>
      </c>
      <c r="D2575" s="29">
        <f>ROUND(Balances[[#This Row],[Total]]*20%,0)</f>
        <v>0</v>
      </c>
      <c r="E2575" s="29">
        <f>ROUND(Balances[[#This Row],[Total]]*40%,0)</f>
        <v>0</v>
      </c>
      <c r="F2575" s="18">
        <f>SUM(Acueducto[[#This Row],[Acueducto]:[Aseo]])</f>
        <v>0</v>
      </c>
    </row>
    <row r="2576" spans="1:6" ht="15" x14ac:dyDescent="0.2">
      <c r="A2576" s="7">
        <v>634503</v>
      </c>
      <c r="B2576" s="3" t="s">
        <v>1107</v>
      </c>
      <c r="C2576" s="29">
        <f>ROUND(Balances[[#This Row],[Total]]*40%,0)</f>
        <v>0</v>
      </c>
      <c r="D2576" s="29">
        <f>ROUND(Balances[[#This Row],[Total]]*20%,0)</f>
        <v>0</v>
      </c>
      <c r="E2576" s="29">
        <f>ROUND(Balances[[#This Row],[Total]]*40%,0)</f>
        <v>0</v>
      </c>
      <c r="F2576" s="18">
        <f>SUM(Acueducto[[#This Row],[Acueducto]:[Aseo]])</f>
        <v>0</v>
      </c>
    </row>
    <row r="2577" spans="1:6" ht="15" x14ac:dyDescent="0.2">
      <c r="A2577" s="7">
        <v>634505</v>
      </c>
      <c r="B2577" s="3" t="s">
        <v>1108</v>
      </c>
      <c r="C2577" s="29">
        <f>ROUND(Balances[[#This Row],[Total]]*40%,0)</f>
        <v>0</v>
      </c>
      <c r="D2577" s="29">
        <f>ROUND(Balances[[#This Row],[Total]]*20%,0)</f>
        <v>0</v>
      </c>
      <c r="E2577" s="29">
        <f>ROUND(Balances[[#This Row],[Total]]*40%,0)</f>
        <v>0</v>
      </c>
      <c r="F2577" s="18">
        <f>SUM(Acueducto[[#This Row],[Acueducto]:[Aseo]])</f>
        <v>0</v>
      </c>
    </row>
    <row r="2578" spans="1:6" ht="15" x14ac:dyDescent="0.2">
      <c r="A2578" s="7">
        <v>634590</v>
      </c>
      <c r="B2578" s="3" t="s">
        <v>1109</v>
      </c>
      <c r="C2578" s="29">
        <f>ROUND(Balances[[#This Row],[Total]]*40%,0)</f>
        <v>0</v>
      </c>
      <c r="D2578" s="29">
        <f>ROUND(Balances[[#This Row],[Total]]*20%,0)</f>
        <v>0</v>
      </c>
      <c r="E2578" s="29">
        <f>ROUND(Balances[[#This Row],[Total]]*40%,0)</f>
        <v>0</v>
      </c>
      <c r="F2578" s="18">
        <f>SUM(Acueducto[[#This Row],[Acueducto]:[Aseo]])</f>
        <v>0</v>
      </c>
    </row>
    <row r="2579" spans="1:6" ht="15" x14ac:dyDescent="0.2">
      <c r="A2579" s="6">
        <v>6350</v>
      </c>
      <c r="B2579" s="2" t="s">
        <v>1134</v>
      </c>
      <c r="C2579" s="28">
        <f>ROUND(Balances[[#This Row],[Total]]*40%,0)</f>
        <v>0</v>
      </c>
      <c r="D2579" s="28">
        <f>ROUND(Balances[[#This Row],[Total]]*20%,0)</f>
        <v>0</v>
      </c>
      <c r="E2579" s="28">
        <f>ROUND(Balances[[#This Row],[Total]]*40%,0)</f>
        <v>0</v>
      </c>
      <c r="F2579" s="17">
        <f>SUM(Acueducto[[#This Row],[Acueducto]:[Aseo]])</f>
        <v>0</v>
      </c>
    </row>
    <row r="2580" spans="1:6" ht="15" x14ac:dyDescent="0.2">
      <c r="A2580" s="7">
        <v>635001</v>
      </c>
      <c r="B2580" s="3" t="s">
        <v>1138</v>
      </c>
      <c r="C2580" s="29">
        <f>ROUND(Balances[[#This Row],[Total]]*40%,0)</f>
        <v>0</v>
      </c>
      <c r="D2580" s="29">
        <f>ROUND(Balances[[#This Row],[Total]]*20%,0)</f>
        <v>0</v>
      </c>
      <c r="E2580" s="29">
        <f>ROUND(Balances[[#This Row],[Total]]*40%,0)</f>
        <v>0</v>
      </c>
      <c r="F2580" s="18">
        <f>SUM(Acueducto[[#This Row],[Acueducto]:[Aseo]])</f>
        <v>0</v>
      </c>
    </row>
    <row r="2581" spans="1:6" ht="15" x14ac:dyDescent="0.2">
      <c r="A2581" s="7">
        <v>635002</v>
      </c>
      <c r="B2581" s="3" t="s">
        <v>1139</v>
      </c>
      <c r="C2581" s="29">
        <f>ROUND(Balances[[#This Row],[Total]]*40%,0)</f>
        <v>0</v>
      </c>
      <c r="D2581" s="29">
        <f>ROUND(Balances[[#This Row],[Total]]*20%,0)</f>
        <v>0</v>
      </c>
      <c r="E2581" s="29">
        <f>ROUND(Balances[[#This Row],[Total]]*40%,0)</f>
        <v>0</v>
      </c>
      <c r="F2581" s="18">
        <f>SUM(Acueducto[[#This Row],[Acueducto]:[Aseo]])</f>
        <v>0</v>
      </c>
    </row>
    <row r="2582" spans="1:6" ht="15" x14ac:dyDescent="0.2">
      <c r="A2582" s="7">
        <v>635090</v>
      </c>
      <c r="B2582" s="3" t="s">
        <v>1423</v>
      </c>
      <c r="C2582" s="29">
        <f>ROUND(Balances[[#This Row],[Total]]*40%,0)</f>
        <v>0</v>
      </c>
      <c r="D2582" s="29">
        <f>ROUND(Balances[[#This Row],[Total]]*20%,0)</f>
        <v>0</v>
      </c>
      <c r="E2582" s="29">
        <f>ROUND(Balances[[#This Row],[Total]]*40%,0)</f>
        <v>0</v>
      </c>
      <c r="F2582" s="18">
        <f>SUM(Acueducto[[#This Row],[Acueducto]:[Aseo]])</f>
        <v>0</v>
      </c>
    </row>
    <row r="2583" spans="1:6" ht="15" x14ac:dyDescent="0.2">
      <c r="A2583" s="6">
        <v>6360</v>
      </c>
      <c r="B2583" s="2" t="s">
        <v>1424</v>
      </c>
      <c r="C2583" s="28">
        <f>ROUND(Balances[[#This Row],[Total]]*40%,0)</f>
        <v>123482730</v>
      </c>
      <c r="D2583" s="28">
        <f>ROUND(Balances[[#This Row],[Total]]*20%,0)</f>
        <v>61741365</v>
      </c>
      <c r="E2583" s="28">
        <f>ROUND(Balances[[#This Row],[Total]]*40%,0)</f>
        <v>123482730</v>
      </c>
      <c r="F2583" s="28">
        <f>SUM(Acueducto[[#This Row],[Acueducto]:[Aseo]])</f>
        <v>308706825</v>
      </c>
    </row>
    <row r="2584" spans="1:6" ht="15" x14ac:dyDescent="0.2">
      <c r="A2584" s="7">
        <v>636002</v>
      </c>
      <c r="B2584" s="3" t="s">
        <v>1425</v>
      </c>
      <c r="C2584" s="29">
        <f>ROUND(Balances[[#This Row],[Total]]*40%,0)</f>
        <v>45791651</v>
      </c>
      <c r="D2584" s="29">
        <f>ROUND(Balances[[#This Row],[Total]]*20%,0)</f>
        <v>22895826</v>
      </c>
      <c r="E2584" s="29">
        <f>ROUND(Balances[[#This Row],[Total]]*40%,0)</f>
        <v>45791651</v>
      </c>
      <c r="F2584" s="29">
        <f>SUM(Acueducto[[#This Row],[Acueducto]:[Aseo]])</f>
        <v>114479128</v>
      </c>
    </row>
    <row r="2585" spans="1:6" ht="15" x14ac:dyDescent="0.2">
      <c r="A2585" s="7">
        <v>636003</v>
      </c>
      <c r="B2585" s="3" t="s">
        <v>1426</v>
      </c>
      <c r="C2585" s="29">
        <f>ROUND(Balances[[#This Row],[Total]]*40%,0)</f>
        <v>26285765</v>
      </c>
      <c r="D2585" s="29">
        <f>ROUND(Balances[[#This Row],[Total]]*20%,0)</f>
        <v>13142882</v>
      </c>
      <c r="E2585" s="29">
        <f>ROUND(Balances[[#This Row],[Total]]*40%,0)</f>
        <v>26285765</v>
      </c>
      <c r="F2585" s="29">
        <f>SUM(Acueducto[[#This Row],[Acueducto]:[Aseo]])</f>
        <v>65714412</v>
      </c>
    </row>
    <row r="2586" spans="1:6" ht="15" x14ac:dyDescent="0.2">
      <c r="A2586" s="7">
        <v>636004</v>
      </c>
      <c r="B2586" s="3" t="s">
        <v>1427</v>
      </c>
      <c r="C2586" s="29">
        <f>ROUND(Balances[[#This Row],[Total]]*40%,0)</f>
        <v>51405314</v>
      </c>
      <c r="D2586" s="29">
        <f>ROUND(Balances[[#This Row],[Total]]*20%,0)</f>
        <v>25702657</v>
      </c>
      <c r="E2586" s="29">
        <f>ROUND(Balances[[#This Row],[Total]]*40%,0)</f>
        <v>51405314</v>
      </c>
      <c r="F2586" s="29">
        <f>SUM(Acueducto[[#This Row],[Acueducto]:[Aseo]])</f>
        <v>128513285</v>
      </c>
    </row>
    <row r="2587" spans="1:6" ht="15" x14ac:dyDescent="0.2">
      <c r="A2587" s="7">
        <v>636005</v>
      </c>
      <c r="B2587" s="3" t="s">
        <v>1428</v>
      </c>
      <c r="C2587" s="29">
        <f>ROUND(Balances[[#This Row],[Total]]*40%,0)</f>
        <v>0</v>
      </c>
      <c r="D2587" s="29">
        <f>ROUND(Balances[[#This Row],[Total]]*20%,0)</f>
        <v>0</v>
      </c>
      <c r="E2587" s="29">
        <f>ROUND(Balances[[#This Row],[Total]]*40%,0)</f>
        <v>0</v>
      </c>
      <c r="F2587" s="18">
        <f>SUM(Acueducto[[#This Row],[Acueducto]:[Aseo]])</f>
        <v>0</v>
      </c>
    </row>
    <row r="2588" spans="1:6" ht="15" x14ac:dyDescent="0.2">
      <c r="A2588" s="7">
        <v>636006</v>
      </c>
      <c r="B2588" s="3" t="s">
        <v>1429</v>
      </c>
      <c r="C2588" s="29">
        <f>ROUND(Balances[[#This Row],[Total]]*40%,0)</f>
        <v>0</v>
      </c>
      <c r="D2588" s="29">
        <f>ROUND(Balances[[#This Row],[Total]]*20%,0)</f>
        <v>0</v>
      </c>
      <c r="E2588" s="29">
        <f>ROUND(Balances[[#This Row],[Total]]*40%,0)</f>
        <v>0</v>
      </c>
      <c r="F2588" s="18">
        <f>SUM(Acueducto[[#This Row],[Acueducto]:[Aseo]])</f>
        <v>0</v>
      </c>
    </row>
    <row r="2589" spans="1:6" ht="15" x14ac:dyDescent="0.2">
      <c r="A2589" s="7">
        <v>636007</v>
      </c>
      <c r="B2589" s="3" t="s">
        <v>1430</v>
      </c>
      <c r="C2589" s="29">
        <f>ROUND(Balances[[#This Row],[Total]]*40%,0)</f>
        <v>0</v>
      </c>
      <c r="D2589" s="29">
        <f>ROUND(Balances[[#This Row],[Total]]*20%,0)</f>
        <v>0</v>
      </c>
      <c r="E2589" s="29">
        <f>ROUND(Balances[[#This Row],[Total]]*40%,0)</f>
        <v>0</v>
      </c>
      <c r="F2589" s="18">
        <f>SUM(Acueducto[[#This Row],[Acueducto]:[Aseo]])</f>
        <v>0</v>
      </c>
    </row>
    <row r="2590" spans="1:6" ht="15" x14ac:dyDescent="0.2">
      <c r="A2590" s="7">
        <v>636090</v>
      </c>
      <c r="B2590" s="3" t="s">
        <v>1431</v>
      </c>
      <c r="C2590" s="29">
        <f>ROUND(Balances[[#This Row],[Total]]*40%,0)</f>
        <v>0</v>
      </c>
      <c r="D2590" s="29">
        <f>ROUND(Balances[[#This Row],[Total]]*20%,0)</f>
        <v>0</v>
      </c>
      <c r="E2590" s="29">
        <f>ROUND(Balances[[#This Row],[Total]]*40%,0)</f>
        <v>0</v>
      </c>
      <c r="F2590" s="18">
        <f>SUM(Acueducto[[#This Row],[Acueducto]:[Aseo]])</f>
        <v>0</v>
      </c>
    </row>
    <row r="2591" spans="1:6" ht="15" x14ac:dyDescent="0.2">
      <c r="A2591" s="6">
        <v>6390</v>
      </c>
      <c r="B2591" s="2" t="s">
        <v>1146</v>
      </c>
      <c r="C2591" s="28">
        <f>ROUND(Balances[[#This Row],[Total]]*40%,0)</f>
        <v>0</v>
      </c>
      <c r="D2591" s="28">
        <f>ROUND(Balances[[#This Row],[Total]]*20%,0)</f>
        <v>0</v>
      </c>
      <c r="E2591" s="28">
        <f>ROUND(Balances[[#This Row],[Total]]*40%,0)</f>
        <v>0</v>
      </c>
      <c r="F2591" s="17">
        <f>SUM(Acueducto[[#This Row],[Acueducto]:[Aseo]])</f>
        <v>0</v>
      </c>
    </row>
    <row r="2592" spans="1:6" ht="15" x14ac:dyDescent="0.2">
      <c r="A2592" s="7">
        <v>639002</v>
      </c>
      <c r="B2592" s="3" t="s">
        <v>127</v>
      </c>
      <c r="C2592" s="29">
        <f>ROUND(Balances[[#This Row],[Total]]*40%,0)</f>
        <v>0</v>
      </c>
      <c r="D2592" s="29">
        <f>ROUND(Balances[[#This Row],[Total]]*20%,0)</f>
        <v>0</v>
      </c>
      <c r="E2592" s="29">
        <f>ROUND(Balances[[#This Row],[Total]]*40%,0)</f>
        <v>0</v>
      </c>
      <c r="F2592" s="18">
        <f>SUM(Acueducto[[#This Row],[Acueducto]:[Aseo]])</f>
        <v>0</v>
      </c>
    </row>
    <row r="2593" spans="1:6" ht="15" x14ac:dyDescent="0.2">
      <c r="A2593" s="7">
        <v>639004</v>
      </c>
      <c r="B2593" s="3" t="s">
        <v>131</v>
      </c>
      <c r="C2593" s="29">
        <f>ROUND(Balances[[#This Row],[Total]]*40%,0)</f>
        <v>0</v>
      </c>
      <c r="D2593" s="29">
        <f>ROUND(Balances[[#This Row],[Total]]*20%,0)</f>
        <v>0</v>
      </c>
      <c r="E2593" s="29">
        <f>ROUND(Balances[[#This Row],[Total]]*40%,0)</f>
        <v>0</v>
      </c>
      <c r="F2593" s="18">
        <f>SUM(Acueducto[[#This Row],[Acueducto]:[Aseo]])</f>
        <v>0</v>
      </c>
    </row>
    <row r="2594" spans="1:6" ht="15" x14ac:dyDescent="0.2">
      <c r="A2594" s="7">
        <v>639006</v>
      </c>
      <c r="B2594" s="3" t="s">
        <v>128</v>
      </c>
      <c r="C2594" s="29">
        <f>ROUND(Balances[[#This Row],[Total]]*40%,0)</f>
        <v>0</v>
      </c>
      <c r="D2594" s="29">
        <f>ROUND(Balances[[#This Row],[Total]]*20%,0)</f>
        <v>0</v>
      </c>
      <c r="E2594" s="29">
        <f>ROUND(Balances[[#This Row],[Total]]*40%,0)</f>
        <v>0</v>
      </c>
      <c r="F2594" s="18">
        <f>SUM(Acueducto[[#This Row],[Acueducto]:[Aseo]])</f>
        <v>0</v>
      </c>
    </row>
    <row r="2595" spans="1:6" ht="15" x14ac:dyDescent="0.2">
      <c r="A2595" s="7">
        <v>639007</v>
      </c>
      <c r="B2595" s="3" t="s">
        <v>138</v>
      </c>
      <c r="C2595" s="29">
        <f>ROUND(Balances[[#This Row],[Total]]*40%,0)</f>
        <v>0</v>
      </c>
      <c r="D2595" s="29">
        <f>ROUND(Balances[[#This Row],[Total]]*20%,0)</f>
        <v>0</v>
      </c>
      <c r="E2595" s="29">
        <f>ROUND(Balances[[#This Row],[Total]]*40%,0)</f>
        <v>0</v>
      </c>
      <c r="F2595" s="18">
        <f>SUM(Acueducto[[#This Row],[Acueducto]:[Aseo]])</f>
        <v>0</v>
      </c>
    </row>
    <row r="2596" spans="1:6" ht="15" x14ac:dyDescent="0.2">
      <c r="A2596" s="7">
        <v>639008</v>
      </c>
      <c r="B2596" s="3" t="s">
        <v>129</v>
      </c>
      <c r="C2596" s="29">
        <f>ROUND(Balances[[#This Row],[Total]]*40%,0)</f>
        <v>0</v>
      </c>
      <c r="D2596" s="29">
        <f>ROUND(Balances[[#This Row],[Total]]*20%,0)</f>
        <v>0</v>
      </c>
      <c r="E2596" s="29">
        <f>ROUND(Balances[[#This Row],[Total]]*40%,0)</f>
        <v>0</v>
      </c>
      <c r="F2596" s="18">
        <f>SUM(Acueducto[[#This Row],[Acueducto]:[Aseo]])</f>
        <v>0</v>
      </c>
    </row>
    <row r="2597" spans="1:6" ht="15" x14ac:dyDescent="0.2">
      <c r="A2597" s="7">
        <v>639010</v>
      </c>
      <c r="B2597" s="3" t="s">
        <v>141</v>
      </c>
      <c r="C2597" s="29">
        <f>ROUND(Balances[[#This Row],[Total]]*40%,0)</f>
        <v>0</v>
      </c>
      <c r="D2597" s="29">
        <f>ROUND(Balances[[#This Row],[Total]]*20%,0)</f>
        <v>0</v>
      </c>
      <c r="E2597" s="29">
        <f>ROUND(Balances[[#This Row],[Total]]*40%,0)</f>
        <v>0</v>
      </c>
      <c r="F2597" s="18">
        <f>SUM(Acueducto[[#This Row],[Acueducto]:[Aseo]])</f>
        <v>0</v>
      </c>
    </row>
    <row r="2598" spans="1:6" ht="15" x14ac:dyDescent="0.2">
      <c r="A2598" s="7">
        <v>639012</v>
      </c>
      <c r="B2598" s="3" t="s">
        <v>149</v>
      </c>
      <c r="C2598" s="29">
        <f>ROUND(Balances[[#This Row],[Total]]*40%,0)</f>
        <v>0</v>
      </c>
      <c r="D2598" s="29">
        <f>ROUND(Balances[[#This Row],[Total]]*20%,0)</f>
        <v>0</v>
      </c>
      <c r="E2598" s="29">
        <f>ROUND(Balances[[#This Row],[Total]]*40%,0)</f>
        <v>0</v>
      </c>
      <c r="F2598" s="18">
        <f>SUM(Acueducto[[#This Row],[Acueducto]:[Aseo]])</f>
        <v>0</v>
      </c>
    </row>
    <row r="2599" spans="1:6" ht="15" x14ac:dyDescent="0.2">
      <c r="A2599" s="7">
        <v>639013</v>
      </c>
      <c r="B2599" s="3" t="s">
        <v>146</v>
      </c>
      <c r="C2599" s="29">
        <f>ROUND(Balances[[#This Row],[Total]]*40%,0)</f>
        <v>0</v>
      </c>
      <c r="D2599" s="29">
        <f>ROUND(Balances[[#This Row],[Total]]*20%,0)</f>
        <v>0</v>
      </c>
      <c r="E2599" s="29">
        <f>ROUND(Balances[[#This Row],[Total]]*40%,0)</f>
        <v>0</v>
      </c>
      <c r="F2599" s="18">
        <f>SUM(Acueducto[[#This Row],[Acueducto]:[Aseo]])</f>
        <v>0</v>
      </c>
    </row>
    <row r="2600" spans="1:6" ht="15" x14ac:dyDescent="0.2">
      <c r="A2600" s="7">
        <v>639014</v>
      </c>
      <c r="B2600" s="3" t="s">
        <v>148</v>
      </c>
      <c r="C2600" s="29">
        <f>ROUND(Balances[[#This Row],[Total]]*40%,0)</f>
        <v>0</v>
      </c>
      <c r="D2600" s="29">
        <f>ROUND(Balances[[#This Row],[Total]]*20%,0)</f>
        <v>0</v>
      </c>
      <c r="E2600" s="29">
        <f>ROUND(Balances[[#This Row],[Total]]*40%,0)</f>
        <v>0</v>
      </c>
      <c r="F2600" s="18">
        <f>SUM(Acueducto[[#This Row],[Acueducto]:[Aseo]])</f>
        <v>0</v>
      </c>
    </row>
    <row r="2601" spans="1:6" ht="15" x14ac:dyDescent="0.2">
      <c r="A2601" s="7">
        <v>639090</v>
      </c>
      <c r="B2601" s="3" t="s">
        <v>150</v>
      </c>
      <c r="C2601" s="29">
        <f>ROUND(Balances[[#This Row],[Total]]*40%,0)</f>
        <v>0</v>
      </c>
      <c r="D2601" s="29">
        <f>ROUND(Balances[[#This Row],[Total]]*20%,0)</f>
        <v>0</v>
      </c>
      <c r="E2601" s="29">
        <f>ROUND(Balances[[#This Row],[Total]]*40%,0)</f>
        <v>0</v>
      </c>
      <c r="F2601" s="18">
        <f>SUM(Acueducto[[#This Row],[Acueducto]:[Aseo]])</f>
        <v>0</v>
      </c>
    </row>
    <row r="2602" spans="1:6" ht="15" x14ac:dyDescent="0.2">
      <c r="A2602" s="6">
        <v>7</v>
      </c>
      <c r="B2602" s="2" t="s">
        <v>1432</v>
      </c>
      <c r="C2602" s="28">
        <f>ROUND(Balances[[#This Row],[Total]]*40%,0)</f>
        <v>0</v>
      </c>
      <c r="D2602" s="28">
        <f>ROUND(Balances[[#This Row],[Total]]*20%,0)</f>
        <v>0</v>
      </c>
      <c r="E2602" s="28">
        <f>ROUND(Balances[[#This Row],[Total]]*40%,0)</f>
        <v>0</v>
      </c>
      <c r="F2602" s="28">
        <f>SUM(Acueducto[[#This Row],[Acueducto]:[Aseo]])</f>
        <v>0</v>
      </c>
    </row>
    <row r="2603" spans="1:6" ht="15" x14ac:dyDescent="0.2">
      <c r="A2603" s="6">
        <v>71</v>
      </c>
      <c r="B2603" s="2" t="s">
        <v>1433</v>
      </c>
      <c r="C2603" s="28">
        <f>ROUND(Balances[[#This Row],[Total]]*40%,0)</f>
        <v>0</v>
      </c>
      <c r="D2603" s="28">
        <f>ROUND(Balances[[#This Row],[Total]]*20%,0)</f>
        <v>0</v>
      </c>
      <c r="E2603" s="28">
        <f>ROUND(Balances[[#This Row],[Total]]*40%,0)</f>
        <v>0</v>
      </c>
      <c r="F2603" s="17">
        <f>SUM(Acueducto[[#This Row],[Acueducto]:[Aseo]])</f>
        <v>0</v>
      </c>
    </row>
    <row r="2604" spans="1:6" ht="15" x14ac:dyDescent="0.2">
      <c r="A2604" s="6">
        <v>7116</v>
      </c>
      <c r="B2604" s="2" t="s">
        <v>1434</v>
      </c>
      <c r="C2604" s="28">
        <f>ROUND(Balances[[#This Row],[Total]]*40%,0)</f>
        <v>0</v>
      </c>
      <c r="D2604" s="28">
        <f>ROUND(Balances[[#This Row],[Total]]*20%,0)</f>
        <v>0</v>
      </c>
      <c r="E2604" s="28">
        <f>ROUND(Balances[[#This Row],[Total]]*40%,0)</f>
        <v>0</v>
      </c>
      <c r="F2604" s="17">
        <f>SUM(Acueducto[[#This Row],[Acueducto]:[Aseo]])</f>
        <v>0</v>
      </c>
    </row>
    <row r="2605" spans="1:6" ht="15" x14ac:dyDescent="0.2">
      <c r="A2605" s="7">
        <v>711601</v>
      </c>
      <c r="B2605" s="3" t="s">
        <v>1435</v>
      </c>
      <c r="C2605" s="29">
        <f>ROUND(Balances[[#This Row],[Total]]*40%,0)</f>
        <v>0</v>
      </c>
      <c r="D2605" s="29">
        <f>ROUND(Balances[[#This Row],[Total]]*20%,0)</f>
        <v>0</v>
      </c>
      <c r="E2605" s="29">
        <f>ROUND(Balances[[#This Row],[Total]]*40%,0)</f>
        <v>0</v>
      </c>
      <c r="F2605" s="18">
        <f>SUM(Acueducto[[#This Row],[Acueducto]:[Aseo]])</f>
        <v>0</v>
      </c>
    </row>
    <row r="2606" spans="1:6" ht="15" x14ac:dyDescent="0.2">
      <c r="A2606" s="7">
        <v>711602</v>
      </c>
      <c r="B2606" s="3" t="s">
        <v>1436</v>
      </c>
      <c r="C2606" s="29">
        <f>ROUND(Balances[[#This Row],[Total]]*40%,0)</f>
        <v>0</v>
      </c>
      <c r="D2606" s="29">
        <f>ROUND(Balances[[#This Row],[Total]]*20%,0)</f>
        <v>0</v>
      </c>
      <c r="E2606" s="29">
        <f>ROUND(Balances[[#This Row],[Total]]*40%,0)</f>
        <v>0</v>
      </c>
      <c r="F2606" s="18">
        <f>SUM(Acueducto[[#This Row],[Acueducto]:[Aseo]])</f>
        <v>0</v>
      </c>
    </row>
    <row r="2607" spans="1:6" ht="15" x14ac:dyDescent="0.2">
      <c r="A2607" s="7">
        <v>711603</v>
      </c>
      <c r="B2607" s="3" t="s">
        <v>1437</v>
      </c>
      <c r="C2607" s="29">
        <f>ROUND(Balances[[#This Row],[Total]]*40%,0)</f>
        <v>0</v>
      </c>
      <c r="D2607" s="29">
        <f>ROUND(Balances[[#This Row],[Total]]*20%,0)</f>
        <v>0</v>
      </c>
      <c r="E2607" s="29">
        <f>ROUND(Balances[[#This Row],[Total]]*40%,0)</f>
        <v>0</v>
      </c>
      <c r="F2607" s="18">
        <f>SUM(Acueducto[[#This Row],[Acueducto]:[Aseo]])</f>
        <v>0</v>
      </c>
    </row>
    <row r="2608" spans="1:6" ht="15" x14ac:dyDescent="0.2">
      <c r="A2608" s="7">
        <v>711604</v>
      </c>
      <c r="B2608" s="3" t="s">
        <v>568</v>
      </c>
      <c r="C2608" s="29">
        <f>ROUND(Balances[[#This Row],[Total]]*40%,0)</f>
        <v>0</v>
      </c>
      <c r="D2608" s="29">
        <f>ROUND(Balances[[#This Row],[Total]]*20%,0)</f>
        <v>0</v>
      </c>
      <c r="E2608" s="29">
        <f>ROUND(Balances[[#This Row],[Total]]*40%,0)</f>
        <v>0</v>
      </c>
      <c r="F2608" s="18">
        <f>SUM(Acueducto[[#This Row],[Acueducto]:[Aseo]])</f>
        <v>0</v>
      </c>
    </row>
    <row r="2609" spans="1:6" ht="15" x14ac:dyDescent="0.2">
      <c r="A2609" s="7">
        <v>711605</v>
      </c>
      <c r="B2609" s="3" t="s">
        <v>1438</v>
      </c>
      <c r="C2609" s="29">
        <f>ROUND(Balances[[#This Row],[Total]]*40%,0)</f>
        <v>0</v>
      </c>
      <c r="D2609" s="29">
        <f>ROUND(Balances[[#This Row],[Total]]*20%,0)</f>
        <v>0</v>
      </c>
      <c r="E2609" s="29">
        <f>ROUND(Balances[[#This Row],[Total]]*40%,0)</f>
        <v>0</v>
      </c>
      <c r="F2609" s="18">
        <f>SUM(Acueducto[[#This Row],[Acueducto]:[Aseo]])</f>
        <v>0</v>
      </c>
    </row>
    <row r="2610" spans="1:6" ht="15" x14ac:dyDescent="0.2">
      <c r="A2610" s="7">
        <v>711606</v>
      </c>
      <c r="B2610" s="3" t="s">
        <v>569</v>
      </c>
      <c r="C2610" s="29">
        <f>ROUND(Balances[[#This Row],[Total]]*40%,0)</f>
        <v>0</v>
      </c>
      <c r="D2610" s="29">
        <f>ROUND(Balances[[#This Row],[Total]]*20%,0)</f>
        <v>0</v>
      </c>
      <c r="E2610" s="29">
        <f>ROUND(Balances[[#This Row],[Total]]*40%,0)</f>
        <v>0</v>
      </c>
      <c r="F2610" s="18">
        <f>SUM(Acueducto[[#This Row],[Acueducto]:[Aseo]])</f>
        <v>0</v>
      </c>
    </row>
    <row r="2611" spans="1:6" ht="15" x14ac:dyDescent="0.2">
      <c r="A2611" s="7">
        <v>711607</v>
      </c>
      <c r="B2611" s="3" t="s">
        <v>1439</v>
      </c>
      <c r="C2611" s="29">
        <f>ROUND(Balances[[#This Row],[Total]]*40%,0)</f>
        <v>0</v>
      </c>
      <c r="D2611" s="29">
        <f>ROUND(Balances[[#This Row],[Total]]*20%,0)</f>
        <v>0</v>
      </c>
      <c r="E2611" s="29">
        <f>ROUND(Balances[[#This Row],[Total]]*40%,0)</f>
        <v>0</v>
      </c>
      <c r="F2611" s="18">
        <f>SUM(Acueducto[[#This Row],[Acueducto]:[Aseo]])</f>
        <v>0</v>
      </c>
    </row>
    <row r="2612" spans="1:6" ht="15" x14ac:dyDescent="0.2">
      <c r="A2612" s="7">
        <v>711608</v>
      </c>
      <c r="B2612" s="3" t="s">
        <v>1440</v>
      </c>
      <c r="C2612" s="29">
        <f>ROUND(Balances[[#This Row],[Total]]*40%,0)</f>
        <v>0</v>
      </c>
      <c r="D2612" s="29">
        <f>ROUND(Balances[[#This Row],[Total]]*20%,0)</f>
        <v>0</v>
      </c>
      <c r="E2612" s="29">
        <f>ROUND(Balances[[#This Row],[Total]]*40%,0)</f>
        <v>0</v>
      </c>
      <c r="F2612" s="18">
        <f>SUM(Acueducto[[#This Row],[Acueducto]:[Aseo]])</f>
        <v>0</v>
      </c>
    </row>
    <row r="2613" spans="1:6" ht="15" x14ac:dyDescent="0.2">
      <c r="A2613" s="7">
        <v>711609</v>
      </c>
      <c r="B2613" s="3" t="s">
        <v>1441</v>
      </c>
      <c r="C2613" s="29">
        <f>ROUND(Balances[[#This Row],[Total]]*40%,0)</f>
        <v>0</v>
      </c>
      <c r="D2613" s="29">
        <f>ROUND(Balances[[#This Row],[Total]]*20%,0)</f>
        <v>0</v>
      </c>
      <c r="E2613" s="29">
        <f>ROUND(Balances[[#This Row],[Total]]*40%,0)</f>
        <v>0</v>
      </c>
      <c r="F2613" s="18">
        <f>SUM(Acueducto[[#This Row],[Acueducto]:[Aseo]])</f>
        <v>0</v>
      </c>
    </row>
    <row r="2614" spans="1:6" ht="15" x14ac:dyDescent="0.2">
      <c r="A2614" s="7">
        <v>711610</v>
      </c>
      <c r="B2614" s="3" t="s">
        <v>1442</v>
      </c>
      <c r="C2614" s="29">
        <f>ROUND(Balances[[#This Row],[Total]]*40%,0)</f>
        <v>0</v>
      </c>
      <c r="D2614" s="29">
        <f>ROUND(Balances[[#This Row],[Total]]*20%,0)</f>
        <v>0</v>
      </c>
      <c r="E2614" s="29">
        <f>ROUND(Balances[[#This Row],[Total]]*40%,0)</f>
        <v>0</v>
      </c>
      <c r="F2614" s="18">
        <f>SUM(Acueducto[[#This Row],[Acueducto]:[Aseo]])</f>
        <v>0</v>
      </c>
    </row>
    <row r="2615" spans="1:6" ht="15" x14ac:dyDescent="0.2">
      <c r="A2615" s="7">
        <v>711611</v>
      </c>
      <c r="B2615" s="3" t="s">
        <v>1443</v>
      </c>
      <c r="C2615" s="29">
        <f>ROUND(Balances[[#This Row],[Total]]*40%,0)</f>
        <v>0</v>
      </c>
      <c r="D2615" s="29">
        <f>ROUND(Balances[[#This Row],[Total]]*20%,0)</f>
        <v>0</v>
      </c>
      <c r="E2615" s="29">
        <f>ROUND(Balances[[#This Row],[Total]]*40%,0)</f>
        <v>0</v>
      </c>
      <c r="F2615" s="18">
        <f>SUM(Acueducto[[#This Row],[Acueducto]:[Aseo]])</f>
        <v>0</v>
      </c>
    </row>
    <row r="2616" spans="1:6" ht="15" x14ac:dyDescent="0.2">
      <c r="A2616" s="7">
        <v>711695</v>
      </c>
      <c r="B2616" s="3" t="s">
        <v>1444</v>
      </c>
      <c r="C2616" s="29">
        <f>ROUND(Balances[[#This Row],[Total]]*40%,0)</f>
        <v>0</v>
      </c>
      <c r="D2616" s="29">
        <f>ROUND(Balances[[#This Row],[Total]]*20%,0)</f>
        <v>0</v>
      </c>
      <c r="E2616" s="29">
        <f>ROUND(Balances[[#This Row],[Total]]*40%,0)</f>
        <v>0</v>
      </c>
      <c r="F2616" s="18">
        <f>SUM(Acueducto[[#This Row],[Acueducto]:[Aseo]])</f>
        <v>0</v>
      </c>
    </row>
    <row r="2617" spans="1:6" ht="15" x14ac:dyDescent="0.2">
      <c r="A2617" s="6">
        <v>7120</v>
      </c>
      <c r="B2617" s="2" t="s">
        <v>1445</v>
      </c>
      <c r="C2617" s="28">
        <f>ROUND(Balances[[#This Row],[Total]]*40%,0)</f>
        <v>0</v>
      </c>
      <c r="D2617" s="28">
        <f>ROUND(Balances[[#This Row],[Total]]*20%,0)</f>
        <v>0</v>
      </c>
      <c r="E2617" s="28">
        <f>ROUND(Balances[[#This Row],[Total]]*40%,0)</f>
        <v>0</v>
      </c>
      <c r="F2617" s="17">
        <f>SUM(Acueducto[[#This Row],[Acueducto]:[Aseo]])</f>
        <v>0</v>
      </c>
    </row>
    <row r="2618" spans="1:6" ht="15" x14ac:dyDescent="0.2">
      <c r="A2618" s="7">
        <v>712001</v>
      </c>
      <c r="B2618" s="3" t="s">
        <v>1435</v>
      </c>
      <c r="C2618" s="29">
        <f>ROUND(Balances[[#This Row],[Total]]*40%,0)</f>
        <v>0</v>
      </c>
      <c r="D2618" s="29">
        <f>ROUND(Balances[[#This Row],[Total]]*20%,0)</f>
        <v>0</v>
      </c>
      <c r="E2618" s="29">
        <f>ROUND(Balances[[#This Row],[Total]]*40%,0)</f>
        <v>0</v>
      </c>
      <c r="F2618" s="18">
        <f>SUM(Acueducto[[#This Row],[Acueducto]:[Aseo]])</f>
        <v>0</v>
      </c>
    </row>
    <row r="2619" spans="1:6" ht="15" x14ac:dyDescent="0.2">
      <c r="A2619" s="7">
        <v>712002</v>
      </c>
      <c r="B2619" s="3" t="s">
        <v>1436</v>
      </c>
      <c r="C2619" s="29">
        <f>ROUND(Balances[[#This Row],[Total]]*40%,0)</f>
        <v>0</v>
      </c>
      <c r="D2619" s="29">
        <f>ROUND(Balances[[#This Row],[Total]]*20%,0)</f>
        <v>0</v>
      </c>
      <c r="E2619" s="29">
        <f>ROUND(Balances[[#This Row],[Total]]*40%,0)</f>
        <v>0</v>
      </c>
      <c r="F2619" s="18">
        <f>SUM(Acueducto[[#This Row],[Acueducto]:[Aseo]])</f>
        <v>0</v>
      </c>
    </row>
    <row r="2620" spans="1:6" ht="15" x14ac:dyDescent="0.2">
      <c r="A2620" s="7">
        <v>712003</v>
      </c>
      <c r="B2620" s="3" t="s">
        <v>1437</v>
      </c>
      <c r="C2620" s="29">
        <f>ROUND(Balances[[#This Row],[Total]]*40%,0)</f>
        <v>0</v>
      </c>
      <c r="D2620" s="29">
        <f>ROUND(Balances[[#This Row],[Total]]*20%,0)</f>
        <v>0</v>
      </c>
      <c r="E2620" s="29">
        <f>ROUND(Balances[[#This Row],[Total]]*40%,0)</f>
        <v>0</v>
      </c>
      <c r="F2620" s="18">
        <f>SUM(Acueducto[[#This Row],[Acueducto]:[Aseo]])</f>
        <v>0</v>
      </c>
    </row>
    <row r="2621" spans="1:6" ht="15" x14ac:dyDescent="0.2">
      <c r="A2621" s="7">
        <v>712004</v>
      </c>
      <c r="B2621" s="3" t="s">
        <v>568</v>
      </c>
      <c r="C2621" s="29">
        <f>ROUND(Balances[[#This Row],[Total]]*40%,0)</f>
        <v>0</v>
      </c>
      <c r="D2621" s="29">
        <f>ROUND(Balances[[#This Row],[Total]]*20%,0)</f>
        <v>0</v>
      </c>
      <c r="E2621" s="29">
        <f>ROUND(Balances[[#This Row],[Total]]*40%,0)</f>
        <v>0</v>
      </c>
      <c r="F2621" s="18">
        <f>SUM(Acueducto[[#This Row],[Acueducto]:[Aseo]])</f>
        <v>0</v>
      </c>
    </row>
    <row r="2622" spans="1:6" ht="15" x14ac:dyDescent="0.2">
      <c r="A2622" s="7">
        <v>712005</v>
      </c>
      <c r="B2622" s="3" t="s">
        <v>1438</v>
      </c>
      <c r="C2622" s="29">
        <f>ROUND(Balances[[#This Row],[Total]]*40%,0)</f>
        <v>0</v>
      </c>
      <c r="D2622" s="29">
        <f>ROUND(Balances[[#This Row],[Total]]*20%,0)</f>
        <v>0</v>
      </c>
      <c r="E2622" s="29">
        <f>ROUND(Balances[[#This Row],[Total]]*40%,0)</f>
        <v>0</v>
      </c>
      <c r="F2622" s="18">
        <f>SUM(Acueducto[[#This Row],[Acueducto]:[Aseo]])</f>
        <v>0</v>
      </c>
    </row>
    <row r="2623" spans="1:6" ht="15" x14ac:dyDescent="0.2">
      <c r="A2623" s="7">
        <v>712006</v>
      </c>
      <c r="B2623" s="3" t="s">
        <v>569</v>
      </c>
      <c r="C2623" s="29">
        <f>ROUND(Balances[[#This Row],[Total]]*40%,0)</f>
        <v>0</v>
      </c>
      <c r="D2623" s="29">
        <f>ROUND(Balances[[#This Row],[Total]]*20%,0)</f>
        <v>0</v>
      </c>
      <c r="E2623" s="29">
        <f>ROUND(Balances[[#This Row],[Total]]*40%,0)</f>
        <v>0</v>
      </c>
      <c r="F2623" s="18">
        <f>SUM(Acueducto[[#This Row],[Acueducto]:[Aseo]])</f>
        <v>0</v>
      </c>
    </row>
    <row r="2624" spans="1:6" ht="15" x14ac:dyDescent="0.2">
      <c r="A2624" s="7">
        <v>712007</v>
      </c>
      <c r="B2624" s="3" t="s">
        <v>1439</v>
      </c>
      <c r="C2624" s="29">
        <f>ROUND(Balances[[#This Row],[Total]]*40%,0)</f>
        <v>0</v>
      </c>
      <c r="D2624" s="29">
        <f>ROUND(Balances[[#This Row],[Total]]*20%,0)</f>
        <v>0</v>
      </c>
      <c r="E2624" s="29">
        <f>ROUND(Balances[[#This Row],[Total]]*40%,0)</f>
        <v>0</v>
      </c>
      <c r="F2624" s="18">
        <f>SUM(Acueducto[[#This Row],[Acueducto]:[Aseo]])</f>
        <v>0</v>
      </c>
    </row>
    <row r="2625" spans="1:6" ht="15" x14ac:dyDescent="0.2">
      <c r="A2625" s="7">
        <v>712008</v>
      </c>
      <c r="B2625" s="3" t="s">
        <v>1440</v>
      </c>
      <c r="C2625" s="29">
        <f>ROUND(Balances[[#This Row],[Total]]*40%,0)</f>
        <v>0</v>
      </c>
      <c r="D2625" s="29">
        <f>ROUND(Balances[[#This Row],[Total]]*20%,0)</f>
        <v>0</v>
      </c>
      <c r="E2625" s="29">
        <f>ROUND(Balances[[#This Row],[Total]]*40%,0)</f>
        <v>0</v>
      </c>
      <c r="F2625" s="18">
        <f>SUM(Acueducto[[#This Row],[Acueducto]:[Aseo]])</f>
        <v>0</v>
      </c>
    </row>
    <row r="2626" spans="1:6" ht="15" x14ac:dyDescent="0.2">
      <c r="A2626" s="7">
        <v>712009</v>
      </c>
      <c r="B2626" s="3" t="s">
        <v>1441</v>
      </c>
      <c r="C2626" s="29">
        <f>ROUND(Balances[[#This Row],[Total]]*40%,0)</f>
        <v>0</v>
      </c>
      <c r="D2626" s="29">
        <f>ROUND(Balances[[#This Row],[Total]]*20%,0)</f>
        <v>0</v>
      </c>
      <c r="E2626" s="29">
        <f>ROUND(Balances[[#This Row],[Total]]*40%,0)</f>
        <v>0</v>
      </c>
      <c r="F2626" s="18">
        <f>SUM(Acueducto[[#This Row],[Acueducto]:[Aseo]])</f>
        <v>0</v>
      </c>
    </row>
    <row r="2627" spans="1:6" ht="15" x14ac:dyDescent="0.2">
      <c r="A2627" s="7">
        <v>712010</v>
      </c>
      <c r="B2627" s="3" t="s">
        <v>1442</v>
      </c>
      <c r="C2627" s="29">
        <f>ROUND(Balances[[#This Row],[Total]]*40%,0)</f>
        <v>0</v>
      </c>
      <c r="D2627" s="29">
        <f>ROUND(Balances[[#This Row],[Total]]*20%,0)</f>
        <v>0</v>
      </c>
      <c r="E2627" s="29">
        <f>ROUND(Balances[[#This Row],[Total]]*40%,0)</f>
        <v>0</v>
      </c>
      <c r="F2627" s="18">
        <f>SUM(Acueducto[[#This Row],[Acueducto]:[Aseo]])</f>
        <v>0</v>
      </c>
    </row>
    <row r="2628" spans="1:6" ht="15" x14ac:dyDescent="0.2">
      <c r="A2628" s="7">
        <v>712011</v>
      </c>
      <c r="B2628" s="3" t="s">
        <v>1443</v>
      </c>
      <c r="C2628" s="29">
        <f>ROUND(Balances[[#This Row],[Total]]*40%,0)</f>
        <v>0</v>
      </c>
      <c r="D2628" s="29">
        <f>ROUND(Balances[[#This Row],[Total]]*20%,0)</f>
        <v>0</v>
      </c>
      <c r="E2628" s="29">
        <f>ROUND(Balances[[#This Row],[Total]]*40%,0)</f>
        <v>0</v>
      </c>
      <c r="F2628" s="18">
        <f>SUM(Acueducto[[#This Row],[Acueducto]:[Aseo]])</f>
        <v>0</v>
      </c>
    </row>
    <row r="2629" spans="1:6" ht="15" x14ac:dyDescent="0.2">
      <c r="A2629" s="7">
        <v>712095</v>
      </c>
      <c r="B2629" s="3" t="s">
        <v>1444</v>
      </c>
      <c r="C2629" s="29">
        <f>ROUND(Balances[[#This Row],[Total]]*40%,0)</f>
        <v>0</v>
      </c>
      <c r="D2629" s="29">
        <f>ROUND(Balances[[#This Row],[Total]]*20%,0)</f>
        <v>0</v>
      </c>
      <c r="E2629" s="29">
        <f>ROUND(Balances[[#This Row],[Total]]*40%,0)</f>
        <v>0</v>
      </c>
      <c r="F2629" s="18">
        <f>SUM(Acueducto[[#This Row],[Acueducto]:[Aseo]])</f>
        <v>0</v>
      </c>
    </row>
    <row r="2630" spans="1:6" ht="15" x14ac:dyDescent="0.2">
      <c r="A2630" s="6">
        <v>7122</v>
      </c>
      <c r="B2630" s="2" t="s">
        <v>1446</v>
      </c>
      <c r="C2630" s="28">
        <f>ROUND(Balances[[#This Row],[Total]]*40%,0)</f>
        <v>0</v>
      </c>
      <c r="D2630" s="28">
        <f>ROUND(Balances[[#This Row],[Total]]*20%,0)</f>
        <v>0</v>
      </c>
      <c r="E2630" s="28">
        <f>ROUND(Balances[[#This Row],[Total]]*40%,0)</f>
        <v>0</v>
      </c>
      <c r="F2630" s="17">
        <f>SUM(Acueducto[[#This Row],[Acueducto]:[Aseo]])</f>
        <v>0</v>
      </c>
    </row>
    <row r="2631" spans="1:6" ht="15" x14ac:dyDescent="0.2">
      <c r="A2631" s="7">
        <v>712201</v>
      </c>
      <c r="B2631" s="3" t="s">
        <v>1435</v>
      </c>
      <c r="C2631" s="29">
        <f>ROUND(Balances[[#This Row],[Total]]*40%,0)</f>
        <v>0</v>
      </c>
      <c r="D2631" s="29">
        <f>ROUND(Balances[[#This Row],[Total]]*20%,0)</f>
        <v>0</v>
      </c>
      <c r="E2631" s="29">
        <f>ROUND(Balances[[#This Row],[Total]]*40%,0)</f>
        <v>0</v>
      </c>
      <c r="F2631" s="18">
        <f>SUM(Acueducto[[#This Row],[Acueducto]:[Aseo]])</f>
        <v>0</v>
      </c>
    </row>
    <row r="2632" spans="1:6" ht="15" x14ac:dyDescent="0.2">
      <c r="A2632" s="7">
        <v>712202</v>
      </c>
      <c r="B2632" s="3" t="s">
        <v>1436</v>
      </c>
      <c r="C2632" s="29">
        <f>ROUND(Balances[[#This Row],[Total]]*40%,0)</f>
        <v>0</v>
      </c>
      <c r="D2632" s="29">
        <f>ROUND(Balances[[#This Row],[Total]]*20%,0)</f>
        <v>0</v>
      </c>
      <c r="E2632" s="29">
        <f>ROUND(Balances[[#This Row],[Total]]*40%,0)</f>
        <v>0</v>
      </c>
      <c r="F2632" s="18">
        <f>SUM(Acueducto[[#This Row],[Acueducto]:[Aseo]])</f>
        <v>0</v>
      </c>
    </row>
    <row r="2633" spans="1:6" ht="15" x14ac:dyDescent="0.2">
      <c r="A2633" s="7">
        <v>712203</v>
      </c>
      <c r="B2633" s="3" t="s">
        <v>1437</v>
      </c>
      <c r="C2633" s="29">
        <f>ROUND(Balances[[#This Row],[Total]]*40%,0)</f>
        <v>0</v>
      </c>
      <c r="D2633" s="29">
        <f>ROUND(Balances[[#This Row],[Total]]*20%,0)</f>
        <v>0</v>
      </c>
      <c r="E2633" s="29">
        <f>ROUND(Balances[[#This Row],[Total]]*40%,0)</f>
        <v>0</v>
      </c>
      <c r="F2633" s="18">
        <f>SUM(Acueducto[[#This Row],[Acueducto]:[Aseo]])</f>
        <v>0</v>
      </c>
    </row>
    <row r="2634" spans="1:6" ht="15" x14ac:dyDescent="0.2">
      <c r="A2634" s="7">
        <v>712204</v>
      </c>
      <c r="B2634" s="3" t="s">
        <v>568</v>
      </c>
      <c r="C2634" s="29">
        <f>ROUND(Balances[[#This Row],[Total]]*40%,0)</f>
        <v>0</v>
      </c>
      <c r="D2634" s="29">
        <f>ROUND(Balances[[#This Row],[Total]]*20%,0)</f>
        <v>0</v>
      </c>
      <c r="E2634" s="29">
        <f>ROUND(Balances[[#This Row],[Total]]*40%,0)</f>
        <v>0</v>
      </c>
      <c r="F2634" s="18">
        <f>SUM(Acueducto[[#This Row],[Acueducto]:[Aseo]])</f>
        <v>0</v>
      </c>
    </row>
    <row r="2635" spans="1:6" ht="15" x14ac:dyDescent="0.2">
      <c r="A2635" s="7">
        <v>712205</v>
      </c>
      <c r="B2635" s="3" t="s">
        <v>1438</v>
      </c>
      <c r="C2635" s="29">
        <f>ROUND(Balances[[#This Row],[Total]]*40%,0)</f>
        <v>0</v>
      </c>
      <c r="D2635" s="29">
        <f>ROUND(Balances[[#This Row],[Total]]*20%,0)</f>
        <v>0</v>
      </c>
      <c r="E2635" s="29">
        <f>ROUND(Balances[[#This Row],[Total]]*40%,0)</f>
        <v>0</v>
      </c>
      <c r="F2635" s="18">
        <f>SUM(Acueducto[[#This Row],[Acueducto]:[Aseo]])</f>
        <v>0</v>
      </c>
    </row>
    <row r="2636" spans="1:6" ht="15" x14ac:dyDescent="0.2">
      <c r="A2636" s="7">
        <v>712206</v>
      </c>
      <c r="B2636" s="3" t="s">
        <v>569</v>
      </c>
      <c r="C2636" s="29">
        <f>ROUND(Balances[[#This Row],[Total]]*40%,0)</f>
        <v>0</v>
      </c>
      <c r="D2636" s="29">
        <f>ROUND(Balances[[#This Row],[Total]]*20%,0)</f>
        <v>0</v>
      </c>
      <c r="E2636" s="29">
        <f>ROUND(Balances[[#This Row],[Total]]*40%,0)</f>
        <v>0</v>
      </c>
      <c r="F2636" s="18">
        <f>SUM(Acueducto[[#This Row],[Acueducto]:[Aseo]])</f>
        <v>0</v>
      </c>
    </row>
    <row r="2637" spans="1:6" ht="15" x14ac:dyDescent="0.2">
      <c r="A2637" s="7">
        <v>712207</v>
      </c>
      <c r="B2637" s="3" t="s">
        <v>1439</v>
      </c>
      <c r="C2637" s="29">
        <f>ROUND(Balances[[#This Row],[Total]]*40%,0)</f>
        <v>0</v>
      </c>
      <c r="D2637" s="29">
        <f>ROUND(Balances[[#This Row],[Total]]*20%,0)</f>
        <v>0</v>
      </c>
      <c r="E2637" s="29">
        <f>ROUND(Balances[[#This Row],[Total]]*40%,0)</f>
        <v>0</v>
      </c>
      <c r="F2637" s="18">
        <f>SUM(Acueducto[[#This Row],[Acueducto]:[Aseo]])</f>
        <v>0</v>
      </c>
    </row>
    <row r="2638" spans="1:6" ht="15" x14ac:dyDescent="0.2">
      <c r="A2638" s="7">
        <v>712208</v>
      </c>
      <c r="B2638" s="3" t="s">
        <v>1440</v>
      </c>
      <c r="C2638" s="29">
        <f>ROUND(Balances[[#This Row],[Total]]*40%,0)</f>
        <v>0</v>
      </c>
      <c r="D2638" s="29">
        <f>ROUND(Balances[[#This Row],[Total]]*20%,0)</f>
        <v>0</v>
      </c>
      <c r="E2638" s="29">
        <f>ROUND(Balances[[#This Row],[Total]]*40%,0)</f>
        <v>0</v>
      </c>
      <c r="F2638" s="18">
        <f>SUM(Acueducto[[#This Row],[Acueducto]:[Aseo]])</f>
        <v>0</v>
      </c>
    </row>
    <row r="2639" spans="1:6" ht="15" x14ac:dyDescent="0.2">
      <c r="A2639" s="7">
        <v>712209</v>
      </c>
      <c r="B2639" s="3" t="s">
        <v>1441</v>
      </c>
      <c r="C2639" s="29">
        <f>ROUND(Balances[[#This Row],[Total]]*40%,0)</f>
        <v>0</v>
      </c>
      <c r="D2639" s="29">
        <f>ROUND(Balances[[#This Row],[Total]]*20%,0)</f>
        <v>0</v>
      </c>
      <c r="E2639" s="29">
        <f>ROUND(Balances[[#This Row],[Total]]*40%,0)</f>
        <v>0</v>
      </c>
      <c r="F2639" s="18">
        <f>SUM(Acueducto[[#This Row],[Acueducto]:[Aseo]])</f>
        <v>0</v>
      </c>
    </row>
    <row r="2640" spans="1:6" ht="15" x14ac:dyDescent="0.2">
      <c r="A2640" s="7">
        <v>712210</v>
      </c>
      <c r="B2640" s="3" t="s">
        <v>1442</v>
      </c>
      <c r="C2640" s="29">
        <f>ROUND(Balances[[#This Row],[Total]]*40%,0)</f>
        <v>0</v>
      </c>
      <c r="D2640" s="29">
        <f>ROUND(Balances[[#This Row],[Total]]*20%,0)</f>
        <v>0</v>
      </c>
      <c r="E2640" s="29">
        <f>ROUND(Balances[[#This Row],[Total]]*40%,0)</f>
        <v>0</v>
      </c>
      <c r="F2640" s="18">
        <f>SUM(Acueducto[[#This Row],[Acueducto]:[Aseo]])</f>
        <v>0</v>
      </c>
    </row>
    <row r="2641" spans="1:6" ht="15" x14ac:dyDescent="0.2">
      <c r="A2641" s="7">
        <v>712211</v>
      </c>
      <c r="B2641" s="3" t="s">
        <v>1443</v>
      </c>
      <c r="C2641" s="29">
        <f>ROUND(Balances[[#This Row],[Total]]*40%,0)</f>
        <v>0</v>
      </c>
      <c r="D2641" s="29">
        <f>ROUND(Balances[[#This Row],[Total]]*20%,0)</f>
        <v>0</v>
      </c>
      <c r="E2641" s="29">
        <f>ROUND(Balances[[#This Row],[Total]]*40%,0)</f>
        <v>0</v>
      </c>
      <c r="F2641" s="18">
        <f>SUM(Acueducto[[#This Row],[Acueducto]:[Aseo]])</f>
        <v>0</v>
      </c>
    </row>
    <row r="2642" spans="1:6" ht="15" x14ac:dyDescent="0.2">
      <c r="A2642" s="7">
        <v>712295</v>
      </c>
      <c r="B2642" s="3" t="s">
        <v>1444</v>
      </c>
      <c r="C2642" s="29">
        <f>ROUND(Balances[[#This Row],[Total]]*40%,0)</f>
        <v>0</v>
      </c>
      <c r="D2642" s="29">
        <f>ROUND(Balances[[#This Row],[Total]]*20%,0)</f>
        <v>0</v>
      </c>
      <c r="E2642" s="29">
        <f>ROUND(Balances[[#This Row],[Total]]*40%,0)</f>
        <v>0</v>
      </c>
      <c r="F2642" s="18">
        <f>SUM(Acueducto[[#This Row],[Acueducto]:[Aseo]])</f>
        <v>0</v>
      </c>
    </row>
    <row r="2643" spans="1:6" ht="15" x14ac:dyDescent="0.2">
      <c r="A2643" s="6">
        <v>7123</v>
      </c>
      <c r="B2643" s="2" t="s">
        <v>1447</v>
      </c>
      <c r="C2643" s="28">
        <f>ROUND(Balances[[#This Row],[Total]]*40%,0)</f>
        <v>0</v>
      </c>
      <c r="D2643" s="28">
        <f>ROUND(Balances[[#This Row],[Total]]*20%,0)</f>
        <v>0</v>
      </c>
      <c r="E2643" s="28">
        <f>ROUND(Balances[[#This Row],[Total]]*40%,0)</f>
        <v>0</v>
      </c>
      <c r="F2643" s="17">
        <f>SUM(Acueducto[[#This Row],[Acueducto]:[Aseo]])</f>
        <v>0</v>
      </c>
    </row>
    <row r="2644" spans="1:6" ht="15" x14ac:dyDescent="0.2">
      <c r="A2644" s="7">
        <v>712301</v>
      </c>
      <c r="B2644" s="3" t="s">
        <v>1435</v>
      </c>
      <c r="C2644" s="29">
        <f>ROUND(Balances[[#This Row],[Total]]*40%,0)</f>
        <v>0</v>
      </c>
      <c r="D2644" s="29">
        <f>ROUND(Balances[[#This Row],[Total]]*20%,0)</f>
        <v>0</v>
      </c>
      <c r="E2644" s="29">
        <f>ROUND(Balances[[#This Row],[Total]]*40%,0)</f>
        <v>0</v>
      </c>
      <c r="F2644" s="18">
        <f>SUM(Acueducto[[#This Row],[Acueducto]:[Aseo]])</f>
        <v>0</v>
      </c>
    </row>
    <row r="2645" spans="1:6" ht="15" x14ac:dyDescent="0.2">
      <c r="A2645" s="7">
        <v>712302</v>
      </c>
      <c r="B2645" s="3" t="s">
        <v>1436</v>
      </c>
      <c r="C2645" s="29">
        <f>ROUND(Balances[[#This Row],[Total]]*40%,0)</f>
        <v>0</v>
      </c>
      <c r="D2645" s="29">
        <f>ROUND(Balances[[#This Row],[Total]]*20%,0)</f>
        <v>0</v>
      </c>
      <c r="E2645" s="29">
        <f>ROUND(Balances[[#This Row],[Total]]*40%,0)</f>
        <v>0</v>
      </c>
      <c r="F2645" s="18">
        <f>SUM(Acueducto[[#This Row],[Acueducto]:[Aseo]])</f>
        <v>0</v>
      </c>
    </row>
    <row r="2646" spans="1:6" ht="15" x14ac:dyDescent="0.2">
      <c r="A2646" s="7">
        <v>712303</v>
      </c>
      <c r="B2646" s="3" t="s">
        <v>1437</v>
      </c>
      <c r="C2646" s="29">
        <f>ROUND(Balances[[#This Row],[Total]]*40%,0)</f>
        <v>0</v>
      </c>
      <c r="D2646" s="29">
        <f>ROUND(Balances[[#This Row],[Total]]*20%,0)</f>
        <v>0</v>
      </c>
      <c r="E2646" s="29">
        <f>ROUND(Balances[[#This Row],[Total]]*40%,0)</f>
        <v>0</v>
      </c>
      <c r="F2646" s="18">
        <f>SUM(Acueducto[[#This Row],[Acueducto]:[Aseo]])</f>
        <v>0</v>
      </c>
    </row>
    <row r="2647" spans="1:6" ht="15" x14ac:dyDescent="0.2">
      <c r="A2647" s="7">
        <v>712304</v>
      </c>
      <c r="B2647" s="3" t="s">
        <v>568</v>
      </c>
      <c r="C2647" s="29">
        <f>ROUND(Balances[[#This Row],[Total]]*40%,0)</f>
        <v>0</v>
      </c>
      <c r="D2647" s="29">
        <f>ROUND(Balances[[#This Row],[Total]]*20%,0)</f>
        <v>0</v>
      </c>
      <c r="E2647" s="29">
        <f>ROUND(Balances[[#This Row],[Total]]*40%,0)</f>
        <v>0</v>
      </c>
      <c r="F2647" s="18">
        <f>SUM(Acueducto[[#This Row],[Acueducto]:[Aseo]])</f>
        <v>0</v>
      </c>
    </row>
    <row r="2648" spans="1:6" ht="15" x14ac:dyDescent="0.2">
      <c r="A2648" s="7">
        <v>712305</v>
      </c>
      <c r="B2648" s="3" t="s">
        <v>1438</v>
      </c>
      <c r="C2648" s="29">
        <f>ROUND(Balances[[#This Row],[Total]]*40%,0)</f>
        <v>0</v>
      </c>
      <c r="D2648" s="29">
        <f>ROUND(Balances[[#This Row],[Total]]*20%,0)</f>
        <v>0</v>
      </c>
      <c r="E2648" s="29">
        <f>ROUND(Balances[[#This Row],[Total]]*40%,0)</f>
        <v>0</v>
      </c>
      <c r="F2648" s="18">
        <f>SUM(Acueducto[[#This Row],[Acueducto]:[Aseo]])</f>
        <v>0</v>
      </c>
    </row>
    <row r="2649" spans="1:6" ht="15" x14ac:dyDescent="0.2">
      <c r="A2649" s="7">
        <v>712306</v>
      </c>
      <c r="B2649" s="3" t="s">
        <v>569</v>
      </c>
      <c r="C2649" s="29">
        <f>ROUND(Balances[[#This Row],[Total]]*40%,0)</f>
        <v>0</v>
      </c>
      <c r="D2649" s="29">
        <f>ROUND(Balances[[#This Row],[Total]]*20%,0)</f>
        <v>0</v>
      </c>
      <c r="E2649" s="29">
        <f>ROUND(Balances[[#This Row],[Total]]*40%,0)</f>
        <v>0</v>
      </c>
      <c r="F2649" s="18">
        <f>SUM(Acueducto[[#This Row],[Acueducto]:[Aseo]])</f>
        <v>0</v>
      </c>
    </row>
    <row r="2650" spans="1:6" ht="15" x14ac:dyDescent="0.2">
      <c r="A2650" s="7">
        <v>712307</v>
      </c>
      <c r="B2650" s="3" t="s">
        <v>1439</v>
      </c>
      <c r="C2650" s="29">
        <f>ROUND(Balances[[#This Row],[Total]]*40%,0)</f>
        <v>0</v>
      </c>
      <c r="D2650" s="29">
        <f>ROUND(Balances[[#This Row],[Total]]*20%,0)</f>
        <v>0</v>
      </c>
      <c r="E2650" s="29">
        <f>ROUND(Balances[[#This Row],[Total]]*40%,0)</f>
        <v>0</v>
      </c>
      <c r="F2650" s="18">
        <f>SUM(Acueducto[[#This Row],[Acueducto]:[Aseo]])</f>
        <v>0</v>
      </c>
    </row>
    <row r="2651" spans="1:6" ht="15" x14ac:dyDescent="0.2">
      <c r="A2651" s="7">
        <v>712308</v>
      </c>
      <c r="B2651" s="3" t="s">
        <v>1440</v>
      </c>
      <c r="C2651" s="29">
        <f>ROUND(Balances[[#This Row],[Total]]*40%,0)</f>
        <v>0</v>
      </c>
      <c r="D2651" s="29">
        <f>ROUND(Balances[[#This Row],[Total]]*20%,0)</f>
        <v>0</v>
      </c>
      <c r="E2651" s="29">
        <f>ROUND(Balances[[#This Row],[Total]]*40%,0)</f>
        <v>0</v>
      </c>
      <c r="F2651" s="18">
        <f>SUM(Acueducto[[#This Row],[Acueducto]:[Aseo]])</f>
        <v>0</v>
      </c>
    </row>
    <row r="2652" spans="1:6" ht="15" x14ac:dyDescent="0.2">
      <c r="A2652" s="7">
        <v>712309</v>
      </c>
      <c r="B2652" s="3" t="s">
        <v>1441</v>
      </c>
      <c r="C2652" s="29">
        <f>ROUND(Balances[[#This Row],[Total]]*40%,0)</f>
        <v>0</v>
      </c>
      <c r="D2652" s="29">
        <f>ROUND(Balances[[#This Row],[Total]]*20%,0)</f>
        <v>0</v>
      </c>
      <c r="E2652" s="29">
        <f>ROUND(Balances[[#This Row],[Total]]*40%,0)</f>
        <v>0</v>
      </c>
      <c r="F2652" s="18">
        <f>SUM(Acueducto[[#This Row],[Acueducto]:[Aseo]])</f>
        <v>0</v>
      </c>
    </row>
    <row r="2653" spans="1:6" ht="15" x14ac:dyDescent="0.2">
      <c r="A2653" s="7">
        <v>712310</v>
      </c>
      <c r="B2653" s="3" t="s">
        <v>1442</v>
      </c>
      <c r="C2653" s="29">
        <f>ROUND(Balances[[#This Row],[Total]]*40%,0)</f>
        <v>0</v>
      </c>
      <c r="D2653" s="29">
        <f>ROUND(Balances[[#This Row],[Total]]*20%,0)</f>
        <v>0</v>
      </c>
      <c r="E2653" s="29">
        <f>ROUND(Balances[[#This Row],[Total]]*40%,0)</f>
        <v>0</v>
      </c>
      <c r="F2653" s="18">
        <f>SUM(Acueducto[[#This Row],[Acueducto]:[Aseo]])</f>
        <v>0</v>
      </c>
    </row>
    <row r="2654" spans="1:6" ht="15" x14ac:dyDescent="0.2">
      <c r="A2654" s="7">
        <v>712311</v>
      </c>
      <c r="B2654" s="3" t="s">
        <v>1443</v>
      </c>
      <c r="C2654" s="29">
        <f>ROUND(Balances[[#This Row],[Total]]*40%,0)</f>
        <v>0</v>
      </c>
      <c r="D2654" s="29">
        <f>ROUND(Balances[[#This Row],[Total]]*20%,0)</f>
        <v>0</v>
      </c>
      <c r="E2654" s="29">
        <f>ROUND(Balances[[#This Row],[Total]]*40%,0)</f>
        <v>0</v>
      </c>
      <c r="F2654" s="18">
        <f>SUM(Acueducto[[#This Row],[Acueducto]:[Aseo]])</f>
        <v>0</v>
      </c>
    </row>
    <row r="2655" spans="1:6" ht="15" x14ac:dyDescent="0.2">
      <c r="A2655" s="7">
        <v>712395</v>
      </c>
      <c r="B2655" s="3" t="s">
        <v>1444</v>
      </c>
      <c r="C2655" s="29">
        <f>ROUND(Balances[[#This Row],[Total]]*40%,0)</f>
        <v>0</v>
      </c>
      <c r="D2655" s="29">
        <f>ROUND(Balances[[#This Row],[Total]]*20%,0)</f>
        <v>0</v>
      </c>
      <c r="E2655" s="29">
        <f>ROUND(Balances[[#This Row],[Total]]*40%,0)</f>
        <v>0</v>
      </c>
      <c r="F2655" s="18">
        <f>SUM(Acueducto[[#This Row],[Acueducto]:[Aseo]])</f>
        <v>0</v>
      </c>
    </row>
    <row r="2656" spans="1:6" ht="15" x14ac:dyDescent="0.2">
      <c r="A2656" s="6">
        <v>7124</v>
      </c>
      <c r="B2656" s="2" t="s">
        <v>1448</v>
      </c>
      <c r="C2656" s="28">
        <f>ROUND(Balances[[#This Row],[Total]]*40%,0)</f>
        <v>0</v>
      </c>
      <c r="D2656" s="28">
        <f>ROUND(Balances[[#This Row],[Total]]*20%,0)</f>
        <v>0</v>
      </c>
      <c r="E2656" s="28">
        <f>ROUND(Balances[[#This Row],[Total]]*40%,0)</f>
        <v>0</v>
      </c>
      <c r="F2656" s="17">
        <f>SUM(Acueducto[[#This Row],[Acueducto]:[Aseo]])</f>
        <v>0</v>
      </c>
    </row>
    <row r="2657" spans="1:6" ht="15" x14ac:dyDescent="0.2">
      <c r="A2657" s="7">
        <v>712401</v>
      </c>
      <c r="B2657" s="3" t="s">
        <v>1435</v>
      </c>
      <c r="C2657" s="29">
        <f>ROUND(Balances[[#This Row],[Total]]*40%,0)</f>
        <v>0</v>
      </c>
      <c r="D2657" s="29">
        <f>ROUND(Balances[[#This Row],[Total]]*20%,0)</f>
        <v>0</v>
      </c>
      <c r="E2657" s="29">
        <f>ROUND(Balances[[#This Row],[Total]]*40%,0)</f>
        <v>0</v>
      </c>
      <c r="F2657" s="18">
        <f>SUM(Acueducto[[#This Row],[Acueducto]:[Aseo]])</f>
        <v>0</v>
      </c>
    </row>
    <row r="2658" spans="1:6" ht="15" x14ac:dyDescent="0.2">
      <c r="A2658" s="7">
        <v>712402</v>
      </c>
      <c r="B2658" s="3" t="s">
        <v>1436</v>
      </c>
      <c r="C2658" s="29">
        <f>ROUND(Balances[[#This Row],[Total]]*40%,0)</f>
        <v>0</v>
      </c>
      <c r="D2658" s="29">
        <f>ROUND(Balances[[#This Row],[Total]]*20%,0)</f>
        <v>0</v>
      </c>
      <c r="E2658" s="29">
        <f>ROUND(Balances[[#This Row],[Total]]*40%,0)</f>
        <v>0</v>
      </c>
      <c r="F2658" s="18">
        <f>SUM(Acueducto[[#This Row],[Acueducto]:[Aseo]])</f>
        <v>0</v>
      </c>
    </row>
    <row r="2659" spans="1:6" ht="15" x14ac:dyDescent="0.2">
      <c r="A2659" s="7">
        <v>712403</v>
      </c>
      <c r="B2659" s="3" t="s">
        <v>1437</v>
      </c>
      <c r="C2659" s="29">
        <f>ROUND(Balances[[#This Row],[Total]]*40%,0)</f>
        <v>0</v>
      </c>
      <c r="D2659" s="29">
        <f>ROUND(Balances[[#This Row],[Total]]*20%,0)</f>
        <v>0</v>
      </c>
      <c r="E2659" s="29">
        <f>ROUND(Balances[[#This Row],[Total]]*40%,0)</f>
        <v>0</v>
      </c>
      <c r="F2659" s="18">
        <f>SUM(Acueducto[[#This Row],[Acueducto]:[Aseo]])</f>
        <v>0</v>
      </c>
    </row>
    <row r="2660" spans="1:6" ht="15" x14ac:dyDescent="0.2">
      <c r="A2660" s="7">
        <v>712404</v>
      </c>
      <c r="B2660" s="3" t="s">
        <v>568</v>
      </c>
      <c r="C2660" s="29">
        <f>ROUND(Balances[[#This Row],[Total]]*40%,0)</f>
        <v>0</v>
      </c>
      <c r="D2660" s="29">
        <f>ROUND(Balances[[#This Row],[Total]]*20%,0)</f>
        <v>0</v>
      </c>
      <c r="E2660" s="29">
        <f>ROUND(Balances[[#This Row],[Total]]*40%,0)</f>
        <v>0</v>
      </c>
      <c r="F2660" s="18">
        <f>SUM(Acueducto[[#This Row],[Acueducto]:[Aseo]])</f>
        <v>0</v>
      </c>
    </row>
    <row r="2661" spans="1:6" ht="15" x14ac:dyDescent="0.2">
      <c r="A2661" s="7">
        <v>712405</v>
      </c>
      <c r="B2661" s="3" t="s">
        <v>1438</v>
      </c>
      <c r="C2661" s="29">
        <f>ROUND(Balances[[#This Row],[Total]]*40%,0)</f>
        <v>0</v>
      </c>
      <c r="D2661" s="29">
        <f>ROUND(Balances[[#This Row],[Total]]*20%,0)</f>
        <v>0</v>
      </c>
      <c r="E2661" s="29">
        <f>ROUND(Balances[[#This Row],[Total]]*40%,0)</f>
        <v>0</v>
      </c>
      <c r="F2661" s="18">
        <f>SUM(Acueducto[[#This Row],[Acueducto]:[Aseo]])</f>
        <v>0</v>
      </c>
    </row>
    <row r="2662" spans="1:6" ht="15" x14ac:dyDescent="0.2">
      <c r="A2662" s="7">
        <v>712406</v>
      </c>
      <c r="B2662" s="3" t="s">
        <v>569</v>
      </c>
      <c r="C2662" s="29">
        <f>ROUND(Balances[[#This Row],[Total]]*40%,0)</f>
        <v>0</v>
      </c>
      <c r="D2662" s="29">
        <f>ROUND(Balances[[#This Row],[Total]]*20%,0)</f>
        <v>0</v>
      </c>
      <c r="E2662" s="29">
        <f>ROUND(Balances[[#This Row],[Total]]*40%,0)</f>
        <v>0</v>
      </c>
      <c r="F2662" s="18">
        <f>SUM(Acueducto[[#This Row],[Acueducto]:[Aseo]])</f>
        <v>0</v>
      </c>
    </row>
    <row r="2663" spans="1:6" ht="15" x14ac:dyDescent="0.2">
      <c r="A2663" s="7">
        <v>712407</v>
      </c>
      <c r="B2663" s="3" t="s">
        <v>1439</v>
      </c>
      <c r="C2663" s="29">
        <f>ROUND(Balances[[#This Row],[Total]]*40%,0)</f>
        <v>0</v>
      </c>
      <c r="D2663" s="29">
        <f>ROUND(Balances[[#This Row],[Total]]*20%,0)</f>
        <v>0</v>
      </c>
      <c r="E2663" s="29">
        <f>ROUND(Balances[[#This Row],[Total]]*40%,0)</f>
        <v>0</v>
      </c>
      <c r="F2663" s="18">
        <f>SUM(Acueducto[[#This Row],[Acueducto]:[Aseo]])</f>
        <v>0</v>
      </c>
    </row>
    <row r="2664" spans="1:6" ht="15" x14ac:dyDescent="0.2">
      <c r="A2664" s="7">
        <v>712408</v>
      </c>
      <c r="B2664" s="3" t="s">
        <v>1440</v>
      </c>
      <c r="C2664" s="29">
        <f>ROUND(Balances[[#This Row],[Total]]*40%,0)</f>
        <v>0</v>
      </c>
      <c r="D2664" s="29">
        <f>ROUND(Balances[[#This Row],[Total]]*20%,0)</f>
        <v>0</v>
      </c>
      <c r="E2664" s="29">
        <f>ROUND(Balances[[#This Row],[Total]]*40%,0)</f>
        <v>0</v>
      </c>
      <c r="F2664" s="18">
        <f>SUM(Acueducto[[#This Row],[Acueducto]:[Aseo]])</f>
        <v>0</v>
      </c>
    </row>
    <row r="2665" spans="1:6" ht="15" x14ac:dyDescent="0.2">
      <c r="A2665" s="7">
        <v>712409</v>
      </c>
      <c r="B2665" s="3" t="s">
        <v>1441</v>
      </c>
      <c r="C2665" s="29">
        <f>ROUND(Balances[[#This Row],[Total]]*40%,0)</f>
        <v>0</v>
      </c>
      <c r="D2665" s="29">
        <f>ROUND(Balances[[#This Row],[Total]]*20%,0)</f>
        <v>0</v>
      </c>
      <c r="E2665" s="29">
        <f>ROUND(Balances[[#This Row],[Total]]*40%,0)</f>
        <v>0</v>
      </c>
      <c r="F2665" s="18">
        <f>SUM(Acueducto[[#This Row],[Acueducto]:[Aseo]])</f>
        <v>0</v>
      </c>
    </row>
    <row r="2666" spans="1:6" ht="15" x14ac:dyDescent="0.2">
      <c r="A2666" s="7">
        <v>712410</v>
      </c>
      <c r="B2666" s="3" t="s">
        <v>1442</v>
      </c>
      <c r="C2666" s="29">
        <f>ROUND(Balances[[#This Row],[Total]]*40%,0)</f>
        <v>0</v>
      </c>
      <c r="D2666" s="29">
        <f>ROUND(Balances[[#This Row],[Total]]*20%,0)</f>
        <v>0</v>
      </c>
      <c r="E2666" s="29">
        <f>ROUND(Balances[[#This Row],[Total]]*40%,0)</f>
        <v>0</v>
      </c>
      <c r="F2666" s="18">
        <f>SUM(Acueducto[[#This Row],[Acueducto]:[Aseo]])</f>
        <v>0</v>
      </c>
    </row>
    <row r="2667" spans="1:6" ht="15" x14ac:dyDescent="0.2">
      <c r="A2667" s="7">
        <v>712411</v>
      </c>
      <c r="B2667" s="3" t="s">
        <v>1443</v>
      </c>
      <c r="C2667" s="29">
        <f>ROUND(Balances[[#This Row],[Total]]*40%,0)</f>
        <v>0</v>
      </c>
      <c r="D2667" s="29">
        <f>ROUND(Balances[[#This Row],[Total]]*20%,0)</f>
        <v>0</v>
      </c>
      <c r="E2667" s="29">
        <f>ROUND(Balances[[#This Row],[Total]]*40%,0)</f>
        <v>0</v>
      </c>
      <c r="F2667" s="18">
        <f>SUM(Acueducto[[#This Row],[Acueducto]:[Aseo]])</f>
        <v>0</v>
      </c>
    </row>
    <row r="2668" spans="1:6" ht="15" x14ac:dyDescent="0.2">
      <c r="A2668" s="7">
        <v>712495</v>
      </c>
      <c r="B2668" s="3" t="s">
        <v>1444</v>
      </c>
      <c r="C2668" s="29">
        <f>ROUND(Balances[[#This Row],[Total]]*40%,0)</f>
        <v>0</v>
      </c>
      <c r="D2668" s="29">
        <f>ROUND(Balances[[#This Row],[Total]]*20%,0)</f>
        <v>0</v>
      </c>
      <c r="E2668" s="29">
        <f>ROUND(Balances[[#This Row],[Total]]*40%,0)</f>
        <v>0</v>
      </c>
      <c r="F2668" s="18">
        <f>SUM(Acueducto[[#This Row],[Acueducto]:[Aseo]])</f>
        <v>0</v>
      </c>
    </row>
    <row r="2669" spans="1:6" ht="15" x14ac:dyDescent="0.2">
      <c r="A2669" s="6">
        <v>7125</v>
      </c>
      <c r="B2669" s="2" t="s">
        <v>1449</v>
      </c>
      <c r="C2669" s="28">
        <f>ROUND(Balances[[#This Row],[Total]]*40%,0)</f>
        <v>0</v>
      </c>
      <c r="D2669" s="28">
        <f>ROUND(Balances[[#This Row],[Total]]*20%,0)</f>
        <v>0</v>
      </c>
      <c r="E2669" s="28">
        <f>ROUND(Balances[[#This Row],[Total]]*40%,0)</f>
        <v>0</v>
      </c>
      <c r="F2669" s="17">
        <f>SUM(Acueducto[[#This Row],[Acueducto]:[Aseo]])</f>
        <v>0</v>
      </c>
    </row>
    <row r="2670" spans="1:6" ht="15" x14ac:dyDescent="0.2">
      <c r="A2670" s="7">
        <v>712501</v>
      </c>
      <c r="B2670" s="3" t="s">
        <v>1435</v>
      </c>
      <c r="C2670" s="29">
        <f>ROUND(Balances[[#This Row],[Total]]*40%,0)</f>
        <v>0</v>
      </c>
      <c r="D2670" s="29">
        <f>ROUND(Balances[[#This Row],[Total]]*20%,0)</f>
        <v>0</v>
      </c>
      <c r="E2670" s="29">
        <f>ROUND(Balances[[#This Row],[Total]]*40%,0)</f>
        <v>0</v>
      </c>
      <c r="F2670" s="18">
        <f>SUM(Acueducto[[#This Row],[Acueducto]:[Aseo]])</f>
        <v>0</v>
      </c>
    </row>
    <row r="2671" spans="1:6" ht="15" x14ac:dyDescent="0.2">
      <c r="A2671" s="7">
        <v>712502</v>
      </c>
      <c r="B2671" s="3" t="s">
        <v>1436</v>
      </c>
      <c r="C2671" s="29">
        <f>ROUND(Balances[[#This Row],[Total]]*40%,0)</f>
        <v>0</v>
      </c>
      <c r="D2671" s="29">
        <f>ROUND(Balances[[#This Row],[Total]]*20%,0)</f>
        <v>0</v>
      </c>
      <c r="E2671" s="29">
        <f>ROUND(Balances[[#This Row],[Total]]*40%,0)</f>
        <v>0</v>
      </c>
      <c r="F2671" s="18">
        <f>SUM(Acueducto[[#This Row],[Acueducto]:[Aseo]])</f>
        <v>0</v>
      </c>
    </row>
    <row r="2672" spans="1:6" ht="15" x14ac:dyDescent="0.2">
      <c r="A2672" s="7">
        <v>712503</v>
      </c>
      <c r="B2672" s="3" t="s">
        <v>1437</v>
      </c>
      <c r="C2672" s="29">
        <f>ROUND(Balances[[#This Row],[Total]]*40%,0)</f>
        <v>0</v>
      </c>
      <c r="D2672" s="29">
        <f>ROUND(Balances[[#This Row],[Total]]*20%,0)</f>
        <v>0</v>
      </c>
      <c r="E2672" s="29">
        <f>ROUND(Balances[[#This Row],[Total]]*40%,0)</f>
        <v>0</v>
      </c>
      <c r="F2672" s="18">
        <f>SUM(Acueducto[[#This Row],[Acueducto]:[Aseo]])</f>
        <v>0</v>
      </c>
    </row>
    <row r="2673" spans="1:6" ht="15" x14ac:dyDescent="0.2">
      <c r="A2673" s="7">
        <v>712504</v>
      </c>
      <c r="B2673" s="3" t="s">
        <v>568</v>
      </c>
      <c r="C2673" s="29">
        <f>ROUND(Balances[[#This Row],[Total]]*40%,0)</f>
        <v>0</v>
      </c>
      <c r="D2673" s="29">
        <f>ROUND(Balances[[#This Row],[Total]]*20%,0)</f>
        <v>0</v>
      </c>
      <c r="E2673" s="29">
        <f>ROUND(Balances[[#This Row],[Total]]*40%,0)</f>
        <v>0</v>
      </c>
      <c r="F2673" s="18">
        <f>SUM(Acueducto[[#This Row],[Acueducto]:[Aseo]])</f>
        <v>0</v>
      </c>
    </row>
    <row r="2674" spans="1:6" ht="15" x14ac:dyDescent="0.2">
      <c r="A2674" s="7">
        <v>712505</v>
      </c>
      <c r="B2674" s="3" t="s">
        <v>1438</v>
      </c>
      <c r="C2674" s="29">
        <f>ROUND(Balances[[#This Row],[Total]]*40%,0)</f>
        <v>0</v>
      </c>
      <c r="D2674" s="29">
        <f>ROUND(Balances[[#This Row],[Total]]*20%,0)</f>
        <v>0</v>
      </c>
      <c r="E2674" s="29">
        <f>ROUND(Balances[[#This Row],[Total]]*40%,0)</f>
        <v>0</v>
      </c>
      <c r="F2674" s="18">
        <f>SUM(Acueducto[[#This Row],[Acueducto]:[Aseo]])</f>
        <v>0</v>
      </c>
    </row>
    <row r="2675" spans="1:6" ht="15" x14ac:dyDescent="0.2">
      <c r="A2675" s="7">
        <v>712506</v>
      </c>
      <c r="B2675" s="3" t="s">
        <v>569</v>
      </c>
      <c r="C2675" s="29">
        <f>ROUND(Balances[[#This Row],[Total]]*40%,0)</f>
        <v>0</v>
      </c>
      <c r="D2675" s="29">
        <f>ROUND(Balances[[#This Row],[Total]]*20%,0)</f>
        <v>0</v>
      </c>
      <c r="E2675" s="29">
        <f>ROUND(Balances[[#This Row],[Total]]*40%,0)</f>
        <v>0</v>
      </c>
      <c r="F2675" s="18">
        <f>SUM(Acueducto[[#This Row],[Acueducto]:[Aseo]])</f>
        <v>0</v>
      </c>
    </row>
    <row r="2676" spans="1:6" ht="15" x14ac:dyDescent="0.2">
      <c r="A2676" s="7">
        <v>712507</v>
      </c>
      <c r="B2676" s="3" t="s">
        <v>1439</v>
      </c>
      <c r="C2676" s="29">
        <f>ROUND(Balances[[#This Row],[Total]]*40%,0)</f>
        <v>0</v>
      </c>
      <c r="D2676" s="29">
        <f>ROUND(Balances[[#This Row],[Total]]*20%,0)</f>
        <v>0</v>
      </c>
      <c r="E2676" s="29">
        <f>ROUND(Balances[[#This Row],[Total]]*40%,0)</f>
        <v>0</v>
      </c>
      <c r="F2676" s="18">
        <f>SUM(Acueducto[[#This Row],[Acueducto]:[Aseo]])</f>
        <v>0</v>
      </c>
    </row>
    <row r="2677" spans="1:6" ht="15" x14ac:dyDescent="0.2">
      <c r="A2677" s="7">
        <v>712508</v>
      </c>
      <c r="B2677" s="3" t="s">
        <v>1440</v>
      </c>
      <c r="C2677" s="29">
        <f>ROUND(Balances[[#This Row],[Total]]*40%,0)</f>
        <v>0</v>
      </c>
      <c r="D2677" s="29">
        <f>ROUND(Balances[[#This Row],[Total]]*20%,0)</f>
        <v>0</v>
      </c>
      <c r="E2677" s="29">
        <f>ROUND(Balances[[#This Row],[Total]]*40%,0)</f>
        <v>0</v>
      </c>
      <c r="F2677" s="18">
        <f>SUM(Acueducto[[#This Row],[Acueducto]:[Aseo]])</f>
        <v>0</v>
      </c>
    </row>
    <row r="2678" spans="1:6" ht="15" x14ac:dyDescent="0.2">
      <c r="A2678" s="7">
        <v>712509</v>
      </c>
      <c r="B2678" s="3" t="s">
        <v>1441</v>
      </c>
      <c r="C2678" s="29">
        <f>ROUND(Balances[[#This Row],[Total]]*40%,0)</f>
        <v>0</v>
      </c>
      <c r="D2678" s="29">
        <f>ROUND(Balances[[#This Row],[Total]]*20%,0)</f>
        <v>0</v>
      </c>
      <c r="E2678" s="29">
        <f>ROUND(Balances[[#This Row],[Total]]*40%,0)</f>
        <v>0</v>
      </c>
      <c r="F2678" s="18">
        <f>SUM(Acueducto[[#This Row],[Acueducto]:[Aseo]])</f>
        <v>0</v>
      </c>
    </row>
    <row r="2679" spans="1:6" ht="15" x14ac:dyDescent="0.2">
      <c r="A2679" s="7">
        <v>712510</v>
      </c>
      <c r="B2679" s="3" t="s">
        <v>1442</v>
      </c>
      <c r="C2679" s="29">
        <f>ROUND(Balances[[#This Row],[Total]]*40%,0)</f>
        <v>0</v>
      </c>
      <c r="D2679" s="29">
        <f>ROUND(Balances[[#This Row],[Total]]*20%,0)</f>
        <v>0</v>
      </c>
      <c r="E2679" s="29">
        <f>ROUND(Balances[[#This Row],[Total]]*40%,0)</f>
        <v>0</v>
      </c>
      <c r="F2679" s="18">
        <f>SUM(Acueducto[[#This Row],[Acueducto]:[Aseo]])</f>
        <v>0</v>
      </c>
    </row>
    <row r="2680" spans="1:6" ht="15" x14ac:dyDescent="0.2">
      <c r="A2680" s="7">
        <v>712511</v>
      </c>
      <c r="B2680" s="3" t="s">
        <v>1443</v>
      </c>
      <c r="C2680" s="29">
        <f>ROUND(Balances[[#This Row],[Total]]*40%,0)</f>
        <v>0</v>
      </c>
      <c r="D2680" s="29">
        <f>ROUND(Balances[[#This Row],[Total]]*20%,0)</f>
        <v>0</v>
      </c>
      <c r="E2680" s="29">
        <f>ROUND(Balances[[#This Row],[Total]]*40%,0)</f>
        <v>0</v>
      </c>
      <c r="F2680" s="18">
        <f>SUM(Acueducto[[#This Row],[Acueducto]:[Aseo]])</f>
        <v>0</v>
      </c>
    </row>
    <row r="2681" spans="1:6" ht="15" x14ac:dyDescent="0.2">
      <c r="A2681" s="7">
        <v>712595</v>
      </c>
      <c r="B2681" s="3" t="s">
        <v>1444</v>
      </c>
      <c r="C2681" s="29">
        <f>ROUND(Balances[[#This Row],[Total]]*40%,0)</f>
        <v>0</v>
      </c>
      <c r="D2681" s="29">
        <f>ROUND(Balances[[#This Row],[Total]]*20%,0)</f>
        <v>0</v>
      </c>
      <c r="E2681" s="29">
        <f>ROUND(Balances[[#This Row],[Total]]*40%,0)</f>
        <v>0</v>
      </c>
      <c r="F2681" s="18">
        <f>SUM(Acueducto[[#This Row],[Acueducto]:[Aseo]])</f>
        <v>0</v>
      </c>
    </row>
    <row r="2682" spans="1:6" ht="15" x14ac:dyDescent="0.2">
      <c r="A2682" s="6">
        <v>7126</v>
      </c>
      <c r="B2682" s="2" t="s">
        <v>1450</v>
      </c>
      <c r="C2682" s="28">
        <f>ROUND(Balances[[#This Row],[Total]]*40%,0)</f>
        <v>0</v>
      </c>
      <c r="D2682" s="28">
        <f>ROUND(Balances[[#This Row],[Total]]*20%,0)</f>
        <v>0</v>
      </c>
      <c r="E2682" s="28">
        <f>ROUND(Balances[[#This Row],[Total]]*40%,0)</f>
        <v>0</v>
      </c>
      <c r="F2682" s="17">
        <f>SUM(Acueducto[[#This Row],[Acueducto]:[Aseo]])</f>
        <v>0</v>
      </c>
    </row>
    <row r="2683" spans="1:6" ht="15" x14ac:dyDescent="0.2">
      <c r="A2683" s="7">
        <v>712601</v>
      </c>
      <c r="B2683" s="3" t="s">
        <v>1435</v>
      </c>
      <c r="C2683" s="29">
        <f>ROUND(Balances[[#This Row],[Total]]*40%,0)</f>
        <v>0</v>
      </c>
      <c r="D2683" s="29">
        <f>ROUND(Balances[[#This Row],[Total]]*20%,0)</f>
        <v>0</v>
      </c>
      <c r="E2683" s="29">
        <f>ROUND(Balances[[#This Row],[Total]]*40%,0)</f>
        <v>0</v>
      </c>
      <c r="F2683" s="18">
        <f>SUM(Acueducto[[#This Row],[Acueducto]:[Aseo]])</f>
        <v>0</v>
      </c>
    </row>
    <row r="2684" spans="1:6" ht="15" x14ac:dyDescent="0.2">
      <c r="A2684" s="7">
        <v>712602</v>
      </c>
      <c r="B2684" s="3" t="s">
        <v>1436</v>
      </c>
      <c r="C2684" s="29">
        <f>ROUND(Balances[[#This Row],[Total]]*40%,0)</f>
        <v>0</v>
      </c>
      <c r="D2684" s="29">
        <f>ROUND(Balances[[#This Row],[Total]]*20%,0)</f>
        <v>0</v>
      </c>
      <c r="E2684" s="29">
        <f>ROUND(Balances[[#This Row],[Total]]*40%,0)</f>
        <v>0</v>
      </c>
      <c r="F2684" s="18">
        <f>SUM(Acueducto[[#This Row],[Acueducto]:[Aseo]])</f>
        <v>0</v>
      </c>
    </row>
    <row r="2685" spans="1:6" ht="15" x14ac:dyDescent="0.2">
      <c r="A2685" s="7">
        <v>712603</v>
      </c>
      <c r="B2685" s="3" t="s">
        <v>1437</v>
      </c>
      <c r="C2685" s="29">
        <f>ROUND(Balances[[#This Row],[Total]]*40%,0)</f>
        <v>0</v>
      </c>
      <c r="D2685" s="29">
        <f>ROUND(Balances[[#This Row],[Total]]*20%,0)</f>
        <v>0</v>
      </c>
      <c r="E2685" s="29">
        <f>ROUND(Balances[[#This Row],[Total]]*40%,0)</f>
        <v>0</v>
      </c>
      <c r="F2685" s="18">
        <f>SUM(Acueducto[[#This Row],[Acueducto]:[Aseo]])</f>
        <v>0</v>
      </c>
    </row>
    <row r="2686" spans="1:6" ht="15" x14ac:dyDescent="0.2">
      <c r="A2686" s="7">
        <v>712604</v>
      </c>
      <c r="B2686" s="3" t="s">
        <v>568</v>
      </c>
      <c r="C2686" s="29">
        <f>ROUND(Balances[[#This Row],[Total]]*40%,0)</f>
        <v>0</v>
      </c>
      <c r="D2686" s="29">
        <f>ROUND(Balances[[#This Row],[Total]]*20%,0)</f>
        <v>0</v>
      </c>
      <c r="E2686" s="29">
        <f>ROUND(Balances[[#This Row],[Total]]*40%,0)</f>
        <v>0</v>
      </c>
      <c r="F2686" s="18">
        <f>SUM(Acueducto[[#This Row],[Acueducto]:[Aseo]])</f>
        <v>0</v>
      </c>
    </row>
    <row r="2687" spans="1:6" ht="15" x14ac:dyDescent="0.2">
      <c r="A2687" s="7">
        <v>712605</v>
      </c>
      <c r="B2687" s="3" t="s">
        <v>1438</v>
      </c>
      <c r="C2687" s="29">
        <f>ROUND(Balances[[#This Row],[Total]]*40%,0)</f>
        <v>0</v>
      </c>
      <c r="D2687" s="29">
        <f>ROUND(Balances[[#This Row],[Total]]*20%,0)</f>
        <v>0</v>
      </c>
      <c r="E2687" s="29">
        <f>ROUND(Balances[[#This Row],[Total]]*40%,0)</f>
        <v>0</v>
      </c>
      <c r="F2687" s="18">
        <f>SUM(Acueducto[[#This Row],[Acueducto]:[Aseo]])</f>
        <v>0</v>
      </c>
    </row>
    <row r="2688" spans="1:6" ht="15" x14ac:dyDescent="0.2">
      <c r="A2688" s="7">
        <v>712606</v>
      </c>
      <c r="B2688" s="3" t="s">
        <v>569</v>
      </c>
      <c r="C2688" s="29">
        <f>ROUND(Balances[[#This Row],[Total]]*40%,0)</f>
        <v>0</v>
      </c>
      <c r="D2688" s="29">
        <f>ROUND(Balances[[#This Row],[Total]]*20%,0)</f>
        <v>0</v>
      </c>
      <c r="E2688" s="29">
        <f>ROUND(Balances[[#This Row],[Total]]*40%,0)</f>
        <v>0</v>
      </c>
      <c r="F2688" s="18">
        <f>SUM(Acueducto[[#This Row],[Acueducto]:[Aseo]])</f>
        <v>0</v>
      </c>
    </row>
    <row r="2689" spans="1:6" ht="15" x14ac:dyDescent="0.2">
      <c r="A2689" s="7">
        <v>712607</v>
      </c>
      <c r="B2689" s="3" t="s">
        <v>1439</v>
      </c>
      <c r="C2689" s="29">
        <f>ROUND(Balances[[#This Row],[Total]]*40%,0)</f>
        <v>0</v>
      </c>
      <c r="D2689" s="29">
        <f>ROUND(Balances[[#This Row],[Total]]*20%,0)</f>
        <v>0</v>
      </c>
      <c r="E2689" s="29">
        <f>ROUND(Balances[[#This Row],[Total]]*40%,0)</f>
        <v>0</v>
      </c>
      <c r="F2689" s="18">
        <f>SUM(Acueducto[[#This Row],[Acueducto]:[Aseo]])</f>
        <v>0</v>
      </c>
    </row>
    <row r="2690" spans="1:6" ht="15" x14ac:dyDescent="0.2">
      <c r="A2690" s="7">
        <v>712608</v>
      </c>
      <c r="B2690" s="3" t="s">
        <v>1440</v>
      </c>
      <c r="C2690" s="29">
        <f>ROUND(Balances[[#This Row],[Total]]*40%,0)</f>
        <v>0</v>
      </c>
      <c r="D2690" s="29">
        <f>ROUND(Balances[[#This Row],[Total]]*20%,0)</f>
        <v>0</v>
      </c>
      <c r="E2690" s="29">
        <f>ROUND(Balances[[#This Row],[Total]]*40%,0)</f>
        <v>0</v>
      </c>
      <c r="F2690" s="18">
        <f>SUM(Acueducto[[#This Row],[Acueducto]:[Aseo]])</f>
        <v>0</v>
      </c>
    </row>
    <row r="2691" spans="1:6" ht="15" x14ac:dyDescent="0.2">
      <c r="A2691" s="7">
        <v>712609</v>
      </c>
      <c r="B2691" s="3" t="s">
        <v>1441</v>
      </c>
      <c r="C2691" s="29">
        <f>ROUND(Balances[[#This Row],[Total]]*40%,0)</f>
        <v>0</v>
      </c>
      <c r="D2691" s="29">
        <f>ROUND(Balances[[#This Row],[Total]]*20%,0)</f>
        <v>0</v>
      </c>
      <c r="E2691" s="29">
        <f>ROUND(Balances[[#This Row],[Total]]*40%,0)</f>
        <v>0</v>
      </c>
      <c r="F2691" s="18">
        <f>SUM(Acueducto[[#This Row],[Acueducto]:[Aseo]])</f>
        <v>0</v>
      </c>
    </row>
    <row r="2692" spans="1:6" ht="15" x14ac:dyDescent="0.2">
      <c r="A2692" s="7">
        <v>712610</v>
      </c>
      <c r="B2692" s="3" t="s">
        <v>1442</v>
      </c>
      <c r="C2692" s="29">
        <f>ROUND(Balances[[#This Row],[Total]]*40%,0)</f>
        <v>0</v>
      </c>
      <c r="D2692" s="29">
        <f>ROUND(Balances[[#This Row],[Total]]*20%,0)</f>
        <v>0</v>
      </c>
      <c r="E2692" s="29">
        <f>ROUND(Balances[[#This Row],[Total]]*40%,0)</f>
        <v>0</v>
      </c>
      <c r="F2692" s="18">
        <f>SUM(Acueducto[[#This Row],[Acueducto]:[Aseo]])</f>
        <v>0</v>
      </c>
    </row>
    <row r="2693" spans="1:6" ht="15" x14ac:dyDescent="0.2">
      <c r="A2693" s="7">
        <v>712611</v>
      </c>
      <c r="B2693" s="3" t="s">
        <v>1443</v>
      </c>
      <c r="C2693" s="29">
        <f>ROUND(Balances[[#This Row],[Total]]*40%,0)</f>
        <v>0</v>
      </c>
      <c r="D2693" s="29">
        <f>ROUND(Balances[[#This Row],[Total]]*20%,0)</f>
        <v>0</v>
      </c>
      <c r="E2693" s="29">
        <f>ROUND(Balances[[#This Row],[Total]]*40%,0)</f>
        <v>0</v>
      </c>
      <c r="F2693" s="18">
        <f>SUM(Acueducto[[#This Row],[Acueducto]:[Aseo]])</f>
        <v>0</v>
      </c>
    </row>
    <row r="2694" spans="1:6" ht="15" x14ac:dyDescent="0.2">
      <c r="A2694" s="7">
        <v>712695</v>
      </c>
      <c r="B2694" s="3" t="s">
        <v>1444</v>
      </c>
      <c r="C2694" s="29">
        <f>ROUND(Balances[[#This Row],[Total]]*40%,0)</f>
        <v>0</v>
      </c>
      <c r="D2694" s="29">
        <f>ROUND(Balances[[#This Row],[Total]]*20%,0)</f>
        <v>0</v>
      </c>
      <c r="E2694" s="29">
        <f>ROUND(Balances[[#This Row],[Total]]*40%,0)</f>
        <v>0</v>
      </c>
      <c r="F2694" s="18">
        <f>SUM(Acueducto[[#This Row],[Acueducto]:[Aseo]])</f>
        <v>0</v>
      </c>
    </row>
    <row r="2695" spans="1:6" ht="15" x14ac:dyDescent="0.2">
      <c r="A2695" s="6">
        <v>7127</v>
      </c>
      <c r="B2695" s="2" t="s">
        <v>1451</v>
      </c>
      <c r="C2695" s="28">
        <f>ROUND(Balances[[#This Row],[Total]]*40%,0)</f>
        <v>0</v>
      </c>
      <c r="D2695" s="28">
        <f>ROUND(Balances[[#This Row],[Total]]*20%,0)</f>
        <v>0</v>
      </c>
      <c r="E2695" s="28">
        <f>ROUND(Balances[[#This Row],[Total]]*40%,0)</f>
        <v>0</v>
      </c>
      <c r="F2695" s="17">
        <f>SUM(Acueducto[[#This Row],[Acueducto]:[Aseo]])</f>
        <v>0</v>
      </c>
    </row>
    <row r="2696" spans="1:6" ht="15" x14ac:dyDescent="0.2">
      <c r="A2696" s="7">
        <v>712701</v>
      </c>
      <c r="B2696" s="3" t="s">
        <v>1435</v>
      </c>
      <c r="C2696" s="29">
        <f>ROUND(Balances[[#This Row],[Total]]*40%,0)</f>
        <v>0</v>
      </c>
      <c r="D2696" s="29">
        <f>ROUND(Balances[[#This Row],[Total]]*20%,0)</f>
        <v>0</v>
      </c>
      <c r="E2696" s="29">
        <f>ROUND(Balances[[#This Row],[Total]]*40%,0)</f>
        <v>0</v>
      </c>
      <c r="F2696" s="18">
        <f>SUM(Acueducto[[#This Row],[Acueducto]:[Aseo]])</f>
        <v>0</v>
      </c>
    </row>
    <row r="2697" spans="1:6" ht="15" x14ac:dyDescent="0.2">
      <c r="A2697" s="7">
        <v>712702</v>
      </c>
      <c r="B2697" s="3" t="s">
        <v>1436</v>
      </c>
      <c r="C2697" s="29">
        <f>ROUND(Balances[[#This Row],[Total]]*40%,0)</f>
        <v>0</v>
      </c>
      <c r="D2697" s="29">
        <f>ROUND(Balances[[#This Row],[Total]]*20%,0)</f>
        <v>0</v>
      </c>
      <c r="E2697" s="29">
        <f>ROUND(Balances[[#This Row],[Total]]*40%,0)</f>
        <v>0</v>
      </c>
      <c r="F2697" s="18">
        <f>SUM(Acueducto[[#This Row],[Acueducto]:[Aseo]])</f>
        <v>0</v>
      </c>
    </row>
    <row r="2698" spans="1:6" ht="15" x14ac:dyDescent="0.2">
      <c r="A2698" s="7">
        <v>712703</v>
      </c>
      <c r="B2698" s="3" t="s">
        <v>1437</v>
      </c>
      <c r="C2698" s="29">
        <f>ROUND(Balances[[#This Row],[Total]]*40%,0)</f>
        <v>0</v>
      </c>
      <c r="D2698" s="29">
        <f>ROUND(Balances[[#This Row],[Total]]*20%,0)</f>
        <v>0</v>
      </c>
      <c r="E2698" s="29">
        <f>ROUND(Balances[[#This Row],[Total]]*40%,0)</f>
        <v>0</v>
      </c>
      <c r="F2698" s="18">
        <f>SUM(Acueducto[[#This Row],[Acueducto]:[Aseo]])</f>
        <v>0</v>
      </c>
    </row>
    <row r="2699" spans="1:6" ht="15" x14ac:dyDescent="0.2">
      <c r="A2699" s="7">
        <v>712704</v>
      </c>
      <c r="B2699" s="3" t="s">
        <v>568</v>
      </c>
      <c r="C2699" s="29">
        <f>ROUND(Balances[[#This Row],[Total]]*40%,0)</f>
        <v>0</v>
      </c>
      <c r="D2699" s="29">
        <f>ROUND(Balances[[#This Row],[Total]]*20%,0)</f>
        <v>0</v>
      </c>
      <c r="E2699" s="29">
        <f>ROUND(Balances[[#This Row],[Total]]*40%,0)</f>
        <v>0</v>
      </c>
      <c r="F2699" s="18">
        <f>SUM(Acueducto[[#This Row],[Acueducto]:[Aseo]])</f>
        <v>0</v>
      </c>
    </row>
    <row r="2700" spans="1:6" ht="15" x14ac:dyDescent="0.2">
      <c r="A2700" s="7">
        <v>712705</v>
      </c>
      <c r="B2700" s="3" t="s">
        <v>1438</v>
      </c>
      <c r="C2700" s="29">
        <f>ROUND(Balances[[#This Row],[Total]]*40%,0)</f>
        <v>0</v>
      </c>
      <c r="D2700" s="29">
        <f>ROUND(Balances[[#This Row],[Total]]*20%,0)</f>
        <v>0</v>
      </c>
      <c r="E2700" s="29">
        <f>ROUND(Balances[[#This Row],[Total]]*40%,0)</f>
        <v>0</v>
      </c>
      <c r="F2700" s="18">
        <f>SUM(Acueducto[[#This Row],[Acueducto]:[Aseo]])</f>
        <v>0</v>
      </c>
    </row>
    <row r="2701" spans="1:6" ht="15" x14ac:dyDescent="0.2">
      <c r="A2701" s="7">
        <v>712706</v>
      </c>
      <c r="B2701" s="3" t="s">
        <v>569</v>
      </c>
      <c r="C2701" s="29">
        <f>ROUND(Balances[[#This Row],[Total]]*40%,0)</f>
        <v>0</v>
      </c>
      <c r="D2701" s="29">
        <f>ROUND(Balances[[#This Row],[Total]]*20%,0)</f>
        <v>0</v>
      </c>
      <c r="E2701" s="29">
        <f>ROUND(Balances[[#This Row],[Total]]*40%,0)</f>
        <v>0</v>
      </c>
      <c r="F2701" s="18">
        <f>SUM(Acueducto[[#This Row],[Acueducto]:[Aseo]])</f>
        <v>0</v>
      </c>
    </row>
    <row r="2702" spans="1:6" ht="15" x14ac:dyDescent="0.2">
      <c r="A2702" s="7">
        <v>712707</v>
      </c>
      <c r="B2702" s="3" t="s">
        <v>1439</v>
      </c>
      <c r="C2702" s="29">
        <f>ROUND(Balances[[#This Row],[Total]]*40%,0)</f>
        <v>0</v>
      </c>
      <c r="D2702" s="29">
        <f>ROUND(Balances[[#This Row],[Total]]*20%,0)</f>
        <v>0</v>
      </c>
      <c r="E2702" s="29">
        <f>ROUND(Balances[[#This Row],[Total]]*40%,0)</f>
        <v>0</v>
      </c>
      <c r="F2702" s="18">
        <f>SUM(Acueducto[[#This Row],[Acueducto]:[Aseo]])</f>
        <v>0</v>
      </c>
    </row>
    <row r="2703" spans="1:6" ht="15" x14ac:dyDescent="0.2">
      <c r="A2703" s="7">
        <v>712708</v>
      </c>
      <c r="B2703" s="3" t="s">
        <v>1440</v>
      </c>
      <c r="C2703" s="29">
        <f>ROUND(Balances[[#This Row],[Total]]*40%,0)</f>
        <v>0</v>
      </c>
      <c r="D2703" s="29">
        <f>ROUND(Balances[[#This Row],[Total]]*20%,0)</f>
        <v>0</v>
      </c>
      <c r="E2703" s="29">
        <f>ROUND(Balances[[#This Row],[Total]]*40%,0)</f>
        <v>0</v>
      </c>
      <c r="F2703" s="18">
        <f>SUM(Acueducto[[#This Row],[Acueducto]:[Aseo]])</f>
        <v>0</v>
      </c>
    </row>
    <row r="2704" spans="1:6" ht="15" x14ac:dyDescent="0.2">
      <c r="A2704" s="7">
        <v>712709</v>
      </c>
      <c r="B2704" s="3" t="s">
        <v>1441</v>
      </c>
      <c r="C2704" s="29">
        <f>ROUND(Balances[[#This Row],[Total]]*40%,0)</f>
        <v>0</v>
      </c>
      <c r="D2704" s="29">
        <f>ROUND(Balances[[#This Row],[Total]]*20%,0)</f>
        <v>0</v>
      </c>
      <c r="E2704" s="29">
        <f>ROUND(Balances[[#This Row],[Total]]*40%,0)</f>
        <v>0</v>
      </c>
      <c r="F2704" s="18">
        <f>SUM(Acueducto[[#This Row],[Acueducto]:[Aseo]])</f>
        <v>0</v>
      </c>
    </row>
    <row r="2705" spans="1:6" ht="15" x14ac:dyDescent="0.2">
      <c r="A2705" s="7">
        <v>712710</v>
      </c>
      <c r="B2705" s="3" t="s">
        <v>1442</v>
      </c>
      <c r="C2705" s="29">
        <f>ROUND(Balances[[#This Row],[Total]]*40%,0)</f>
        <v>0</v>
      </c>
      <c r="D2705" s="29">
        <f>ROUND(Balances[[#This Row],[Total]]*20%,0)</f>
        <v>0</v>
      </c>
      <c r="E2705" s="29">
        <f>ROUND(Balances[[#This Row],[Total]]*40%,0)</f>
        <v>0</v>
      </c>
      <c r="F2705" s="18">
        <f>SUM(Acueducto[[#This Row],[Acueducto]:[Aseo]])</f>
        <v>0</v>
      </c>
    </row>
    <row r="2706" spans="1:6" ht="15" x14ac:dyDescent="0.2">
      <c r="A2706" s="7">
        <v>712711</v>
      </c>
      <c r="B2706" s="3" t="s">
        <v>1443</v>
      </c>
      <c r="C2706" s="29">
        <f>ROUND(Balances[[#This Row],[Total]]*40%,0)</f>
        <v>0</v>
      </c>
      <c r="D2706" s="29">
        <f>ROUND(Balances[[#This Row],[Total]]*20%,0)</f>
        <v>0</v>
      </c>
      <c r="E2706" s="29">
        <f>ROUND(Balances[[#This Row],[Total]]*40%,0)</f>
        <v>0</v>
      </c>
      <c r="F2706" s="18">
        <f>SUM(Acueducto[[#This Row],[Acueducto]:[Aseo]])</f>
        <v>0</v>
      </c>
    </row>
    <row r="2707" spans="1:6" ht="15" x14ac:dyDescent="0.2">
      <c r="A2707" s="7">
        <v>712795</v>
      </c>
      <c r="B2707" s="3" t="s">
        <v>1444</v>
      </c>
      <c r="C2707" s="29">
        <f>ROUND(Balances[[#This Row],[Total]]*40%,0)</f>
        <v>0</v>
      </c>
      <c r="D2707" s="29">
        <f>ROUND(Balances[[#This Row],[Total]]*20%,0)</f>
        <v>0</v>
      </c>
      <c r="E2707" s="29">
        <f>ROUND(Balances[[#This Row],[Total]]*40%,0)</f>
        <v>0</v>
      </c>
      <c r="F2707" s="18">
        <f>SUM(Acueducto[[#This Row],[Acueducto]:[Aseo]])</f>
        <v>0</v>
      </c>
    </row>
    <row r="2708" spans="1:6" ht="15" x14ac:dyDescent="0.2">
      <c r="A2708" s="6">
        <v>7128</v>
      </c>
      <c r="B2708" s="2" t="s">
        <v>1452</v>
      </c>
      <c r="C2708" s="28">
        <f>ROUND(Balances[[#This Row],[Total]]*40%,0)</f>
        <v>0</v>
      </c>
      <c r="D2708" s="28">
        <f>ROUND(Balances[[#This Row],[Total]]*20%,0)</f>
        <v>0</v>
      </c>
      <c r="E2708" s="28">
        <f>ROUND(Balances[[#This Row],[Total]]*40%,0)</f>
        <v>0</v>
      </c>
      <c r="F2708" s="17">
        <f>SUM(Acueducto[[#This Row],[Acueducto]:[Aseo]])</f>
        <v>0</v>
      </c>
    </row>
    <row r="2709" spans="1:6" ht="15" x14ac:dyDescent="0.2">
      <c r="A2709" s="7">
        <v>712801</v>
      </c>
      <c r="B2709" s="3" t="s">
        <v>1435</v>
      </c>
      <c r="C2709" s="29">
        <f>ROUND(Balances[[#This Row],[Total]]*40%,0)</f>
        <v>0</v>
      </c>
      <c r="D2709" s="29">
        <f>ROUND(Balances[[#This Row],[Total]]*20%,0)</f>
        <v>0</v>
      </c>
      <c r="E2709" s="29">
        <f>ROUND(Balances[[#This Row],[Total]]*40%,0)</f>
        <v>0</v>
      </c>
      <c r="F2709" s="18">
        <f>SUM(Acueducto[[#This Row],[Acueducto]:[Aseo]])</f>
        <v>0</v>
      </c>
    </row>
    <row r="2710" spans="1:6" ht="15" x14ac:dyDescent="0.2">
      <c r="A2710" s="7">
        <v>712802</v>
      </c>
      <c r="B2710" s="3" t="s">
        <v>1436</v>
      </c>
      <c r="C2710" s="29">
        <f>ROUND(Balances[[#This Row],[Total]]*40%,0)</f>
        <v>0</v>
      </c>
      <c r="D2710" s="29">
        <f>ROUND(Balances[[#This Row],[Total]]*20%,0)</f>
        <v>0</v>
      </c>
      <c r="E2710" s="29">
        <f>ROUND(Balances[[#This Row],[Total]]*40%,0)</f>
        <v>0</v>
      </c>
      <c r="F2710" s="18">
        <f>SUM(Acueducto[[#This Row],[Acueducto]:[Aseo]])</f>
        <v>0</v>
      </c>
    </row>
    <row r="2711" spans="1:6" ht="15" x14ac:dyDescent="0.2">
      <c r="A2711" s="7">
        <v>712803</v>
      </c>
      <c r="B2711" s="3" t="s">
        <v>1437</v>
      </c>
      <c r="C2711" s="29">
        <f>ROUND(Balances[[#This Row],[Total]]*40%,0)</f>
        <v>0</v>
      </c>
      <c r="D2711" s="29">
        <f>ROUND(Balances[[#This Row],[Total]]*20%,0)</f>
        <v>0</v>
      </c>
      <c r="E2711" s="29">
        <f>ROUND(Balances[[#This Row],[Total]]*40%,0)</f>
        <v>0</v>
      </c>
      <c r="F2711" s="18">
        <f>SUM(Acueducto[[#This Row],[Acueducto]:[Aseo]])</f>
        <v>0</v>
      </c>
    </row>
    <row r="2712" spans="1:6" ht="15" x14ac:dyDescent="0.2">
      <c r="A2712" s="7">
        <v>712804</v>
      </c>
      <c r="B2712" s="3" t="s">
        <v>568</v>
      </c>
      <c r="C2712" s="29">
        <f>ROUND(Balances[[#This Row],[Total]]*40%,0)</f>
        <v>0</v>
      </c>
      <c r="D2712" s="29">
        <f>ROUND(Balances[[#This Row],[Total]]*20%,0)</f>
        <v>0</v>
      </c>
      <c r="E2712" s="29">
        <f>ROUND(Balances[[#This Row],[Total]]*40%,0)</f>
        <v>0</v>
      </c>
      <c r="F2712" s="18">
        <f>SUM(Acueducto[[#This Row],[Acueducto]:[Aseo]])</f>
        <v>0</v>
      </c>
    </row>
    <row r="2713" spans="1:6" ht="15" x14ac:dyDescent="0.2">
      <c r="A2713" s="7">
        <v>712805</v>
      </c>
      <c r="B2713" s="3" t="s">
        <v>1438</v>
      </c>
      <c r="C2713" s="29">
        <f>ROUND(Balances[[#This Row],[Total]]*40%,0)</f>
        <v>0</v>
      </c>
      <c r="D2713" s="29">
        <f>ROUND(Balances[[#This Row],[Total]]*20%,0)</f>
        <v>0</v>
      </c>
      <c r="E2713" s="29">
        <f>ROUND(Balances[[#This Row],[Total]]*40%,0)</f>
        <v>0</v>
      </c>
      <c r="F2713" s="18">
        <f>SUM(Acueducto[[#This Row],[Acueducto]:[Aseo]])</f>
        <v>0</v>
      </c>
    </row>
    <row r="2714" spans="1:6" ht="15" x14ac:dyDescent="0.2">
      <c r="A2714" s="7">
        <v>712806</v>
      </c>
      <c r="B2714" s="3" t="s">
        <v>569</v>
      </c>
      <c r="C2714" s="29">
        <f>ROUND(Balances[[#This Row],[Total]]*40%,0)</f>
        <v>0</v>
      </c>
      <c r="D2714" s="29">
        <f>ROUND(Balances[[#This Row],[Total]]*20%,0)</f>
        <v>0</v>
      </c>
      <c r="E2714" s="29">
        <f>ROUND(Balances[[#This Row],[Total]]*40%,0)</f>
        <v>0</v>
      </c>
      <c r="F2714" s="18">
        <f>SUM(Acueducto[[#This Row],[Acueducto]:[Aseo]])</f>
        <v>0</v>
      </c>
    </row>
    <row r="2715" spans="1:6" ht="15" x14ac:dyDescent="0.2">
      <c r="A2715" s="7">
        <v>712807</v>
      </c>
      <c r="B2715" s="3" t="s">
        <v>1439</v>
      </c>
      <c r="C2715" s="29">
        <f>ROUND(Balances[[#This Row],[Total]]*40%,0)</f>
        <v>0</v>
      </c>
      <c r="D2715" s="29">
        <f>ROUND(Balances[[#This Row],[Total]]*20%,0)</f>
        <v>0</v>
      </c>
      <c r="E2715" s="29">
        <f>ROUND(Balances[[#This Row],[Total]]*40%,0)</f>
        <v>0</v>
      </c>
      <c r="F2715" s="18">
        <f>SUM(Acueducto[[#This Row],[Acueducto]:[Aseo]])</f>
        <v>0</v>
      </c>
    </row>
    <row r="2716" spans="1:6" ht="15" x14ac:dyDescent="0.2">
      <c r="A2716" s="7">
        <v>712808</v>
      </c>
      <c r="B2716" s="3" t="s">
        <v>1440</v>
      </c>
      <c r="C2716" s="29">
        <f>ROUND(Balances[[#This Row],[Total]]*40%,0)</f>
        <v>0</v>
      </c>
      <c r="D2716" s="29">
        <f>ROUND(Balances[[#This Row],[Total]]*20%,0)</f>
        <v>0</v>
      </c>
      <c r="E2716" s="29">
        <f>ROUND(Balances[[#This Row],[Total]]*40%,0)</f>
        <v>0</v>
      </c>
      <c r="F2716" s="18">
        <f>SUM(Acueducto[[#This Row],[Acueducto]:[Aseo]])</f>
        <v>0</v>
      </c>
    </row>
    <row r="2717" spans="1:6" ht="15" x14ac:dyDescent="0.2">
      <c r="A2717" s="7">
        <v>712809</v>
      </c>
      <c r="B2717" s="3" t="s">
        <v>1441</v>
      </c>
      <c r="C2717" s="29">
        <f>ROUND(Balances[[#This Row],[Total]]*40%,0)</f>
        <v>0</v>
      </c>
      <c r="D2717" s="29">
        <f>ROUND(Balances[[#This Row],[Total]]*20%,0)</f>
        <v>0</v>
      </c>
      <c r="E2717" s="29">
        <f>ROUND(Balances[[#This Row],[Total]]*40%,0)</f>
        <v>0</v>
      </c>
      <c r="F2717" s="18">
        <f>SUM(Acueducto[[#This Row],[Acueducto]:[Aseo]])</f>
        <v>0</v>
      </c>
    </row>
    <row r="2718" spans="1:6" ht="15" x14ac:dyDescent="0.2">
      <c r="A2718" s="7">
        <v>712810</v>
      </c>
      <c r="B2718" s="3" t="s">
        <v>1442</v>
      </c>
      <c r="C2718" s="29">
        <f>ROUND(Balances[[#This Row],[Total]]*40%,0)</f>
        <v>0</v>
      </c>
      <c r="D2718" s="29">
        <f>ROUND(Balances[[#This Row],[Total]]*20%,0)</f>
        <v>0</v>
      </c>
      <c r="E2718" s="29">
        <f>ROUND(Balances[[#This Row],[Total]]*40%,0)</f>
        <v>0</v>
      </c>
      <c r="F2718" s="18">
        <f>SUM(Acueducto[[#This Row],[Acueducto]:[Aseo]])</f>
        <v>0</v>
      </c>
    </row>
    <row r="2719" spans="1:6" ht="15" x14ac:dyDescent="0.2">
      <c r="A2719" s="7">
        <v>712811</v>
      </c>
      <c r="B2719" s="3" t="s">
        <v>1443</v>
      </c>
      <c r="C2719" s="29">
        <f>ROUND(Balances[[#This Row],[Total]]*40%,0)</f>
        <v>0</v>
      </c>
      <c r="D2719" s="29">
        <f>ROUND(Balances[[#This Row],[Total]]*20%,0)</f>
        <v>0</v>
      </c>
      <c r="E2719" s="29">
        <f>ROUND(Balances[[#This Row],[Total]]*40%,0)</f>
        <v>0</v>
      </c>
      <c r="F2719" s="18">
        <f>SUM(Acueducto[[#This Row],[Acueducto]:[Aseo]])</f>
        <v>0</v>
      </c>
    </row>
    <row r="2720" spans="1:6" ht="15" x14ac:dyDescent="0.2">
      <c r="A2720" s="7">
        <v>712895</v>
      </c>
      <c r="B2720" s="3" t="s">
        <v>1444</v>
      </c>
      <c r="C2720" s="29">
        <f>ROUND(Balances[[#This Row],[Total]]*40%,0)</f>
        <v>0</v>
      </c>
      <c r="D2720" s="29">
        <f>ROUND(Balances[[#This Row],[Total]]*20%,0)</f>
        <v>0</v>
      </c>
      <c r="E2720" s="29">
        <f>ROUND(Balances[[#This Row],[Total]]*40%,0)</f>
        <v>0</v>
      </c>
      <c r="F2720" s="18">
        <f>SUM(Acueducto[[#This Row],[Acueducto]:[Aseo]])</f>
        <v>0</v>
      </c>
    </row>
    <row r="2721" spans="1:6" ht="15" x14ac:dyDescent="0.2">
      <c r="A2721" s="6">
        <v>7129</v>
      </c>
      <c r="B2721" s="2" t="s">
        <v>1453</v>
      </c>
      <c r="C2721" s="28">
        <f>ROUND(Balances[[#This Row],[Total]]*40%,0)</f>
        <v>0</v>
      </c>
      <c r="D2721" s="28">
        <f>ROUND(Balances[[#This Row],[Total]]*20%,0)</f>
        <v>0</v>
      </c>
      <c r="E2721" s="28">
        <f>ROUND(Balances[[#This Row],[Total]]*40%,0)</f>
        <v>0</v>
      </c>
      <c r="F2721" s="17">
        <f>SUM(Acueducto[[#This Row],[Acueducto]:[Aseo]])</f>
        <v>0</v>
      </c>
    </row>
    <row r="2722" spans="1:6" ht="15" x14ac:dyDescent="0.2">
      <c r="A2722" s="7">
        <v>712901</v>
      </c>
      <c r="B2722" s="3" t="s">
        <v>1435</v>
      </c>
      <c r="C2722" s="29">
        <f>ROUND(Balances[[#This Row],[Total]]*40%,0)</f>
        <v>0</v>
      </c>
      <c r="D2722" s="29">
        <f>ROUND(Balances[[#This Row],[Total]]*20%,0)</f>
        <v>0</v>
      </c>
      <c r="E2722" s="29">
        <f>ROUND(Balances[[#This Row],[Total]]*40%,0)</f>
        <v>0</v>
      </c>
      <c r="F2722" s="18">
        <f>SUM(Acueducto[[#This Row],[Acueducto]:[Aseo]])</f>
        <v>0</v>
      </c>
    </row>
    <row r="2723" spans="1:6" ht="15" x14ac:dyDescent="0.2">
      <c r="A2723" s="7">
        <v>712902</v>
      </c>
      <c r="B2723" s="3" t="s">
        <v>1436</v>
      </c>
      <c r="C2723" s="29">
        <f>ROUND(Balances[[#This Row],[Total]]*40%,0)</f>
        <v>0</v>
      </c>
      <c r="D2723" s="29">
        <f>ROUND(Balances[[#This Row],[Total]]*20%,0)</f>
        <v>0</v>
      </c>
      <c r="E2723" s="29">
        <f>ROUND(Balances[[#This Row],[Total]]*40%,0)</f>
        <v>0</v>
      </c>
      <c r="F2723" s="18">
        <f>SUM(Acueducto[[#This Row],[Acueducto]:[Aseo]])</f>
        <v>0</v>
      </c>
    </row>
    <row r="2724" spans="1:6" ht="15" x14ac:dyDescent="0.2">
      <c r="A2724" s="7">
        <v>712903</v>
      </c>
      <c r="B2724" s="3" t="s">
        <v>1437</v>
      </c>
      <c r="C2724" s="29">
        <f>ROUND(Balances[[#This Row],[Total]]*40%,0)</f>
        <v>0</v>
      </c>
      <c r="D2724" s="29">
        <f>ROUND(Balances[[#This Row],[Total]]*20%,0)</f>
        <v>0</v>
      </c>
      <c r="E2724" s="29">
        <f>ROUND(Balances[[#This Row],[Total]]*40%,0)</f>
        <v>0</v>
      </c>
      <c r="F2724" s="18">
        <f>SUM(Acueducto[[#This Row],[Acueducto]:[Aseo]])</f>
        <v>0</v>
      </c>
    </row>
    <row r="2725" spans="1:6" ht="15" x14ac:dyDescent="0.2">
      <c r="A2725" s="7">
        <v>712904</v>
      </c>
      <c r="B2725" s="3" t="s">
        <v>568</v>
      </c>
      <c r="C2725" s="29">
        <f>ROUND(Balances[[#This Row],[Total]]*40%,0)</f>
        <v>0</v>
      </c>
      <c r="D2725" s="29">
        <f>ROUND(Balances[[#This Row],[Total]]*20%,0)</f>
        <v>0</v>
      </c>
      <c r="E2725" s="29">
        <f>ROUND(Balances[[#This Row],[Total]]*40%,0)</f>
        <v>0</v>
      </c>
      <c r="F2725" s="18">
        <f>SUM(Acueducto[[#This Row],[Acueducto]:[Aseo]])</f>
        <v>0</v>
      </c>
    </row>
    <row r="2726" spans="1:6" ht="15" x14ac:dyDescent="0.2">
      <c r="A2726" s="7">
        <v>712905</v>
      </c>
      <c r="B2726" s="3" t="s">
        <v>1438</v>
      </c>
      <c r="C2726" s="29">
        <f>ROUND(Balances[[#This Row],[Total]]*40%,0)</f>
        <v>0</v>
      </c>
      <c r="D2726" s="29">
        <f>ROUND(Balances[[#This Row],[Total]]*20%,0)</f>
        <v>0</v>
      </c>
      <c r="E2726" s="29">
        <f>ROUND(Balances[[#This Row],[Total]]*40%,0)</f>
        <v>0</v>
      </c>
      <c r="F2726" s="18">
        <f>SUM(Acueducto[[#This Row],[Acueducto]:[Aseo]])</f>
        <v>0</v>
      </c>
    </row>
    <row r="2727" spans="1:6" ht="15" x14ac:dyDescent="0.2">
      <c r="A2727" s="7">
        <v>712906</v>
      </c>
      <c r="B2727" s="3" t="s">
        <v>569</v>
      </c>
      <c r="C2727" s="29">
        <f>ROUND(Balances[[#This Row],[Total]]*40%,0)</f>
        <v>0</v>
      </c>
      <c r="D2727" s="29">
        <f>ROUND(Balances[[#This Row],[Total]]*20%,0)</f>
        <v>0</v>
      </c>
      <c r="E2727" s="29">
        <f>ROUND(Balances[[#This Row],[Total]]*40%,0)</f>
        <v>0</v>
      </c>
      <c r="F2727" s="18">
        <f>SUM(Acueducto[[#This Row],[Acueducto]:[Aseo]])</f>
        <v>0</v>
      </c>
    </row>
    <row r="2728" spans="1:6" ht="15" x14ac:dyDescent="0.2">
      <c r="A2728" s="7">
        <v>712907</v>
      </c>
      <c r="B2728" s="3" t="s">
        <v>1439</v>
      </c>
      <c r="C2728" s="29">
        <f>ROUND(Balances[[#This Row],[Total]]*40%,0)</f>
        <v>0</v>
      </c>
      <c r="D2728" s="29">
        <f>ROUND(Balances[[#This Row],[Total]]*20%,0)</f>
        <v>0</v>
      </c>
      <c r="E2728" s="29">
        <f>ROUND(Balances[[#This Row],[Total]]*40%,0)</f>
        <v>0</v>
      </c>
      <c r="F2728" s="18">
        <f>SUM(Acueducto[[#This Row],[Acueducto]:[Aseo]])</f>
        <v>0</v>
      </c>
    </row>
    <row r="2729" spans="1:6" ht="15" x14ac:dyDescent="0.2">
      <c r="A2729" s="7">
        <v>712908</v>
      </c>
      <c r="B2729" s="3" t="s">
        <v>1440</v>
      </c>
      <c r="C2729" s="29">
        <f>ROUND(Balances[[#This Row],[Total]]*40%,0)</f>
        <v>0</v>
      </c>
      <c r="D2729" s="29">
        <f>ROUND(Balances[[#This Row],[Total]]*20%,0)</f>
        <v>0</v>
      </c>
      <c r="E2729" s="29">
        <f>ROUND(Balances[[#This Row],[Total]]*40%,0)</f>
        <v>0</v>
      </c>
      <c r="F2729" s="18">
        <f>SUM(Acueducto[[#This Row],[Acueducto]:[Aseo]])</f>
        <v>0</v>
      </c>
    </row>
    <row r="2730" spans="1:6" ht="15" x14ac:dyDescent="0.2">
      <c r="A2730" s="7">
        <v>712909</v>
      </c>
      <c r="B2730" s="3" t="s">
        <v>1441</v>
      </c>
      <c r="C2730" s="29">
        <f>ROUND(Balances[[#This Row],[Total]]*40%,0)</f>
        <v>0</v>
      </c>
      <c r="D2730" s="29">
        <f>ROUND(Balances[[#This Row],[Total]]*20%,0)</f>
        <v>0</v>
      </c>
      <c r="E2730" s="29">
        <f>ROUND(Balances[[#This Row],[Total]]*40%,0)</f>
        <v>0</v>
      </c>
      <c r="F2730" s="18">
        <f>SUM(Acueducto[[#This Row],[Acueducto]:[Aseo]])</f>
        <v>0</v>
      </c>
    </row>
    <row r="2731" spans="1:6" ht="15" x14ac:dyDescent="0.2">
      <c r="A2731" s="7">
        <v>712910</v>
      </c>
      <c r="B2731" s="3" t="s">
        <v>1442</v>
      </c>
      <c r="C2731" s="29">
        <f>ROUND(Balances[[#This Row],[Total]]*40%,0)</f>
        <v>0</v>
      </c>
      <c r="D2731" s="29">
        <f>ROUND(Balances[[#This Row],[Total]]*20%,0)</f>
        <v>0</v>
      </c>
      <c r="E2731" s="29">
        <f>ROUND(Balances[[#This Row],[Total]]*40%,0)</f>
        <v>0</v>
      </c>
      <c r="F2731" s="18">
        <f>SUM(Acueducto[[#This Row],[Acueducto]:[Aseo]])</f>
        <v>0</v>
      </c>
    </row>
    <row r="2732" spans="1:6" ht="15" x14ac:dyDescent="0.2">
      <c r="A2732" s="7">
        <v>712911</v>
      </c>
      <c r="B2732" s="3" t="s">
        <v>1443</v>
      </c>
      <c r="C2732" s="29">
        <f>ROUND(Balances[[#This Row],[Total]]*40%,0)</f>
        <v>0</v>
      </c>
      <c r="D2732" s="29">
        <f>ROUND(Balances[[#This Row],[Total]]*20%,0)</f>
        <v>0</v>
      </c>
      <c r="E2732" s="29">
        <f>ROUND(Balances[[#This Row],[Total]]*40%,0)</f>
        <v>0</v>
      </c>
      <c r="F2732" s="18">
        <f>SUM(Acueducto[[#This Row],[Acueducto]:[Aseo]])</f>
        <v>0</v>
      </c>
    </row>
    <row r="2733" spans="1:6" ht="15" x14ac:dyDescent="0.2">
      <c r="A2733" s="7">
        <v>712995</v>
      </c>
      <c r="B2733" s="3" t="s">
        <v>1444</v>
      </c>
      <c r="C2733" s="29">
        <f>ROUND(Balances[[#This Row],[Total]]*40%,0)</f>
        <v>0</v>
      </c>
      <c r="D2733" s="29">
        <f>ROUND(Balances[[#This Row],[Total]]*20%,0)</f>
        <v>0</v>
      </c>
      <c r="E2733" s="29">
        <f>ROUND(Balances[[#This Row],[Total]]*40%,0)</f>
        <v>0</v>
      </c>
      <c r="F2733" s="18">
        <f>SUM(Acueducto[[#This Row],[Acueducto]:[Aseo]])</f>
        <v>0</v>
      </c>
    </row>
    <row r="2734" spans="1:6" ht="15" x14ac:dyDescent="0.2">
      <c r="A2734" s="6">
        <v>7130</v>
      </c>
      <c r="B2734" s="2" t="s">
        <v>1024</v>
      </c>
      <c r="C2734" s="28">
        <f>ROUND(Balances[[#This Row],[Total]]*40%,0)</f>
        <v>0</v>
      </c>
      <c r="D2734" s="28">
        <f>ROUND(Balances[[#This Row],[Total]]*20%,0)</f>
        <v>0</v>
      </c>
      <c r="E2734" s="28">
        <f>ROUND(Balances[[#This Row],[Total]]*40%,0)</f>
        <v>0</v>
      </c>
      <c r="F2734" s="17">
        <f>SUM(Acueducto[[#This Row],[Acueducto]:[Aseo]])</f>
        <v>0</v>
      </c>
    </row>
    <row r="2735" spans="1:6" ht="15" x14ac:dyDescent="0.2">
      <c r="A2735" s="7">
        <v>713001</v>
      </c>
      <c r="B2735" s="3" t="s">
        <v>1435</v>
      </c>
      <c r="C2735" s="29">
        <f>ROUND(Balances[[#This Row],[Total]]*40%,0)</f>
        <v>0</v>
      </c>
      <c r="D2735" s="29">
        <f>ROUND(Balances[[#This Row],[Total]]*20%,0)</f>
        <v>0</v>
      </c>
      <c r="E2735" s="29">
        <f>ROUND(Balances[[#This Row],[Total]]*40%,0)</f>
        <v>0</v>
      </c>
      <c r="F2735" s="18">
        <f>SUM(Acueducto[[#This Row],[Acueducto]:[Aseo]])</f>
        <v>0</v>
      </c>
    </row>
    <row r="2736" spans="1:6" ht="15" x14ac:dyDescent="0.2">
      <c r="A2736" s="7">
        <v>713002</v>
      </c>
      <c r="B2736" s="3" t="s">
        <v>1436</v>
      </c>
      <c r="C2736" s="29">
        <f>ROUND(Balances[[#This Row],[Total]]*40%,0)</f>
        <v>0</v>
      </c>
      <c r="D2736" s="29">
        <f>ROUND(Balances[[#This Row],[Total]]*20%,0)</f>
        <v>0</v>
      </c>
      <c r="E2736" s="29">
        <f>ROUND(Balances[[#This Row],[Total]]*40%,0)</f>
        <v>0</v>
      </c>
      <c r="F2736" s="18">
        <f>SUM(Acueducto[[#This Row],[Acueducto]:[Aseo]])</f>
        <v>0</v>
      </c>
    </row>
    <row r="2737" spans="1:6" ht="15" x14ac:dyDescent="0.2">
      <c r="A2737" s="7">
        <v>713003</v>
      </c>
      <c r="B2737" s="3" t="s">
        <v>1437</v>
      </c>
      <c r="C2737" s="29">
        <f>ROUND(Balances[[#This Row],[Total]]*40%,0)</f>
        <v>0</v>
      </c>
      <c r="D2737" s="29">
        <f>ROUND(Balances[[#This Row],[Total]]*20%,0)</f>
        <v>0</v>
      </c>
      <c r="E2737" s="29">
        <f>ROUND(Balances[[#This Row],[Total]]*40%,0)</f>
        <v>0</v>
      </c>
      <c r="F2737" s="18">
        <f>SUM(Acueducto[[#This Row],[Acueducto]:[Aseo]])</f>
        <v>0</v>
      </c>
    </row>
    <row r="2738" spans="1:6" ht="15" x14ac:dyDescent="0.2">
      <c r="A2738" s="7">
        <v>713004</v>
      </c>
      <c r="B2738" s="3" t="s">
        <v>568</v>
      </c>
      <c r="C2738" s="29">
        <f>ROUND(Balances[[#This Row],[Total]]*40%,0)</f>
        <v>0</v>
      </c>
      <c r="D2738" s="29">
        <f>ROUND(Balances[[#This Row],[Total]]*20%,0)</f>
        <v>0</v>
      </c>
      <c r="E2738" s="29">
        <f>ROUND(Balances[[#This Row],[Total]]*40%,0)</f>
        <v>0</v>
      </c>
      <c r="F2738" s="18">
        <f>SUM(Acueducto[[#This Row],[Acueducto]:[Aseo]])</f>
        <v>0</v>
      </c>
    </row>
    <row r="2739" spans="1:6" ht="15" x14ac:dyDescent="0.2">
      <c r="A2739" s="7">
        <v>713005</v>
      </c>
      <c r="B2739" s="3" t="s">
        <v>1438</v>
      </c>
      <c r="C2739" s="29">
        <f>ROUND(Balances[[#This Row],[Total]]*40%,0)</f>
        <v>0</v>
      </c>
      <c r="D2739" s="29">
        <f>ROUND(Balances[[#This Row],[Total]]*20%,0)</f>
        <v>0</v>
      </c>
      <c r="E2739" s="29">
        <f>ROUND(Balances[[#This Row],[Total]]*40%,0)</f>
        <v>0</v>
      </c>
      <c r="F2739" s="18">
        <f>SUM(Acueducto[[#This Row],[Acueducto]:[Aseo]])</f>
        <v>0</v>
      </c>
    </row>
    <row r="2740" spans="1:6" ht="15" x14ac:dyDescent="0.2">
      <c r="A2740" s="7">
        <v>713006</v>
      </c>
      <c r="B2740" s="3" t="s">
        <v>569</v>
      </c>
      <c r="C2740" s="29">
        <f>ROUND(Balances[[#This Row],[Total]]*40%,0)</f>
        <v>0</v>
      </c>
      <c r="D2740" s="29">
        <f>ROUND(Balances[[#This Row],[Total]]*20%,0)</f>
        <v>0</v>
      </c>
      <c r="E2740" s="29">
        <f>ROUND(Balances[[#This Row],[Total]]*40%,0)</f>
        <v>0</v>
      </c>
      <c r="F2740" s="18">
        <f>SUM(Acueducto[[#This Row],[Acueducto]:[Aseo]])</f>
        <v>0</v>
      </c>
    </row>
    <row r="2741" spans="1:6" ht="15" x14ac:dyDescent="0.2">
      <c r="A2741" s="7">
        <v>713007</v>
      </c>
      <c r="B2741" s="3" t="s">
        <v>1439</v>
      </c>
      <c r="C2741" s="29">
        <f>ROUND(Balances[[#This Row],[Total]]*40%,0)</f>
        <v>0</v>
      </c>
      <c r="D2741" s="29">
        <f>ROUND(Balances[[#This Row],[Total]]*20%,0)</f>
        <v>0</v>
      </c>
      <c r="E2741" s="29">
        <f>ROUND(Balances[[#This Row],[Total]]*40%,0)</f>
        <v>0</v>
      </c>
      <c r="F2741" s="18">
        <f>SUM(Acueducto[[#This Row],[Acueducto]:[Aseo]])</f>
        <v>0</v>
      </c>
    </row>
    <row r="2742" spans="1:6" ht="15" x14ac:dyDescent="0.2">
      <c r="A2742" s="7">
        <v>713008</v>
      </c>
      <c r="B2742" s="3" t="s">
        <v>1440</v>
      </c>
      <c r="C2742" s="29">
        <f>ROUND(Balances[[#This Row],[Total]]*40%,0)</f>
        <v>0</v>
      </c>
      <c r="D2742" s="29">
        <f>ROUND(Balances[[#This Row],[Total]]*20%,0)</f>
        <v>0</v>
      </c>
      <c r="E2742" s="29">
        <f>ROUND(Balances[[#This Row],[Total]]*40%,0)</f>
        <v>0</v>
      </c>
      <c r="F2742" s="18">
        <f>SUM(Acueducto[[#This Row],[Acueducto]:[Aseo]])</f>
        <v>0</v>
      </c>
    </row>
    <row r="2743" spans="1:6" ht="15" x14ac:dyDescent="0.2">
      <c r="A2743" s="7">
        <v>713009</v>
      </c>
      <c r="B2743" s="3" t="s">
        <v>1441</v>
      </c>
      <c r="C2743" s="29">
        <f>ROUND(Balances[[#This Row],[Total]]*40%,0)</f>
        <v>0</v>
      </c>
      <c r="D2743" s="29">
        <f>ROUND(Balances[[#This Row],[Total]]*20%,0)</f>
        <v>0</v>
      </c>
      <c r="E2743" s="29">
        <f>ROUND(Balances[[#This Row],[Total]]*40%,0)</f>
        <v>0</v>
      </c>
      <c r="F2743" s="18">
        <f>SUM(Acueducto[[#This Row],[Acueducto]:[Aseo]])</f>
        <v>0</v>
      </c>
    </row>
    <row r="2744" spans="1:6" ht="15" x14ac:dyDescent="0.2">
      <c r="A2744" s="7">
        <v>713010</v>
      </c>
      <c r="B2744" s="3" t="s">
        <v>1442</v>
      </c>
      <c r="C2744" s="29">
        <f>ROUND(Balances[[#This Row],[Total]]*40%,0)</f>
        <v>0</v>
      </c>
      <c r="D2744" s="29">
        <f>ROUND(Balances[[#This Row],[Total]]*20%,0)</f>
        <v>0</v>
      </c>
      <c r="E2744" s="29">
        <f>ROUND(Balances[[#This Row],[Total]]*40%,0)</f>
        <v>0</v>
      </c>
      <c r="F2744" s="18">
        <f>SUM(Acueducto[[#This Row],[Acueducto]:[Aseo]])</f>
        <v>0</v>
      </c>
    </row>
    <row r="2745" spans="1:6" ht="15" x14ac:dyDescent="0.2">
      <c r="A2745" s="7">
        <v>713011</v>
      </c>
      <c r="B2745" s="3" t="s">
        <v>1443</v>
      </c>
      <c r="C2745" s="29">
        <f>ROUND(Balances[[#This Row],[Total]]*40%,0)</f>
        <v>0</v>
      </c>
      <c r="D2745" s="29">
        <f>ROUND(Balances[[#This Row],[Total]]*20%,0)</f>
        <v>0</v>
      </c>
      <c r="E2745" s="29">
        <f>ROUND(Balances[[#This Row],[Total]]*40%,0)</f>
        <v>0</v>
      </c>
      <c r="F2745" s="18">
        <f>SUM(Acueducto[[#This Row],[Acueducto]:[Aseo]])</f>
        <v>0</v>
      </c>
    </row>
    <row r="2746" spans="1:6" ht="15" x14ac:dyDescent="0.2">
      <c r="A2746" s="7">
        <v>713095</v>
      </c>
      <c r="B2746" s="3" t="s">
        <v>1444</v>
      </c>
      <c r="C2746" s="29">
        <f>ROUND(Balances[[#This Row],[Total]]*40%,0)</f>
        <v>0</v>
      </c>
      <c r="D2746" s="29">
        <f>ROUND(Balances[[#This Row],[Total]]*20%,0)</f>
        <v>0</v>
      </c>
      <c r="E2746" s="29">
        <f>ROUND(Balances[[#This Row],[Total]]*40%,0)</f>
        <v>0</v>
      </c>
      <c r="F2746" s="18">
        <f>SUM(Acueducto[[#This Row],[Acueducto]:[Aseo]])</f>
        <v>0</v>
      </c>
    </row>
    <row r="2747" spans="1:6" ht="15" x14ac:dyDescent="0.2">
      <c r="A2747" s="6">
        <v>7136</v>
      </c>
      <c r="B2747" s="2" t="s">
        <v>1454</v>
      </c>
      <c r="C2747" s="28">
        <f>ROUND(Balances[[#This Row],[Total]]*40%,0)</f>
        <v>0</v>
      </c>
      <c r="D2747" s="28">
        <f>ROUND(Balances[[#This Row],[Total]]*20%,0)</f>
        <v>0</v>
      </c>
      <c r="E2747" s="28">
        <f>ROUND(Balances[[#This Row],[Total]]*40%,0)</f>
        <v>0</v>
      </c>
      <c r="F2747" s="17">
        <f>SUM(Acueducto[[#This Row],[Acueducto]:[Aseo]])</f>
        <v>0</v>
      </c>
    </row>
    <row r="2748" spans="1:6" ht="15" x14ac:dyDescent="0.2">
      <c r="A2748" s="7">
        <v>713601</v>
      </c>
      <c r="B2748" s="3" t="s">
        <v>1435</v>
      </c>
      <c r="C2748" s="29">
        <f>ROUND(Balances[[#This Row],[Total]]*40%,0)</f>
        <v>0</v>
      </c>
      <c r="D2748" s="29">
        <f>ROUND(Balances[[#This Row],[Total]]*20%,0)</f>
        <v>0</v>
      </c>
      <c r="E2748" s="29">
        <f>ROUND(Balances[[#This Row],[Total]]*40%,0)</f>
        <v>0</v>
      </c>
      <c r="F2748" s="18">
        <f>SUM(Acueducto[[#This Row],[Acueducto]:[Aseo]])</f>
        <v>0</v>
      </c>
    </row>
    <row r="2749" spans="1:6" ht="15" x14ac:dyDescent="0.2">
      <c r="A2749" s="7">
        <v>713602</v>
      </c>
      <c r="B2749" s="3" t="s">
        <v>1436</v>
      </c>
      <c r="C2749" s="29">
        <f>ROUND(Balances[[#This Row],[Total]]*40%,0)</f>
        <v>0</v>
      </c>
      <c r="D2749" s="29">
        <f>ROUND(Balances[[#This Row],[Total]]*20%,0)</f>
        <v>0</v>
      </c>
      <c r="E2749" s="29">
        <f>ROUND(Balances[[#This Row],[Total]]*40%,0)</f>
        <v>0</v>
      </c>
      <c r="F2749" s="18">
        <f>SUM(Acueducto[[#This Row],[Acueducto]:[Aseo]])</f>
        <v>0</v>
      </c>
    </row>
    <row r="2750" spans="1:6" ht="15" x14ac:dyDescent="0.2">
      <c r="A2750" s="7">
        <v>713603</v>
      </c>
      <c r="B2750" s="3" t="s">
        <v>1437</v>
      </c>
      <c r="C2750" s="29">
        <f>ROUND(Balances[[#This Row],[Total]]*40%,0)</f>
        <v>0</v>
      </c>
      <c r="D2750" s="29">
        <f>ROUND(Balances[[#This Row],[Total]]*20%,0)</f>
        <v>0</v>
      </c>
      <c r="E2750" s="29">
        <f>ROUND(Balances[[#This Row],[Total]]*40%,0)</f>
        <v>0</v>
      </c>
      <c r="F2750" s="18">
        <f>SUM(Acueducto[[#This Row],[Acueducto]:[Aseo]])</f>
        <v>0</v>
      </c>
    </row>
    <row r="2751" spans="1:6" ht="15" x14ac:dyDescent="0.2">
      <c r="A2751" s="7">
        <v>713604</v>
      </c>
      <c r="B2751" s="3" t="s">
        <v>568</v>
      </c>
      <c r="C2751" s="29">
        <f>ROUND(Balances[[#This Row],[Total]]*40%,0)</f>
        <v>0</v>
      </c>
      <c r="D2751" s="29">
        <f>ROUND(Balances[[#This Row],[Total]]*20%,0)</f>
        <v>0</v>
      </c>
      <c r="E2751" s="29">
        <f>ROUND(Balances[[#This Row],[Total]]*40%,0)</f>
        <v>0</v>
      </c>
      <c r="F2751" s="18">
        <f>SUM(Acueducto[[#This Row],[Acueducto]:[Aseo]])</f>
        <v>0</v>
      </c>
    </row>
    <row r="2752" spans="1:6" ht="15" x14ac:dyDescent="0.2">
      <c r="A2752" s="7">
        <v>713605</v>
      </c>
      <c r="B2752" s="3" t="s">
        <v>1438</v>
      </c>
      <c r="C2752" s="29">
        <f>ROUND(Balances[[#This Row],[Total]]*40%,0)</f>
        <v>0</v>
      </c>
      <c r="D2752" s="29">
        <f>ROUND(Balances[[#This Row],[Total]]*20%,0)</f>
        <v>0</v>
      </c>
      <c r="E2752" s="29">
        <f>ROUND(Balances[[#This Row],[Total]]*40%,0)</f>
        <v>0</v>
      </c>
      <c r="F2752" s="18">
        <f>SUM(Acueducto[[#This Row],[Acueducto]:[Aseo]])</f>
        <v>0</v>
      </c>
    </row>
    <row r="2753" spans="1:6" ht="15" x14ac:dyDescent="0.2">
      <c r="A2753" s="7">
        <v>713606</v>
      </c>
      <c r="B2753" s="3" t="s">
        <v>569</v>
      </c>
      <c r="C2753" s="29">
        <f>ROUND(Balances[[#This Row],[Total]]*40%,0)</f>
        <v>0</v>
      </c>
      <c r="D2753" s="29">
        <f>ROUND(Balances[[#This Row],[Total]]*20%,0)</f>
        <v>0</v>
      </c>
      <c r="E2753" s="29">
        <f>ROUND(Balances[[#This Row],[Total]]*40%,0)</f>
        <v>0</v>
      </c>
      <c r="F2753" s="18">
        <f>SUM(Acueducto[[#This Row],[Acueducto]:[Aseo]])</f>
        <v>0</v>
      </c>
    </row>
    <row r="2754" spans="1:6" ht="15" x14ac:dyDescent="0.2">
      <c r="A2754" s="7">
        <v>713607</v>
      </c>
      <c r="B2754" s="3" t="s">
        <v>1439</v>
      </c>
      <c r="C2754" s="29">
        <f>ROUND(Balances[[#This Row],[Total]]*40%,0)</f>
        <v>0</v>
      </c>
      <c r="D2754" s="29">
        <f>ROUND(Balances[[#This Row],[Total]]*20%,0)</f>
        <v>0</v>
      </c>
      <c r="E2754" s="29">
        <f>ROUND(Balances[[#This Row],[Total]]*40%,0)</f>
        <v>0</v>
      </c>
      <c r="F2754" s="18">
        <f>SUM(Acueducto[[#This Row],[Acueducto]:[Aseo]])</f>
        <v>0</v>
      </c>
    </row>
    <row r="2755" spans="1:6" ht="15" x14ac:dyDescent="0.2">
      <c r="A2755" s="7">
        <v>713608</v>
      </c>
      <c r="B2755" s="3" t="s">
        <v>1440</v>
      </c>
      <c r="C2755" s="29">
        <f>ROUND(Balances[[#This Row],[Total]]*40%,0)</f>
        <v>0</v>
      </c>
      <c r="D2755" s="29">
        <f>ROUND(Balances[[#This Row],[Total]]*20%,0)</f>
        <v>0</v>
      </c>
      <c r="E2755" s="29">
        <f>ROUND(Balances[[#This Row],[Total]]*40%,0)</f>
        <v>0</v>
      </c>
      <c r="F2755" s="18">
        <f>SUM(Acueducto[[#This Row],[Acueducto]:[Aseo]])</f>
        <v>0</v>
      </c>
    </row>
    <row r="2756" spans="1:6" ht="15" x14ac:dyDescent="0.2">
      <c r="A2756" s="7">
        <v>713609</v>
      </c>
      <c r="B2756" s="3" t="s">
        <v>1441</v>
      </c>
      <c r="C2756" s="29">
        <f>ROUND(Balances[[#This Row],[Total]]*40%,0)</f>
        <v>0</v>
      </c>
      <c r="D2756" s="29">
        <f>ROUND(Balances[[#This Row],[Total]]*20%,0)</f>
        <v>0</v>
      </c>
      <c r="E2756" s="29">
        <f>ROUND(Balances[[#This Row],[Total]]*40%,0)</f>
        <v>0</v>
      </c>
      <c r="F2756" s="18">
        <f>SUM(Acueducto[[#This Row],[Acueducto]:[Aseo]])</f>
        <v>0</v>
      </c>
    </row>
    <row r="2757" spans="1:6" ht="15" x14ac:dyDescent="0.2">
      <c r="A2757" s="7">
        <v>713610</v>
      </c>
      <c r="B2757" s="3" t="s">
        <v>1442</v>
      </c>
      <c r="C2757" s="29">
        <f>ROUND(Balances[[#This Row],[Total]]*40%,0)</f>
        <v>0</v>
      </c>
      <c r="D2757" s="29">
        <f>ROUND(Balances[[#This Row],[Total]]*20%,0)</f>
        <v>0</v>
      </c>
      <c r="E2757" s="29">
        <f>ROUND(Balances[[#This Row],[Total]]*40%,0)</f>
        <v>0</v>
      </c>
      <c r="F2757" s="18">
        <f>SUM(Acueducto[[#This Row],[Acueducto]:[Aseo]])</f>
        <v>0</v>
      </c>
    </row>
    <row r="2758" spans="1:6" ht="15" x14ac:dyDescent="0.2">
      <c r="A2758" s="7">
        <v>713611</v>
      </c>
      <c r="B2758" s="3" t="s">
        <v>1443</v>
      </c>
      <c r="C2758" s="29">
        <f>ROUND(Balances[[#This Row],[Total]]*40%,0)</f>
        <v>0</v>
      </c>
      <c r="D2758" s="29">
        <f>ROUND(Balances[[#This Row],[Total]]*20%,0)</f>
        <v>0</v>
      </c>
      <c r="E2758" s="29">
        <f>ROUND(Balances[[#This Row],[Total]]*40%,0)</f>
        <v>0</v>
      </c>
      <c r="F2758" s="18">
        <f>SUM(Acueducto[[#This Row],[Acueducto]:[Aseo]])</f>
        <v>0</v>
      </c>
    </row>
    <row r="2759" spans="1:6" ht="15" x14ac:dyDescent="0.2">
      <c r="A2759" s="7">
        <v>713695</v>
      </c>
      <c r="B2759" s="3" t="s">
        <v>1444</v>
      </c>
      <c r="C2759" s="29">
        <f>ROUND(Balances[[#This Row],[Total]]*40%,0)</f>
        <v>0</v>
      </c>
      <c r="D2759" s="29">
        <f>ROUND(Balances[[#This Row],[Total]]*20%,0)</f>
        <v>0</v>
      </c>
      <c r="E2759" s="29">
        <f>ROUND(Balances[[#This Row],[Total]]*40%,0)</f>
        <v>0</v>
      </c>
      <c r="F2759" s="18">
        <f>SUM(Acueducto[[#This Row],[Acueducto]:[Aseo]])</f>
        <v>0</v>
      </c>
    </row>
    <row r="2760" spans="1:6" ht="15" x14ac:dyDescent="0.2">
      <c r="A2760" s="6">
        <v>7190</v>
      </c>
      <c r="B2760" s="2" t="s">
        <v>1455</v>
      </c>
      <c r="C2760" s="28">
        <f>ROUND(Balances[[#This Row],[Total]]*40%,0)</f>
        <v>0</v>
      </c>
      <c r="D2760" s="28">
        <f>ROUND(Balances[[#This Row],[Total]]*20%,0)</f>
        <v>0</v>
      </c>
      <c r="E2760" s="28">
        <f>ROUND(Balances[[#This Row],[Total]]*40%,0)</f>
        <v>0</v>
      </c>
      <c r="F2760" s="17">
        <f>SUM(Acueducto[[#This Row],[Acueducto]:[Aseo]])</f>
        <v>0</v>
      </c>
    </row>
    <row r="2761" spans="1:6" ht="15" x14ac:dyDescent="0.2">
      <c r="A2761" s="7">
        <v>719001</v>
      </c>
      <c r="B2761" s="3" t="s">
        <v>1435</v>
      </c>
      <c r="C2761" s="29">
        <f>ROUND(Balances[[#This Row],[Total]]*40%,0)</f>
        <v>0</v>
      </c>
      <c r="D2761" s="29">
        <f>ROUND(Balances[[#This Row],[Total]]*20%,0)</f>
        <v>0</v>
      </c>
      <c r="E2761" s="29">
        <f>ROUND(Balances[[#This Row],[Total]]*40%,0)</f>
        <v>0</v>
      </c>
      <c r="F2761" s="18">
        <f>SUM(Acueducto[[#This Row],[Acueducto]:[Aseo]])</f>
        <v>0</v>
      </c>
    </row>
    <row r="2762" spans="1:6" ht="15" x14ac:dyDescent="0.2">
      <c r="A2762" s="7">
        <v>719002</v>
      </c>
      <c r="B2762" s="3" t="s">
        <v>1436</v>
      </c>
      <c r="C2762" s="29">
        <f>ROUND(Balances[[#This Row],[Total]]*40%,0)</f>
        <v>0</v>
      </c>
      <c r="D2762" s="29">
        <f>ROUND(Balances[[#This Row],[Total]]*20%,0)</f>
        <v>0</v>
      </c>
      <c r="E2762" s="29">
        <f>ROUND(Balances[[#This Row],[Total]]*40%,0)</f>
        <v>0</v>
      </c>
      <c r="F2762" s="18">
        <f>SUM(Acueducto[[#This Row],[Acueducto]:[Aseo]])</f>
        <v>0</v>
      </c>
    </row>
    <row r="2763" spans="1:6" ht="15" x14ac:dyDescent="0.2">
      <c r="A2763" s="7">
        <v>719003</v>
      </c>
      <c r="B2763" s="3" t="s">
        <v>1437</v>
      </c>
      <c r="C2763" s="29">
        <f>ROUND(Balances[[#This Row],[Total]]*40%,0)</f>
        <v>0</v>
      </c>
      <c r="D2763" s="29">
        <f>ROUND(Balances[[#This Row],[Total]]*20%,0)</f>
        <v>0</v>
      </c>
      <c r="E2763" s="29">
        <f>ROUND(Balances[[#This Row],[Total]]*40%,0)</f>
        <v>0</v>
      </c>
      <c r="F2763" s="18">
        <f>SUM(Acueducto[[#This Row],[Acueducto]:[Aseo]])</f>
        <v>0</v>
      </c>
    </row>
    <row r="2764" spans="1:6" ht="15" x14ac:dyDescent="0.2">
      <c r="A2764" s="7">
        <v>719004</v>
      </c>
      <c r="B2764" s="3" t="s">
        <v>568</v>
      </c>
      <c r="C2764" s="29">
        <f>ROUND(Balances[[#This Row],[Total]]*40%,0)</f>
        <v>0</v>
      </c>
      <c r="D2764" s="29">
        <f>ROUND(Balances[[#This Row],[Total]]*20%,0)</f>
        <v>0</v>
      </c>
      <c r="E2764" s="29">
        <f>ROUND(Balances[[#This Row],[Total]]*40%,0)</f>
        <v>0</v>
      </c>
      <c r="F2764" s="18">
        <f>SUM(Acueducto[[#This Row],[Acueducto]:[Aseo]])</f>
        <v>0</v>
      </c>
    </row>
    <row r="2765" spans="1:6" ht="15" x14ac:dyDescent="0.2">
      <c r="A2765" s="7">
        <v>719005</v>
      </c>
      <c r="B2765" s="3" t="s">
        <v>1438</v>
      </c>
      <c r="C2765" s="29">
        <f>ROUND(Balances[[#This Row],[Total]]*40%,0)</f>
        <v>0</v>
      </c>
      <c r="D2765" s="29">
        <f>ROUND(Balances[[#This Row],[Total]]*20%,0)</f>
        <v>0</v>
      </c>
      <c r="E2765" s="29">
        <f>ROUND(Balances[[#This Row],[Total]]*40%,0)</f>
        <v>0</v>
      </c>
      <c r="F2765" s="18">
        <f>SUM(Acueducto[[#This Row],[Acueducto]:[Aseo]])</f>
        <v>0</v>
      </c>
    </row>
    <row r="2766" spans="1:6" ht="15" x14ac:dyDescent="0.2">
      <c r="A2766" s="7">
        <v>719006</v>
      </c>
      <c r="B2766" s="3" t="s">
        <v>569</v>
      </c>
      <c r="C2766" s="29">
        <f>ROUND(Balances[[#This Row],[Total]]*40%,0)</f>
        <v>0</v>
      </c>
      <c r="D2766" s="29">
        <f>ROUND(Balances[[#This Row],[Total]]*20%,0)</f>
        <v>0</v>
      </c>
      <c r="E2766" s="29">
        <f>ROUND(Balances[[#This Row],[Total]]*40%,0)</f>
        <v>0</v>
      </c>
      <c r="F2766" s="18">
        <f>SUM(Acueducto[[#This Row],[Acueducto]:[Aseo]])</f>
        <v>0</v>
      </c>
    </row>
    <row r="2767" spans="1:6" ht="15" x14ac:dyDescent="0.2">
      <c r="A2767" s="7">
        <v>719007</v>
      </c>
      <c r="B2767" s="3" t="s">
        <v>1439</v>
      </c>
      <c r="C2767" s="29">
        <f>ROUND(Balances[[#This Row],[Total]]*40%,0)</f>
        <v>0</v>
      </c>
      <c r="D2767" s="29">
        <f>ROUND(Balances[[#This Row],[Total]]*20%,0)</f>
        <v>0</v>
      </c>
      <c r="E2767" s="29">
        <f>ROUND(Balances[[#This Row],[Total]]*40%,0)</f>
        <v>0</v>
      </c>
      <c r="F2767" s="18">
        <f>SUM(Acueducto[[#This Row],[Acueducto]:[Aseo]])</f>
        <v>0</v>
      </c>
    </row>
    <row r="2768" spans="1:6" ht="15" x14ac:dyDescent="0.2">
      <c r="A2768" s="7">
        <v>719008</v>
      </c>
      <c r="B2768" s="3" t="s">
        <v>1440</v>
      </c>
      <c r="C2768" s="29">
        <f>ROUND(Balances[[#This Row],[Total]]*40%,0)</f>
        <v>0</v>
      </c>
      <c r="D2768" s="29">
        <f>ROUND(Balances[[#This Row],[Total]]*20%,0)</f>
        <v>0</v>
      </c>
      <c r="E2768" s="29">
        <f>ROUND(Balances[[#This Row],[Total]]*40%,0)</f>
        <v>0</v>
      </c>
      <c r="F2768" s="18">
        <f>SUM(Acueducto[[#This Row],[Acueducto]:[Aseo]])</f>
        <v>0</v>
      </c>
    </row>
    <row r="2769" spans="1:6" ht="15" x14ac:dyDescent="0.2">
      <c r="A2769" s="7">
        <v>719009</v>
      </c>
      <c r="B2769" s="3" t="s">
        <v>1441</v>
      </c>
      <c r="C2769" s="29">
        <f>ROUND(Balances[[#This Row],[Total]]*40%,0)</f>
        <v>0</v>
      </c>
      <c r="D2769" s="29">
        <f>ROUND(Balances[[#This Row],[Total]]*20%,0)</f>
        <v>0</v>
      </c>
      <c r="E2769" s="29">
        <f>ROUND(Balances[[#This Row],[Total]]*40%,0)</f>
        <v>0</v>
      </c>
      <c r="F2769" s="18">
        <f>SUM(Acueducto[[#This Row],[Acueducto]:[Aseo]])</f>
        <v>0</v>
      </c>
    </row>
    <row r="2770" spans="1:6" ht="15" x14ac:dyDescent="0.2">
      <c r="A2770" s="7">
        <v>719010</v>
      </c>
      <c r="B2770" s="3" t="s">
        <v>1442</v>
      </c>
      <c r="C2770" s="29">
        <f>ROUND(Balances[[#This Row],[Total]]*40%,0)</f>
        <v>0</v>
      </c>
      <c r="D2770" s="29">
        <f>ROUND(Balances[[#This Row],[Total]]*20%,0)</f>
        <v>0</v>
      </c>
      <c r="E2770" s="29">
        <f>ROUND(Balances[[#This Row],[Total]]*40%,0)</f>
        <v>0</v>
      </c>
      <c r="F2770" s="18">
        <f>SUM(Acueducto[[#This Row],[Acueducto]:[Aseo]])</f>
        <v>0</v>
      </c>
    </row>
    <row r="2771" spans="1:6" ht="15" x14ac:dyDescent="0.2">
      <c r="A2771" s="7">
        <v>719011</v>
      </c>
      <c r="B2771" s="3" t="s">
        <v>1443</v>
      </c>
      <c r="C2771" s="29">
        <f>ROUND(Balances[[#This Row],[Total]]*40%,0)</f>
        <v>0</v>
      </c>
      <c r="D2771" s="29">
        <f>ROUND(Balances[[#This Row],[Total]]*20%,0)</f>
        <v>0</v>
      </c>
      <c r="E2771" s="29">
        <f>ROUND(Balances[[#This Row],[Total]]*40%,0)</f>
        <v>0</v>
      </c>
      <c r="F2771" s="18">
        <f>SUM(Acueducto[[#This Row],[Acueducto]:[Aseo]])</f>
        <v>0</v>
      </c>
    </row>
    <row r="2772" spans="1:6" ht="15" x14ac:dyDescent="0.2">
      <c r="A2772" s="7">
        <v>719095</v>
      </c>
      <c r="B2772" s="3" t="s">
        <v>1444</v>
      </c>
      <c r="C2772" s="29">
        <f>ROUND(Balances[[#This Row],[Total]]*40%,0)</f>
        <v>0</v>
      </c>
      <c r="D2772" s="29">
        <f>ROUND(Balances[[#This Row],[Total]]*20%,0)</f>
        <v>0</v>
      </c>
      <c r="E2772" s="29">
        <f>ROUND(Balances[[#This Row],[Total]]*40%,0)</f>
        <v>0</v>
      </c>
      <c r="F2772" s="18">
        <f>SUM(Acueducto[[#This Row],[Acueducto]:[Aseo]])</f>
        <v>0</v>
      </c>
    </row>
    <row r="2773" spans="1:6" ht="15" x14ac:dyDescent="0.2">
      <c r="A2773" s="6">
        <v>73</v>
      </c>
      <c r="B2773" s="2" t="s">
        <v>1039</v>
      </c>
      <c r="C2773" s="28">
        <f>ROUND(Balances[[#This Row],[Total]]*40%,0)</f>
        <v>0</v>
      </c>
      <c r="D2773" s="28">
        <f>ROUND(Balances[[#This Row],[Total]]*20%,0)</f>
        <v>0</v>
      </c>
      <c r="E2773" s="28">
        <f>ROUND(Balances[[#This Row],[Total]]*40%,0)</f>
        <v>0</v>
      </c>
      <c r="F2773" s="17">
        <f>SUM(Acueducto[[#This Row],[Acueducto]:[Aseo]])</f>
        <v>0</v>
      </c>
    </row>
    <row r="2774" spans="1:6" ht="15" x14ac:dyDescent="0.2">
      <c r="A2774" s="6">
        <v>7301</v>
      </c>
      <c r="B2774" s="2" t="s">
        <v>1456</v>
      </c>
      <c r="C2774" s="28">
        <f>ROUND(Balances[[#This Row],[Total]]*40%,0)</f>
        <v>0</v>
      </c>
      <c r="D2774" s="28">
        <f>ROUND(Balances[[#This Row],[Total]]*20%,0)</f>
        <v>0</v>
      </c>
      <c r="E2774" s="28">
        <f>ROUND(Balances[[#This Row],[Total]]*40%,0)</f>
        <v>0</v>
      </c>
      <c r="F2774" s="17">
        <f>SUM(Acueducto[[#This Row],[Acueducto]:[Aseo]])</f>
        <v>0</v>
      </c>
    </row>
    <row r="2775" spans="1:6" ht="15" x14ac:dyDescent="0.2">
      <c r="A2775" s="7">
        <v>730101</v>
      </c>
      <c r="B2775" s="3" t="s">
        <v>1436</v>
      </c>
      <c r="C2775" s="29">
        <f>ROUND(Balances[[#This Row],[Total]]*40%,0)</f>
        <v>0</v>
      </c>
      <c r="D2775" s="29">
        <f>ROUND(Balances[[#This Row],[Total]]*20%,0)</f>
        <v>0</v>
      </c>
      <c r="E2775" s="29">
        <f>ROUND(Balances[[#This Row],[Total]]*40%,0)</f>
        <v>0</v>
      </c>
      <c r="F2775" s="18">
        <f>SUM(Acueducto[[#This Row],[Acueducto]:[Aseo]])</f>
        <v>0</v>
      </c>
    </row>
    <row r="2776" spans="1:6" ht="15" x14ac:dyDescent="0.2">
      <c r="A2776" s="7">
        <v>730102</v>
      </c>
      <c r="B2776" s="3" t="s">
        <v>1437</v>
      </c>
      <c r="C2776" s="29">
        <f>ROUND(Balances[[#This Row],[Total]]*40%,0)</f>
        <v>0</v>
      </c>
      <c r="D2776" s="29">
        <f>ROUND(Balances[[#This Row],[Total]]*20%,0)</f>
        <v>0</v>
      </c>
      <c r="E2776" s="29">
        <f>ROUND(Balances[[#This Row],[Total]]*40%,0)</f>
        <v>0</v>
      </c>
      <c r="F2776" s="18">
        <f>SUM(Acueducto[[#This Row],[Acueducto]:[Aseo]])</f>
        <v>0</v>
      </c>
    </row>
    <row r="2777" spans="1:6" ht="15" x14ac:dyDescent="0.2">
      <c r="A2777" s="7">
        <v>730103</v>
      </c>
      <c r="B2777" s="3" t="s">
        <v>568</v>
      </c>
      <c r="C2777" s="29">
        <f>ROUND(Balances[[#This Row],[Total]]*40%,0)</f>
        <v>0</v>
      </c>
      <c r="D2777" s="29">
        <f>ROUND(Balances[[#This Row],[Total]]*20%,0)</f>
        <v>0</v>
      </c>
      <c r="E2777" s="29">
        <f>ROUND(Balances[[#This Row],[Total]]*40%,0)</f>
        <v>0</v>
      </c>
      <c r="F2777" s="18">
        <f>SUM(Acueducto[[#This Row],[Acueducto]:[Aseo]])</f>
        <v>0</v>
      </c>
    </row>
    <row r="2778" spans="1:6" ht="15" x14ac:dyDescent="0.2">
      <c r="A2778" s="7">
        <v>730104</v>
      </c>
      <c r="B2778" s="3" t="s">
        <v>1438</v>
      </c>
      <c r="C2778" s="29">
        <f>ROUND(Balances[[#This Row],[Total]]*40%,0)</f>
        <v>0</v>
      </c>
      <c r="D2778" s="29">
        <f>ROUND(Balances[[#This Row],[Total]]*20%,0)</f>
        <v>0</v>
      </c>
      <c r="E2778" s="29">
        <f>ROUND(Balances[[#This Row],[Total]]*40%,0)</f>
        <v>0</v>
      </c>
      <c r="F2778" s="18">
        <f>SUM(Acueducto[[#This Row],[Acueducto]:[Aseo]])</f>
        <v>0</v>
      </c>
    </row>
    <row r="2779" spans="1:6" ht="15" x14ac:dyDescent="0.2">
      <c r="A2779" s="7">
        <v>730105</v>
      </c>
      <c r="B2779" s="3" t="s">
        <v>569</v>
      </c>
      <c r="C2779" s="29">
        <f>ROUND(Balances[[#This Row],[Total]]*40%,0)</f>
        <v>0</v>
      </c>
      <c r="D2779" s="29">
        <f>ROUND(Balances[[#This Row],[Total]]*20%,0)</f>
        <v>0</v>
      </c>
      <c r="E2779" s="29">
        <f>ROUND(Balances[[#This Row],[Total]]*40%,0)</f>
        <v>0</v>
      </c>
      <c r="F2779" s="18">
        <f>SUM(Acueducto[[#This Row],[Acueducto]:[Aseo]])</f>
        <v>0</v>
      </c>
    </row>
    <row r="2780" spans="1:6" ht="15" x14ac:dyDescent="0.2">
      <c r="A2780" s="7">
        <v>730106</v>
      </c>
      <c r="B2780" s="3" t="s">
        <v>1439</v>
      </c>
      <c r="C2780" s="29">
        <f>ROUND(Balances[[#This Row],[Total]]*40%,0)</f>
        <v>0</v>
      </c>
      <c r="D2780" s="29">
        <f>ROUND(Balances[[#This Row],[Total]]*20%,0)</f>
        <v>0</v>
      </c>
      <c r="E2780" s="29">
        <f>ROUND(Balances[[#This Row],[Total]]*40%,0)</f>
        <v>0</v>
      </c>
      <c r="F2780" s="18">
        <f>SUM(Acueducto[[#This Row],[Acueducto]:[Aseo]])</f>
        <v>0</v>
      </c>
    </row>
    <row r="2781" spans="1:6" ht="15" x14ac:dyDescent="0.2">
      <c r="A2781" s="7">
        <v>730107</v>
      </c>
      <c r="B2781" s="3" t="s">
        <v>1440</v>
      </c>
      <c r="C2781" s="29">
        <f>ROUND(Balances[[#This Row],[Total]]*40%,0)</f>
        <v>0</v>
      </c>
      <c r="D2781" s="29">
        <f>ROUND(Balances[[#This Row],[Total]]*20%,0)</f>
        <v>0</v>
      </c>
      <c r="E2781" s="29">
        <f>ROUND(Balances[[#This Row],[Total]]*40%,0)</f>
        <v>0</v>
      </c>
      <c r="F2781" s="18">
        <f>SUM(Acueducto[[#This Row],[Acueducto]:[Aseo]])</f>
        <v>0</v>
      </c>
    </row>
    <row r="2782" spans="1:6" ht="15" x14ac:dyDescent="0.2">
      <c r="A2782" s="7">
        <v>730108</v>
      </c>
      <c r="B2782" s="3" t="s">
        <v>1441</v>
      </c>
      <c r="C2782" s="29">
        <f>ROUND(Balances[[#This Row],[Total]]*40%,0)</f>
        <v>0</v>
      </c>
      <c r="D2782" s="29">
        <f>ROUND(Balances[[#This Row],[Total]]*20%,0)</f>
        <v>0</v>
      </c>
      <c r="E2782" s="29">
        <f>ROUND(Balances[[#This Row],[Total]]*40%,0)</f>
        <v>0</v>
      </c>
      <c r="F2782" s="18">
        <f>SUM(Acueducto[[#This Row],[Acueducto]:[Aseo]])</f>
        <v>0</v>
      </c>
    </row>
    <row r="2783" spans="1:6" ht="15" x14ac:dyDescent="0.2">
      <c r="A2783" s="7">
        <v>730109</v>
      </c>
      <c r="B2783" s="3" t="s">
        <v>1442</v>
      </c>
      <c r="C2783" s="29">
        <f>ROUND(Balances[[#This Row],[Total]]*40%,0)</f>
        <v>0</v>
      </c>
      <c r="D2783" s="29">
        <f>ROUND(Balances[[#This Row],[Total]]*20%,0)</f>
        <v>0</v>
      </c>
      <c r="E2783" s="29">
        <f>ROUND(Balances[[#This Row],[Total]]*40%,0)</f>
        <v>0</v>
      </c>
      <c r="F2783" s="18">
        <f>SUM(Acueducto[[#This Row],[Acueducto]:[Aseo]])</f>
        <v>0</v>
      </c>
    </row>
    <row r="2784" spans="1:6" ht="15" x14ac:dyDescent="0.2">
      <c r="A2784" s="7">
        <v>730110</v>
      </c>
      <c r="B2784" s="3" t="s">
        <v>1443</v>
      </c>
      <c r="C2784" s="29">
        <f>ROUND(Balances[[#This Row],[Total]]*40%,0)</f>
        <v>0</v>
      </c>
      <c r="D2784" s="29">
        <f>ROUND(Balances[[#This Row],[Total]]*20%,0)</f>
        <v>0</v>
      </c>
      <c r="E2784" s="29">
        <f>ROUND(Balances[[#This Row],[Total]]*40%,0)</f>
        <v>0</v>
      </c>
      <c r="F2784" s="18">
        <f>SUM(Acueducto[[#This Row],[Acueducto]:[Aseo]])</f>
        <v>0</v>
      </c>
    </row>
    <row r="2785" spans="1:6" ht="15" x14ac:dyDescent="0.2">
      <c r="A2785" s="7">
        <v>730195</v>
      </c>
      <c r="B2785" s="3" t="s">
        <v>1444</v>
      </c>
      <c r="C2785" s="29">
        <f>ROUND(Balances[[#This Row],[Total]]*40%,0)</f>
        <v>0</v>
      </c>
      <c r="D2785" s="29">
        <f>ROUND(Balances[[#This Row],[Total]]*20%,0)</f>
        <v>0</v>
      </c>
      <c r="E2785" s="29">
        <f>ROUND(Balances[[#This Row],[Total]]*40%,0)</f>
        <v>0</v>
      </c>
      <c r="F2785" s="18">
        <f>SUM(Acueducto[[#This Row],[Acueducto]:[Aseo]])</f>
        <v>0</v>
      </c>
    </row>
    <row r="2786" spans="1:6" ht="15" x14ac:dyDescent="0.2">
      <c r="A2786" s="6">
        <v>7302</v>
      </c>
      <c r="B2786" s="2" t="s">
        <v>1457</v>
      </c>
      <c r="C2786" s="28">
        <f>ROUND(Balances[[#This Row],[Total]]*40%,0)</f>
        <v>0</v>
      </c>
      <c r="D2786" s="28">
        <f>ROUND(Balances[[#This Row],[Total]]*20%,0)</f>
        <v>0</v>
      </c>
      <c r="E2786" s="28">
        <f>ROUND(Balances[[#This Row],[Total]]*40%,0)</f>
        <v>0</v>
      </c>
      <c r="F2786" s="17">
        <f>SUM(Acueducto[[#This Row],[Acueducto]:[Aseo]])</f>
        <v>0</v>
      </c>
    </row>
    <row r="2787" spans="1:6" ht="15" x14ac:dyDescent="0.2">
      <c r="A2787" s="7">
        <v>730201</v>
      </c>
      <c r="B2787" s="3" t="s">
        <v>1436</v>
      </c>
      <c r="C2787" s="29">
        <f>ROUND(Balances[[#This Row],[Total]]*40%,0)</f>
        <v>0</v>
      </c>
      <c r="D2787" s="29">
        <f>ROUND(Balances[[#This Row],[Total]]*20%,0)</f>
        <v>0</v>
      </c>
      <c r="E2787" s="29">
        <f>ROUND(Balances[[#This Row],[Total]]*40%,0)</f>
        <v>0</v>
      </c>
      <c r="F2787" s="18">
        <f>SUM(Acueducto[[#This Row],[Acueducto]:[Aseo]])</f>
        <v>0</v>
      </c>
    </row>
    <row r="2788" spans="1:6" ht="15" x14ac:dyDescent="0.2">
      <c r="A2788" s="7">
        <v>730202</v>
      </c>
      <c r="B2788" s="3" t="s">
        <v>1437</v>
      </c>
      <c r="C2788" s="29">
        <f>ROUND(Balances[[#This Row],[Total]]*40%,0)</f>
        <v>0</v>
      </c>
      <c r="D2788" s="29">
        <f>ROUND(Balances[[#This Row],[Total]]*20%,0)</f>
        <v>0</v>
      </c>
      <c r="E2788" s="29">
        <f>ROUND(Balances[[#This Row],[Total]]*40%,0)</f>
        <v>0</v>
      </c>
      <c r="F2788" s="18">
        <f>SUM(Acueducto[[#This Row],[Acueducto]:[Aseo]])</f>
        <v>0</v>
      </c>
    </row>
    <row r="2789" spans="1:6" ht="15" x14ac:dyDescent="0.2">
      <c r="A2789" s="7">
        <v>730203</v>
      </c>
      <c r="B2789" s="3" t="s">
        <v>568</v>
      </c>
      <c r="C2789" s="29">
        <f>ROUND(Balances[[#This Row],[Total]]*40%,0)</f>
        <v>0</v>
      </c>
      <c r="D2789" s="29">
        <f>ROUND(Balances[[#This Row],[Total]]*20%,0)</f>
        <v>0</v>
      </c>
      <c r="E2789" s="29">
        <f>ROUND(Balances[[#This Row],[Total]]*40%,0)</f>
        <v>0</v>
      </c>
      <c r="F2789" s="18">
        <f>SUM(Acueducto[[#This Row],[Acueducto]:[Aseo]])</f>
        <v>0</v>
      </c>
    </row>
    <row r="2790" spans="1:6" ht="15" x14ac:dyDescent="0.2">
      <c r="A2790" s="7">
        <v>730204</v>
      </c>
      <c r="B2790" s="3" t="s">
        <v>1438</v>
      </c>
      <c r="C2790" s="29">
        <f>ROUND(Balances[[#This Row],[Total]]*40%,0)</f>
        <v>0</v>
      </c>
      <c r="D2790" s="29">
        <f>ROUND(Balances[[#This Row],[Total]]*20%,0)</f>
        <v>0</v>
      </c>
      <c r="E2790" s="29">
        <f>ROUND(Balances[[#This Row],[Total]]*40%,0)</f>
        <v>0</v>
      </c>
      <c r="F2790" s="18">
        <f>SUM(Acueducto[[#This Row],[Acueducto]:[Aseo]])</f>
        <v>0</v>
      </c>
    </row>
    <row r="2791" spans="1:6" ht="15" x14ac:dyDescent="0.2">
      <c r="A2791" s="7">
        <v>730205</v>
      </c>
      <c r="B2791" s="3" t="s">
        <v>569</v>
      </c>
      <c r="C2791" s="29">
        <f>ROUND(Balances[[#This Row],[Total]]*40%,0)</f>
        <v>0</v>
      </c>
      <c r="D2791" s="29">
        <f>ROUND(Balances[[#This Row],[Total]]*20%,0)</f>
        <v>0</v>
      </c>
      <c r="E2791" s="29">
        <f>ROUND(Balances[[#This Row],[Total]]*40%,0)</f>
        <v>0</v>
      </c>
      <c r="F2791" s="18">
        <f>SUM(Acueducto[[#This Row],[Acueducto]:[Aseo]])</f>
        <v>0</v>
      </c>
    </row>
    <row r="2792" spans="1:6" ht="15" x14ac:dyDescent="0.2">
      <c r="A2792" s="7">
        <v>730206</v>
      </c>
      <c r="B2792" s="3" t="s">
        <v>1439</v>
      </c>
      <c r="C2792" s="29">
        <f>ROUND(Balances[[#This Row],[Total]]*40%,0)</f>
        <v>0</v>
      </c>
      <c r="D2792" s="29">
        <f>ROUND(Balances[[#This Row],[Total]]*20%,0)</f>
        <v>0</v>
      </c>
      <c r="E2792" s="29">
        <f>ROUND(Balances[[#This Row],[Total]]*40%,0)</f>
        <v>0</v>
      </c>
      <c r="F2792" s="18">
        <f>SUM(Acueducto[[#This Row],[Acueducto]:[Aseo]])</f>
        <v>0</v>
      </c>
    </row>
    <row r="2793" spans="1:6" ht="15" x14ac:dyDescent="0.2">
      <c r="A2793" s="7">
        <v>730207</v>
      </c>
      <c r="B2793" s="3" t="s">
        <v>1440</v>
      </c>
      <c r="C2793" s="29">
        <f>ROUND(Balances[[#This Row],[Total]]*40%,0)</f>
        <v>0</v>
      </c>
      <c r="D2793" s="29">
        <f>ROUND(Balances[[#This Row],[Total]]*20%,0)</f>
        <v>0</v>
      </c>
      <c r="E2793" s="29">
        <f>ROUND(Balances[[#This Row],[Total]]*40%,0)</f>
        <v>0</v>
      </c>
      <c r="F2793" s="18">
        <f>SUM(Acueducto[[#This Row],[Acueducto]:[Aseo]])</f>
        <v>0</v>
      </c>
    </row>
    <row r="2794" spans="1:6" ht="15" x14ac:dyDescent="0.2">
      <c r="A2794" s="7">
        <v>730208</v>
      </c>
      <c r="B2794" s="3" t="s">
        <v>1441</v>
      </c>
      <c r="C2794" s="29">
        <f>ROUND(Balances[[#This Row],[Total]]*40%,0)</f>
        <v>0</v>
      </c>
      <c r="D2794" s="29">
        <f>ROUND(Balances[[#This Row],[Total]]*20%,0)</f>
        <v>0</v>
      </c>
      <c r="E2794" s="29">
        <f>ROUND(Balances[[#This Row],[Total]]*40%,0)</f>
        <v>0</v>
      </c>
      <c r="F2794" s="18">
        <f>SUM(Acueducto[[#This Row],[Acueducto]:[Aseo]])</f>
        <v>0</v>
      </c>
    </row>
    <row r="2795" spans="1:6" ht="15" x14ac:dyDescent="0.2">
      <c r="A2795" s="7">
        <v>730209</v>
      </c>
      <c r="B2795" s="3" t="s">
        <v>1442</v>
      </c>
      <c r="C2795" s="29">
        <f>ROUND(Balances[[#This Row],[Total]]*40%,0)</f>
        <v>0</v>
      </c>
      <c r="D2795" s="29">
        <f>ROUND(Balances[[#This Row],[Total]]*20%,0)</f>
        <v>0</v>
      </c>
      <c r="E2795" s="29">
        <f>ROUND(Balances[[#This Row],[Total]]*40%,0)</f>
        <v>0</v>
      </c>
      <c r="F2795" s="18">
        <f>SUM(Acueducto[[#This Row],[Acueducto]:[Aseo]])</f>
        <v>0</v>
      </c>
    </row>
    <row r="2796" spans="1:6" ht="15" x14ac:dyDescent="0.2">
      <c r="A2796" s="7">
        <v>730210</v>
      </c>
      <c r="B2796" s="3" t="s">
        <v>1443</v>
      </c>
      <c r="C2796" s="29">
        <f>ROUND(Balances[[#This Row],[Total]]*40%,0)</f>
        <v>0</v>
      </c>
      <c r="D2796" s="29">
        <f>ROUND(Balances[[#This Row],[Total]]*20%,0)</f>
        <v>0</v>
      </c>
      <c r="E2796" s="29">
        <f>ROUND(Balances[[#This Row],[Total]]*40%,0)</f>
        <v>0</v>
      </c>
      <c r="F2796" s="18">
        <f>SUM(Acueducto[[#This Row],[Acueducto]:[Aseo]])</f>
        <v>0</v>
      </c>
    </row>
    <row r="2797" spans="1:6" ht="15" x14ac:dyDescent="0.2">
      <c r="A2797" s="7">
        <v>730295</v>
      </c>
      <c r="B2797" s="3" t="s">
        <v>1444</v>
      </c>
      <c r="C2797" s="29">
        <f>ROUND(Balances[[#This Row],[Total]]*40%,0)</f>
        <v>0</v>
      </c>
      <c r="D2797" s="29">
        <f>ROUND(Balances[[#This Row],[Total]]*20%,0)</f>
        <v>0</v>
      </c>
      <c r="E2797" s="29">
        <f>ROUND(Balances[[#This Row],[Total]]*40%,0)</f>
        <v>0</v>
      </c>
      <c r="F2797" s="18">
        <f>SUM(Acueducto[[#This Row],[Acueducto]:[Aseo]])</f>
        <v>0</v>
      </c>
    </row>
    <row r="2798" spans="1:6" ht="15" x14ac:dyDescent="0.2">
      <c r="A2798" s="6">
        <v>7310</v>
      </c>
      <c r="B2798" s="2" t="s">
        <v>1458</v>
      </c>
      <c r="C2798" s="28">
        <f>ROUND(Balances[[#This Row],[Total]]*40%,0)</f>
        <v>0</v>
      </c>
      <c r="D2798" s="28">
        <f>ROUND(Balances[[#This Row],[Total]]*20%,0)</f>
        <v>0</v>
      </c>
      <c r="E2798" s="28">
        <f>ROUND(Balances[[#This Row],[Total]]*40%,0)</f>
        <v>0</v>
      </c>
      <c r="F2798" s="17">
        <f>SUM(Acueducto[[#This Row],[Acueducto]:[Aseo]])</f>
        <v>0</v>
      </c>
    </row>
    <row r="2799" spans="1:6" ht="15" x14ac:dyDescent="0.2">
      <c r="A2799" s="7">
        <v>731001</v>
      </c>
      <c r="B2799" s="3" t="s">
        <v>1436</v>
      </c>
      <c r="C2799" s="29">
        <f>ROUND(Balances[[#This Row],[Total]]*40%,0)</f>
        <v>0</v>
      </c>
      <c r="D2799" s="29">
        <f>ROUND(Balances[[#This Row],[Total]]*20%,0)</f>
        <v>0</v>
      </c>
      <c r="E2799" s="29">
        <f>ROUND(Balances[[#This Row],[Total]]*40%,0)</f>
        <v>0</v>
      </c>
      <c r="F2799" s="18">
        <f>SUM(Acueducto[[#This Row],[Acueducto]:[Aseo]])</f>
        <v>0</v>
      </c>
    </row>
    <row r="2800" spans="1:6" ht="15" x14ac:dyDescent="0.2">
      <c r="A2800" s="7">
        <v>731002</v>
      </c>
      <c r="B2800" s="3" t="s">
        <v>1437</v>
      </c>
      <c r="C2800" s="29">
        <f>ROUND(Balances[[#This Row],[Total]]*40%,0)</f>
        <v>0</v>
      </c>
      <c r="D2800" s="29">
        <f>ROUND(Balances[[#This Row],[Total]]*20%,0)</f>
        <v>0</v>
      </c>
      <c r="E2800" s="29">
        <f>ROUND(Balances[[#This Row],[Total]]*40%,0)</f>
        <v>0</v>
      </c>
      <c r="F2800" s="18">
        <f>SUM(Acueducto[[#This Row],[Acueducto]:[Aseo]])</f>
        <v>0</v>
      </c>
    </row>
    <row r="2801" spans="1:6" ht="15" x14ac:dyDescent="0.2">
      <c r="A2801" s="7">
        <v>731003</v>
      </c>
      <c r="B2801" s="3" t="s">
        <v>568</v>
      </c>
      <c r="C2801" s="29">
        <f>ROUND(Balances[[#This Row],[Total]]*40%,0)</f>
        <v>0</v>
      </c>
      <c r="D2801" s="29">
        <f>ROUND(Balances[[#This Row],[Total]]*20%,0)</f>
        <v>0</v>
      </c>
      <c r="E2801" s="29">
        <f>ROUND(Balances[[#This Row],[Total]]*40%,0)</f>
        <v>0</v>
      </c>
      <c r="F2801" s="18">
        <f>SUM(Acueducto[[#This Row],[Acueducto]:[Aseo]])</f>
        <v>0</v>
      </c>
    </row>
    <row r="2802" spans="1:6" ht="15" x14ac:dyDescent="0.2">
      <c r="A2802" s="7">
        <v>731004</v>
      </c>
      <c r="B2802" s="3" t="s">
        <v>1438</v>
      </c>
      <c r="C2802" s="29">
        <f>ROUND(Balances[[#This Row],[Total]]*40%,0)</f>
        <v>0</v>
      </c>
      <c r="D2802" s="29">
        <f>ROUND(Balances[[#This Row],[Total]]*20%,0)</f>
        <v>0</v>
      </c>
      <c r="E2802" s="29">
        <f>ROUND(Balances[[#This Row],[Total]]*40%,0)</f>
        <v>0</v>
      </c>
      <c r="F2802" s="18">
        <f>SUM(Acueducto[[#This Row],[Acueducto]:[Aseo]])</f>
        <v>0</v>
      </c>
    </row>
    <row r="2803" spans="1:6" ht="15" x14ac:dyDescent="0.2">
      <c r="A2803" s="7">
        <v>731005</v>
      </c>
      <c r="B2803" s="3" t="s">
        <v>569</v>
      </c>
      <c r="C2803" s="29">
        <f>ROUND(Balances[[#This Row],[Total]]*40%,0)</f>
        <v>0</v>
      </c>
      <c r="D2803" s="29">
        <f>ROUND(Balances[[#This Row],[Total]]*20%,0)</f>
        <v>0</v>
      </c>
      <c r="E2803" s="29">
        <f>ROUND(Balances[[#This Row],[Total]]*40%,0)</f>
        <v>0</v>
      </c>
      <c r="F2803" s="18">
        <f>SUM(Acueducto[[#This Row],[Acueducto]:[Aseo]])</f>
        <v>0</v>
      </c>
    </row>
    <row r="2804" spans="1:6" ht="15" x14ac:dyDescent="0.2">
      <c r="A2804" s="7">
        <v>731006</v>
      </c>
      <c r="B2804" s="3" t="s">
        <v>1439</v>
      </c>
      <c r="C2804" s="29">
        <f>ROUND(Balances[[#This Row],[Total]]*40%,0)</f>
        <v>0</v>
      </c>
      <c r="D2804" s="29">
        <f>ROUND(Balances[[#This Row],[Total]]*20%,0)</f>
        <v>0</v>
      </c>
      <c r="E2804" s="29">
        <f>ROUND(Balances[[#This Row],[Total]]*40%,0)</f>
        <v>0</v>
      </c>
      <c r="F2804" s="18">
        <f>SUM(Acueducto[[#This Row],[Acueducto]:[Aseo]])</f>
        <v>0</v>
      </c>
    </row>
    <row r="2805" spans="1:6" ht="15" x14ac:dyDescent="0.2">
      <c r="A2805" s="7">
        <v>731007</v>
      </c>
      <c r="B2805" s="3" t="s">
        <v>1440</v>
      </c>
      <c r="C2805" s="29">
        <f>ROUND(Balances[[#This Row],[Total]]*40%,0)</f>
        <v>0</v>
      </c>
      <c r="D2805" s="29">
        <f>ROUND(Balances[[#This Row],[Total]]*20%,0)</f>
        <v>0</v>
      </c>
      <c r="E2805" s="29">
        <f>ROUND(Balances[[#This Row],[Total]]*40%,0)</f>
        <v>0</v>
      </c>
      <c r="F2805" s="18">
        <f>SUM(Acueducto[[#This Row],[Acueducto]:[Aseo]])</f>
        <v>0</v>
      </c>
    </row>
    <row r="2806" spans="1:6" ht="15" x14ac:dyDescent="0.2">
      <c r="A2806" s="7">
        <v>731008</v>
      </c>
      <c r="B2806" s="3" t="s">
        <v>1441</v>
      </c>
      <c r="C2806" s="29">
        <f>ROUND(Balances[[#This Row],[Total]]*40%,0)</f>
        <v>0</v>
      </c>
      <c r="D2806" s="29">
        <f>ROUND(Balances[[#This Row],[Total]]*20%,0)</f>
        <v>0</v>
      </c>
      <c r="E2806" s="29">
        <f>ROUND(Balances[[#This Row],[Total]]*40%,0)</f>
        <v>0</v>
      </c>
      <c r="F2806" s="18">
        <f>SUM(Acueducto[[#This Row],[Acueducto]:[Aseo]])</f>
        <v>0</v>
      </c>
    </row>
    <row r="2807" spans="1:6" ht="15" x14ac:dyDescent="0.2">
      <c r="A2807" s="7">
        <v>731009</v>
      </c>
      <c r="B2807" s="3" t="s">
        <v>1442</v>
      </c>
      <c r="C2807" s="29">
        <f>ROUND(Balances[[#This Row],[Total]]*40%,0)</f>
        <v>0</v>
      </c>
      <c r="D2807" s="29">
        <f>ROUND(Balances[[#This Row],[Total]]*20%,0)</f>
        <v>0</v>
      </c>
      <c r="E2807" s="29">
        <f>ROUND(Balances[[#This Row],[Total]]*40%,0)</f>
        <v>0</v>
      </c>
      <c r="F2807" s="18">
        <f>SUM(Acueducto[[#This Row],[Acueducto]:[Aseo]])</f>
        <v>0</v>
      </c>
    </row>
    <row r="2808" spans="1:6" ht="15" x14ac:dyDescent="0.2">
      <c r="A2808" s="7">
        <v>731010</v>
      </c>
      <c r="B2808" s="3" t="s">
        <v>1443</v>
      </c>
      <c r="C2808" s="29">
        <f>ROUND(Balances[[#This Row],[Total]]*40%,0)</f>
        <v>0</v>
      </c>
      <c r="D2808" s="29">
        <f>ROUND(Balances[[#This Row],[Total]]*20%,0)</f>
        <v>0</v>
      </c>
      <c r="E2808" s="29">
        <f>ROUND(Balances[[#This Row],[Total]]*40%,0)</f>
        <v>0</v>
      </c>
      <c r="F2808" s="18">
        <f>SUM(Acueducto[[#This Row],[Acueducto]:[Aseo]])</f>
        <v>0</v>
      </c>
    </row>
    <row r="2809" spans="1:6" ht="15" x14ac:dyDescent="0.2">
      <c r="A2809" s="7">
        <v>731095</v>
      </c>
      <c r="B2809" s="3" t="s">
        <v>1444</v>
      </c>
      <c r="C2809" s="29">
        <f>ROUND(Balances[[#This Row],[Total]]*40%,0)</f>
        <v>0</v>
      </c>
      <c r="D2809" s="29">
        <f>ROUND(Balances[[#This Row],[Total]]*20%,0)</f>
        <v>0</v>
      </c>
      <c r="E2809" s="29">
        <f>ROUND(Balances[[#This Row],[Total]]*40%,0)</f>
        <v>0</v>
      </c>
      <c r="F2809" s="18">
        <f>SUM(Acueducto[[#This Row],[Acueducto]:[Aseo]])</f>
        <v>0</v>
      </c>
    </row>
    <row r="2810" spans="1:6" ht="15" x14ac:dyDescent="0.2">
      <c r="A2810" s="6">
        <v>7311</v>
      </c>
      <c r="B2810" s="2" t="s">
        <v>1459</v>
      </c>
      <c r="C2810" s="28">
        <f>ROUND(Balances[[#This Row],[Total]]*40%,0)</f>
        <v>0</v>
      </c>
      <c r="D2810" s="28">
        <f>ROUND(Balances[[#This Row],[Total]]*20%,0)</f>
        <v>0</v>
      </c>
      <c r="E2810" s="28">
        <f>ROUND(Balances[[#This Row],[Total]]*40%,0)</f>
        <v>0</v>
      </c>
      <c r="F2810" s="17">
        <f>SUM(Acueducto[[#This Row],[Acueducto]:[Aseo]])</f>
        <v>0</v>
      </c>
    </row>
    <row r="2811" spans="1:6" ht="15" x14ac:dyDescent="0.2">
      <c r="A2811" s="7">
        <v>731101</v>
      </c>
      <c r="B2811" s="3" t="s">
        <v>1436</v>
      </c>
      <c r="C2811" s="29">
        <f>ROUND(Balances[[#This Row],[Total]]*40%,0)</f>
        <v>0</v>
      </c>
      <c r="D2811" s="29">
        <f>ROUND(Balances[[#This Row],[Total]]*20%,0)</f>
        <v>0</v>
      </c>
      <c r="E2811" s="29">
        <f>ROUND(Balances[[#This Row],[Total]]*40%,0)</f>
        <v>0</v>
      </c>
      <c r="F2811" s="18">
        <f>SUM(Acueducto[[#This Row],[Acueducto]:[Aseo]])</f>
        <v>0</v>
      </c>
    </row>
    <row r="2812" spans="1:6" ht="15" x14ac:dyDescent="0.2">
      <c r="A2812" s="7">
        <v>731102</v>
      </c>
      <c r="B2812" s="3" t="s">
        <v>1437</v>
      </c>
      <c r="C2812" s="29">
        <f>ROUND(Balances[[#This Row],[Total]]*40%,0)</f>
        <v>0</v>
      </c>
      <c r="D2812" s="29">
        <f>ROUND(Balances[[#This Row],[Total]]*20%,0)</f>
        <v>0</v>
      </c>
      <c r="E2812" s="29">
        <f>ROUND(Balances[[#This Row],[Total]]*40%,0)</f>
        <v>0</v>
      </c>
      <c r="F2812" s="18">
        <f>SUM(Acueducto[[#This Row],[Acueducto]:[Aseo]])</f>
        <v>0</v>
      </c>
    </row>
    <row r="2813" spans="1:6" ht="15" x14ac:dyDescent="0.2">
      <c r="A2813" s="7">
        <v>731103</v>
      </c>
      <c r="B2813" s="3" t="s">
        <v>568</v>
      </c>
      <c r="C2813" s="29">
        <f>ROUND(Balances[[#This Row],[Total]]*40%,0)</f>
        <v>0</v>
      </c>
      <c r="D2813" s="29">
        <f>ROUND(Balances[[#This Row],[Total]]*20%,0)</f>
        <v>0</v>
      </c>
      <c r="E2813" s="29">
        <f>ROUND(Balances[[#This Row],[Total]]*40%,0)</f>
        <v>0</v>
      </c>
      <c r="F2813" s="18">
        <f>SUM(Acueducto[[#This Row],[Acueducto]:[Aseo]])</f>
        <v>0</v>
      </c>
    </row>
    <row r="2814" spans="1:6" ht="15" x14ac:dyDescent="0.2">
      <c r="A2814" s="7">
        <v>731104</v>
      </c>
      <c r="B2814" s="3" t="s">
        <v>1438</v>
      </c>
      <c r="C2814" s="29">
        <f>ROUND(Balances[[#This Row],[Total]]*40%,0)</f>
        <v>0</v>
      </c>
      <c r="D2814" s="29">
        <f>ROUND(Balances[[#This Row],[Total]]*20%,0)</f>
        <v>0</v>
      </c>
      <c r="E2814" s="29">
        <f>ROUND(Balances[[#This Row],[Total]]*40%,0)</f>
        <v>0</v>
      </c>
      <c r="F2814" s="18">
        <f>SUM(Acueducto[[#This Row],[Acueducto]:[Aseo]])</f>
        <v>0</v>
      </c>
    </row>
    <row r="2815" spans="1:6" ht="15" x14ac:dyDescent="0.2">
      <c r="A2815" s="7">
        <v>731105</v>
      </c>
      <c r="B2815" s="3" t="s">
        <v>569</v>
      </c>
      <c r="C2815" s="29">
        <f>ROUND(Balances[[#This Row],[Total]]*40%,0)</f>
        <v>0</v>
      </c>
      <c r="D2815" s="29">
        <f>ROUND(Balances[[#This Row],[Total]]*20%,0)</f>
        <v>0</v>
      </c>
      <c r="E2815" s="29">
        <f>ROUND(Balances[[#This Row],[Total]]*40%,0)</f>
        <v>0</v>
      </c>
      <c r="F2815" s="18">
        <f>SUM(Acueducto[[#This Row],[Acueducto]:[Aseo]])</f>
        <v>0</v>
      </c>
    </row>
    <row r="2816" spans="1:6" ht="15" x14ac:dyDescent="0.2">
      <c r="A2816" s="7">
        <v>731106</v>
      </c>
      <c r="B2816" s="3" t="s">
        <v>1439</v>
      </c>
      <c r="C2816" s="29">
        <f>ROUND(Balances[[#This Row],[Total]]*40%,0)</f>
        <v>0</v>
      </c>
      <c r="D2816" s="29">
        <f>ROUND(Balances[[#This Row],[Total]]*20%,0)</f>
        <v>0</v>
      </c>
      <c r="E2816" s="29">
        <f>ROUND(Balances[[#This Row],[Total]]*40%,0)</f>
        <v>0</v>
      </c>
      <c r="F2816" s="18">
        <f>SUM(Acueducto[[#This Row],[Acueducto]:[Aseo]])</f>
        <v>0</v>
      </c>
    </row>
    <row r="2817" spans="1:6" ht="15" x14ac:dyDescent="0.2">
      <c r="A2817" s="7">
        <v>731107</v>
      </c>
      <c r="B2817" s="3" t="s">
        <v>1440</v>
      </c>
      <c r="C2817" s="29">
        <f>ROUND(Balances[[#This Row],[Total]]*40%,0)</f>
        <v>0</v>
      </c>
      <c r="D2817" s="29">
        <f>ROUND(Balances[[#This Row],[Total]]*20%,0)</f>
        <v>0</v>
      </c>
      <c r="E2817" s="29">
        <f>ROUND(Balances[[#This Row],[Total]]*40%,0)</f>
        <v>0</v>
      </c>
      <c r="F2817" s="18">
        <f>SUM(Acueducto[[#This Row],[Acueducto]:[Aseo]])</f>
        <v>0</v>
      </c>
    </row>
    <row r="2818" spans="1:6" ht="15" x14ac:dyDescent="0.2">
      <c r="A2818" s="7">
        <v>731108</v>
      </c>
      <c r="B2818" s="3" t="s">
        <v>1441</v>
      </c>
      <c r="C2818" s="29">
        <f>ROUND(Balances[[#This Row],[Total]]*40%,0)</f>
        <v>0</v>
      </c>
      <c r="D2818" s="29">
        <f>ROUND(Balances[[#This Row],[Total]]*20%,0)</f>
        <v>0</v>
      </c>
      <c r="E2818" s="29">
        <f>ROUND(Balances[[#This Row],[Total]]*40%,0)</f>
        <v>0</v>
      </c>
      <c r="F2818" s="18">
        <f>SUM(Acueducto[[#This Row],[Acueducto]:[Aseo]])</f>
        <v>0</v>
      </c>
    </row>
    <row r="2819" spans="1:6" ht="15" x14ac:dyDescent="0.2">
      <c r="A2819" s="7">
        <v>731109</v>
      </c>
      <c r="B2819" s="3" t="s">
        <v>1442</v>
      </c>
      <c r="C2819" s="29">
        <f>ROUND(Balances[[#This Row],[Total]]*40%,0)</f>
        <v>0</v>
      </c>
      <c r="D2819" s="29">
        <f>ROUND(Balances[[#This Row],[Total]]*20%,0)</f>
        <v>0</v>
      </c>
      <c r="E2819" s="29">
        <f>ROUND(Balances[[#This Row],[Total]]*40%,0)</f>
        <v>0</v>
      </c>
      <c r="F2819" s="18">
        <f>SUM(Acueducto[[#This Row],[Acueducto]:[Aseo]])</f>
        <v>0</v>
      </c>
    </row>
    <row r="2820" spans="1:6" ht="15" x14ac:dyDescent="0.2">
      <c r="A2820" s="7">
        <v>731110</v>
      </c>
      <c r="B2820" s="3" t="s">
        <v>1443</v>
      </c>
      <c r="C2820" s="29">
        <f>ROUND(Balances[[#This Row],[Total]]*40%,0)</f>
        <v>0</v>
      </c>
      <c r="D2820" s="29">
        <f>ROUND(Balances[[#This Row],[Total]]*20%,0)</f>
        <v>0</v>
      </c>
      <c r="E2820" s="29">
        <f>ROUND(Balances[[#This Row],[Total]]*40%,0)</f>
        <v>0</v>
      </c>
      <c r="F2820" s="18">
        <f>SUM(Acueducto[[#This Row],[Acueducto]:[Aseo]])</f>
        <v>0</v>
      </c>
    </row>
    <row r="2821" spans="1:6" ht="15" x14ac:dyDescent="0.2">
      <c r="A2821" s="7">
        <v>731195</v>
      </c>
      <c r="B2821" s="3" t="s">
        <v>1444</v>
      </c>
      <c r="C2821" s="29">
        <f>ROUND(Balances[[#This Row],[Total]]*40%,0)</f>
        <v>0</v>
      </c>
      <c r="D2821" s="29">
        <f>ROUND(Balances[[#This Row],[Total]]*20%,0)</f>
        <v>0</v>
      </c>
      <c r="E2821" s="29">
        <f>ROUND(Balances[[#This Row],[Total]]*40%,0)</f>
        <v>0</v>
      </c>
      <c r="F2821" s="18">
        <f>SUM(Acueducto[[#This Row],[Acueducto]:[Aseo]])</f>
        <v>0</v>
      </c>
    </row>
    <row r="2822" spans="1:6" ht="15" x14ac:dyDescent="0.2">
      <c r="A2822" s="6">
        <v>7312</v>
      </c>
      <c r="B2822" s="2" t="s">
        <v>1460</v>
      </c>
      <c r="C2822" s="28">
        <f>ROUND(Balances[[#This Row],[Total]]*40%,0)</f>
        <v>0</v>
      </c>
      <c r="D2822" s="28">
        <f>ROUND(Balances[[#This Row],[Total]]*20%,0)</f>
        <v>0</v>
      </c>
      <c r="E2822" s="28">
        <f>ROUND(Balances[[#This Row],[Total]]*40%,0)</f>
        <v>0</v>
      </c>
      <c r="F2822" s="17">
        <f>SUM(Acueducto[[#This Row],[Acueducto]:[Aseo]])</f>
        <v>0</v>
      </c>
    </row>
    <row r="2823" spans="1:6" ht="15" x14ac:dyDescent="0.2">
      <c r="A2823" s="7">
        <v>731201</v>
      </c>
      <c r="B2823" s="3" t="s">
        <v>1436</v>
      </c>
      <c r="C2823" s="29">
        <f>ROUND(Balances[[#This Row],[Total]]*40%,0)</f>
        <v>0</v>
      </c>
      <c r="D2823" s="29">
        <f>ROUND(Balances[[#This Row],[Total]]*20%,0)</f>
        <v>0</v>
      </c>
      <c r="E2823" s="29">
        <f>ROUND(Balances[[#This Row],[Total]]*40%,0)</f>
        <v>0</v>
      </c>
      <c r="F2823" s="18">
        <f>SUM(Acueducto[[#This Row],[Acueducto]:[Aseo]])</f>
        <v>0</v>
      </c>
    </row>
    <row r="2824" spans="1:6" ht="15" x14ac:dyDescent="0.2">
      <c r="A2824" s="7">
        <v>731202</v>
      </c>
      <c r="B2824" s="3" t="s">
        <v>1437</v>
      </c>
      <c r="C2824" s="29">
        <f>ROUND(Balances[[#This Row],[Total]]*40%,0)</f>
        <v>0</v>
      </c>
      <c r="D2824" s="29">
        <f>ROUND(Balances[[#This Row],[Total]]*20%,0)</f>
        <v>0</v>
      </c>
      <c r="E2824" s="29">
        <f>ROUND(Balances[[#This Row],[Total]]*40%,0)</f>
        <v>0</v>
      </c>
      <c r="F2824" s="18">
        <f>SUM(Acueducto[[#This Row],[Acueducto]:[Aseo]])</f>
        <v>0</v>
      </c>
    </row>
    <row r="2825" spans="1:6" ht="15" x14ac:dyDescent="0.2">
      <c r="A2825" s="7">
        <v>731203</v>
      </c>
      <c r="B2825" s="3" t="s">
        <v>568</v>
      </c>
      <c r="C2825" s="29">
        <f>ROUND(Balances[[#This Row],[Total]]*40%,0)</f>
        <v>0</v>
      </c>
      <c r="D2825" s="29">
        <f>ROUND(Balances[[#This Row],[Total]]*20%,0)</f>
        <v>0</v>
      </c>
      <c r="E2825" s="29">
        <f>ROUND(Balances[[#This Row],[Total]]*40%,0)</f>
        <v>0</v>
      </c>
      <c r="F2825" s="18">
        <f>SUM(Acueducto[[#This Row],[Acueducto]:[Aseo]])</f>
        <v>0</v>
      </c>
    </row>
    <row r="2826" spans="1:6" ht="15" x14ac:dyDescent="0.2">
      <c r="A2826" s="7">
        <v>731204</v>
      </c>
      <c r="B2826" s="3" t="s">
        <v>1438</v>
      </c>
      <c r="C2826" s="29">
        <f>ROUND(Balances[[#This Row],[Total]]*40%,0)</f>
        <v>0</v>
      </c>
      <c r="D2826" s="29">
        <f>ROUND(Balances[[#This Row],[Total]]*20%,0)</f>
        <v>0</v>
      </c>
      <c r="E2826" s="29">
        <f>ROUND(Balances[[#This Row],[Total]]*40%,0)</f>
        <v>0</v>
      </c>
      <c r="F2826" s="18">
        <f>SUM(Acueducto[[#This Row],[Acueducto]:[Aseo]])</f>
        <v>0</v>
      </c>
    </row>
    <row r="2827" spans="1:6" ht="15" x14ac:dyDescent="0.2">
      <c r="A2827" s="7">
        <v>731205</v>
      </c>
      <c r="B2827" s="3" t="s">
        <v>569</v>
      </c>
      <c r="C2827" s="29">
        <f>ROUND(Balances[[#This Row],[Total]]*40%,0)</f>
        <v>0</v>
      </c>
      <c r="D2827" s="29">
        <f>ROUND(Balances[[#This Row],[Total]]*20%,0)</f>
        <v>0</v>
      </c>
      <c r="E2827" s="29">
        <f>ROUND(Balances[[#This Row],[Total]]*40%,0)</f>
        <v>0</v>
      </c>
      <c r="F2827" s="18">
        <f>SUM(Acueducto[[#This Row],[Acueducto]:[Aseo]])</f>
        <v>0</v>
      </c>
    </row>
    <row r="2828" spans="1:6" ht="15" x14ac:dyDescent="0.2">
      <c r="A2828" s="7">
        <v>731206</v>
      </c>
      <c r="B2828" s="3" t="s">
        <v>1439</v>
      </c>
      <c r="C2828" s="29">
        <f>ROUND(Balances[[#This Row],[Total]]*40%,0)</f>
        <v>0</v>
      </c>
      <c r="D2828" s="29">
        <f>ROUND(Balances[[#This Row],[Total]]*20%,0)</f>
        <v>0</v>
      </c>
      <c r="E2828" s="29">
        <f>ROUND(Balances[[#This Row],[Total]]*40%,0)</f>
        <v>0</v>
      </c>
      <c r="F2828" s="18">
        <f>SUM(Acueducto[[#This Row],[Acueducto]:[Aseo]])</f>
        <v>0</v>
      </c>
    </row>
    <row r="2829" spans="1:6" ht="15" x14ac:dyDescent="0.2">
      <c r="A2829" s="7">
        <v>731207</v>
      </c>
      <c r="B2829" s="3" t="s">
        <v>1440</v>
      </c>
      <c r="C2829" s="29">
        <f>ROUND(Balances[[#This Row],[Total]]*40%,0)</f>
        <v>0</v>
      </c>
      <c r="D2829" s="29">
        <f>ROUND(Balances[[#This Row],[Total]]*20%,0)</f>
        <v>0</v>
      </c>
      <c r="E2829" s="29">
        <f>ROUND(Balances[[#This Row],[Total]]*40%,0)</f>
        <v>0</v>
      </c>
      <c r="F2829" s="18">
        <f>SUM(Acueducto[[#This Row],[Acueducto]:[Aseo]])</f>
        <v>0</v>
      </c>
    </row>
    <row r="2830" spans="1:6" ht="15" x14ac:dyDescent="0.2">
      <c r="A2830" s="7">
        <v>731208</v>
      </c>
      <c r="B2830" s="3" t="s">
        <v>1441</v>
      </c>
      <c r="C2830" s="29">
        <f>ROUND(Balances[[#This Row],[Total]]*40%,0)</f>
        <v>0</v>
      </c>
      <c r="D2830" s="29">
        <f>ROUND(Balances[[#This Row],[Total]]*20%,0)</f>
        <v>0</v>
      </c>
      <c r="E2830" s="29">
        <f>ROUND(Balances[[#This Row],[Total]]*40%,0)</f>
        <v>0</v>
      </c>
      <c r="F2830" s="18">
        <f>SUM(Acueducto[[#This Row],[Acueducto]:[Aseo]])</f>
        <v>0</v>
      </c>
    </row>
    <row r="2831" spans="1:6" ht="15" x14ac:dyDescent="0.2">
      <c r="A2831" s="7">
        <v>731209</v>
      </c>
      <c r="B2831" s="3" t="s">
        <v>1442</v>
      </c>
      <c r="C2831" s="29">
        <f>ROUND(Balances[[#This Row],[Total]]*40%,0)</f>
        <v>0</v>
      </c>
      <c r="D2831" s="29">
        <f>ROUND(Balances[[#This Row],[Total]]*20%,0)</f>
        <v>0</v>
      </c>
      <c r="E2831" s="29">
        <f>ROUND(Balances[[#This Row],[Total]]*40%,0)</f>
        <v>0</v>
      </c>
      <c r="F2831" s="18">
        <f>SUM(Acueducto[[#This Row],[Acueducto]:[Aseo]])</f>
        <v>0</v>
      </c>
    </row>
    <row r="2832" spans="1:6" ht="15" x14ac:dyDescent="0.2">
      <c r="A2832" s="7">
        <v>731210</v>
      </c>
      <c r="B2832" s="3" t="s">
        <v>1443</v>
      </c>
      <c r="C2832" s="29">
        <f>ROUND(Balances[[#This Row],[Total]]*40%,0)</f>
        <v>0</v>
      </c>
      <c r="D2832" s="29">
        <f>ROUND(Balances[[#This Row],[Total]]*20%,0)</f>
        <v>0</v>
      </c>
      <c r="E2832" s="29">
        <f>ROUND(Balances[[#This Row],[Total]]*40%,0)</f>
        <v>0</v>
      </c>
      <c r="F2832" s="18">
        <f>SUM(Acueducto[[#This Row],[Acueducto]:[Aseo]])</f>
        <v>0</v>
      </c>
    </row>
    <row r="2833" spans="1:6" ht="15" x14ac:dyDescent="0.2">
      <c r="A2833" s="7">
        <v>731295</v>
      </c>
      <c r="B2833" s="3" t="s">
        <v>1444</v>
      </c>
      <c r="C2833" s="29">
        <f>ROUND(Balances[[#This Row],[Total]]*40%,0)</f>
        <v>0</v>
      </c>
      <c r="D2833" s="29">
        <f>ROUND(Balances[[#This Row],[Total]]*20%,0)</f>
        <v>0</v>
      </c>
      <c r="E2833" s="29">
        <f>ROUND(Balances[[#This Row],[Total]]*40%,0)</f>
        <v>0</v>
      </c>
      <c r="F2833" s="18">
        <f>SUM(Acueducto[[#This Row],[Acueducto]:[Aseo]])</f>
        <v>0</v>
      </c>
    </row>
    <row r="2834" spans="1:6" ht="15" x14ac:dyDescent="0.2">
      <c r="A2834" s="6">
        <v>7313</v>
      </c>
      <c r="B2834" s="2" t="s">
        <v>1461</v>
      </c>
      <c r="C2834" s="28">
        <f>ROUND(Balances[[#This Row],[Total]]*40%,0)</f>
        <v>0</v>
      </c>
      <c r="D2834" s="28">
        <f>ROUND(Balances[[#This Row],[Total]]*20%,0)</f>
        <v>0</v>
      </c>
      <c r="E2834" s="28">
        <f>ROUND(Balances[[#This Row],[Total]]*40%,0)</f>
        <v>0</v>
      </c>
      <c r="F2834" s="17">
        <f>SUM(Acueducto[[#This Row],[Acueducto]:[Aseo]])</f>
        <v>0</v>
      </c>
    </row>
    <row r="2835" spans="1:6" ht="15" x14ac:dyDescent="0.2">
      <c r="A2835" s="7">
        <v>731301</v>
      </c>
      <c r="B2835" s="3" t="s">
        <v>1436</v>
      </c>
      <c r="C2835" s="29">
        <f>ROUND(Balances[[#This Row],[Total]]*40%,0)</f>
        <v>0</v>
      </c>
      <c r="D2835" s="29">
        <f>ROUND(Balances[[#This Row],[Total]]*20%,0)</f>
        <v>0</v>
      </c>
      <c r="E2835" s="29">
        <f>ROUND(Balances[[#This Row],[Total]]*40%,0)</f>
        <v>0</v>
      </c>
      <c r="F2835" s="18">
        <f>SUM(Acueducto[[#This Row],[Acueducto]:[Aseo]])</f>
        <v>0</v>
      </c>
    </row>
    <row r="2836" spans="1:6" ht="15" x14ac:dyDescent="0.2">
      <c r="A2836" s="7">
        <v>731302</v>
      </c>
      <c r="B2836" s="3" t="s">
        <v>1437</v>
      </c>
      <c r="C2836" s="29">
        <f>ROUND(Balances[[#This Row],[Total]]*40%,0)</f>
        <v>0</v>
      </c>
      <c r="D2836" s="29">
        <f>ROUND(Balances[[#This Row],[Total]]*20%,0)</f>
        <v>0</v>
      </c>
      <c r="E2836" s="29">
        <f>ROUND(Balances[[#This Row],[Total]]*40%,0)</f>
        <v>0</v>
      </c>
      <c r="F2836" s="18">
        <f>SUM(Acueducto[[#This Row],[Acueducto]:[Aseo]])</f>
        <v>0</v>
      </c>
    </row>
    <row r="2837" spans="1:6" ht="15" x14ac:dyDescent="0.2">
      <c r="A2837" s="7">
        <v>731303</v>
      </c>
      <c r="B2837" s="3" t="s">
        <v>568</v>
      </c>
      <c r="C2837" s="29">
        <f>ROUND(Balances[[#This Row],[Total]]*40%,0)</f>
        <v>0</v>
      </c>
      <c r="D2837" s="29">
        <f>ROUND(Balances[[#This Row],[Total]]*20%,0)</f>
        <v>0</v>
      </c>
      <c r="E2837" s="29">
        <f>ROUND(Balances[[#This Row],[Total]]*40%,0)</f>
        <v>0</v>
      </c>
      <c r="F2837" s="18">
        <f>SUM(Acueducto[[#This Row],[Acueducto]:[Aseo]])</f>
        <v>0</v>
      </c>
    </row>
    <row r="2838" spans="1:6" ht="15" x14ac:dyDescent="0.2">
      <c r="A2838" s="7">
        <v>731304</v>
      </c>
      <c r="B2838" s="3" t="s">
        <v>1438</v>
      </c>
      <c r="C2838" s="29">
        <f>ROUND(Balances[[#This Row],[Total]]*40%,0)</f>
        <v>0</v>
      </c>
      <c r="D2838" s="29">
        <f>ROUND(Balances[[#This Row],[Total]]*20%,0)</f>
        <v>0</v>
      </c>
      <c r="E2838" s="29">
        <f>ROUND(Balances[[#This Row],[Total]]*40%,0)</f>
        <v>0</v>
      </c>
      <c r="F2838" s="18">
        <f>SUM(Acueducto[[#This Row],[Acueducto]:[Aseo]])</f>
        <v>0</v>
      </c>
    </row>
    <row r="2839" spans="1:6" ht="15" x14ac:dyDescent="0.2">
      <c r="A2839" s="7">
        <v>731305</v>
      </c>
      <c r="B2839" s="3" t="s">
        <v>569</v>
      </c>
      <c r="C2839" s="29">
        <f>ROUND(Balances[[#This Row],[Total]]*40%,0)</f>
        <v>0</v>
      </c>
      <c r="D2839" s="29">
        <f>ROUND(Balances[[#This Row],[Total]]*20%,0)</f>
        <v>0</v>
      </c>
      <c r="E2839" s="29">
        <f>ROUND(Balances[[#This Row],[Total]]*40%,0)</f>
        <v>0</v>
      </c>
      <c r="F2839" s="18">
        <f>SUM(Acueducto[[#This Row],[Acueducto]:[Aseo]])</f>
        <v>0</v>
      </c>
    </row>
    <row r="2840" spans="1:6" ht="15" x14ac:dyDescent="0.2">
      <c r="A2840" s="7">
        <v>731306</v>
      </c>
      <c r="B2840" s="3" t="s">
        <v>1439</v>
      </c>
      <c r="C2840" s="29">
        <f>ROUND(Balances[[#This Row],[Total]]*40%,0)</f>
        <v>0</v>
      </c>
      <c r="D2840" s="29">
        <f>ROUND(Balances[[#This Row],[Total]]*20%,0)</f>
        <v>0</v>
      </c>
      <c r="E2840" s="29">
        <f>ROUND(Balances[[#This Row],[Total]]*40%,0)</f>
        <v>0</v>
      </c>
      <c r="F2840" s="18">
        <f>SUM(Acueducto[[#This Row],[Acueducto]:[Aseo]])</f>
        <v>0</v>
      </c>
    </row>
    <row r="2841" spans="1:6" ht="15" x14ac:dyDescent="0.2">
      <c r="A2841" s="7">
        <v>731307</v>
      </c>
      <c r="B2841" s="3" t="s">
        <v>1440</v>
      </c>
      <c r="C2841" s="29">
        <f>ROUND(Balances[[#This Row],[Total]]*40%,0)</f>
        <v>0</v>
      </c>
      <c r="D2841" s="29">
        <f>ROUND(Balances[[#This Row],[Total]]*20%,0)</f>
        <v>0</v>
      </c>
      <c r="E2841" s="29">
        <f>ROUND(Balances[[#This Row],[Total]]*40%,0)</f>
        <v>0</v>
      </c>
      <c r="F2841" s="18">
        <f>SUM(Acueducto[[#This Row],[Acueducto]:[Aseo]])</f>
        <v>0</v>
      </c>
    </row>
    <row r="2842" spans="1:6" ht="15" x14ac:dyDescent="0.2">
      <c r="A2842" s="7">
        <v>731308</v>
      </c>
      <c r="B2842" s="3" t="s">
        <v>1441</v>
      </c>
      <c r="C2842" s="29">
        <f>ROUND(Balances[[#This Row],[Total]]*40%,0)</f>
        <v>0</v>
      </c>
      <c r="D2842" s="29">
        <f>ROUND(Balances[[#This Row],[Total]]*20%,0)</f>
        <v>0</v>
      </c>
      <c r="E2842" s="29">
        <f>ROUND(Balances[[#This Row],[Total]]*40%,0)</f>
        <v>0</v>
      </c>
      <c r="F2842" s="18">
        <f>SUM(Acueducto[[#This Row],[Acueducto]:[Aseo]])</f>
        <v>0</v>
      </c>
    </row>
    <row r="2843" spans="1:6" ht="15" x14ac:dyDescent="0.2">
      <c r="A2843" s="7">
        <v>731309</v>
      </c>
      <c r="B2843" s="3" t="s">
        <v>1442</v>
      </c>
      <c r="C2843" s="29">
        <f>ROUND(Balances[[#This Row],[Total]]*40%,0)</f>
        <v>0</v>
      </c>
      <c r="D2843" s="29">
        <f>ROUND(Balances[[#This Row],[Total]]*20%,0)</f>
        <v>0</v>
      </c>
      <c r="E2843" s="29">
        <f>ROUND(Balances[[#This Row],[Total]]*40%,0)</f>
        <v>0</v>
      </c>
      <c r="F2843" s="18">
        <f>SUM(Acueducto[[#This Row],[Acueducto]:[Aseo]])</f>
        <v>0</v>
      </c>
    </row>
    <row r="2844" spans="1:6" ht="15" x14ac:dyDescent="0.2">
      <c r="A2844" s="7">
        <v>731310</v>
      </c>
      <c r="B2844" s="3" t="s">
        <v>1443</v>
      </c>
      <c r="C2844" s="29">
        <f>ROUND(Balances[[#This Row],[Total]]*40%,0)</f>
        <v>0</v>
      </c>
      <c r="D2844" s="29">
        <f>ROUND(Balances[[#This Row],[Total]]*20%,0)</f>
        <v>0</v>
      </c>
      <c r="E2844" s="29">
        <f>ROUND(Balances[[#This Row],[Total]]*40%,0)</f>
        <v>0</v>
      </c>
      <c r="F2844" s="18">
        <f>SUM(Acueducto[[#This Row],[Acueducto]:[Aseo]])</f>
        <v>0</v>
      </c>
    </row>
    <row r="2845" spans="1:6" ht="15" x14ac:dyDescent="0.2">
      <c r="A2845" s="7">
        <v>731395</v>
      </c>
      <c r="B2845" s="3" t="s">
        <v>1444</v>
      </c>
      <c r="C2845" s="29">
        <f>ROUND(Balances[[#This Row],[Total]]*40%,0)</f>
        <v>0</v>
      </c>
      <c r="D2845" s="29">
        <f>ROUND(Balances[[#This Row],[Total]]*20%,0)</f>
        <v>0</v>
      </c>
      <c r="E2845" s="29">
        <f>ROUND(Balances[[#This Row],[Total]]*40%,0)</f>
        <v>0</v>
      </c>
      <c r="F2845" s="18">
        <f>SUM(Acueducto[[#This Row],[Acueducto]:[Aseo]])</f>
        <v>0</v>
      </c>
    </row>
    <row r="2846" spans="1:6" ht="15" x14ac:dyDescent="0.2">
      <c r="A2846" s="6">
        <v>7314</v>
      </c>
      <c r="B2846" s="2" t="s">
        <v>1462</v>
      </c>
      <c r="C2846" s="28">
        <f>ROUND(Balances[[#This Row],[Total]]*40%,0)</f>
        <v>0</v>
      </c>
      <c r="D2846" s="28">
        <f>ROUND(Balances[[#This Row],[Total]]*20%,0)</f>
        <v>0</v>
      </c>
      <c r="E2846" s="28">
        <f>ROUND(Balances[[#This Row],[Total]]*40%,0)</f>
        <v>0</v>
      </c>
      <c r="F2846" s="17">
        <f>SUM(Acueducto[[#This Row],[Acueducto]:[Aseo]])</f>
        <v>0</v>
      </c>
    </row>
    <row r="2847" spans="1:6" ht="15" x14ac:dyDescent="0.2">
      <c r="A2847" s="7">
        <v>731401</v>
      </c>
      <c r="B2847" s="3" t="s">
        <v>1436</v>
      </c>
      <c r="C2847" s="29">
        <f>ROUND(Balances[[#This Row],[Total]]*40%,0)</f>
        <v>0</v>
      </c>
      <c r="D2847" s="29">
        <f>ROUND(Balances[[#This Row],[Total]]*20%,0)</f>
        <v>0</v>
      </c>
      <c r="E2847" s="29">
        <f>ROUND(Balances[[#This Row],[Total]]*40%,0)</f>
        <v>0</v>
      </c>
      <c r="F2847" s="18">
        <f>SUM(Acueducto[[#This Row],[Acueducto]:[Aseo]])</f>
        <v>0</v>
      </c>
    </row>
    <row r="2848" spans="1:6" ht="15" x14ac:dyDescent="0.2">
      <c r="A2848" s="7">
        <v>731402</v>
      </c>
      <c r="B2848" s="3" t="s">
        <v>1437</v>
      </c>
      <c r="C2848" s="29">
        <f>ROUND(Balances[[#This Row],[Total]]*40%,0)</f>
        <v>0</v>
      </c>
      <c r="D2848" s="29">
        <f>ROUND(Balances[[#This Row],[Total]]*20%,0)</f>
        <v>0</v>
      </c>
      <c r="E2848" s="29">
        <f>ROUND(Balances[[#This Row],[Total]]*40%,0)</f>
        <v>0</v>
      </c>
      <c r="F2848" s="18">
        <f>SUM(Acueducto[[#This Row],[Acueducto]:[Aseo]])</f>
        <v>0</v>
      </c>
    </row>
    <row r="2849" spans="1:6" ht="15" x14ac:dyDescent="0.2">
      <c r="A2849" s="7">
        <v>731403</v>
      </c>
      <c r="B2849" s="3" t="s">
        <v>568</v>
      </c>
      <c r="C2849" s="29">
        <f>ROUND(Balances[[#This Row],[Total]]*40%,0)</f>
        <v>0</v>
      </c>
      <c r="D2849" s="29">
        <f>ROUND(Balances[[#This Row],[Total]]*20%,0)</f>
        <v>0</v>
      </c>
      <c r="E2849" s="29">
        <f>ROUND(Balances[[#This Row],[Total]]*40%,0)</f>
        <v>0</v>
      </c>
      <c r="F2849" s="18">
        <f>SUM(Acueducto[[#This Row],[Acueducto]:[Aseo]])</f>
        <v>0</v>
      </c>
    </row>
    <row r="2850" spans="1:6" ht="15" x14ac:dyDescent="0.2">
      <c r="A2850" s="7">
        <v>731404</v>
      </c>
      <c r="B2850" s="3" t="s">
        <v>1438</v>
      </c>
      <c r="C2850" s="29">
        <f>ROUND(Balances[[#This Row],[Total]]*40%,0)</f>
        <v>0</v>
      </c>
      <c r="D2850" s="29">
        <f>ROUND(Balances[[#This Row],[Total]]*20%,0)</f>
        <v>0</v>
      </c>
      <c r="E2850" s="29">
        <f>ROUND(Balances[[#This Row],[Total]]*40%,0)</f>
        <v>0</v>
      </c>
      <c r="F2850" s="18">
        <f>SUM(Acueducto[[#This Row],[Acueducto]:[Aseo]])</f>
        <v>0</v>
      </c>
    </row>
    <row r="2851" spans="1:6" ht="15" x14ac:dyDescent="0.2">
      <c r="A2851" s="7">
        <v>731405</v>
      </c>
      <c r="B2851" s="3" t="s">
        <v>569</v>
      </c>
      <c r="C2851" s="29">
        <f>ROUND(Balances[[#This Row],[Total]]*40%,0)</f>
        <v>0</v>
      </c>
      <c r="D2851" s="29">
        <f>ROUND(Balances[[#This Row],[Total]]*20%,0)</f>
        <v>0</v>
      </c>
      <c r="E2851" s="29">
        <f>ROUND(Balances[[#This Row],[Total]]*40%,0)</f>
        <v>0</v>
      </c>
      <c r="F2851" s="18">
        <f>SUM(Acueducto[[#This Row],[Acueducto]:[Aseo]])</f>
        <v>0</v>
      </c>
    </row>
    <row r="2852" spans="1:6" ht="15" x14ac:dyDescent="0.2">
      <c r="A2852" s="7">
        <v>731406</v>
      </c>
      <c r="B2852" s="3" t="s">
        <v>1439</v>
      </c>
      <c r="C2852" s="29">
        <f>ROUND(Balances[[#This Row],[Total]]*40%,0)</f>
        <v>0</v>
      </c>
      <c r="D2852" s="29">
        <f>ROUND(Balances[[#This Row],[Total]]*20%,0)</f>
        <v>0</v>
      </c>
      <c r="E2852" s="29">
        <f>ROUND(Balances[[#This Row],[Total]]*40%,0)</f>
        <v>0</v>
      </c>
      <c r="F2852" s="18">
        <f>SUM(Acueducto[[#This Row],[Acueducto]:[Aseo]])</f>
        <v>0</v>
      </c>
    </row>
    <row r="2853" spans="1:6" ht="15" x14ac:dyDescent="0.2">
      <c r="A2853" s="7">
        <v>731407</v>
      </c>
      <c r="B2853" s="3" t="s">
        <v>1440</v>
      </c>
      <c r="C2853" s="29">
        <f>ROUND(Balances[[#This Row],[Total]]*40%,0)</f>
        <v>0</v>
      </c>
      <c r="D2853" s="29">
        <f>ROUND(Balances[[#This Row],[Total]]*20%,0)</f>
        <v>0</v>
      </c>
      <c r="E2853" s="29">
        <f>ROUND(Balances[[#This Row],[Total]]*40%,0)</f>
        <v>0</v>
      </c>
      <c r="F2853" s="18">
        <f>SUM(Acueducto[[#This Row],[Acueducto]:[Aseo]])</f>
        <v>0</v>
      </c>
    </row>
    <row r="2854" spans="1:6" ht="15" x14ac:dyDescent="0.2">
      <c r="A2854" s="7">
        <v>731408</v>
      </c>
      <c r="B2854" s="3" t="s">
        <v>1441</v>
      </c>
      <c r="C2854" s="29">
        <f>ROUND(Balances[[#This Row],[Total]]*40%,0)</f>
        <v>0</v>
      </c>
      <c r="D2854" s="29">
        <f>ROUND(Balances[[#This Row],[Total]]*20%,0)</f>
        <v>0</v>
      </c>
      <c r="E2854" s="29">
        <f>ROUND(Balances[[#This Row],[Total]]*40%,0)</f>
        <v>0</v>
      </c>
      <c r="F2854" s="18">
        <f>SUM(Acueducto[[#This Row],[Acueducto]:[Aseo]])</f>
        <v>0</v>
      </c>
    </row>
    <row r="2855" spans="1:6" ht="15" x14ac:dyDescent="0.2">
      <c r="A2855" s="7">
        <v>731409</v>
      </c>
      <c r="B2855" s="3" t="s">
        <v>1442</v>
      </c>
      <c r="C2855" s="29">
        <f>ROUND(Balances[[#This Row],[Total]]*40%,0)</f>
        <v>0</v>
      </c>
      <c r="D2855" s="29">
        <f>ROUND(Balances[[#This Row],[Total]]*20%,0)</f>
        <v>0</v>
      </c>
      <c r="E2855" s="29">
        <f>ROUND(Balances[[#This Row],[Total]]*40%,0)</f>
        <v>0</v>
      </c>
      <c r="F2855" s="18">
        <f>SUM(Acueducto[[#This Row],[Acueducto]:[Aseo]])</f>
        <v>0</v>
      </c>
    </row>
    <row r="2856" spans="1:6" ht="15" x14ac:dyDescent="0.2">
      <c r="A2856" s="7">
        <v>731410</v>
      </c>
      <c r="B2856" s="3" t="s">
        <v>1443</v>
      </c>
      <c r="C2856" s="29">
        <f>ROUND(Balances[[#This Row],[Total]]*40%,0)</f>
        <v>0</v>
      </c>
      <c r="D2856" s="29">
        <f>ROUND(Balances[[#This Row],[Total]]*20%,0)</f>
        <v>0</v>
      </c>
      <c r="E2856" s="29">
        <f>ROUND(Balances[[#This Row],[Total]]*40%,0)</f>
        <v>0</v>
      </c>
      <c r="F2856" s="18">
        <f>SUM(Acueducto[[#This Row],[Acueducto]:[Aseo]])</f>
        <v>0</v>
      </c>
    </row>
    <row r="2857" spans="1:6" ht="15" x14ac:dyDescent="0.2">
      <c r="A2857" s="7">
        <v>731495</v>
      </c>
      <c r="B2857" s="3" t="s">
        <v>1444</v>
      </c>
      <c r="C2857" s="29">
        <f>ROUND(Balances[[#This Row],[Total]]*40%,0)</f>
        <v>0</v>
      </c>
      <c r="D2857" s="29">
        <f>ROUND(Balances[[#This Row],[Total]]*20%,0)</f>
        <v>0</v>
      </c>
      <c r="E2857" s="29">
        <f>ROUND(Balances[[#This Row],[Total]]*40%,0)</f>
        <v>0</v>
      </c>
      <c r="F2857" s="18">
        <f>SUM(Acueducto[[#This Row],[Acueducto]:[Aseo]])</f>
        <v>0</v>
      </c>
    </row>
    <row r="2858" spans="1:6" ht="15" x14ac:dyDescent="0.2">
      <c r="A2858" s="6">
        <v>7320</v>
      </c>
      <c r="B2858" s="2" t="s">
        <v>1463</v>
      </c>
      <c r="C2858" s="28">
        <f>ROUND(Balances[[#This Row],[Total]]*40%,0)</f>
        <v>0</v>
      </c>
      <c r="D2858" s="28">
        <f>ROUND(Balances[[#This Row],[Total]]*20%,0)</f>
        <v>0</v>
      </c>
      <c r="E2858" s="28">
        <f>ROUND(Balances[[#This Row],[Total]]*40%,0)</f>
        <v>0</v>
      </c>
      <c r="F2858" s="17">
        <f>SUM(Acueducto[[#This Row],[Acueducto]:[Aseo]])</f>
        <v>0</v>
      </c>
    </row>
    <row r="2859" spans="1:6" ht="15" x14ac:dyDescent="0.2">
      <c r="A2859" s="7">
        <v>732001</v>
      </c>
      <c r="B2859" s="3" t="s">
        <v>1436</v>
      </c>
      <c r="C2859" s="29">
        <f>ROUND(Balances[[#This Row],[Total]]*40%,0)</f>
        <v>0</v>
      </c>
      <c r="D2859" s="29">
        <f>ROUND(Balances[[#This Row],[Total]]*20%,0)</f>
        <v>0</v>
      </c>
      <c r="E2859" s="29">
        <f>ROUND(Balances[[#This Row],[Total]]*40%,0)</f>
        <v>0</v>
      </c>
      <c r="F2859" s="18">
        <f>SUM(Acueducto[[#This Row],[Acueducto]:[Aseo]])</f>
        <v>0</v>
      </c>
    </row>
    <row r="2860" spans="1:6" ht="15" x14ac:dyDescent="0.2">
      <c r="A2860" s="7">
        <v>732002</v>
      </c>
      <c r="B2860" s="3" t="s">
        <v>1437</v>
      </c>
      <c r="C2860" s="29">
        <f>ROUND(Balances[[#This Row],[Total]]*40%,0)</f>
        <v>0</v>
      </c>
      <c r="D2860" s="29">
        <f>ROUND(Balances[[#This Row],[Total]]*20%,0)</f>
        <v>0</v>
      </c>
      <c r="E2860" s="29">
        <f>ROUND(Balances[[#This Row],[Total]]*40%,0)</f>
        <v>0</v>
      </c>
      <c r="F2860" s="18">
        <f>SUM(Acueducto[[#This Row],[Acueducto]:[Aseo]])</f>
        <v>0</v>
      </c>
    </row>
    <row r="2861" spans="1:6" ht="15" x14ac:dyDescent="0.2">
      <c r="A2861" s="7">
        <v>732003</v>
      </c>
      <c r="B2861" s="3" t="s">
        <v>568</v>
      </c>
      <c r="C2861" s="29">
        <f>ROUND(Balances[[#This Row],[Total]]*40%,0)</f>
        <v>0</v>
      </c>
      <c r="D2861" s="29">
        <f>ROUND(Balances[[#This Row],[Total]]*20%,0)</f>
        <v>0</v>
      </c>
      <c r="E2861" s="29">
        <f>ROUND(Balances[[#This Row],[Total]]*40%,0)</f>
        <v>0</v>
      </c>
      <c r="F2861" s="18">
        <f>SUM(Acueducto[[#This Row],[Acueducto]:[Aseo]])</f>
        <v>0</v>
      </c>
    </row>
    <row r="2862" spans="1:6" ht="15" x14ac:dyDescent="0.2">
      <c r="A2862" s="7">
        <v>732004</v>
      </c>
      <c r="B2862" s="3" t="s">
        <v>1438</v>
      </c>
      <c r="C2862" s="29">
        <f>ROUND(Balances[[#This Row],[Total]]*40%,0)</f>
        <v>0</v>
      </c>
      <c r="D2862" s="29">
        <f>ROUND(Balances[[#This Row],[Total]]*20%,0)</f>
        <v>0</v>
      </c>
      <c r="E2862" s="29">
        <f>ROUND(Balances[[#This Row],[Total]]*40%,0)</f>
        <v>0</v>
      </c>
      <c r="F2862" s="18">
        <f>SUM(Acueducto[[#This Row],[Acueducto]:[Aseo]])</f>
        <v>0</v>
      </c>
    </row>
    <row r="2863" spans="1:6" ht="15" x14ac:dyDescent="0.2">
      <c r="A2863" s="7">
        <v>732005</v>
      </c>
      <c r="B2863" s="3" t="s">
        <v>569</v>
      </c>
      <c r="C2863" s="29">
        <f>ROUND(Balances[[#This Row],[Total]]*40%,0)</f>
        <v>0</v>
      </c>
      <c r="D2863" s="29">
        <f>ROUND(Balances[[#This Row],[Total]]*20%,0)</f>
        <v>0</v>
      </c>
      <c r="E2863" s="29">
        <f>ROUND(Balances[[#This Row],[Total]]*40%,0)</f>
        <v>0</v>
      </c>
      <c r="F2863" s="18">
        <f>SUM(Acueducto[[#This Row],[Acueducto]:[Aseo]])</f>
        <v>0</v>
      </c>
    </row>
    <row r="2864" spans="1:6" ht="15" x14ac:dyDescent="0.2">
      <c r="A2864" s="7">
        <v>732006</v>
      </c>
      <c r="B2864" s="3" t="s">
        <v>1439</v>
      </c>
      <c r="C2864" s="29">
        <f>ROUND(Balances[[#This Row],[Total]]*40%,0)</f>
        <v>0</v>
      </c>
      <c r="D2864" s="29">
        <f>ROUND(Balances[[#This Row],[Total]]*20%,0)</f>
        <v>0</v>
      </c>
      <c r="E2864" s="29">
        <f>ROUND(Balances[[#This Row],[Total]]*40%,0)</f>
        <v>0</v>
      </c>
      <c r="F2864" s="18">
        <f>SUM(Acueducto[[#This Row],[Acueducto]:[Aseo]])</f>
        <v>0</v>
      </c>
    </row>
    <row r="2865" spans="1:6" ht="15" x14ac:dyDescent="0.2">
      <c r="A2865" s="7">
        <v>732007</v>
      </c>
      <c r="B2865" s="3" t="s">
        <v>1440</v>
      </c>
      <c r="C2865" s="29">
        <f>ROUND(Balances[[#This Row],[Total]]*40%,0)</f>
        <v>0</v>
      </c>
      <c r="D2865" s="29">
        <f>ROUND(Balances[[#This Row],[Total]]*20%,0)</f>
        <v>0</v>
      </c>
      <c r="E2865" s="29">
        <f>ROUND(Balances[[#This Row],[Total]]*40%,0)</f>
        <v>0</v>
      </c>
      <c r="F2865" s="18">
        <f>SUM(Acueducto[[#This Row],[Acueducto]:[Aseo]])</f>
        <v>0</v>
      </c>
    </row>
    <row r="2866" spans="1:6" ht="15" x14ac:dyDescent="0.2">
      <c r="A2866" s="7">
        <v>732008</v>
      </c>
      <c r="B2866" s="3" t="s">
        <v>1441</v>
      </c>
      <c r="C2866" s="29">
        <f>ROUND(Balances[[#This Row],[Total]]*40%,0)</f>
        <v>0</v>
      </c>
      <c r="D2866" s="29">
        <f>ROUND(Balances[[#This Row],[Total]]*20%,0)</f>
        <v>0</v>
      </c>
      <c r="E2866" s="29">
        <f>ROUND(Balances[[#This Row],[Total]]*40%,0)</f>
        <v>0</v>
      </c>
      <c r="F2866" s="18">
        <f>SUM(Acueducto[[#This Row],[Acueducto]:[Aseo]])</f>
        <v>0</v>
      </c>
    </row>
    <row r="2867" spans="1:6" ht="15" x14ac:dyDescent="0.2">
      <c r="A2867" s="7">
        <v>732009</v>
      </c>
      <c r="B2867" s="3" t="s">
        <v>1442</v>
      </c>
      <c r="C2867" s="29">
        <f>ROUND(Balances[[#This Row],[Total]]*40%,0)</f>
        <v>0</v>
      </c>
      <c r="D2867" s="29">
        <f>ROUND(Balances[[#This Row],[Total]]*20%,0)</f>
        <v>0</v>
      </c>
      <c r="E2867" s="29">
        <f>ROUND(Balances[[#This Row],[Total]]*40%,0)</f>
        <v>0</v>
      </c>
      <c r="F2867" s="18">
        <f>SUM(Acueducto[[#This Row],[Acueducto]:[Aseo]])</f>
        <v>0</v>
      </c>
    </row>
    <row r="2868" spans="1:6" ht="15" x14ac:dyDescent="0.2">
      <c r="A2868" s="7">
        <v>732010</v>
      </c>
      <c r="B2868" s="3" t="s">
        <v>1443</v>
      </c>
      <c r="C2868" s="29">
        <f>ROUND(Balances[[#This Row],[Total]]*40%,0)</f>
        <v>0</v>
      </c>
      <c r="D2868" s="29">
        <f>ROUND(Balances[[#This Row],[Total]]*20%,0)</f>
        <v>0</v>
      </c>
      <c r="E2868" s="29">
        <f>ROUND(Balances[[#This Row],[Total]]*40%,0)</f>
        <v>0</v>
      </c>
      <c r="F2868" s="18">
        <f>SUM(Acueducto[[#This Row],[Acueducto]:[Aseo]])</f>
        <v>0</v>
      </c>
    </row>
    <row r="2869" spans="1:6" ht="15" x14ac:dyDescent="0.2">
      <c r="A2869" s="7">
        <v>732095</v>
      </c>
      <c r="B2869" s="3" t="s">
        <v>1444</v>
      </c>
      <c r="C2869" s="29">
        <f>ROUND(Balances[[#This Row],[Total]]*40%,0)</f>
        <v>0</v>
      </c>
      <c r="D2869" s="29">
        <f>ROUND(Balances[[#This Row],[Total]]*20%,0)</f>
        <v>0</v>
      </c>
      <c r="E2869" s="29">
        <f>ROUND(Balances[[#This Row],[Total]]*40%,0)</f>
        <v>0</v>
      </c>
      <c r="F2869" s="18">
        <f>SUM(Acueducto[[#This Row],[Acueducto]:[Aseo]])</f>
        <v>0</v>
      </c>
    </row>
    <row r="2870" spans="1:6" ht="15" x14ac:dyDescent="0.2">
      <c r="A2870" s="6">
        <v>7321</v>
      </c>
      <c r="B2870" s="2" t="s">
        <v>1464</v>
      </c>
      <c r="C2870" s="28">
        <f>ROUND(Balances[[#This Row],[Total]]*40%,0)</f>
        <v>0</v>
      </c>
      <c r="D2870" s="28">
        <f>ROUND(Balances[[#This Row],[Total]]*20%,0)</f>
        <v>0</v>
      </c>
      <c r="E2870" s="28">
        <f>ROUND(Balances[[#This Row],[Total]]*40%,0)</f>
        <v>0</v>
      </c>
      <c r="F2870" s="17">
        <f>SUM(Acueducto[[#This Row],[Acueducto]:[Aseo]])</f>
        <v>0</v>
      </c>
    </row>
    <row r="2871" spans="1:6" ht="15" x14ac:dyDescent="0.2">
      <c r="A2871" s="7">
        <v>732101</v>
      </c>
      <c r="B2871" s="3" t="s">
        <v>1436</v>
      </c>
      <c r="C2871" s="29">
        <f>ROUND(Balances[[#This Row],[Total]]*40%,0)</f>
        <v>0</v>
      </c>
      <c r="D2871" s="29">
        <f>ROUND(Balances[[#This Row],[Total]]*20%,0)</f>
        <v>0</v>
      </c>
      <c r="E2871" s="29">
        <f>ROUND(Balances[[#This Row],[Total]]*40%,0)</f>
        <v>0</v>
      </c>
      <c r="F2871" s="18">
        <f>SUM(Acueducto[[#This Row],[Acueducto]:[Aseo]])</f>
        <v>0</v>
      </c>
    </row>
    <row r="2872" spans="1:6" ht="15" x14ac:dyDescent="0.2">
      <c r="A2872" s="7">
        <v>732102</v>
      </c>
      <c r="B2872" s="3" t="s">
        <v>1437</v>
      </c>
      <c r="C2872" s="29">
        <f>ROUND(Balances[[#This Row],[Total]]*40%,0)</f>
        <v>0</v>
      </c>
      <c r="D2872" s="29">
        <f>ROUND(Balances[[#This Row],[Total]]*20%,0)</f>
        <v>0</v>
      </c>
      <c r="E2872" s="29">
        <f>ROUND(Balances[[#This Row],[Total]]*40%,0)</f>
        <v>0</v>
      </c>
      <c r="F2872" s="18">
        <f>SUM(Acueducto[[#This Row],[Acueducto]:[Aseo]])</f>
        <v>0</v>
      </c>
    </row>
    <row r="2873" spans="1:6" ht="15" x14ac:dyDescent="0.2">
      <c r="A2873" s="7">
        <v>732103</v>
      </c>
      <c r="B2873" s="3" t="s">
        <v>568</v>
      </c>
      <c r="C2873" s="29">
        <f>ROUND(Balances[[#This Row],[Total]]*40%,0)</f>
        <v>0</v>
      </c>
      <c r="D2873" s="29">
        <f>ROUND(Balances[[#This Row],[Total]]*20%,0)</f>
        <v>0</v>
      </c>
      <c r="E2873" s="29">
        <f>ROUND(Balances[[#This Row],[Total]]*40%,0)</f>
        <v>0</v>
      </c>
      <c r="F2873" s="18">
        <f>SUM(Acueducto[[#This Row],[Acueducto]:[Aseo]])</f>
        <v>0</v>
      </c>
    </row>
    <row r="2874" spans="1:6" ht="15" x14ac:dyDescent="0.2">
      <c r="A2874" s="7">
        <v>732104</v>
      </c>
      <c r="B2874" s="3" t="s">
        <v>1438</v>
      </c>
      <c r="C2874" s="29">
        <f>ROUND(Balances[[#This Row],[Total]]*40%,0)</f>
        <v>0</v>
      </c>
      <c r="D2874" s="29">
        <f>ROUND(Balances[[#This Row],[Total]]*20%,0)</f>
        <v>0</v>
      </c>
      <c r="E2874" s="29">
        <f>ROUND(Balances[[#This Row],[Total]]*40%,0)</f>
        <v>0</v>
      </c>
      <c r="F2874" s="18">
        <f>SUM(Acueducto[[#This Row],[Acueducto]:[Aseo]])</f>
        <v>0</v>
      </c>
    </row>
    <row r="2875" spans="1:6" ht="15" x14ac:dyDescent="0.2">
      <c r="A2875" s="7">
        <v>732105</v>
      </c>
      <c r="B2875" s="3" t="s">
        <v>569</v>
      </c>
      <c r="C2875" s="29">
        <f>ROUND(Balances[[#This Row],[Total]]*40%,0)</f>
        <v>0</v>
      </c>
      <c r="D2875" s="29">
        <f>ROUND(Balances[[#This Row],[Total]]*20%,0)</f>
        <v>0</v>
      </c>
      <c r="E2875" s="29">
        <f>ROUND(Balances[[#This Row],[Total]]*40%,0)</f>
        <v>0</v>
      </c>
      <c r="F2875" s="18">
        <f>SUM(Acueducto[[#This Row],[Acueducto]:[Aseo]])</f>
        <v>0</v>
      </c>
    </row>
    <row r="2876" spans="1:6" ht="15" x14ac:dyDescent="0.2">
      <c r="A2876" s="7">
        <v>732106</v>
      </c>
      <c r="B2876" s="3" t="s">
        <v>1439</v>
      </c>
      <c r="C2876" s="29">
        <f>ROUND(Balances[[#This Row],[Total]]*40%,0)</f>
        <v>0</v>
      </c>
      <c r="D2876" s="29">
        <f>ROUND(Balances[[#This Row],[Total]]*20%,0)</f>
        <v>0</v>
      </c>
      <c r="E2876" s="29">
        <f>ROUND(Balances[[#This Row],[Total]]*40%,0)</f>
        <v>0</v>
      </c>
      <c r="F2876" s="18">
        <f>SUM(Acueducto[[#This Row],[Acueducto]:[Aseo]])</f>
        <v>0</v>
      </c>
    </row>
    <row r="2877" spans="1:6" ht="15" x14ac:dyDescent="0.2">
      <c r="A2877" s="7">
        <v>732107</v>
      </c>
      <c r="B2877" s="3" t="s">
        <v>1440</v>
      </c>
      <c r="C2877" s="29">
        <f>ROUND(Balances[[#This Row],[Total]]*40%,0)</f>
        <v>0</v>
      </c>
      <c r="D2877" s="29">
        <f>ROUND(Balances[[#This Row],[Total]]*20%,0)</f>
        <v>0</v>
      </c>
      <c r="E2877" s="29">
        <f>ROUND(Balances[[#This Row],[Total]]*40%,0)</f>
        <v>0</v>
      </c>
      <c r="F2877" s="18">
        <f>SUM(Acueducto[[#This Row],[Acueducto]:[Aseo]])</f>
        <v>0</v>
      </c>
    </row>
    <row r="2878" spans="1:6" ht="15" x14ac:dyDescent="0.2">
      <c r="A2878" s="7">
        <v>732108</v>
      </c>
      <c r="B2878" s="3" t="s">
        <v>1441</v>
      </c>
      <c r="C2878" s="29">
        <f>ROUND(Balances[[#This Row],[Total]]*40%,0)</f>
        <v>0</v>
      </c>
      <c r="D2878" s="29">
        <f>ROUND(Balances[[#This Row],[Total]]*20%,0)</f>
        <v>0</v>
      </c>
      <c r="E2878" s="29">
        <f>ROUND(Balances[[#This Row],[Total]]*40%,0)</f>
        <v>0</v>
      </c>
      <c r="F2878" s="18">
        <f>SUM(Acueducto[[#This Row],[Acueducto]:[Aseo]])</f>
        <v>0</v>
      </c>
    </row>
    <row r="2879" spans="1:6" ht="15" x14ac:dyDescent="0.2">
      <c r="A2879" s="7">
        <v>732109</v>
      </c>
      <c r="B2879" s="3" t="s">
        <v>1442</v>
      </c>
      <c r="C2879" s="29">
        <f>ROUND(Balances[[#This Row],[Total]]*40%,0)</f>
        <v>0</v>
      </c>
      <c r="D2879" s="29">
        <f>ROUND(Balances[[#This Row],[Total]]*20%,0)</f>
        <v>0</v>
      </c>
      <c r="E2879" s="29">
        <f>ROUND(Balances[[#This Row],[Total]]*40%,0)</f>
        <v>0</v>
      </c>
      <c r="F2879" s="18">
        <f>SUM(Acueducto[[#This Row],[Acueducto]:[Aseo]])</f>
        <v>0</v>
      </c>
    </row>
    <row r="2880" spans="1:6" ht="15" x14ac:dyDescent="0.2">
      <c r="A2880" s="7">
        <v>732110</v>
      </c>
      <c r="B2880" s="3" t="s">
        <v>1443</v>
      </c>
      <c r="C2880" s="29">
        <f>ROUND(Balances[[#This Row],[Total]]*40%,0)</f>
        <v>0</v>
      </c>
      <c r="D2880" s="29">
        <f>ROUND(Balances[[#This Row],[Total]]*20%,0)</f>
        <v>0</v>
      </c>
      <c r="E2880" s="29">
        <f>ROUND(Balances[[#This Row],[Total]]*40%,0)</f>
        <v>0</v>
      </c>
      <c r="F2880" s="18">
        <f>SUM(Acueducto[[#This Row],[Acueducto]:[Aseo]])</f>
        <v>0</v>
      </c>
    </row>
    <row r="2881" spans="1:6" ht="15" x14ac:dyDescent="0.2">
      <c r="A2881" s="7">
        <v>732195</v>
      </c>
      <c r="B2881" s="3" t="s">
        <v>1444</v>
      </c>
      <c r="C2881" s="29">
        <f>ROUND(Balances[[#This Row],[Total]]*40%,0)</f>
        <v>0</v>
      </c>
      <c r="D2881" s="29">
        <f>ROUND(Balances[[#This Row],[Total]]*20%,0)</f>
        <v>0</v>
      </c>
      <c r="E2881" s="29">
        <f>ROUND(Balances[[#This Row],[Total]]*40%,0)</f>
        <v>0</v>
      </c>
      <c r="F2881" s="18">
        <f>SUM(Acueducto[[#This Row],[Acueducto]:[Aseo]])</f>
        <v>0</v>
      </c>
    </row>
    <row r="2882" spans="1:6" ht="15" x14ac:dyDescent="0.2">
      <c r="A2882" s="6">
        <v>7322</v>
      </c>
      <c r="B2882" s="2" t="s">
        <v>1465</v>
      </c>
      <c r="C2882" s="28">
        <f>ROUND(Balances[[#This Row],[Total]]*40%,0)</f>
        <v>0</v>
      </c>
      <c r="D2882" s="28">
        <f>ROUND(Balances[[#This Row],[Total]]*20%,0)</f>
        <v>0</v>
      </c>
      <c r="E2882" s="28">
        <f>ROUND(Balances[[#This Row],[Total]]*40%,0)</f>
        <v>0</v>
      </c>
      <c r="F2882" s="17">
        <f>SUM(Acueducto[[#This Row],[Acueducto]:[Aseo]])</f>
        <v>0</v>
      </c>
    </row>
    <row r="2883" spans="1:6" ht="15" x14ac:dyDescent="0.2">
      <c r="A2883" s="7">
        <v>732201</v>
      </c>
      <c r="B2883" s="3" t="s">
        <v>1436</v>
      </c>
      <c r="C2883" s="29">
        <f>ROUND(Balances[[#This Row],[Total]]*40%,0)</f>
        <v>0</v>
      </c>
      <c r="D2883" s="29">
        <f>ROUND(Balances[[#This Row],[Total]]*20%,0)</f>
        <v>0</v>
      </c>
      <c r="E2883" s="29">
        <f>ROUND(Balances[[#This Row],[Total]]*40%,0)</f>
        <v>0</v>
      </c>
      <c r="F2883" s="18">
        <f>SUM(Acueducto[[#This Row],[Acueducto]:[Aseo]])</f>
        <v>0</v>
      </c>
    </row>
    <row r="2884" spans="1:6" ht="15" x14ac:dyDescent="0.2">
      <c r="A2884" s="7">
        <v>732202</v>
      </c>
      <c r="B2884" s="3" t="s">
        <v>1437</v>
      </c>
      <c r="C2884" s="29">
        <f>ROUND(Balances[[#This Row],[Total]]*40%,0)</f>
        <v>0</v>
      </c>
      <c r="D2884" s="29">
        <f>ROUND(Balances[[#This Row],[Total]]*20%,0)</f>
        <v>0</v>
      </c>
      <c r="E2884" s="29">
        <f>ROUND(Balances[[#This Row],[Total]]*40%,0)</f>
        <v>0</v>
      </c>
      <c r="F2884" s="18">
        <f>SUM(Acueducto[[#This Row],[Acueducto]:[Aseo]])</f>
        <v>0</v>
      </c>
    </row>
    <row r="2885" spans="1:6" ht="15" x14ac:dyDescent="0.2">
      <c r="A2885" s="7">
        <v>732203</v>
      </c>
      <c r="B2885" s="3" t="s">
        <v>568</v>
      </c>
      <c r="C2885" s="29">
        <f>ROUND(Balances[[#This Row],[Total]]*40%,0)</f>
        <v>0</v>
      </c>
      <c r="D2885" s="29">
        <f>ROUND(Balances[[#This Row],[Total]]*20%,0)</f>
        <v>0</v>
      </c>
      <c r="E2885" s="29">
        <f>ROUND(Balances[[#This Row],[Total]]*40%,0)</f>
        <v>0</v>
      </c>
      <c r="F2885" s="18">
        <f>SUM(Acueducto[[#This Row],[Acueducto]:[Aseo]])</f>
        <v>0</v>
      </c>
    </row>
    <row r="2886" spans="1:6" ht="15" x14ac:dyDescent="0.2">
      <c r="A2886" s="7">
        <v>732204</v>
      </c>
      <c r="B2886" s="3" t="s">
        <v>1438</v>
      </c>
      <c r="C2886" s="29">
        <f>ROUND(Balances[[#This Row],[Total]]*40%,0)</f>
        <v>0</v>
      </c>
      <c r="D2886" s="29">
        <f>ROUND(Balances[[#This Row],[Total]]*20%,0)</f>
        <v>0</v>
      </c>
      <c r="E2886" s="29">
        <f>ROUND(Balances[[#This Row],[Total]]*40%,0)</f>
        <v>0</v>
      </c>
      <c r="F2886" s="18">
        <f>SUM(Acueducto[[#This Row],[Acueducto]:[Aseo]])</f>
        <v>0</v>
      </c>
    </row>
    <row r="2887" spans="1:6" ht="15" x14ac:dyDescent="0.2">
      <c r="A2887" s="7">
        <v>732205</v>
      </c>
      <c r="B2887" s="3" t="s">
        <v>569</v>
      </c>
      <c r="C2887" s="29">
        <f>ROUND(Balances[[#This Row],[Total]]*40%,0)</f>
        <v>0</v>
      </c>
      <c r="D2887" s="29">
        <f>ROUND(Balances[[#This Row],[Total]]*20%,0)</f>
        <v>0</v>
      </c>
      <c r="E2887" s="29">
        <f>ROUND(Balances[[#This Row],[Total]]*40%,0)</f>
        <v>0</v>
      </c>
      <c r="F2887" s="18">
        <f>SUM(Acueducto[[#This Row],[Acueducto]:[Aseo]])</f>
        <v>0</v>
      </c>
    </row>
    <row r="2888" spans="1:6" ht="15" x14ac:dyDescent="0.2">
      <c r="A2888" s="7">
        <v>732206</v>
      </c>
      <c r="B2888" s="3" t="s">
        <v>1439</v>
      </c>
      <c r="C2888" s="29">
        <f>ROUND(Balances[[#This Row],[Total]]*40%,0)</f>
        <v>0</v>
      </c>
      <c r="D2888" s="29">
        <f>ROUND(Balances[[#This Row],[Total]]*20%,0)</f>
        <v>0</v>
      </c>
      <c r="E2888" s="29">
        <f>ROUND(Balances[[#This Row],[Total]]*40%,0)</f>
        <v>0</v>
      </c>
      <c r="F2888" s="18">
        <f>SUM(Acueducto[[#This Row],[Acueducto]:[Aseo]])</f>
        <v>0</v>
      </c>
    </row>
    <row r="2889" spans="1:6" ht="15" x14ac:dyDescent="0.2">
      <c r="A2889" s="7">
        <v>732207</v>
      </c>
      <c r="B2889" s="3" t="s">
        <v>1440</v>
      </c>
      <c r="C2889" s="29">
        <f>ROUND(Balances[[#This Row],[Total]]*40%,0)</f>
        <v>0</v>
      </c>
      <c r="D2889" s="29">
        <f>ROUND(Balances[[#This Row],[Total]]*20%,0)</f>
        <v>0</v>
      </c>
      <c r="E2889" s="29">
        <f>ROUND(Balances[[#This Row],[Total]]*40%,0)</f>
        <v>0</v>
      </c>
      <c r="F2889" s="18">
        <f>SUM(Acueducto[[#This Row],[Acueducto]:[Aseo]])</f>
        <v>0</v>
      </c>
    </row>
    <row r="2890" spans="1:6" ht="15" x14ac:dyDescent="0.2">
      <c r="A2890" s="7">
        <v>732208</v>
      </c>
      <c r="B2890" s="3" t="s">
        <v>1441</v>
      </c>
      <c r="C2890" s="29">
        <f>ROUND(Balances[[#This Row],[Total]]*40%,0)</f>
        <v>0</v>
      </c>
      <c r="D2890" s="29">
        <f>ROUND(Balances[[#This Row],[Total]]*20%,0)</f>
        <v>0</v>
      </c>
      <c r="E2890" s="29">
        <f>ROUND(Balances[[#This Row],[Total]]*40%,0)</f>
        <v>0</v>
      </c>
      <c r="F2890" s="18">
        <f>SUM(Acueducto[[#This Row],[Acueducto]:[Aseo]])</f>
        <v>0</v>
      </c>
    </row>
    <row r="2891" spans="1:6" ht="15" x14ac:dyDescent="0.2">
      <c r="A2891" s="7">
        <v>732209</v>
      </c>
      <c r="B2891" s="3" t="s">
        <v>1442</v>
      </c>
      <c r="C2891" s="29">
        <f>ROUND(Balances[[#This Row],[Total]]*40%,0)</f>
        <v>0</v>
      </c>
      <c r="D2891" s="29">
        <f>ROUND(Balances[[#This Row],[Total]]*20%,0)</f>
        <v>0</v>
      </c>
      <c r="E2891" s="29">
        <f>ROUND(Balances[[#This Row],[Total]]*40%,0)</f>
        <v>0</v>
      </c>
      <c r="F2891" s="18">
        <f>SUM(Acueducto[[#This Row],[Acueducto]:[Aseo]])</f>
        <v>0</v>
      </c>
    </row>
    <row r="2892" spans="1:6" ht="15" x14ac:dyDescent="0.2">
      <c r="A2892" s="7">
        <v>732210</v>
      </c>
      <c r="B2892" s="3" t="s">
        <v>1443</v>
      </c>
      <c r="C2892" s="29">
        <f>ROUND(Balances[[#This Row],[Total]]*40%,0)</f>
        <v>0</v>
      </c>
      <c r="D2892" s="29">
        <f>ROUND(Balances[[#This Row],[Total]]*20%,0)</f>
        <v>0</v>
      </c>
      <c r="E2892" s="29">
        <f>ROUND(Balances[[#This Row],[Total]]*40%,0)</f>
        <v>0</v>
      </c>
      <c r="F2892" s="18">
        <f>SUM(Acueducto[[#This Row],[Acueducto]:[Aseo]])</f>
        <v>0</v>
      </c>
    </row>
    <row r="2893" spans="1:6" ht="15" x14ac:dyDescent="0.2">
      <c r="A2893" s="7">
        <v>732295</v>
      </c>
      <c r="B2893" s="3" t="s">
        <v>1444</v>
      </c>
      <c r="C2893" s="29">
        <f>ROUND(Balances[[#This Row],[Total]]*40%,0)</f>
        <v>0</v>
      </c>
      <c r="D2893" s="29">
        <f>ROUND(Balances[[#This Row],[Total]]*20%,0)</f>
        <v>0</v>
      </c>
      <c r="E2893" s="29">
        <f>ROUND(Balances[[#This Row],[Total]]*40%,0)</f>
        <v>0</v>
      </c>
      <c r="F2893" s="18">
        <f>SUM(Acueducto[[#This Row],[Acueducto]:[Aseo]])</f>
        <v>0</v>
      </c>
    </row>
    <row r="2894" spans="1:6" ht="15" x14ac:dyDescent="0.2">
      <c r="A2894" s="6">
        <v>7323</v>
      </c>
      <c r="B2894" s="2" t="s">
        <v>1466</v>
      </c>
      <c r="C2894" s="28">
        <f>ROUND(Balances[[#This Row],[Total]]*40%,0)</f>
        <v>0</v>
      </c>
      <c r="D2894" s="28">
        <f>ROUND(Balances[[#This Row],[Total]]*20%,0)</f>
        <v>0</v>
      </c>
      <c r="E2894" s="28">
        <f>ROUND(Balances[[#This Row],[Total]]*40%,0)</f>
        <v>0</v>
      </c>
      <c r="F2894" s="17">
        <f>SUM(Acueducto[[#This Row],[Acueducto]:[Aseo]])</f>
        <v>0</v>
      </c>
    </row>
    <row r="2895" spans="1:6" ht="15" x14ac:dyDescent="0.2">
      <c r="A2895" s="7">
        <v>732301</v>
      </c>
      <c r="B2895" s="3" t="s">
        <v>1436</v>
      </c>
      <c r="C2895" s="29">
        <f>ROUND(Balances[[#This Row],[Total]]*40%,0)</f>
        <v>0</v>
      </c>
      <c r="D2895" s="29">
        <f>ROUND(Balances[[#This Row],[Total]]*20%,0)</f>
        <v>0</v>
      </c>
      <c r="E2895" s="29">
        <f>ROUND(Balances[[#This Row],[Total]]*40%,0)</f>
        <v>0</v>
      </c>
      <c r="F2895" s="18">
        <f>SUM(Acueducto[[#This Row],[Acueducto]:[Aseo]])</f>
        <v>0</v>
      </c>
    </row>
    <row r="2896" spans="1:6" ht="15" x14ac:dyDescent="0.2">
      <c r="A2896" s="7">
        <v>732302</v>
      </c>
      <c r="B2896" s="3" t="s">
        <v>1437</v>
      </c>
      <c r="C2896" s="29">
        <f>ROUND(Balances[[#This Row],[Total]]*40%,0)</f>
        <v>0</v>
      </c>
      <c r="D2896" s="29">
        <f>ROUND(Balances[[#This Row],[Total]]*20%,0)</f>
        <v>0</v>
      </c>
      <c r="E2896" s="29">
        <f>ROUND(Balances[[#This Row],[Total]]*40%,0)</f>
        <v>0</v>
      </c>
      <c r="F2896" s="18">
        <f>SUM(Acueducto[[#This Row],[Acueducto]:[Aseo]])</f>
        <v>0</v>
      </c>
    </row>
    <row r="2897" spans="1:6" ht="15" x14ac:dyDescent="0.2">
      <c r="A2897" s="7">
        <v>732303</v>
      </c>
      <c r="B2897" s="3" t="s">
        <v>568</v>
      </c>
      <c r="C2897" s="29">
        <f>ROUND(Balances[[#This Row],[Total]]*40%,0)</f>
        <v>0</v>
      </c>
      <c r="D2897" s="29">
        <f>ROUND(Balances[[#This Row],[Total]]*20%,0)</f>
        <v>0</v>
      </c>
      <c r="E2897" s="29">
        <f>ROUND(Balances[[#This Row],[Total]]*40%,0)</f>
        <v>0</v>
      </c>
      <c r="F2897" s="18">
        <f>SUM(Acueducto[[#This Row],[Acueducto]:[Aseo]])</f>
        <v>0</v>
      </c>
    </row>
    <row r="2898" spans="1:6" ht="15" x14ac:dyDescent="0.2">
      <c r="A2898" s="7">
        <v>732304</v>
      </c>
      <c r="B2898" s="3" t="s">
        <v>1438</v>
      </c>
      <c r="C2898" s="29">
        <f>ROUND(Balances[[#This Row],[Total]]*40%,0)</f>
        <v>0</v>
      </c>
      <c r="D2898" s="29">
        <f>ROUND(Balances[[#This Row],[Total]]*20%,0)</f>
        <v>0</v>
      </c>
      <c r="E2898" s="29">
        <f>ROUND(Balances[[#This Row],[Total]]*40%,0)</f>
        <v>0</v>
      </c>
      <c r="F2898" s="18">
        <f>SUM(Acueducto[[#This Row],[Acueducto]:[Aseo]])</f>
        <v>0</v>
      </c>
    </row>
    <row r="2899" spans="1:6" ht="15" x14ac:dyDescent="0.2">
      <c r="A2899" s="7">
        <v>732305</v>
      </c>
      <c r="B2899" s="3" t="s">
        <v>569</v>
      </c>
      <c r="C2899" s="29">
        <f>ROUND(Balances[[#This Row],[Total]]*40%,0)</f>
        <v>0</v>
      </c>
      <c r="D2899" s="29">
        <f>ROUND(Balances[[#This Row],[Total]]*20%,0)</f>
        <v>0</v>
      </c>
      <c r="E2899" s="29">
        <f>ROUND(Balances[[#This Row],[Total]]*40%,0)</f>
        <v>0</v>
      </c>
      <c r="F2899" s="18">
        <f>SUM(Acueducto[[#This Row],[Acueducto]:[Aseo]])</f>
        <v>0</v>
      </c>
    </row>
    <row r="2900" spans="1:6" ht="15" x14ac:dyDescent="0.2">
      <c r="A2900" s="7">
        <v>732306</v>
      </c>
      <c r="B2900" s="3" t="s">
        <v>1439</v>
      </c>
      <c r="C2900" s="29">
        <f>ROUND(Balances[[#This Row],[Total]]*40%,0)</f>
        <v>0</v>
      </c>
      <c r="D2900" s="29">
        <f>ROUND(Balances[[#This Row],[Total]]*20%,0)</f>
        <v>0</v>
      </c>
      <c r="E2900" s="29">
        <f>ROUND(Balances[[#This Row],[Total]]*40%,0)</f>
        <v>0</v>
      </c>
      <c r="F2900" s="18">
        <f>SUM(Acueducto[[#This Row],[Acueducto]:[Aseo]])</f>
        <v>0</v>
      </c>
    </row>
    <row r="2901" spans="1:6" ht="15" x14ac:dyDescent="0.2">
      <c r="A2901" s="7">
        <v>732307</v>
      </c>
      <c r="B2901" s="3" t="s">
        <v>1440</v>
      </c>
      <c r="C2901" s="29">
        <f>ROUND(Balances[[#This Row],[Total]]*40%,0)</f>
        <v>0</v>
      </c>
      <c r="D2901" s="29">
        <f>ROUND(Balances[[#This Row],[Total]]*20%,0)</f>
        <v>0</v>
      </c>
      <c r="E2901" s="29">
        <f>ROUND(Balances[[#This Row],[Total]]*40%,0)</f>
        <v>0</v>
      </c>
      <c r="F2901" s="18">
        <f>SUM(Acueducto[[#This Row],[Acueducto]:[Aseo]])</f>
        <v>0</v>
      </c>
    </row>
    <row r="2902" spans="1:6" ht="15" x14ac:dyDescent="0.2">
      <c r="A2902" s="7">
        <v>732308</v>
      </c>
      <c r="B2902" s="3" t="s">
        <v>1441</v>
      </c>
      <c r="C2902" s="29">
        <f>ROUND(Balances[[#This Row],[Total]]*40%,0)</f>
        <v>0</v>
      </c>
      <c r="D2902" s="29">
        <f>ROUND(Balances[[#This Row],[Total]]*20%,0)</f>
        <v>0</v>
      </c>
      <c r="E2902" s="29">
        <f>ROUND(Balances[[#This Row],[Total]]*40%,0)</f>
        <v>0</v>
      </c>
      <c r="F2902" s="18">
        <f>SUM(Acueducto[[#This Row],[Acueducto]:[Aseo]])</f>
        <v>0</v>
      </c>
    </row>
    <row r="2903" spans="1:6" ht="15" x14ac:dyDescent="0.2">
      <c r="A2903" s="7">
        <v>732309</v>
      </c>
      <c r="B2903" s="3" t="s">
        <v>1442</v>
      </c>
      <c r="C2903" s="29">
        <f>ROUND(Balances[[#This Row],[Total]]*40%,0)</f>
        <v>0</v>
      </c>
      <c r="D2903" s="29">
        <f>ROUND(Balances[[#This Row],[Total]]*20%,0)</f>
        <v>0</v>
      </c>
      <c r="E2903" s="29">
        <f>ROUND(Balances[[#This Row],[Total]]*40%,0)</f>
        <v>0</v>
      </c>
      <c r="F2903" s="18">
        <f>SUM(Acueducto[[#This Row],[Acueducto]:[Aseo]])</f>
        <v>0</v>
      </c>
    </row>
    <row r="2904" spans="1:6" ht="15" x14ac:dyDescent="0.2">
      <c r="A2904" s="7">
        <v>732310</v>
      </c>
      <c r="B2904" s="3" t="s">
        <v>1443</v>
      </c>
      <c r="C2904" s="29">
        <f>ROUND(Balances[[#This Row],[Total]]*40%,0)</f>
        <v>0</v>
      </c>
      <c r="D2904" s="29">
        <f>ROUND(Balances[[#This Row],[Total]]*20%,0)</f>
        <v>0</v>
      </c>
      <c r="E2904" s="29">
        <f>ROUND(Balances[[#This Row],[Total]]*40%,0)</f>
        <v>0</v>
      </c>
      <c r="F2904" s="18">
        <f>SUM(Acueducto[[#This Row],[Acueducto]:[Aseo]])</f>
        <v>0</v>
      </c>
    </row>
    <row r="2905" spans="1:6" ht="15" x14ac:dyDescent="0.2">
      <c r="A2905" s="7">
        <v>732395</v>
      </c>
      <c r="B2905" s="3" t="s">
        <v>1444</v>
      </c>
      <c r="C2905" s="29">
        <f>ROUND(Balances[[#This Row],[Total]]*40%,0)</f>
        <v>0</v>
      </c>
      <c r="D2905" s="29">
        <f>ROUND(Balances[[#This Row],[Total]]*20%,0)</f>
        <v>0</v>
      </c>
      <c r="E2905" s="29">
        <f>ROUND(Balances[[#This Row],[Total]]*40%,0)</f>
        <v>0</v>
      </c>
      <c r="F2905" s="18">
        <f>SUM(Acueducto[[#This Row],[Acueducto]:[Aseo]])</f>
        <v>0</v>
      </c>
    </row>
    <row r="2906" spans="1:6" ht="15" x14ac:dyDescent="0.2">
      <c r="A2906" s="6">
        <v>7324</v>
      </c>
      <c r="B2906" s="2" t="s">
        <v>1467</v>
      </c>
      <c r="C2906" s="28">
        <f>ROUND(Balances[[#This Row],[Total]]*40%,0)</f>
        <v>0</v>
      </c>
      <c r="D2906" s="28">
        <f>ROUND(Balances[[#This Row],[Total]]*20%,0)</f>
        <v>0</v>
      </c>
      <c r="E2906" s="28">
        <f>ROUND(Balances[[#This Row],[Total]]*40%,0)</f>
        <v>0</v>
      </c>
      <c r="F2906" s="17">
        <f>SUM(Acueducto[[#This Row],[Acueducto]:[Aseo]])</f>
        <v>0</v>
      </c>
    </row>
    <row r="2907" spans="1:6" ht="15" x14ac:dyDescent="0.2">
      <c r="A2907" s="7">
        <v>732401</v>
      </c>
      <c r="B2907" s="3" t="s">
        <v>1436</v>
      </c>
      <c r="C2907" s="29">
        <f>ROUND(Balances[[#This Row],[Total]]*40%,0)</f>
        <v>0</v>
      </c>
      <c r="D2907" s="29">
        <f>ROUND(Balances[[#This Row],[Total]]*20%,0)</f>
        <v>0</v>
      </c>
      <c r="E2907" s="29">
        <f>ROUND(Balances[[#This Row],[Total]]*40%,0)</f>
        <v>0</v>
      </c>
      <c r="F2907" s="18">
        <f>SUM(Acueducto[[#This Row],[Acueducto]:[Aseo]])</f>
        <v>0</v>
      </c>
    </row>
    <row r="2908" spans="1:6" ht="15" x14ac:dyDescent="0.2">
      <c r="A2908" s="7">
        <v>732402</v>
      </c>
      <c r="B2908" s="3" t="s">
        <v>1437</v>
      </c>
      <c r="C2908" s="29">
        <f>ROUND(Balances[[#This Row],[Total]]*40%,0)</f>
        <v>0</v>
      </c>
      <c r="D2908" s="29">
        <f>ROUND(Balances[[#This Row],[Total]]*20%,0)</f>
        <v>0</v>
      </c>
      <c r="E2908" s="29">
        <f>ROUND(Balances[[#This Row],[Total]]*40%,0)</f>
        <v>0</v>
      </c>
      <c r="F2908" s="18">
        <f>SUM(Acueducto[[#This Row],[Acueducto]:[Aseo]])</f>
        <v>0</v>
      </c>
    </row>
    <row r="2909" spans="1:6" ht="15" x14ac:dyDescent="0.2">
      <c r="A2909" s="7">
        <v>732403</v>
      </c>
      <c r="B2909" s="3" t="s">
        <v>568</v>
      </c>
      <c r="C2909" s="29">
        <f>ROUND(Balances[[#This Row],[Total]]*40%,0)</f>
        <v>0</v>
      </c>
      <c r="D2909" s="29">
        <f>ROUND(Balances[[#This Row],[Total]]*20%,0)</f>
        <v>0</v>
      </c>
      <c r="E2909" s="29">
        <f>ROUND(Balances[[#This Row],[Total]]*40%,0)</f>
        <v>0</v>
      </c>
      <c r="F2909" s="18">
        <f>SUM(Acueducto[[#This Row],[Acueducto]:[Aseo]])</f>
        <v>0</v>
      </c>
    </row>
    <row r="2910" spans="1:6" ht="15" x14ac:dyDescent="0.2">
      <c r="A2910" s="7">
        <v>732404</v>
      </c>
      <c r="B2910" s="3" t="s">
        <v>1438</v>
      </c>
      <c r="C2910" s="29">
        <f>ROUND(Balances[[#This Row],[Total]]*40%,0)</f>
        <v>0</v>
      </c>
      <c r="D2910" s="29">
        <f>ROUND(Balances[[#This Row],[Total]]*20%,0)</f>
        <v>0</v>
      </c>
      <c r="E2910" s="29">
        <f>ROUND(Balances[[#This Row],[Total]]*40%,0)</f>
        <v>0</v>
      </c>
      <c r="F2910" s="18">
        <f>SUM(Acueducto[[#This Row],[Acueducto]:[Aseo]])</f>
        <v>0</v>
      </c>
    </row>
    <row r="2911" spans="1:6" ht="15" x14ac:dyDescent="0.2">
      <c r="A2911" s="7">
        <v>732405</v>
      </c>
      <c r="B2911" s="3" t="s">
        <v>569</v>
      </c>
      <c r="C2911" s="29">
        <f>ROUND(Balances[[#This Row],[Total]]*40%,0)</f>
        <v>0</v>
      </c>
      <c r="D2911" s="29">
        <f>ROUND(Balances[[#This Row],[Total]]*20%,0)</f>
        <v>0</v>
      </c>
      <c r="E2911" s="29">
        <f>ROUND(Balances[[#This Row],[Total]]*40%,0)</f>
        <v>0</v>
      </c>
      <c r="F2911" s="18">
        <f>SUM(Acueducto[[#This Row],[Acueducto]:[Aseo]])</f>
        <v>0</v>
      </c>
    </row>
    <row r="2912" spans="1:6" ht="15" x14ac:dyDescent="0.2">
      <c r="A2912" s="7">
        <v>732406</v>
      </c>
      <c r="B2912" s="3" t="s">
        <v>1439</v>
      </c>
      <c r="C2912" s="29">
        <f>ROUND(Balances[[#This Row],[Total]]*40%,0)</f>
        <v>0</v>
      </c>
      <c r="D2912" s="29">
        <f>ROUND(Balances[[#This Row],[Total]]*20%,0)</f>
        <v>0</v>
      </c>
      <c r="E2912" s="29">
        <f>ROUND(Balances[[#This Row],[Total]]*40%,0)</f>
        <v>0</v>
      </c>
      <c r="F2912" s="18">
        <f>SUM(Acueducto[[#This Row],[Acueducto]:[Aseo]])</f>
        <v>0</v>
      </c>
    </row>
    <row r="2913" spans="1:6" ht="15" x14ac:dyDescent="0.2">
      <c r="A2913" s="7">
        <v>732407</v>
      </c>
      <c r="B2913" s="3" t="s">
        <v>1440</v>
      </c>
      <c r="C2913" s="29">
        <f>ROUND(Balances[[#This Row],[Total]]*40%,0)</f>
        <v>0</v>
      </c>
      <c r="D2913" s="29">
        <f>ROUND(Balances[[#This Row],[Total]]*20%,0)</f>
        <v>0</v>
      </c>
      <c r="E2913" s="29">
        <f>ROUND(Balances[[#This Row],[Total]]*40%,0)</f>
        <v>0</v>
      </c>
      <c r="F2913" s="18">
        <f>SUM(Acueducto[[#This Row],[Acueducto]:[Aseo]])</f>
        <v>0</v>
      </c>
    </row>
    <row r="2914" spans="1:6" ht="15" x14ac:dyDescent="0.2">
      <c r="A2914" s="7">
        <v>732408</v>
      </c>
      <c r="B2914" s="3" t="s">
        <v>1441</v>
      </c>
      <c r="C2914" s="29">
        <f>ROUND(Balances[[#This Row],[Total]]*40%,0)</f>
        <v>0</v>
      </c>
      <c r="D2914" s="29">
        <f>ROUND(Balances[[#This Row],[Total]]*20%,0)</f>
        <v>0</v>
      </c>
      <c r="E2914" s="29">
        <f>ROUND(Balances[[#This Row],[Total]]*40%,0)</f>
        <v>0</v>
      </c>
      <c r="F2914" s="18">
        <f>SUM(Acueducto[[#This Row],[Acueducto]:[Aseo]])</f>
        <v>0</v>
      </c>
    </row>
    <row r="2915" spans="1:6" ht="15" x14ac:dyDescent="0.2">
      <c r="A2915" s="7">
        <v>732409</v>
      </c>
      <c r="B2915" s="3" t="s">
        <v>1442</v>
      </c>
      <c r="C2915" s="29">
        <f>ROUND(Balances[[#This Row],[Total]]*40%,0)</f>
        <v>0</v>
      </c>
      <c r="D2915" s="29">
        <f>ROUND(Balances[[#This Row],[Total]]*20%,0)</f>
        <v>0</v>
      </c>
      <c r="E2915" s="29">
        <f>ROUND(Balances[[#This Row],[Total]]*40%,0)</f>
        <v>0</v>
      </c>
      <c r="F2915" s="18">
        <f>SUM(Acueducto[[#This Row],[Acueducto]:[Aseo]])</f>
        <v>0</v>
      </c>
    </row>
    <row r="2916" spans="1:6" ht="15" x14ac:dyDescent="0.2">
      <c r="A2916" s="7">
        <v>732410</v>
      </c>
      <c r="B2916" s="3" t="s">
        <v>1443</v>
      </c>
      <c r="C2916" s="29">
        <f>ROUND(Balances[[#This Row],[Total]]*40%,0)</f>
        <v>0</v>
      </c>
      <c r="D2916" s="29">
        <f>ROUND(Balances[[#This Row],[Total]]*20%,0)</f>
        <v>0</v>
      </c>
      <c r="E2916" s="29">
        <f>ROUND(Balances[[#This Row],[Total]]*40%,0)</f>
        <v>0</v>
      </c>
      <c r="F2916" s="18">
        <f>SUM(Acueducto[[#This Row],[Acueducto]:[Aseo]])</f>
        <v>0</v>
      </c>
    </row>
    <row r="2917" spans="1:6" ht="15" x14ac:dyDescent="0.2">
      <c r="A2917" s="7">
        <v>732495</v>
      </c>
      <c r="B2917" s="3" t="s">
        <v>1444</v>
      </c>
      <c r="C2917" s="29">
        <f>ROUND(Balances[[#This Row],[Total]]*40%,0)</f>
        <v>0</v>
      </c>
      <c r="D2917" s="29">
        <f>ROUND(Balances[[#This Row],[Total]]*20%,0)</f>
        <v>0</v>
      </c>
      <c r="E2917" s="29">
        <f>ROUND(Balances[[#This Row],[Total]]*40%,0)</f>
        <v>0</v>
      </c>
      <c r="F2917" s="18">
        <f>SUM(Acueducto[[#This Row],[Acueducto]:[Aseo]])</f>
        <v>0</v>
      </c>
    </row>
    <row r="2918" spans="1:6" ht="15" x14ac:dyDescent="0.2">
      <c r="A2918" s="6">
        <v>7325</v>
      </c>
      <c r="B2918" s="2" t="s">
        <v>1468</v>
      </c>
      <c r="C2918" s="28">
        <f>ROUND(Balances[[#This Row],[Total]]*40%,0)</f>
        <v>0</v>
      </c>
      <c r="D2918" s="28">
        <f>ROUND(Balances[[#This Row],[Total]]*20%,0)</f>
        <v>0</v>
      </c>
      <c r="E2918" s="28">
        <f>ROUND(Balances[[#This Row],[Total]]*40%,0)</f>
        <v>0</v>
      </c>
      <c r="F2918" s="17">
        <f>SUM(Acueducto[[#This Row],[Acueducto]:[Aseo]])</f>
        <v>0</v>
      </c>
    </row>
    <row r="2919" spans="1:6" ht="15" x14ac:dyDescent="0.2">
      <c r="A2919" s="7">
        <v>732501</v>
      </c>
      <c r="B2919" s="3" t="s">
        <v>1436</v>
      </c>
      <c r="C2919" s="29">
        <f>ROUND(Balances[[#This Row],[Total]]*40%,0)</f>
        <v>0</v>
      </c>
      <c r="D2919" s="29">
        <f>ROUND(Balances[[#This Row],[Total]]*20%,0)</f>
        <v>0</v>
      </c>
      <c r="E2919" s="29">
        <f>ROUND(Balances[[#This Row],[Total]]*40%,0)</f>
        <v>0</v>
      </c>
      <c r="F2919" s="18">
        <f>SUM(Acueducto[[#This Row],[Acueducto]:[Aseo]])</f>
        <v>0</v>
      </c>
    </row>
    <row r="2920" spans="1:6" ht="15" x14ac:dyDescent="0.2">
      <c r="A2920" s="7">
        <v>732502</v>
      </c>
      <c r="B2920" s="3" t="s">
        <v>1437</v>
      </c>
      <c r="C2920" s="29">
        <f>ROUND(Balances[[#This Row],[Total]]*40%,0)</f>
        <v>0</v>
      </c>
      <c r="D2920" s="29">
        <f>ROUND(Balances[[#This Row],[Total]]*20%,0)</f>
        <v>0</v>
      </c>
      <c r="E2920" s="29">
        <f>ROUND(Balances[[#This Row],[Total]]*40%,0)</f>
        <v>0</v>
      </c>
      <c r="F2920" s="18">
        <f>SUM(Acueducto[[#This Row],[Acueducto]:[Aseo]])</f>
        <v>0</v>
      </c>
    </row>
    <row r="2921" spans="1:6" ht="15" x14ac:dyDescent="0.2">
      <c r="A2921" s="7">
        <v>732503</v>
      </c>
      <c r="B2921" s="3" t="s">
        <v>568</v>
      </c>
      <c r="C2921" s="29">
        <f>ROUND(Balances[[#This Row],[Total]]*40%,0)</f>
        <v>0</v>
      </c>
      <c r="D2921" s="29">
        <f>ROUND(Balances[[#This Row],[Total]]*20%,0)</f>
        <v>0</v>
      </c>
      <c r="E2921" s="29">
        <f>ROUND(Balances[[#This Row],[Total]]*40%,0)</f>
        <v>0</v>
      </c>
      <c r="F2921" s="18">
        <f>SUM(Acueducto[[#This Row],[Acueducto]:[Aseo]])</f>
        <v>0</v>
      </c>
    </row>
    <row r="2922" spans="1:6" ht="15" x14ac:dyDescent="0.2">
      <c r="A2922" s="7">
        <v>732504</v>
      </c>
      <c r="B2922" s="3" t="s">
        <v>1438</v>
      </c>
      <c r="C2922" s="29">
        <f>ROUND(Balances[[#This Row],[Total]]*40%,0)</f>
        <v>0</v>
      </c>
      <c r="D2922" s="29">
        <f>ROUND(Balances[[#This Row],[Total]]*20%,0)</f>
        <v>0</v>
      </c>
      <c r="E2922" s="29">
        <f>ROUND(Balances[[#This Row],[Total]]*40%,0)</f>
        <v>0</v>
      </c>
      <c r="F2922" s="18">
        <f>SUM(Acueducto[[#This Row],[Acueducto]:[Aseo]])</f>
        <v>0</v>
      </c>
    </row>
    <row r="2923" spans="1:6" ht="15" x14ac:dyDescent="0.2">
      <c r="A2923" s="7">
        <v>732505</v>
      </c>
      <c r="B2923" s="3" t="s">
        <v>569</v>
      </c>
      <c r="C2923" s="29">
        <f>ROUND(Balances[[#This Row],[Total]]*40%,0)</f>
        <v>0</v>
      </c>
      <c r="D2923" s="29">
        <f>ROUND(Balances[[#This Row],[Total]]*20%,0)</f>
        <v>0</v>
      </c>
      <c r="E2923" s="29">
        <f>ROUND(Balances[[#This Row],[Total]]*40%,0)</f>
        <v>0</v>
      </c>
      <c r="F2923" s="18">
        <f>SUM(Acueducto[[#This Row],[Acueducto]:[Aseo]])</f>
        <v>0</v>
      </c>
    </row>
    <row r="2924" spans="1:6" ht="15" x14ac:dyDescent="0.2">
      <c r="A2924" s="7">
        <v>732506</v>
      </c>
      <c r="B2924" s="3" t="s">
        <v>1439</v>
      </c>
      <c r="C2924" s="29">
        <f>ROUND(Balances[[#This Row],[Total]]*40%,0)</f>
        <v>0</v>
      </c>
      <c r="D2924" s="29">
        <f>ROUND(Balances[[#This Row],[Total]]*20%,0)</f>
        <v>0</v>
      </c>
      <c r="E2924" s="29">
        <f>ROUND(Balances[[#This Row],[Total]]*40%,0)</f>
        <v>0</v>
      </c>
      <c r="F2924" s="18">
        <f>SUM(Acueducto[[#This Row],[Acueducto]:[Aseo]])</f>
        <v>0</v>
      </c>
    </row>
    <row r="2925" spans="1:6" ht="15" x14ac:dyDescent="0.2">
      <c r="A2925" s="7">
        <v>732507</v>
      </c>
      <c r="B2925" s="3" t="s">
        <v>1440</v>
      </c>
      <c r="C2925" s="29">
        <f>ROUND(Balances[[#This Row],[Total]]*40%,0)</f>
        <v>0</v>
      </c>
      <c r="D2925" s="29">
        <f>ROUND(Balances[[#This Row],[Total]]*20%,0)</f>
        <v>0</v>
      </c>
      <c r="E2925" s="29">
        <f>ROUND(Balances[[#This Row],[Total]]*40%,0)</f>
        <v>0</v>
      </c>
      <c r="F2925" s="18">
        <f>SUM(Acueducto[[#This Row],[Acueducto]:[Aseo]])</f>
        <v>0</v>
      </c>
    </row>
    <row r="2926" spans="1:6" ht="15" x14ac:dyDescent="0.2">
      <c r="A2926" s="7">
        <v>732508</v>
      </c>
      <c r="B2926" s="3" t="s">
        <v>1441</v>
      </c>
      <c r="C2926" s="29">
        <f>ROUND(Balances[[#This Row],[Total]]*40%,0)</f>
        <v>0</v>
      </c>
      <c r="D2926" s="29">
        <f>ROUND(Balances[[#This Row],[Total]]*20%,0)</f>
        <v>0</v>
      </c>
      <c r="E2926" s="29">
        <f>ROUND(Balances[[#This Row],[Total]]*40%,0)</f>
        <v>0</v>
      </c>
      <c r="F2926" s="18">
        <f>SUM(Acueducto[[#This Row],[Acueducto]:[Aseo]])</f>
        <v>0</v>
      </c>
    </row>
    <row r="2927" spans="1:6" ht="15" x14ac:dyDescent="0.2">
      <c r="A2927" s="7">
        <v>732509</v>
      </c>
      <c r="B2927" s="3" t="s">
        <v>1442</v>
      </c>
      <c r="C2927" s="29">
        <f>ROUND(Balances[[#This Row],[Total]]*40%,0)</f>
        <v>0</v>
      </c>
      <c r="D2927" s="29">
        <f>ROUND(Balances[[#This Row],[Total]]*20%,0)</f>
        <v>0</v>
      </c>
      <c r="E2927" s="29">
        <f>ROUND(Balances[[#This Row],[Total]]*40%,0)</f>
        <v>0</v>
      </c>
      <c r="F2927" s="18">
        <f>SUM(Acueducto[[#This Row],[Acueducto]:[Aseo]])</f>
        <v>0</v>
      </c>
    </row>
    <row r="2928" spans="1:6" ht="15" x14ac:dyDescent="0.2">
      <c r="A2928" s="7">
        <v>732510</v>
      </c>
      <c r="B2928" s="3" t="s">
        <v>1443</v>
      </c>
      <c r="C2928" s="29">
        <f>ROUND(Balances[[#This Row],[Total]]*40%,0)</f>
        <v>0</v>
      </c>
      <c r="D2928" s="29">
        <f>ROUND(Balances[[#This Row],[Total]]*20%,0)</f>
        <v>0</v>
      </c>
      <c r="E2928" s="29">
        <f>ROUND(Balances[[#This Row],[Total]]*40%,0)</f>
        <v>0</v>
      </c>
      <c r="F2928" s="18">
        <f>SUM(Acueducto[[#This Row],[Acueducto]:[Aseo]])</f>
        <v>0</v>
      </c>
    </row>
    <row r="2929" spans="1:6" ht="15" x14ac:dyDescent="0.2">
      <c r="A2929" s="7">
        <v>732595</v>
      </c>
      <c r="B2929" s="3" t="s">
        <v>1444</v>
      </c>
      <c r="C2929" s="29">
        <f>ROUND(Balances[[#This Row],[Total]]*40%,0)</f>
        <v>0</v>
      </c>
      <c r="D2929" s="29">
        <f>ROUND(Balances[[#This Row],[Total]]*20%,0)</f>
        <v>0</v>
      </c>
      <c r="E2929" s="29">
        <f>ROUND(Balances[[#This Row],[Total]]*40%,0)</f>
        <v>0</v>
      </c>
      <c r="F2929" s="18">
        <f>SUM(Acueducto[[#This Row],[Acueducto]:[Aseo]])</f>
        <v>0</v>
      </c>
    </row>
    <row r="2930" spans="1:6" ht="15" x14ac:dyDescent="0.2">
      <c r="A2930" s="6">
        <v>7326</v>
      </c>
      <c r="B2930" s="2" t="s">
        <v>1469</v>
      </c>
      <c r="C2930" s="28">
        <f>ROUND(Balances[[#This Row],[Total]]*40%,0)</f>
        <v>0</v>
      </c>
      <c r="D2930" s="28">
        <f>ROUND(Balances[[#This Row],[Total]]*20%,0)</f>
        <v>0</v>
      </c>
      <c r="E2930" s="28">
        <f>ROUND(Balances[[#This Row],[Total]]*40%,0)</f>
        <v>0</v>
      </c>
      <c r="F2930" s="17">
        <f>SUM(Acueducto[[#This Row],[Acueducto]:[Aseo]])</f>
        <v>0</v>
      </c>
    </row>
    <row r="2931" spans="1:6" ht="15" x14ac:dyDescent="0.2">
      <c r="A2931" s="7">
        <v>732601</v>
      </c>
      <c r="B2931" s="3" t="s">
        <v>1436</v>
      </c>
      <c r="C2931" s="29">
        <f>ROUND(Balances[[#This Row],[Total]]*40%,0)</f>
        <v>0</v>
      </c>
      <c r="D2931" s="29">
        <f>ROUND(Balances[[#This Row],[Total]]*20%,0)</f>
        <v>0</v>
      </c>
      <c r="E2931" s="29">
        <f>ROUND(Balances[[#This Row],[Total]]*40%,0)</f>
        <v>0</v>
      </c>
      <c r="F2931" s="18">
        <f>SUM(Acueducto[[#This Row],[Acueducto]:[Aseo]])</f>
        <v>0</v>
      </c>
    </row>
    <row r="2932" spans="1:6" ht="15" x14ac:dyDescent="0.2">
      <c r="A2932" s="7">
        <v>732602</v>
      </c>
      <c r="B2932" s="3" t="s">
        <v>1437</v>
      </c>
      <c r="C2932" s="29">
        <f>ROUND(Balances[[#This Row],[Total]]*40%,0)</f>
        <v>0</v>
      </c>
      <c r="D2932" s="29">
        <f>ROUND(Balances[[#This Row],[Total]]*20%,0)</f>
        <v>0</v>
      </c>
      <c r="E2932" s="29">
        <f>ROUND(Balances[[#This Row],[Total]]*40%,0)</f>
        <v>0</v>
      </c>
      <c r="F2932" s="18">
        <f>SUM(Acueducto[[#This Row],[Acueducto]:[Aseo]])</f>
        <v>0</v>
      </c>
    </row>
    <row r="2933" spans="1:6" ht="15" x14ac:dyDescent="0.2">
      <c r="A2933" s="7">
        <v>732603</v>
      </c>
      <c r="B2933" s="3" t="s">
        <v>568</v>
      </c>
      <c r="C2933" s="29">
        <f>ROUND(Balances[[#This Row],[Total]]*40%,0)</f>
        <v>0</v>
      </c>
      <c r="D2933" s="29">
        <f>ROUND(Balances[[#This Row],[Total]]*20%,0)</f>
        <v>0</v>
      </c>
      <c r="E2933" s="29">
        <f>ROUND(Balances[[#This Row],[Total]]*40%,0)</f>
        <v>0</v>
      </c>
      <c r="F2933" s="18">
        <f>SUM(Acueducto[[#This Row],[Acueducto]:[Aseo]])</f>
        <v>0</v>
      </c>
    </row>
    <row r="2934" spans="1:6" ht="15" x14ac:dyDescent="0.2">
      <c r="A2934" s="7">
        <v>732604</v>
      </c>
      <c r="B2934" s="3" t="s">
        <v>1438</v>
      </c>
      <c r="C2934" s="29">
        <f>ROUND(Balances[[#This Row],[Total]]*40%,0)</f>
        <v>0</v>
      </c>
      <c r="D2934" s="29">
        <f>ROUND(Balances[[#This Row],[Total]]*20%,0)</f>
        <v>0</v>
      </c>
      <c r="E2934" s="29">
        <f>ROUND(Balances[[#This Row],[Total]]*40%,0)</f>
        <v>0</v>
      </c>
      <c r="F2934" s="18">
        <f>SUM(Acueducto[[#This Row],[Acueducto]:[Aseo]])</f>
        <v>0</v>
      </c>
    </row>
    <row r="2935" spans="1:6" ht="15" x14ac:dyDescent="0.2">
      <c r="A2935" s="7">
        <v>732605</v>
      </c>
      <c r="B2935" s="3" t="s">
        <v>569</v>
      </c>
      <c r="C2935" s="29">
        <f>ROUND(Balances[[#This Row],[Total]]*40%,0)</f>
        <v>0</v>
      </c>
      <c r="D2935" s="29">
        <f>ROUND(Balances[[#This Row],[Total]]*20%,0)</f>
        <v>0</v>
      </c>
      <c r="E2935" s="29">
        <f>ROUND(Balances[[#This Row],[Total]]*40%,0)</f>
        <v>0</v>
      </c>
      <c r="F2935" s="18">
        <f>SUM(Acueducto[[#This Row],[Acueducto]:[Aseo]])</f>
        <v>0</v>
      </c>
    </row>
    <row r="2936" spans="1:6" ht="15" x14ac:dyDescent="0.2">
      <c r="A2936" s="7">
        <v>732606</v>
      </c>
      <c r="B2936" s="3" t="s">
        <v>1439</v>
      </c>
      <c r="C2936" s="29">
        <f>ROUND(Balances[[#This Row],[Total]]*40%,0)</f>
        <v>0</v>
      </c>
      <c r="D2936" s="29">
        <f>ROUND(Balances[[#This Row],[Total]]*20%,0)</f>
        <v>0</v>
      </c>
      <c r="E2936" s="29">
        <f>ROUND(Balances[[#This Row],[Total]]*40%,0)</f>
        <v>0</v>
      </c>
      <c r="F2936" s="18">
        <f>SUM(Acueducto[[#This Row],[Acueducto]:[Aseo]])</f>
        <v>0</v>
      </c>
    </row>
    <row r="2937" spans="1:6" ht="15" x14ac:dyDescent="0.2">
      <c r="A2937" s="7">
        <v>732607</v>
      </c>
      <c r="B2937" s="3" t="s">
        <v>1440</v>
      </c>
      <c r="C2937" s="29">
        <f>ROUND(Balances[[#This Row],[Total]]*40%,0)</f>
        <v>0</v>
      </c>
      <c r="D2937" s="29">
        <f>ROUND(Balances[[#This Row],[Total]]*20%,0)</f>
        <v>0</v>
      </c>
      <c r="E2937" s="29">
        <f>ROUND(Balances[[#This Row],[Total]]*40%,0)</f>
        <v>0</v>
      </c>
      <c r="F2937" s="18">
        <f>SUM(Acueducto[[#This Row],[Acueducto]:[Aseo]])</f>
        <v>0</v>
      </c>
    </row>
    <row r="2938" spans="1:6" ht="15" x14ac:dyDescent="0.2">
      <c r="A2938" s="7">
        <v>732608</v>
      </c>
      <c r="B2938" s="3" t="s">
        <v>1441</v>
      </c>
      <c r="C2938" s="29">
        <f>ROUND(Balances[[#This Row],[Total]]*40%,0)</f>
        <v>0</v>
      </c>
      <c r="D2938" s="29">
        <f>ROUND(Balances[[#This Row],[Total]]*20%,0)</f>
        <v>0</v>
      </c>
      <c r="E2938" s="29">
        <f>ROUND(Balances[[#This Row],[Total]]*40%,0)</f>
        <v>0</v>
      </c>
      <c r="F2938" s="18">
        <f>SUM(Acueducto[[#This Row],[Acueducto]:[Aseo]])</f>
        <v>0</v>
      </c>
    </row>
    <row r="2939" spans="1:6" ht="15" x14ac:dyDescent="0.2">
      <c r="A2939" s="7">
        <v>732609</v>
      </c>
      <c r="B2939" s="3" t="s">
        <v>1442</v>
      </c>
      <c r="C2939" s="29">
        <f>ROUND(Balances[[#This Row],[Total]]*40%,0)</f>
        <v>0</v>
      </c>
      <c r="D2939" s="29">
        <f>ROUND(Balances[[#This Row],[Total]]*20%,0)</f>
        <v>0</v>
      </c>
      <c r="E2939" s="29">
        <f>ROUND(Balances[[#This Row],[Total]]*40%,0)</f>
        <v>0</v>
      </c>
      <c r="F2939" s="18">
        <f>SUM(Acueducto[[#This Row],[Acueducto]:[Aseo]])</f>
        <v>0</v>
      </c>
    </row>
    <row r="2940" spans="1:6" ht="15" x14ac:dyDescent="0.2">
      <c r="A2940" s="7">
        <v>732610</v>
      </c>
      <c r="B2940" s="3" t="s">
        <v>1443</v>
      </c>
      <c r="C2940" s="29">
        <f>ROUND(Balances[[#This Row],[Total]]*40%,0)</f>
        <v>0</v>
      </c>
      <c r="D2940" s="29">
        <f>ROUND(Balances[[#This Row],[Total]]*20%,0)</f>
        <v>0</v>
      </c>
      <c r="E2940" s="29">
        <f>ROUND(Balances[[#This Row],[Total]]*40%,0)</f>
        <v>0</v>
      </c>
      <c r="F2940" s="18">
        <f>SUM(Acueducto[[#This Row],[Acueducto]:[Aseo]])</f>
        <v>0</v>
      </c>
    </row>
    <row r="2941" spans="1:6" ht="15" x14ac:dyDescent="0.2">
      <c r="A2941" s="7">
        <v>732695</v>
      </c>
      <c r="B2941" s="3" t="s">
        <v>1444</v>
      </c>
      <c r="C2941" s="29">
        <f>ROUND(Balances[[#This Row],[Total]]*40%,0)</f>
        <v>0</v>
      </c>
      <c r="D2941" s="29">
        <f>ROUND(Balances[[#This Row],[Total]]*20%,0)</f>
        <v>0</v>
      </c>
      <c r="E2941" s="29">
        <f>ROUND(Balances[[#This Row],[Total]]*40%,0)</f>
        <v>0</v>
      </c>
      <c r="F2941" s="18">
        <f>SUM(Acueducto[[#This Row],[Acueducto]:[Aseo]])</f>
        <v>0</v>
      </c>
    </row>
    <row r="2942" spans="1:6" ht="15" x14ac:dyDescent="0.2">
      <c r="A2942" s="6">
        <v>7330</v>
      </c>
      <c r="B2942" s="2" t="s">
        <v>1470</v>
      </c>
      <c r="C2942" s="28">
        <f>ROUND(Balances[[#This Row],[Total]]*40%,0)</f>
        <v>0</v>
      </c>
      <c r="D2942" s="28">
        <f>ROUND(Balances[[#This Row],[Total]]*20%,0)</f>
        <v>0</v>
      </c>
      <c r="E2942" s="28">
        <f>ROUND(Balances[[#This Row],[Total]]*40%,0)</f>
        <v>0</v>
      </c>
      <c r="F2942" s="17">
        <f>SUM(Acueducto[[#This Row],[Acueducto]:[Aseo]])</f>
        <v>0</v>
      </c>
    </row>
    <row r="2943" spans="1:6" ht="15" x14ac:dyDescent="0.2">
      <c r="A2943" s="7">
        <v>733001</v>
      </c>
      <c r="B2943" s="3" t="s">
        <v>1436</v>
      </c>
      <c r="C2943" s="29">
        <f>ROUND(Balances[[#This Row],[Total]]*40%,0)</f>
        <v>0</v>
      </c>
      <c r="D2943" s="29">
        <f>ROUND(Balances[[#This Row],[Total]]*20%,0)</f>
        <v>0</v>
      </c>
      <c r="E2943" s="29">
        <f>ROUND(Balances[[#This Row],[Total]]*40%,0)</f>
        <v>0</v>
      </c>
      <c r="F2943" s="18">
        <f>SUM(Acueducto[[#This Row],[Acueducto]:[Aseo]])</f>
        <v>0</v>
      </c>
    </row>
    <row r="2944" spans="1:6" ht="15" x14ac:dyDescent="0.2">
      <c r="A2944" s="7">
        <v>733002</v>
      </c>
      <c r="B2944" s="3" t="s">
        <v>1437</v>
      </c>
      <c r="C2944" s="29">
        <f>ROUND(Balances[[#This Row],[Total]]*40%,0)</f>
        <v>0</v>
      </c>
      <c r="D2944" s="29">
        <f>ROUND(Balances[[#This Row],[Total]]*20%,0)</f>
        <v>0</v>
      </c>
      <c r="E2944" s="29">
        <f>ROUND(Balances[[#This Row],[Total]]*40%,0)</f>
        <v>0</v>
      </c>
      <c r="F2944" s="18">
        <f>SUM(Acueducto[[#This Row],[Acueducto]:[Aseo]])</f>
        <v>0</v>
      </c>
    </row>
    <row r="2945" spans="1:6" ht="15" x14ac:dyDescent="0.2">
      <c r="A2945" s="7">
        <v>733003</v>
      </c>
      <c r="B2945" s="3" t="s">
        <v>568</v>
      </c>
      <c r="C2945" s="29">
        <f>ROUND(Balances[[#This Row],[Total]]*40%,0)</f>
        <v>0</v>
      </c>
      <c r="D2945" s="29">
        <f>ROUND(Balances[[#This Row],[Total]]*20%,0)</f>
        <v>0</v>
      </c>
      <c r="E2945" s="29">
        <f>ROUND(Balances[[#This Row],[Total]]*40%,0)</f>
        <v>0</v>
      </c>
      <c r="F2945" s="18">
        <f>SUM(Acueducto[[#This Row],[Acueducto]:[Aseo]])</f>
        <v>0</v>
      </c>
    </row>
    <row r="2946" spans="1:6" ht="15" x14ac:dyDescent="0.2">
      <c r="A2946" s="7">
        <v>733004</v>
      </c>
      <c r="B2946" s="3" t="s">
        <v>1438</v>
      </c>
      <c r="C2946" s="29">
        <f>ROUND(Balances[[#This Row],[Total]]*40%,0)</f>
        <v>0</v>
      </c>
      <c r="D2946" s="29">
        <f>ROUND(Balances[[#This Row],[Total]]*20%,0)</f>
        <v>0</v>
      </c>
      <c r="E2946" s="29">
        <f>ROUND(Balances[[#This Row],[Total]]*40%,0)</f>
        <v>0</v>
      </c>
      <c r="F2946" s="18">
        <f>SUM(Acueducto[[#This Row],[Acueducto]:[Aseo]])</f>
        <v>0</v>
      </c>
    </row>
    <row r="2947" spans="1:6" ht="15" x14ac:dyDescent="0.2">
      <c r="A2947" s="7">
        <v>733005</v>
      </c>
      <c r="B2947" s="3" t="s">
        <v>569</v>
      </c>
      <c r="C2947" s="29">
        <f>ROUND(Balances[[#This Row],[Total]]*40%,0)</f>
        <v>0</v>
      </c>
      <c r="D2947" s="29">
        <f>ROUND(Balances[[#This Row],[Total]]*20%,0)</f>
        <v>0</v>
      </c>
      <c r="E2947" s="29">
        <f>ROUND(Balances[[#This Row],[Total]]*40%,0)</f>
        <v>0</v>
      </c>
      <c r="F2947" s="18">
        <f>SUM(Acueducto[[#This Row],[Acueducto]:[Aseo]])</f>
        <v>0</v>
      </c>
    </row>
    <row r="2948" spans="1:6" ht="15" x14ac:dyDescent="0.2">
      <c r="A2948" s="7">
        <v>733006</v>
      </c>
      <c r="B2948" s="3" t="s">
        <v>1439</v>
      </c>
      <c r="C2948" s="29">
        <f>ROUND(Balances[[#This Row],[Total]]*40%,0)</f>
        <v>0</v>
      </c>
      <c r="D2948" s="29">
        <f>ROUND(Balances[[#This Row],[Total]]*20%,0)</f>
        <v>0</v>
      </c>
      <c r="E2948" s="29">
        <f>ROUND(Balances[[#This Row],[Total]]*40%,0)</f>
        <v>0</v>
      </c>
      <c r="F2948" s="18">
        <f>SUM(Acueducto[[#This Row],[Acueducto]:[Aseo]])</f>
        <v>0</v>
      </c>
    </row>
    <row r="2949" spans="1:6" ht="15" x14ac:dyDescent="0.2">
      <c r="A2949" s="7">
        <v>733007</v>
      </c>
      <c r="B2949" s="3" t="s">
        <v>1440</v>
      </c>
      <c r="C2949" s="29">
        <f>ROUND(Balances[[#This Row],[Total]]*40%,0)</f>
        <v>0</v>
      </c>
      <c r="D2949" s="29">
        <f>ROUND(Balances[[#This Row],[Total]]*20%,0)</f>
        <v>0</v>
      </c>
      <c r="E2949" s="29">
        <f>ROUND(Balances[[#This Row],[Total]]*40%,0)</f>
        <v>0</v>
      </c>
      <c r="F2949" s="18">
        <f>SUM(Acueducto[[#This Row],[Acueducto]:[Aseo]])</f>
        <v>0</v>
      </c>
    </row>
    <row r="2950" spans="1:6" ht="15" x14ac:dyDescent="0.2">
      <c r="A2950" s="7">
        <v>733008</v>
      </c>
      <c r="B2950" s="3" t="s">
        <v>1441</v>
      </c>
      <c r="C2950" s="29">
        <f>ROUND(Balances[[#This Row],[Total]]*40%,0)</f>
        <v>0</v>
      </c>
      <c r="D2950" s="29">
        <f>ROUND(Balances[[#This Row],[Total]]*20%,0)</f>
        <v>0</v>
      </c>
      <c r="E2950" s="29">
        <f>ROUND(Balances[[#This Row],[Total]]*40%,0)</f>
        <v>0</v>
      </c>
      <c r="F2950" s="18">
        <f>SUM(Acueducto[[#This Row],[Acueducto]:[Aseo]])</f>
        <v>0</v>
      </c>
    </row>
    <row r="2951" spans="1:6" ht="15" x14ac:dyDescent="0.2">
      <c r="A2951" s="7">
        <v>733009</v>
      </c>
      <c r="B2951" s="3" t="s">
        <v>1442</v>
      </c>
      <c r="C2951" s="29">
        <f>ROUND(Balances[[#This Row],[Total]]*40%,0)</f>
        <v>0</v>
      </c>
      <c r="D2951" s="29">
        <f>ROUND(Balances[[#This Row],[Total]]*20%,0)</f>
        <v>0</v>
      </c>
      <c r="E2951" s="29">
        <f>ROUND(Balances[[#This Row],[Total]]*40%,0)</f>
        <v>0</v>
      </c>
      <c r="F2951" s="18">
        <f>SUM(Acueducto[[#This Row],[Acueducto]:[Aseo]])</f>
        <v>0</v>
      </c>
    </row>
    <row r="2952" spans="1:6" ht="15" x14ac:dyDescent="0.2">
      <c r="A2952" s="7">
        <v>733010</v>
      </c>
      <c r="B2952" s="3" t="s">
        <v>1443</v>
      </c>
      <c r="C2952" s="29">
        <f>ROUND(Balances[[#This Row],[Total]]*40%,0)</f>
        <v>0</v>
      </c>
      <c r="D2952" s="29">
        <f>ROUND(Balances[[#This Row],[Total]]*20%,0)</f>
        <v>0</v>
      </c>
      <c r="E2952" s="29">
        <f>ROUND(Balances[[#This Row],[Total]]*40%,0)</f>
        <v>0</v>
      </c>
      <c r="F2952" s="18">
        <f>SUM(Acueducto[[#This Row],[Acueducto]:[Aseo]])</f>
        <v>0</v>
      </c>
    </row>
    <row r="2953" spans="1:6" ht="15" x14ac:dyDescent="0.2">
      <c r="A2953" s="7">
        <v>733095</v>
      </c>
      <c r="B2953" s="3" t="s">
        <v>1444</v>
      </c>
      <c r="C2953" s="29">
        <f>ROUND(Balances[[#This Row],[Total]]*40%,0)</f>
        <v>0</v>
      </c>
      <c r="D2953" s="29">
        <f>ROUND(Balances[[#This Row],[Total]]*20%,0)</f>
        <v>0</v>
      </c>
      <c r="E2953" s="29">
        <f>ROUND(Balances[[#This Row],[Total]]*40%,0)</f>
        <v>0</v>
      </c>
      <c r="F2953" s="18">
        <f>SUM(Acueducto[[#This Row],[Acueducto]:[Aseo]])</f>
        <v>0</v>
      </c>
    </row>
    <row r="2954" spans="1:6" ht="15" x14ac:dyDescent="0.2">
      <c r="A2954" s="6">
        <v>7331</v>
      </c>
      <c r="B2954" s="2" t="s">
        <v>1471</v>
      </c>
      <c r="C2954" s="28">
        <f>ROUND(Balances[[#This Row],[Total]]*40%,0)</f>
        <v>0</v>
      </c>
      <c r="D2954" s="28">
        <f>ROUND(Balances[[#This Row],[Total]]*20%,0)</f>
        <v>0</v>
      </c>
      <c r="E2954" s="28">
        <f>ROUND(Balances[[#This Row],[Total]]*40%,0)</f>
        <v>0</v>
      </c>
      <c r="F2954" s="17">
        <f>SUM(Acueducto[[#This Row],[Acueducto]:[Aseo]])</f>
        <v>0</v>
      </c>
    </row>
    <row r="2955" spans="1:6" ht="15" x14ac:dyDescent="0.2">
      <c r="A2955" s="7">
        <v>733101</v>
      </c>
      <c r="B2955" s="3" t="s">
        <v>1436</v>
      </c>
      <c r="C2955" s="29">
        <f>ROUND(Balances[[#This Row],[Total]]*40%,0)</f>
        <v>0</v>
      </c>
      <c r="D2955" s="29">
        <f>ROUND(Balances[[#This Row],[Total]]*20%,0)</f>
        <v>0</v>
      </c>
      <c r="E2955" s="29">
        <f>ROUND(Balances[[#This Row],[Total]]*40%,0)</f>
        <v>0</v>
      </c>
      <c r="F2955" s="18">
        <f>SUM(Acueducto[[#This Row],[Acueducto]:[Aseo]])</f>
        <v>0</v>
      </c>
    </row>
    <row r="2956" spans="1:6" ht="15" x14ac:dyDescent="0.2">
      <c r="A2956" s="7">
        <v>733102</v>
      </c>
      <c r="B2956" s="3" t="s">
        <v>1437</v>
      </c>
      <c r="C2956" s="29">
        <f>ROUND(Balances[[#This Row],[Total]]*40%,0)</f>
        <v>0</v>
      </c>
      <c r="D2956" s="29">
        <f>ROUND(Balances[[#This Row],[Total]]*20%,0)</f>
        <v>0</v>
      </c>
      <c r="E2956" s="29">
        <f>ROUND(Balances[[#This Row],[Total]]*40%,0)</f>
        <v>0</v>
      </c>
      <c r="F2956" s="18">
        <f>SUM(Acueducto[[#This Row],[Acueducto]:[Aseo]])</f>
        <v>0</v>
      </c>
    </row>
    <row r="2957" spans="1:6" ht="15" x14ac:dyDescent="0.2">
      <c r="A2957" s="7">
        <v>733103</v>
      </c>
      <c r="B2957" s="3" t="s">
        <v>568</v>
      </c>
      <c r="C2957" s="29">
        <f>ROUND(Balances[[#This Row],[Total]]*40%,0)</f>
        <v>0</v>
      </c>
      <c r="D2957" s="29">
        <f>ROUND(Balances[[#This Row],[Total]]*20%,0)</f>
        <v>0</v>
      </c>
      <c r="E2957" s="29">
        <f>ROUND(Balances[[#This Row],[Total]]*40%,0)</f>
        <v>0</v>
      </c>
      <c r="F2957" s="18">
        <f>SUM(Acueducto[[#This Row],[Acueducto]:[Aseo]])</f>
        <v>0</v>
      </c>
    </row>
    <row r="2958" spans="1:6" ht="15" x14ac:dyDescent="0.2">
      <c r="A2958" s="7">
        <v>733104</v>
      </c>
      <c r="B2958" s="3" t="s">
        <v>1438</v>
      </c>
      <c r="C2958" s="29">
        <f>ROUND(Balances[[#This Row],[Total]]*40%,0)</f>
        <v>0</v>
      </c>
      <c r="D2958" s="29">
        <f>ROUND(Balances[[#This Row],[Total]]*20%,0)</f>
        <v>0</v>
      </c>
      <c r="E2958" s="29">
        <f>ROUND(Balances[[#This Row],[Total]]*40%,0)</f>
        <v>0</v>
      </c>
      <c r="F2958" s="18">
        <f>SUM(Acueducto[[#This Row],[Acueducto]:[Aseo]])</f>
        <v>0</v>
      </c>
    </row>
    <row r="2959" spans="1:6" ht="15" x14ac:dyDescent="0.2">
      <c r="A2959" s="7">
        <v>733105</v>
      </c>
      <c r="B2959" s="3" t="s">
        <v>569</v>
      </c>
      <c r="C2959" s="29">
        <f>ROUND(Balances[[#This Row],[Total]]*40%,0)</f>
        <v>0</v>
      </c>
      <c r="D2959" s="29">
        <f>ROUND(Balances[[#This Row],[Total]]*20%,0)</f>
        <v>0</v>
      </c>
      <c r="E2959" s="29">
        <f>ROUND(Balances[[#This Row],[Total]]*40%,0)</f>
        <v>0</v>
      </c>
      <c r="F2959" s="18">
        <f>SUM(Acueducto[[#This Row],[Acueducto]:[Aseo]])</f>
        <v>0</v>
      </c>
    </row>
    <row r="2960" spans="1:6" ht="15" x14ac:dyDescent="0.2">
      <c r="A2960" s="7">
        <v>733106</v>
      </c>
      <c r="B2960" s="3" t="s">
        <v>1439</v>
      </c>
      <c r="C2960" s="29">
        <f>ROUND(Balances[[#This Row],[Total]]*40%,0)</f>
        <v>0</v>
      </c>
      <c r="D2960" s="29">
        <f>ROUND(Balances[[#This Row],[Total]]*20%,0)</f>
        <v>0</v>
      </c>
      <c r="E2960" s="29">
        <f>ROUND(Balances[[#This Row],[Total]]*40%,0)</f>
        <v>0</v>
      </c>
      <c r="F2960" s="18">
        <f>SUM(Acueducto[[#This Row],[Acueducto]:[Aseo]])</f>
        <v>0</v>
      </c>
    </row>
    <row r="2961" spans="1:6" ht="15" x14ac:dyDescent="0.2">
      <c r="A2961" s="7">
        <v>733107</v>
      </c>
      <c r="B2961" s="3" t="s">
        <v>1440</v>
      </c>
      <c r="C2961" s="29">
        <f>ROUND(Balances[[#This Row],[Total]]*40%,0)</f>
        <v>0</v>
      </c>
      <c r="D2961" s="29">
        <f>ROUND(Balances[[#This Row],[Total]]*20%,0)</f>
        <v>0</v>
      </c>
      <c r="E2961" s="29">
        <f>ROUND(Balances[[#This Row],[Total]]*40%,0)</f>
        <v>0</v>
      </c>
      <c r="F2961" s="18">
        <f>SUM(Acueducto[[#This Row],[Acueducto]:[Aseo]])</f>
        <v>0</v>
      </c>
    </row>
    <row r="2962" spans="1:6" ht="15" x14ac:dyDescent="0.2">
      <c r="A2962" s="7">
        <v>733108</v>
      </c>
      <c r="B2962" s="3" t="s">
        <v>1441</v>
      </c>
      <c r="C2962" s="29">
        <f>ROUND(Balances[[#This Row],[Total]]*40%,0)</f>
        <v>0</v>
      </c>
      <c r="D2962" s="29">
        <f>ROUND(Balances[[#This Row],[Total]]*20%,0)</f>
        <v>0</v>
      </c>
      <c r="E2962" s="29">
        <f>ROUND(Balances[[#This Row],[Total]]*40%,0)</f>
        <v>0</v>
      </c>
      <c r="F2962" s="18">
        <f>SUM(Acueducto[[#This Row],[Acueducto]:[Aseo]])</f>
        <v>0</v>
      </c>
    </row>
    <row r="2963" spans="1:6" ht="15" x14ac:dyDescent="0.2">
      <c r="A2963" s="7">
        <v>733109</v>
      </c>
      <c r="B2963" s="3" t="s">
        <v>1442</v>
      </c>
      <c r="C2963" s="29">
        <f>ROUND(Balances[[#This Row],[Total]]*40%,0)</f>
        <v>0</v>
      </c>
      <c r="D2963" s="29">
        <f>ROUND(Balances[[#This Row],[Total]]*20%,0)</f>
        <v>0</v>
      </c>
      <c r="E2963" s="29">
        <f>ROUND(Balances[[#This Row],[Total]]*40%,0)</f>
        <v>0</v>
      </c>
      <c r="F2963" s="18">
        <f>SUM(Acueducto[[#This Row],[Acueducto]:[Aseo]])</f>
        <v>0</v>
      </c>
    </row>
    <row r="2964" spans="1:6" ht="15" x14ac:dyDescent="0.2">
      <c r="A2964" s="7">
        <v>733110</v>
      </c>
      <c r="B2964" s="3" t="s">
        <v>1443</v>
      </c>
      <c r="C2964" s="29">
        <f>ROUND(Balances[[#This Row],[Total]]*40%,0)</f>
        <v>0</v>
      </c>
      <c r="D2964" s="29">
        <f>ROUND(Balances[[#This Row],[Total]]*20%,0)</f>
        <v>0</v>
      </c>
      <c r="E2964" s="29">
        <f>ROUND(Balances[[#This Row],[Total]]*40%,0)</f>
        <v>0</v>
      </c>
      <c r="F2964" s="18">
        <f>SUM(Acueducto[[#This Row],[Acueducto]:[Aseo]])</f>
        <v>0</v>
      </c>
    </row>
    <row r="2965" spans="1:6" ht="15" x14ac:dyDescent="0.2">
      <c r="A2965" s="7">
        <v>733195</v>
      </c>
      <c r="B2965" s="3" t="s">
        <v>1444</v>
      </c>
      <c r="C2965" s="29">
        <f>ROUND(Balances[[#This Row],[Total]]*40%,0)</f>
        <v>0</v>
      </c>
      <c r="D2965" s="29">
        <f>ROUND(Balances[[#This Row],[Total]]*20%,0)</f>
        <v>0</v>
      </c>
      <c r="E2965" s="29">
        <f>ROUND(Balances[[#This Row],[Total]]*40%,0)</f>
        <v>0</v>
      </c>
      <c r="F2965" s="18">
        <f>SUM(Acueducto[[#This Row],[Acueducto]:[Aseo]])</f>
        <v>0</v>
      </c>
    </row>
    <row r="2966" spans="1:6" ht="15" x14ac:dyDescent="0.2">
      <c r="A2966" s="6">
        <v>7340</v>
      </c>
      <c r="B2966" s="2" t="s">
        <v>1472</v>
      </c>
      <c r="C2966" s="28">
        <f>ROUND(Balances[[#This Row],[Total]]*40%,0)</f>
        <v>0</v>
      </c>
      <c r="D2966" s="28">
        <f>ROUND(Balances[[#This Row],[Total]]*20%,0)</f>
        <v>0</v>
      </c>
      <c r="E2966" s="28">
        <f>ROUND(Balances[[#This Row],[Total]]*40%,0)</f>
        <v>0</v>
      </c>
      <c r="F2966" s="17">
        <f>SUM(Acueducto[[#This Row],[Acueducto]:[Aseo]])</f>
        <v>0</v>
      </c>
    </row>
    <row r="2967" spans="1:6" ht="15" x14ac:dyDescent="0.2">
      <c r="A2967" s="7">
        <v>734001</v>
      </c>
      <c r="B2967" s="3" t="s">
        <v>1436</v>
      </c>
      <c r="C2967" s="29">
        <f>ROUND(Balances[[#This Row],[Total]]*40%,0)</f>
        <v>0</v>
      </c>
      <c r="D2967" s="29">
        <f>ROUND(Balances[[#This Row],[Total]]*20%,0)</f>
        <v>0</v>
      </c>
      <c r="E2967" s="29">
        <f>ROUND(Balances[[#This Row],[Total]]*40%,0)</f>
        <v>0</v>
      </c>
      <c r="F2967" s="18">
        <f>SUM(Acueducto[[#This Row],[Acueducto]:[Aseo]])</f>
        <v>0</v>
      </c>
    </row>
    <row r="2968" spans="1:6" ht="15" x14ac:dyDescent="0.2">
      <c r="A2968" s="7">
        <v>734002</v>
      </c>
      <c r="B2968" s="3" t="s">
        <v>1437</v>
      </c>
      <c r="C2968" s="29">
        <f>ROUND(Balances[[#This Row],[Total]]*40%,0)</f>
        <v>0</v>
      </c>
      <c r="D2968" s="29">
        <f>ROUND(Balances[[#This Row],[Total]]*20%,0)</f>
        <v>0</v>
      </c>
      <c r="E2968" s="29">
        <f>ROUND(Balances[[#This Row],[Total]]*40%,0)</f>
        <v>0</v>
      </c>
      <c r="F2968" s="18">
        <f>SUM(Acueducto[[#This Row],[Acueducto]:[Aseo]])</f>
        <v>0</v>
      </c>
    </row>
    <row r="2969" spans="1:6" ht="15" x14ac:dyDescent="0.2">
      <c r="A2969" s="7">
        <v>734003</v>
      </c>
      <c r="B2969" s="3" t="s">
        <v>568</v>
      </c>
      <c r="C2969" s="29">
        <f>ROUND(Balances[[#This Row],[Total]]*40%,0)</f>
        <v>0</v>
      </c>
      <c r="D2969" s="29">
        <f>ROUND(Balances[[#This Row],[Total]]*20%,0)</f>
        <v>0</v>
      </c>
      <c r="E2969" s="29">
        <f>ROUND(Balances[[#This Row],[Total]]*40%,0)</f>
        <v>0</v>
      </c>
      <c r="F2969" s="18">
        <f>SUM(Acueducto[[#This Row],[Acueducto]:[Aseo]])</f>
        <v>0</v>
      </c>
    </row>
    <row r="2970" spans="1:6" ht="15" x14ac:dyDescent="0.2">
      <c r="A2970" s="7">
        <v>734004</v>
      </c>
      <c r="B2970" s="3" t="s">
        <v>1438</v>
      </c>
      <c r="C2970" s="29">
        <f>ROUND(Balances[[#This Row],[Total]]*40%,0)</f>
        <v>0</v>
      </c>
      <c r="D2970" s="29">
        <f>ROUND(Balances[[#This Row],[Total]]*20%,0)</f>
        <v>0</v>
      </c>
      <c r="E2970" s="29">
        <f>ROUND(Balances[[#This Row],[Total]]*40%,0)</f>
        <v>0</v>
      </c>
      <c r="F2970" s="18">
        <f>SUM(Acueducto[[#This Row],[Acueducto]:[Aseo]])</f>
        <v>0</v>
      </c>
    </row>
    <row r="2971" spans="1:6" ht="15" x14ac:dyDescent="0.2">
      <c r="A2971" s="7">
        <v>734005</v>
      </c>
      <c r="B2971" s="3" t="s">
        <v>569</v>
      </c>
      <c r="C2971" s="29">
        <f>ROUND(Balances[[#This Row],[Total]]*40%,0)</f>
        <v>0</v>
      </c>
      <c r="D2971" s="29">
        <f>ROUND(Balances[[#This Row],[Total]]*20%,0)</f>
        <v>0</v>
      </c>
      <c r="E2971" s="29">
        <f>ROUND(Balances[[#This Row],[Total]]*40%,0)</f>
        <v>0</v>
      </c>
      <c r="F2971" s="18">
        <f>SUM(Acueducto[[#This Row],[Acueducto]:[Aseo]])</f>
        <v>0</v>
      </c>
    </row>
    <row r="2972" spans="1:6" ht="15" x14ac:dyDescent="0.2">
      <c r="A2972" s="7">
        <v>734006</v>
      </c>
      <c r="B2972" s="3" t="s">
        <v>1439</v>
      </c>
      <c r="C2972" s="29">
        <f>ROUND(Balances[[#This Row],[Total]]*40%,0)</f>
        <v>0</v>
      </c>
      <c r="D2972" s="29">
        <f>ROUND(Balances[[#This Row],[Total]]*20%,0)</f>
        <v>0</v>
      </c>
      <c r="E2972" s="29">
        <f>ROUND(Balances[[#This Row],[Total]]*40%,0)</f>
        <v>0</v>
      </c>
      <c r="F2972" s="18">
        <f>SUM(Acueducto[[#This Row],[Acueducto]:[Aseo]])</f>
        <v>0</v>
      </c>
    </row>
    <row r="2973" spans="1:6" ht="15" x14ac:dyDescent="0.2">
      <c r="A2973" s="7">
        <v>734007</v>
      </c>
      <c r="B2973" s="3" t="s">
        <v>1440</v>
      </c>
      <c r="C2973" s="29">
        <f>ROUND(Balances[[#This Row],[Total]]*40%,0)</f>
        <v>0</v>
      </c>
      <c r="D2973" s="29">
        <f>ROUND(Balances[[#This Row],[Total]]*20%,0)</f>
        <v>0</v>
      </c>
      <c r="E2973" s="29">
        <f>ROUND(Balances[[#This Row],[Total]]*40%,0)</f>
        <v>0</v>
      </c>
      <c r="F2973" s="18">
        <f>SUM(Acueducto[[#This Row],[Acueducto]:[Aseo]])</f>
        <v>0</v>
      </c>
    </row>
    <row r="2974" spans="1:6" ht="15" x14ac:dyDescent="0.2">
      <c r="A2974" s="7">
        <v>734008</v>
      </c>
      <c r="B2974" s="3" t="s">
        <v>1441</v>
      </c>
      <c r="C2974" s="29">
        <f>ROUND(Balances[[#This Row],[Total]]*40%,0)</f>
        <v>0</v>
      </c>
      <c r="D2974" s="29">
        <f>ROUND(Balances[[#This Row],[Total]]*20%,0)</f>
        <v>0</v>
      </c>
      <c r="E2974" s="29">
        <f>ROUND(Balances[[#This Row],[Total]]*40%,0)</f>
        <v>0</v>
      </c>
      <c r="F2974" s="18">
        <f>SUM(Acueducto[[#This Row],[Acueducto]:[Aseo]])</f>
        <v>0</v>
      </c>
    </row>
    <row r="2975" spans="1:6" ht="15" x14ac:dyDescent="0.2">
      <c r="A2975" s="7">
        <v>734009</v>
      </c>
      <c r="B2975" s="3" t="s">
        <v>1442</v>
      </c>
      <c r="C2975" s="29">
        <f>ROUND(Balances[[#This Row],[Total]]*40%,0)</f>
        <v>0</v>
      </c>
      <c r="D2975" s="29">
        <f>ROUND(Balances[[#This Row],[Total]]*20%,0)</f>
        <v>0</v>
      </c>
      <c r="E2975" s="29">
        <f>ROUND(Balances[[#This Row],[Total]]*40%,0)</f>
        <v>0</v>
      </c>
      <c r="F2975" s="18">
        <f>SUM(Acueducto[[#This Row],[Acueducto]:[Aseo]])</f>
        <v>0</v>
      </c>
    </row>
    <row r="2976" spans="1:6" ht="15" x14ac:dyDescent="0.2">
      <c r="A2976" s="7">
        <v>734010</v>
      </c>
      <c r="B2976" s="3" t="s">
        <v>1443</v>
      </c>
      <c r="C2976" s="29">
        <f>ROUND(Balances[[#This Row],[Total]]*40%,0)</f>
        <v>0</v>
      </c>
      <c r="D2976" s="29">
        <f>ROUND(Balances[[#This Row],[Total]]*20%,0)</f>
        <v>0</v>
      </c>
      <c r="E2976" s="29">
        <f>ROUND(Balances[[#This Row],[Total]]*40%,0)</f>
        <v>0</v>
      </c>
      <c r="F2976" s="18">
        <f>SUM(Acueducto[[#This Row],[Acueducto]:[Aseo]])</f>
        <v>0</v>
      </c>
    </row>
    <row r="2977" spans="1:6" ht="15" x14ac:dyDescent="0.2">
      <c r="A2977" s="7">
        <v>734095</v>
      </c>
      <c r="B2977" s="3" t="s">
        <v>1444</v>
      </c>
      <c r="C2977" s="29">
        <f>ROUND(Balances[[#This Row],[Total]]*40%,0)</f>
        <v>0</v>
      </c>
      <c r="D2977" s="29">
        <f>ROUND(Balances[[#This Row],[Total]]*20%,0)</f>
        <v>0</v>
      </c>
      <c r="E2977" s="29">
        <f>ROUND(Balances[[#This Row],[Total]]*40%,0)</f>
        <v>0</v>
      </c>
      <c r="F2977" s="18">
        <f>SUM(Acueducto[[#This Row],[Acueducto]:[Aseo]])</f>
        <v>0</v>
      </c>
    </row>
    <row r="2978" spans="1:6" ht="15" x14ac:dyDescent="0.2">
      <c r="A2978" s="6">
        <v>7341</v>
      </c>
      <c r="B2978" s="2" t="s">
        <v>1473</v>
      </c>
      <c r="C2978" s="28">
        <f>ROUND(Balances[[#This Row],[Total]]*40%,0)</f>
        <v>0</v>
      </c>
      <c r="D2978" s="28">
        <f>ROUND(Balances[[#This Row],[Total]]*20%,0)</f>
        <v>0</v>
      </c>
      <c r="E2978" s="28">
        <f>ROUND(Balances[[#This Row],[Total]]*40%,0)</f>
        <v>0</v>
      </c>
      <c r="F2978" s="17">
        <f>SUM(Acueducto[[#This Row],[Acueducto]:[Aseo]])</f>
        <v>0</v>
      </c>
    </row>
    <row r="2979" spans="1:6" ht="15" x14ac:dyDescent="0.2">
      <c r="A2979" s="7">
        <v>734101</v>
      </c>
      <c r="B2979" s="3" t="s">
        <v>1436</v>
      </c>
      <c r="C2979" s="29">
        <f>ROUND(Balances[[#This Row],[Total]]*40%,0)</f>
        <v>0</v>
      </c>
      <c r="D2979" s="29">
        <f>ROUND(Balances[[#This Row],[Total]]*20%,0)</f>
        <v>0</v>
      </c>
      <c r="E2979" s="29">
        <f>ROUND(Balances[[#This Row],[Total]]*40%,0)</f>
        <v>0</v>
      </c>
      <c r="F2979" s="18">
        <f>SUM(Acueducto[[#This Row],[Acueducto]:[Aseo]])</f>
        <v>0</v>
      </c>
    </row>
    <row r="2980" spans="1:6" ht="15" x14ac:dyDescent="0.2">
      <c r="A2980" s="7">
        <v>734102</v>
      </c>
      <c r="B2980" s="3" t="s">
        <v>1437</v>
      </c>
      <c r="C2980" s="29">
        <f>ROUND(Balances[[#This Row],[Total]]*40%,0)</f>
        <v>0</v>
      </c>
      <c r="D2980" s="29">
        <f>ROUND(Balances[[#This Row],[Total]]*20%,0)</f>
        <v>0</v>
      </c>
      <c r="E2980" s="29">
        <f>ROUND(Balances[[#This Row],[Total]]*40%,0)</f>
        <v>0</v>
      </c>
      <c r="F2980" s="18">
        <f>SUM(Acueducto[[#This Row],[Acueducto]:[Aseo]])</f>
        <v>0</v>
      </c>
    </row>
    <row r="2981" spans="1:6" ht="15" x14ac:dyDescent="0.2">
      <c r="A2981" s="7">
        <v>734103</v>
      </c>
      <c r="B2981" s="3" t="s">
        <v>568</v>
      </c>
      <c r="C2981" s="29">
        <f>ROUND(Balances[[#This Row],[Total]]*40%,0)</f>
        <v>0</v>
      </c>
      <c r="D2981" s="29">
        <f>ROUND(Balances[[#This Row],[Total]]*20%,0)</f>
        <v>0</v>
      </c>
      <c r="E2981" s="29">
        <f>ROUND(Balances[[#This Row],[Total]]*40%,0)</f>
        <v>0</v>
      </c>
      <c r="F2981" s="18">
        <f>SUM(Acueducto[[#This Row],[Acueducto]:[Aseo]])</f>
        <v>0</v>
      </c>
    </row>
    <row r="2982" spans="1:6" ht="15" x14ac:dyDescent="0.2">
      <c r="A2982" s="7">
        <v>734104</v>
      </c>
      <c r="B2982" s="3" t="s">
        <v>1438</v>
      </c>
      <c r="C2982" s="29">
        <f>ROUND(Balances[[#This Row],[Total]]*40%,0)</f>
        <v>0</v>
      </c>
      <c r="D2982" s="29">
        <f>ROUND(Balances[[#This Row],[Total]]*20%,0)</f>
        <v>0</v>
      </c>
      <c r="E2982" s="29">
        <f>ROUND(Balances[[#This Row],[Total]]*40%,0)</f>
        <v>0</v>
      </c>
      <c r="F2982" s="18">
        <f>SUM(Acueducto[[#This Row],[Acueducto]:[Aseo]])</f>
        <v>0</v>
      </c>
    </row>
    <row r="2983" spans="1:6" ht="15" x14ac:dyDescent="0.2">
      <c r="A2983" s="7">
        <v>734105</v>
      </c>
      <c r="B2983" s="3" t="s">
        <v>569</v>
      </c>
      <c r="C2983" s="29">
        <f>ROUND(Balances[[#This Row],[Total]]*40%,0)</f>
        <v>0</v>
      </c>
      <c r="D2983" s="29">
        <f>ROUND(Balances[[#This Row],[Total]]*20%,0)</f>
        <v>0</v>
      </c>
      <c r="E2983" s="29">
        <f>ROUND(Balances[[#This Row],[Total]]*40%,0)</f>
        <v>0</v>
      </c>
      <c r="F2983" s="18">
        <f>SUM(Acueducto[[#This Row],[Acueducto]:[Aseo]])</f>
        <v>0</v>
      </c>
    </row>
    <row r="2984" spans="1:6" ht="15" x14ac:dyDescent="0.2">
      <c r="A2984" s="7">
        <v>734106</v>
      </c>
      <c r="B2984" s="3" t="s">
        <v>1439</v>
      </c>
      <c r="C2984" s="29">
        <f>ROUND(Balances[[#This Row],[Total]]*40%,0)</f>
        <v>0</v>
      </c>
      <c r="D2984" s="29">
        <f>ROUND(Balances[[#This Row],[Total]]*20%,0)</f>
        <v>0</v>
      </c>
      <c r="E2984" s="29">
        <f>ROUND(Balances[[#This Row],[Total]]*40%,0)</f>
        <v>0</v>
      </c>
      <c r="F2984" s="18">
        <f>SUM(Acueducto[[#This Row],[Acueducto]:[Aseo]])</f>
        <v>0</v>
      </c>
    </row>
    <row r="2985" spans="1:6" ht="15" x14ac:dyDescent="0.2">
      <c r="A2985" s="7">
        <v>734107</v>
      </c>
      <c r="B2985" s="3" t="s">
        <v>1440</v>
      </c>
      <c r="C2985" s="29">
        <f>ROUND(Balances[[#This Row],[Total]]*40%,0)</f>
        <v>0</v>
      </c>
      <c r="D2985" s="29">
        <f>ROUND(Balances[[#This Row],[Total]]*20%,0)</f>
        <v>0</v>
      </c>
      <c r="E2985" s="29">
        <f>ROUND(Balances[[#This Row],[Total]]*40%,0)</f>
        <v>0</v>
      </c>
      <c r="F2985" s="18">
        <f>SUM(Acueducto[[#This Row],[Acueducto]:[Aseo]])</f>
        <v>0</v>
      </c>
    </row>
    <row r="2986" spans="1:6" ht="15" x14ac:dyDescent="0.2">
      <c r="A2986" s="7">
        <v>734108</v>
      </c>
      <c r="B2986" s="3" t="s">
        <v>1441</v>
      </c>
      <c r="C2986" s="29">
        <f>ROUND(Balances[[#This Row],[Total]]*40%,0)</f>
        <v>0</v>
      </c>
      <c r="D2986" s="29">
        <f>ROUND(Balances[[#This Row],[Total]]*20%,0)</f>
        <v>0</v>
      </c>
      <c r="E2986" s="29">
        <f>ROUND(Balances[[#This Row],[Total]]*40%,0)</f>
        <v>0</v>
      </c>
      <c r="F2986" s="18">
        <f>SUM(Acueducto[[#This Row],[Acueducto]:[Aseo]])</f>
        <v>0</v>
      </c>
    </row>
    <row r="2987" spans="1:6" ht="15" x14ac:dyDescent="0.2">
      <c r="A2987" s="7">
        <v>734109</v>
      </c>
      <c r="B2987" s="3" t="s">
        <v>1442</v>
      </c>
      <c r="C2987" s="29">
        <f>ROUND(Balances[[#This Row],[Total]]*40%,0)</f>
        <v>0</v>
      </c>
      <c r="D2987" s="29">
        <f>ROUND(Balances[[#This Row],[Total]]*20%,0)</f>
        <v>0</v>
      </c>
      <c r="E2987" s="29">
        <f>ROUND(Balances[[#This Row],[Total]]*40%,0)</f>
        <v>0</v>
      </c>
      <c r="F2987" s="18">
        <f>SUM(Acueducto[[#This Row],[Acueducto]:[Aseo]])</f>
        <v>0</v>
      </c>
    </row>
    <row r="2988" spans="1:6" ht="15" x14ac:dyDescent="0.2">
      <c r="A2988" s="7">
        <v>734110</v>
      </c>
      <c r="B2988" s="3" t="s">
        <v>1443</v>
      </c>
      <c r="C2988" s="29">
        <f>ROUND(Balances[[#This Row],[Total]]*40%,0)</f>
        <v>0</v>
      </c>
      <c r="D2988" s="29">
        <f>ROUND(Balances[[#This Row],[Total]]*20%,0)</f>
        <v>0</v>
      </c>
      <c r="E2988" s="29">
        <f>ROUND(Balances[[#This Row],[Total]]*40%,0)</f>
        <v>0</v>
      </c>
      <c r="F2988" s="18">
        <f>SUM(Acueducto[[#This Row],[Acueducto]:[Aseo]])</f>
        <v>0</v>
      </c>
    </row>
    <row r="2989" spans="1:6" ht="15" x14ac:dyDescent="0.2">
      <c r="A2989" s="7">
        <v>734195</v>
      </c>
      <c r="B2989" s="3" t="s">
        <v>1444</v>
      </c>
      <c r="C2989" s="29">
        <f>ROUND(Balances[[#This Row],[Total]]*40%,0)</f>
        <v>0</v>
      </c>
      <c r="D2989" s="29">
        <f>ROUND(Balances[[#This Row],[Total]]*20%,0)</f>
        <v>0</v>
      </c>
      <c r="E2989" s="29">
        <f>ROUND(Balances[[#This Row],[Total]]*40%,0)</f>
        <v>0</v>
      </c>
      <c r="F2989" s="18">
        <f>SUM(Acueducto[[#This Row],[Acueducto]:[Aseo]])</f>
        <v>0</v>
      </c>
    </row>
    <row r="2990" spans="1:6" ht="15" x14ac:dyDescent="0.2">
      <c r="A2990" s="6">
        <v>7342</v>
      </c>
      <c r="B2990" s="2" t="s">
        <v>1474</v>
      </c>
      <c r="C2990" s="28">
        <f>ROUND(Balances[[#This Row],[Total]]*40%,0)</f>
        <v>0</v>
      </c>
      <c r="D2990" s="28">
        <f>ROUND(Balances[[#This Row],[Total]]*20%,0)</f>
        <v>0</v>
      </c>
      <c r="E2990" s="28">
        <f>ROUND(Balances[[#This Row],[Total]]*40%,0)</f>
        <v>0</v>
      </c>
      <c r="F2990" s="17">
        <f>SUM(Acueducto[[#This Row],[Acueducto]:[Aseo]])</f>
        <v>0</v>
      </c>
    </row>
    <row r="2991" spans="1:6" ht="15" x14ac:dyDescent="0.2">
      <c r="A2991" s="7">
        <v>734201</v>
      </c>
      <c r="B2991" s="3" t="s">
        <v>1436</v>
      </c>
      <c r="C2991" s="29">
        <f>ROUND(Balances[[#This Row],[Total]]*40%,0)</f>
        <v>0</v>
      </c>
      <c r="D2991" s="29">
        <f>ROUND(Balances[[#This Row],[Total]]*20%,0)</f>
        <v>0</v>
      </c>
      <c r="E2991" s="29">
        <f>ROUND(Balances[[#This Row],[Total]]*40%,0)</f>
        <v>0</v>
      </c>
      <c r="F2991" s="18">
        <f>SUM(Acueducto[[#This Row],[Acueducto]:[Aseo]])</f>
        <v>0</v>
      </c>
    </row>
    <row r="2992" spans="1:6" ht="15" x14ac:dyDescent="0.2">
      <c r="A2992" s="7">
        <v>734202</v>
      </c>
      <c r="B2992" s="3" t="s">
        <v>1437</v>
      </c>
      <c r="C2992" s="29">
        <f>ROUND(Balances[[#This Row],[Total]]*40%,0)</f>
        <v>0</v>
      </c>
      <c r="D2992" s="29">
        <f>ROUND(Balances[[#This Row],[Total]]*20%,0)</f>
        <v>0</v>
      </c>
      <c r="E2992" s="29">
        <f>ROUND(Balances[[#This Row],[Total]]*40%,0)</f>
        <v>0</v>
      </c>
      <c r="F2992" s="18">
        <f>SUM(Acueducto[[#This Row],[Acueducto]:[Aseo]])</f>
        <v>0</v>
      </c>
    </row>
    <row r="2993" spans="1:6" ht="15" x14ac:dyDescent="0.2">
      <c r="A2993" s="7">
        <v>734203</v>
      </c>
      <c r="B2993" s="3" t="s">
        <v>568</v>
      </c>
      <c r="C2993" s="29">
        <f>ROUND(Balances[[#This Row],[Total]]*40%,0)</f>
        <v>0</v>
      </c>
      <c r="D2993" s="29">
        <f>ROUND(Balances[[#This Row],[Total]]*20%,0)</f>
        <v>0</v>
      </c>
      <c r="E2993" s="29">
        <f>ROUND(Balances[[#This Row],[Total]]*40%,0)</f>
        <v>0</v>
      </c>
      <c r="F2993" s="18">
        <f>SUM(Acueducto[[#This Row],[Acueducto]:[Aseo]])</f>
        <v>0</v>
      </c>
    </row>
    <row r="2994" spans="1:6" ht="15" x14ac:dyDescent="0.2">
      <c r="A2994" s="7">
        <v>734204</v>
      </c>
      <c r="B2994" s="3" t="s">
        <v>1438</v>
      </c>
      <c r="C2994" s="29">
        <f>ROUND(Balances[[#This Row],[Total]]*40%,0)</f>
        <v>0</v>
      </c>
      <c r="D2994" s="29">
        <f>ROUND(Balances[[#This Row],[Total]]*20%,0)</f>
        <v>0</v>
      </c>
      <c r="E2994" s="29">
        <f>ROUND(Balances[[#This Row],[Total]]*40%,0)</f>
        <v>0</v>
      </c>
      <c r="F2994" s="18">
        <f>SUM(Acueducto[[#This Row],[Acueducto]:[Aseo]])</f>
        <v>0</v>
      </c>
    </row>
    <row r="2995" spans="1:6" ht="15" x14ac:dyDescent="0.2">
      <c r="A2995" s="7">
        <v>734205</v>
      </c>
      <c r="B2995" s="3" t="s">
        <v>569</v>
      </c>
      <c r="C2995" s="29">
        <f>ROUND(Balances[[#This Row],[Total]]*40%,0)</f>
        <v>0</v>
      </c>
      <c r="D2995" s="29">
        <f>ROUND(Balances[[#This Row],[Total]]*20%,0)</f>
        <v>0</v>
      </c>
      <c r="E2995" s="29">
        <f>ROUND(Balances[[#This Row],[Total]]*40%,0)</f>
        <v>0</v>
      </c>
      <c r="F2995" s="18">
        <f>SUM(Acueducto[[#This Row],[Acueducto]:[Aseo]])</f>
        <v>0</v>
      </c>
    </row>
    <row r="2996" spans="1:6" ht="15" x14ac:dyDescent="0.2">
      <c r="A2996" s="7">
        <v>734206</v>
      </c>
      <c r="B2996" s="3" t="s">
        <v>1439</v>
      </c>
      <c r="C2996" s="29">
        <f>ROUND(Balances[[#This Row],[Total]]*40%,0)</f>
        <v>0</v>
      </c>
      <c r="D2996" s="29">
        <f>ROUND(Balances[[#This Row],[Total]]*20%,0)</f>
        <v>0</v>
      </c>
      <c r="E2996" s="29">
        <f>ROUND(Balances[[#This Row],[Total]]*40%,0)</f>
        <v>0</v>
      </c>
      <c r="F2996" s="18">
        <f>SUM(Acueducto[[#This Row],[Acueducto]:[Aseo]])</f>
        <v>0</v>
      </c>
    </row>
    <row r="2997" spans="1:6" ht="15" x14ac:dyDescent="0.2">
      <c r="A2997" s="7">
        <v>734207</v>
      </c>
      <c r="B2997" s="3" t="s">
        <v>1440</v>
      </c>
      <c r="C2997" s="29">
        <f>ROUND(Balances[[#This Row],[Total]]*40%,0)</f>
        <v>0</v>
      </c>
      <c r="D2997" s="29">
        <f>ROUND(Balances[[#This Row],[Total]]*20%,0)</f>
        <v>0</v>
      </c>
      <c r="E2997" s="29">
        <f>ROUND(Balances[[#This Row],[Total]]*40%,0)</f>
        <v>0</v>
      </c>
      <c r="F2997" s="18">
        <f>SUM(Acueducto[[#This Row],[Acueducto]:[Aseo]])</f>
        <v>0</v>
      </c>
    </row>
    <row r="2998" spans="1:6" ht="15" x14ac:dyDescent="0.2">
      <c r="A2998" s="7">
        <v>734208</v>
      </c>
      <c r="B2998" s="3" t="s">
        <v>1441</v>
      </c>
      <c r="C2998" s="29">
        <f>ROUND(Balances[[#This Row],[Total]]*40%,0)</f>
        <v>0</v>
      </c>
      <c r="D2998" s="29">
        <f>ROUND(Balances[[#This Row],[Total]]*20%,0)</f>
        <v>0</v>
      </c>
      <c r="E2998" s="29">
        <f>ROUND(Balances[[#This Row],[Total]]*40%,0)</f>
        <v>0</v>
      </c>
      <c r="F2998" s="18">
        <f>SUM(Acueducto[[#This Row],[Acueducto]:[Aseo]])</f>
        <v>0</v>
      </c>
    </row>
    <row r="2999" spans="1:6" ht="15" x14ac:dyDescent="0.2">
      <c r="A2999" s="7">
        <v>734209</v>
      </c>
      <c r="B2999" s="3" t="s">
        <v>1442</v>
      </c>
      <c r="C2999" s="29">
        <f>ROUND(Balances[[#This Row],[Total]]*40%,0)</f>
        <v>0</v>
      </c>
      <c r="D2999" s="29">
        <f>ROUND(Balances[[#This Row],[Total]]*20%,0)</f>
        <v>0</v>
      </c>
      <c r="E2999" s="29">
        <f>ROUND(Balances[[#This Row],[Total]]*40%,0)</f>
        <v>0</v>
      </c>
      <c r="F2999" s="18">
        <f>SUM(Acueducto[[#This Row],[Acueducto]:[Aseo]])</f>
        <v>0</v>
      </c>
    </row>
    <row r="3000" spans="1:6" ht="15" x14ac:dyDescent="0.2">
      <c r="A3000" s="7">
        <v>734210</v>
      </c>
      <c r="B3000" s="3" t="s">
        <v>1443</v>
      </c>
      <c r="C3000" s="29">
        <f>ROUND(Balances[[#This Row],[Total]]*40%,0)</f>
        <v>0</v>
      </c>
      <c r="D3000" s="29">
        <f>ROUND(Balances[[#This Row],[Total]]*20%,0)</f>
        <v>0</v>
      </c>
      <c r="E3000" s="29">
        <f>ROUND(Balances[[#This Row],[Total]]*40%,0)</f>
        <v>0</v>
      </c>
      <c r="F3000" s="18">
        <f>SUM(Acueducto[[#This Row],[Acueducto]:[Aseo]])</f>
        <v>0</v>
      </c>
    </row>
    <row r="3001" spans="1:6" ht="15" x14ac:dyDescent="0.2">
      <c r="A3001" s="7">
        <v>734295</v>
      </c>
      <c r="B3001" s="3" t="s">
        <v>1444</v>
      </c>
      <c r="C3001" s="29">
        <f>ROUND(Balances[[#This Row],[Total]]*40%,0)</f>
        <v>0</v>
      </c>
      <c r="D3001" s="29">
        <f>ROUND(Balances[[#This Row],[Total]]*20%,0)</f>
        <v>0</v>
      </c>
      <c r="E3001" s="29">
        <f>ROUND(Balances[[#This Row],[Total]]*40%,0)</f>
        <v>0</v>
      </c>
      <c r="F3001" s="18">
        <f>SUM(Acueducto[[#This Row],[Acueducto]:[Aseo]])</f>
        <v>0</v>
      </c>
    </row>
    <row r="3002" spans="1:6" ht="15" x14ac:dyDescent="0.2">
      <c r="A3002" s="6">
        <v>7343</v>
      </c>
      <c r="B3002" s="2" t="s">
        <v>1475</v>
      </c>
      <c r="C3002" s="28">
        <f>ROUND(Balances[[#This Row],[Total]]*40%,0)</f>
        <v>0</v>
      </c>
      <c r="D3002" s="28">
        <f>ROUND(Balances[[#This Row],[Total]]*20%,0)</f>
        <v>0</v>
      </c>
      <c r="E3002" s="28">
        <f>ROUND(Balances[[#This Row],[Total]]*40%,0)</f>
        <v>0</v>
      </c>
      <c r="F3002" s="17">
        <f>SUM(Acueducto[[#This Row],[Acueducto]:[Aseo]])</f>
        <v>0</v>
      </c>
    </row>
    <row r="3003" spans="1:6" ht="15" x14ac:dyDescent="0.2">
      <c r="A3003" s="7">
        <v>734301</v>
      </c>
      <c r="B3003" s="3" t="s">
        <v>1436</v>
      </c>
      <c r="C3003" s="29">
        <f>ROUND(Balances[[#This Row],[Total]]*40%,0)</f>
        <v>0</v>
      </c>
      <c r="D3003" s="29">
        <f>ROUND(Balances[[#This Row],[Total]]*20%,0)</f>
        <v>0</v>
      </c>
      <c r="E3003" s="29">
        <f>ROUND(Balances[[#This Row],[Total]]*40%,0)</f>
        <v>0</v>
      </c>
      <c r="F3003" s="18">
        <f>SUM(Acueducto[[#This Row],[Acueducto]:[Aseo]])</f>
        <v>0</v>
      </c>
    </row>
    <row r="3004" spans="1:6" ht="15" x14ac:dyDescent="0.2">
      <c r="A3004" s="7">
        <v>734302</v>
      </c>
      <c r="B3004" s="3" t="s">
        <v>1437</v>
      </c>
      <c r="C3004" s="29">
        <f>ROUND(Balances[[#This Row],[Total]]*40%,0)</f>
        <v>0</v>
      </c>
      <c r="D3004" s="29">
        <f>ROUND(Balances[[#This Row],[Total]]*20%,0)</f>
        <v>0</v>
      </c>
      <c r="E3004" s="29">
        <f>ROUND(Balances[[#This Row],[Total]]*40%,0)</f>
        <v>0</v>
      </c>
      <c r="F3004" s="18">
        <f>SUM(Acueducto[[#This Row],[Acueducto]:[Aseo]])</f>
        <v>0</v>
      </c>
    </row>
    <row r="3005" spans="1:6" ht="15" x14ac:dyDescent="0.2">
      <c r="A3005" s="7">
        <v>734303</v>
      </c>
      <c r="B3005" s="3" t="s">
        <v>568</v>
      </c>
      <c r="C3005" s="29">
        <f>ROUND(Balances[[#This Row],[Total]]*40%,0)</f>
        <v>0</v>
      </c>
      <c r="D3005" s="29">
        <f>ROUND(Balances[[#This Row],[Total]]*20%,0)</f>
        <v>0</v>
      </c>
      <c r="E3005" s="29">
        <f>ROUND(Balances[[#This Row],[Total]]*40%,0)</f>
        <v>0</v>
      </c>
      <c r="F3005" s="18">
        <f>SUM(Acueducto[[#This Row],[Acueducto]:[Aseo]])</f>
        <v>0</v>
      </c>
    </row>
    <row r="3006" spans="1:6" ht="15" x14ac:dyDescent="0.2">
      <c r="A3006" s="7">
        <v>734304</v>
      </c>
      <c r="B3006" s="3" t="s">
        <v>1438</v>
      </c>
      <c r="C3006" s="29">
        <f>ROUND(Balances[[#This Row],[Total]]*40%,0)</f>
        <v>0</v>
      </c>
      <c r="D3006" s="29">
        <f>ROUND(Balances[[#This Row],[Total]]*20%,0)</f>
        <v>0</v>
      </c>
      <c r="E3006" s="29">
        <f>ROUND(Balances[[#This Row],[Total]]*40%,0)</f>
        <v>0</v>
      </c>
      <c r="F3006" s="18">
        <f>SUM(Acueducto[[#This Row],[Acueducto]:[Aseo]])</f>
        <v>0</v>
      </c>
    </row>
    <row r="3007" spans="1:6" ht="15" x14ac:dyDescent="0.2">
      <c r="A3007" s="7">
        <v>734305</v>
      </c>
      <c r="B3007" s="3" t="s">
        <v>569</v>
      </c>
      <c r="C3007" s="29">
        <f>ROUND(Balances[[#This Row],[Total]]*40%,0)</f>
        <v>0</v>
      </c>
      <c r="D3007" s="29">
        <f>ROUND(Balances[[#This Row],[Total]]*20%,0)</f>
        <v>0</v>
      </c>
      <c r="E3007" s="29">
        <f>ROUND(Balances[[#This Row],[Total]]*40%,0)</f>
        <v>0</v>
      </c>
      <c r="F3007" s="18">
        <f>SUM(Acueducto[[#This Row],[Acueducto]:[Aseo]])</f>
        <v>0</v>
      </c>
    </row>
    <row r="3008" spans="1:6" ht="15" x14ac:dyDescent="0.2">
      <c r="A3008" s="7">
        <v>734306</v>
      </c>
      <c r="B3008" s="3" t="s">
        <v>1439</v>
      </c>
      <c r="C3008" s="29">
        <f>ROUND(Balances[[#This Row],[Total]]*40%,0)</f>
        <v>0</v>
      </c>
      <c r="D3008" s="29">
        <f>ROUND(Balances[[#This Row],[Total]]*20%,0)</f>
        <v>0</v>
      </c>
      <c r="E3008" s="29">
        <f>ROUND(Balances[[#This Row],[Total]]*40%,0)</f>
        <v>0</v>
      </c>
      <c r="F3008" s="18">
        <f>SUM(Acueducto[[#This Row],[Acueducto]:[Aseo]])</f>
        <v>0</v>
      </c>
    </row>
    <row r="3009" spans="1:6" ht="15" x14ac:dyDescent="0.2">
      <c r="A3009" s="7">
        <v>734307</v>
      </c>
      <c r="B3009" s="3" t="s">
        <v>1440</v>
      </c>
      <c r="C3009" s="29">
        <f>ROUND(Balances[[#This Row],[Total]]*40%,0)</f>
        <v>0</v>
      </c>
      <c r="D3009" s="29">
        <f>ROUND(Balances[[#This Row],[Total]]*20%,0)</f>
        <v>0</v>
      </c>
      <c r="E3009" s="29">
        <f>ROUND(Balances[[#This Row],[Total]]*40%,0)</f>
        <v>0</v>
      </c>
      <c r="F3009" s="18">
        <f>SUM(Acueducto[[#This Row],[Acueducto]:[Aseo]])</f>
        <v>0</v>
      </c>
    </row>
    <row r="3010" spans="1:6" ht="15" x14ac:dyDescent="0.2">
      <c r="A3010" s="7">
        <v>734308</v>
      </c>
      <c r="B3010" s="3" t="s">
        <v>1441</v>
      </c>
      <c r="C3010" s="29">
        <f>ROUND(Balances[[#This Row],[Total]]*40%,0)</f>
        <v>0</v>
      </c>
      <c r="D3010" s="29">
        <f>ROUND(Balances[[#This Row],[Total]]*20%,0)</f>
        <v>0</v>
      </c>
      <c r="E3010" s="29">
        <f>ROUND(Balances[[#This Row],[Total]]*40%,0)</f>
        <v>0</v>
      </c>
      <c r="F3010" s="18">
        <f>SUM(Acueducto[[#This Row],[Acueducto]:[Aseo]])</f>
        <v>0</v>
      </c>
    </row>
    <row r="3011" spans="1:6" ht="15" x14ac:dyDescent="0.2">
      <c r="A3011" s="7">
        <v>734309</v>
      </c>
      <c r="B3011" s="3" t="s">
        <v>1442</v>
      </c>
      <c r="C3011" s="29">
        <f>ROUND(Balances[[#This Row],[Total]]*40%,0)</f>
        <v>0</v>
      </c>
      <c r="D3011" s="29">
        <f>ROUND(Balances[[#This Row],[Total]]*20%,0)</f>
        <v>0</v>
      </c>
      <c r="E3011" s="29">
        <f>ROUND(Balances[[#This Row],[Total]]*40%,0)</f>
        <v>0</v>
      </c>
      <c r="F3011" s="18">
        <f>SUM(Acueducto[[#This Row],[Acueducto]:[Aseo]])</f>
        <v>0</v>
      </c>
    </row>
    <row r="3012" spans="1:6" ht="15" x14ac:dyDescent="0.2">
      <c r="A3012" s="7">
        <v>734310</v>
      </c>
      <c r="B3012" s="3" t="s">
        <v>1443</v>
      </c>
      <c r="C3012" s="29">
        <f>ROUND(Balances[[#This Row],[Total]]*40%,0)</f>
        <v>0</v>
      </c>
      <c r="D3012" s="29">
        <f>ROUND(Balances[[#This Row],[Total]]*20%,0)</f>
        <v>0</v>
      </c>
      <c r="E3012" s="29">
        <f>ROUND(Balances[[#This Row],[Total]]*40%,0)</f>
        <v>0</v>
      </c>
      <c r="F3012" s="18">
        <f>SUM(Acueducto[[#This Row],[Acueducto]:[Aseo]])</f>
        <v>0</v>
      </c>
    </row>
    <row r="3013" spans="1:6" ht="15" x14ac:dyDescent="0.2">
      <c r="A3013" s="7">
        <v>734395</v>
      </c>
      <c r="B3013" s="3" t="s">
        <v>1444</v>
      </c>
      <c r="C3013" s="29">
        <f>ROUND(Balances[[#This Row],[Total]]*40%,0)</f>
        <v>0</v>
      </c>
      <c r="D3013" s="29">
        <f>ROUND(Balances[[#This Row],[Total]]*20%,0)</f>
        <v>0</v>
      </c>
      <c r="E3013" s="29">
        <f>ROUND(Balances[[#This Row],[Total]]*40%,0)</f>
        <v>0</v>
      </c>
      <c r="F3013" s="18">
        <f>SUM(Acueducto[[#This Row],[Acueducto]:[Aseo]])</f>
        <v>0</v>
      </c>
    </row>
    <row r="3014" spans="1:6" ht="15" x14ac:dyDescent="0.2">
      <c r="A3014" s="6">
        <v>7349</v>
      </c>
      <c r="B3014" s="2" t="s">
        <v>1476</v>
      </c>
      <c r="C3014" s="28">
        <f>ROUND(Balances[[#This Row],[Total]]*40%,0)</f>
        <v>0</v>
      </c>
      <c r="D3014" s="28">
        <f>ROUND(Balances[[#This Row],[Total]]*20%,0)</f>
        <v>0</v>
      </c>
      <c r="E3014" s="28">
        <f>ROUND(Balances[[#This Row],[Total]]*40%,0)</f>
        <v>0</v>
      </c>
      <c r="F3014" s="17">
        <f>SUM(Acueducto[[#This Row],[Acueducto]:[Aseo]])</f>
        <v>0</v>
      </c>
    </row>
    <row r="3015" spans="1:6" ht="15" x14ac:dyDescent="0.2">
      <c r="A3015" s="7">
        <v>734901</v>
      </c>
      <c r="B3015" s="3" t="s">
        <v>1436</v>
      </c>
      <c r="C3015" s="29">
        <f>ROUND(Balances[[#This Row],[Total]]*40%,0)</f>
        <v>0</v>
      </c>
      <c r="D3015" s="29">
        <f>ROUND(Balances[[#This Row],[Total]]*20%,0)</f>
        <v>0</v>
      </c>
      <c r="E3015" s="29">
        <f>ROUND(Balances[[#This Row],[Total]]*40%,0)</f>
        <v>0</v>
      </c>
      <c r="F3015" s="18">
        <f>SUM(Acueducto[[#This Row],[Acueducto]:[Aseo]])</f>
        <v>0</v>
      </c>
    </row>
    <row r="3016" spans="1:6" ht="15" x14ac:dyDescent="0.2">
      <c r="A3016" s="7">
        <v>734902</v>
      </c>
      <c r="B3016" s="3" t="s">
        <v>1437</v>
      </c>
      <c r="C3016" s="29">
        <f>ROUND(Balances[[#This Row],[Total]]*40%,0)</f>
        <v>0</v>
      </c>
      <c r="D3016" s="29">
        <f>ROUND(Balances[[#This Row],[Total]]*20%,0)</f>
        <v>0</v>
      </c>
      <c r="E3016" s="29">
        <f>ROUND(Balances[[#This Row],[Total]]*40%,0)</f>
        <v>0</v>
      </c>
      <c r="F3016" s="18">
        <f>SUM(Acueducto[[#This Row],[Acueducto]:[Aseo]])</f>
        <v>0</v>
      </c>
    </row>
    <row r="3017" spans="1:6" ht="15" x14ac:dyDescent="0.2">
      <c r="A3017" s="7">
        <v>734903</v>
      </c>
      <c r="B3017" s="3" t="s">
        <v>568</v>
      </c>
      <c r="C3017" s="29">
        <f>ROUND(Balances[[#This Row],[Total]]*40%,0)</f>
        <v>0</v>
      </c>
      <c r="D3017" s="29">
        <f>ROUND(Balances[[#This Row],[Total]]*20%,0)</f>
        <v>0</v>
      </c>
      <c r="E3017" s="29">
        <f>ROUND(Balances[[#This Row],[Total]]*40%,0)</f>
        <v>0</v>
      </c>
      <c r="F3017" s="18">
        <f>SUM(Acueducto[[#This Row],[Acueducto]:[Aseo]])</f>
        <v>0</v>
      </c>
    </row>
    <row r="3018" spans="1:6" ht="15" x14ac:dyDescent="0.2">
      <c r="A3018" s="7">
        <v>734904</v>
      </c>
      <c r="B3018" s="3" t="s">
        <v>1438</v>
      </c>
      <c r="C3018" s="29">
        <f>ROUND(Balances[[#This Row],[Total]]*40%,0)</f>
        <v>0</v>
      </c>
      <c r="D3018" s="29">
        <f>ROUND(Balances[[#This Row],[Total]]*20%,0)</f>
        <v>0</v>
      </c>
      <c r="E3018" s="29">
        <f>ROUND(Balances[[#This Row],[Total]]*40%,0)</f>
        <v>0</v>
      </c>
      <c r="F3018" s="18">
        <f>SUM(Acueducto[[#This Row],[Acueducto]:[Aseo]])</f>
        <v>0</v>
      </c>
    </row>
    <row r="3019" spans="1:6" ht="15" x14ac:dyDescent="0.2">
      <c r="A3019" s="7">
        <v>734905</v>
      </c>
      <c r="B3019" s="3" t="s">
        <v>569</v>
      </c>
      <c r="C3019" s="29">
        <f>ROUND(Balances[[#This Row],[Total]]*40%,0)</f>
        <v>0</v>
      </c>
      <c r="D3019" s="29">
        <f>ROUND(Balances[[#This Row],[Total]]*20%,0)</f>
        <v>0</v>
      </c>
      <c r="E3019" s="29">
        <f>ROUND(Balances[[#This Row],[Total]]*40%,0)</f>
        <v>0</v>
      </c>
      <c r="F3019" s="18">
        <f>SUM(Acueducto[[#This Row],[Acueducto]:[Aseo]])</f>
        <v>0</v>
      </c>
    </row>
    <row r="3020" spans="1:6" ht="15" x14ac:dyDescent="0.2">
      <c r="A3020" s="7">
        <v>734906</v>
      </c>
      <c r="B3020" s="3" t="s">
        <v>1439</v>
      </c>
      <c r="C3020" s="29">
        <f>ROUND(Balances[[#This Row],[Total]]*40%,0)</f>
        <v>0</v>
      </c>
      <c r="D3020" s="29">
        <f>ROUND(Balances[[#This Row],[Total]]*20%,0)</f>
        <v>0</v>
      </c>
      <c r="E3020" s="29">
        <f>ROUND(Balances[[#This Row],[Total]]*40%,0)</f>
        <v>0</v>
      </c>
      <c r="F3020" s="18">
        <f>SUM(Acueducto[[#This Row],[Acueducto]:[Aseo]])</f>
        <v>0</v>
      </c>
    </row>
    <row r="3021" spans="1:6" ht="15" x14ac:dyDescent="0.2">
      <c r="A3021" s="7">
        <v>734907</v>
      </c>
      <c r="B3021" s="3" t="s">
        <v>1440</v>
      </c>
      <c r="C3021" s="29">
        <f>ROUND(Balances[[#This Row],[Total]]*40%,0)</f>
        <v>0</v>
      </c>
      <c r="D3021" s="29">
        <f>ROUND(Balances[[#This Row],[Total]]*20%,0)</f>
        <v>0</v>
      </c>
      <c r="E3021" s="29">
        <f>ROUND(Balances[[#This Row],[Total]]*40%,0)</f>
        <v>0</v>
      </c>
      <c r="F3021" s="18">
        <f>SUM(Acueducto[[#This Row],[Acueducto]:[Aseo]])</f>
        <v>0</v>
      </c>
    </row>
    <row r="3022" spans="1:6" ht="15" x14ac:dyDescent="0.2">
      <c r="A3022" s="7">
        <v>734908</v>
      </c>
      <c r="B3022" s="3" t="s">
        <v>1441</v>
      </c>
      <c r="C3022" s="29">
        <f>ROUND(Balances[[#This Row],[Total]]*40%,0)</f>
        <v>0</v>
      </c>
      <c r="D3022" s="29">
        <f>ROUND(Balances[[#This Row],[Total]]*20%,0)</f>
        <v>0</v>
      </c>
      <c r="E3022" s="29">
        <f>ROUND(Balances[[#This Row],[Total]]*40%,0)</f>
        <v>0</v>
      </c>
      <c r="F3022" s="18">
        <f>SUM(Acueducto[[#This Row],[Acueducto]:[Aseo]])</f>
        <v>0</v>
      </c>
    </row>
    <row r="3023" spans="1:6" ht="15" x14ac:dyDescent="0.2">
      <c r="A3023" s="7">
        <v>734909</v>
      </c>
      <c r="B3023" s="3" t="s">
        <v>1442</v>
      </c>
      <c r="C3023" s="29">
        <f>ROUND(Balances[[#This Row],[Total]]*40%,0)</f>
        <v>0</v>
      </c>
      <c r="D3023" s="29">
        <f>ROUND(Balances[[#This Row],[Total]]*20%,0)</f>
        <v>0</v>
      </c>
      <c r="E3023" s="29">
        <f>ROUND(Balances[[#This Row],[Total]]*40%,0)</f>
        <v>0</v>
      </c>
      <c r="F3023" s="18">
        <f>SUM(Acueducto[[#This Row],[Acueducto]:[Aseo]])</f>
        <v>0</v>
      </c>
    </row>
    <row r="3024" spans="1:6" ht="15" x14ac:dyDescent="0.2">
      <c r="A3024" s="7">
        <v>734910</v>
      </c>
      <c r="B3024" s="3" t="s">
        <v>1443</v>
      </c>
      <c r="C3024" s="29">
        <f>ROUND(Balances[[#This Row],[Total]]*40%,0)</f>
        <v>0</v>
      </c>
      <c r="D3024" s="29">
        <f>ROUND(Balances[[#This Row],[Total]]*20%,0)</f>
        <v>0</v>
      </c>
      <c r="E3024" s="29">
        <f>ROUND(Balances[[#This Row],[Total]]*40%,0)</f>
        <v>0</v>
      </c>
      <c r="F3024" s="18">
        <f>SUM(Acueducto[[#This Row],[Acueducto]:[Aseo]])</f>
        <v>0</v>
      </c>
    </row>
    <row r="3025" spans="1:6" ht="15" x14ac:dyDescent="0.2">
      <c r="A3025" s="7">
        <v>734995</v>
      </c>
      <c r="B3025" s="3" t="s">
        <v>1444</v>
      </c>
      <c r="C3025" s="29">
        <f>ROUND(Balances[[#This Row],[Total]]*40%,0)</f>
        <v>0</v>
      </c>
      <c r="D3025" s="29">
        <f>ROUND(Balances[[#This Row],[Total]]*20%,0)</f>
        <v>0</v>
      </c>
      <c r="E3025" s="29">
        <f>ROUND(Balances[[#This Row],[Total]]*40%,0)</f>
        <v>0</v>
      </c>
      <c r="F3025" s="18">
        <f>SUM(Acueducto[[#This Row],[Acueducto]:[Aseo]])</f>
        <v>0</v>
      </c>
    </row>
    <row r="3026" spans="1:6" ht="15" x14ac:dyDescent="0.2">
      <c r="A3026" s="6">
        <v>7350</v>
      </c>
      <c r="B3026" s="2" t="s">
        <v>1477</v>
      </c>
      <c r="C3026" s="28">
        <f>ROUND(Balances[[#This Row],[Total]]*40%,0)</f>
        <v>0</v>
      </c>
      <c r="D3026" s="28">
        <f>ROUND(Balances[[#This Row],[Total]]*20%,0)</f>
        <v>0</v>
      </c>
      <c r="E3026" s="28">
        <f>ROUND(Balances[[#This Row],[Total]]*40%,0)</f>
        <v>0</v>
      </c>
      <c r="F3026" s="17">
        <f>SUM(Acueducto[[#This Row],[Acueducto]:[Aseo]])</f>
        <v>0</v>
      </c>
    </row>
    <row r="3027" spans="1:6" ht="15" x14ac:dyDescent="0.2">
      <c r="A3027" s="7">
        <v>735001</v>
      </c>
      <c r="B3027" s="3" t="s">
        <v>1436</v>
      </c>
      <c r="C3027" s="29">
        <f>ROUND(Balances[[#This Row],[Total]]*40%,0)</f>
        <v>0</v>
      </c>
      <c r="D3027" s="29">
        <f>ROUND(Balances[[#This Row],[Total]]*20%,0)</f>
        <v>0</v>
      </c>
      <c r="E3027" s="29">
        <f>ROUND(Balances[[#This Row],[Total]]*40%,0)</f>
        <v>0</v>
      </c>
      <c r="F3027" s="18">
        <f>SUM(Acueducto[[#This Row],[Acueducto]:[Aseo]])</f>
        <v>0</v>
      </c>
    </row>
    <row r="3028" spans="1:6" ht="15" x14ac:dyDescent="0.2">
      <c r="A3028" s="7">
        <v>735002</v>
      </c>
      <c r="B3028" s="3" t="s">
        <v>1437</v>
      </c>
      <c r="C3028" s="29">
        <f>ROUND(Balances[[#This Row],[Total]]*40%,0)</f>
        <v>0</v>
      </c>
      <c r="D3028" s="29">
        <f>ROUND(Balances[[#This Row],[Total]]*20%,0)</f>
        <v>0</v>
      </c>
      <c r="E3028" s="29">
        <f>ROUND(Balances[[#This Row],[Total]]*40%,0)</f>
        <v>0</v>
      </c>
      <c r="F3028" s="18">
        <f>SUM(Acueducto[[#This Row],[Acueducto]:[Aseo]])</f>
        <v>0</v>
      </c>
    </row>
    <row r="3029" spans="1:6" ht="15" x14ac:dyDescent="0.2">
      <c r="A3029" s="7">
        <v>735003</v>
      </c>
      <c r="B3029" s="3" t="s">
        <v>568</v>
      </c>
      <c r="C3029" s="29">
        <f>ROUND(Balances[[#This Row],[Total]]*40%,0)</f>
        <v>0</v>
      </c>
      <c r="D3029" s="29">
        <f>ROUND(Balances[[#This Row],[Total]]*20%,0)</f>
        <v>0</v>
      </c>
      <c r="E3029" s="29">
        <f>ROUND(Balances[[#This Row],[Total]]*40%,0)</f>
        <v>0</v>
      </c>
      <c r="F3029" s="18">
        <f>SUM(Acueducto[[#This Row],[Acueducto]:[Aseo]])</f>
        <v>0</v>
      </c>
    </row>
    <row r="3030" spans="1:6" ht="15" x14ac:dyDescent="0.2">
      <c r="A3030" s="7">
        <v>735004</v>
      </c>
      <c r="B3030" s="3" t="s">
        <v>1438</v>
      </c>
      <c r="C3030" s="29">
        <f>ROUND(Balances[[#This Row],[Total]]*40%,0)</f>
        <v>0</v>
      </c>
      <c r="D3030" s="29">
        <f>ROUND(Balances[[#This Row],[Total]]*20%,0)</f>
        <v>0</v>
      </c>
      <c r="E3030" s="29">
        <f>ROUND(Balances[[#This Row],[Total]]*40%,0)</f>
        <v>0</v>
      </c>
      <c r="F3030" s="18">
        <f>SUM(Acueducto[[#This Row],[Acueducto]:[Aseo]])</f>
        <v>0</v>
      </c>
    </row>
    <row r="3031" spans="1:6" ht="15" x14ac:dyDescent="0.2">
      <c r="A3031" s="7">
        <v>735005</v>
      </c>
      <c r="B3031" s="3" t="s">
        <v>569</v>
      </c>
      <c r="C3031" s="29">
        <f>ROUND(Balances[[#This Row],[Total]]*40%,0)</f>
        <v>0</v>
      </c>
      <c r="D3031" s="29">
        <f>ROUND(Balances[[#This Row],[Total]]*20%,0)</f>
        <v>0</v>
      </c>
      <c r="E3031" s="29">
        <f>ROUND(Balances[[#This Row],[Total]]*40%,0)</f>
        <v>0</v>
      </c>
      <c r="F3031" s="18">
        <f>SUM(Acueducto[[#This Row],[Acueducto]:[Aseo]])</f>
        <v>0</v>
      </c>
    </row>
    <row r="3032" spans="1:6" ht="15" x14ac:dyDescent="0.2">
      <c r="A3032" s="7">
        <v>735006</v>
      </c>
      <c r="B3032" s="3" t="s">
        <v>1439</v>
      </c>
      <c r="C3032" s="29">
        <f>ROUND(Balances[[#This Row],[Total]]*40%,0)</f>
        <v>0</v>
      </c>
      <c r="D3032" s="29">
        <f>ROUND(Balances[[#This Row],[Total]]*20%,0)</f>
        <v>0</v>
      </c>
      <c r="E3032" s="29">
        <f>ROUND(Balances[[#This Row],[Total]]*40%,0)</f>
        <v>0</v>
      </c>
      <c r="F3032" s="18">
        <f>SUM(Acueducto[[#This Row],[Acueducto]:[Aseo]])</f>
        <v>0</v>
      </c>
    </row>
    <row r="3033" spans="1:6" ht="15" x14ac:dyDescent="0.2">
      <c r="A3033" s="7">
        <v>735007</v>
      </c>
      <c r="B3033" s="3" t="s">
        <v>1440</v>
      </c>
      <c r="C3033" s="29">
        <f>ROUND(Balances[[#This Row],[Total]]*40%,0)</f>
        <v>0</v>
      </c>
      <c r="D3033" s="29">
        <f>ROUND(Balances[[#This Row],[Total]]*20%,0)</f>
        <v>0</v>
      </c>
      <c r="E3033" s="29">
        <f>ROUND(Balances[[#This Row],[Total]]*40%,0)</f>
        <v>0</v>
      </c>
      <c r="F3033" s="18">
        <f>SUM(Acueducto[[#This Row],[Acueducto]:[Aseo]])</f>
        <v>0</v>
      </c>
    </row>
    <row r="3034" spans="1:6" ht="15" x14ac:dyDescent="0.2">
      <c r="A3034" s="7">
        <v>735008</v>
      </c>
      <c r="B3034" s="3" t="s">
        <v>1441</v>
      </c>
      <c r="C3034" s="29">
        <f>ROUND(Balances[[#This Row],[Total]]*40%,0)</f>
        <v>0</v>
      </c>
      <c r="D3034" s="29">
        <f>ROUND(Balances[[#This Row],[Total]]*20%,0)</f>
        <v>0</v>
      </c>
      <c r="E3034" s="29">
        <f>ROUND(Balances[[#This Row],[Total]]*40%,0)</f>
        <v>0</v>
      </c>
      <c r="F3034" s="18">
        <f>SUM(Acueducto[[#This Row],[Acueducto]:[Aseo]])</f>
        <v>0</v>
      </c>
    </row>
    <row r="3035" spans="1:6" ht="15" x14ac:dyDescent="0.2">
      <c r="A3035" s="7">
        <v>735009</v>
      </c>
      <c r="B3035" s="3" t="s">
        <v>1442</v>
      </c>
      <c r="C3035" s="29">
        <f>ROUND(Balances[[#This Row],[Total]]*40%,0)</f>
        <v>0</v>
      </c>
      <c r="D3035" s="29">
        <f>ROUND(Balances[[#This Row],[Total]]*20%,0)</f>
        <v>0</v>
      </c>
      <c r="E3035" s="29">
        <f>ROUND(Balances[[#This Row],[Total]]*40%,0)</f>
        <v>0</v>
      </c>
      <c r="F3035" s="18">
        <f>SUM(Acueducto[[#This Row],[Acueducto]:[Aseo]])</f>
        <v>0</v>
      </c>
    </row>
    <row r="3036" spans="1:6" ht="15" x14ac:dyDescent="0.2">
      <c r="A3036" s="7">
        <v>735010</v>
      </c>
      <c r="B3036" s="3" t="s">
        <v>1443</v>
      </c>
      <c r="C3036" s="29">
        <f>ROUND(Balances[[#This Row],[Total]]*40%,0)</f>
        <v>0</v>
      </c>
      <c r="D3036" s="29">
        <f>ROUND(Balances[[#This Row],[Total]]*20%,0)</f>
        <v>0</v>
      </c>
      <c r="E3036" s="29">
        <f>ROUND(Balances[[#This Row],[Total]]*40%,0)</f>
        <v>0</v>
      </c>
      <c r="F3036" s="18">
        <f>SUM(Acueducto[[#This Row],[Acueducto]:[Aseo]])</f>
        <v>0</v>
      </c>
    </row>
    <row r="3037" spans="1:6" ht="15" x14ac:dyDescent="0.2">
      <c r="A3037" s="7">
        <v>735095</v>
      </c>
      <c r="B3037" s="3" t="s">
        <v>1444</v>
      </c>
      <c r="C3037" s="29">
        <f>ROUND(Balances[[#This Row],[Total]]*40%,0)</f>
        <v>0</v>
      </c>
      <c r="D3037" s="29">
        <f>ROUND(Balances[[#This Row],[Total]]*20%,0)</f>
        <v>0</v>
      </c>
      <c r="E3037" s="29">
        <f>ROUND(Balances[[#This Row],[Total]]*40%,0)</f>
        <v>0</v>
      </c>
      <c r="F3037" s="18">
        <f>SUM(Acueducto[[#This Row],[Acueducto]:[Aseo]])</f>
        <v>0</v>
      </c>
    </row>
    <row r="3038" spans="1:6" ht="15" x14ac:dyDescent="0.2">
      <c r="A3038" s="6">
        <v>7351</v>
      </c>
      <c r="B3038" s="2" t="s">
        <v>1478</v>
      </c>
      <c r="C3038" s="28">
        <f>ROUND(Balances[[#This Row],[Total]]*40%,0)</f>
        <v>0</v>
      </c>
      <c r="D3038" s="28">
        <f>ROUND(Balances[[#This Row],[Total]]*20%,0)</f>
        <v>0</v>
      </c>
      <c r="E3038" s="28">
        <f>ROUND(Balances[[#This Row],[Total]]*40%,0)</f>
        <v>0</v>
      </c>
      <c r="F3038" s="17">
        <f>SUM(Acueducto[[#This Row],[Acueducto]:[Aseo]])</f>
        <v>0</v>
      </c>
    </row>
    <row r="3039" spans="1:6" ht="15" x14ac:dyDescent="0.2">
      <c r="A3039" s="7">
        <v>735101</v>
      </c>
      <c r="B3039" s="3" t="s">
        <v>1436</v>
      </c>
      <c r="C3039" s="29">
        <f>ROUND(Balances[[#This Row],[Total]]*40%,0)</f>
        <v>0</v>
      </c>
      <c r="D3039" s="29">
        <f>ROUND(Balances[[#This Row],[Total]]*20%,0)</f>
        <v>0</v>
      </c>
      <c r="E3039" s="29">
        <f>ROUND(Balances[[#This Row],[Total]]*40%,0)</f>
        <v>0</v>
      </c>
      <c r="F3039" s="18">
        <f>SUM(Acueducto[[#This Row],[Acueducto]:[Aseo]])</f>
        <v>0</v>
      </c>
    </row>
    <row r="3040" spans="1:6" ht="15" x14ac:dyDescent="0.2">
      <c r="A3040" s="7">
        <v>735102</v>
      </c>
      <c r="B3040" s="3" t="s">
        <v>1437</v>
      </c>
      <c r="C3040" s="29">
        <f>ROUND(Balances[[#This Row],[Total]]*40%,0)</f>
        <v>0</v>
      </c>
      <c r="D3040" s="29">
        <f>ROUND(Balances[[#This Row],[Total]]*20%,0)</f>
        <v>0</v>
      </c>
      <c r="E3040" s="29">
        <f>ROUND(Balances[[#This Row],[Total]]*40%,0)</f>
        <v>0</v>
      </c>
      <c r="F3040" s="18">
        <f>SUM(Acueducto[[#This Row],[Acueducto]:[Aseo]])</f>
        <v>0</v>
      </c>
    </row>
    <row r="3041" spans="1:6" ht="15" x14ac:dyDescent="0.2">
      <c r="A3041" s="7">
        <v>735103</v>
      </c>
      <c r="B3041" s="3" t="s">
        <v>568</v>
      </c>
      <c r="C3041" s="29">
        <f>ROUND(Balances[[#This Row],[Total]]*40%,0)</f>
        <v>0</v>
      </c>
      <c r="D3041" s="29">
        <f>ROUND(Balances[[#This Row],[Total]]*20%,0)</f>
        <v>0</v>
      </c>
      <c r="E3041" s="29">
        <f>ROUND(Balances[[#This Row],[Total]]*40%,0)</f>
        <v>0</v>
      </c>
      <c r="F3041" s="18">
        <f>SUM(Acueducto[[#This Row],[Acueducto]:[Aseo]])</f>
        <v>0</v>
      </c>
    </row>
    <row r="3042" spans="1:6" ht="15" x14ac:dyDescent="0.2">
      <c r="A3042" s="7">
        <v>735104</v>
      </c>
      <c r="B3042" s="3" t="s">
        <v>1438</v>
      </c>
      <c r="C3042" s="29">
        <f>ROUND(Balances[[#This Row],[Total]]*40%,0)</f>
        <v>0</v>
      </c>
      <c r="D3042" s="29">
        <f>ROUND(Balances[[#This Row],[Total]]*20%,0)</f>
        <v>0</v>
      </c>
      <c r="E3042" s="29">
        <f>ROUND(Balances[[#This Row],[Total]]*40%,0)</f>
        <v>0</v>
      </c>
      <c r="F3042" s="18">
        <f>SUM(Acueducto[[#This Row],[Acueducto]:[Aseo]])</f>
        <v>0</v>
      </c>
    </row>
    <row r="3043" spans="1:6" ht="15" x14ac:dyDescent="0.2">
      <c r="A3043" s="7">
        <v>735105</v>
      </c>
      <c r="B3043" s="3" t="s">
        <v>569</v>
      </c>
      <c r="C3043" s="29">
        <f>ROUND(Balances[[#This Row],[Total]]*40%,0)</f>
        <v>0</v>
      </c>
      <c r="D3043" s="29">
        <f>ROUND(Balances[[#This Row],[Total]]*20%,0)</f>
        <v>0</v>
      </c>
      <c r="E3043" s="29">
        <f>ROUND(Balances[[#This Row],[Total]]*40%,0)</f>
        <v>0</v>
      </c>
      <c r="F3043" s="18">
        <f>SUM(Acueducto[[#This Row],[Acueducto]:[Aseo]])</f>
        <v>0</v>
      </c>
    </row>
    <row r="3044" spans="1:6" ht="15" x14ac:dyDescent="0.2">
      <c r="A3044" s="7">
        <v>735106</v>
      </c>
      <c r="B3044" s="3" t="s">
        <v>1439</v>
      </c>
      <c r="C3044" s="29">
        <f>ROUND(Balances[[#This Row],[Total]]*40%,0)</f>
        <v>0</v>
      </c>
      <c r="D3044" s="29">
        <f>ROUND(Balances[[#This Row],[Total]]*20%,0)</f>
        <v>0</v>
      </c>
      <c r="E3044" s="29">
        <f>ROUND(Balances[[#This Row],[Total]]*40%,0)</f>
        <v>0</v>
      </c>
      <c r="F3044" s="18">
        <f>SUM(Acueducto[[#This Row],[Acueducto]:[Aseo]])</f>
        <v>0</v>
      </c>
    </row>
    <row r="3045" spans="1:6" ht="15" x14ac:dyDescent="0.2">
      <c r="A3045" s="7">
        <v>735107</v>
      </c>
      <c r="B3045" s="3" t="s">
        <v>1440</v>
      </c>
      <c r="C3045" s="29">
        <f>ROUND(Balances[[#This Row],[Total]]*40%,0)</f>
        <v>0</v>
      </c>
      <c r="D3045" s="29">
        <f>ROUND(Balances[[#This Row],[Total]]*20%,0)</f>
        <v>0</v>
      </c>
      <c r="E3045" s="29">
        <f>ROUND(Balances[[#This Row],[Total]]*40%,0)</f>
        <v>0</v>
      </c>
      <c r="F3045" s="18">
        <f>SUM(Acueducto[[#This Row],[Acueducto]:[Aseo]])</f>
        <v>0</v>
      </c>
    </row>
    <row r="3046" spans="1:6" ht="15" x14ac:dyDescent="0.2">
      <c r="A3046" s="7">
        <v>735108</v>
      </c>
      <c r="B3046" s="3" t="s">
        <v>1441</v>
      </c>
      <c r="C3046" s="29">
        <f>ROUND(Balances[[#This Row],[Total]]*40%,0)</f>
        <v>0</v>
      </c>
      <c r="D3046" s="29">
        <f>ROUND(Balances[[#This Row],[Total]]*20%,0)</f>
        <v>0</v>
      </c>
      <c r="E3046" s="29">
        <f>ROUND(Balances[[#This Row],[Total]]*40%,0)</f>
        <v>0</v>
      </c>
      <c r="F3046" s="18">
        <f>SUM(Acueducto[[#This Row],[Acueducto]:[Aseo]])</f>
        <v>0</v>
      </c>
    </row>
    <row r="3047" spans="1:6" ht="15" x14ac:dyDescent="0.2">
      <c r="A3047" s="7">
        <v>735109</v>
      </c>
      <c r="B3047" s="3" t="s">
        <v>1442</v>
      </c>
      <c r="C3047" s="29">
        <f>ROUND(Balances[[#This Row],[Total]]*40%,0)</f>
        <v>0</v>
      </c>
      <c r="D3047" s="29">
        <f>ROUND(Balances[[#This Row],[Total]]*20%,0)</f>
        <v>0</v>
      </c>
      <c r="E3047" s="29">
        <f>ROUND(Balances[[#This Row],[Total]]*40%,0)</f>
        <v>0</v>
      </c>
      <c r="F3047" s="18">
        <f>SUM(Acueducto[[#This Row],[Acueducto]:[Aseo]])</f>
        <v>0</v>
      </c>
    </row>
    <row r="3048" spans="1:6" ht="15" x14ac:dyDescent="0.2">
      <c r="A3048" s="7">
        <v>735110</v>
      </c>
      <c r="B3048" s="3" t="s">
        <v>1443</v>
      </c>
      <c r="C3048" s="29">
        <f>ROUND(Balances[[#This Row],[Total]]*40%,0)</f>
        <v>0</v>
      </c>
      <c r="D3048" s="29">
        <f>ROUND(Balances[[#This Row],[Total]]*20%,0)</f>
        <v>0</v>
      </c>
      <c r="E3048" s="29">
        <f>ROUND(Balances[[#This Row],[Total]]*40%,0)</f>
        <v>0</v>
      </c>
      <c r="F3048" s="18">
        <f>SUM(Acueducto[[#This Row],[Acueducto]:[Aseo]])</f>
        <v>0</v>
      </c>
    </row>
    <row r="3049" spans="1:6" ht="15" x14ac:dyDescent="0.2">
      <c r="A3049" s="7">
        <v>735195</v>
      </c>
      <c r="B3049" s="3" t="s">
        <v>1444</v>
      </c>
      <c r="C3049" s="29">
        <f>ROUND(Balances[[#This Row],[Total]]*40%,0)</f>
        <v>0</v>
      </c>
      <c r="D3049" s="29">
        <f>ROUND(Balances[[#This Row],[Total]]*20%,0)</f>
        <v>0</v>
      </c>
      <c r="E3049" s="29">
        <f>ROUND(Balances[[#This Row],[Total]]*40%,0)</f>
        <v>0</v>
      </c>
      <c r="F3049" s="18">
        <f>SUM(Acueducto[[#This Row],[Acueducto]:[Aseo]])</f>
        <v>0</v>
      </c>
    </row>
    <row r="3050" spans="1:6" ht="15" x14ac:dyDescent="0.2">
      <c r="A3050" s="6">
        <v>7352</v>
      </c>
      <c r="B3050" s="2" t="s">
        <v>1479</v>
      </c>
      <c r="C3050" s="28">
        <f>ROUND(Balances[[#This Row],[Total]]*40%,0)</f>
        <v>0</v>
      </c>
      <c r="D3050" s="28">
        <f>ROUND(Balances[[#This Row],[Total]]*20%,0)</f>
        <v>0</v>
      </c>
      <c r="E3050" s="28">
        <f>ROUND(Balances[[#This Row],[Total]]*40%,0)</f>
        <v>0</v>
      </c>
      <c r="F3050" s="17">
        <f>SUM(Acueducto[[#This Row],[Acueducto]:[Aseo]])</f>
        <v>0</v>
      </c>
    </row>
    <row r="3051" spans="1:6" ht="15" x14ac:dyDescent="0.2">
      <c r="A3051" s="7">
        <v>735201</v>
      </c>
      <c r="B3051" s="3" t="s">
        <v>1436</v>
      </c>
      <c r="C3051" s="29">
        <f>ROUND(Balances[[#This Row],[Total]]*40%,0)</f>
        <v>0</v>
      </c>
      <c r="D3051" s="29">
        <f>ROUND(Balances[[#This Row],[Total]]*20%,0)</f>
        <v>0</v>
      </c>
      <c r="E3051" s="29">
        <f>ROUND(Balances[[#This Row],[Total]]*40%,0)</f>
        <v>0</v>
      </c>
      <c r="F3051" s="18">
        <f>SUM(Acueducto[[#This Row],[Acueducto]:[Aseo]])</f>
        <v>0</v>
      </c>
    </row>
    <row r="3052" spans="1:6" ht="15" x14ac:dyDescent="0.2">
      <c r="A3052" s="7">
        <v>735202</v>
      </c>
      <c r="B3052" s="3" t="s">
        <v>1437</v>
      </c>
      <c r="C3052" s="29">
        <f>ROUND(Balances[[#This Row],[Total]]*40%,0)</f>
        <v>0</v>
      </c>
      <c r="D3052" s="29">
        <f>ROUND(Balances[[#This Row],[Total]]*20%,0)</f>
        <v>0</v>
      </c>
      <c r="E3052" s="29">
        <f>ROUND(Balances[[#This Row],[Total]]*40%,0)</f>
        <v>0</v>
      </c>
      <c r="F3052" s="18">
        <f>SUM(Acueducto[[#This Row],[Acueducto]:[Aseo]])</f>
        <v>0</v>
      </c>
    </row>
    <row r="3053" spans="1:6" ht="15" x14ac:dyDescent="0.2">
      <c r="A3053" s="7">
        <v>735203</v>
      </c>
      <c r="B3053" s="3" t="s">
        <v>568</v>
      </c>
      <c r="C3053" s="29">
        <f>ROUND(Balances[[#This Row],[Total]]*40%,0)</f>
        <v>0</v>
      </c>
      <c r="D3053" s="29">
        <f>ROUND(Balances[[#This Row],[Total]]*20%,0)</f>
        <v>0</v>
      </c>
      <c r="E3053" s="29">
        <f>ROUND(Balances[[#This Row],[Total]]*40%,0)</f>
        <v>0</v>
      </c>
      <c r="F3053" s="18">
        <f>SUM(Acueducto[[#This Row],[Acueducto]:[Aseo]])</f>
        <v>0</v>
      </c>
    </row>
    <row r="3054" spans="1:6" ht="15" x14ac:dyDescent="0.2">
      <c r="A3054" s="7">
        <v>735204</v>
      </c>
      <c r="B3054" s="3" t="s">
        <v>1438</v>
      </c>
      <c r="C3054" s="29">
        <f>ROUND(Balances[[#This Row],[Total]]*40%,0)</f>
        <v>0</v>
      </c>
      <c r="D3054" s="29">
        <f>ROUND(Balances[[#This Row],[Total]]*20%,0)</f>
        <v>0</v>
      </c>
      <c r="E3054" s="29">
        <f>ROUND(Balances[[#This Row],[Total]]*40%,0)</f>
        <v>0</v>
      </c>
      <c r="F3054" s="18">
        <f>SUM(Acueducto[[#This Row],[Acueducto]:[Aseo]])</f>
        <v>0</v>
      </c>
    </row>
    <row r="3055" spans="1:6" ht="15" x14ac:dyDescent="0.2">
      <c r="A3055" s="7">
        <v>735205</v>
      </c>
      <c r="B3055" s="3" t="s">
        <v>569</v>
      </c>
      <c r="C3055" s="29">
        <f>ROUND(Balances[[#This Row],[Total]]*40%,0)</f>
        <v>0</v>
      </c>
      <c r="D3055" s="29">
        <f>ROUND(Balances[[#This Row],[Total]]*20%,0)</f>
        <v>0</v>
      </c>
      <c r="E3055" s="29">
        <f>ROUND(Balances[[#This Row],[Total]]*40%,0)</f>
        <v>0</v>
      </c>
      <c r="F3055" s="18">
        <f>SUM(Acueducto[[#This Row],[Acueducto]:[Aseo]])</f>
        <v>0</v>
      </c>
    </row>
    <row r="3056" spans="1:6" ht="15" x14ac:dyDescent="0.2">
      <c r="A3056" s="7">
        <v>735206</v>
      </c>
      <c r="B3056" s="3" t="s">
        <v>1439</v>
      </c>
      <c r="C3056" s="29">
        <f>ROUND(Balances[[#This Row],[Total]]*40%,0)</f>
        <v>0</v>
      </c>
      <c r="D3056" s="29">
        <f>ROUND(Balances[[#This Row],[Total]]*20%,0)</f>
        <v>0</v>
      </c>
      <c r="E3056" s="29">
        <f>ROUND(Balances[[#This Row],[Total]]*40%,0)</f>
        <v>0</v>
      </c>
      <c r="F3056" s="18">
        <f>SUM(Acueducto[[#This Row],[Acueducto]:[Aseo]])</f>
        <v>0</v>
      </c>
    </row>
    <row r="3057" spans="1:6" ht="15" x14ac:dyDescent="0.2">
      <c r="A3057" s="7">
        <v>735207</v>
      </c>
      <c r="B3057" s="3" t="s">
        <v>1440</v>
      </c>
      <c r="C3057" s="29">
        <f>ROUND(Balances[[#This Row],[Total]]*40%,0)</f>
        <v>0</v>
      </c>
      <c r="D3057" s="29">
        <f>ROUND(Balances[[#This Row],[Total]]*20%,0)</f>
        <v>0</v>
      </c>
      <c r="E3057" s="29">
        <f>ROUND(Balances[[#This Row],[Total]]*40%,0)</f>
        <v>0</v>
      </c>
      <c r="F3057" s="18">
        <f>SUM(Acueducto[[#This Row],[Acueducto]:[Aseo]])</f>
        <v>0</v>
      </c>
    </row>
    <row r="3058" spans="1:6" ht="15" x14ac:dyDescent="0.2">
      <c r="A3058" s="7">
        <v>735208</v>
      </c>
      <c r="B3058" s="3" t="s">
        <v>1441</v>
      </c>
      <c r="C3058" s="29">
        <f>ROUND(Balances[[#This Row],[Total]]*40%,0)</f>
        <v>0</v>
      </c>
      <c r="D3058" s="29">
        <f>ROUND(Balances[[#This Row],[Total]]*20%,0)</f>
        <v>0</v>
      </c>
      <c r="E3058" s="29">
        <f>ROUND(Balances[[#This Row],[Total]]*40%,0)</f>
        <v>0</v>
      </c>
      <c r="F3058" s="18">
        <f>SUM(Acueducto[[#This Row],[Acueducto]:[Aseo]])</f>
        <v>0</v>
      </c>
    </row>
    <row r="3059" spans="1:6" ht="15" x14ac:dyDescent="0.2">
      <c r="A3059" s="7">
        <v>735209</v>
      </c>
      <c r="B3059" s="3" t="s">
        <v>1442</v>
      </c>
      <c r="C3059" s="29">
        <f>ROUND(Balances[[#This Row],[Total]]*40%,0)</f>
        <v>0</v>
      </c>
      <c r="D3059" s="29">
        <f>ROUND(Balances[[#This Row],[Total]]*20%,0)</f>
        <v>0</v>
      </c>
      <c r="E3059" s="29">
        <f>ROUND(Balances[[#This Row],[Total]]*40%,0)</f>
        <v>0</v>
      </c>
      <c r="F3059" s="18">
        <f>SUM(Acueducto[[#This Row],[Acueducto]:[Aseo]])</f>
        <v>0</v>
      </c>
    </row>
    <row r="3060" spans="1:6" ht="15" x14ac:dyDescent="0.2">
      <c r="A3060" s="7">
        <v>735210</v>
      </c>
      <c r="B3060" s="3" t="s">
        <v>1443</v>
      </c>
      <c r="C3060" s="29">
        <f>ROUND(Balances[[#This Row],[Total]]*40%,0)</f>
        <v>0</v>
      </c>
      <c r="D3060" s="29">
        <f>ROUND(Balances[[#This Row],[Total]]*20%,0)</f>
        <v>0</v>
      </c>
      <c r="E3060" s="29">
        <f>ROUND(Balances[[#This Row],[Total]]*40%,0)</f>
        <v>0</v>
      </c>
      <c r="F3060" s="18">
        <f>SUM(Acueducto[[#This Row],[Acueducto]:[Aseo]])</f>
        <v>0</v>
      </c>
    </row>
    <row r="3061" spans="1:6" ht="15" x14ac:dyDescent="0.2">
      <c r="A3061" s="7">
        <v>735295</v>
      </c>
      <c r="B3061" s="3" t="s">
        <v>1444</v>
      </c>
      <c r="C3061" s="29">
        <f>ROUND(Balances[[#This Row],[Total]]*40%,0)</f>
        <v>0</v>
      </c>
      <c r="D3061" s="29">
        <f>ROUND(Balances[[#This Row],[Total]]*20%,0)</f>
        <v>0</v>
      </c>
      <c r="E3061" s="29">
        <f>ROUND(Balances[[#This Row],[Total]]*40%,0)</f>
        <v>0</v>
      </c>
      <c r="F3061" s="18">
        <f>SUM(Acueducto[[#This Row],[Acueducto]:[Aseo]])</f>
        <v>0</v>
      </c>
    </row>
    <row r="3062" spans="1:6" ht="15" x14ac:dyDescent="0.2">
      <c r="A3062" s="6">
        <v>7353</v>
      </c>
      <c r="B3062" s="2" t="s">
        <v>1480</v>
      </c>
      <c r="C3062" s="28">
        <f>ROUND(Balances[[#This Row],[Total]]*40%,0)</f>
        <v>0</v>
      </c>
      <c r="D3062" s="28">
        <f>ROUND(Balances[[#This Row],[Total]]*20%,0)</f>
        <v>0</v>
      </c>
      <c r="E3062" s="28">
        <f>ROUND(Balances[[#This Row],[Total]]*40%,0)</f>
        <v>0</v>
      </c>
      <c r="F3062" s="17">
        <f>SUM(Acueducto[[#This Row],[Acueducto]:[Aseo]])</f>
        <v>0</v>
      </c>
    </row>
    <row r="3063" spans="1:6" ht="15" x14ac:dyDescent="0.2">
      <c r="A3063" s="7">
        <v>735301</v>
      </c>
      <c r="B3063" s="3" t="s">
        <v>1436</v>
      </c>
      <c r="C3063" s="29">
        <f>ROUND(Balances[[#This Row],[Total]]*40%,0)</f>
        <v>0</v>
      </c>
      <c r="D3063" s="29">
        <f>ROUND(Balances[[#This Row],[Total]]*20%,0)</f>
        <v>0</v>
      </c>
      <c r="E3063" s="29">
        <f>ROUND(Balances[[#This Row],[Total]]*40%,0)</f>
        <v>0</v>
      </c>
      <c r="F3063" s="18">
        <f>SUM(Acueducto[[#This Row],[Acueducto]:[Aseo]])</f>
        <v>0</v>
      </c>
    </row>
    <row r="3064" spans="1:6" ht="15" x14ac:dyDescent="0.2">
      <c r="A3064" s="7">
        <v>735302</v>
      </c>
      <c r="B3064" s="3" t="s">
        <v>1437</v>
      </c>
      <c r="C3064" s="29">
        <f>ROUND(Balances[[#This Row],[Total]]*40%,0)</f>
        <v>0</v>
      </c>
      <c r="D3064" s="29">
        <f>ROUND(Balances[[#This Row],[Total]]*20%,0)</f>
        <v>0</v>
      </c>
      <c r="E3064" s="29">
        <f>ROUND(Balances[[#This Row],[Total]]*40%,0)</f>
        <v>0</v>
      </c>
      <c r="F3064" s="18">
        <f>SUM(Acueducto[[#This Row],[Acueducto]:[Aseo]])</f>
        <v>0</v>
      </c>
    </row>
    <row r="3065" spans="1:6" ht="15" x14ac:dyDescent="0.2">
      <c r="A3065" s="7">
        <v>735303</v>
      </c>
      <c r="B3065" s="3" t="s">
        <v>568</v>
      </c>
      <c r="C3065" s="29">
        <f>ROUND(Balances[[#This Row],[Total]]*40%,0)</f>
        <v>0</v>
      </c>
      <c r="D3065" s="29">
        <f>ROUND(Balances[[#This Row],[Total]]*20%,0)</f>
        <v>0</v>
      </c>
      <c r="E3065" s="29">
        <f>ROUND(Balances[[#This Row],[Total]]*40%,0)</f>
        <v>0</v>
      </c>
      <c r="F3065" s="18">
        <f>SUM(Acueducto[[#This Row],[Acueducto]:[Aseo]])</f>
        <v>0</v>
      </c>
    </row>
    <row r="3066" spans="1:6" ht="15" x14ac:dyDescent="0.2">
      <c r="A3066" s="7">
        <v>735304</v>
      </c>
      <c r="B3066" s="3" t="s">
        <v>1438</v>
      </c>
      <c r="C3066" s="29">
        <f>ROUND(Balances[[#This Row],[Total]]*40%,0)</f>
        <v>0</v>
      </c>
      <c r="D3066" s="29">
        <f>ROUND(Balances[[#This Row],[Total]]*20%,0)</f>
        <v>0</v>
      </c>
      <c r="E3066" s="29">
        <f>ROUND(Balances[[#This Row],[Total]]*40%,0)</f>
        <v>0</v>
      </c>
      <c r="F3066" s="18">
        <f>SUM(Acueducto[[#This Row],[Acueducto]:[Aseo]])</f>
        <v>0</v>
      </c>
    </row>
    <row r="3067" spans="1:6" ht="15" x14ac:dyDescent="0.2">
      <c r="A3067" s="7">
        <v>735305</v>
      </c>
      <c r="B3067" s="3" t="s">
        <v>569</v>
      </c>
      <c r="C3067" s="29">
        <f>ROUND(Balances[[#This Row],[Total]]*40%,0)</f>
        <v>0</v>
      </c>
      <c r="D3067" s="29">
        <f>ROUND(Balances[[#This Row],[Total]]*20%,0)</f>
        <v>0</v>
      </c>
      <c r="E3067" s="29">
        <f>ROUND(Balances[[#This Row],[Total]]*40%,0)</f>
        <v>0</v>
      </c>
      <c r="F3067" s="18">
        <f>SUM(Acueducto[[#This Row],[Acueducto]:[Aseo]])</f>
        <v>0</v>
      </c>
    </row>
    <row r="3068" spans="1:6" ht="15" x14ac:dyDescent="0.2">
      <c r="A3068" s="7">
        <v>735306</v>
      </c>
      <c r="B3068" s="3" t="s">
        <v>1439</v>
      </c>
      <c r="C3068" s="29">
        <f>ROUND(Balances[[#This Row],[Total]]*40%,0)</f>
        <v>0</v>
      </c>
      <c r="D3068" s="29">
        <f>ROUND(Balances[[#This Row],[Total]]*20%,0)</f>
        <v>0</v>
      </c>
      <c r="E3068" s="29">
        <f>ROUND(Balances[[#This Row],[Total]]*40%,0)</f>
        <v>0</v>
      </c>
      <c r="F3068" s="18">
        <f>SUM(Acueducto[[#This Row],[Acueducto]:[Aseo]])</f>
        <v>0</v>
      </c>
    </row>
    <row r="3069" spans="1:6" ht="15" x14ac:dyDescent="0.2">
      <c r="A3069" s="7">
        <v>735307</v>
      </c>
      <c r="B3069" s="3" t="s">
        <v>1440</v>
      </c>
      <c r="C3069" s="29">
        <f>ROUND(Balances[[#This Row],[Total]]*40%,0)</f>
        <v>0</v>
      </c>
      <c r="D3069" s="29">
        <f>ROUND(Balances[[#This Row],[Total]]*20%,0)</f>
        <v>0</v>
      </c>
      <c r="E3069" s="29">
        <f>ROUND(Balances[[#This Row],[Total]]*40%,0)</f>
        <v>0</v>
      </c>
      <c r="F3069" s="18">
        <f>SUM(Acueducto[[#This Row],[Acueducto]:[Aseo]])</f>
        <v>0</v>
      </c>
    </row>
    <row r="3070" spans="1:6" ht="15" x14ac:dyDescent="0.2">
      <c r="A3070" s="7">
        <v>735308</v>
      </c>
      <c r="B3070" s="3" t="s">
        <v>1441</v>
      </c>
      <c r="C3070" s="29">
        <f>ROUND(Balances[[#This Row],[Total]]*40%,0)</f>
        <v>0</v>
      </c>
      <c r="D3070" s="29">
        <f>ROUND(Balances[[#This Row],[Total]]*20%,0)</f>
        <v>0</v>
      </c>
      <c r="E3070" s="29">
        <f>ROUND(Balances[[#This Row],[Total]]*40%,0)</f>
        <v>0</v>
      </c>
      <c r="F3070" s="18">
        <f>SUM(Acueducto[[#This Row],[Acueducto]:[Aseo]])</f>
        <v>0</v>
      </c>
    </row>
    <row r="3071" spans="1:6" ht="15" x14ac:dyDescent="0.2">
      <c r="A3071" s="7">
        <v>735309</v>
      </c>
      <c r="B3071" s="3" t="s">
        <v>1442</v>
      </c>
      <c r="C3071" s="29">
        <f>ROUND(Balances[[#This Row],[Total]]*40%,0)</f>
        <v>0</v>
      </c>
      <c r="D3071" s="29">
        <f>ROUND(Balances[[#This Row],[Total]]*20%,0)</f>
        <v>0</v>
      </c>
      <c r="E3071" s="29">
        <f>ROUND(Balances[[#This Row],[Total]]*40%,0)</f>
        <v>0</v>
      </c>
      <c r="F3071" s="18">
        <f>SUM(Acueducto[[#This Row],[Acueducto]:[Aseo]])</f>
        <v>0</v>
      </c>
    </row>
    <row r="3072" spans="1:6" ht="15" x14ac:dyDescent="0.2">
      <c r="A3072" s="7">
        <v>735310</v>
      </c>
      <c r="B3072" s="3" t="s">
        <v>1443</v>
      </c>
      <c r="C3072" s="29">
        <f>ROUND(Balances[[#This Row],[Total]]*40%,0)</f>
        <v>0</v>
      </c>
      <c r="D3072" s="29">
        <f>ROUND(Balances[[#This Row],[Total]]*20%,0)</f>
        <v>0</v>
      </c>
      <c r="E3072" s="29">
        <f>ROUND(Balances[[#This Row],[Total]]*40%,0)</f>
        <v>0</v>
      </c>
      <c r="F3072" s="18">
        <f>SUM(Acueducto[[#This Row],[Acueducto]:[Aseo]])</f>
        <v>0</v>
      </c>
    </row>
    <row r="3073" spans="1:6" ht="15" x14ac:dyDescent="0.2">
      <c r="A3073" s="7">
        <v>735395</v>
      </c>
      <c r="B3073" s="3" t="s">
        <v>1444</v>
      </c>
      <c r="C3073" s="29">
        <f>ROUND(Balances[[#This Row],[Total]]*40%,0)</f>
        <v>0</v>
      </c>
      <c r="D3073" s="29">
        <f>ROUND(Balances[[#This Row],[Total]]*20%,0)</f>
        <v>0</v>
      </c>
      <c r="E3073" s="29">
        <f>ROUND(Balances[[#This Row],[Total]]*40%,0)</f>
        <v>0</v>
      </c>
      <c r="F3073" s="18">
        <f>SUM(Acueducto[[#This Row],[Acueducto]:[Aseo]])</f>
        <v>0</v>
      </c>
    </row>
    <row r="3074" spans="1:6" ht="15" x14ac:dyDescent="0.2">
      <c r="A3074" s="6">
        <v>7354</v>
      </c>
      <c r="B3074" s="2" t="s">
        <v>1481</v>
      </c>
      <c r="C3074" s="28">
        <f>ROUND(Balances[[#This Row],[Total]]*40%,0)</f>
        <v>0</v>
      </c>
      <c r="D3074" s="28">
        <f>ROUND(Balances[[#This Row],[Total]]*20%,0)</f>
        <v>0</v>
      </c>
      <c r="E3074" s="28">
        <f>ROUND(Balances[[#This Row],[Total]]*40%,0)</f>
        <v>0</v>
      </c>
      <c r="F3074" s="17">
        <f>SUM(Acueducto[[#This Row],[Acueducto]:[Aseo]])</f>
        <v>0</v>
      </c>
    </row>
    <row r="3075" spans="1:6" ht="15" x14ac:dyDescent="0.2">
      <c r="A3075" s="7">
        <v>735401</v>
      </c>
      <c r="B3075" s="3" t="s">
        <v>1436</v>
      </c>
      <c r="C3075" s="29">
        <f>ROUND(Balances[[#This Row],[Total]]*40%,0)</f>
        <v>0</v>
      </c>
      <c r="D3075" s="29">
        <f>ROUND(Balances[[#This Row],[Total]]*20%,0)</f>
        <v>0</v>
      </c>
      <c r="E3075" s="29">
        <f>ROUND(Balances[[#This Row],[Total]]*40%,0)</f>
        <v>0</v>
      </c>
      <c r="F3075" s="18">
        <f>SUM(Acueducto[[#This Row],[Acueducto]:[Aseo]])</f>
        <v>0</v>
      </c>
    </row>
    <row r="3076" spans="1:6" ht="15" x14ac:dyDescent="0.2">
      <c r="A3076" s="7">
        <v>735402</v>
      </c>
      <c r="B3076" s="3" t="s">
        <v>1437</v>
      </c>
      <c r="C3076" s="29">
        <f>ROUND(Balances[[#This Row],[Total]]*40%,0)</f>
        <v>0</v>
      </c>
      <c r="D3076" s="29">
        <f>ROUND(Balances[[#This Row],[Total]]*20%,0)</f>
        <v>0</v>
      </c>
      <c r="E3076" s="29">
        <f>ROUND(Balances[[#This Row],[Total]]*40%,0)</f>
        <v>0</v>
      </c>
      <c r="F3076" s="18">
        <f>SUM(Acueducto[[#This Row],[Acueducto]:[Aseo]])</f>
        <v>0</v>
      </c>
    </row>
    <row r="3077" spans="1:6" ht="15" x14ac:dyDescent="0.2">
      <c r="A3077" s="7">
        <v>735403</v>
      </c>
      <c r="B3077" s="3" t="s">
        <v>568</v>
      </c>
      <c r="C3077" s="29">
        <f>ROUND(Balances[[#This Row],[Total]]*40%,0)</f>
        <v>0</v>
      </c>
      <c r="D3077" s="29">
        <f>ROUND(Balances[[#This Row],[Total]]*20%,0)</f>
        <v>0</v>
      </c>
      <c r="E3077" s="29">
        <f>ROUND(Balances[[#This Row],[Total]]*40%,0)</f>
        <v>0</v>
      </c>
      <c r="F3077" s="18">
        <f>SUM(Acueducto[[#This Row],[Acueducto]:[Aseo]])</f>
        <v>0</v>
      </c>
    </row>
    <row r="3078" spans="1:6" ht="15" x14ac:dyDescent="0.2">
      <c r="A3078" s="7">
        <v>735404</v>
      </c>
      <c r="B3078" s="3" t="s">
        <v>1438</v>
      </c>
      <c r="C3078" s="29">
        <f>ROUND(Balances[[#This Row],[Total]]*40%,0)</f>
        <v>0</v>
      </c>
      <c r="D3078" s="29">
        <f>ROUND(Balances[[#This Row],[Total]]*20%,0)</f>
        <v>0</v>
      </c>
      <c r="E3078" s="29">
        <f>ROUND(Balances[[#This Row],[Total]]*40%,0)</f>
        <v>0</v>
      </c>
      <c r="F3078" s="18">
        <f>SUM(Acueducto[[#This Row],[Acueducto]:[Aseo]])</f>
        <v>0</v>
      </c>
    </row>
    <row r="3079" spans="1:6" ht="15" x14ac:dyDescent="0.2">
      <c r="A3079" s="7">
        <v>735405</v>
      </c>
      <c r="B3079" s="3" t="s">
        <v>569</v>
      </c>
      <c r="C3079" s="29">
        <f>ROUND(Balances[[#This Row],[Total]]*40%,0)</f>
        <v>0</v>
      </c>
      <c r="D3079" s="29">
        <f>ROUND(Balances[[#This Row],[Total]]*20%,0)</f>
        <v>0</v>
      </c>
      <c r="E3079" s="29">
        <f>ROUND(Balances[[#This Row],[Total]]*40%,0)</f>
        <v>0</v>
      </c>
      <c r="F3079" s="18">
        <f>SUM(Acueducto[[#This Row],[Acueducto]:[Aseo]])</f>
        <v>0</v>
      </c>
    </row>
    <row r="3080" spans="1:6" ht="15" x14ac:dyDescent="0.2">
      <c r="A3080" s="7">
        <v>735406</v>
      </c>
      <c r="B3080" s="3" t="s">
        <v>1439</v>
      </c>
      <c r="C3080" s="29">
        <f>ROUND(Balances[[#This Row],[Total]]*40%,0)</f>
        <v>0</v>
      </c>
      <c r="D3080" s="29">
        <f>ROUND(Balances[[#This Row],[Total]]*20%,0)</f>
        <v>0</v>
      </c>
      <c r="E3080" s="29">
        <f>ROUND(Balances[[#This Row],[Total]]*40%,0)</f>
        <v>0</v>
      </c>
      <c r="F3080" s="18">
        <f>SUM(Acueducto[[#This Row],[Acueducto]:[Aseo]])</f>
        <v>0</v>
      </c>
    </row>
    <row r="3081" spans="1:6" ht="15" x14ac:dyDescent="0.2">
      <c r="A3081" s="7">
        <v>735407</v>
      </c>
      <c r="B3081" s="3" t="s">
        <v>1440</v>
      </c>
      <c r="C3081" s="29">
        <f>ROUND(Balances[[#This Row],[Total]]*40%,0)</f>
        <v>0</v>
      </c>
      <c r="D3081" s="29">
        <f>ROUND(Balances[[#This Row],[Total]]*20%,0)</f>
        <v>0</v>
      </c>
      <c r="E3081" s="29">
        <f>ROUND(Balances[[#This Row],[Total]]*40%,0)</f>
        <v>0</v>
      </c>
      <c r="F3081" s="18">
        <f>SUM(Acueducto[[#This Row],[Acueducto]:[Aseo]])</f>
        <v>0</v>
      </c>
    </row>
    <row r="3082" spans="1:6" ht="15" x14ac:dyDescent="0.2">
      <c r="A3082" s="7">
        <v>735408</v>
      </c>
      <c r="B3082" s="3" t="s">
        <v>1441</v>
      </c>
      <c r="C3082" s="29">
        <f>ROUND(Balances[[#This Row],[Total]]*40%,0)</f>
        <v>0</v>
      </c>
      <c r="D3082" s="29">
        <f>ROUND(Balances[[#This Row],[Total]]*20%,0)</f>
        <v>0</v>
      </c>
      <c r="E3082" s="29">
        <f>ROUND(Balances[[#This Row],[Total]]*40%,0)</f>
        <v>0</v>
      </c>
      <c r="F3082" s="18">
        <f>SUM(Acueducto[[#This Row],[Acueducto]:[Aseo]])</f>
        <v>0</v>
      </c>
    </row>
    <row r="3083" spans="1:6" ht="15" x14ac:dyDescent="0.2">
      <c r="A3083" s="7">
        <v>735409</v>
      </c>
      <c r="B3083" s="3" t="s">
        <v>1442</v>
      </c>
      <c r="C3083" s="29">
        <f>ROUND(Balances[[#This Row],[Total]]*40%,0)</f>
        <v>0</v>
      </c>
      <c r="D3083" s="29">
        <f>ROUND(Balances[[#This Row],[Total]]*20%,0)</f>
        <v>0</v>
      </c>
      <c r="E3083" s="29">
        <f>ROUND(Balances[[#This Row],[Total]]*40%,0)</f>
        <v>0</v>
      </c>
      <c r="F3083" s="18">
        <f>SUM(Acueducto[[#This Row],[Acueducto]:[Aseo]])</f>
        <v>0</v>
      </c>
    </row>
    <row r="3084" spans="1:6" ht="15" x14ac:dyDescent="0.2">
      <c r="A3084" s="7">
        <v>735410</v>
      </c>
      <c r="B3084" s="3" t="s">
        <v>1443</v>
      </c>
      <c r="C3084" s="29">
        <f>ROUND(Balances[[#This Row],[Total]]*40%,0)</f>
        <v>0</v>
      </c>
      <c r="D3084" s="29">
        <f>ROUND(Balances[[#This Row],[Total]]*20%,0)</f>
        <v>0</v>
      </c>
      <c r="E3084" s="29">
        <f>ROUND(Balances[[#This Row],[Total]]*40%,0)</f>
        <v>0</v>
      </c>
      <c r="F3084" s="18">
        <f>SUM(Acueducto[[#This Row],[Acueducto]:[Aseo]])</f>
        <v>0</v>
      </c>
    </row>
    <row r="3085" spans="1:6" ht="15" x14ac:dyDescent="0.2">
      <c r="A3085" s="7">
        <v>735495</v>
      </c>
      <c r="B3085" s="3" t="s">
        <v>1444</v>
      </c>
      <c r="C3085" s="29">
        <f>ROUND(Balances[[#This Row],[Total]]*40%,0)</f>
        <v>0</v>
      </c>
      <c r="D3085" s="29">
        <f>ROUND(Balances[[#This Row],[Total]]*20%,0)</f>
        <v>0</v>
      </c>
      <c r="E3085" s="29">
        <f>ROUND(Balances[[#This Row],[Total]]*40%,0)</f>
        <v>0</v>
      </c>
      <c r="F3085" s="18">
        <f>SUM(Acueducto[[#This Row],[Acueducto]:[Aseo]])</f>
        <v>0</v>
      </c>
    </row>
    <row r="3086" spans="1:6" ht="15" x14ac:dyDescent="0.2">
      <c r="A3086" s="6">
        <v>7355</v>
      </c>
      <c r="B3086" s="2" t="s">
        <v>1482</v>
      </c>
      <c r="C3086" s="28">
        <f>ROUND(Balances[[#This Row],[Total]]*40%,0)</f>
        <v>0</v>
      </c>
      <c r="D3086" s="28">
        <f>ROUND(Balances[[#This Row],[Total]]*20%,0)</f>
        <v>0</v>
      </c>
      <c r="E3086" s="28">
        <f>ROUND(Balances[[#This Row],[Total]]*40%,0)</f>
        <v>0</v>
      </c>
      <c r="F3086" s="17">
        <f>SUM(Acueducto[[#This Row],[Acueducto]:[Aseo]])</f>
        <v>0</v>
      </c>
    </row>
    <row r="3087" spans="1:6" ht="15" x14ac:dyDescent="0.2">
      <c r="A3087" s="7">
        <v>735501</v>
      </c>
      <c r="B3087" s="3" t="s">
        <v>1436</v>
      </c>
      <c r="C3087" s="29">
        <f>ROUND(Balances[[#This Row],[Total]]*40%,0)</f>
        <v>0</v>
      </c>
      <c r="D3087" s="29">
        <f>ROUND(Balances[[#This Row],[Total]]*20%,0)</f>
        <v>0</v>
      </c>
      <c r="E3087" s="29">
        <f>ROUND(Balances[[#This Row],[Total]]*40%,0)</f>
        <v>0</v>
      </c>
      <c r="F3087" s="18">
        <f>SUM(Acueducto[[#This Row],[Acueducto]:[Aseo]])</f>
        <v>0</v>
      </c>
    </row>
    <row r="3088" spans="1:6" ht="15" x14ac:dyDescent="0.2">
      <c r="A3088" s="7">
        <v>735502</v>
      </c>
      <c r="B3088" s="3" t="s">
        <v>1437</v>
      </c>
      <c r="C3088" s="29">
        <f>ROUND(Balances[[#This Row],[Total]]*40%,0)</f>
        <v>0</v>
      </c>
      <c r="D3088" s="29">
        <f>ROUND(Balances[[#This Row],[Total]]*20%,0)</f>
        <v>0</v>
      </c>
      <c r="E3088" s="29">
        <f>ROUND(Balances[[#This Row],[Total]]*40%,0)</f>
        <v>0</v>
      </c>
      <c r="F3088" s="18">
        <f>SUM(Acueducto[[#This Row],[Acueducto]:[Aseo]])</f>
        <v>0</v>
      </c>
    </row>
    <row r="3089" spans="1:6" ht="15" x14ac:dyDescent="0.2">
      <c r="A3089" s="7">
        <v>735503</v>
      </c>
      <c r="B3089" s="3" t="s">
        <v>568</v>
      </c>
      <c r="C3089" s="29">
        <f>ROUND(Balances[[#This Row],[Total]]*40%,0)</f>
        <v>0</v>
      </c>
      <c r="D3089" s="29">
        <f>ROUND(Balances[[#This Row],[Total]]*20%,0)</f>
        <v>0</v>
      </c>
      <c r="E3089" s="29">
        <f>ROUND(Balances[[#This Row],[Total]]*40%,0)</f>
        <v>0</v>
      </c>
      <c r="F3089" s="18">
        <f>SUM(Acueducto[[#This Row],[Acueducto]:[Aseo]])</f>
        <v>0</v>
      </c>
    </row>
    <row r="3090" spans="1:6" ht="15" x14ac:dyDescent="0.2">
      <c r="A3090" s="7">
        <v>735504</v>
      </c>
      <c r="B3090" s="3" t="s">
        <v>1438</v>
      </c>
      <c r="C3090" s="29">
        <f>ROUND(Balances[[#This Row],[Total]]*40%,0)</f>
        <v>0</v>
      </c>
      <c r="D3090" s="29">
        <f>ROUND(Balances[[#This Row],[Total]]*20%,0)</f>
        <v>0</v>
      </c>
      <c r="E3090" s="29">
        <f>ROUND(Balances[[#This Row],[Total]]*40%,0)</f>
        <v>0</v>
      </c>
      <c r="F3090" s="18">
        <f>SUM(Acueducto[[#This Row],[Acueducto]:[Aseo]])</f>
        <v>0</v>
      </c>
    </row>
    <row r="3091" spans="1:6" ht="15" x14ac:dyDescent="0.2">
      <c r="A3091" s="7">
        <v>735505</v>
      </c>
      <c r="B3091" s="3" t="s">
        <v>569</v>
      </c>
      <c r="C3091" s="29">
        <f>ROUND(Balances[[#This Row],[Total]]*40%,0)</f>
        <v>0</v>
      </c>
      <c r="D3091" s="29">
        <f>ROUND(Balances[[#This Row],[Total]]*20%,0)</f>
        <v>0</v>
      </c>
      <c r="E3091" s="29">
        <f>ROUND(Balances[[#This Row],[Total]]*40%,0)</f>
        <v>0</v>
      </c>
      <c r="F3091" s="18">
        <f>SUM(Acueducto[[#This Row],[Acueducto]:[Aseo]])</f>
        <v>0</v>
      </c>
    </row>
    <row r="3092" spans="1:6" ht="15" x14ac:dyDescent="0.2">
      <c r="A3092" s="7">
        <v>735506</v>
      </c>
      <c r="B3092" s="3" t="s">
        <v>1439</v>
      </c>
      <c r="C3092" s="29">
        <f>ROUND(Balances[[#This Row],[Total]]*40%,0)</f>
        <v>0</v>
      </c>
      <c r="D3092" s="29">
        <f>ROUND(Balances[[#This Row],[Total]]*20%,0)</f>
        <v>0</v>
      </c>
      <c r="E3092" s="29">
        <f>ROUND(Balances[[#This Row],[Total]]*40%,0)</f>
        <v>0</v>
      </c>
      <c r="F3092" s="18">
        <f>SUM(Acueducto[[#This Row],[Acueducto]:[Aseo]])</f>
        <v>0</v>
      </c>
    </row>
    <row r="3093" spans="1:6" ht="15" x14ac:dyDescent="0.2">
      <c r="A3093" s="7">
        <v>735507</v>
      </c>
      <c r="B3093" s="3" t="s">
        <v>1440</v>
      </c>
      <c r="C3093" s="29">
        <f>ROUND(Balances[[#This Row],[Total]]*40%,0)</f>
        <v>0</v>
      </c>
      <c r="D3093" s="29">
        <f>ROUND(Balances[[#This Row],[Total]]*20%,0)</f>
        <v>0</v>
      </c>
      <c r="E3093" s="29">
        <f>ROUND(Balances[[#This Row],[Total]]*40%,0)</f>
        <v>0</v>
      </c>
      <c r="F3093" s="18">
        <f>SUM(Acueducto[[#This Row],[Acueducto]:[Aseo]])</f>
        <v>0</v>
      </c>
    </row>
    <row r="3094" spans="1:6" ht="15" x14ac:dyDescent="0.2">
      <c r="A3094" s="7">
        <v>735508</v>
      </c>
      <c r="B3094" s="3" t="s">
        <v>1441</v>
      </c>
      <c r="C3094" s="29">
        <f>ROUND(Balances[[#This Row],[Total]]*40%,0)</f>
        <v>0</v>
      </c>
      <c r="D3094" s="29">
        <f>ROUND(Balances[[#This Row],[Total]]*20%,0)</f>
        <v>0</v>
      </c>
      <c r="E3094" s="29">
        <f>ROUND(Balances[[#This Row],[Total]]*40%,0)</f>
        <v>0</v>
      </c>
      <c r="F3094" s="18">
        <f>SUM(Acueducto[[#This Row],[Acueducto]:[Aseo]])</f>
        <v>0</v>
      </c>
    </row>
    <row r="3095" spans="1:6" ht="15" x14ac:dyDescent="0.2">
      <c r="A3095" s="7">
        <v>735509</v>
      </c>
      <c r="B3095" s="3" t="s">
        <v>1442</v>
      </c>
      <c r="C3095" s="29">
        <f>ROUND(Balances[[#This Row],[Total]]*40%,0)</f>
        <v>0</v>
      </c>
      <c r="D3095" s="29">
        <f>ROUND(Balances[[#This Row],[Total]]*20%,0)</f>
        <v>0</v>
      </c>
      <c r="E3095" s="29">
        <f>ROUND(Balances[[#This Row],[Total]]*40%,0)</f>
        <v>0</v>
      </c>
      <c r="F3095" s="18">
        <f>SUM(Acueducto[[#This Row],[Acueducto]:[Aseo]])</f>
        <v>0</v>
      </c>
    </row>
    <row r="3096" spans="1:6" ht="15" x14ac:dyDescent="0.2">
      <c r="A3096" s="7">
        <v>735510</v>
      </c>
      <c r="B3096" s="3" t="s">
        <v>1443</v>
      </c>
      <c r="C3096" s="29">
        <f>ROUND(Balances[[#This Row],[Total]]*40%,0)</f>
        <v>0</v>
      </c>
      <c r="D3096" s="29">
        <f>ROUND(Balances[[#This Row],[Total]]*20%,0)</f>
        <v>0</v>
      </c>
      <c r="E3096" s="29">
        <f>ROUND(Balances[[#This Row],[Total]]*40%,0)</f>
        <v>0</v>
      </c>
      <c r="F3096" s="18">
        <f>SUM(Acueducto[[#This Row],[Acueducto]:[Aseo]])</f>
        <v>0</v>
      </c>
    </row>
    <row r="3097" spans="1:6" ht="15" x14ac:dyDescent="0.2">
      <c r="A3097" s="7">
        <v>735595</v>
      </c>
      <c r="B3097" s="3" t="s">
        <v>1444</v>
      </c>
      <c r="C3097" s="29">
        <f>ROUND(Balances[[#This Row],[Total]]*40%,0)</f>
        <v>0</v>
      </c>
      <c r="D3097" s="29">
        <f>ROUND(Balances[[#This Row],[Total]]*20%,0)</f>
        <v>0</v>
      </c>
      <c r="E3097" s="29">
        <f>ROUND(Balances[[#This Row],[Total]]*40%,0)</f>
        <v>0</v>
      </c>
      <c r="F3097" s="18">
        <f>SUM(Acueducto[[#This Row],[Acueducto]:[Aseo]])</f>
        <v>0</v>
      </c>
    </row>
    <row r="3098" spans="1:6" ht="15" x14ac:dyDescent="0.2">
      <c r="A3098" s="6">
        <v>7356</v>
      </c>
      <c r="B3098" s="2" t="s">
        <v>1483</v>
      </c>
      <c r="C3098" s="28">
        <f>ROUND(Balances[[#This Row],[Total]]*40%,0)</f>
        <v>0</v>
      </c>
      <c r="D3098" s="28">
        <f>ROUND(Balances[[#This Row],[Total]]*20%,0)</f>
        <v>0</v>
      </c>
      <c r="E3098" s="28">
        <f>ROUND(Balances[[#This Row],[Total]]*40%,0)</f>
        <v>0</v>
      </c>
      <c r="F3098" s="17">
        <f>SUM(Acueducto[[#This Row],[Acueducto]:[Aseo]])</f>
        <v>0</v>
      </c>
    </row>
    <row r="3099" spans="1:6" ht="15" x14ac:dyDescent="0.2">
      <c r="A3099" s="7">
        <v>735601</v>
      </c>
      <c r="B3099" s="3" t="s">
        <v>1436</v>
      </c>
      <c r="C3099" s="29">
        <f>ROUND(Balances[[#This Row],[Total]]*40%,0)</f>
        <v>0</v>
      </c>
      <c r="D3099" s="29">
        <f>ROUND(Balances[[#This Row],[Total]]*20%,0)</f>
        <v>0</v>
      </c>
      <c r="E3099" s="29">
        <f>ROUND(Balances[[#This Row],[Total]]*40%,0)</f>
        <v>0</v>
      </c>
      <c r="F3099" s="18">
        <f>SUM(Acueducto[[#This Row],[Acueducto]:[Aseo]])</f>
        <v>0</v>
      </c>
    </row>
    <row r="3100" spans="1:6" ht="15" x14ac:dyDescent="0.2">
      <c r="A3100" s="7">
        <v>735602</v>
      </c>
      <c r="B3100" s="3" t="s">
        <v>1437</v>
      </c>
      <c r="C3100" s="29">
        <f>ROUND(Balances[[#This Row],[Total]]*40%,0)</f>
        <v>0</v>
      </c>
      <c r="D3100" s="29">
        <f>ROUND(Balances[[#This Row],[Total]]*20%,0)</f>
        <v>0</v>
      </c>
      <c r="E3100" s="29">
        <f>ROUND(Balances[[#This Row],[Total]]*40%,0)</f>
        <v>0</v>
      </c>
      <c r="F3100" s="18">
        <f>SUM(Acueducto[[#This Row],[Acueducto]:[Aseo]])</f>
        <v>0</v>
      </c>
    </row>
    <row r="3101" spans="1:6" ht="15" x14ac:dyDescent="0.2">
      <c r="A3101" s="7">
        <v>735603</v>
      </c>
      <c r="B3101" s="3" t="s">
        <v>568</v>
      </c>
      <c r="C3101" s="29">
        <f>ROUND(Balances[[#This Row],[Total]]*40%,0)</f>
        <v>0</v>
      </c>
      <c r="D3101" s="29">
        <f>ROUND(Balances[[#This Row],[Total]]*20%,0)</f>
        <v>0</v>
      </c>
      <c r="E3101" s="29">
        <f>ROUND(Balances[[#This Row],[Total]]*40%,0)</f>
        <v>0</v>
      </c>
      <c r="F3101" s="18">
        <f>SUM(Acueducto[[#This Row],[Acueducto]:[Aseo]])</f>
        <v>0</v>
      </c>
    </row>
    <row r="3102" spans="1:6" ht="15" x14ac:dyDescent="0.2">
      <c r="A3102" s="7">
        <v>735604</v>
      </c>
      <c r="B3102" s="3" t="s">
        <v>1438</v>
      </c>
      <c r="C3102" s="29">
        <f>ROUND(Balances[[#This Row],[Total]]*40%,0)</f>
        <v>0</v>
      </c>
      <c r="D3102" s="29">
        <f>ROUND(Balances[[#This Row],[Total]]*20%,0)</f>
        <v>0</v>
      </c>
      <c r="E3102" s="29">
        <f>ROUND(Balances[[#This Row],[Total]]*40%,0)</f>
        <v>0</v>
      </c>
      <c r="F3102" s="18">
        <f>SUM(Acueducto[[#This Row],[Acueducto]:[Aseo]])</f>
        <v>0</v>
      </c>
    </row>
    <row r="3103" spans="1:6" ht="15" x14ac:dyDescent="0.2">
      <c r="A3103" s="7">
        <v>735605</v>
      </c>
      <c r="B3103" s="3" t="s">
        <v>569</v>
      </c>
      <c r="C3103" s="29">
        <f>ROUND(Balances[[#This Row],[Total]]*40%,0)</f>
        <v>0</v>
      </c>
      <c r="D3103" s="29">
        <f>ROUND(Balances[[#This Row],[Total]]*20%,0)</f>
        <v>0</v>
      </c>
      <c r="E3103" s="29">
        <f>ROUND(Balances[[#This Row],[Total]]*40%,0)</f>
        <v>0</v>
      </c>
      <c r="F3103" s="18">
        <f>SUM(Acueducto[[#This Row],[Acueducto]:[Aseo]])</f>
        <v>0</v>
      </c>
    </row>
    <row r="3104" spans="1:6" ht="15" x14ac:dyDescent="0.2">
      <c r="A3104" s="7">
        <v>735606</v>
      </c>
      <c r="B3104" s="3" t="s">
        <v>1439</v>
      </c>
      <c r="C3104" s="29">
        <f>ROUND(Balances[[#This Row],[Total]]*40%,0)</f>
        <v>0</v>
      </c>
      <c r="D3104" s="29">
        <f>ROUND(Balances[[#This Row],[Total]]*20%,0)</f>
        <v>0</v>
      </c>
      <c r="E3104" s="29">
        <f>ROUND(Balances[[#This Row],[Total]]*40%,0)</f>
        <v>0</v>
      </c>
      <c r="F3104" s="18">
        <f>SUM(Acueducto[[#This Row],[Acueducto]:[Aseo]])</f>
        <v>0</v>
      </c>
    </row>
    <row r="3105" spans="1:6" ht="15" x14ac:dyDescent="0.2">
      <c r="A3105" s="7">
        <v>735607</v>
      </c>
      <c r="B3105" s="3" t="s">
        <v>1440</v>
      </c>
      <c r="C3105" s="29">
        <f>ROUND(Balances[[#This Row],[Total]]*40%,0)</f>
        <v>0</v>
      </c>
      <c r="D3105" s="29">
        <f>ROUND(Balances[[#This Row],[Total]]*20%,0)</f>
        <v>0</v>
      </c>
      <c r="E3105" s="29">
        <f>ROUND(Balances[[#This Row],[Total]]*40%,0)</f>
        <v>0</v>
      </c>
      <c r="F3105" s="18">
        <f>SUM(Acueducto[[#This Row],[Acueducto]:[Aseo]])</f>
        <v>0</v>
      </c>
    </row>
    <row r="3106" spans="1:6" ht="15" x14ac:dyDescent="0.2">
      <c r="A3106" s="7">
        <v>735608</v>
      </c>
      <c r="B3106" s="3" t="s">
        <v>1441</v>
      </c>
      <c r="C3106" s="29">
        <f>ROUND(Balances[[#This Row],[Total]]*40%,0)</f>
        <v>0</v>
      </c>
      <c r="D3106" s="29">
        <f>ROUND(Balances[[#This Row],[Total]]*20%,0)</f>
        <v>0</v>
      </c>
      <c r="E3106" s="29">
        <f>ROUND(Balances[[#This Row],[Total]]*40%,0)</f>
        <v>0</v>
      </c>
      <c r="F3106" s="18">
        <f>SUM(Acueducto[[#This Row],[Acueducto]:[Aseo]])</f>
        <v>0</v>
      </c>
    </row>
    <row r="3107" spans="1:6" ht="15" x14ac:dyDescent="0.2">
      <c r="A3107" s="7">
        <v>735609</v>
      </c>
      <c r="B3107" s="3" t="s">
        <v>1442</v>
      </c>
      <c r="C3107" s="29">
        <f>ROUND(Balances[[#This Row],[Total]]*40%,0)</f>
        <v>0</v>
      </c>
      <c r="D3107" s="29">
        <f>ROUND(Balances[[#This Row],[Total]]*20%,0)</f>
        <v>0</v>
      </c>
      <c r="E3107" s="29">
        <f>ROUND(Balances[[#This Row],[Total]]*40%,0)</f>
        <v>0</v>
      </c>
      <c r="F3107" s="18">
        <f>SUM(Acueducto[[#This Row],[Acueducto]:[Aseo]])</f>
        <v>0</v>
      </c>
    </row>
    <row r="3108" spans="1:6" ht="15" x14ac:dyDescent="0.2">
      <c r="A3108" s="7">
        <v>735610</v>
      </c>
      <c r="B3108" s="3" t="s">
        <v>1443</v>
      </c>
      <c r="C3108" s="29">
        <f>ROUND(Balances[[#This Row],[Total]]*40%,0)</f>
        <v>0</v>
      </c>
      <c r="D3108" s="29">
        <f>ROUND(Balances[[#This Row],[Total]]*20%,0)</f>
        <v>0</v>
      </c>
      <c r="E3108" s="29">
        <f>ROUND(Balances[[#This Row],[Total]]*40%,0)</f>
        <v>0</v>
      </c>
      <c r="F3108" s="18">
        <f>SUM(Acueducto[[#This Row],[Acueducto]:[Aseo]])</f>
        <v>0</v>
      </c>
    </row>
    <row r="3109" spans="1:6" ht="15" x14ac:dyDescent="0.2">
      <c r="A3109" s="7">
        <v>735695</v>
      </c>
      <c r="B3109" s="3" t="s">
        <v>1444</v>
      </c>
      <c r="C3109" s="29">
        <f>ROUND(Balances[[#This Row],[Total]]*40%,0)</f>
        <v>0</v>
      </c>
      <c r="D3109" s="29">
        <f>ROUND(Balances[[#This Row],[Total]]*20%,0)</f>
        <v>0</v>
      </c>
      <c r="E3109" s="29">
        <f>ROUND(Balances[[#This Row],[Total]]*40%,0)</f>
        <v>0</v>
      </c>
      <c r="F3109" s="18">
        <f>SUM(Acueducto[[#This Row],[Acueducto]:[Aseo]])</f>
        <v>0</v>
      </c>
    </row>
    <row r="3110" spans="1:6" ht="15" x14ac:dyDescent="0.2">
      <c r="A3110" s="6">
        <v>7380</v>
      </c>
      <c r="B3110" s="2" t="s">
        <v>1484</v>
      </c>
      <c r="C3110" s="28">
        <f>ROUND(Balances[[#This Row],[Total]]*40%,0)</f>
        <v>0</v>
      </c>
      <c r="D3110" s="28">
        <f>ROUND(Balances[[#This Row],[Total]]*20%,0)</f>
        <v>0</v>
      </c>
      <c r="E3110" s="28">
        <f>ROUND(Balances[[#This Row],[Total]]*40%,0)</f>
        <v>0</v>
      </c>
      <c r="F3110" s="17">
        <f>SUM(Acueducto[[#This Row],[Acueducto]:[Aseo]])</f>
        <v>0</v>
      </c>
    </row>
    <row r="3111" spans="1:6" ht="15" x14ac:dyDescent="0.2">
      <c r="A3111" s="7">
        <v>738001</v>
      </c>
      <c r="B3111" s="3" t="s">
        <v>1436</v>
      </c>
      <c r="C3111" s="29">
        <f>ROUND(Balances[[#This Row],[Total]]*40%,0)</f>
        <v>0</v>
      </c>
      <c r="D3111" s="29">
        <f>ROUND(Balances[[#This Row],[Total]]*20%,0)</f>
        <v>0</v>
      </c>
      <c r="E3111" s="29">
        <f>ROUND(Balances[[#This Row],[Total]]*40%,0)</f>
        <v>0</v>
      </c>
      <c r="F3111" s="18">
        <f>SUM(Acueducto[[#This Row],[Acueducto]:[Aseo]])</f>
        <v>0</v>
      </c>
    </row>
    <row r="3112" spans="1:6" ht="15" x14ac:dyDescent="0.2">
      <c r="A3112" s="7">
        <v>738002</v>
      </c>
      <c r="B3112" s="3" t="s">
        <v>1437</v>
      </c>
      <c r="C3112" s="29">
        <f>ROUND(Balances[[#This Row],[Total]]*40%,0)</f>
        <v>0</v>
      </c>
      <c r="D3112" s="29">
        <f>ROUND(Balances[[#This Row],[Total]]*20%,0)</f>
        <v>0</v>
      </c>
      <c r="E3112" s="29">
        <f>ROUND(Balances[[#This Row],[Total]]*40%,0)</f>
        <v>0</v>
      </c>
      <c r="F3112" s="18">
        <f>SUM(Acueducto[[#This Row],[Acueducto]:[Aseo]])</f>
        <v>0</v>
      </c>
    </row>
    <row r="3113" spans="1:6" ht="15" x14ac:dyDescent="0.2">
      <c r="A3113" s="7">
        <v>738003</v>
      </c>
      <c r="B3113" s="3" t="s">
        <v>568</v>
      </c>
      <c r="C3113" s="29">
        <f>ROUND(Balances[[#This Row],[Total]]*40%,0)</f>
        <v>0</v>
      </c>
      <c r="D3113" s="29">
        <f>ROUND(Balances[[#This Row],[Total]]*20%,0)</f>
        <v>0</v>
      </c>
      <c r="E3113" s="29">
        <f>ROUND(Balances[[#This Row],[Total]]*40%,0)</f>
        <v>0</v>
      </c>
      <c r="F3113" s="18">
        <f>SUM(Acueducto[[#This Row],[Acueducto]:[Aseo]])</f>
        <v>0</v>
      </c>
    </row>
    <row r="3114" spans="1:6" ht="15" x14ac:dyDescent="0.2">
      <c r="A3114" s="7">
        <v>738004</v>
      </c>
      <c r="B3114" s="3" t="s">
        <v>1438</v>
      </c>
      <c r="C3114" s="29">
        <f>ROUND(Balances[[#This Row],[Total]]*40%,0)</f>
        <v>0</v>
      </c>
      <c r="D3114" s="29">
        <f>ROUND(Balances[[#This Row],[Total]]*20%,0)</f>
        <v>0</v>
      </c>
      <c r="E3114" s="29">
        <f>ROUND(Balances[[#This Row],[Total]]*40%,0)</f>
        <v>0</v>
      </c>
      <c r="F3114" s="18">
        <f>SUM(Acueducto[[#This Row],[Acueducto]:[Aseo]])</f>
        <v>0</v>
      </c>
    </row>
    <row r="3115" spans="1:6" ht="15" x14ac:dyDescent="0.2">
      <c r="A3115" s="7">
        <v>738005</v>
      </c>
      <c r="B3115" s="3" t="s">
        <v>569</v>
      </c>
      <c r="C3115" s="29">
        <f>ROUND(Balances[[#This Row],[Total]]*40%,0)</f>
        <v>0</v>
      </c>
      <c r="D3115" s="29">
        <f>ROUND(Balances[[#This Row],[Total]]*20%,0)</f>
        <v>0</v>
      </c>
      <c r="E3115" s="29">
        <f>ROUND(Balances[[#This Row],[Total]]*40%,0)</f>
        <v>0</v>
      </c>
      <c r="F3115" s="18">
        <f>SUM(Acueducto[[#This Row],[Acueducto]:[Aseo]])</f>
        <v>0</v>
      </c>
    </row>
    <row r="3116" spans="1:6" ht="15" x14ac:dyDescent="0.2">
      <c r="A3116" s="7">
        <v>738006</v>
      </c>
      <c r="B3116" s="3" t="s">
        <v>1439</v>
      </c>
      <c r="C3116" s="29">
        <f>ROUND(Balances[[#This Row],[Total]]*40%,0)</f>
        <v>0</v>
      </c>
      <c r="D3116" s="29">
        <f>ROUND(Balances[[#This Row],[Total]]*20%,0)</f>
        <v>0</v>
      </c>
      <c r="E3116" s="29">
        <f>ROUND(Balances[[#This Row],[Total]]*40%,0)</f>
        <v>0</v>
      </c>
      <c r="F3116" s="18">
        <f>SUM(Acueducto[[#This Row],[Acueducto]:[Aseo]])</f>
        <v>0</v>
      </c>
    </row>
    <row r="3117" spans="1:6" ht="15" x14ac:dyDescent="0.2">
      <c r="A3117" s="7">
        <v>738007</v>
      </c>
      <c r="B3117" s="3" t="s">
        <v>1440</v>
      </c>
      <c r="C3117" s="29">
        <f>ROUND(Balances[[#This Row],[Total]]*40%,0)</f>
        <v>0</v>
      </c>
      <c r="D3117" s="29">
        <f>ROUND(Balances[[#This Row],[Total]]*20%,0)</f>
        <v>0</v>
      </c>
      <c r="E3117" s="29">
        <f>ROUND(Balances[[#This Row],[Total]]*40%,0)</f>
        <v>0</v>
      </c>
      <c r="F3117" s="18">
        <f>SUM(Acueducto[[#This Row],[Acueducto]:[Aseo]])</f>
        <v>0</v>
      </c>
    </row>
    <row r="3118" spans="1:6" ht="15" x14ac:dyDescent="0.2">
      <c r="A3118" s="7">
        <v>738008</v>
      </c>
      <c r="B3118" s="3" t="s">
        <v>1441</v>
      </c>
      <c r="C3118" s="29">
        <f>ROUND(Balances[[#This Row],[Total]]*40%,0)</f>
        <v>0</v>
      </c>
      <c r="D3118" s="29">
        <f>ROUND(Balances[[#This Row],[Total]]*20%,0)</f>
        <v>0</v>
      </c>
      <c r="E3118" s="29">
        <f>ROUND(Balances[[#This Row],[Total]]*40%,0)</f>
        <v>0</v>
      </c>
      <c r="F3118" s="18">
        <f>SUM(Acueducto[[#This Row],[Acueducto]:[Aseo]])</f>
        <v>0</v>
      </c>
    </row>
    <row r="3119" spans="1:6" ht="15" x14ac:dyDescent="0.2">
      <c r="A3119" s="7">
        <v>738009</v>
      </c>
      <c r="B3119" s="3" t="s">
        <v>1442</v>
      </c>
      <c r="C3119" s="29">
        <f>ROUND(Balances[[#This Row],[Total]]*40%,0)</f>
        <v>0</v>
      </c>
      <c r="D3119" s="29">
        <f>ROUND(Balances[[#This Row],[Total]]*20%,0)</f>
        <v>0</v>
      </c>
      <c r="E3119" s="29">
        <f>ROUND(Balances[[#This Row],[Total]]*40%,0)</f>
        <v>0</v>
      </c>
      <c r="F3119" s="18">
        <f>SUM(Acueducto[[#This Row],[Acueducto]:[Aseo]])</f>
        <v>0</v>
      </c>
    </row>
    <row r="3120" spans="1:6" ht="15" x14ac:dyDescent="0.2">
      <c r="A3120" s="7">
        <v>738010</v>
      </c>
      <c r="B3120" s="3" t="s">
        <v>1443</v>
      </c>
      <c r="C3120" s="29">
        <f>ROUND(Balances[[#This Row],[Total]]*40%,0)</f>
        <v>0</v>
      </c>
      <c r="D3120" s="29">
        <f>ROUND(Balances[[#This Row],[Total]]*20%,0)</f>
        <v>0</v>
      </c>
      <c r="E3120" s="29">
        <f>ROUND(Balances[[#This Row],[Total]]*40%,0)</f>
        <v>0</v>
      </c>
      <c r="F3120" s="18">
        <f>SUM(Acueducto[[#This Row],[Acueducto]:[Aseo]])</f>
        <v>0</v>
      </c>
    </row>
    <row r="3121" spans="1:6" ht="15" x14ac:dyDescent="0.2">
      <c r="A3121" s="7">
        <v>738095</v>
      </c>
      <c r="B3121" s="3" t="s">
        <v>1444</v>
      </c>
      <c r="C3121" s="29">
        <f>ROUND(Balances[[#This Row],[Total]]*40%,0)</f>
        <v>0</v>
      </c>
      <c r="D3121" s="29">
        <f>ROUND(Balances[[#This Row],[Total]]*20%,0)</f>
        <v>0</v>
      </c>
      <c r="E3121" s="29">
        <f>ROUND(Balances[[#This Row],[Total]]*40%,0)</f>
        <v>0</v>
      </c>
      <c r="F3121" s="18">
        <f>SUM(Acueducto[[#This Row],[Acueducto]:[Aseo]])</f>
        <v>0</v>
      </c>
    </row>
    <row r="3122" spans="1:6" ht="15" x14ac:dyDescent="0.2">
      <c r="A3122" s="6">
        <v>7381</v>
      </c>
      <c r="B3122" s="2" t="s">
        <v>1485</v>
      </c>
      <c r="C3122" s="28">
        <f>ROUND(Balances[[#This Row],[Total]]*40%,0)</f>
        <v>0</v>
      </c>
      <c r="D3122" s="28">
        <f>ROUND(Balances[[#This Row],[Total]]*20%,0)</f>
        <v>0</v>
      </c>
      <c r="E3122" s="28">
        <f>ROUND(Balances[[#This Row],[Total]]*40%,0)</f>
        <v>0</v>
      </c>
      <c r="F3122" s="17">
        <f>SUM(Acueducto[[#This Row],[Acueducto]:[Aseo]])</f>
        <v>0</v>
      </c>
    </row>
    <row r="3123" spans="1:6" ht="15" x14ac:dyDescent="0.2">
      <c r="A3123" s="7">
        <v>738101</v>
      </c>
      <c r="B3123" s="3" t="s">
        <v>1436</v>
      </c>
      <c r="C3123" s="29">
        <f>ROUND(Balances[[#This Row],[Total]]*40%,0)</f>
        <v>0</v>
      </c>
      <c r="D3123" s="29">
        <f>ROUND(Balances[[#This Row],[Total]]*20%,0)</f>
        <v>0</v>
      </c>
      <c r="E3123" s="29">
        <f>ROUND(Balances[[#This Row],[Total]]*40%,0)</f>
        <v>0</v>
      </c>
      <c r="F3123" s="18">
        <f>SUM(Acueducto[[#This Row],[Acueducto]:[Aseo]])</f>
        <v>0</v>
      </c>
    </row>
    <row r="3124" spans="1:6" ht="15" x14ac:dyDescent="0.2">
      <c r="A3124" s="7">
        <v>738102</v>
      </c>
      <c r="B3124" s="3" t="s">
        <v>1437</v>
      </c>
      <c r="C3124" s="29">
        <f>ROUND(Balances[[#This Row],[Total]]*40%,0)</f>
        <v>0</v>
      </c>
      <c r="D3124" s="29">
        <f>ROUND(Balances[[#This Row],[Total]]*20%,0)</f>
        <v>0</v>
      </c>
      <c r="E3124" s="29">
        <f>ROUND(Balances[[#This Row],[Total]]*40%,0)</f>
        <v>0</v>
      </c>
      <c r="F3124" s="18">
        <f>SUM(Acueducto[[#This Row],[Acueducto]:[Aseo]])</f>
        <v>0</v>
      </c>
    </row>
    <row r="3125" spans="1:6" ht="15" x14ac:dyDescent="0.2">
      <c r="A3125" s="7">
        <v>738103</v>
      </c>
      <c r="B3125" s="3" t="s">
        <v>568</v>
      </c>
      <c r="C3125" s="29">
        <f>ROUND(Balances[[#This Row],[Total]]*40%,0)</f>
        <v>0</v>
      </c>
      <c r="D3125" s="29">
        <f>ROUND(Balances[[#This Row],[Total]]*20%,0)</f>
        <v>0</v>
      </c>
      <c r="E3125" s="29">
        <f>ROUND(Balances[[#This Row],[Total]]*40%,0)</f>
        <v>0</v>
      </c>
      <c r="F3125" s="18">
        <f>SUM(Acueducto[[#This Row],[Acueducto]:[Aseo]])</f>
        <v>0</v>
      </c>
    </row>
    <row r="3126" spans="1:6" ht="15" x14ac:dyDescent="0.2">
      <c r="A3126" s="7">
        <v>738104</v>
      </c>
      <c r="B3126" s="3" t="s">
        <v>1438</v>
      </c>
      <c r="C3126" s="29">
        <f>ROUND(Balances[[#This Row],[Total]]*40%,0)</f>
        <v>0</v>
      </c>
      <c r="D3126" s="29">
        <f>ROUND(Balances[[#This Row],[Total]]*20%,0)</f>
        <v>0</v>
      </c>
      <c r="E3126" s="29">
        <f>ROUND(Balances[[#This Row],[Total]]*40%,0)</f>
        <v>0</v>
      </c>
      <c r="F3126" s="18">
        <f>SUM(Acueducto[[#This Row],[Acueducto]:[Aseo]])</f>
        <v>0</v>
      </c>
    </row>
    <row r="3127" spans="1:6" ht="15" x14ac:dyDescent="0.2">
      <c r="A3127" s="7">
        <v>738105</v>
      </c>
      <c r="B3127" s="3" t="s">
        <v>569</v>
      </c>
      <c r="C3127" s="29">
        <f>ROUND(Balances[[#This Row],[Total]]*40%,0)</f>
        <v>0</v>
      </c>
      <c r="D3127" s="29">
        <f>ROUND(Balances[[#This Row],[Total]]*20%,0)</f>
        <v>0</v>
      </c>
      <c r="E3127" s="29">
        <f>ROUND(Balances[[#This Row],[Total]]*40%,0)</f>
        <v>0</v>
      </c>
      <c r="F3127" s="18">
        <f>SUM(Acueducto[[#This Row],[Acueducto]:[Aseo]])</f>
        <v>0</v>
      </c>
    </row>
    <row r="3128" spans="1:6" ht="15" x14ac:dyDescent="0.2">
      <c r="A3128" s="7">
        <v>738106</v>
      </c>
      <c r="B3128" s="3" t="s">
        <v>1439</v>
      </c>
      <c r="C3128" s="29">
        <f>ROUND(Balances[[#This Row],[Total]]*40%,0)</f>
        <v>0</v>
      </c>
      <c r="D3128" s="29">
        <f>ROUND(Balances[[#This Row],[Total]]*20%,0)</f>
        <v>0</v>
      </c>
      <c r="E3128" s="29">
        <f>ROUND(Balances[[#This Row],[Total]]*40%,0)</f>
        <v>0</v>
      </c>
      <c r="F3128" s="18">
        <f>SUM(Acueducto[[#This Row],[Acueducto]:[Aseo]])</f>
        <v>0</v>
      </c>
    </row>
    <row r="3129" spans="1:6" ht="15" x14ac:dyDescent="0.2">
      <c r="A3129" s="7">
        <v>738107</v>
      </c>
      <c r="B3129" s="3" t="s">
        <v>1440</v>
      </c>
      <c r="C3129" s="29">
        <f>ROUND(Balances[[#This Row],[Total]]*40%,0)</f>
        <v>0</v>
      </c>
      <c r="D3129" s="29">
        <f>ROUND(Balances[[#This Row],[Total]]*20%,0)</f>
        <v>0</v>
      </c>
      <c r="E3129" s="29">
        <f>ROUND(Balances[[#This Row],[Total]]*40%,0)</f>
        <v>0</v>
      </c>
      <c r="F3129" s="18">
        <f>SUM(Acueducto[[#This Row],[Acueducto]:[Aseo]])</f>
        <v>0</v>
      </c>
    </row>
    <row r="3130" spans="1:6" ht="15" x14ac:dyDescent="0.2">
      <c r="A3130" s="7">
        <v>738108</v>
      </c>
      <c r="B3130" s="3" t="s">
        <v>1441</v>
      </c>
      <c r="C3130" s="29">
        <f>ROUND(Balances[[#This Row],[Total]]*40%,0)</f>
        <v>0</v>
      </c>
      <c r="D3130" s="29">
        <f>ROUND(Balances[[#This Row],[Total]]*20%,0)</f>
        <v>0</v>
      </c>
      <c r="E3130" s="29">
        <f>ROUND(Balances[[#This Row],[Total]]*40%,0)</f>
        <v>0</v>
      </c>
      <c r="F3130" s="18">
        <f>SUM(Acueducto[[#This Row],[Acueducto]:[Aseo]])</f>
        <v>0</v>
      </c>
    </row>
    <row r="3131" spans="1:6" ht="15" x14ac:dyDescent="0.2">
      <c r="A3131" s="7">
        <v>738109</v>
      </c>
      <c r="B3131" s="3" t="s">
        <v>1442</v>
      </c>
      <c r="C3131" s="29">
        <f>ROUND(Balances[[#This Row],[Total]]*40%,0)</f>
        <v>0</v>
      </c>
      <c r="D3131" s="29">
        <f>ROUND(Balances[[#This Row],[Total]]*20%,0)</f>
        <v>0</v>
      </c>
      <c r="E3131" s="29">
        <f>ROUND(Balances[[#This Row],[Total]]*40%,0)</f>
        <v>0</v>
      </c>
      <c r="F3131" s="18">
        <f>SUM(Acueducto[[#This Row],[Acueducto]:[Aseo]])</f>
        <v>0</v>
      </c>
    </row>
    <row r="3132" spans="1:6" ht="15" x14ac:dyDescent="0.2">
      <c r="A3132" s="7">
        <v>738110</v>
      </c>
      <c r="B3132" s="3" t="s">
        <v>1443</v>
      </c>
      <c r="C3132" s="29">
        <f>ROUND(Balances[[#This Row],[Total]]*40%,0)</f>
        <v>0</v>
      </c>
      <c r="D3132" s="29">
        <f>ROUND(Balances[[#This Row],[Total]]*20%,0)</f>
        <v>0</v>
      </c>
      <c r="E3132" s="29">
        <f>ROUND(Balances[[#This Row],[Total]]*40%,0)</f>
        <v>0</v>
      </c>
      <c r="F3132" s="18">
        <f>SUM(Acueducto[[#This Row],[Acueducto]:[Aseo]])</f>
        <v>0</v>
      </c>
    </row>
    <row r="3133" spans="1:6" ht="15" x14ac:dyDescent="0.2">
      <c r="A3133" s="7">
        <v>738195</v>
      </c>
      <c r="B3133" s="3" t="s">
        <v>1444</v>
      </c>
      <c r="C3133" s="29">
        <f>ROUND(Balances[[#This Row],[Total]]*40%,0)</f>
        <v>0</v>
      </c>
      <c r="D3133" s="29">
        <f>ROUND(Balances[[#This Row],[Total]]*20%,0)</f>
        <v>0</v>
      </c>
      <c r="E3133" s="29">
        <f>ROUND(Balances[[#This Row],[Total]]*40%,0)</f>
        <v>0</v>
      </c>
      <c r="F3133" s="18">
        <f>SUM(Acueducto[[#This Row],[Acueducto]:[Aseo]])</f>
        <v>0</v>
      </c>
    </row>
    <row r="3134" spans="1:6" ht="15" x14ac:dyDescent="0.2">
      <c r="A3134" s="8">
        <v>7382</v>
      </c>
      <c r="B3134" s="5" t="s">
        <v>1486</v>
      </c>
      <c r="C3134" s="28">
        <f>ROUND(Balances[[#This Row],[Total]]*40%,0)</f>
        <v>0</v>
      </c>
      <c r="D3134" s="28">
        <f>ROUND(Balances[[#This Row],[Total]]*20%,0)</f>
        <v>0</v>
      </c>
      <c r="E3134" s="28">
        <f>ROUND(Balances[[#This Row],[Total]]*40%,0)</f>
        <v>0</v>
      </c>
      <c r="F3134" s="17">
        <f>SUM(Acueducto[[#This Row],[Acueducto]:[Aseo]])</f>
        <v>0</v>
      </c>
    </row>
    <row r="3135" spans="1:6" ht="15" x14ac:dyDescent="0.2">
      <c r="A3135" s="7">
        <v>738201</v>
      </c>
      <c r="B3135" s="3" t="s">
        <v>1436</v>
      </c>
      <c r="C3135" s="29">
        <f>ROUND(Balances[[#This Row],[Total]]*40%,0)</f>
        <v>0</v>
      </c>
      <c r="D3135" s="29">
        <f>ROUND(Balances[[#This Row],[Total]]*20%,0)</f>
        <v>0</v>
      </c>
      <c r="E3135" s="29">
        <f>ROUND(Balances[[#This Row],[Total]]*40%,0)</f>
        <v>0</v>
      </c>
      <c r="F3135" s="18">
        <f>SUM(Acueducto[[#This Row],[Acueducto]:[Aseo]])</f>
        <v>0</v>
      </c>
    </row>
    <row r="3136" spans="1:6" ht="15" x14ac:dyDescent="0.2">
      <c r="A3136" s="7">
        <v>738202</v>
      </c>
      <c r="B3136" s="3" t="s">
        <v>1437</v>
      </c>
      <c r="C3136" s="29">
        <f>ROUND(Balances[[#This Row],[Total]]*40%,0)</f>
        <v>0</v>
      </c>
      <c r="D3136" s="29">
        <f>ROUND(Balances[[#This Row],[Total]]*20%,0)</f>
        <v>0</v>
      </c>
      <c r="E3136" s="29">
        <f>ROUND(Balances[[#This Row],[Total]]*40%,0)</f>
        <v>0</v>
      </c>
      <c r="F3136" s="18">
        <f>SUM(Acueducto[[#This Row],[Acueducto]:[Aseo]])</f>
        <v>0</v>
      </c>
    </row>
    <row r="3137" spans="1:6" ht="15" x14ac:dyDescent="0.2">
      <c r="A3137" s="7">
        <v>738203</v>
      </c>
      <c r="B3137" s="3" t="s">
        <v>568</v>
      </c>
      <c r="C3137" s="29">
        <f>ROUND(Balances[[#This Row],[Total]]*40%,0)</f>
        <v>0</v>
      </c>
      <c r="D3137" s="29">
        <f>ROUND(Balances[[#This Row],[Total]]*20%,0)</f>
        <v>0</v>
      </c>
      <c r="E3137" s="29">
        <f>ROUND(Balances[[#This Row],[Total]]*40%,0)</f>
        <v>0</v>
      </c>
      <c r="F3137" s="18">
        <f>SUM(Acueducto[[#This Row],[Acueducto]:[Aseo]])</f>
        <v>0</v>
      </c>
    </row>
    <row r="3138" spans="1:6" ht="15" x14ac:dyDescent="0.2">
      <c r="A3138" s="7">
        <v>738204</v>
      </c>
      <c r="B3138" s="3" t="s">
        <v>1438</v>
      </c>
      <c r="C3138" s="29">
        <f>ROUND(Balances[[#This Row],[Total]]*40%,0)</f>
        <v>0</v>
      </c>
      <c r="D3138" s="29">
        <f>ROUND(Balances[[#This Row],[Total]]*20%,0)</f>
        <v>0</v>
      </c>
      <c r="E3138" s="29">
        <f>ROUND(Balances[[#This Row],[Total]]*40%,0)</f>
        <v>0</v>
      </c>
      <c r="F3138" s="18">
        <f>SUM(Acueducto[[#This Row],[Acueducto]:[Aseo]])</f>
        <v>0</v>
      </c>
    </row>
    <row r="3139" spans="1:6" ht="15" x14ac:dyDescent="0.2">
      <c r="A3139" s="7">
        <v>738205</v>
      </c>
      <c r="B3139" s="3" t="s">
        <v>569</v>
      </c>
      <c r="C3139" s="29">
        <f>ROUND(Balances[[#This Row],[Total]]*40%,0)</f>
        <v>0</v>
      </c>
      <c r="D3139" s="29">
        <f>ROUND(Balances[[#This Row],[Total]]*20%,0)</f>
        <v>0</v>
      </c>
      <c r="E3139" s="29">
        <f>ROUND(Balances[[#This Row],[Total]]*40%,0)</f>
        <v>0</v>
      </c>
      <c r="F3139" s="18">
        <f>SUM(Acueducto[[#This Row],[Acueducto]:[Aseo]])</f>
        <v>0</v>
      </c>
    </row>
    <row r="3140" spans="1:6" ht="15" x14ac:dyDescent="0.2">
      <c r="A3140" s="7">
        <v>738206</v>
      </c>
      <c r="B3140" s="3" t="s">
        <v>1439</v>
      </c>
      <c r="C3140" s="29">
        <f>ROUND(Balances[[#This Row],[Total]]*40%,0)</f>
        <v>0</v>
      </c>
      <c r="D3140" s="29">
        <f>ROUND(Balances[[#This Row],[Total]]*20%,0)</f>
        <v>0</v>
      </c>
      <c r="E3140" s="29">
        <f>ROUND(Balances[[#This Row],[Total]]*40%,0)</f>
        <v>0</v>
      </c>
      <c r="F3140" s="18">
        <f>SUM(Acueducto[[#This Row],[Acueducto]:[Aseo]])</f>
        <v>0</v>
      </c>
    </row>
    <row r="3141" spans="1:6" ht="15" x14ac:dyDescent="0.2">
      <c r="A3141" s="7">
        <v>738207</v>
      </c>
      <c r="B3141" s="3" t="s">
        <v>1440</v>
      </c>
      <c r="C3141" s="29">
        <f>ROUND(Balances[[#This Row],[Total]]*40%,0)</f>
        <v>0</v>
      </c>
      <c r="D3141" s="29">
        <f>ROUND(Balances[[#This Row],[Total]]*20%,0)</f>
        <v>0</v>
      </c>
      <c r="E3141" s="29">
        <f>ROUND(Balances[[#This Row],[Total]]*40%,0)</f>
        <v>0</v>
      </c>
      <c r="F3141" s="18">
        <f>SUM(Acueducto[[#This Row],[Acueducto]:[Aseo]])</f>
        <v>0</v>
      </c>
    </row>
    <row r="3142" spans="1:6" ht="15" x14ac:dyDescent="0.2">
      <c r="A3142" s="7">
        <v>738208</v>
      </c>
      <c r="B3142" s="3" t="s">
        <v>1441</v>
      </c>
      <c r="C3142" s="29">
        <f>ROUND(Balances[[#This Row],[Total]]*40%,0)</f>
        <v>0</v>
      </c>
      <c r="D3142" s="29">
        <f>ROUND(Balances[[#This Row],[Total]]*20%,0)</f>
        <v>0</v>
      </c>
      <c r="E3142" s="29">
        <f>ROUND(Balances[[#This Row],[Total]]*40%,0)</f>
        <v>0</v>
      </c>
      <c r="F3142" s="18">
        <f>SUM(Acueducto[[#This Row],[Acueducto]:[Aseo]])</f>
        <v>0</v>
      </c>
    </row>
    <row r="3143" spans="1:6" ht="15" x14ac:dyDescent="0.2">
      <c r="A3143" s="7">
        <v>738209</v>
      </c>
      <c r="B3143" s="3" t="s">
        <v>1442</v>
      </c>
      <c r="C3143" s="29">
        <f>ROUND(Balances[[#This Row],[Total]]*40%,0)</f>
        <v>0</v>
      </c>
      <c r="D3143" s="29">
        <f>ROUND(Balances[[#This Row],[Total]]*20%,0)</f>
        <v>0</v>
      </c>
      <c r="E3143" s="29">
        <f>ROUND(Balances[[#This Row],[Total]]*40%,0)</f>
        <v>0</v>
      </c>
      <c r="F3143" s="18">
        <f>SUM(Acueducto[[#This Row],[Acueducto]:[Aseo]])</f>
        <v>0</v>
      </c>
    </row>
    <row r="3144" spans="1:6" ht="15" x14ac:dyDescent="0.2">
      <c r="A3144" s="7">
        <v>738210</v>
      </c>
      <c r="B3144" s="3" t="s">
        <v>1443</v>
      </c>
      <c r="C3144" s="29">
        <f>ROUND(Balances[[#This Row],[Total]]*40%,0)</f>
        <v>0</v>
      </c>
      <c r="D3144" s="29">
        <f>ROUND(Balances[[#This Row],[Total]]*20%,0)</f>
        <v>0</v>
      </c>
      <c r="E3144" s="29">
        <f>ROUND(Balances[[#This Row],[Total]]*40%,0)</f>
        <v>0</v>
      </c>
      <c r="F3144" s="18">
        <f>SUM(Acueducto[[#This Row],[Acueducto]:[Aseo]])</f>
        <v>0</v>
      </c>
    </row>
    <row r="3145" spans="1:6" ht="15" x14ac:dyDescent="0.2">
      <c r="A3145" s="7">
        <v>738295</v>
      </c>
      <c r="B3145" s="3" t="s">
        <v>1444</v>
      </c>
      <c r="C3145" s="29">
        <f>ROUND(Balances[[#This Row],[Total]]*40%,0)</f>
        <v>0</v>
      </c>
      <c r="D3145" s="29">
        <f>ROUND(Balances[[#This Row],[Total]]*20%,0)</f>
        <v>0</v>
      </c>
      <c r="E3145" s="29">
        <f>ROUND(Balances[[#This Row],[Total]]*40%,0)</f>
        <v>0</v>
      </c>
      <c r="F3145" s="18">
        <f>SUM(Acueducto[[#This Row],[Acueducto]:[Aseo]])</f>
        <v>0</v>
      </c>
    </row>
    <row r="3146" spans="1:6" ht="15" x14ac:dyDescent="0.2">
      <c r="A3146" s="6">
        <v>7383</v>
      </c>
      <c r="B3146" s="2" t="s">
        <v>1487</v>
      </c>
      <c r="C3146" s="28">
        <f>ROUND(Balances[[#This Row],[Total]]*40%,0)</f>
        <v>0</v>
      </c>
      <c r="D3146" s="28">
        <f>ROUND(Balances[[#This Row],[Total]]*20%,0)</f>
        <v>0</v>
      </c>
      <c r="E3146" s="28">
        <f>ROUND(Balances[[#This Row],[Total]]*40%,0)</f>
        <v>0</v>
      </c>
      <c r="F3146" s="17">
        <f>SUM(Acueducto[[#This Row],[Acueducto]:[Aseo]])</f>
        <v>0</v>
      </c>
    </row>
    <row r="3147" spans="1:6" ht="15" x14ac:dyDescent="0.2">
      <c r="A3147" s="7">
        <v>738301</v>
      </c>
      <c r="B3147" s="3" t="s">
        <v>1436</v>
      </c>
      <c r="C3147" s="29">
        <f>ROUND(Balances[[#This Row],[Total]]*40%,0)</f>
        <v>0</v>
      </c>
      <c r="D3147" s="29">
        <f>ROUND(Balances[[#This Row],[Total]]*20%,0)</f>
        <v>0</v>
      </c>
      <c r="E3147" s="29">
        <f>ROUND(Balances[[#This Row],[Total]]*40%,0)</f>
        <v>0</v>
      </c>
      <c r="F3147" s="18">
        <f>SUM(Acueducto[[#This Row],[Acueducto]:[Aseo]])</f>
        <v>0</v>
      </c>
    </row>
    <row r="3148" spans="1:6" ht="15" x14ac:dyDescent="0.2">
      <c r="A3148" s="7">
        <v>738302</v>
      </c>
      <c r="B3148" s="3" t="s">
        <v>1437</v>
      </c>
      <c r="C3148" s="29">
        <f>ROUND(Balances[[#This Row],[Total]]*40%,0)</f>
        <v>0</v>
      </c>
      <c r="D3148" s="29">
        <f>ROUND(Balances[[#This Row],[Total]]*20%,0)</f>
        <v>0</v>
      </c>
      <c r="E3148" s="29">
        <f>ROUND(Balances[[#This Row],[Total]]*40%,0)</f>
        <v>0</v>
      </c>
      <c r="F3148" s="18">
        <f>SUM(Acueducto[[#This Row],[Acueducto]:[Aseo]])</f>
        <v>0</v>
      </c>
    </row>
    <row r="3149" spans="1:6" ht="15" x14ac:dyDescent="0.2">
      <c r="A3149" s="7">
        <v>738303</v>
      </c>
      <c r="B3149" s="3" t="s">
        <v>568</v>
      </c>
      <c r="C3149" s="29">
        <f>ROUND(Balances[[#This Row],[Total]]*40%,0)</f>
        <v>0</v>
      </c>
      <c r="D3149" s="29">
        <f>ROUND(Balances[[#This Row],[Total]]*20%,0)</f>
        <v>0</v>
      </c>
      <c r="E3149" s="29">
        <f>ROUND(Balances[[#This Row],[Total]]*40%,0)</f>
        <v>0</v>
      </c>
      <c r="F3149" s="18">
        <f>SUM(Acueducto[[#This Row],[Acueducto]:[Aseo]])</f>
        <v>0</v>
      </c>
    </row>
    <row r="3150" spans="1:6" ht="15" x14ac:dyDescent="0.2">
      <c r="A3150" s="7">
        <v>738304</v>
      </c>
      <c r="B3150" s="3" t="s">
        <v>1438</v>
      </c>
      <c r="C3150" s="29">
        <f>ROUND(Balances[[#This Row],[Total]]*40%,0)</f>
        <v>0</v>
      </c>
      <c r="D3150" s="29">
        <f>ROUND(Balances[[#This Row],[Total]]*20%,0)</f>
        <v>0</v>
      </c>
      <c r="E3150" s="29">
        <f>ROUND(Balances[[#This Row],[Total]]*40%,0)</f>
        <v>0</v>
      </c>
      <c r="F3150" s="18">
        <f>SUM(Acueducto[[#This Row],[Acueducto]:[Aseo]])</f>
        <v>0</v>
      </c>
    </row>
    <row r="3151" spans="1:6" ht="15" x14ac:dyDescent="0.2">
      <c r="A3151" s="7">
        <v>738305</v>
      </c>
      <c r="B3151" s="3" t="s">
        <v>569</v>
      </c>
      <c r="C3151" s="29">
        <f>ROUND(Balances[[#This Row],[Total]]*40%,0)</f>
        <v>0</v>
      </c>
      <c r="D3151" s="29">
        <f>ROUND(Balances[[#This Row],[Total]]*20%,0)</f>
        <v>0</v>
      </c>
      <c r="E3151" s="29">
        <f>ROUND(Balances[[#This Row],[Total]]*40%,0)</f>
        <v>0</v>
      </c>
      <c r="F3151" s="18">
        <f>SUM(Acueducto[[#This Row],[Acueducto]:[Aseo]])</f>
        <v>0</v>
      </c>
    </row>
    <row r="3152" spans="1:6" ht="15" x14ac:dyDescent="0.2">
      <c r="A3152" s="7">
        <v>738306</v>
      </c>
      <c r="B3152" s="3" t="s">
        <v>1439</v>
      </c>
      <c r="C3152" s="29">
        <f>ROUND(Balances[[#This Row],[Total]]*40%,0)</f>
        <v>0</v>
      </c>
      <c r="D3152" s="29">
        <f>ROUND(Balances[[#This Row],[Total]]*20%,0)</f>
        <v>0</v>
      </c>
      <c r="E3152" s="29">
        <f>ROUND(Balances[[#This Row],[Total]]*40%,0)</f>
        <v>0</v>
      </c>
      <c r="F3152" s="18">
        <f>SUM(Acueducto[[#This Row],[Acueducto]:[Aseo]])</f>
        <v>0</v>
      </c>
    </row>
    <row r="3153" spans="1:6" ht="15" x14ac:dyDescent="0.2">
      <c r="A3153" s="7">
        <v>738307</v>
      </c>
      <c r="B3153" s="3" t="s">
        <v>1440</v>
      </c>
      <c r="C3153" s="29">
        <f>ROUND(Balances[[#This Row],[Total]]*40%,0)</f>
        <v>0</v>
      </c>
      <c r="D3153" s="29">
        <f>ROUND(Balances[[#This Row],[Total]]*20%,0)</f>
        <v>0</v>
      </c>
      <c r="E3153" s="29">
        <f>ROUND(Balances[[#This Row],[Total]]*40%,0)</f>
        <v>0</v>
      </c>
      <c r="F3153" s="18">
        <f>SUM(Acueducto[[#This Row],[Acueducto]:[Aseo]])</f>
        <v>0</v>
      </c>
    </row>
    <row r="3154" spans="1:6" ht="15" x14ac:dyDescent="0.2">
      <c r="A3154" s="7">
        <v>738308</v>
      </c>
      <c r="B3154" s="3" t="s">
        <v>1441</v>
      </c>
      <c r="C3154" s="29">
        <f>ROUND(Balances[[#This Row],[Total]]*40%,0)</f>
        <v>0</v>
      </c>
      <c r="D3154" s="29">
        <f>ROUND(Balances[[#This Row],[Total]]*20%,0)</f>
        <v>0</v>
      </c>
      <c r="E3154" s="29">
        <f>ROUND(Balances[[#This Row],[Total]]*40%,0)</f>
        <v>0</v>
      </c>
      <c r="F3154" s="18">
        <f>SUM(Acueducto[[#This Row],[Acueducto]:[Aseo]])</f>
        <v>0</v>
      </c>
    </row>
    <row r="3155" spans="1:6" ht="15" x14ac:dyDescent="0.2">
      <c r="A3155" s="7">
        <v>738309</v>
      </c>
      <c r="B3155" s="3" t="s">
        <v>1442</v>
      </c>
      <c r="C3155" s="29">
        <f>ROUND(Balances[[#This Row],[Total]]*40%,0)</f>
        <v>0</v>
      </c>
      <c r="D3155" s="29">
        <f>ROUND(Balances[[#This Row],[Total]]*20%,0)</f>
        <v>0</v>
      </c>
      <c r="E3155" s="29">
        <f>ROUND(Balances[[#This Row],[Total]]*40%,0)</f>
        <v>0</v>
      </c>
      <c r="F3155" s="18">
        <f>SUM(Acueducto[[#This Row],[Acueducto]:[Aseo]])</f>
        <v>0</v>
      </c>
    </row>
    <row r="3156" spans="1:6" ht="15" x14ac:dyDescent="0.2">
      <c r="A3156" s="7">
        <v>738310</v>
      </c>
      <c r="B3156" s="3" t="s">
        <v>1443</v>
      </c>
      <c r="C3156" s="29">
        <f>ROUND(Balances[[#This Row],[Total]]*40%,0)</f>
        <v>0</v>
      </c>
      <c r="D3156" s="29">
        <f>ROUND(Balances[[#This Row],[Total]]*20%,0)</f>
        <v>0</v>
      </c>
      <c r="E3156" s="29">
        <f>ROUND(Balances[[#This Row],[Total]]*40%,0)</f>
        <v>0</v>
      </c>
      <c r="F3156" s="18">
        <f>SUM(Acueducto[[#This Row],[Acueducto]:[Aseo]])</f>
        <v>0</v>
      </c>
    </row>
    <row r="3157" spans="1:6" ht="15" x14ac:dyDescent="0.2">
      <c r="A3157" s="7">
        <v>738395</v>
      </c>
      <c r="B3157" s="3" t="s">
        <v>1444</v>
      </c>
      <c r="C3157" s="29">
        <f>ROUND(Balances[[#This Row],[Total]]*40%,0)</f>
        <v>0</v>
      </c>
      <c r="D3157" s="29">
        <f>ROUND(Balances[[#This Row],[Total]]*20%,0)</f>
        <v>0</v>
      </c>
      <c r="E3157" s="29">
        <f>ROUND(Balances[[#This Row],[Total]]*40%,0)</f>
        <v>0</v>
      </c>
      <c r="F3157" s="18">
        <f>SUM(Acueducto[[#This Row],[Acueducto]:[Aseo]])</f>
        <v>0</v>
      </c>
    </row>
    <row r="3158" spans="1:6" ht="15" x14ac:dyDescent="0.2">
      <c r="A3158" s="6">
        <v>7384</v>
      </c>
      <c r="B3158" s="2" t="s">
        <v>1488</v>
      </c>
      <c r="C3158" s="28">
        <f>ROUND(Balances[[#This Row],[Total]]*40%,0)</f>
        <v>0</v>
      </c>
      <c r="D3158" s="28">
        <f>ROUND(Balances[[#This Row],[Total]]*20%,0)</f>
        <v>0</v>
      </c>
      <c r="E3158" s="28">
        <f>ROUND(Balances[[#This Row],[Total]]*40%,0)</f>
        <v>0</v>
      </c>
      <c r="F3158" s="17">
        <f>SUM(Acueducto[[#This Row],[Acueducto]:[Aseo]])</f>
        <v>0</v>
      </c>
    </row>
    <row r="3159" spans="1:6" ht="15" x14ac:dyDescent="0.2">
      <c r="A3159" s="7">
        <v>738401</v>
      </c>
      <c r="B3159" s="3" t="s">
        <v>1436</v>
      </c>
      <c r="C3159" s="29">
        <f>ROUND(Balances[[#This Row],[Total]]*40%,0)</f>
        <v>0</v>
      </c>
      <c r="D3159" s="29">
        <f>ROUND(Balances[[#This Row],[Total]]*20%,0)</f>
        <v>0</v>
      </c>
      <c r="E3159" s="29">
        <f>ROUND(Balances[[#This Row],[Total]]*40%,0)</f>
        <v>0</v>
      </c>
      <c r="F3159" s="18">
        <f>SUM(Acueducto[[#This Row],[Acueducto]:[Aseo]])</f>
        <v>0</v>
      </c>
    </row>
    <row r="3160" spans="1:6" ht="15" x14ac:dyDescent="0.2">
      <c r="A3160" s="7">
        <v>738402</v>
      </c>
      <c r="B3160" s="3" t="s">
        <v>1437</v>
      </c>
      <c r="C3160" s="29">
        <f>ROUND(Balances[[#This Row],[Total]]*40%,0)</f>
        <v>0</v>
      </c>
      <c r="D3160" s="29">
        <f>ROUND(Balances[[#This Row],[Total]]*20%,0)</f>
        <v>0</v>
      </c>
      <c r="E3160" s="29">
        <f>ROUND(Balances[[#This Row],[Total]]*40%,0)</f>
        <v>0</v>
      </c>
      <c r="F3160" s="18">
        <f>SUM(Acueducto[[#This Row],[Acueducto]:[Aseo]])</f>
        <v>0</v>
      </c>
    </row>
    <row r="3161" spans="1:6" ht="15" x14ac:dyDescent="0.2">
      <c r="A3161" s="7">
        <v>738403</v>
      </c>
      <c r="B3161" s="3" t="s">
        <v>568</v>
      </c>
      <c r="C3161" s="29">
        <f>ROUND(Balances[[#This Row],[Total]]*40%,0)</f>
        <v>0</v>
      </c>
      <c r="D3161" s="29">
        <f>ROUND(Balances[[#This Row],[Total]]*20%,0)</f>
        <v>0</v>
      </c>
      <c r="E3161" s="29">
        <f>ROUND(Balances[[#This Row],[Total]]*40%,0)</f>
        <v>0</v>
      </c>
      <c r="F3161" s="18">
        <f>SUM(Acueducto[[#This Row],[Acueducto]:[Aseo]])</f>
        <v>0</v>
      </c>
    </row>
    <row r="3162" spans="1:6" ht="15" x14ac:dyDescent="0.2">
      <c r="A3162" s="7">
        <v>738404</v>
      </c>
      <c r="B3162" s="3" t="s">
        <v>1438</v>
      </c>
      <c r="C3162" s="29">
        <f>ROUND(Balances[[#This Row],[Total]]*40%,0)</f>
        <v>0</v>
      </c>
      <c r="D3162" s="29">
        <f>ROUND(Balances[[#This Row],[Total]]*20%,0)</f>
        <v>0</v>
      </c>
      <c r="E3162" s="29">
        <f>ROUND(Balances[[#This Row],[Total]]*40%,0)</f>
        <v>0</v>
      </c>
      <c r="F3162" s="18">
        <f>SUM(Acueducto[[#This Row],[Acueducto]:[Aseo]])</f>
        <v>0</v>
      </c>
    </row>
    <row r="3163" spans="1:6" ht="15" x14ac:dyDescent="0.2">
      <c r="A3163" s="7">
        <v>738405</v>
      </c>
      <c r="B3163" s="3" t="s">
        <v>569</v>
      </c>
      <c r="C3163" s="29">
        <f>ROUND(Balances[[#This Row],[Total]]*40%,0)</f>
        <v>0</v>
      </c>
      <c r="D3163" s="29">
        <f>ROUND(Balances[[#This Row],[Total]]*20%,0)</f>
        <v>0</v>
      </c>
      <c r="E3163" s="29">
        <f>ROUND(Balances[[#This Row],[Total]]*40%,0)</f>
        <v>0</v>
      </c>
      <c r="F3163" s="18">
        <f>SUM(Acueducto[[#This Row],[Acueducto]:[Aseo]])</f>
        <v>0</v>
      </c>
    </row>
    <row r="3164" spans="1:6" ht="15" x14ac:dyDescent="0.2">
      <c r="A3164" s="7">
        <v>738406</v>
      </c>
      <c r="B3164" s="3" t="s">
        <v>1439</v>
      </c>
      <c r="C3164" s="29">
        <f>ROUND(Balances[[#This Row],[Total]]*40%,0)</f>
        <v>0</v>
      </c>
      <c r="D3164" s="29">
        <f>ROUND(Balances[[#This Row],[Total]]*20%,0)</f>
        <v>0</v>
      </c>
      <c r="E3164" s="29">
        <f>ROUND(Balances[[#This Row],[Total]]*40%,0)</f>
        <v>0</v>
      </c>
      <c r="F3164" s="18">
        <f>SUM(Acueducto[[#This Row],[Acueducto]:[Aseo]])</f>
        <v>0</v>
      </c>
    </row>
    <row r="3165" spans="1:6" ht="15" x14ac:dyDescent="0.2">
      <c r="A3165" s="7">
        <v>738407</v>
      </c>
      <c r="B3165" s="3" t="s">
        <v>1440</v>
      </c>
      <c r="C3165" s="29">
        <f>ROUND(Balances[[#This Row],[Total]]*40%,0)</f>
        <v>0</v>
      </c>
      <c r="D3165" s="29">
        <f>ROUND(Balances[[#This Row],[Total]]*20%,0)</f>
        <v>0</v>
      </c>
      <c r="E3165" s="29">
        <f>ROUND(Balances[[#This Row],[Total]]*40%,0)</f>
        <v>0</v>
      </c>
      <c r="F3165" s="18">
        <f>SUM(Acueducto[[#This Row],[Acueducto]:[Aseo]])</f>
        <v>0</v>
      </c>
    </row>
    <row r="3166" spans="1:6" ht="15" x14ac:dyDescent="0.2">
      <c r="A3166" s="7">
        <v>738408</v>
      </c>
      <c r="B3166" s="3" t="s">
        <v>1441</v>
      </c>
      <c r="C3166" s="29">
        <f>ROUND(Balances[[#This Row],[Total]]*40%,0)</f>
        <v>0</v>
      </c>
      <c r="D3166" s="29">
        <f>ROUND(Balances[[#This Row],[Total]]*20%,0)</f>
        <v>0</v>
      </c>
      <c r="E3166" s="29">
        <f>ROUND(Balances[[#This Row],[Total]]*40%,0)</f>
        <v>0</v>
      </c>
      <c r="F3166" s="18">
        <f>SUM(Acueducto[[#This Row],[Acueducto]:[Aseo]])</f>
        <v>0</v>
      </c>
    </row>
    <row r="3167" spans="1:6" ht="15" x14ac:dyDescent="0.2">
      <c r="A3167" s="7">
        <v>738409</v>
      </c>
      <c r="B3167" s="3" t="s">
        <v>1442</v>
      </c>
      <c r="C3167" s="29">
        <f>ROUND(Balances[[#This Row],[Total]]*40%,0)</f>
        <v>0</v>
      </c>
      <c r="D3167" s="29">
        <f>ROUND(Balances[[#This Row],[Total]]*20%,0)</f>
        <v>0</v>
      </c>
      <c r="E3167" s="29">
        <f>ROUND(Balances[[#This Row],[Total]]*40%,0)</f>
        <v>0</v>
      </c>
      <c r="F3167" s="18">
        <f>SUM(Acueducto[[#This Row],[Acueducto]:[Aseo]])</f>
        <v>0</v>
      </c>
    </row>
    <row r="3168" spans="1:6" ht="15" x14ac:dyDescent="0.2">
      <c r="A3168" s="7">
        <v>738410</v>
      </c>
      <c r="B3168" s="3" t="s">
        <v>1443</v>
      </c>
      <c r="C3168" s="29">
        <f>ROUND(Balances[[#This Row],[Total]]*40%,0)</f>
        <v>0</v>
      </c>
      <c r="D3168" s="29">
        <f>ROUND(Balances[[#This Row],[Total]]*20%,0)</f>
        <v>0</v>
      </c>
      <c r="E3168" s="29">
        <f>ROUND(Balances[[#This Row],[Total]]*40%,0)</f>
        <v>0</v>
      </c>
      <c r="F3168" s="18">
        <f>SUM(Acueducto[[#This Row],[Acueducto]:[Aseo]])</f>
        <v>0</v>
      </c>
    </row>
    <row r="3169" spans="1:6" ht="15" x14ac:dyDescent="0.2">
      <c r="A3169" s="7">
        <v>738495</v>
      </c>
      <c r="B3169" s="3" t="s">
        <v>1444</v>
      </c>
      <c r="C3169" s="29">
        <f>ROUND(Balances[[#This Row],[Total]]*40%,0)</f>
        <v>0</v>
      </c>
      <c r="D3169" s="29">
        <f>ROUND(Balances[[#This Row],[Total]]*20%,0)</f>
        <v>0</v>
      </c>
      <c r="E3169" s="29">
        <f>ROUND(Balances[[#This Row],[Total]]*40%,0)</f>
        <v>0</v>
      </c>
      <c r="F3169" s="18">
        <f>SUM(Acueducto[[#This Row],[Acueducto]:[Aseo]])</f>
        <v>0</v>
      </c>
    </row>
    <row r="3170" spans="1:6" ht="15" x14ac:dyDescent="0.2">
      <c r="A3170" s="6">
        <v>7385</v>
      </c>
      <c r="B3170" s="2" t="s">
        <v>1489</v>
      </c>
      <c r="C3170" s="28">
        <f>ROUND(Balances[[#This Row],[Total]]*40%,0)</f>
        <v>0</v>
      </c>
      <c r="D3170" s="28">
        <f>ROUND(Balances[[#This Row],[Total]]*20%,0)</f>
        <v>0</v>
      </c>
      <c r="E3170" s="28">
        <f>ROUND(Balances[[#This Row],[Total]]*40%,0)</f>
        <v>0</v>
      </c>
      <c r="F3170" s="17">
        <f>SUM(Acueducto[[#This Row],[Acueducto]:[Aseo]])</f>
        <v>0</v>
      </c>
    </row>
    <row r="3171" spans="1:6" ht="15" x14ac:dyDescent="0.2">
      <c r="A3171" s="7">
        <v>738501</v>
      </c>
      <c r="B3171" s="3" t="s">
        <v>1436</v>
      </c>
      <c r="C3171" s="29">
        <f>ROUND(Balances[[#This Row],[Total]]*40%,0)</f>
        <v>0</v>
      </c>
      <c r="D3171" s="29">
        <f>ROUND(Balances[[#This Row],[Total]]*20%,0)</f>
        <v>0</v>
      </c>
      <c r="E3171" s="29">
        <f>ROUND(Balances[[#This Row],[Total]]*40%,0)</f>
        <v>0</v>
      </c>
      <c r="F3171" s="18">
        <f>SUM(Acueducto[[#This Row],[Acueducto]:[Aseo]])</f>
        <v>0</v>
      </c>
    </row>
    <row r="3172" spans="1:6" ht="15" x14ac:dyDescent="0.2">
      <c r="A3172" s="7">
        <v>738502</v>
      </c>
      <c r="B3172" s="3" t="s">
        <v>1437</v>
      </c>
      <c r="C3172" s="29">
        <f>ROUND(Balances[[#This Row],[Total]]*40%,0)</f>
        <v>0</v>
      </c>
      <c r="D3172" s="29">
        <f>ROUND(Balances[[#This Row],[Total]]*20%,0)</f>
        <v>0</v>
      </c>
      <c r="E3172" s="29">
        <f>ROUND(Balances[[#This Row],[Total]]*40%,0)</f>
        <v>0</v>
      </c>
      <c r="F3172" s="18">
        <f>SUM(Acueducto[[#This Row],[Acueducto]:[Aseo]])</f>
        <v>0</v>
      </c>
    </row>
    <row r="3173" spans="1:6" ht="15" x14ac:dyDescent="0.2">
      <c r="A3173" s="7">
        <v>738503</v>
      </c>
      <c r="B3173" s="3" t="s">
        <v>568</v>
      </c>
      <c r="C3173" s="29">
        <f>ROUND(Balances[[#This Row],[Total]]*40%,0)</f>
        <v>0</v>
      </c>
      <c r="D3173" s="29">
        <f>ROUND(Balances[[#This Row],[Total]]*20%,0)</f>
        <v>0</v>
      </c>
      <c r="E3173" s="29">
        <f>ROUND(Balances[[#This Row],[Total]]*40%,0)</f>
        <v>0</v>
      </c>
      <c r="F3173" s="18">
        <f>SUM(Acueducto[[#This Row],[Acueducto]:[Aseo]])</f>
        <v>0</v>
      </c>
    </row>
    <row r="3174" spans="1:6" ht="15" x14ac:dyDescent="0.2">
      <c r="A3174" s="7">
        <v>738504</v>
      </c>
      <c r="B3174" s="3" t="s">
        <v>1438</v>
      </c>
      <c r="C3174" s="29">
        <f>ROUND(Balances[[#This Row],[Total]]*40%,0)</f>
        <v>0</v>
      </c>
      <c r="D3174" s="29">
        <f>ROUND(Balances[[#This Row],[Total]]*20%,0)</f>
        <v>0</v>
      </c>
      <c r="E3174" s="29">
        <f>ROUND(Balances[[#This Row],[Total]]*40%,0)</f>
        <v>0</v>
      </c>
      <c r="F3174" s="18">
        <f>SUM(Acueducto[[#This Row],[Acueducto]:[Aseo]])</f>
        <v>0</v>
      </c>
    </row>
    <row r="3175" spans="1:6" ht="15" x14ac:dyDescent="0.2">
      <c r="A3175" s="7">
        <v>738505</v>
      </c>
      <c r="B3175" s="3" t="s">
        <v>569</v>
      </c>
      <c r="C3175" s="29">
        <f>ROUND(Balances[[#This Row],[Total]]*40%,0)</f>
        <v>0</v>
      </c>
      <c r="D3175" s="29">
        <f>ROUND(Balances[[#This Row],[Total]]*20%,0)</f>
        <v>0</v>
      </c>
      <c r="E3175" s="29">
        <f>ROUND(Balances[[#This Row],[Total]]*40%,0)</f>
        <v>0</v>
      </c>
      <c r="F3175" s="18">
        <f>SUM(Acueducto[[#This Row],[Acueducto]:[Aseo]])</f>
        <v>0</v>
      </c>
    </row>
    <row r="3176" spans="1:6" ht="15" x14ac:dyDescent="0.2">
      <c r="A3176" s="7">
        <v>738506</v>
      </c>
      <c r="B3176" s="3" t="s">
        <v>1439</v>
      </c>
      <c r="C3176" s="29">
        <f>ROUND(Balances[[#This Row],[Total]]*40%,0)</f>
        <v>0</v>
      </c>
      <c r="D3176" s="29">
        <f>ROUND(Balances[[#This Row],[Total]]*20%,0)</f>
        <v>0</v>
      </c>
      <c r="E3176" s="29">
        <f>ROUND(Balances[[#This Row],[Total]]*40%,0)</f>
        <v>0</v>
      </c>
      <c r="F3176" s="18">
        <f>SUM(Acueducto[[#This Row],[Acueducto]:[Aseo]])</f>
        <v>0</v>
      </c>
    </row>
    <row r="3177" spans="1:6" ht="15" x14ac:dyDescent="0.2">
      <c r="A3177" s="7">
        <v>738507</v>
      </c>
      <c r="B3177" s="3" t="s">
        <v>1440</v>
      </c>
      <c r="C3177" s="29">
        <f>ROUND(Balances[[#This Row],[Total]]*40%,0)</f>
        <v>0</v>
      </c>
      <c r="D3177" s="29">
        <f>ROUND(Balances[[#This Row],[Total]]*20%,0)</f>
        <v>0</v>
      </c>
      <c r="E3177" s="29">
        <f>ROUND(Balances[[#This Row],[Total]]*40%,0)</f>
        <v>0</v>
      </c>
      <c r="F3177" s="18">
        <f>SUM(Acueducto[[#This Row],[Acueducto]:[Aseo]])</f>
        <v>0</v>
      </c>
    </row>
    <row r="3178" spans="1:6" ht="15" x14ac:dyDescent="0.2">
      <c r="A3178" s="7">
        <v>738508</v>
      </c>
      <c r="B3178" s="3" t="s">
        <v>1441</v>
      </c>
      <c r="C3178" s="29">
        <f>ROUND(Balances[[#This Row],[Total]]*40%,0)</f>
        <v>0</v>
      </c>
      <c r="D3178" s="29">
        <f>ROUND(Balances[[#This Row],[Total]]*20%,0)</f>
        <v>0</v>
      </c>
      <c r="E3178" s="29">
        <f>ROUND(Balances[[#This Row],[Total]]*40%,0)</f>
        <v>0</v>
      </c>
      <c r="F3178" s="18">
        <f>SUM(Acueducto[[#This Row],[Acueducto]:[Aseo]])</f>
        <v>0</v>
      </c>
    </row>
    <row r="3179" spans="1:6" ht="15" x14ac:dyDescent="0.2">
      <c r="A3179" s="7">
        <v>738509</v>
      </c>
      <c r="B3179" s="3" t="s">
        <v>1442</v>
      </c>
      <c r="C3179" s="29">
        <f>ROUND(Balances[[#This Row],[Total]]*40%,0)</f>
        <v>0</v>
      </c>
      <c r="D3179" s="29">
        <f>ROUND(Balances[[#This Row],[Total]]*20%,0)</f>
        <v>0</v>
      </c>
      <c r="E3179" s="29">
        <f>ROUND(Balances[[#This Row],[Total]]*40%,0)</f>
        <v>0</v>
      </c>
      <c r="F3179" s="18">
        <f>SUM(Acueducto[[#This Row],[Acueducto]:[Aseo]])</f>
        <v>0</v>
      </c>
    </row>
    <row r="3180" spans="1:6" ht="15" x14ac:dyDescent="0.2">
      <c r="A3180" s="7">
        <v>738510</v>
      </c>
      <c r="B3180" s="3" t="s">
        <v>1443</v>
      </c>
      <c r="C3180" s="29">
        <f>ROUND(Balances[[#This Row],[Total]]*40%,0)</f>
        <v>0</v>
      </c>
      <c r="D3180" s="29">
        <f>ROUND(Balances[[#This Row],[Total]]*20%,0)</f>
        <v>0</v>
      </c>
      <c r="E3180" s="29">
        <f>ROUND(Balances[[#This Row],[Total]]*40%,0)</f>
        <v>0</v>
      </c>
      <c r="F3180" s="18">
        <f>SUM(Acueducto[[#This Row],[Acueducto]:[Aseo]])</f>
        <v>0</v>
      </c>
    </row>
    <row r="3181" spans="1:6" ht="15" x14ac:dyDescent="0.2">
      <c r="A3181" s="7">
        <v>738595</v>
      </c>
      <c r="B3181" s="3" t="s">
        <v>1444</v>
      </c>
      <c r="C3181" s="29">
        <f>ROUND(Balances[[#This Row],[Total]]*40%,0)</f>
        <v>0</v>
      </c>
      <c r="D3181" s="29">
        <f>ROUND(Balances[[#This Row],[Total]]*20%,0)</f>
        <v>0</v>
      </c>
      <c r="E3181" s="29">
        <f>ROUND(Balances[[#This Row],[Total]]*40%,0)</f>
        <v>0</v>
      </c>
      <c r="F3181" s="18">
        <f>SUM(Acueducto[[#This Row],[Acueducto]:[Aseo]])</f>
        <v>0</v>
      </c>
    </row>
    <row r="3182" spans="1:6" ht="15" x14ac:dyDescent="0.2">
      <c r="A3182" s="6">
        <v>7386</v>
      </c>
      <c r="B3182" s="2" t="s">
        <v>1490</v>
      </c>
      <c r="C3182" s="28">
        <f>ROUND(Balances[[#This Row],[Total]]*40%,0)</f>
        <v>0</v>
      </c>
      <c r="D3182" s="28">
        <f>ROUND(Balances[[#This Row],[Total]]*20%,0)</f>
        <v>0</v>
      </c>
      <c r="E3182" s="28">
        <f>ROUND(Balances[[#This Row],[Total]]*40%,0)</f>
        <v>0</v>
      </c>
      <c r="F3182" s="17">
        <f>SUM(Acueducto[[#This Row],[Acueducto]:[Aseo]])</f>
        <v>0</v>
      </c>
    </row>
    <row r="3183" spans="1:6" ht="15" x14ac:dyDescent="0.2">
      <c r="A3183" s="7">
        <v>738601</v>
      </c>
      <c r="B3183" s="3" t="s">
        <v>1436</v>
      </c>
      <c r="C3183" s="29">
        <f>ROUND(Balances[[#This Row],[Total]]*40%,0)</f>
        <v>0</v>
      </c>
      <c r="D3183" s="29">
        <f>ROUND(Balances[[#This Row],[Total]]*20%,0)</f>
        <v>0</v>
      </c>
      <c r="E3183" s="29">
        <f>ROUND(Balances[[#This Row],[Total]]*40%,0)</f>
        <v>0</v>
      </c>
      <c r="F3183" s="18">
        <f>SUM(Acueducto[[#This Row],[Acueducto]:[Aseo]])</f>
        <v>0</v>
      </c>
    </row>
    <row r="3184" spans="1:6" ht="15" x14ac:dyDescent="0.2">
      <c r="A3184" s="7">
        <v>738602</v>
      </c>
      <c r="B3184" s="3" t="s">
        <v>1437</v>
      </c>
      <c r="C3184" s="29">
        <f>ROUND(Balances[[#This Row],[Total]]*40%,0)</f>
        <v>0</v>
      </c>
      <c r="D3184" s="29">
        <f>ROUND(Balances[[#This Row],[Total]]*20%,0)</f>
        <v>0</v>
      </c>
      <c r="E3184" s="29">
        <f>ROUND(Balances[[#This Row],[Total]]*40%,0)</f>
        <v>0</v>
      </c>
      <c r="F3184" s="18">
        <f>SUM(Acueducto[[#This Row],[Acueducto]:[Aseo]])</f>
        <v>0</v>
      </c>
    </row>
    <row r="3185" spans="1:6" ht="15" x14ac:dyDescent="0.2">
      <c r="A3185" s="7">
        <v>738603</v>
      </c>
      <c r="B3185" s="3" t="s">
        <v>568</v>
      </c>
      <c r="C3185" s="29">
        <f>ROUND(Balances[[#This Row],[Total]]*40%,0)</f>
        <v>0</v>
      </c>
      <c r="D3185" s="29">
        <f>ROUND(Balances[[#This Row],[Total]]*20%,0)</f>
        <v>0</v>
      </c>
      <c r="E3185" s="29">
        <f>ROUND(Balances[[#This Row],[Total]]*40%,0)</f>
        <v>0</v>
      </c>
      <c r="F3185" s="18">
        <f>SUM(Acueducto[[#This Row],[Acueducto]:[Aseo]])</f>
        <v>0</v>
      </c>
    </row>
    <row r="3186" spans="1:6" ht="15" x14ac:dyDescent="0.2">
      <c r="A3186" s="7">
        <v>738604</v>
      </c>
      <c r="B3186" s="3" t="s">
        <v>1438</v>
      </c>
      <c r="C3186" s="29">
        <f>ROUND(Balances[[#This Row],[Total]]*40%,0)</f>
        <v>0</v>
      </c>
      <c r="D3186" s="29">
        <f>ROUND(Balances[[#This Row],[Total]]*20%,0)</f>
        <v>0</v>
      </c>
      <c r="E3186" s="29">
        <f>ROUND(Balances[[#This Row],[Total]]*40%,0)</f>
        <v>0</v>
      </c>
      <c r="F3186" s="18">
        <f>SUM(Acueducto[[#This Row],[Acueducto]:[Aseo]])</f>
        <v>0</v>
      </c>
    </row>
    <row r="3187" spans="1:6" ht="15" x14ac:dyDescent="0.2">
      <c r="A3187" s="7">
        <v>738605</v>
      </c>
      <c r="B3187" s="3" t="s">
        <v>569</v>
      </c>
      <c r="C3187" s="29">
        <f>ROUND(Balances[[#This Row],[Total]]*40%,0)</f>
        <v>0</v>
      </c>
      <c r="D3187" s="29">
        <f>ROUND(Balances[[#This Row],[Total]]*20%,0)</f>
        <v>0</v>
      </c>
      <c r="E3187" s="29">
        <f>ROUND(Balances[[#This Row],[Total]]*40%,0)</f>
        <v>0</v>
      </c>
      <c r="F3187" s="18">
        <f>SUM(Acueducto[[#This Row],[Acueducto]:[Aseo]])</f>
        <v>0</v>
      </c>
    </row>
    <row r="3188" spans="1:6" ht="15" x14ac:dyDescent="0.2">
      <c r="A3188" s="7">
        <v>738606</v>
      </c>
      <c r="B3188" s="3" t="s">
        <v>1439</v>
      </c>
      <c r="C3188" s="29">
        <f>ROUND(Balances[[#This Row],[Total]]*40%,0)</f>
        <v>0</v>
      </c>
      <c r="D3188" s="29">
        <f>ROUND(Balances[[#This Row],[Total]]*20%,0)</f>
        <v>0</v>
      </c>
      <c r="E3188" s="29">
        <f>ROUND(Balances[[#This Row],[Total]]*40%,0)</f>
        <v>0</v>
      </c>
      <c r="F3188" s="18">
        <f>SUM(Acueducto[[#This Row],[Acueducto]:[Aseo]])</f>
        <v>0</v>
      </c>
    </row>
    <row r="3189" spans="1:6" ht="15" x14ac:dyDescent="0.2">
      <c r="A3189" s="7">
        <v>738607</v>
      </c>
      <c r="B3189" s="3" t="s">
        <v>1440</v>
      </c>
      <c r="C3189" s="29">
        <f>ROUND(Balances[[#This Row],[Total]]*40%,0)</f>
        <v>0</v>
      </c>
      <c r="D3189" s="29">
        <f>ROUND(Balances[[#This Row],[Total]]*20%,0)</f>
        <v>0</v>
      </c>
      <c r="E3189" s="29">
        <f>ROUND(Balances[[#This Row],[Total]]*40%,0)</f>
        <v>0</v>
      </c>
      <c r="F3189" s="18">
        <f>SUM(Acueducto[[#This Row],[Acueducto]:[Aseo]])</f>
        <v>0</v>
      </c>
    </row>
    <row r="3190" spans="1:6" ht="15" x14ac:dyDescent="0.2">
      <c r="A3190" s="7">
        <v>738608</v>
      </c>
      <c r="B3190" s="3" t="s">
        <v>1441</v>
      </c>
      <c r="C3190" s="29">
        <f>ROUND(Balances[[#This Row],[Total]]*40%,0)</f>
        <v>0</v>
      </c>
      <c r="D3190" s="29">
        <f>ROUND(Balances[[#This Row],[Total]]*20%,0)</f>
        <v>0</v>
      </c>
      <c r="E3190" s="29">
        <f>ROUND(Balances[[#This Row],[Total]]*40%,0)</f>
        <v>0</v>
      </c>
      <c r="F3190" s="18">
        <f>SUM(Acueducto[[#This Row],[Acueducto]:[Aseo]])</f>
        <v>0</v>
      </c>
    </row>
    <row r="3191" spans="1:6" ht="15" x14ac:dyDescent="0.2">
      <c r="A3191" s="7">
        <v>738609</v>
      </c>
      <c r="B3191" s="3" t="s">
        <v>1442</v>
      </c>
      <c r="C3191" s="29">
        <f>ROUND(Balances[[#This Row],[Total]]*40%,0)</f>
        <v>0</v>
      </c>
      <c r="D3191" s="29">
        <f>ROUND(Balances[[#This Row],[Total]]*20%,0)</f>
        <v>0</v>
      </c>
      <c r="E3191" s="29">
        <f>ROUND(Balances[[#This Row],[Total]]*40%,0)</f>
        <v>0</v>
      </c>
      <c r="F3191" s="18">
        <f>SUM(Acueducto[[#This Row],[Acueducto]:[Aseo]])</f>
        <v>0</v>
      </c>
    </row>
    <row r="3192" spans="1:6" ht="15" x14ac:dyDescent="0.2">
      <c r="A3192" s="7">
        <v>738610</v>
      </c>
      <c r="B3192" s="3" t="s">
        <v>1443</v>
      </c>
      <c r="C3192" s="29">
        <f>ROUND(Balances[[#This Row],[Total]]*40%,0)</f>
        <v>0</v>
      </c>
      <c r="D3192" s="29">
        <f>ROUND(Balances[[#This Row],[Total]]*20%,0)</f>
        <v>0</v>
      </c>
      <c r="E3192" s="29">
        <f>ROUND(Balances[[#This Row],[Total]]*40%,0)</f>
        <v>0</v>
      </c>
      <c r="F3192" s="18">
        <f>SUM(Acueducto[[#This Row],[Acueducto]:[Aseo]])</f>
        <v>0</v>
      </c>
    </row>
    <row r="3193" spans="1:6" ht="15" x14ac:dyDescent="0.2">
      <c r="A3193" s="7">
        <v>738695</v>
      </c>
      <c r="B3193" s="3" t="s">
        <v>1444</v>
      </c>
      <c r="C3193" s="29">
        <f>ROUND(Balances[[#This Row],[Total]]*40%,0)</f>
        <v>0</v>
      </c>
      <c r="D3193" s="29">
        <f>ROUND(Balances[[#This Row],[Total]]*20%,0)</f>
        <v>0</v>
      </c>
      <c r="E3193" s="29">
        <f>ROUND(Balances[[#This Row],[Total]]*40%,0)</f>
        <v>0</v>
      </c>
      <c r="F3193" s="18">
        <f>SUM(Acueducto[[#This Row],[Acueducto]:[Aseo]])</f>
        <v>0</v>
      </c>
    </row>
    <row r="3194" spans="1:6" ht="15" x14ac:dyDescent="0.2">
      <c r="A3194" s="6">
        <v>7387</v>
      </c>
      <c r="B3194" s="2" t="s">
        <v>1491</v>
      </c>
      <c r="C3194" s="28">
        <f>ROUND(Balances[[#This Row],[Total]]*40%,0)</f>
        <v>0</v>
      </c>
      <c r="D3194" s="28">
        <f>ROUND(Balances[[#This Row],[Total]]*20%,0)</f>
        <v>0</v>
      </c>
      <c r="E3194" s="28">
        <f>ROUND(Balances[[#This Row],[Total]]*40%,0)</f>
        <v>0</v>
      </c>
      <c r="F3194" s="17">
        <f>SUM(Acueducto[[#This Row],[Acueducto]:[Aseo]])</f>
        <v>0</v>
      </c>
    </row>
    <row r="3195" spans="1:6" ht="15" x14ac:dyDescent="0.2">
      <c r="A3195" s="7">
        <v>738701</v>
      </c>
      <c r="B3195" s="3" t="s">
        <v>1436</v>
      </c>
      <c r="C3195" s="29">
        <f>ROUND(Balances[[#This Row],[Total]]*40%,0)</f>
        <v>0</v>
      </c>
      <c r="D3195" s="29">
        <f>ROUND(Balances[[#This Row],[Total]]*20%,0)</f>
        <v>0</v>
      </c>
      <c r="E3195" s="29">
        <f>ROUND(Balances[[#This Row],[Total]]*40%,0)</f>
        <v>0</v>
      </c>
      <c r="F3195" s="18">
        <f>SUM(Acueducto[[#This Row],[Acueducto]:[Aseo]])</f>
        <v>0</v>
      </c>
    </row>
    <row r="3196" spans="1:6" ht="15" x14ac:dyDescent="0.2">
      <c r="A3196" s="7">
        <v>738702</v>
      </c>
      <c r="B3196" s="3" t="s">
        <v>1437</v>
      </c>
      <c r="C3196" s="29">
        <f>ROUND(Balances[[#This Row],[Total]]*40%,0)</f>
        <v>0</v>
      </c>
      <c r="D3196" s="29">
        <f>ROUND(Balances[[#This Row],[Total]]*20%,0)</f>
        <v>0</v>
      </c>
      <c r="E3196" s="29">
        <f>ROUND(Balances[[#This Row],[Total]]*40%,0)</f>
        <v>0</v>
      </c>
      <c r="F3196" s="18">
        <f>SUM(Acueducto[[#This Row],[Acueducto]:[Aseo]])</f>
        <v>0</v>
      </c>
    </row>
    <row r="3197" spans="1:6" ht="15" x14ac:dyDescent="0.2">
      <c r="A3197" s="7">
        <v>738703</v>
      </c>
      <c r="B3197" s="3" t="s">
        <v>568</v>
      </c>
      <c r="C3197" s="29">
        <f>ROUND(Balances[[#This Row],[Total]]*40%,0)</f>
        <v>0</v>
      </c>
      <c r="D3197" s="29">
        <f>ROUND(Balances[[#This Row],[Total]]*20%,0)</f>
        <v>0</v>
      </c>
      <c r="E3197" s="29">
        <f>ROUND(Balances[[#This Row],[Total]]*40%,0)</f>
        <v>0</v>
      </c>
      <c r="F3197" s="18">
        <f>SUM(Acueducto[[#This Row],[Acueducto]:[Aseo]])</f>
        <v>0</v>
      </c>
    </row>
    <row r="3198" spans="1:6" ht="15" x14ac:dyDescent="0.2">
      <c r="A3198" s="7">
        <v>738704</v>
      </c>
      <c r="B3198" s="3" t="s">
        <v>1438</v>
      </c>
      <c r="C3198" s="29">
        <f>ROUND(Balances[[#This Row],[Total]]*40%,0)</f>
        <v>0</v>
      </c>
      <c r="D3198" s="29">
        <f>ROUND(Balances[[#This Row],[Total]]*20%,0)</f>
        <v>0</v>
      </c>
      <c r="E3198" s="29">
        <f>ROUND(Balances[[#This Row],[Total]]*40%,0)</f>
        <v>0</v>
      </c>
      <c r="F3198" s="18">
        <f>SUM(Acueducto[[#This Row],[Acueducto]:[Aseo]])</f>
        <v>0</v>
      </c>
    </row>
    <row r="3199" spans="1:6" ht="15" x14ac:dyDescent="0.2">
      <c r="A3199" s="7">
        <v>738705</v>
      </c>
      <c r="B3199" s="3" t="s">
        <v>569</v>
      </c>
      <c r="C3199" s="29">
        <f>ROUND(Balances[[#This Row],[Total]]*40%,0)</f>
        <v>0</v>
      </c>
      <c r="D3199" s="29">
        <f>ROUND(Balances[[#This Row],[Total]]*20%,0)</f>
        <v>0</v>
      </c>
      <c r="E3199" s="29">
        <f>ROUND(Balances[[#This Row],[Total]]*40%,0)</f>
        <v>0</v>
      </c>
      <c r="F3199" s="18">
        <f>SUM(Acueducto[[#This Row],[Acueducto]:[Aseo]])</f>
        <v>0</v>
      </c>
    </row>
    <row r="3200" spans="1:6" ht="15" x14ac:dyDescent="0.2">
      <c r="A3200" s="7">
        <v>738706</v>
      </c>
      <c r="B3200" s="3" t="s">
        <v>1439</v>
      </c>
      <c r="C3200" s="29">
        <f>ROUND(Balances[[#This Row],[Total]]*40%,0)</f>
        <v>0</v>
      </c>
      <c r="D3200" s="29">
        <f>ROUND(Balances[[#This Row],[Total]]*20%,0)</f>
        <v>0</v>
      </c>
      <c r="E3200" s="29">
        <f>ROUND(Balances[[#This Row],[Total]]*40%,0)</f>
        <v>0</v>
      </c>
      <c r="F3200" s="18">
        <f>SUM(Acueducto[[#This Row],[Acueducto]:[Aseo]])</f>
        <v>0</v>
      </c>
    </row>
    <row r="3201" spans="1:6" ht="15" x14ac:dyDescent="0.2">
      <c r="A3201" s="7">
        <v>738707</v>
      </c>
      <c r="B3201" s="3" t="s">
        <v>1440</v>
      </c>
      <c r="C3201" s="29">
        <f>ROUND(Balances[[#This Row],[Total]]*40%,0)</f>
        <v>0</v>
      </c>
      <c r="D3201" s="29">
        <f>ROUND(Balances[[#This Row],[Total]]*20%,0)</f>
        <v>0</v>
      </c>
      <c r="E3201" s="29">
        <f>ROUND(Balances[[#This Row],[Total]]*40%,0)</f>
        <v>0</v>
      </c>
      <c r="F3201" s="18">
        <f>SUM(Acueducto[[#This Row],[Acueducto]:[Aseo]])</f>
        <v>0</v>
      </c>
    </row>
    <row r="3202" spans="1:6" ht="15" x14ac:dyDescent="0.2">
      <c r="A3202" s="7">
        <v>738708</v>
      </c>
      <c r="B3202" s="3" t="s">
        <v>1441</v>
      </c>
      <c r="C3202" s="29">
        <f>ROUND(Balances[[#This Row],[Total]]*40%,0)</f>
        <v>0</v>
      </c>
      <c r="D3202" s="29">
        <f>ROUND(Balances[[#This Row],[Total]]*20%,0)</f>
        <v>0</v>
      </c>
      <c r="E3202" s="29">
        <f>ROUND(Balances[[#This Row],[Total]]*40%,0)</f>
        <v>0</v>
      </c>
      <c r="F3202" s="18">
        <f>SUM(Acueducto[[#This Row],[Acueducto]:[Aseo]])</f>
        <v>0</v>
      </c>
    </row>
    <row r="3203" spans="1:6" ht="15" x14ac:dyDescent="0.2">
      <c r="A3203" s="7">
        <v>738709</v>
      </c>
      <c r="B3203" s="3" t="s">
        <v>1442</v>
      </c>
      <c r="C3203" s="29">
        <f>ROUND(Balances[[#This Row],[Total]]*40%,0)</f>
        <v>0</v>
      </c>
      <c r="D3203" s="29">
        <f>ROUND(Balances[[#This Row],[Total]]*20%,0)</f>
        <v>0</v>
      </c>
      <c r="E3203" s="29">
        <f>ROUND(Balances[[#This Row],[Total]]*40%,0)</f>
        <v>0</v>
      </c>
      <c r="F3203" s="18">
        <f>SUM(Acueducto[[#This Row],[Acueducto]:[Aseo]])</f>
        <v>0</v>
      </c>
    </row>
    <row r="3204" spans="1:6" ht="15" x14ac:dyDescent="0.2">
      <c r="A3204" s="7">
        <v>738710</v>
      </c>
      <c r="B3204" s="3" t="s">
        <v>1443</v>
      </c>
      <c r="C3204" s="29">
        <f>ROUND(Balances[[#This Row],[Total]]*40%,0)</f>
        <v>0</v>
      </c>
      <c r="D3204" s="29">
        <f>ROUND(Balances[[#This Row],[Total]]*20%,0)</f>
        <v>0</v>
      </c>
      <c r="E3204" s="29">
        <f>ROUND(Balances[[#This Row],[Total]]*40%,0)</f>
        <v>0</v>
      </c>
      <c r="F3204" s="18">
        <f>SUM(Acueducto[[#This Row],[Acueducto]:[Aseo]])</f>
        <v>0</v>
      </c>
    </row>
    <row r="3205" spans="1:6" ht="15" x14ac:dyDescent="0.2">
      <c r="A3205" s="7">
        <v>738795</v>
      </c>
      <c r="B3205" s="3" t="s">
        <v>1444</v>
      </c>
      <c r="C3205" s="29">
        <f>ROUND(Balances[[#This Row],[Total]]*40%,0)</f>
        <v>0</v>
      </c>
      <c r="D3205" s="29">
        <f>ROUND(Balances[[#This Row],[Total]]*20%,0)</f>
        <v>0</v>
      </c>
      <c r="E3205" s="29">
        <f>ROUND(Balances[[#This Row],[Total]]*40%,0)</f>
        <v>0</v>
      </c>
      <c r="F3205" s="18">
        <f>SUM(Acueducto[[#This Row],[Acueducto]:[Aseo]])</f>
        <v>0</v>
      </c>
    </row>
    <row r="3206" spans="1:6" ht="15" x14ac:dyDescent="0.2">
      <c r="A3206" s="6">
        <v>74</v>
      </c>
      <c r="B3206" s="2" t="s">
        <v>1104</v>
      </c>
      <c r="C3206" s="28">
        <f>ROUND(Balances[[#This Row],[Total]]*40%,0)</f>
        <v>0</v>
      </c>
      <c r="D3206" s="28">
        <f>ROUND(Balances[[#This Row],[Total]]*20%,0)</f>
        <v>0</v>
      </c>
      <c r="E3206" s="28">
        <f>ROUND(Balances[[#This Row],[Total]]*40%,0)</f>
        <v>0</v>
      </c>
      <c r="F3206" s="17">
        <f>SUM(Acueducto[[#This Row],[Acueducto]:[Aseo]])</f>
        <v>0</v>
      </c>
    </row>
    <row r="3207" spans="1:6" ht="15" x14ac:dyDescent="0.2">
      <c r="A3207" s="6">
        <v>7401</v>
      </c>
      <c r="B3207" s="2" t="s">
        <v>1492</v>
      </c>
      <c r="C3207" s="28">
        <f>ROUND(Balances[[#This Row],[Total]]*40%,0)</f>
        <v>0</v>
      </c>
      <c r="D3207" s="28">
        <f>ROUND(Balances[[#This Row],[Total]]*20%,0)</f>
        <v>0</v>
      </c>
      <c r="E3207" s="28">
        <f>ROUND(Balances[[#This Row],[Total]]*40%,0)</f>
        <v>0</v>
      </c>
      <c r="F3207" s="17">
        <f>SUM(Acueducto[[#This Row],[Acueducto]:[Aseo]])</f>
        <v>0</v>
      </c>
    </row>
    <row r="3208" spans="1:6" ht="15" x14ac:dyDescent="0.2">
      <c r="A3208" s="7">
        <v>740101</v>
      </c>
      <c r="B3208" s="3" t="s">
        <v>1436</v>
      </c>
      <c r="C3208" s="29">
        <f>ROUND(Balances[[#This Row],[Total]]*40%,0)</f>
        <v>0</v>
      </c>
      <c r="D3208" s="29">
        <f>ROUND(Balances[[#This Row],[Total]]*20%,0)</f>
        <v>0</v>
      </c>
      <c r="E3208" s="29">
        <f>ROUND(Balances[[#This Row],[Total]]*40%,0)</f>
        <v>0</v>
      </c>
      <c r="F3208" s="18">
        <f>SUM(Acueducto[[#This Row],[Acueducto]:[Aseo]])</f>
        <v>0</v>
      </c>
    </row>
    <row r="3209" spans="1:6" ht="15" x14ac:dyDescent="0.2">
      <c r="A3209" s="7">
        <v>740102</v>
      </c>
      <c r="B3209" s="3" t="s">
        <v>1437</v>
      </c>
      <c r="C3209" s="29">
        <f>ROUND(Balances[[#This Row],[Total]]*40%,0)</f>
        <v>0</v>
      </c>
      <c r="D3209" s="29">
        <f>ROUND(Balances[[#This Row],[Total]]*20%,0)</f>
        <v>0</v>
      </c>
      <c r="E3209" s="29">
        <f>ROUND(Balances[[#This Row],[Total]]*40%,0)</f>
        <v>0</v>
      </c>
      <c r="F3209" s="18">
        <f>SUM(Acueducto[[#This Row],[Acueducto]:[Aseo]])</f>
        <v>0</v>
      </c>
    </row>
    <row r="3210" spans="1:6" ht="15" x14ac:dyDescent="0.2">
      <c r="A3210" s="7">
        <v>740103</v>
      </c>
      <c r="B3210" s="3" t="s">
        <v>568</v>
      </c>
      <c r="C3210" s="29">
        <f>ROUND(Balances[[#This Row],[Total]]*40%,0)</f>
        <v>0</v>
      </c>
      <c r="D3210" s="29">
        <f>ROUND(Balances[[#This Row],[Total]]*20%,0)</f>
        <v>0</v>
      </c>
      <c r="E3210" s="29">
        <f>ROUND(Balances[[#This Row],[Total]]*40%,0)</f>
        <v>0</v>
      </c>
      <c r="F3210" s="18">
        <f>SUM(Acueducto[[#This Row],[Acueducto]:[Aseo]])</f>
        <v>0</v>
      </c>
    </row>
    <row r="3211" spans="1:6" ht="15" x14ac:dyDescent="0.2">
      <c r="A3211" s="7">
        <v>740104</v>
      </c>
      <c r="B3211" s="3" t="s">
        <v>1438</v>
      </c>
      <c r="C3211" s="29">
        <f>ROUND(Balances[[#This Row],[Total]]*40%,0)</f>
        <v>0</v>
      </c>
      <c r="D3211" s="29">
        <f>ROUND(Balances[[#This Row],[Total]]*20%,0)</f>
        <v>0</v>
      </c>
      <c r="E3211" s="29">
        <f>ROUND(Balances[[#This Row],[Total]]*40%,0)</f>
        <v>0</v>
      </c>
      <c r="F3211" s="18">
        <f>SUM(Acueducto[[#This Row],[Acueducto]:[Aseo]])</f>
        <v>0</v>
      </c>
    </row>
    <row r="3212" spans="1:6" ht="15" x14ac:dyDescent="0.2">
      <c r="A3212" s="7">
        <v>740105</v>
      </c>
      <c r="B3212" s="3" t="s">
        <v>569</v>
      </c>
      <c r="C3212" s="29">
        <f>ROUND(Balances[[#This Row],[Total]]*40%,0)</f>
        <v>0</v>
      </c>
      <c r="D3212" s="29">
        <f>ROUND(Balances[[#This Row],[Total]]*20%,0)</f>
        <v>0</v>
      </c>
      <c r="E3212" s="29">
        <f>ROUND(Balances[[#This Row],[Total]]*40%,0)</f>
        <v>0</v>
      </c>
      <c r="F3212" s="18">
        <f>SUM(Acueducto[[#This Row],[Acueducto]:[Aseo]])</f>
        <v>0</v>
      </c>
    </row>
    <row r="3213" spans="1:6" ht="15" x14ac:dyDescent="0.2">
      <c r="A3213" s="7">
        <v>740106</v>
      </c>
      <c r="B3213" s="3" t="s">
        <v>1439</v>
      </c>
      <c r="C3213" s="29">
        <f>ROUND(Balances[[#This Row],[Total]]*40%,0)</f>
        <v>0</v>
      </c>
      <c r="D3213" s="29">
        <f>ROUND(Balances[[#This Row],[Total]]*20%,0)</f>
        <v>0</v>
      </c>
      <c r="E3213" s="29">
        <f>ROUND(Balances[[#This Row],[Total]]*40%,0)</f>
        <v>0</v>
      </c>
      <c r="F3213" s="18">
        <f>SUM(Acueducto[[#This Row],[Acueducto]:[Aseo]])</f>
        <v>0</v>
      </c>
    </row>
    <row r="3214" spans="1:6" ht="15" x14ac:dyDescent="0.2">
      <c r="A3214" s="7">
        <v>740107</v>
      </c>
      <c r="B3214" s="3" t="s">
        <v>1440</v>
      </c>
      <c r="C3214" s="29">
        <f>ROUND(Balances[[#This Row],[Total]]*40%,0)</f>
        <v>0</v>
      </c>
      <c r="D3214" s="29">
        <f>ROUND(Balances[[#This Row],[Total]]*20%,0)</f>
        <v>0</v>
      </c>
      <c r="E3214" s="29">
        <f>ROUND(Balances[[#This Row],[Total]]*40%,0)</f>
        <v>0</v>
      </c>
      <c r="F3214" s="18">
        <f>SUM(Acueducto[[#This Row],[Acueducto]:[Aseo]])</f>
        <v>0</v>
      </c>
    </row>
    <row r="3215" spans="1:6" ht="15" x14ac:dyDescent="0.2">
      <c r="A3215" s="7">
        <v>740108</v>
      </c>
      <c r="B3215" s="3" t="s">
        <v>1441</v>
      </c>
      <c r="C3215" s="29">
        <f>ROUND(Balances[[#This Row],[Total]]*40%,0)</f>
        <v>0</v>
      </c>
      <c r="D3215" s="29">
        <f>ROUND(Balances[[#This Row],[Total]]*20%,0)</f>
        <v>0</v>
      </c>
      <c r="E3215" s="29">
        <f>ROUND(Balances[[#This Row],[Total]]*40%,0)</f>
        <v>0</v>
      </c>
      <c r="F3215" s="18">
        <f>SUM(Acueducto[[#This Row],[Acueducto]:[Aseo]])</f>
        <v>0</v>
      </c>
    </row>
    <row r="3216" spans="1:6" ht="15" x14ac:dyDescent="0.2">
      <c r="A3216" s="7">
        <v>740109</v>
      </c>
      <c r="B3216" s="3" t="s">
        <v>1442</v>
      </c>
      <c r="C3216" s="29">
        <f>ROUND(Balances[[#This Row],[Total]]*40%,0)</f>
        <v>0</v>
      </c>
      <c r="D3216" s="29">
        <f>ROUND(Balances[[#This Row],[Total]]*20%,0)</f>
        <v>0</v>
      </c>
      <c r="E3216" s="29">
        <f>ROUND(Balances[[#This Row],[Total]]*40%,0)</f>
        <v>0</v>
      </c>
      <c r="F3216" s="18">
        <f>SUM(Acueducto[[#This Row],[Acueducto]:[Aseo]])</f>
        <v>0</v>
      </c>
    </row>
    <row r="3217" spans="1:6" ht="15" x14ac:dyDescent="0.2">
      <c r="A3217" s="7">
        <v>740110</v>
      </c>
      <c r="B3217" s="3" t="s">
        <v>1443</v>
      </c>
      <c r="C3217" s="29">
        <f>ROUND(Balances[[#This Row],[Total]]*40%,0)</f>
        <v>0</v>
      </c>
      <c r="D3217" s="29">
        <f>ROUND(Balances[[#This Row],[Total]]*20%,0)</f>
        <v>0</v>
      </c>
      <c r="E3217" s="29">
        <f>ROUND(Balances[[#This Row],[Total]]*40%,0)</f>
        <v>0</v>
      </c>
      <c r="F3217" s="18">
        <f>SUM(Acueducto[[#This Row],[Acueducto]:[Aseo]])</f>
        <v>0</v>
      </c>
    </row>
    <row r="3218" spans="1:6" ht="15" x14ac:dyDescent="0.2">
      <c r="A3218" s="7">
        <v>740195</v>
      </c>
      <c r="B3218" s="3" t="s">
        <v>1444</v>
      </c>
      <c r="C3218" s="29">
        <f>ROUND(Balances[[#This Row],[Total]]*40%,0)</f>
        <v>0</v>
      </c>
      <c r="D3218" s="29">
        <f>ROUND(Balances[[#This Row],[Total]]*20%,0)</f>
        <v>0</v>
      </c>
      <c r="E3218" s="29">
        <f>ROUND(Balances[[#This Row],[Total]]*40%,0)</f>
        <v>0</v>
      </c>
      <c r="F3218" s="18">
        <f>SUM(Acueducto[[#This Row],[Acueducto]:[Aseo]])</f>
        <v>0</v>
      </c>
    </row>
    <row r="3219" spans="1:6" ht="15" x14ac:dyDescent="0.2">
      <c r="A3219" s="6">
        <v>7402</v>
      </c>
      <c r="B3219" s="2" t="s">
        <v>1493</v>
      </c>
      <c r="C3219" s="28">
        <f>ROUND(Balances[[#This Row],[Total]]*40%,0)</f>
        <v>0</v>
      </c>
      <c r="D3219" s="28">
        <f>ROUND(Balances[[#This Row],[Total]]*20%,0)</f>
        <v>0</v>
      </c>
      <c r="E3219" s="28">
        <f>ROUND(Balances[[#This Row],[Total]]*40%,0)</f>
        <v>0</v>
      </c>
      <c r="F3219" s="17">
        <f>SUM(Acueducto[[#This Row],[Acueducto]:[Aseo]])</f>
        <v>0</v>
      </c>
    </row>
    <row r="3220" spans="1:6" ht="15" x14ac:dyDescent="0.2">
      <c r="A3220" s="7">
        <v>740201</v>
      </c>
      <c r="B3220" s="3" t="s">
        <v>1436</v>
      </c>
      <c r="C3220" s="29">
        <f>ROUND(Balances[[#This Row],[Total]]*40%,0)</f>
        <v>0</v>
      </c>
      <c r="D3220" s="29">
        <f>ROUND(Balances[[#This Row],[Total]]*20%,0)</f>
        <v>0</v>
      </c>
      <c r="E3220" s="29">
        <f>ROUND(Balances[[#This Row],[Total]]*40%,0)</f>
        <v>0</v>
      </c>
      <c r="F3220" s="18">
        <f>SUM(Acueducto[[#This Row],[Acueducto]:[Aseo]])</f>
        <v>0</v>
      </c>
    </row>
    <row r="3221" spans="1:6" ht="15" x14ac:dyDescent="0.2">
      <c r="A3221" s="7">
        <v>740202</v>
      </c>
      <c r="B3221" s="3" t="s">
        <v>1437</v>
      </c>
      <c r="C3221" s="29">
        <f>ROUND(Balances[[#This Row],[Total]]*40%,0)</f>
        <v>0</v>
      </c>
      <c r="D3221" s="29">
        <f>ROUND(Balances[[#This Row],[Total]]*20%,0)</f>
        <v>0</v>
      </c>
      <c r="E3221" s="29">
        <f>ROUND(Balances[[#This Row],[Total]]*40%,0)</f>
        <v>0</v>
      </c>
      <c r="F3221" s="18">
        <f>SUM(Acueducto[[#This Row],[Acueducto]:[Aseo]])</f>
        <v>0</v>
      </c>
    </row>
    <row r="3222" spans="1:6" ht="15" x14ac:dyDescent="0.2">
      <c r="A3222" s="7">
        <v>740203</v>
      </c>
      <c r="B3222" s="3" t="s">
        <v>568</v>
      </c>
      <c r="C3222" s="29">
        <f>ROUND(Balances[[#This Row],[Total]]*40%,0)</f>
        <v>0</v>
      </c>
      <c r="D3222" s="29">
        <f>ROUND(Balances[[#This Row],[Total]]*20%,0)</f>
        <v>0</v>
      </c>
      <c r="E3222" s="29">
        <f>ROUND(Balances[[#This Row],[Total]]*40%,0)</f>
        <v>0</v>
      </c>
      <c r="F3222" s="18">
        <f>SUM(Acueducto[[#This Row],[Acueducto]:[Aseo]])</f>
        <v>0</v>
      </c>
    </row>
    <row r="3223" spans="1:6" ht="15" x14ac:dyDescent="0.2">
      <c r="A3223" s="7">
        <v>740204</v>
      </c>
      <c r="B3223" s="3" t="s">
        <v>1438</v>
      </c>
      <c r="C3223" s="29">
        <f>ROUND(Balances[[#This Row],[Total]]*40%,0)</f>
        <v>0</v>
      </c>
      <c r="D3223" s="29">
        <f>ROUND(Balances[[#This Row],[Total]]*20%,0)</f>
        <v>0</v>
      </c>
      <c r="E3223" s="29">
        <f>ROUND(Balances[[#This Row],[Total]]*40%,0)</f>
        <v>0</v>
      </c>
      <c r="F3223" s="18">
        <f>SUM(Acueducto[[#This Row],[Acueducto]:[Aseo]])</f>
        <v>0</v>
      </c>
    </row>
    <row r="3224" spans="1:6" ht="15" x14ac:dyDescent="0.2">
      <c r="A3224" s="7">
        <v>740205</v>
      </c>
      <c r="B3224" s="3" t="s">
        <v>569</v>
      </c>
      <c r="C3224" s="29">
        <f>ROUND(Balances[[#This Row],[Total]]*40%,0)</f>
        <v>0</v>
      </c>
      <c r="D3224" s="29">
        <f>ROUND(Balances[[#This Row],[Total]]*20%,0)</f>
        <v>0</v>
      </c>
      <c r="E3224" s="29">
        <f>ROUND(Balances[[#This Row],[Total]]*40%,0)</f>
        <v>0</v>
      </c>
      <c r="F3224" s="18">
        <f>SUM(Acueducto[[#This Row],[Acueducto]:[Aseo]])</f>
        <v>0</v>
      </c>
    </row>
    <row r="3225" spans="1:6" ht="15" x14ac:dyDescent="0.2">
      <c r="A3225" s="7">
        <v>740206</v>
      </c>
      <c r="B3225" s="3" t="s">
        <v>1439</v>
      </c>
      <c r="C3225" s="29">
        <f>ROUND(Balances[[#This Row],[Total]]*40%,0)</f>
        <v>0</v>
      </c>
      <c r="D3225" s="29">
        <f>ROUND(Balances[[#This Row],[Total]]*20%,0)</f>
        <v>0</v>
      </c>
      <c r="E3225" s="29">
        <f>ROUND(Balances[[#This Row],[Total]]*40%,0)</f>
        <v>0</v>
      </c>
      <c r="F3225" s="18">
        <f>SUM(Acueducto[[#This Row],[Acueducto]:[Aseo]])</f>
        <v>0</v>
      </c>
    </row>
    <row r="3226" spans="1:6" ht="15" x14ac:dyDescent="0.2">
      <c r="A3226" s="7">
        <v>740207</v>
      </c>
      <c r="B3226" s="3" t="s">
        <v>1440</v>
      </c>
      <c r="C3226" s="29">
        <f>ROUND(Balances[[#This Row],[Total]]*40%,0)</f>
        <v>0</v>
      </c>
      <c r="D3226" s="29">
        <f>ROUND(Balances[[#This Row],[Total]]*20%,0)</f>
        <v>0</v>
      </c>
      <c r="E3226" s="29">
        <f>ROUND(Balances[[#This Row],[Total]]*40%,0)</f>
        <v>0</v>
      </c>
      <c r="F3226" s="18">
        <f>SUM(Acueducto[[#This Row],[Acueducto]:[Aseo]])</f>
        <v>0</v>
      </c>
    </row>
    <row r="3227" spans="1:6" ht="15" x14ac:dyDescent="0.2">
      <c r="A3227" s="7">
        <v>740208</v>
      </c>
      <c r="B3227" s="3" t="s">
        <v>1441</v>
      </c>
      <c r="C3227" s="29">
        <f>ROUND(Balances[[#This Row],[Total]]*40%,0)</f>
        <v>0</v>
      </c>
      <c r="D3227" s="29">
        <f>ROUND(Balances[[#This Row],[Total]]*20%,0)</f>
        <v>0</v>
      </c>
      <c r="E3227" s="29">
        <f>ROUND(Balances[[#This Row],[Total]]*40%,0)</f>
        <v>0</v>
      </c>
      <c r="F3227" s="18">
        <f>SUM(Acueducto[[#This Row],[Acueducto]:[Aseo]])</f>
        <v>0</v>
      </c>
    </row>
    <row r="3228" spans="1:6" ht="15" x14ac:dyDescent="0.2">
      <c r="A3228" s="7">
        <v>740209</v>
      </c>
      <c r="B3228" s="3" t="s">
        <v>1442</v>
      </c>
      <c r="C3228" s="29">
        <f>ROUND(Balances[[#This Row],[Total]]*40%,0)</f>
        <v>0</v>
      </c>
      <c r="D3228" s="29">
        <f>ROUND(Balances[[#This Row],[Total]]*20%,0)</f>
        <v>0</v>
      </c>
      <c r="E3228" s="29">
        <f>ROUND(Balances[[#This Row],[Total]]*40%,0)</f>
        <v>0</v>
      </c>
      <c r="F3228" s="18">
        <f>SUM(Acueducto[[#This Row],[Acueducto]:[Aseo]])</f>
        <v>0</v>
      </c>
    </row>
    <row r="3229" spans="1:6" ht="15" x14ac:dyDescent="0.2">
      <c r="A3229" s="7">
        <v>740210</v>
      </c>
      <c r="B3229" s="3" t="s">
        <v>1443</v>
      </c>
      <c r="C3229" s="29">
        <f>ROUND(Balances[[#This Row],[Total]]*40%,0)</f>
        <v>0</v>
      </c>
      <c r="D3229" s="29">
        <f>ROUND(Balances[[#This Row],[Total]]*20%,0)</f>
        <v>0</v>
      </c>
      <c r="E3229" s="29">
        <f>ROUND(Balances[[#This Row],[Total]]*40%,0)</f>
        <v>0</v>
      </c>
      <c r="F3229" s="18">
        <f>SUM(Acueducto[[#This Row],[Acueducto]:[Aseo]])</f>
        <v>0</v>
      </c>
    </row>
    <row r="3230" spans="1:6" ht="15" x14ac:dyDescent="0.2">
      <c r="A3230" s="7">
        <v>740295</v>
      </c>
      <c r="B3230" s="3" t="s">
        <v>1444</v>
      </c>
      <c r="C3230" s="29">
        <f>ROUND(Balances[[#This Row],[Total]]*40%,0)</f>
        <v>0</v>
      </c>
      <c r="D3230" s="29">
        <f>ROUND(Balances[[#This Row],[Total]]*20%,0)</f>
        <v>0</v>
      </c>
      <c r="E3230" s="29">
        <f>ROUND(Balances[[#This Row],[Total]]*40%,0)</f>
        <v>0</v>
      </c>
      <c r="F3230" s="18">
        <f>SUM(Acueducto[[#This Row],[Acueducto]:[Aseo]])</f>
        <v>0</v>
      </c>
    </row>
    <row r="3231" spans="1:6" ht="15" x14ac:dyDescent="0.2">
      <c r="A3231" s="6">
        <v>7403</v>
      </c>
      <c r="B3231" s="2" t="s">
        <v>1494</v>
      </c>
      <c r="C3231" s="28">
        <f>ROUND(Balances[[#This Row],[Total]]*40%,0)</f>
        <v>0</v>
      </c>
      <c r="D3231" s="28">
        <f>ROUND(Balances[[#This Row],[Total]]*20%,0)</f>
        <v>0</v>
      </c>
      <c r="E3231" s="28">
        <f>ROUND(Balances[[#This Row],[Total]]*40%,0)</f>
        <v>0</v>
      </c>
      <c r="F3231" s="17">
        <f>SUM(Acueducto[[#This Row],[Acueducto]:[Aseo]])</f>
        <v>0</v>
      </c>
    </row>
    <row r="3232" spans="1:6" ht="15" x14ac:dyDescent="0.2">
      <c r="A3232" s="7">
        <v>740301</v>
      </c>
      <c r="B3232" s="3" t="s">
        <v>1436</v>
      </c>
      <c r="C3232" s="29">
        <f>ROUND(Balances[[#This Row],[Total]]*40%,0)</f>
        <v>0</v>
      </c>
      <c r="D3232" s="29">
        <f>ROUND(Balances[[#This Row],[Total]]*20%,0)</f>
        <v>0</v>
      </c>
      <c r="E3232" s="29">
        <f>ROUND(Balances[[#This Row],[Total]]*40%,0)</f>
        <v>0</v>
      </c>
      <c r="F3232" s="18">
        <f>SUM(Acueducto[[#This Row],[Acueducto]:[Aseo]])</f>
        <v>0</v>
      </c>
    </row>
    <row r="3233" spans="1:6" ht="15" x14ac:dyDescent="0.2">
      <c r="A3233" s="7">
        <v>740302</v>
      </c>
      <c r="B3233" s="3" t="s">
        <v>1437</v>
      </c>
      <c r="C3233" s="29">
        <f>ROUND(Balances[[#This Row],[Total]]*40%,0)</f>
        <v>0</v>
      </c>
      <c r="D3233" s="29">
        <f>ROUND(Balances[[#This Row],[Total]]*20%,0)</f>
        <v>0</v>
      </c>
      <c r="E3233" s="29">
        <f>ROUND(Balances[[#This Row],[Total]]*40%,0)</f>
        <v>0</v>
      </c>
      <c r="F3233" s="18">
        <f>SUM(Acueducto[[#This Row],[Acueducto]:[Aseo]])</f>
        <v>0</v>
      </c>
    </row>
    <row r="3234" spans="1:6" ht="15" x14ac:dyDescent="0.2">
      <c r="A3234" s="7">
        <v>740303</v>
      </c>
      <c r="B3234" s="3" t="s">
        <v>568</v>
      </c>
      <c r="C3234" s="29">
        <f>ROUND(Balances[[#This Row],[Total]]*40%,0)</f>
        <v>0</v>
      </c>
      <c r="D3234" s="29">
        <f>ROUND(Balances[[#This Row],[Total]]*20%,0)</f>
        <v>0</v>
      </c>
      <c r="E3234" s="29">
        <f>ROUND(Balances[[#This Row],[Total]]*40%,0)</f>
        <v>0</v>
      </c>
      <c r="F3234" s="18">
        <f>SUM(Acueducto[[#This Row],[Acueducto]:[Aseo]])</f>
        <v>0</v>
      </c>
    </row>
    <row r="3235" spans="1:6" ht="15" x14ac:dyDescent="0.2">
      <c r="A3235" s="7">
        <v>740304</v>
      </c>
      <c r="B3235" s="3" t="s">
        <v>1438</v>
      </c>
      <c r="C3235" s="29">
        <f>ROUND(Balances[[#This Row],[Total]]*40%,0)</f>
        <v>0</v>
      </c>
      <c r="D3235" s="29">
        <f>ROUND(Balances[[#This Row],[Total]]*20%,0)</f>
        <v>0</v>
      </c>
      <c r="E3235" s="29">
        <f>ROUND(Balances[[#This Row],[Total]]*40%,0)</f>
        <v>0</v>
      </c>
      <c r="F3235" s="18">
        <f>SUM(Acueducto[[#This Row],[Acueducto]:[Aseo]])</f>
        <v>0</v>
      </c>
    </row>
    <row r="3236" spans="1:6" ht="15" x14ac:dyDescent="0.2">
      <c r="A3236" s="7">
        <v>740305</v>
      </c>
      <c r="B3236" s="3" t="s">
        <v>569</v>
      </c>
      <c r="C3236" s="29">
        <f>ROUND(Balances[[#This Row],[Total]]*40%,0)</f>
        <v>0</v>
      </c>
      <c r="D3236" s="29">
        <f>ROUND(Balances[[#This Row],[Total]]*20%,0)</f>
        <v>0</v>
      </c>
      <c r="E3236" s="29">
        <f>ROUND(Balances[[#This Row],[Total]]*40%,0)</f>
        <v>0</v>
      </c>
      <c r="F3236" s="18">
        <f>SUM(Acueducto[[#This Row],[Acueducto]:[Aseo]])</f>
        <v>0</v>
      </c>
    </row>
    <row r="3237" spans="1:6" ht="15" x14ac:dyDescent="0.2">
      <c r="A3237" s="7">
        <v>740306</v>
      </c>
      <c r="B3237" s="3" t="s">
        <v>1439</v>
      </c>
      <c r="C3237" s="29">
        <f>ROUND(Balances[[#This Row],[Total]]*40%,0)</f>
        <v>0</v>
      </c>
      <c r="D3237" s="29">
        <f>ROUND(Balances[[#This Row],[Total]]*20%,0)</f>
        <v>0</v>
      </c>
      <c r="E3237" s="29">
        <f>ROUND(Balances[[#This Row],[Total]]*40%,0)</f>
        <v>0</v>
      </c>
      <c r="F3237" s="18">
        <f>SUM(Acueducto[[#This Row],[Acueducto]:[Aseo]])</f>
        <v>0</v>
      </c>
    </row>
    <row r="3238" spans="1:6" ht="15" x14ac:dyDescent="0.2">
      <c r="A3238" s="7">
        <v>740307</v>
      </c>
      <c r="B3238" s="3" t="s">
        <v>1440</v>
      </c>
      <c r="C3238" s="29">
        <f>ROUND(Balances[[#This Row],[Total]]*40%,0)</f>
        <v>0</v>
      </c>
      <c r="D3238" s="29">
        <f>ROUND(Balances[[#This Row],[Total]]*20%,0)</f>
        <v>0</v>
      </c>
      <c r="E3238" s="29">
        <f>ROUND(Balances[[#This Row],[Total]]*40%,0)</f>
        <v>0</v>
      </c>
      <c r="F3238" s="18">
        <f>SUM(Acueducto[[#This Row],[Acueducto]:[Aseo]])</f>
        <v>0</v>
      </c>
    </row>
    <row r="3239" spans="1:6" ht="15" x14ac:dyDescent="0.2">
      <c r="A3239" s="7">
        <v>740308</v>
      </c>
      <c r="B3239" s="3" t="s">
        <v>1441</v>
      </c>
      <c r="C3239" s="29">
        <f>ROUND(Balances[[#This Row],[Total]]*40%,0)</f>
        <v>0</v>
      </c>
      <c r="D3239" s="29">
        <f>ROUND(Balances[[#This Row],[Total]]*20%,0)</f>
        <v>0</v>
      </c>
      <c r="E3239" s="29">
        <f>ROUND(Balances[[#This Row],[Total]]*40%,0)</f>
        <v>0</v>
      </c>
      <c r="F3239" s="18">
        <f>SUM(Acueducto[[#This Row],[Acueducto]:[Aseo]])</f>
        <v>0</v>
      </c>
    </row>
    <row r="3240" spans="1:6" ht="15" x14ac:dyDescent="0.2">
      <c r="A3240" s="7">
        <v>740309</v>
      </c>
      <c r="B3240" s="3" t="s">
        <v>1442</v>
      </c>
      <c r="C3240" s="29">
        <f>ROUND(Balances[[#This Row],[Total]]*40%,0)</f>
        <v>0</v>
      </c>
      <c r="D3240" s="29">
        <f>ROUND(Balances[[#This Row],[Total]]*20%,0)</f>
        <v>0</v>
      </c>
      <c r="E3240" s="29">
        <f>ROUND(Balances[[#This Row],[Total]]*40%,0)</f>
        <v>0</v>
      </c>
      <c r="F3240" s="18">
        <f>SUM(Acueducto[[#This Row],[Acueducto]:[Aseo]])</f>
        <v>0</v>
      </c>
    </row>
    <row r="3241" spans="1:6" ht="15" x14ac:dyDescent="0.2">
      <c r="A3241" s="7">
        <v>740310</v>
      </c>
      <c r="B3241" s="3" t="s">
        <v>1443</v>
      </c>
      <c r="C3241" s="29">
        <f>ROUND(Balances[[#This Row],[Total]]*40%,0)</f>
        <v>0</v>
      </c>
      <c r="D3241" s="29">
        <f>ROUND(Balances[[#This Row],[Total]]*20%,0)</f>
        <v>0</v>
      </c>
      <c r="E3241" s="29">
        <f>ROUND(Balances[[#This Row],[Total]]*40%,0)</f>
        <v>0</v>
      </c>
      <c r="F3241" s="18">
        <f>SUM(Acueducto[[#This Row],[Acueducto]:[Aseo]])</f>
        <v>0</v>
      </c>
    </row>
    <row r="3242" spans="1:6" ht="15" x14ac:dyDescent="0.2">
      <c r="A3242" s="7">
        <v>740395</v>
      </c>
      <c r="B3242" s="3" t="s">
        <v>1444</v>
      </c>
      <c r="C3242" s="29">
        <f>ROUND(Balances[[#This Row],[Total]]*40%,0)</f>
        <v>0</v>
      </c>
      <c r="D3242" s="29">
        <f>ROUND(Balances[[#This Row],[Total]]*20%,0)</f>
        <v>0</v>
      </c>
      <c r="E3242" s="29">
        <f>ROUND(Balances[[#This Row],[Total]]*40%,0)</f>
        <v>0</v>
      </c>
      <c r="F3242" s="18">
        <f>SUM(Acueducto[[#This Row],[Acueducto]:[Aseo]])</f>
        <v>0</v>
      </c>
    </row>
    <row r="3243" spans="1:6" ht="15" x14ac:dyDescent="0.2">
      <c r="A3243" s="6">
        <v>7405</v>
      </c>
      <c r="B3243" s="2" t="s">
        <v>1495</v>
      </c>
      <c r="C3243" s="28">
        <f>ROUND(Balances[[#This Row],[Total]]*40%,0)</f>
        <v>0</v>
      </c>
      <c r="D3243" s="28">
        <f>ROUND(Balances[[#This Row],[Total]]*20%,0)</f>
        <v>0</v>
      </c>
      <c r="E3243" s="28">
        <f>ROUND(Balances[[#This Row],[Total]]*40%,0)</f>
        <v>0</v>
      </c>
      <c r="F3243" s="17">
        <f>SUM(Acueducto[[#This Row],[Acueducto]:[Aseo]])</f>
        <v>0</v>
      </c>
    </row>
    <row r="3244" spans="1:6" ht="15" x14ac:dyDescent="0.2">
      <c r="A3244" s="7">
        <v>740501</v>
      </c>
      <c r="B3244" s="3" t="s">
        <v>1436</v>
      </c>
      <c r="C3244" s="29">
        <f>ROUND(Balances[[#This Row],[Total]]*40%,0)</f>
        <v>0</v>
      </c>
      <c r="D3244" s="29">
        <f>ROUND(Balances[[#This Row],[Total]]*20%,0)</f>
        <v>0</v>
      </c>
      <c r="E3244" s="29">
        <f>ROUND(Balances[[#This Row],[Total]]*40%,0)</f>
        <v>0</v>
      </c>
      <c r="F3244" s="18">
        <f>SUM(Acueducto[[#This Row],[Acueducto]:[Aseo]])</f>
        <v>0</v>
      </c>
    </row>
    <row r="3245" spans="1:6" ht="15" x14ac:dyDescent="0.2">
      <c r="A3245" s="7">
        <v>740502</v>
      </c>
      <c r="B3245" s="3" t="s">
        <v>1437</v>
      </c>
      <c r="C3245" s="29">
        <f>ROUND(Balances[[#This Row],[Total]]*40%,0)</f>
        <v>0</v>
      </c>
      <c r="D3245" s="29">
        <f>ROUND(Balances[[#This Row],[Total]]*20%,0)</f>
        <v>0</v>
      </c>
      <c r="E3245" s="29">
        <f>ROUND(Balances[[#This Row],[Total]]*40%,0)</f>
        <v>0</v>
      </c>
      <c r="F3245" s="18">
        <f>SUM(Acueducto[[#This Row],[Acueducto]:[Aseo]])</f>
        <v>0</v>
      </c>
    </row>
    <row r="3246" spans="1:6" ht="15" x14ac:dyDescent="0.2">
      <c r="A3246" s="7">
        <v>740503</v>
      </c>
      <c r="B3246" s="3" t="s">
        <v>568</v>
      </c>
      <c r="C3246" s="29">
        <f>ROUND(Balances[[#This Row],[Total]]*40%,0)</f>
        <v>0</v>
      </c>
      <c r="D3246" s="29">
        <f>ROUND(Balances[[#This Row],[Total]]*20%,0)</f>
        <v>0</v>
      </c>
      <c r="E3246" s="29">
        <f>ROUND(Balances[[#This Row],[Total]]*40%,0)</f>
        <v>0</v>
      </c>
      <c r="F3246" s="18">
        <f>SUM(Acueducto[[#This Row],[Acueducto]:[Aseo]])</f>
        <v>0</v>
      </c>
    </row>
    <row r="3247" spans="1:6" ht="15" x14ac:dyDescent="0.2">
      <c r="A3247" s="7">
        <v>740504</v>
      </c>
      <c r="B3247" s="3" t="s">
        <v>1438</v>
      </c>
      <c r="C3247" s="29">
        <f>ROUND(Balances[[#This Row],[Total]]*40%,0)</f>
        <v>0</v>
      </c>
      <c r="D3247" s="29">
        <f>ROUND(Balances[[#This Row],[Total]]*20%,0)</f>
        <v>0</v>
      </c>
      <c r="E3247" s="29">
        <f>ROUND(Balances[[#This Row],[Total]]*40%,0)</f>
        <v>0</v>
      </c>
      <c r="F3247" s="18">
        <f>SUM(Acueducto[[#This Row],[Acueducto]:[Aseo]])</f>
        <v>0</v>
      </c>
    </row>
    <row r="3248" spans="1:6" ht="15" x14ac:dyDescent="0.2">
      <c r="A3248" s="7">
        <v>740505</v>
      </c>
      <c r="B3248" s="3" t="s">
        <v>569</v>
      </c>
      <c r="C3248" s="29">
        <f>ROUND(Balances[[#This Row],[Total]]*40%,0)</f>
        <v>0</v>
      </c>
      <c r="D3248" s="29">
        <f>ROUND(Balances[[#This Row],[Total]]*20%,0)</f>
        <v>0</v>
      </c>
      <c r="E3248" s="29">
        <f>ROUND(Balances[[#This Row],[Total]]*40%,0)</f>
        <v>0</v>
      </c>
      <c r="F3248" s="18">
        <f>SUM(Acueducto[[#This Row],[Acueducto]:[Aseo]])</f>
        <v>0</v>
      </c>
    </row>
    <row r="3249" spans="1:6" ht="15" x14ac:dyDescent="0.2">
      <c r="A3249" s="7">
        <v>740506</v>
      </c>
      <c r="B3249" s="3" t="s">
        <v>1439</v>
      </c>
      <c r="C3249" s="29">
        <f>ROUND(Balances[[#This Row],[Total]]*40%,0)</f>
        <v>0</v>
      </c>
      <c r="D3249" s="29">
        <f>ROUND(Balances[[#This Row],[Total]]*20%,0)</f>
        <v>0</v>
      </c>
      <c r="E3249" s="29">
        <f>ROUND(Balances[[#This Row],[Total]]*40%,0)</f>
        <v>0</v>
      </c>
      <c r="F3249" s="18">
        <f>SUM(Acueducto[[#This Row],[Acueducto]:[Aseo]])</f>
        <v>0</v>
      </c>
    </row>
    <row r="3250" spans="1:6" ht="15" x14ac:dyDescent="0.2">
      <c r="A3250" s="7">
        <v>740507</v>
      </c>
      <c r="B3250" s="3" t="s">
        <v>1440</v>
      </c>
      <c r="C3250" s="29">
        <f>ROUND(Balances[[#This Row],[Total]]*40%,0)</f>
        <v>0</v>
      </c>
      <c r="D3250" s="29">
        <f>ROUND(Balances[[#This Row],[Total]]*20%,0)</f>
        <v>0</v>
      </c>
      <c r="E3250" s="29">
        <f>ROUND(Balances[[#This Row],[Total]]*40%,0)</f>
        <v>0</v>
      </c>
      <c r="F3250" s="18">
        <f>SUM(Acueducto[[#This Row],[Acueducto]:[Aseo]])</f>
        <v>0</v>
      </c>
    </row>
    <row r="3251" spans="1:6" ht="15" x14ac:dyDescent="0.2">
      <c r="A3251" s="7">
        <v>740508</v>
      </c>
      <c r="B3251" s="3" t="s">
        <v>1441</v>
      </c>
      <c r="C3251" s="29">
        <f>ROUND(Balances[[#This Row],[Total]]*40%,0)</f>
        <v>0</v>
      </c>
      <c r="D3251" s="29">
        <f>ROUND(Balances[[#This Row],[Total]]*20%,0)</f>
        <v>0</v>
      </c>
      <c r="E3251" s="29">
        <f>ROUND(Balances[[#This Row],[Total]]*40%,0)</f>
        <v>0</v>
      </c>
      <c r="F3251" s="18">
        <f>SUM(Acueducto[[#This Row],[Acueducto]:[Aseo]])</f>
        <v>0</v>
      </c>
    </row>
    <row r="3252" spans="1:6" ht="15" x14ac:dyDescent="0.2">
      <c r="A3252" s="7">
        <v>740509</v>
      </c>
      <c r="B3252" s="3" t="s">
        <v>1442</v>
      </c>
      <c r="C3252" s="29">
        <f>ROUND(Balances[[#This Row],[Total]]*40%,0)</f>
        <v>0</v>
      </c>
      <c r="D3252" s="29">
        <f>ROUND(Balances[[#This Row],[Total]]*20%,0)</f>
        <v>0</v>
      </c>
      <c r="E3252" s="29">
        <f>ROUND(Balances[[#This Row],[Total]]*40%,0)</f>
        <v>0</v>
      </c>
      <c r="F3252" s="18">
        <f>SUM(Acueducto[[#This Row],[Acueducto]:[Aseo]])</f>
        <v>0</v>
      </c>
    </row>
    <row r="3253" spans="1:6" ht="15" x14ac:dyDescent="0.2">
      <c r="A3253" s="7">
        <v>740510</v>
      </c>
      <c r="B3253" s="3" t="s">
        <v>1443</v>
      </c>
      <c r="C3253" s="29">
        <f>ROUND(Balances[[#This Row],[Total]]*40%,0)</f>
        <v>0</v>
      </c>
      <c r="D3253" s="29">
        <f>ROUND(Balances[[#This Row],[Total]]*20%,0)</f>
        <v>0</v>
      </c>
      <c r="E3253" s="29">
        <f>ROUND(Balances[[#This Row],[Total]]*40%,0)</f>
        <v>0</v>
      </c>
      <c r="F3253" s="18">
        <f>SUM(Acueducto[[#This Row],[Acueducto]:[Aseo]])</f>
        <v>0</v>
      </c>
    </row>
    <row r="3254" spans="1:6" ht="15" x14ac:dyDescent="0.2">
      <c r="A3254" s="7">
        <v>740595</v>
      </c>
      <c r="B3254" s="3" t="s">
        <v>1444</v>
      </c>
      <c r="C3254" s="29">
        <f>ROUND(Balances[[#This Row],[Total]]*40%,0)</f>
        <v>0</v>
      </c>
      <c r="D3254" s="29">
        <f>ROUND(Balances[[#This Row],[Total]]*20%,0)</f>
        <v>0</v>
      </c>
      <c r="E3254" s="29">
        <f>ROUND(Balances[[#This Row],[Total]]*40%,0)</f>
        <v>0</v>
      </c>
      <c r="F3254" s="18">
        <f>SUM(Acueducto[[#This Row],[Acueducto]:[Aseo]])</f>
        <v>0</v>
      </c>
    </row>
    <row r="3255" spans="1:6" ht="15" x14ac:dyDescent="0.2">
      <c r="A3255" s="6">
        <v>7490</v>
      </c>
      <c r="B3255" s="2" t="s">
        <v>1496</v>
      </c>
      <c r="C3255" s="28">
        <f>ROUND(Balances[[#This Row],[Total]]*40%,0)</f>
        <v>0</v>
      </c>
      <c r="D3255" s="28">
        <f>ROUND(Balances[[#This Row],[Total]]*20%,0)</f>
        <v>0</v>
      </c>
      <c r="E3255" s="28">
        <f>ROUND(Balances[[#This Row],[Total]]*40%,0)</f>
        <v>0</v>
      </c>
      <c r="F3255" s="17">
        <f>SUM(Acueducto[[#This Row],[Acueducto]:[Aseo]])</f>
        <v>0</v>
      </c>
    </row>
    <row r="3256" spans="1:6" ht="15" x14ac:dyDescent="0.2">
      <c r="A3256" s="7">
        <v>749001</v>
      </c>
      <c r="B3256" s="3" t="s">
        <v>1436</v>
      </c>
      <c r="C3256" s="29">
        <f>ROUND(Balances[[#This Row],[Total]]*40%,0)</f>
        <v>0</v>
      </c>
      <c r="D3256" s="29">
        <f>ROUND(Balances[[#This Row],[Total]]*20%,0)</f>
        <v>0</v>
      </c>
      <c r="E3256" s="29">
        <f>ROUND(Balances[[#This Row],[Total]]*40%,0)</f>
        <v>0</v>
      </c>
      <c r="F3256" s="18">
        <f>SUM(Acueducto[[#This Row],[Acueducto]:[Aseo]])</f>
        <v>0</v>
      </c>
    </row>
    <row r="3257" spans="1:6" ht="15" x14ac:dyDescent="0.2">
      <c r="A3257" s="7">
        <v>749002</v>
      </c>
      <c r="B3257" s="3" t="s">
        <v>1437</v>
      </c>
      <c r="C3257" s="29">
        <f>ROUND(Balances[[#This Row],[Total]]*40%,0)</f>
        <v>0</v>
      </c>
      <c r="D3257" s="29">
        <f>ROUND(Balances[[#This Row],[Total]]*20%,0)</f>
        <v>0</v>
      </c>
      <c r="E3257" s="29">
        <f>ROUND(Balances[[#This Row],[Total]]*40%,0)</f>
        <v>0</v>
      </c>
      <c r="F3257" s="18">
        <f>SUM(Acueducto[[#This Row],[Acueducto]:[Aseo]])</f>
        <v>0</v>
      </c>
    </row>
    <row r="3258" spans="1:6" ht="15" x14ac:dyDescent="0.2">
      <c r="A3258" s="7">
        <v>749003</v>
      </c>
      <c r="B3258" s="3" t="s">
        <v>568</v>
      </c>
      <c r="C3258" s="29">
        <f>ROUND(Balances[[#This Row],[Total]]*40%,0)</f>
        <v>0</v>
      </c>
      <c r="D3258" s="29">
        <f>ROUND(Balances[[#This Row],[Total]]*20%,0)</f>
        <v>0</v>
      </c>
      <c r="E3258" s="29">
        <f>ROUND(Balances[[#This Row],[Total]]*40%,0)</f>
        <v>0</v>
      </c>
      <c r="F3258" s="18">
        <f>SUM(Acueducto[[#This Row],[Acueducto]:[Aseo]])</f>
        <v>0</v>
      </c>
    </row>
    <row r="3259" spans="1:6" ht="15" x14ac:dyDescent="0.2">
      <c r="A3259" s="7">
        <v>749004</v>
      </c>
      <c r="B3259" s="3" t="s">
        <v>1438</v>
      </c>
      <c r="C3259" s="29">
        <f>ROUND(Balances[[#This Row],[Total]]*40%,0)</f>
        <v>0</v>
      </c>
      <c r="D3259" s="29">
        <f>ROUND(Balances[[#This Row],[Total]]*20%,0)</f>
        <v>0</v>
      </c>
      <c r="E3259" s="29">
        <f>ROUND(Balances[[#This Row],[Total]]*40%,0)</f>
        <v>0</v>
      </c>
      <c r="F3259" s="18">
        <f>SUM(Acueducto[[#This Row],[Acueducto]:[Aseo]])</f>
        <v>0</v>
      </c>
    </row>
    <row r="3260" spans="1:6" ht="15" x14ac:dyDescent="0.2">
      <c r="A3260" s="7">
        <v>749005</v>
      </c>
      <c r="B3260" s="3" t="s">
        <v>569</v>
      </c>
      <c r="C3260" s="29">
        <f>ROUND(Balances[[#This Row],[Total]]*40%,0)</f>
        <v>0</v>
      </c>
      <c r="D3260" s="29">
        <f>ROUND(Balances[[#This Row],[Total]]*20%,0)</f>
        <v>0</v>
      </c>
      <c r="E3260" s="29">
        <f>ROUND(Balances[[#This Row],[Total]]*40%,0)</f>
        <v>0</v>
      </c>
      <c r="F3260" s="18">
        <f>SUM(Acueducto[[#This Row],[Acueducto]:[Aseo]])</f>
        <v>0</v>
      </c>
    </row>
    <row r="3261" spans="1:6" ht="15" x14ac:dyDescent="0.2">
      <c r="A3261" s="7">
        <v>749006</v>
      </c>
      <c r="B3261" s="3" t="s">
        <v>1439</v>
      </c>
      <c r="C3261" s="29">
        <f>ROUND(Balances[[#This Row],[Total]]*40%,0)</f>
        <v>0</v>
      </c>
      <c r="D3261" s="29">
        <f>ROUND(Balances[[#This Row],[Total]]*20%,0)</f>
        <v>0</v>
      </c>
      <c r="E3261" s="29">
        <f>ROUND(Balances[[#This Row],[Total]]*40%,0)</f>
        <v>0</v>
      </c>
      <c r="F3261" s="18">
        <f>SUM(Acueducto[[#This Row],[Acueducto]:[Aseo]])</f>
        <v>0</v>
      </c>
    </row>
    <row r="3262" spans="1:6" ht="15" x14ac:dyDescent="0.2">
      <c r="A3262" s="7">
        <v>749007</v>
      </c>
      <c r="B3262" s="3" t="s">
        <v>1440</v>
      </c>
      <c r="C3262" s="29">
        <f>ROUND(Balances[[#This Row],[Total]]*40%,0)</f>
        <v>0</v>
      </c>
      <c r="D3262" s="29">
        <f>ROUND(Balances[[#This Row],[Total]]*20%,0)</f>
        <v>0</v>
      </c>
      <c r="E3262" s="29">
        <f>ROUND(Balances[[#This Row],[Total]]*40%,0)</f>
        <v>0</v>
      </c>
      <c r="F3262" s="18">
        <f>SUM(Acueducto[[#This Row],[Acueducto]:[Aseo]])</f>
        <v>0</v>
      </c>
    </row>
    <row r="3263" spans="1:6" ht="15" x14ac:dyDescent="0.2">
      <c r="A3263" s="7">
        <v>749008</v>
      </c>
      <c r="B3263" s="3" t="s">
        <v>1441</v>
      </c>
      <c r="C3263" s="29">
        <f>ROUND(Balances[[#This Row],[Total]]*40%,0)</f>
        <v>0</v>
      </c>
      <c r="D3263" s="29">
        <f>ROUND(Balances[[#This Row],[Total]]*20%,0)</f>
        <v>0</v>
      </c>
      <c r="E3263" s="29">
        <f>ROUND(Balances[[#This Row],[Total]]*40%,0)</f>
        <v>0</v>
      </c>
      <c r="F3263" s="18">
        <f>SUM(Acueducto[[#This Row],[Acueducto]:[Aseo]])</f>
        <v>0</v>
      </c>
    </row>
    <row r="3264" spans="1:6" ht="15" x14ac:dyDescent="0.2">
      <c r="A3264" s="7">
        <v>749009</v>
      </c>
      <c r="B3264" s="3" t="s">
        <v>1442</v>
      </c>
      <c r="C3264" s="29">
        <f>ROUND(Balances[[#This Row],[Total]]*40%,0)</f>
        <v>0</v>
      </c>
      <c r="D3264" s="29">
        <f>ROUND(Balances[[#This Row],[Total]]*20%,0)</f>
        <v>0</v>
      </c>
      <c r="E3264" s="29">
        <f>ROUND(Balances[[#This Row],[Total]]*40%,0)</f>
        <v>0</v>
      </c>
      <c r="F3264" s="18">
        <f>SUM(Acueducto[[#This Row],[Acueducto]:[Aseo]])</f>
        <v>0</v>
      </c>
    </row>
    <row r="3265" spans="1:6" ht="15" x14ac:dyDescent="0.2">
      <c r="A3265" s="7">
        <v>749010</v>
      </c>
      <c r="B3265" s="3" t="s">
        <v>1443</v>
      </c>
      <c r="C3265" s="29">
        <f>ROUND(Balances[[#This Row],[Total]]*40%,0)</f>
        <v>0</v>
      </c>
      <c r="D3265" s="29">
        <f>ROUND(Balances[[#This Row],[Total]]*20%,0)</f>
        <v>0</v>
      </c>
      <c r="E3265" s="29">
        <f>ROUND(Balances[[#This Row],[Total]]*40%,0)</f>
        <v>0</v>
      </c>
      <c r="F3265" s="18">
        <f>SUM(Acueducto[[#This Row],[Acueducto]:[Aseo]])</f>
        <v>0</v>
      </c>
    </row>
    <row r="3266" spans="1:6" ht="15" x14ac:dyDescent="0.2">
      <c r="A3266" s="7">
        <v>749095</v>
      </c>
      <c r="B3266" s="3" t="s">
        <v>1444</v>
      </c>
      <c r="C3266" s="29">
        <f>ROUND(Balances[[#This Row],[Total]]*40%,0)</f>
        <v>0</v>
      </c>
      <c r="D3266" s="29">
        <f>ROUND(Balances[[#This Row],[Total]]*20%,0)</f>
        <v>0</v>
      </c>
      <c r="E3266" s="29">
        <f>ROUND(Balances[[#This Row],[Total]]*40%,0)</f>
        <v>0</v>
      </c>
      <c r="F3266" s="18">
        <f>SUM(Acueducto[[#This Row],[Acueducto]:[Aseo]])</f>
        <v>0</v>
      </c>
    </row>
    <row r="3267" spans="1:6" ht="15" x14ac:dyDescent="0.2">
      <c r="A3267" s="6">
        <v>75</v>
      </c>
      <c r="B3267" s="2" t="s">
        <v>1424</v>
      </c>
      <c r="C3267" s="28">
        <f>ROUND(Balances[[#This Row],[Total]]*40%,0)</f>
        <v>0</v>
      </c>
      <c r="D3267" s="28">
        <f>ROUND(Balances[[#This Row],[Total]]*20%,0)</f>
        <v>0</v>
      </c>
      <c r="E3267" s="28">
        <f>ROUND(Balances[[#This Row],[Total]]*40%,0)</f>
        <v>0</v>
      </c>
      <c r="F3267" s="28">
        <f>SUM(Acueducto[[#This Row],[Acueducto]:[Aseo]])</f>
        <v>0</v>
      </c>
    </row>
    <row r="3268" spans="1:6" ht="15" x14ac:dyDescent="0.2">
      <c r="A3268" s="6">
        <v>7501</v>
      </c>
      <c r="B3268" s="2" t="s">
        <v>1497</v>
      </c>
      <c r="C3268" s="28">
        <f>ROUND(Balances[[#This Row],[Total]]*40%,0)</f>
        <v>0</v>
      </c>
      <c r="D3268" s="28">
        <f>ROUND(Balances[[#This Row],[Total]]*20%,0)</f>
        <v>0</v>
      </c>
      <c r="E3268" s="28">
        <f>ROUND(Balances[[#This Row],[Total]]*40%,0)</f>
        <v>0</v>
      </c>
      <c r="F3268" s="17">
        <f>SUM(Acueducto[[#This Row],[Acueducto]:[Aseo]])</f>
        <v>0</v>
      </c>
    </row>
    <row r="3269" spans="1:6" ht="15" x14ac:dyDescent="0.2">
      <c r="A3269" s="7">
        <v>750101</v>
      </c>
      <c r="B3269" s="3" t="s">
        <v>1436</v>
      </c>
      <c r="C3269" s="29">
        <f>ROUND(Balances[[#This Row],[Total]]*40%,0)</f>
        <v>0</v>
      </c>
      <c r="D3269" s="29">
        <f>ROUND(Balances[[#This Row],[Total]]*20%,0)</f>
        <v>0</v>
      </c>
      <c r="E3269" s="29">
        <f>ROUND(Balances[[#This Row],[Total]]*40%,0)</f>
        <v>0</v>
      </c>
      <c r="F3269" s="18">
        <f>SUM(Acueducto[[#This Row],[Acueducto]:[Aseo]])</f>
        <v>0</v>
      </c>
    </row>
    <row r="3270" spans="1:6" ht="15" x14ac:dyDescent="0.2">
      <c r="A3270" s="7">
        <v>750102</v>
      </c>
      <c r="B3270" s="3" t="s">
        <v>1437</v>
      </c>
      <c r="C3270" s="29">
        <f>ROUND(Balances[[#This Row],[Total]]*40%,0)</f>
        <v>0</v>
      </c>
      <c r="D3270" s="29">
        <f>ROUND(Balances[[#This Row],[Total]]*20%,0)</f>
        <v>0</v>
      </c>
      <c r="E3270" s="29">
        <f>ROUND(Balances[[#This Row],[Total]]*40%,0)</f>
        <v>0</v>
      </c>
      <c r="F3270" s="18">
        <f>SUM(Acueducto[[#This Row],[Acueducto]:[Aseo]])</f>
        <v>0</v>
      </c>
    </row>
    <row r="3271" spans="1:6" ht="15" x14ac:dyDescent="0.2">
      <c r="A3271" s="7">
        <v>750103</v>
      </c>
      <c r="B3271" s="3" t="s">
        <v>568</v>
      </c>
      <c r="C3271" s="29">
        <f>ROUND(Balances[[#This Row],[Total]]*40%,0)</f>
        <v>0</v>
      </c>
      <c r="D3271" s="29">
        <f>ROUND(Balances[[#This Row],[Total]]*20%,0)</f>
        <v>0</v>
      </c>
      <c r="E3271" s="29">
        <f>ROUND(Balances[[#This Row],[Total]]*40%,0)</f>
        <v>0</v>
      </c>
      <c r="F3271" s="18">
        <f>SUM(Acueducto[[#This Row],[Acueducto]:[Aseo]])</f>
        <v>0</v>
      </c>
    </row>
    <row r="3272" spans="1:6" ht="15" x14ac:dyDescent="0.2">
      <c r="A3272" s="7">
        <v>750104</v>
      </c>
      <c r="B3272" s="3" t="s">
        <v>1438</v>
      </c>
      <c r="C3272" s="29">
        <f>ROUND(Balances[[#This Row],[Total]]*40%,0)</f>
        <v>0</v>
      </c>
      <c r="D3272" s="29">
        <f>ROUND(Balances[[#This Row],[Total]]*20%,0)</f>
        <v>0</v>
      </c>
      <c r="E3272" s="29">
        <f>ROUND(Balances[[#This Row],[Total]]*40%,0)</f>
        <v>0</v>
      </c>
      <c r="F3272" s="18">
        <f>SUM(Acueducto[[#This Row],[Acueducto]:[Aseo]])</f>
        <v>0</v>
      </c>
    </row>
    <row r="3273" spans="1:6" ht="15" x14ac:dyDescent="0.2">
      <c r="A3273" s="7">
        <v>750105</v>
      </c>
      <c r="B3273" s="3" t="s">
        <v>569</v>
      </c>
      <c r="C3273" s="29">
        <f>ROUND(Balances[[#This Row],[Total]]*40%,0)</f>
        <v>0</v>
      </c>
      <c r="D3273" s="29">
        <f>ROUND(Balances[[#This Row],[Total]]*20%,0)</f>
        <v>0</v>
      </c>
      <c r="E3273" s="29">
        <f>ROUND(Balances[[#This Row],[Total]]*40%,0)</f>
        <v>0</v>
      </c>
      <c r="F3273" s="18">
        <f>SUM(Acueducto[[#This Row],[Acueducto]:[Aseo]])</f>
        <v>0</v>
      </c>
    </row>
    <row r="3274" spans="1:6" ht="15" x14ac:dyDescent="0.2">
      <c r="A3274" s="7">
        <v>750106</v>
      </c>
      <c r="B3274" s="3" t="s">
        <v>1439</v>
      </c>
      <c r="C3274" s="29">
        <f>ROUND(Balances[[#This Row],[Total]]*40%,0)</f>
        <v>0</v>
      </c>
      <c r="D3274" s="29">
        <f>ROUND(Balances[[#This Row],[Total]]*20%,0)</f>
        <v>0</v>
      </c>
      <c r="E3274" s="29">
        <f>ROUND(Balances[[#This Row],[Total]]*40%,0)</f>
        <v>0</v>
      </c>
      <c r="F3274" s="18">
        <f>SUM(Acueducto[[#This Row],[Acueducto]:[Aseo]])</f>
        <v>0</v>
      </c>
    </row>
    <row r="3275" spans="1:6" ht="15" x14ac:dyDescent="0.2">
      <c r="A3275" s="7">
        <v>750107</v>
      </c>
      <c r="B3275" s="3" t="s">
        <v>1440</v>
      </c>
      <c r="C3275" s="29">
        <f>ROUND(Balances[[#This Row],[Total]]*40%,0)</f>
        <v>0</v>
      </c>
      <c r="D3275" s="29">
        <f>ROUND(Balances[[#This Row],[Total]]*20%,0)</f>
        <v>0</v>
      </c>
      <c r="E3275" s="29">
        <f>ROUND(Balances[[#This Row],[Total]]*40%,0)</f>
        <v>0</v>
      </c>
      <c r="F3275" s="18">
        <f>SUM(Acueducto[[#This Row],[Acueducto]:[Aseo]])</f>
        <v>0</v>
      </c>
    </row>
    <row r="3276" spans="1:6" ht="15" x14ac:dyDescent="0.2">
      <c r="A3276" s="7">
        <v>750108</v>
      </c>
      <c r="B3276" s="3" t="s">
        <v>1441</v>
      </c>
      <c r="C3276" s="29">
        <f>ROUND(Balances[[#This Row],[Total]]*40%,0)</f>
        <v>0</v>
      </c>
      <c r="D3276" s="29">
        <f>ROUND(Balances[[#This Row],[Total]]*20%,0)</f>
        <v>0</v>
      </c>
      <c r="E3276" s="29">
        <f>ROUND(Balances[[#This Row],[Total]]*40%,0)</f>
        <v>0</v>
      </c>
      <c r="F3276" s="18">
        <f>SUM(Acueducto[[#This Row],[Acueducto]:[Aseo]])</f>
        <v>0</v>
      </c>
    </row>
    <row r="3277" spans="1:6" ht="15" x14ac:dyDescent="0.2">
      <c r="A3277" s="7">
        <v>750109</v>
      </c>
      <c r="B3277" s="3" t="s">
        <v>1442</v>
      </c>
      <c r="C3277" s="29">
        <f>ROUND(Balances[[#This Row],[Total]]*40%,0)</f>
        <v>0</v>
      </c>
      <c r="D3277" s="29">
        <f>ROUND(Balances[[#This Row],[Total]]*20%,0)</f>
        <v>0</v>
      </c>
      <c r="E3277" s="29">
        <f>ROUND(Balances[[#This Row],[Total]]*40%,0)</f>
        <v>0</v>
      </c>
      <c r="F3277" s="18">
        <f>SUM(Acueducto[[#This Row],[Acueducto]:[Aseo]])</f>
        <v>0</v>
      </c>
    </row>
    <row r="3278" spans="1:6" ht="15" x14ac:dyDescent="0.2">
      <c r="A3278" s="7">
        <v>750110</v>
      </c>
      <c r="B3278" s="3" t="s">
        <v>1443</v>
      </c>
      <c r="C3278" s="29">
        <f>ROUND(Balances[[#This Row],[Total]]*40%,0)</f>
        <v>0</v>
      </c>
      <c r="D3278" s="29">
        <f>ROUND(Balances[[#This Row],[Total]]*20%,0)</f>
        <v>0</v>
      </c>
      <c r="E3278" s="29">
        <f>ROUND(Balances[[#This Row],[Total]]*40%,0)</f>
        <v>0</v>
      </c>
      <c r="F3278" s="18">
        <f>SUM(Acueducto[[#This Row],[Acueducto]:[Aseo]])</f>
        <v>0</v>
      </c>
    </row>
    <row r="3279" spans="1:6" ht="15" x14ac:dyDescent="0.2">
      <c r="A3279" s="7">
        <v>750195</v>
      </c>
      <c r="B3279" s="3" t="s">
        <v>1444</v>
      </c>
      <c r="C3279" s="29">
        <f>ROUND(Balances[[#This Row],[Total]]*40%,0)</f>
        <v>0</v>
      </c>
      <c r="D3279" s="29">
        <f>ROUND(Balances[[#This Row],[Total]]*20%,0)</f>
        <v>0</v>
      </c>
      <c r="E3279" s="29">
        <f>ROUND(Balances[[#This Row],[Total]]*40%,0)</f>
        <v>0</v>
      </c>
      <c r="F3279" s="18">
        <f>SUM(Acueducto[[#This Row],[Acueducto]:[Aseo]])</f>
        <v>0</v>
      </c>
    </row>
    <row r="3280" spans="1:6" ht="15" x14ac:dyDescent="0.2">
      <c r="A3280" s="6">
        <v>7502</v>
      </c>
      <c r="B3280" s="2" t="s">
        <v>1498</v>
      </c>
      <c r="C3280" s="28">
        <f>ROUND(Balances[[#This Row],[Total]]*40%,0)</f>
        <v>0</v>
      </c>
      <c r="D3280" s="28">
        <f>ROUND(Balances[[#This Row],[Total]]*20%,0)</f>
        <v>0</v>
      </c>
      <c r="E3280" s="28">
        <f>ROUND(Balances[[#This Row],[Total]]*40%,0)</f>
        <v>0</v>
      </c>
      <c r="F3280" s="28">
        <f>SUM(Acueducto[[#This Row],[Acueducto]:[Aseo]])</f>
        <v>0</v>
      </c>
    </row>
    <row r="3281" spans="1:6" ht="15" x14ac:dyDescent="0.2">
      <c r="A3281" s="7">
        <v>750201</v>
      </c>
      <c r="B3281" s="3" t="s">
        <v>1436</v>
      </c>
      <c r="C3281" s="29">
        <f>ROUND(Balances[[#This Row],[Total]]*40%,0)</f>
        <v>0</v>
      </c>
      <c r="D3281" s="29">
        <f>ROUND(Balances[[#This Row],[Total]]*20%,0)</f>
        <v>0</v>
      </c>
      <c r="E3281" s="29">
        <f>ROUND(Balances[[#This Row],[Total]]*40%,0)</f>
        <v>0</v>
      </c>
      <c r="F3281" s="29">
        <f>SUM(Acueducto[[#This Row],[Acueducto]:[Aseo]])</f>
        <v>0</v>
      </c>
    </row>
    <row r="3282" spans="1:6" ht="15" x14ac:dyDescent="0.2">
      <c r="A3282" s="7">
        <v>750202</v>
      </c>
      <c r="B3282" s="3" t="s">
        <v>1437</v>
      </c>
      <c r="C3282" s="29">
        <f>ROUND(Balances[[#This Row],[Total]]*40%,0)</f>
        <v>0</v>
      </c>
      <c r="D3282" s="29">
        <f>ROUND(Balances[[#This Row],[Total]]*20%,0)</f>
        <v>0</v>
      </c>
      <c r="E3282" s="29">
        <f>ROUND(Balances[[#This Row],[Total]]*40%,0)</f>
        <v>0</v>
      </c>
      <c r="F3282" s="29">
        <f>SUM(Acueducto[[#This Row],[Acueducto]:[Aseo]])</f>
        <v>0</v>
      </c>
    </row>
    <row r="3283" spans="1:6" ht="15" x14ac:dyDescent="0.2">
      <c r="A3283" s="7">
        <v>750203</v>
      </c>
      <c r="B3283" s="3" t="s">
        <v>568</v>
      </c>
      <c r="C3283" s="29">
        <f>ROUND(Balances[[#This Row],[Total]]*40%,0)</f>
        <v>0</v>
      </c>
      <c r="D3283" s="29">
        <f>ROUND(Balances[[#This Row],[Total]]*20%,0)</f>
        <v>0</v>
      </c>
      <c r="E3283" s="29">
        <f>ROUND(Balances[[#This Row],[Total]]*40%,0)</f>
        <v>0</v>
      </c>
      <c r="F3283" s="29">
        <f>SUM(Acueducto[[#This Row],[Acueducto]:[Aseo]])</f>
        <v>0</v>
      </c>
    </row>
    <row r="3284" spans="1:6" ht="15" x14ac:dyDescent="0.2">
      <c r="A3284" s="7">
        <v>750204</v>
      </c>
      <c r="B3284" s="3" t="s">
        <v>1438</v>
      </c>
      <c r="C3284" s="29">
        <f>ROUND(Balances[[#This Row],[Total]]*40%,0)</f>
        <v>0</v>
      </c>
      <c r="D3284" s="29">
        <f>ROUND(Balances[[#This Row],[Total]]*20%,0)</f>
        <v>0</v>
      </c>
      <c r="E3284" s="29">
        <f>ROUND(Balances[[#This Row],[Total]]*40%,0)</f>
        <v>0</v>
      </c>
      <c r="F3284" s="18">
        <f>SUM(Acueducto[[#This Row],[Acueducto]:[Aseo]])</f>
        <v>0</v>
      </c>
    </row>
    <row r="3285" spans="1:6" ht="15" x14ac:dyDescent="0.2">
      <c r="A3285" s="7">
        <v>750205</v>
      </c>
      <c r="B3285" s="3" t="s">
        <v>569</v>
      </c>
      <c r="C3285" s="29">
        <f>ROUND(Balances[[#This Row],[Total]]*40%,0)</f>
        <v>0</v>
      </c>
      <c r="D3285" s="29">
        <f>ROUND(Balances[[#This Row],[Total]]*20%,0)</f>
        <v>0</v>
      </c>
      <c r="E3285" s="29">
        <f>ROUND(Balances[[#This Row],[Total]]*40%,0)</f>
        <v>0</v>
      </c>
      <c r="F3285" s="29">
        <f>SUM(Acueducto[[#This Row],[Acueducto]:[Aseo]])</f>
        <v>0</v>
      </c>
    </row>
    <row r="3286" spans="1:6" ht="15" x14ac:dyDescent="0.2">
      <c r="A3286" s="7">
        <v>750206</v>
      </c>
      <c r="B3286" s="3" t="s">
        <v>1439</v>
      </c>
      <c r="C3286" s="29">
        <f>ROUND(Balances[[#This Row],[Total]]*40%,0)</f>
        <v>0</v>
      </c>
      <c r="D3286" s="29">
        <f>ROUND(Balances[[#This Row],[Total]]*20%,0)</f>
        <v>0</v>
      </c>
      <c r="E3286" s="29">
        <f>ROUND(Balances[[#This Row],[Total]]*40%,0)</f>
        <v>0</v>
      </c>
      <c r="F3286" s="29">
        <f>SUM(Acueducto[[#This Row],[Acueducto]:[Aseo]])</f>
        <v>0</v>
      </c>
    </row>
    <row r="3287" spans="1:6" ht="15" x14ac:dyDescent="0.2">
      <c r="A3287" s="7">
        <v>750207</v>
      </c>
      <c r="B3287" s="3" t="s">
        <v>1440</v>
      </c>
      <c r="C3287" s="29">
        <f>ROUND(Balances[[#This Row],[Total]]*40%,0)</f>
        <v>0</v>
      </c>
      <c r="D3287" s="29">
        <f>ROUND(Balances[[#This Row],[Total]]*20%,0)</f>
        <v>0</v>
      </c>
      <c r="E3287" s="29">
        <f>ROUND(Balances[[#This Row],[Total]]*40%,0)</f>
        <v>0</v>
      </c>
      <c r="F3287" s="18">
        <f>SUM(Acueducto[[#This Row],[Acueducto]:[Aseo]])</f>
        <v>0</v>
      </c>
    </row>
    <row r="3288" spans="1:6" ht="15" x14ac:dyDescent="0.2">
      <c r="A3288" s="7">
        <v>750208</v>
      </c>
      <c r="B3288" s="3" t="s">
        <v>1441</v>
      </c>
      <c r="C3288" s="29">
        <f>ROUND(Balances[[#This Row],[Total]]*40%,0)</f>
        <v>0</v>
      </c>
      <c r="D3288" s="29">
        <f>ROUND(Balances[[#This Row],[Total]]*20%,0)</f>
        <v>0</v>
      </c>
      <c r="E3288" s="29">
        <f>ROUND(Balances[[#This Row],[Total]]*40%,0)</f>
        <v>0</v>
      </c>
      <c r="F3288" s="18">
        <f>SUM(Acueducto[[#This Row],[Acueducto]:[Aseo]])</f>
        <v>0</v>
      </c>
    </row>
    <row r="3289" spans="1:6" ht="15" x14ac:dyDescent="0.2">
      <c r="A3289" s="7">
        <v>750209</v>
      </c>
      <c r="B3289" s="3" t="s">
        <v>1442</v>
      </c>
      <c r="C3289" s="29">
        <f>ROUND(Balances[[#This Row],[Total]]*40%,0)</f>
        <v>0</v>
      </c>
      <c r="D3289" s="29">
        <f>ROUND(Balances[[#This Row],[Total]]*20%,0)</f>
        <v>0</v>
      </c>
      <c r="E3289" s="29">
        <f>ROUND(Balances[[#This Row],[Total]]*40%,0)</f>
        <v>0</v>
      </c>
      <c r="F3289" s="29">
        <f>SUM(Acueducto[[#This Row],[Acueducto]:[Aseo]])</f>
        <v>0</v>
      </c>
    </row>
    <row r="3290" spans="1:6" ht="15" x14ac:dyDescent="0.2">
      <c r="A3290" s="7">
        <v>750210</v>
      </c>
      <c r="B3290" s="3" t="s">
        <v>1443</v>
      </c>
      <c r="C3290" s="29">
        <f>ROUND(Balances[[#This Row],[Total]]*40%,0)</f>
        <v>0</v>
      </c>
      <c r="D3290" s="29">
        <f>ROUND(Balances[[#This Row],[Total]]*20%,0)</f>
        <v>0</v>
      </c>
      <c r="E3290" s="29">
        <f>ROUND(Balances[[#This Row],[Total]]*40%,0)</f>
        <v>0</v>
      </c>
      <c r="F3290" s="18">
        <f>SUM(Acueducto[[#This Row],[Acueducto]:[Aseo]])</f>
        <v>0</v>
      </c>
    </row>
    <row r="3291" spans="1:6" ht="15" x14ac:dyDescent="0.2">
      <c r="A3291" s="7">
        <v>750295</v>
      </c>
      <c r="B3291" s="3" t="s">
        <v>1444</v>
      </c>
      <c r="C3291" s="29">
        <f>ROUND(Balances[[#This Row],[Total]]*40%,0)</f>
        <v>0</v>
      </c>
      <c r="D3291" s="29">
        <f>ROUND(Balances[[#This Row],[Total]]*20%,0)</f>
        <v>0</v>
      </c>
      <c r="E3291" s="29">
        <f>ROUND(Balances[[#This Row],[Total]]*40%,0)</f>
        <v>0</v>
      </c>
      <c r="F3291" s="18">
        <f>SUM(Acueducto[[#This Row],[Acueducto]:[Aseo]])</f>
        <v>0</v>
      </c>
    </row>
    <row r="3292" spans="1:6" ht="15" x14ac:dyDescent="0.2">
      <c r="A3292" s="6">
        <v>7503</v>
      </c>
      <c r="B3292" s="2" t="s">
        <v>1499</v>
      </c>
      <c r="C3292" s="28">
        <f>ROUND(Balances[[#This Row],[Total]]*40%,0)</f>
        <v>0</v>
      </c>
      <c r="D3292" s="28">
        <f>ROUND(Balances[[#This Row],[Total]]*20%,0)</f>
        <v>0</v>
      </c>
      <c r="E3292" s="28">
        <f>ROUND(Balances[[#This Row],[Total]]*40%,0)</f>
        <v>0</v>
      </c>
      <c r="F3292" s="28">
        <f>SUM(Acueducto[[#This Row],[Acueducto]:[Aseo]])</f>
        <v>0</v>
      </c>
    </row>
    <row r="3293" spans="1:6" ht="15" x14ac:dyDescent="0.2">
      <c r="A3293" s="7">
        <v>750301</v>
      </c>
      <c r="B3293" s="3" t="s">
        <v>1436</v>
      </c>
      <c r="C3293" s="29">
        <f>ROUND(Balances[[#This Row],[Total]]*40%,0)</f>
        <v>0</v>
      </c>
      <c r="D3293" s="29">
        <f>ROUND(Balances[[#This Row],[Total]]*20%,0)</f>
        <v>0</v>
      </c>
      <c r="E3293" s="29">
        <f>ROUND(Balances[[#This Row],[Total]]*40%,0)</f>
        <v>0</v>
      </c>
      <c r="F3293" s="29">
        <f>SUM(Acueducto[[#This Row],[Acueducto]:[Aseo]])</f>
        <v>0</v>
      </c>
    </row>
    <row r="3294" spans="1:6" ht="15" x14ac:dyDescent="0.2">
      <c r="A3294" s="7">
        <v>750302</v>
      </c>
      <c r="B3294" s="3" t="s">
        <v>1437</v>
      </c>
      <c r="C3294" s="29">
        <f>ROUND(Balances[[#This Row],[Total]]*40%,0)</f>
        <v>0</v>
      </c>
      <c r="D3294" s="29">
        <f>ROUND(Balances[[#This Row],[Total]]*20%,0)</f>
        <v>0</v>
      </c>
      <c r="E3294" s="29">
        <f>ROUND(Balances[[#This Row],[Total]]*40%,0)</f>
        <v>0</v>
      </c>
      <c r="F3294" s="29">
        <f>SUM(Acueducto[[#This Row],[Acueducto]:[Aseo]])</f>
        <v>0</v>
      </c>
    </row>
    <row r="3295" spans="1:6" ht="15" x14ac:dyDescent="0.2">
      <c r="A3295" s="7">
        <v>750303</v>
      </c>
      <c r="B3295" s="3" t="s">
        <v>568</v>
      </c>
      <c r="C3295" s="29">
        <f>ROUND(Balances[[#This Row],[Total]]*40%,0)</f>
        <v>0</v>
      </c>
      <c r="D3295" s="29">
        <f>ROUND(Balances[[#This Row],[Total]]*20%,0)</f>
        <v>0</v>
      </c>
      <c r="E3295" s="29">
        <f>ROUND(Balances[[#This Row],[Total]]*40%,0)</f>
        <v>0</v>
      </c>
      <c r="F3295" s="29">
        <f>SUM(Acueducto[[#This Row],[Acueducto]:[Aseo]])</f>
        <v>0</v>
      </c>
    </row>
    <row r="3296" spans="1:6" ht="15" x14ac:dyDescent="0.2">
      <c r="A3296" s="7">
        <v>750304</v>
      </c>
      <c r="B3296" s="3" t="s">
        <v>1438</v>
      </c>
      <c r="C3296" s="29">
        <f>ROUND(Balances[[#This Row],[Total]]*40%,0)</f>
        <v>0</v>
      </c>
      <c r="D3296" s="29">
        <f>ROUND(Balances[[#This Row],[Total]]*20%,0)</f>
        <v>0</v>
      </c>
      <c r="E3296" s="29">
        <f>ROUND(Balances[[#This Row],[Total]]*40%,0)</f>
        <v>0</v>
      </c>
      <c r="F3296" s="18">
        <f>SUM(Acueducto[[#This Row],[Acueducto]:[Aseo]])</f>
        <v>0</v>
      </c>
    </row>
    <row r="3297" spans="1:6" ht="15" x14ac:dyDescent="0.2">
      <c r="A3297" s="7">
        <v>750305</v>
      </c>
      <c r="B3297" s="3" t="s">
        <v>569</v>
      </c>
      <c r="C3297" s="29">
        <f>ROUND(Balances[[#This Row],[Total]]*40%,0)</f>
        <v>0</v>
      </c>
      <c r="D3297" s="29">
        <f>ROUND(Balances[[#This Row],[Total]]*20%,0)</f>
        <v>0</v>
      </c>
      <c r="E3297" s="29">
        <f>ROUND(Balances[[#This Row],[Total]]*40%,0)</f>
        <v>0</v>
      </c>
      <c r="F3297" s="29">
        <f>SUM(Acueducto[[#This Row],[Acueducto]:[Aseo]])</f>
        <v>0</v>
      </c>
    </row>
    <row r="3298" spans="1:6" ht="15" x14ac:dyDescent="0.2">
      <c r="A3298" s="7">
        <v>750306</v>
      </c>
      <c r="B3298" s="3" t="s">
        <v>1439</v>
      </c>
      <c r="C3298" s="29">
        <f>ROUND(Balances[[#This Row],[Total]]*40%,0)</f>
        <v>0</v>
      </c>
      <c r="D3298" s="29">
        <f>ROUND(Balances[[#This Row],[Total]]*20%,0)</f>
        <v>0</v>
      </c>
      <c r="E3298" s="29">
        <f>ROUND(Balances[[#This Row],[Total]]*40%,0)</f>
        <v>0</v>
      </c>
      <c r="F3298" s="29">
        <f>SUM(Acueducto[[#This Row],[Acueducto]:[Aseo]])</f>
        <v>0</v>
      </c>
    </row>
    <row r="3299" spans="1:6" ht="15" x14ac:dyDescent="0.2">
      <c r="A3299" s="7">
        <v>750307</v>
      </c>
      <c r="B3299" s="3" t="s">
        <v>1440</v>
      </c>
      <c r="C3299" s="29">
        <f>ROUND(Balances[[#This Row],[Total]]*40%,0)</f>
        <v>0</v>
      </c>
      <c r="D3299" s="29">
        <f>ROUND(Balances[[#This Row],[Total]]*20%,0)</f>
        <v>0</v>
      </c>
      <c r="E3299" s="29">
        <f>ROUND(Balances[[#This Row],[Total]]*40%,0)</f>
        <v>0</v>
      </c>
      <c r="F3299" s="18">
        <f>SUM(Acueducto[[#This Row],[Acueducto]:[Aseo]])</f>
        <v>0</v>
      </c>
    </row>
    <row r="3300" spans="1:6" ht="15" x14ac:dyDescent="0.2">
      <c r="A3300" s="7">
        <v>750308</v>
      </c>
      <c r="B3300" s="3" t="s">
        <v>1441</v>
      </c>
      <c r="C3300" s="29">
        <f>ROUND(Balances[[#This Row],[Total]]*40%,0)</f>
        <v>0</v>
      </c>
      <c r="D3300" s="29">
        <f>ROUND(Balances[[#This Row],[Total]]*20%,0)</f>
        <v>0</v>
      </c>
      <c r="E3300" s="29">
        <f>ROUND(Balances[[#This Row],[Total]]*40%,0)</f>
        <v>0</v>
      </c>
      <c r="F3300" s="18">
        <f>SUM(Acueducto[[#This Row],[Acueducto]:[Aseo]])</f>
        <v>0</v>
      </c>
    </row>
    <row r="3301" spans="1:6" ht="15" x14ac:dyDescent="0.2">
      <c r="A3301" s="7">
        <v>750309</v>
      </c>
      <c r="B3301" s="3" t="s">
        <v>1442</v>
      </c>
      <c r="C3301" s="29">
        <f>ROUND(Balances[[#This Row],[Total]]*40%,0)</f>
        <v>0</v>
      </c>
      <c r="D3301" s="29">
        <f>ROUND(Balances[[#This Row],[Total]]*20%,0)</f>
        <v>0</v>
      </c>
      <c r="E3301" s="29">
        <f>ROUND(Balances[[#This Row],[Total]]*40%,0)</f>
        <v>0</v>
      </c>
      <c r="F3301" s="29">
        <f>SUM(Acueducto[[#This Row],[Acueducto]:[Aseo]])</f>
        <v>0</v>
      </c>
    </row>
    <row r="3302" spans="1:6" ht="15" x14ac:dyDescent="0.2">
      <c r="A3302" s="7">
        <v>750310</v>
      </c>
      <c r="B3302" s="3" t="s">
        <v>1443</v>
      </c>
      <c r="C3302" s="29">
        <f>ROUND(Balances[[#This Row],[Total]]*40%,0)</f>
        <v>0</v>
      </c>
      <c r="D3302" s="29">
        <f>ROUND(Balances[[#This Row],[Total]]*20%,0)</f>
        <v>0</v>
      </c>
      <c r="E3302" s="29">
        <f>ROUND(Balances[[#This Row],[Total]]*40%,0)</f>
        <v>0</v>
      </c>
      <c r="F3302" s="18">
        <f>SUM(Acueducto[[#This Row],[Acueducto]:[Aseo]])</f>
        <v>0</v>
      </c>
    </row>
    <row r="3303" spans="1:6" ht="15" x14ac:dyDescent="0.2">
      <c r="A3303" s="7">
        <v>750395</v>
      </c>
      <c r="B3303" s="3" t="s">
        <v>1444</v>
      </c>
      <c r="C3303" s="29">
        <f>ROUND(Balances[[#This Row],[Total]]*40%,0)</f>
        <v>0</v>
      </c>
      <c r="D3303" s="29">
        <f>ROUND(Balances[[#This Row],[Total]]*20%,0)</f>
        <v>0</v>
      </c>
      <c r="E3303" s="29">
        <f>ROUND(Balances[[#This Row],[Total]]*40%,0)</f>
        <v>0</v>
      </c>
      <c r="F3303" s="18">
        <f>SUM(Acueducto[[#This Row],[Acueducto]:[Aseo]])</f>
        <v>0</v>
      </c>
    </row>
    <row r="3304" spans="1:6" ht="15" x14ac:dyDescent="0.2">
      <c r="A3304" s="6">
        <v>7504</v>
      </c>
      <c r="B3304" s="2" t="s">
        <v>1500</v>
      </c>
      <c r="C3304" s="28">
        <f>ROUND(Balances[[#This Row],[Total]]*40%,0)</f>
        <v>0</v>
      </c>
      <c r="D3304" s="28">
        <f>ROUND(Balances[[#This Row],[Total]]*20%,0)</f>
        <v>0</v>
      </c>
      <c r="E3304" s="28">
        <f>ROUND(Balances[[#This Row],[Total]]*40%,0)</f>
        <v>0</v>
      </c>
      <c r="F3304" s="28">
        <f>SUM(Acueducto[[#This Row],[Acueducto]:[Aseo]])</f>
        <v>0</v>
      </c>
    </row>
    <row r="3305" spans="1:6" ht="15" x14ac:dyDescent="0.2">
      <c r="A3305" s="7">
        <v>750401</v>
      </c>
      <c r="B3305" s="3" t="s">
        <v>1436</v>
      </c>
      <c r="C3305" s="29">
        <f>ROUND(Balances[[#This Row],[Total]]*40%,0)</f>
        <v>0</v>
      </c>
      <c r="D3305" s="29">
        <f>ROUND(Balances[[#This Row],[Total]]*20%,0)</f>
        <v>0</v>
      </c>
      <c r="E3305" s="29">
        <f>ROUND(Balances[[#This Row],[Total]]*40%,0)</f>
        <v>0</v>
      </c>
      <c r="F3305" s="29">
        <f>SUM(Acueducto[[#This Row],[Acueducto]:[Aseo]])</f>
        <v>0</v>
      </c>
    </row>
    <row r="3306" spans="1:6" ht="15" x14ac:dyDescent="0.2">
      <c r="A3306" s="7">
        <v>750402</v>
      </c>
      <c r="B3306" s="3" t="s">
        <v>1437</v>
      </c>
      <c r="C3306" s="29">
        <f>ROUND(Balances[[#This Row],[Total]]*40%,0)</f>
        <v>0</v>
      </c>
      <c r="D3306" s="29">
        <f>ROUND(Balances[[#This Row],[Total]]*20%,0)</f>
        <v>0</v>
      </c>
      <c r="E3306" s="29">
        <f>ROUND(Balances[[#This Row],[Total]]*40%,0)</f>
        <v>0</v>
      </c>
      <c r="F3306" s="29">
        <f>SUM(Acueducto[[#This Row],[Acueducto]:[Aseo]])</f>
        <v>0</v>
      </c>
    </row>
    <row r="3307" spans="1:6" ht="15" x14ac:dyDescent="0.2">
      <c r="A3307" s="7">
        <v>750403</v>
      </c>
      <c r="B3307" s="3" t="s">
        <v>568</v>
      </c>
      <c r="C3307" s="29">
        <f>ROUND(Balances[[#This Row],[Total]]*40%,0)</f>
        <v>0</v>
      </c>
      <c r="D3307" s="29">
        <f>ROUND(Balances[[#This Row],[Total]]*20%,0)</f>
        <v>0</v>
      </c>
      <c r="E3307" s="29">
        <f>ROUND(Balances[[#This Row],[Total]]*40%,0)</f>
        <v>0</v>
      </c>
      <c r="F3307" s="29">
        <f>SUM(Acueducto[[#This Row],[Acueducto]:[Aseo]])</f>
        <v>0</v>
      </c>
    </row>
    <row r="3308" spans="1:6" ht="15" x14ac:dyDescent="0.2">
      <c r="A3308" s="7">
        <v>750404</v>
      </c>
      <c r="B3308" s="3" t="s">
        <v>1438</v>
      </c>
      <c r="C3308" s="29">
        <f>ROUND(Balances[[#This Row],[Total]]*40%,0)</f>
        <v>0</v>
      </c>
      <c r="D3308" s="29">
        <f>ROUND(Balances[[#This Row],[Total]]*20%,0)</f>
        <v>0</v>
      </c>
      <c r="E3308" s="29">
        <f>ROUND(Balances[[#This Row],[Total]]*40%,0)</f>
        <v>0</v>
      </c>
      <c r="F3308" s="18">
        <f>SUM(Acueducto[[#This Row],[Acueducto]:[Aseo]])</f>
        <v>0</v>
      </c>
    </row>
    <row r="3309" spans="1:6" ht="15" x14ac:dyDescent="0.2">
      <c r="A3309" s="7">
        <v>750405</v>
      </c>
      <c r="B3309" s="3" t="s">
        <v>569</v>
      </c>
      <c r="C3309" s="29">
        <f>ROUND(Balances[[#This Row],[Total]]*40%,0)</f>
        <v>0</v>
      </c>
      <c r="D3309" s="29">
        <f>ROUND(Balances[[#This Row],[Total]]*20%,0)</f>
        <v>0</v>
      </c>
      <c r="E3309" s="29">
        <f>ROUND(Balances[[#This Row],[Total]]*40%,0)</f>
        <v>0</v>
      </c>
      <c r="F3309" s="29">
        <f>SUM(Acueducto[[#This Row],[Acueducto]:[Aseo]])</f>
        <v>0</v>
      </c>
    </row>
    <row r="3310" spans="1:6" ht="15" x14ac:dyDescent="0.2">
      <c r="A3310" s="7">
        <v>750406</v>
      </c>
      <c r="B3310" s="3" t="s">
        <v>1439</v>
      </c>
      <c r="C3310" s="29">
        <f>ROUND(Balances[[#This Row],[Total]]*40%,0)</f>
        <v>0</v>
      </c>
      <c r="D3310" s="29">
        <f>ROUND(Balances[[#This Row],[Total]]*20%,0)</f>
        <v>0</v>
      </c>
      <c r="E3310" s="29">
        <f>ROUND(Balances[[#This Row],[Total]]*40%,0)</f>
        <v>0</v>
      </c>
      <c r="F3310" s="29">
        <f>SUM(Acueducto[[#This Row],[Acueducto]:[Aseo]])</f>
        <v>0</v>
      </c>
    </row>
    <row r="3311" spans="1:6" ht="15" x14ac:dyDescent="0.2">
      <c r="A3311" s="7">
        <v>750407</v>
      </c>
      <c r="B3311" s="3" t="s">
        <v>1440</v>
      </c>
      <c r="C3311" s="29">
        <f>ROUND(Balances[[#This Row],[Total]]*40%,0)</f>
        <v>0</v>
      </c>
      <c r="D3311" s="29">
        <f>ROUND(Balances[[#This Row],[Total]]*20%,0)</f>
        <v>0</v>
      </c>
      <c r="E3311" s="29">
        <f>ROUND(Balances[[#This Row],[Total]]*40%,0)</f>
        <v>0</v>
      </c>
      <c r="F3311" s="18">
        <f>SUM(Acueducto[[#This Row],[Acueducto]:[Aseo]])</f>
        <v>0</v>
      </c>
    </row>
    <row r="3312" spans="1:6" ht="15" x14ac:dyDescent="0.2">
      <c r="A3312" s="7">
        <v>750408</v>
      </c>
      <c r="B3312" s="3" t="s">
        <v>1441</v>
      </c>
      <c r="C3312" s="29">
        <f>ROUND(Balances[[#This Row],[Total]]*40%,0)</f>
        <v>0</v>
      </c>
      <c r="D3312" s="29">
        <f>ROUND(Balances[[#This Row],[Total]]*20%,0)</f>
        <v>0</v>
      </c>
      <c r="E3312" s="29">
        <f>ROUND(Balances[[#This Row],[Total]]*40%,0)</f>
        <v>0</v>
      </c>
      <c r="F3312" s="18">
        <f>SUM(Acueducto[[#This Row],[Acueducto]:[Aseo]])</f>
        <v>0</v>
      </c>
    </row>
    <row r="3313" spans="1:6" ht="15" x14ac:dyDescent="0.2">
      <c r="A3313" s="7">
        <v>750409</v>
      </c>
      <c r="B3313" s="3" t="s">
        <v>1442</v>
      </c>
      <c r="C3313" s="29">
        <f>ROUND(Balances[[#This Row],[Total]]*40%,0)</f>
        <v>0</v>
      </c>
      <c r="D3313" s="29">
        <f>ROUND(Balances[[#This Row],[Total]]*20%,0)</f>
        <v>0</v>
      </c>
      <c r="E3313" s="29">
        <f>ROUND(Balances[[#This Row],[Total]]*40%,0)</f>
        <v>0</v>
      </c>
      <c r="F3313" s="29">
        <f>SUM(Acueducto[[#This Row],[Acueducto]:[Aseo]])</f>
        <v>0</v>
      </c>
    </row>
    <row r="3314" spans="1:6" ht="15" x14ac:dyDescent="0.2">
      <c r="A3314" s="7">
        <v>750410</v>
      </c>
      <c r="B3314" s="3" t="s">
        <v>1443</v>
      </c>
      <c r="C3314" s="29">
        <f>ROUND(Balances[[#This Row],[Total]]*40%,0)</f>
        <v>0</v>
      </c>
      <c r="D3314" s="29">
        <f>ROUND(Balances[[#This Row],[Total]]*20%,0)</f>
        <v>0</v>
      </c>
      <c r="E3314" s="29">
        <f>ROUND(Balances[[#This Row],[Total]]*40%,0)</f>
        <v>0</v>
      </c>
      <c r="F3314" s="18">
        <f>SUM(Acueducto[[#This Row],[Acueducto]:[Aseo]])</f>
        <v>0</v>
      </c>
    </row>
    <row r="3315" spans="1:6" ht="15" x14ac:dyDescent="0.2">
      <c r="A3315" s="7">
        <v>750495</v>
      </c>
      <c r="B3315" s="3" t="s">
        <v>1444</v>
      </c>
      <c r="C3315" s="29">
        <f>ROUND(Balances[[#This Row],[Total]]*40%,0)</f>
        <v>0</v>
      </c>
      <c r="D3315" s="29">
        <f>ROUND(Balances[[#This Row],[Total]]*20%,0)</f>
        <v>0</v>
      </c>
      <c r="E3315" s="29">
        <f>ROUND(Balances[[#This Row],[Total]]*40%,0)</f>
        <v>0</v>
      </c>
      <c r="F3315" s="18">
        <f>SUM(Acueducto[[#This Row],[Acueducto]:[Aseo]])</f>
        <v>0</v>
      </c>
    </row>
    <row r="3316" spans="1:6" ht="15" x14ac:dyDescent="0.2">
      <c r="A3316" s="6">
        <v>7505</v>
      </c>
      <c r="B3316" s="2" t="s">
        <v>1501</v>
      </c>
      <c r="C3316" s="28">
        <f>ROUND(Balances[[#This Row],[Total]]*40%,0)</f>
        <v>0</v>
      </c>
      <c r="D3316" s="28">
        <f>ROUND(Balances[[#This Row],[Total]]*20%,0)</f>
        <v>0</v>
      </c>
      <c r="E3316" s="28">
        <f>ROUND(Balances[[#This Row],[Total]]*40%,0)</f>
        <v>0</v>
      </c>
      <c r="F3316" s="17">
        <f>SUM(Acueducto[[#This Row],[Acueducto]:[Aseo]])</f>
        <v>0</v>
      </c>
    </row>
    <row r="3317" spans="1:6" ht="15" x14ac:dyDescent="0.2">
      <c r="A3317" s="7">
        <v>750501</v>
      </c>
      <c r="B3317" s="3" t="s">
        <v>1436</v>
      </c>
      <c r="C3317" s="29">
        <f>ROUND(Balances[[#This Row],[Total]]*40%,0)</f>
        <v>0</v>
      </c>
      <c r="D3317" s="29">
        <f>ROUND(Balances[[#This Row],[Total]]*20%,0)</f>
        <v>0</v>
      </c>
      <c r="E3317" s="29">
        <f>ROUND(Balances[[#This Row],[Total]]*40%,0)</f>
        <v>0</v>
      </c>
      <c r="F3317" s="18">
        <f>SUM(Acueducto[[#This Row],[Acueducto]:[Aseo]])</f>
        <v>0</v>
      </c>
    </row>
    <row r="3318" spans="1:6" ht="15" x14ac:dyDescent="0.2">
      <c r="A3318" s="7">
        <v>750502</v>
      </c>
      <c r="B3318" s="3" t="s">
        <v>1437</v>
      </c>
      <c r="C3318" s="29">
        <f>ROUND(Balances[[#This Row],[Total]]*40%,0)</f>
        <v>0</v>
      </c>
      <c r="D3318" s="29">
        <f>ROUND(Balances[[#This Row],[Total]]*20%,0)</f>
        <v>0</v>
      </c>
      <c r="E3318" s="29">
        <f>ROUND(Balances[[#This Row],[Total]]*40%,0)</f>
        <v>0</v>
      </c>
      <c r="F3318" s="18">
        <f>SUM(Acueducto[[#This Row],[Acueducto]:[Aseo]])</f>
        <v>0</v>
      </c>
    </row>
    <row r="3319" spans="1:6" ht="15" x14ac:dyDescent="0.2">
      <c r="A3319" s="7">
        <v>750503</v>
      </c>
      <c r="B3319" s="3" t="s">
        <v>568</v>
      </c>
      <c r="C3319" s="29">
        <f>ROUND(Balances[[#This Row],[Total]]*40%,0)</f>
        <v>0</v>
      </c>
      <c r="D3319" s="29">
        <f>ROUND(Balances[[#This Row],[Total]]*20%,0)</f>
        <v>0</v>
      </c>
      <c r="E3319" s="29">
        <f>ROUND(Balances[[#This Row],[Total]]*40%,0)</f>
        <v>0</v>
      </c>
      <c r="F3319" s="18">
        <f>SUM(Acueducto[[#This Row],[Acueducto]:[Aseo]])</f>
        <v>0</v>
      </c>
    </row>
    <row r="3320" spans="1:6" ht="15" x14ac:dyDescent="0.2">
      <c r="A3320" s="7">
        <v>750504</v>
      </c>
      <c r="B3320" s="3" t="s">
        <v>1438</v>
      </c>
      <c r="C3320" s="29">
        <f>ROUND(Balances[[#This Row],[Total]]*40%,0)</f>
        <v>0</v>
      </c>
      <c r="D3320" s="29">
        <f>ROUND(Balances[[#This Row],[Total]]*20%,0)</f>
        <v>0</v>
      </c>
      <c r="E3320" s="29">
        <f>ROUND(Balances[[#This Row],[Total]]*40%,0)</f>
        <v>0</v>
      </c>
      <c r="F3320" s="18">
        <f>SUM(Acueducto[[#This Row],[Acueducto]:[Aseo]])</f>
        <v>0</v>
      </c>
    </row>
    <row r="3321" spans="1:6" ht="15" x14ac:dyDescent="0.2">
      <c r="A3321" s="7">
        <v>750505</v>
      </c>
      <c r="B3321" s="3" t="s">
        <v>569</v>
      </c>
      <c r="C3321" s="29">
        <f>ROUND(Balances[[#This Row],[Total]]*40%,0)</f>
        <v>0</v>
      </c>
      <c r="D3321" s="29">
        <f>ROUND(Balances[[#This Row],[Total]]*20%,0)</f>
        <v>0</v>
      </c>
      <c r="E3321" s="29">
        <f>ROUND(Balances[[#This Row],[Total]]*40%,0)</f>
        <v>0</v>
      </c>
      <c r="F3321" s="18">
        <f>SUM(Acueducto[[#This Row],[Acueducto]:[Aseo]])</f>
        <v>0</v>
      </c>
    </row>
    <row r="3322" spans="1:6" ht="15" x14ac:dyDescent="0.2">
      <c r="A3322" s="7">
        <v>750506</v>
      </c>
      <c r="B3322" s="3" t="s">
        <v>1439</v>
      </c>
      <c r="C3322" s="29">
        <f>ROUND(Balances[[#This Row],[Total]]*40%,0)</f>
        <v>0</v>
      </c>
      <c r="D3322" s="29">
        <f>ROUND(Balances[[#This Row],[Total]]*20%,0)</f>
        <v>0</v>
      </c>
      <c r="E3322" s="29">
        <f>ROUND(Balances[[#This Row],[Total]]*40%,0)</f>
        <v>0</v>
      </c>
      <c r="F3322" s="18">
        <f>SUM(Acueducto[[#This Row],[Acueducto]:[Aseo]])</f>
        <v>0</v>
      </c>
    </row>
    <row r="3323" spans="1:6" ht="15" x14ac:dyDescent="0.2">
      <c r="A3323" s="7">
        <v>750507</v>
      </c>
      <c r="B3323" s="3" t="s">
        <v>1440</v>
      </c>
      <c r="C3323" s="29">
        <f>ROUND(Balances[[#This Row],[Total]]*40%,0)</f>
        <v>0</v>
      </c>
      <c r="D3323" s="29">
        <f>ROUND(Balances[[#This Row],[Total]]*20%,0)</f>
        <v>0</v>
      </c>
      <c r="E3323" s="29">
        <f>ROUND(Balances[[#This Row],[Total]]*40%,0)</f>
        <v>0</v>
      </c>
      <c r="F3323" s="18">
        <f>SUM(Acueducto[[#This Row],[Acueducto]:[Aseo]])</f>
        <v>0</v>
      </c>
    </row>
    <row r="3324" spans="1:6" ht="15" x14ac:dyDescent="0.2">
      <c r="A3324" s="7">
        <v>750508</v>
      </c>
      <c r="B3324" s="3" t="s">
        <v>1441</v>
      </c>
      <c r="C3324" s="29">
        <f>ROUND(Balances[[#This Row],[Total]]*40%,0)</f>
        <v>0</v>
      </c>
      <c r="D3324" s="29">
        <f>ROUND(Balances[[#This Row],[Total]]*20%,0)</f>
        <v>0</v>
      </c>
      <c r="E3324" s="29">
        <f>ROUND(Balances[[#This Row],[Total]]*40%,0)</f>
        <v>0</v>
      </c>
      <c r="F3324" s="18">
        <f>SUM(Acueducto[[#This Row],[Acueducto]:[Aseo]])</f>
        <v>0</v>
      </c>
    </row>
    <row r="3325" spans="1:6" ht="15" x14ac:dyDescent="0.2">
      <c r="A3325" s="7">
        <v>750509</v>
      </c>
      <c r="B3325" s="3" t="s">
        <v>1442</v>
      </c>
      <c r="C3325" s="29">
        <f>ROUND(Balances[[#This Row],[Total]]*40%,0)</f>
        <v>0</v>
      </c>
      <c r="D3325" s="29">
        <f>ROUND(Balances[[#This Row],[Total]]*20%,0)</f>
        <v>0</v>
      </c>
      <c r="E3325" s="29">
        <f>ROUND(Balances[[#This Row],[Total]]*40%,0)</f>
        <v>0</v>
      </c>
      <c r="F3325" s="18">
        <f>SUM(Acueducto[[#This Row],[Acueducto]:[Aseo]])</f>
        <v>0</v>
      </c>
    </row>
    <row r="3326" spans="1:6" ht="15" x14ac:dyDescent="0.2">
      <c r="A3326" s="7">
        <v>750510</v>
      </c>
      <c r="B3326" s="3" t="s">
        <v>1443</v>
      </c>
      <c r="C3326" s="29">
        <f>ROUND(Balances[[#This Row],[Total]]*40%,0)</f>
        <v>0</v>
      </c>
      <c r="D3326" s="29">
        <f>ROUND(Balances[[#This Row],[Total]]*20%,0)</f>
        <v>0</v>
      </c>
      <c r="E3326" s="29">
        <f>ROUND(Balances[[#This Row],[Total]]*40%,0)</f>
        <v>0</v>
      </c>
      <c r="F3326" s="18">
        <f>SUM(Acueducto[[#This Row],[Acueducto]:[Aseo]])</f>
        <v>0</v>
      </c>
    </row>
    <row r="3327" spans="1:6" ht="15" x14ac:dyDescent="0.2">
      <c r="A3327" s="7">
        <v>750595</v>
      </c>
      <c r="B3327" s="3" t="s">
        <v>1444</v>
      </c>
      <c r="C3327" s="29">
        <f>ROUND(Balances[[#This Row],[Total]]*40%,0)</f>
        <v>0</v>
      </c>
      <c r="D3327" s="29">
        <f>ROUND(Balances[[#This Row],[Total]]*20%,0)</f>
        <v>0</v>
      </c>
      <c r="E3327" s="29">
        <f>ROUND(Balances[[#This Row],[Total]]*40%,0)</f>
        <v>0</v>
      </c>
      <c r="F3327" s="18">
        <f>SUM(Acueducto[[#This Row],[Acueducto]:[Aseo]])</f>
        <v>0</v>
      </c>
    </row>
    <row r="3328" spans="1:6" ht="15" x14ac:dyDescent="0.2">
      <c r="A3328" s="6">
        <v>7506</v>
      </c>
      <c r="B3328" s="2" t="s">
        <v>1502</v>
      </c>
      <c r="C3328" s="28">
        <f>ROUND(Balances[[#This Row],[Total]]*40%,0)</f>
        <v>0</v>
      </c>
      <c r="D3328" s="28">
        <f>ROUND(Balances[[#This Row],[Total]]*20%,0)</f>
        <v>0</v>
      </c>
      <c r="E3328" s="28">
        <f>ROUND(Balances[[#This Row],[Total]]*40%,0)</f>
        <v>0</v>
      </c>
      <c r="F3328" s="17">
        <f>SUM(Acueducto[[#This Row],[Acueducto]:[Aseo]])</f>
        <v>0</v>
      </c>
    </row>
    <row r="3329" spans="1:6" ht="15" x14ac:dyDescent="0.2">
      <c r="A3329" s="7">
        <v>750601</v>
      </c>
      <c r="B3329" s="3" t="s">
        <v>1436</v>
      </c>
      <c r="C3329" s="29">
        <f>ROUND(Balances[[#This Row],[Total]]*40%,0)</f>
        <v>0</v>
      </c>
      <c r="D3329" s="29">
        <f>ROUND(Balances[[#This Row],[Total]]*20%,0)</f>
        <v>0</v>
      </c>
      <c r="E3329" s="29">
        <f>ROUND(Balances[[#This Row],[Total]]*40%,0)</f>
        <v>0</v>
      </c>
      <c r="F3329" s="18">
        <f>SUM(Acueducto[[#This Row],[Acueducto]:[Aseo]])</f>
        <v>0</v>
      </c>
    </row>
    <row r="3330" spans="1:6" ht="15" x14ac:dyDescent="0.2">
      <c r="A3330" s="7">
        <v>750602</v>
      </c>
      <c r="B3330" s="3" t="s">
        <v>1437</v>
      </c>
      <c r="C3330" s="29">
        <f>ROUND(Balances[[#This Row],[Total]]*40%,0)</f>
        <v>0</v>
      </c>
      <c r="D3330" s="29">
        <f>ROUND(Balances[[#This Row],[Total]]*20%,0)</f>
        <v>0</v>
      </c>
      <c r="E3330" s="29">
        <f>ROUND(Balances[[#This Row],[Total]]*40%,0)</f>
        <v>0</v>
      </c>
      <c r="F3330" s="18">
        <f>SUM(Acueducto[[#This Row],[Acueducto]:[Aseo]])</f>
        <v>0</v>
      </c>
    </row>
    <row r="3331" spans="1:6" ht="15" x14ac:dyDescent="0.2">
      <c r="A3331" s="7">
        <v>750603</v>
      </c>
      <c r="B3331" s="3" t="s">
        <v>568</v>
      </c>
      <c r="C3331" s="29">
        <f>ROUND(Balances[[#This Row],[Total]]*40%,0)</f>
        <v>0</v>
      </c>
      <c r="D3331" s="29">
        <f>ROUND(Balances[[#This Row],[Total]]*20%,0)</f>
        <v>0</v>
      </c>
      <c r="E3331" s="29">
        <f>ROUND(Balances[[#This Row],[Total]]*40%,0)</f>
        <v>0</v>
      </c>
      <c r="F3331" s="18">
        <f>SUM(Acueducto[[#This Row],[Acueducto]:[Aseo]])</f>
        <v>0</v>
      </c>
    </row>
    <row r="3332" spans="1:6" ht="15" x14ac:dyDescent="0.2">
      <c r="A3332" s="7">
        <v>750604</v>
      </c>
      <c r="B3332" s="3" t="s">
        <v>1438</v>
      </c>
      <c r="C3332" s="29">
        <f>ROUND(Balances[[#This Row],[Total]]*40%,0)</f>
        <v>0</v>
      </c>
      <c r="D3332" s="29">
        <f>ROUND(Balances[[#This Row],[Total]]*20%,0)</f>
        <v>0</v>
      </c>
      <c r="E3332" s="29">
        <f>ROUND(Balances[[#This Row],[Total]]*40%,0)</f>
        <v>0</v>
      </c>
      <c r="F3332" s="18">
        <f>SUM(Acueducto[[#This Row],[Acueducto]:[Aseo]])</f>
        <v>0</v>
      </c>
    </row>
    <row r="3333" spans="1:6" ht="15" x14ac:dyDescent="0.2">
      <c r="A3333" s="7">
        <v>750605</v>
      </c>
      <c r="B3333" s="3" t="s">
        <v>569</v>
      </c>
      <c r="C3333" s="29">
        <f>ROUND(Balances[[#This Row],[Total]]*40%,0)</f>
        <v>0</v>
      </c>
      <c r="D3333" s="29">
        <f>ROUND(Balances[[#This Row],[Total]]*20%,0)</f>
        <v>0</v>
      </c>
      <c r="E3333" s="29">
        <f>ROUND(Balances[[#This Row],[Total]]*40%,0)</f>
        <v>0</v>
      </c>
      <c r="F3333" s="18">
        <f>SUM(Acueducto[[#This Row],[Acueducto]:[Aseo]])</f>
        <v>0</v>
      </c>
    </row>
    <row r="3334" spans="1:6" ht="15" x14ac:dyDescent="0.2">
      <c r="A3334" s="7">
        <v>750606</v>
      </c>
      <c r="B3334" s="3" t="s">
        <v>1439</v>
      </c>
      <c r="C3334" s="29">
        <f>ROUND(Balances[[#This Row],[Total]]*40%,0)</f>
        <v>0</v>
      </c>
      <c r="D3334" s="29">
        <f>ROUND(Balances[[#This Row],[Total]]*20%,0)</f>
        <v>0</v>
      </c>
      <c r="E3334" s="29">
        <f>ROUND(Balances[[#This Row],[Total]]*40%,0)</f>
        <v>0</v>
      </c>
      <c r="F3334" s="18">
        <f>SUM(Acueducto[[#This Row],[Acueducto]:[Aseo]])</f>
        <v>0</v>
      </c>
    </row>
    <row r="3335" spans="1:6" ht="15" x14ac:dyDescent="0.2">
      <c r="A3335" s="7">
        <v>750607</v>
      </c>
      <c r="B3335" s="3" t="s">
        <v>1440</v>
      </c>
      <c r="C3335" s="29">
        <f>ROUND(Balances[[#This Row],[Total]]*40%,0)</f>
        <v>0</v>
      </c>
      <c r="D3335" s="29">
        <f>ROUND(Balances[[#This Row],[Total]]*20%,0)</f>
        <v>0</v>
      </c>
      <c r="E3335" s="29">
        <f>ROUND(Balances[[#This Row],[Total]]*40%,0)</f>
        <v>0</v>
      </c>
      <c r="F3335" s="18">
        <f>SUM(Acueducto[[#This Row],[Acueducto]:[Aseo]])</f>
        <v>0</v>
      </c>
    </row>
    <row r="3336" spans="1:6" ht="15" x14ac:dyDescent="0.2">
      <c r="A3336" s="7">
        <v>750608</v>
      </c>
      <c r="B3336" s="3" t="s">
        <v>1441</v>
      </c>
      <c r="C3336" s="29">
        <f>ROUND(Balances[[#This Row],[Total]]*40%,0)</f>
        <v>0</v>
      </c>
      <c r="D3336" s="29">
        <f>ROUND(Balances[[#This Row],[Total]]*20%,0)</f>
        <v>0</v>
      </c>
      <c r="E3336" s="29">
        <f>ROUND(Balances[[#This Row],[Total]]*40%,0)</f>
        <v>0</v>
      </c>
      <c r="F3336" s="18">
        <f>SUM(Acueducto[[#This Row],[Acueducto]:[Aseo]])</f>
        <v>0</v>
      </c>
    </row>
    <row r="3337" spans="1:6" ht="15" x14ac:dyDescent="0.2">
      <c r="A3337" s="7">
        <v>750609</v>
      </c>
      <c r="B3337" s="3" t="s">
        <v>1442</v>
      </c>
      <c r="C3337" s="29">
        <f>ROUND(Balances[[#This Row],[Total]]*40%,0)</f>
        <v>0</v>
      </c>
      <c r="D3337" s="29">
        <f>ROUND(Balances[[#This Row],[Total]]*20%,0)</f>
        <v>0</v>
      </c>
      <c r="E3337" s="29">
        <f>ROUND(Balances[[#This Row],[Total]]*40%,0)</f>
        <v>0</v>
      </c>
      <c r="F3337" s="18">
        <f>SUM(Acueducto[[#This Row],[Acueducto]:[Aseo]])</f>
        <v>0</v>
      </c>
    </row>
    <row r="3338" spans="1:6" ht="15" x14ac:dyDescent="0.2">
      <c r="A3338" s="7">
        <v>750610</v>
      </c>
      <c r="B3338" s="3" t="s">
        <v>1443</v>
      </c>
      <c r="C3338" s="29">
        <f>ROUND(Balances[[#This Row],[Total]]*40%,0)</f>
        <v>0</v>
      </c>
      <c r="D3338" s="29">
        <f>ROUND(Balances[[#This Row],[Total]]*20%,0)</f>
        <v>0</v>
      </c>
      <c r="E3338" s="29">
        <f>ROUND(Balances[[#This Row],[Total]]*40%,0)</f>
        <v>0</v>
      </c>
      <c r="F3338" s="18">
        <f>SUM(Acueducto[[#This Row],[Acueducto]:[Aseo]])</f>
        <v>0</v>
      </c>
    </row>
    <row r="3339" spans="1:6" ht="15" x14ac:dyDescent="0.2">
      <c r="A3339" s="7">
        <v>750695</v>
      </c>
      <c r="B3339" s="3" t="s">
        <v>1444</v>
      </c>
      <c r="C3339" s="29">
        <f>ROUND(Balances[[#This Row],[Total]]*40%,0)</f>
        <v>0</v>
      </c>
      <c r="D3339" s="29">
        <f>ROUND(Balances[[#This Row],[Total]]*20%,0)</f>
        <v>0</v>
      </c>
      <c r="E3339" s="29">
        <f>ROUND(Balances[[#This Row],[Total]]*40%,0)</f>
        <v>0</v>
      </c>
      <c r="F3339" s="18">
        <f>SUM(Acueducto[[#This Row],[Acueducto]:[Aseo]])</f>
        <v>0</v>
      </c>
    </row>
    <row r="3340" spans="1:6" ht="15" x14ac:dyDescent="0.2">
      <c r="A3340" s="6">
        <v>76</v>
      </c>
      <c r="B3340" s="2" t="s">
        <v>1134</v>
      </c>
      <c r="C3340" s="28">
        <f>ROUND(Balances[[#This Row],[Total]]*40%,0)</f>
        <v>0</v>
      </c>
      <c r="D3340" s="28">
        <f>ROUND(Balances[[#This Row],[Total]]*20%,0)</f>
        <v>0</v>
      </c>
      <c r="E3340" s="28">
        <f>ROUND(Balances[[#This Row],[Total]]*40%,0)</f>
        <v>0</v>
      </c>
      <c r="F3340" s="17">
        <f>SUM(Acueducto[[#This Row],[Acueducto]:[Aseo]])</f>
        <v>0</v>
      </c>
    </row>
    <row r="3341" spans="1:6" ht="15" x14ac:dyDescent="0.2">
      <c r="A3341" s="6">
        <v>7601</v>
      </c>
      <c r="B3341" s="2" t="s">
        <v>1503</v>
      </c>
      <c r="C3341" s="28">
        <f>ROUND(Balances[[#This Row],[Total]]*40%,0)</f>
        <v>0</v>
      </c>
      <c r="D3341" s="28">
        <f>ROUND(Balances[[#This Row],[Total]]*20%,0)</f>
        <v>0</v>
      </c>
      <c r="E3341" s="28">
        <f>ROUND(Balances[[#This Row],[Total]]*40%,0)</f>
        <v>0</v>
      </c>
      <c r="F3341" s="17">
        <f>SUM(Acueducto[[#This Row],[Acueducto]:[Aseo]])</f>
        <v>0</v>
      </c>
    </row>
    <row r="3342" spans="1:6" ht="15" x14ac:dyDescent="0.2">
      <c r="A3342" s="7">
        <v>760101</v>
      </c>
      <c r="B3342" s="3" t="s">
        <v>1436</v>
      </c>
      <c r="C3342" s="29">
        <f>ROUND(Balances[[#This Row],[Total]]*40%,0)</f>
        <v>0</v>
      </c>
      <c r="D3342" s="29">
        <f>ROUND(Balances[[#This Row],[Total]]*20%,0)</f>
        <v>0</v>
      </c>
      <c r="E3342" s="29">
        <f>ROUND(Balances[[#This Row],[Total]]*40%,0)</f>
        <v>0</v>
      </c>
      <c r="F3342" s="18">
        <f>SUM(Acueducto[[#This Row],[Acueducto]:[Aseo]])</f>
        <v>0</v>
      </c>
    </row>
    <row r="3343" spans="1:6" ht="15" x14ac:dyDescent="0.2">
      <c r="A3343" s="7">
        <v>760102</v>
      </c>
      <c r="B3343" s="3" t="s">
        <v>1437</v>
      </c>
      <c r="C3343" s="29">
        <f>ROUND(Balances[[#This Row],[Total]]*40%,0)</f>
        <v>0</v>
      </c>
      <c r="D3343" s="29">
        <f>ROUND(Balances[[#This Row],[Total]]*20%,0)</f>
        <v>0</v>
      </c>
      <c r="E3343" s="29">
        <f>ROUND(Balances[[#This Row],[Total]]*40%,0)</f>
        <v>0</v>
      </c>
      <c r="F3343" s="18">
        <f>SUM(Acueducto[[#This Row],[Acueducto]:[Aseo]])</f>
        <v>0</v>
      </c>
    </row>
    <row r="3344" spans="1:6" ht="15" x14ac:dyDescent="0.2">
      <c r="A3344" s="7">
        <v>760103</v>
      </c>
      <c r="B3344" s="3" t="s">
        <v>568</v>
      </c>
      <c r="C3344" s="29">
        <f>ROUND(Balances[[#This Row],[Total]]*40%,0)</f>
        <v>0</v>
      </c>
      <c r="D3344" s="29">
        <f>ROUND(Balances[[#This Row],[Total]]*20%,0)</f>
        <v>0</v>
      </c>
      <c r="E3344" s="29">
        <f>ROUND(Balances[[#This Row],[Total]]*40%,0)</f>
        <v>0</v>
      </c>
      <c r="F3344" s="18">
        <f>SUM(Acueducto[[#This Row],[Acueducto]:[Aseo]])</f>
        <v>0</v>
      </c>
    </row>
    <row r="3345" spans="1:6" ht="15" x14ac:dyDescent="0.2">
      <c r="A3345" s="7">
        <v>760104</v>
      </c>
      <c r="B3345" s="3" t="s">
        <v>1438</v>
      </c>
      <c r="C3345" s="29">
        <f>ROUND(Balances[[#This Row],[Total]]*40%,0)</f>
        <v>0</v>
      </c>
      <c r="D3345" s="29">
        <f>ROUND(Balances[[#This Row],[Total]]*20%,0)</f>
        <v>0</v>
      </c>
      <c r="E3345" s="29">
        <f>ROUND(Balances[[#This Row],[Total]]*40%,0)</f>
        <v>0</v>
      </c>
      <c r="F3345" s="18">
        <f>SUM(Acueducto[[#This Row],[Acueducto]:[Aseo]])</f>
        <v>0</v>
      </c>
    </row>
    <row r="3346" spans="1:6" ht="15" x14ac:dyDescent="0.2">
      <c r="A3346" s="7">
        <v>760105</v>
      </c>
      <c r="B3346" s="3" t="s">
        <v>569</v>
      </c>
      <c r="C3346" s="29">
        <f>ROUND(Balances[[#This Row],[Total]]*40%,0)</f>
        <v>0</v>
      </c>
      <c r="D3346" s="29">
        <f>ROUND(Balances[[#This Row],[Total]]*20%,0)</f>
        <v>0</v>
      </c>
      <c r="E3346" s="29">
        <f>ROUND(Balances[[#This Row],[Total]]*40%,0)</f>
        <v>0</v>
      </c>
      <c r="F3346" s="18">
        <f>SUM(Acueducto[[#This Row],[Acueducto]:[Aseo]])</f>
        <v>0</v>
      </c>
    </row>
    <row r="3347" spans="1:6" ht="15" x14ac:dyDescent="0.2">
      <c r="A3347" s="7">
        <v>760106</v>
      </c>
      <c r="B3347" s="3" t="s">
        <v>1439</v>
      </c>
      <c r="C3347" s="29">
        <f>ROUND(Balances[[#This Row],[Total]]*40%,0)</f>
        <v>0</v>
      </c>
      <c r="D3347" s="29">
        <f>ROUND(Balances[[#This Row],[Total]]*20%,0)</f>
        <v>0</v>
      </c>
      <c r="E3347" s="29">
        <f>ROUND(Balances[[#This Row],[Total]]*40%,0)</f>
        <v>0</v>
      </c>
      <c r="F3347" s="18">
        <f>SUM(Acueducto[[#This Row],[Acueducto]:[Aseo]])</f>
        <v>0</v>
      </c>
    </row>
    <row r="3348" spans="1:6" ht="15" x14ac:dyDescent="0.2">
      <c r="A3348" s="7">
        <v>760107</v>
      </c>
      <c r="B3348" s="3" t="s">
        <v>1440</v>
      </c>
      <c r="C3348" s="29">
        <f>ROUND(Balances[[#This Row],[Total]]*40%,0)</f>
        <v>0</v>
      </c>
      <c r="D3348" s="29">
        <f>ROUND(Balances[[#This Row],[Total]]*20%,0)</f>
        <v>0</v>
      </c>
      <c r="E3348" s="29">
        <f>ROUND(Balances[[#This Row],[Total]]*40%,0)</f>
        <v>0</v>
      </c>
      <c r="F3348" s="18">
        <f>SUM(Acueducto[[#This Row],[Acueducto]:[Aseo]])</f>
        <v>0</v>
      </c>
    </row>
    <row r="3349" spans="1:6" ht="15" x14ac:dyDescent="0.2">
      <c r="A3349" s="7">
        <v>760108</v>
      </c>
      <c r="B3349" s="3" t="s">
        <v>1441</v>
      </c>
      <c r="C3349" s="29">
        <f>ROUND(Balances[[#This Row],[Total]]*40%,0)</f>
        <v>0</v>
      </c>
      <c r="D3349" s="29">
        <f>ROUND(Balances[[#This Row],[Total]]*20%,0)</f>
        <v>0</v>
      </c>
      <c r="E3349" s="29">
        <f>ROUND(Balances[[#This Row],[Total]]*40%,0)</f>
        <v>0</v>
      </c>
      <c r="F3349" s="18">
        <f>SUM(Acueducto[[#This Row],[Acueducto]:[Aseo]])</f>
        <v>0</v>
      </c>
    </row>
    <row r="3350" spans="1:6" ht="15" x14ac:dyDescent="0.2">
      <c r="A3350" s="7">
        <v>760109</v>
      </c>
      <c r="B3350" s="3" t="s">
        <v>1442</v>
      </c>
      <c r="C3350" s="29">
        <f>ROUND(Balances[[#This Row],[Total]]*40%,0)</f>
        <v>0</v>
      </c>
      <c r="D3350" s="29">
        <f>ROUND(Balances[[#This Row],[Total]]*20%,0)</f>
        <v>0</v>
      </c>
      <c r="E3350" s="29">
        <f>ROUND(Balances[[#This Row],[Total]]*40%,0)</f>
        <v>0</v>
      </c>
      <c r="F3350" s="18">
        <f>SUM(Acueducto[[#This Row],[Acueducto]:[Aseo]])</f>
        <v>0</v>
      </c>
    </row>
    <row r="3351" spans="1:6" ht="15" x14ac:dyDescent="0.2">
      <c r="A3351" s="7">
        <v>760110</v>
      </c>
      <c r="B3351" s="3" t="s">
        <v>1443</v>
      </c>
      <c r="C3351" s="29">
        <f>ROUND(Balances[[#This Row],[Total]]*40%,0)</f>
        <v>0</v>
      </c>
      <c r="D3351" s="29">
        <f>ROUND(Balances[[#This Row],[Total]]*20%,0)</f>
        <v>0</v>
      </c>
      <c r="E3351" s="29">
        <f>ROUND(Balances[[#This Row],[Total]]*40%,0)</f>
        <v>0</v>
      </c>
      <c r="F3351" s="18">
        <f>SUM(Acueducto[[#This Row],[Acueducto]:[Aseo]])</f>
        <v>0</v>
      </c>
    </row>
    <row r="3352" spans="1:6" ht="15" x14ac:dyDescent="0.2">
      <c r="A3352" s="7">
        <v>760195</v>
      </c>
      <c r="B3352" s="3" t="s">
        <v>1444</v>
      </c>
      <c r="C3352" s="29">
        <f>ROUND(Balances[[#This Row],[Total]]*40%,0)</f>
        <v>0</v>
      </c>
      <c r="D3352" s="29">
        <f>ROUND(Balances[[#This Row],[Total]]*20%,0)</f>
        <v>0</v>
      </c>
      <c r="E3352" s="29">
        <f>ROUND(Balances[[#This Row],[Total]]*40%,0)</f>
        <v>0</v>
      </c>
      <c r="F3352" s="18">
        <f>SUM(Acueducto[[#This Row],[Acueducto]:[Aseo]])</f>
        <v>0</v>
      </c>
    </row>
    <row r="3353" spans="1:6" ht="15" x14ac:dyDescent="0.2">
      <c r="A3353" s="6">
        <v>7602</v>
      </c>
      <c r="B3353" s="2" t="s">
        <v>1504</v>
      </c>
      <c r="C3353" s="28">
        <f>ROUND(Balances[[#This Row],[Total]]*40%,0)</f>
        <v>0</v>
      </c>
      <c r="D3353" s="28">
        <f>ROUND(Balances[[#This Row],[Total]]*20%,0)</f>
        <v>0</v>
      </c>
      <c r="E3353" s="28">
        <f>ROUND(Balances[[#This Row],[Total]]*40%,0)</f>
        <v>0</v>
      </c>
      <c r="F3353" s="17">
        <f>SUM(Acueducto[[#This Row],[Acueducto]:[Aseo]])</f>
        <v>0</v>
      </c>
    </row>
    <row r="3354" spans="1:6" ht="15" x14ac:dyDescent="0.2">
      <c r="A3354" s="7">
        <v>760201</v>
      </c>
      <c r="B3354" s="3" t="s">
        <v>1435</v>
      </c>
      <c r="C3354" s="29">
        <f>ROUND(Balances[[#This Row],[Total]]*40%,0)</f>
        <v>0</v>
      </c>
      <c r="D3354" s="29">
        <f>ROUND(Balances[[#This Row],[Total]]*20%,0)</f>
        <v>0</v>
      </c>
      <c r="E3354" s="29">
        <f>ROUND(Balances[[#This Row],[Total]]*40%,0)</f>
        <v>0</v>
      </c>
      <c r="F3354" s="18">
        <f>SUM(Acueducto[[#This Row],[Acueducto]:[Aseo]])</f>
        <v>0</v>
      </c>
    </row>
    <row r="3355" spans="1:6" ht="15" x14ac:dyDescent="0.2">
      <c r="A3355" s="7">
        <v>760202</v>
      </c>
      <c r="B3355" s="3" t="s">
        <v>1436</v>
      </c>
      <c r="C3355" s="29">
        <f>ROUND(Balances[[#This Row],[Total]]*40%,0)</f>
        <v>0</v>
      </c>
      <c r="D3355" s="29">
        <f>ROUND(Balances[[#This Row],[Total]]*20%,0)</f>
        <v>0</v>
      </c>
      <c r="E3355" s="29">
        <f>ROUND(Balances[[#This Row],[Total]]*40%,0)</f>
        <v>0</v>
      </c>
      <c r="F3355" s="18">
        <f>SUM(Acueducto[[#This Row],[Acueducto]:[Aseo]])</f>
        <v>0</v>
      </c>
    </row>
    <row r="3356" spans="1:6" ht="15" x14ac:dyDescent="0.2">
      <c r="A3356" s="7">
        <v>760203</v>
      </c>
      <c r="B3356" s="3" t="s">
        <v>1437</v>
      </c>
      <c r="C3356" s="29">
        <f>ROUND(Balances[[#This Row],[Total]]*40%,0)</f>
        <v>0</v>
      </c>
      <c r="D3356" s="29">
        <f>ROUND(Balances[[#This Row],[Total]]*20%,0)</f>
        <v>0</v>
      </c>
      <c r="E3356" s="29">
        <f>ROUND(Balances[[#This Row],[Total]]*40%,0)</f>
        <v>0</v>
      </c>
      <c r="F3356" s="18">
        <f>SUM(Acueducto[[#This Row],[Acueducto]:[Aseo]])</f>
        <v>0</v>
      </c>
    </row>
    <row r="3357" spans="1:6" ht="15" x14ac:dyDescent="0.2">
      <c r="A3357" s="7">
        <v>760204</v>
      </c>
      <c r="B3357" s="3" t="s">
        <v>568</v>
      </c>
      <c r="C3357" s="29">
        <f>ROUND(Balances[[#This Row],[Total]]*40%,0)</f>
        <v>0</v>
      </c>
      <c r="D3357" s="29">
        <f>ROUND(Balances[[#This Row],[Total]]*20%,0)</f>
        <v>0</v>
      </c>
      <c r="E3357" s="29">
        <f>ROUND(Balances[[#This Row],[Total]]*40%,0)</f>
        <v>0</v>
      </c>
      <c r="F3357" s="18">
        <f>SUM(Acueducto[[#This Row],[Acueducto]:[Aseo]])</f>
        <v>0</v>
      </c>
    </row>
    <row r="3358" spans="1:6" ht="15" x14ac:dyDescent="0.2">
      <c r="A3358" s="7">
        <v>760205</v>
      </c>
      <c r="B3358" s="3" t="s">
        <v>1438</v>
      </c>
      <c r="C3358" s="29">
        <f>ROUND(Balances[[#This Row],[Total]]*40%,0)</f>
        <v>0</v>
      </c>
      <c r="D3358" s="29">
        <f>ROUND(Balances[[#This Row],[Total]]*20%,0)</f>
        <v>0</v>
      </c>
      <c r="E3358" s="29">
        <f>ROUND(Balances[[#This Row],[Total]]*40%,0)</f>
        <v>0</v>
      </c>
      <c r="F3358" s="18">
        <f>SUM(Acueducto[[#This Row],[Acueducto]:[Aseo]])</f>
        <v>0</v>
      </c>
    </row>
    <row r="3359" spans="1:6" ht="15" x14ac:dyDescent="0.2">
      <c r="A3359" s="7">
        <v>760206</v>
      </c>
      <c r="B3359" s="3" t="s">
        <v>569</v>
      </c>
      <c r="C3359" s="29">
        <f>ROUND(Balances[[#This Row],[Total]]*40%,0)</f>
        <v>0</v>
      </c>
      <c r="D3359" s="29">
        <f>ROUND(Balances[[#This Row],[Total]]*20%,0)</f>
        <v>0</v>
      </c>
      <c r="E3359" s="29">
        <f>ROUND(Balances[[#This Row],[Total]]*40%,0)</f>
        <v>0</v>
      </c>
      <c r="F3359" s="18">
        <f>SUM(Acueducto[[#This Row],[Acueducto]:[Aseo]])</f>
        <v>0</v>
      </c>
    </row>
    <row r="3360" spans="1:6" ht="15" x14ac:dyDescent="0.2">
      <c r="A3360" s="7">
        <v>760207</v>
      </c>
      <c r="B3360" s="3" t="s">
        <v>1439</v>
      </c>
      <c r="C3360" s="29">
        <f>ROUND(Balances[[#This Row],[Total]]*40%,0)</f>
        <v>0</v>
      </c>
      <c r="D3360" s="29">
        <f>ROUND(Balances[[#This Row],[Total]]*20%,0)</f>
        <v>0</v>
      </c>
      <c r="E3360" s="29">
        <f>ROUND(Balances[[#This Row],[Total]]*40%,0)</f>
        <v>0</v>
      </c>
      <c r="F3360" s="18">
        <f>SUM(Acueducto[[#This Row],[Acueducto]:[Aseo]])</f>
        <v>0</v>
      </c>
    </row>
    <row r="3361" spans="1:6" ht="15" x14ac:dyDescent="0.2">
      <c r="A3361" s="7">
        <v>760208</v>
      </c>
      <c r="B3361" s="3" t="s">
        <v>1440</v>
      </c>
      <c r="C3361" s="29">
        <f>ROUND(Balances[[#This Row],[Total]]*40%,0)</f>
        <v>0</v>
      </c>
      <c r="D3361" s="29">
        <f>ROUND(Balances[[#This Row],[Total]]*20%,0)</f>
        <v>0</v>
      </c>
      <c r="E3361" s="29">
        <f>ROUND(Balances[[#This Row],[Total]]*40%,0)</f>
        <v>0</v>
      </c>
      <c r="F3361" s="18">
        <f>SUM(Acueducto[[#This Row],[Acueducto]:[Aseo]])</f>
        <v>0</v>
      </c>
    </row>
    <row r="3362" spans="1:6" ht="15" x14ac:dyDescent="0.2">
      <c r="A3362" s="7">
        <v>760209</v>
      </c>
      <c r="B3362" s="3" t="s">
        <v>1441</v>
      </c>
      <c r="C3362" s="29">
        <f>ROUND(Balances[[#This Row],[Total]]*40%,0)</f>
        <v>0</v>
      </c>
      <c r="D3362" s="29">
        <f>ROUND(Balances[[#This Row],[Total]]*20%,0)</f>
        <v>0</v>
      </c>
      <c r="E3362" s="29">
        <f>ROUND(Balances[[#This Row],[Total]]*40%,0)</f>
        <v>0</v>
      </c>
      <c r="F3362" s="18">
        <f>SUM(Acueducto[[#This Row],[Acueducto]:[Aseo]])</f>
        <v>0</v>
      </c>
    </row>
    <row r="3363" spans="1:6" ht="15" x14ac:dyDescent="0.2">
      <c r="A3363" s="7">
        <v>760210</v>
      </c>
      <c r="B3363" s="3" t="s">
        <v>1442</v>
      </c>
      <c r="C3363" s="29">
        <f>ROUND(Balances[[#This Row],[Total]]*40%,0)</f>
        <v>0</v>
      </c>
      <c r="D3363" s="29">
        <f>ROUND(Balances[[#This Row],[Total]]*20%,0)</f>
        <v>0</v>
      </c>
      <c r="E3363" s="29">
        <f>ROUND(Balances[[#This Row],[Total]]*40%,0)</f>
        <v>0</v>
      </c>
      <c r="F3363" s="18">
        <f>SUM(Acueducto[[#This Row],[Acueducto]:[Aseo]])</f>
        <v>0</v>
      </c>
    </row>
    <row r="3364" spans="1:6" ht="15" x14ac:dyDescent="0.2">
      <c r="A3364" s="7">
        <v>760211</v>
      </c>
      <c r="B3364" s="3" t="s">
        <v>1443</v>
      </c>
      <c r="C3364" s="29">
        <f>ROUND(Balances[[#This Row],[Total]]*40%,0)</f>
        <v>0</v>
      </c>
      <c r="D3364" s="29">
        <f>ROUND(Balances[[#This Row],[Total]]*20%,0)</f>
        <v>0</v>
      </c>
      <c r="E3364" s="29">
        <f>ROUND(Balances[[#This Row],[Total]]*40%,0)</f>
        <v>0</v>
      </c>
      <c r="F3364" s="18">
        <f>SUM(Acueducto[[#This Row],[Acueducto]:[Aseo]])</f>
        <v>0</v>
      </c>
    </row>
    <row r="3365" spans="1:6" ht="15" x14ac:dyDescent="0.2">
      <c r="A3365" s="7">
        <v>760295</v>
      </c>
      <c r="B3365" s="3" t="s">
        <v>1444</v>
      </c>
      <c r="C3365" s="29">
        <f>ROUND(Balances[[#This Row],[Total]]*40%,0)</f>
        <v>0</v>
      </c>
      <c r="D3365" s="29">
        <f>ROUND(Balances[[#This Row],[Total]]*20%,0)</f>
        <v>0</v>
      </c>
      <c r="E3365" s="29">
        <f>ROUND(Balances[[#This Row],[Total]]*40%,0)</f>
        <v>0</v>
      </c>
      <c r="F3365" s="18">
        <f>SUM(Acueducto[[#This Row],[Acueducto]:[Aseo]])</f>
        <v>0</v>
      </c>
    </row>
    <row r="3366" spans="1:6" ht="15" x14ac:dyDescent="0.2">
      <c r="A3366" s="6">
        <v>7690</v>
      </c>
      <c r="B3366" s="2" t="s">
        <v>1505</v>
      </c>
      <c r="C3366" s="28">
        <f>ROUND(Balances[[#This Row],[Total]]*40%,0)</f>
        <v>0</v>
      </c>
      <c r="D3366" s="28">
        <f>ROUND(Balances[[#This Row],[Total]]*20%,0)</f>
        <v>0</v>
      </c>
      <c r="E3366" s="28">
        <f>ROUND(Balances[[#This Row],[Total]]*40%,0)</f>
        <v>0</v>
      </c>
      <c r="F3366" s="17">
        <f>SUM(Acueducto[[#This Row],[Acueducto]:[Aseo]])</f>
        <v>0</v>
      </c>
    </row>
    <row r="3367" spans="1:6" ht="15" x14ac:dyDescent="0.2">
      <c r="A3367" s="7">
        <v>769001</v>
      </c>
      <c r="B3367" s="3" t="s">
        <v>1436</v>
      </c>
      <c r="C3367" s="29">
        <f>ROUND(Balances[[#This Row],[Total]]*40%,0)</f>
        <v>0</v>
      </c>
      <c r="D3367" s="29">
        <f>ROUND(Balances[[#This Row],[Total]]*20%,0)</f>
        <v>0</v>
      </c>
      <c r="E3367" s="29">
        <f>ROUND(Balances[[#This Row],[Total]]*40%,0)</f>
        <v>0</v>
      </c>
      <c r="F3367" s="18">
        <f>SUM(Acueducto[[#This Row],[Acueducto]:[Aseo]])</f>
        <v>0</v>
      </c>
    </row>
    <row r="3368" spans="1:6" ht="15" x14ac:dyDescent="0.2">
      <c r="A3368" s="7">
        <v>769002</v>
      </c>
      <c r="B3368" s="3" t="s">
        <v>1437</v>
      </c>
      <c r="C3368" s="29">
        <f>ROUND(Balances[[#This Row],[Total]]*40%,0)</f>
        <v>0</v>
      </c>
      <c r="D3368" s="29">
        <f>ROUND(Balances[[#This Row],[Total]]*20%,0)</f>
        <v>0</v>
      </c>
      <c r="E3368" s="29">
        <f>ROUND(Balances[[#This Row],[Total]]*40%,0)</f>
        <v>0</v>
      </c>
      <c r="F3368" s="18">
        <f>SUM(Acueducto[[#This Row],[Acueducto]:[Aseo]])</f>
        <v>0</v>
      </c>
    </row>
    <row r="3369" spans="1:6" ht="15" x14ac:dyDescent="0.2">
      <c r="A3369" s="7">
        <v>769003</v>
      </c>
      <c r="B3369" s="3" t="s">
        <v>568</v>
      </c>
      <c r="C3369" s="29">
        <f>ROUND(Balances[[#This Row],[Total]]*40%,0)</f>
        <v>0</v>
      </c>
      <c r="D3369" s="29">
        <f>ROUND(Balances[[#This Row],[Total]]*20%,0)</f>
        <v>0</v>
      </c>
      <c r="E3369" s="29">
        <f>ROUND(Balances[[#This Row],[Total]]*40%,0)</f>
        <v>0</v>
      </c>
      <c r="F3369" s="18">
        <f>SUM(Acueducto[[#This Row],[Acueducto]:[Aseo]])</f>
        <v>0</v>
      </c>
    </row>
    <row r="3370" spans="1:6" ht="15" x14ac:dyDescent="0.2">
      <c r="A3370" s="7">
        <v>769004</v>
      </c>
      <c r="B3370" s="3" t="s">
        <v>1438</v>
      </c>
      <c r="C3370" s="29">
        <f>ROUND(Balances[[#This Row],[Total]]*40%,0)</f>
        <v>0</v>
      </c>
      <c r="D3370" s="29">
        <f>ROUND(Balances[[#This Row],[Total]]*20%,0)</f>
        <v>0</v>
      </c>
      <c r="E3370" s="29">
        <f>ROUND(Balances[[#This Row],[Total]]*40%,0)</f>
        <v>0</v>
      </c>
      <c r="F3370" s="18">
        <f>SUM(Acueducto[[#This Row],[Acueducto]:[Aseo]])</f>
        <v>0</v>
      </c>
    </row>
    <row r="3371" spans="1:6" ht="15" x14ac:dyDescent="0.2">
      <c r="A3371" s="7">
        <v>769005</v>
      </c>
      <c r="B3371" s="3" t="s">
        <v>569</v>
      </c>
      <c r="C3371" s="29">
        <f>ROUND(Balances[[#This Row],[Total]]*40%,0)</f>
        <v>0</v>
      </c>
      <c r="D3371" s="29">
        <f>ROUND(Balances[[#This Row],[Total]]*20%,0)</f>
        <v>0</v>
      </c>
      <c r="E3371" s="29">
        <f>ROUND(Balances[[#This Row],[Total]]*40%,0)</f>
        <v>0</v>
      </c>
      <c r="F3371" s="18">
        <f>SUM(Acueducto[[#This Row],[Acueducto]:[Aseo]])</f>
        <v>0</v>
      </c>
    </row>
    <row r="3372" spans="1:6" ht="15" x14ac:dyDescent="0.2">
      <c r="A3372" s="7">
        <v>769006</v>
      </c>
      <c r="B3372" s="3" t="s">
        <v>1439</v>
      </c>
      <c r="C3372" s="29">
        <f>ROUND(Balances[[#This Row],[Total]]*40%,0)</f>
        <v>0</v>
      </c>
      <c r="D3372" s="29">
        <f>ROUND(Balances[[#This Row],[Total]]*20%,0)</f>
        <v>0</v>
      </c>
      <c r="E3372" s="29">
        <f>ROUND(Balances[[#This Row],[Total]]*40%,0)</f>
        <v>0</v>
      </c>
      <c r="F3372" s="18">
        <f>SUM(Acueducto[[#This Row],[Acueducto]:[Aseo]])</f>
        <v>0</v>
      </c>
    </row>
    <row r="3373" spans="1:6" ht="15" x14ac:dyDescent="0.2">
      <c r="A3373" s="7">
        <v>769007</v>
      </c>
      <c r="B3373" s="3" t="s">
        <v>1440</v>
      </c>
      <c r="C3373" s="29">
        <f>ROUND(Balances[[#This Row],[Total]]*40%,0)</f>
        <v>0</v>
      </c>
      <c r="D3373" s="29">
        <f>ROUND(Balances[[#This Row],[Total]]*20%,0)</f>
        <v>0</v>
      </c>
      <c r="E3373" s="29">
        <f>ROUND(Balances[[#This Row],[Total]]*40%,0)</f>
        <v>0</v>
      </c>
      <c r="F3373" s="18">
        <f>SUM(Acueducto[[#This Row],[Acueducto]:[Aseo]])</f>
        <v>0</v>
      </c>
    </row>
    <row r="3374" spans="1:6" ht="15" x14ac:dyDescent="0.2">
      <c r="A3374" s="7">
        <v>769008</v>
      </c>
      <c r="B3374" s="3" t="s">
        <v>1441</v>
      </c>
      <c r="C3374" s="29">
        <f>ROUND(Balances[[#This Row],[Total]]*40%,0)</f>
        <v>0</v>
      </c>
      <c r="D3374" s="29">
        <f>ROUND(Balances[[#This Row],[Total]]*20%,0)</f>
        <v>0</v>
      </c>
      <c r="E3374" s="29">
        <f>ROUND(Balances[[#This Row],[Total]]*40%,0)</f>
        <v>0</v>
      </c>
      <c r="F3374" s="18">
        <f>SUM(Acueducto[[#This Row],[Acueducto]:[Aseo]])</f>
        <v>0</v>
      </c>
    </row>
    <row r="3375" spans="1:6" ht="15" x14ac:dyDescent="0.2">
      <c r="A3375" s="7">
        <v>769009</v>
      </c>
      <c r="B3375" s="3" t="s">
        <v>1442</v>
      </c>
      <c r="C3375" s="29">
        <f>ROUND(Balances[[#This Row],[Total]]*40%,0)</f>
        <v>0</v>
      </c>
      <c r="D3375" s="29">
        <f>ROUND(Balances[[#This Row],[Total]]*20%,0)</f>
        <v>0</v>
      </c>
      <c r="E3375" s="29">
        <f>ROUND(Balances[[#This Row],[Total]]*40%,0)</f>
        <v>0</v>
      </c>
      <c r="F3375" s="18">
        <f>SUM(Acueducto[[#This Row],[Acueducto]:[Aseo]])</f>
        <v>0</v>
      </c>
    </row>
    <row r="3376" spans="1:6" ht="15" x14ac:dyDescent="0.2">
      <c r="A3376" s="7">
        <v>769010</v>
      </c>
      <c r="B3376" s="3" t="s">
        <v>1443</v>
      </c>
      <c r="C3376" s="29">
        <f>ROUND(Balances[[#This Row],[Total]]*40%,0)</f>
        <v>0</v>
      </c>
      <c r="D3376" s="29">
        <f>ROUND(Balances[[#This Row],[Total]]*20%,0)</f>
        <v>0</v>
      </c>
      <c r="E3376" s="29">
        <f>ROUND(Balances[[#This Row],[Total]]*40%,0)</f>
        <v>0</v>
      </c>
      <c r="F3376" s="18">
        <f>SUM(Acueducto[[#This Row],[Acueducto]:[Aseo]])</f>
        <v>0</v>
      </c>
    </row>
    <row r="3377" spans="1:6" ht="15" x14ac:dyDescent="0.2">
      <c r="A3377" s="7">
        <v>769095</v>
      </c>
      <c r="B3377" s="3" t="s">
        <v>1444</v>
      </c>
      <c r="C3377" s="29">
        <f>ROUND(Balances[[#This Row],[Total]]*40%,0)</f>
        <v>0</v>
      </c>
      <c r="D3377" s="29">
        <f>ROUND(Balances[[#This Row],[Total]]*20%,0)</f>
        <v>0</v>
      </c>
      <c r="E3377" s="29">
        <f>ROUND(Balances[[#This Row],[Total]]*40%,0)</f>
        <v>0</v>
      </c>
      <c r="F3377" s="18">
        <f>SUM(Acueducto[[#This Row],[Acueducto]:[Aseo]])</f>
        <v>0</v>
      </c>
    </row>
    <row r="3378" spans="1:6" ht="15" x14ac:dyDescent="0.2">
      <c r="A3378" s="6">
        <v>79</v>
      </c>
      <c r="B3378" s="2" t="s">
        <v>1146</v>
      </c>
      <c r="C3378" s="28">
        <f>ROUND(Balances[[#This Row],[Total]]*40%,0)</f>
        <v>0</v>
      </c>
      <c r="D3378" s="28">
        <f>ROUND(Balances[[#This Row],[Total]]*20%,0)</f>
        <v>0</v>
      </c>
      <c r="E3378" s="28">
        <f>ROUND(Balances[[#This Row],[Total]]*40%,0)</f>
        <v>0</v>
      </c>
      <c r="F3378" s="17">
        <f>SUM(Acueducto[[#This Row],[Acueducto]:[Aseo]])</f>
        <v>0</v>
      </c>
    </row>
    <row r="3379" spans="1:6" ht="15" x14ac:dyDescent="0.2">
      <c r="A3379" s="6">
        <v>7902</v>
      </c>
      <c r="B3379" s="2" t="s">
        <v>1141</v>
      </c>
      <c r="C3379" s="28">
        <f>ROUND(Balances[[#This Row],[Total]]*40%,0)</f>
        <v>0</v>
      </c>
      <c r="D3379" s="28">
        <f>ROUND(Balances[[#This Row],[Total]]*20%,0)</f>
        <v>0</v>
      </c>
      <c r="E3379" s="28">
        <f>ROUND(Balances[[#This Row],[Total]]*40%,0)</f>
        <v>0</v>
      </c>
      <c r="F3379" s="17">
        <f>SUM(Acueducto[[#This Row],[Acueducto]:[Aseo]])</f>
        <v>0</v>
      </c>
    </row>
    <row r="3380" spans="1:6" ht="15" x14ac:dyDescent="0.2">
      <c r="A3380" s="7">
        <v>790201</v>
      </c>
      <c r="B3380" s="3" t="s">
        <v>1436</v>
      </c>
      <c r="C3380" s="29">
        <f>ROUND(Balances[[#This Row],[Total]]*40%,0)</f>
        <v>0</v>
      </c>
      <c r="D3380" s="29">
        <f>ROUND(Balances[[#This Row],[Total]]*20%,0)</f>
        <v>0</v>
      </c>
      <c r="E3380" s="29">
        <f>ROUND(Balances[[#This Row],[Total]]*40%,0)</f>
        <v>0</v>
      </c>
      <c r="F3380" s="18">
        <f>SUM(Acueducto[[#This Row],[Acueducto]:[Aseo]])</f>
        <v>0</v>
      </c>
    </row>
    <row r="3381" spans="1:6" ht="15" x14ac:dyDescent="0.2">
      <c r="A3381" s="7">
        <v>790202</v>
      </c>
      <c r="B3381" s="3" t="s">
        <v>1437</v>
      </c>
      <c r="C3381" s="29">
        <f>ROUND(Balances[[#This Row],[Total]]*40%,0)</f>
        <v>0</v>
      </c>
      <c r="D3381" s="29">
        <f>ROUND(Balances[[#This Row],[Total]]*20%,0)</f>
        <v>0</v>
      </c>
      <c r="E3381" s="29">
        <f>ROUND(Balances[[#This Row],[Total]]*40%,0)</f>
        <v>0</v>
      </c>
      <c r="F3381" s="18">
        <f>SUM(Acueducto[[#This Row],[Acueducto]:[Aseo]])</f>
        <v>0</v>
      </c>
    </row>
    <row r="3382" spans="1:6" ht="15" x14ac:dyDescent="0.2">
      <c r="A3382" s="7">
        <v>790203</v>
      </c>
      <c r="B3382" s="3" t="s">
        <v>568</v>
      </c>
      <c r="C3382" s="29">
        <f>ROUND(Balances[[#This Row],[Total]]*40%,0)</f>
        <v>0</v>
      </c>
      <c r="D3382" s="29">
        <f>ROUND(Balances[[#This Row],[Total]]*20%,0)</f>
        <v>0</v>
      </c>
      <c r="E3382" s="29">
        <f>ROUND(Balances[[#This Row],[Total]]*40%,0)</f>
        <v>0</v>
      </c>
      <c r="F3382" s="18">
        <f>SUM(Acueducto[[#This Row],[Acueducto]:[Aseo]])</f>
        <v>0</v>
      </c>
    </row>
    <row r="3383" spans="1:6" ht="15" x14ac:dyDescent="0.2">
      <c r="A3383" s="7">
        <v>790204</v>
      </c>
      <c r="B3383" s="3" t="s">
        <v>1438</v>
      </c>
      <c r="C3383" s="29">
        <f>ROUND(Balances[[#This Row],[Total]]*40%,0)</f>
        <v>0</v>
      </c>
      <c r="D3383" s="29">
        <f>ROUND(Balances[[#This Row],[Total]]*20%,0)</f>
        <v>0</v>
      </c>
      <c r="E3383" s="29">
        <f>ROUND(Balances[[#This Row],[Total]]*40%,0)</f>
        <v>0</v>
      </c>
      <c r="F3383" s="18">
        <f>SUM(Acueducto[[#This Row],[Acueducto]:[Aseo]])</f>
        <v>0</v>
      </c>
    </row>
    <row r="3384" spans="1:6" ht="15" x14ac:dyDescent="0.2">
      <c r="A3384" s="7">
        <v>790205</v>
      </c>
      <c r="B3384" s="3" t="s">
        <v>569</v>
      </c>
      <c r="C3384" s="29">
        <f>ROUND(Balances[[#This Row],[Total]]*40%,0)</f>
        <v>0</v>
      </c>
      <c r="D3384" s="29">
        <f>ROUND(Balances[[#This Row],[Total]]*20%,0)</f>
        <v>0</v>
      </c>
      <c r="E3384" s="29">
        <f>ROUND(Balances[[#This Row],[Total]]*40%,0)</f>
        <v>0</v>
      </c>
      <c r="F3384" s="18">
        <f>SUM(Acueducto[[#This Row],[Acueducto]:[Aseo]])</f>
        <v>0</v>
      </c>
    </row>
    <row r="3385" spans="1:6" ht="15" x14ac:dyDescent="0.2">
      <c r="A3385" s="7">
        <v>790206</v>
      </c>
      <c r="B3385" s="3" t="s">
        <v>1439</v>
      </c>
      <c r="C3385" s="29">
        <f>ROUND(Balances[[#This Row],[Total]]*40%,0)</f>
        <v>0</v>
      </c>
      <c r="D3385" s="29">
        <f>ROUND(Balances[[#This Row],[Total]]*20%,0)</f>
        <v>0</v>
      </c>
      <c r="E3385" s="29">
        <f>ROUND(Balances[[#This Row],[Total]]*40%,0)</f>
        <v>0</v>
      </c>
      <c r="F3385" s="18">
        <f>SUM(Acueducto[[#This Row],[Acueducto]:[Aseo]])</f>
        <v>0</v>
      </c>
    </row>
    <row r="3386" spans="1:6" ht="15" x14ac:dyDescent="0.2">
      <c r="A3386" s="7">
        <v>790207</v>
      </c>
      <c r="B3386" s="3" t="s">
        <v>1440</v>
      </c>
      <c r="C3386" s="29">
        <f>ROUND(Balances[[#This Row],[Total]]*40%,0)</f>
        <v>0</v>
      </c>
      <c r="D3386" s="29">
        <f>ROUND(Balances[[#This Row],[Total]]*20%,0)</f>
        <v>0</v>
      </c>
      <c r="E3386" s="29">
        <f>ROUND(Balances[[#This Row],[Total]]*40%,0)</f>
        <v>0</v>
      </c>
      <c r="F3386" s="18">
        <f>SUM(Acueducto[[#This Row],[Acueducto]:[Aseo]])</f>
        <v>0</v>
      </c>
    </row>
    <row r="3387" spans="1:6" ht="15" x14ac:dyDescent="0.2">
      <c r="A3387" s="7">
        <v>790208</v>
      </c>
      <c r="B3387" s="3" t="s">
        <v>1441</v>
      </c>
      <c r="C3387" s="29">
        <f>ROUND(Balances[[#This Row],[Total]]*40%,0)</f>
        <v>0</v>
      </c>
      <c r="D3387" s="29">
        <f>ROUND(Balances[[#This Row],[Total]]*20%,0)</f>
        <v>0</v>
      </c>
      <c r="E3387" s="29">
        <f>ROUND(Balances[[#This Row],[Total]]*40%,0)</f>
        <v>0</v>
      </c>
      <c r="F3387" s="18">
        <f>SUM(Acueducto[[#This Row],[Acueducto]:[Aseo]])</f>
        <v>0</v>
      </c>
    </row>
    <row r="3388" spans="1:6" ht="15" x14ac:dyDescent="0.2">
      <c r="A3388" s="7">
        <v>790209</v>
      </c>
      <c r="B3388" s="3" t="s">
        <v>1442</v>
      </c>
      <c r="C3388" s="29">
        <f>ROUND(Balances[[#This Row],[Total]]*40%,0)</f>
        <v>0</v>
      </c>
      <c r="D3388" s="29">
        <f>ROUND(Balances[[#This Row],[Total]]*20%,0)</f>
        <v>0</v>
      </c>
      <c r="E3388" s="29">
        <f>ROUND(Balances[[#This Row],[Total]]*40%,0)</f>
        <v>0</v>
      </c>
      <c r="F3388" s="18">
        <f>SUM(Acueducto[[#This Row],[Acueducto]:[Aseo]])</f>
        <v>0</v>
      </c>
    </row>
    <row r="3389" spans="1:6" ht="15" x14ac:dyDescent="0.2">
      <c r="A3389" s="7">
        <v>790210</v>
      </c>
      <c r="B3389" s="3" t="s">
        <v>1443</v>
      </c>
      <c r="C3389" s="29">
        <f>ROUND(Balances[[#This Row],[Total]]*40%,0)</f>
        <v>0</v>
      </c>
      <c r="D3389" s="29">
        <f>ROUND(Balances[[#This Row],[Total]]*20%,0)</f>
        <v>0</v>
      </c>
      <c r="E3389" s="29">
        <f>ROUND(Balances[[#This Row],[Total]]*40%,0)</f>
        <v>0</v>
      </c>
      <c r="F3389" s="18">
        <f>SUM(Acueducto[[#This Row],[Acueducto]:[Aseo]])</f>
        <v>0</v>
      </c>
    </row>
    <row r="3390" spans="1:6" ht="15" x14ac:dyDescent="0.2">
      <c r="A3390" s="7">
        <v>790295</v>
      </c>
      <c r="B3390" s="3" t="s">
        <v>1444</v>
      </c>
      <c r="C3390" s="29">
        <f>ROUND(Balances[[#This Row],[Total]]*40%,0)</f>
        <v>0</v>
      </c>
      <c r="D3390" s="29">
        <f>ROUND(Balances[[#This Row],[Total]]*20%,0)</f>
        <v>0</v>
      </c>
      <c r="E3390" s="29">
        <f>ROUND(Balances[[#This Row],[Total]]*40%,0)</f>
        <v>0</v>
      </c>
      <c r="F3390" s="18">
        <f>SUM(Acueducto[[#This Row],[Acueducto]:[Aseo]])</f>
        <v>0</v>
      </c>
    </row>
    <row r="3391" spans="1:6" ht="15" x14ac:dyDescent="0.2">
      <c r="A3391" s="6">
        <v>7904</v>
      </c>
      <c r="B3391" s="2" t="s">
        <v>1506</v>
      </c>
      <c r="C3391" s="28">
        <f>ROUND(Balances[[#This Row],[Total]]*40%,0)</f>
        <v>0</v>
      </c>
      <c r="D3391" s="28">
        <f>ROUND(Balances[[#This Row],[Total]]*20%,0)</f>
        <v>0</v>
      </c>
      <c r="E3391" s="28">
        <f>ROUND(Balances[[#This Row],[Total]]*40%,0)</f>
        <v>0</v>
      </c>
      <c r="F3391" s="17">
        <f>SUM(Acueducto[[#This Row],[Acueducto]:[Aseo]])</f>
        <v>0</v>
      </c>
    </row>
    <row r="3392" spans="1:6" ht="15" x14ac:dyDescent="0.2">
      <c r="A3392" s="7">
        <v>790401</v>
      </c>
      <c r="B3392" s="3" t="s">
        <v>1436</v>
      </c>
      <c r="C3392" s="29">
        <f>ROUND(Balances[[#This Row],[Total]]*40%,0)</f>
        <v>0</v>
      </c>
      <c r="D3392" s="29">
        <f>ROUND(Balances[[#This Row],[Total]]*20%,0)</f>
        <v>0</v>
      </c>
      <c r="E3392" s="29">
        <f>ROUND(Balances[[#This Row],[Total]]*40%,0)</f>
        <v>0</v>
      </c>
      <c r="F3392" s="18">
        <f>SUM(Acueducto[[#This Row],[Acueducto]:[Aseo]])</f>
        <v>0</v>
      </c>
    </row>
    <row r="3393" spans="1:6" ht="15" x14ac:dyDescent="0.2">
      <c r="A3393" s="7">
        <v>790402</v>
      </c>
      <c r="B3393" s="3" t="s">
        <v>1437</v>
      </c>
      <c r="C3393" s="29">
        <f>ROUND(Balances[[#This Row],[Total]]*40%,0)</f>
        <v>0</v>
      </c>
      <c r="D3393" s="29">
        <f>ROUND(Balances[[#This Row],[Total]]*20%,0)</f>
        <v>0</v>
      </c>
      <c r="E3393" s="29">
        <f>ROUND(Balances[[#This Row],[Total]]*40%,0)</f>
        <v>0</v>
      </c>
      <c r="F3393" s="18">
        <f>SUM(Acueducto[[#This Row],[Acueducto]:[Aseo]])</f>
        <v>0</v>
      </c>
    </row>
    <row r="3394" spans="1:6" ht="15" x14ac:dyDescent="0.2">
      <c r="A3394" s="7">
        <v>790403</v>
      </c>
      <c r="B3394" s="3" t="s">
        <v>568</v>
      </c>
      <c r="C3394" s="29">
        <f>ROUND(Balances[[#This Row],[Total]]*40%,0)</f>
        <v>0</v>
      </c>
      <c r="D3394" s="29">
        <f>ROUND(Balances[[#This Row],[Total]]*20%,0)</f>
        <v>0</v>
      </c>
      <c r="E3394" s="29">
        <f>ROUND(Balances[[#This Row],[Total]]*40%,0)</f>
        <v>0</v>
      </c>
      <c r="F3394" s="18">
        <f>SUM(Acueducto[[#This Row],[Acueducto]:[Aseo]])</f>
        <v>0</v>
      </c>
    </row>
    <row r="3395" spans="1:6" ht="15" x14ac:dyDescent="0.2">
      <c r="A3395" s="7">
        <v>790404</v>
      </c>
      <c r="B3395" s="3" t="s">
        <v>1438</v>
      </c>
      <c r="C3395" s="29">
        <f>ROUND(Balances[[#This Row],[Total]]*40%,0)</f>
        <v>0</v>
      </c>
      <c r="D3395" s="29">
        <f>ROUND(Balances[[#This Row],[Total]]*20%,0)</f>
        <v>0</v>
      </c>
      <c r="E3395" s="29">
        <f>ROUND(Balances[[#This Row],[Total]]*40%,0)</f>
        <v>0</v>
      </c>
      <c r="F3395" s="18">
        <f>SUM(Acueducto[[#This Row],[Acueducto]:[Aseo]])</f>
        <v>0</v>
      </c>
    </row>
    <row r="3396" spans="1:6" ht="15" x14ac:dyDescent="0.2">
      <c r="A3396" s="7">
        <v>790405</v>
      </c>
      <c r="B3396" s="3" t="s">
        <v>569</v>
      </c>
      <c r="C3396" s="29">
        <f>ROUND(Balances[[#This Row],[Total]]*40%,0)</f>
        <v>0</v>
      </c>
      <c r="D3396" s="29">
        <f>ROUND(Balances[[#This Row],[Total]]*20%,0)</f>
        <v>0</v>
      </c>
      <c r="E3396" s="29">
        <f>ROUND(Balances[[#This Row],[Total]]*40%,0)</f>
        <v>0</v>
      </c>
      <c r="F3396" s="18">
        <f>SUM(Acueducto[[#This Row],[Acueducto]:[Aseo]])</f>
        <v>0</v>
      </c>
    </row>
    <row r="3397" spans="1:6" ht="15" x14ac:dyDescent="0.2">
      <c r="A3397" s="7">
        <v>790406</v>
      </c>
      <c r="B3397" s="3" t="s">
        <v>1439</v>
      </c>
      <c r="C3397" s="29">
        <f>ROUND(Balances[[#This Row],[Total]]*40%,0)</f>
        <v>0</v>
      </c>
      <c r="D3397" s="29">
        <f>ROUND(Balances[[#This Row],[Total]]*20%,0)</f>
        <v>0</v>
      </c>
      <c r="E3397" s="29">
        <f>ROUND(Balances[[#This Row],[Total]]*40%,0)</f>
        <v>0</v>
      </c>
      <c r="F3397" s="18">
        <f>SUM(Acueducto[[#This Row],[Acueducto]:[Aseo]])</f>
        <v>0</v>
      </c>
    </row>
    <row r="3398" spans="1:6" ht="15" x14ac:dyDescent="0.2">
      <c r="A3398" s="7">
        <v>790407</v>
      </c>
      <c r="B3398" s="3" t="s">
        <v>1440</v>
      </c>
      <c r="C3398" s="29">
        <f>ROUND(Balances[[#This Row],[Total]]*40%,0)</f>
        <v>0</v>
      </c>
      <c r="D3398" s="29">
        <f>ROUND(Balances[[#This Row],[Total]]*20%,0)</f>
        <v>0</v>
      </c>
      <c r="E3398" s="29">
        <f>ROUND(Balances[[#This Row],[Total]]*40%,0)</f>
        <v>0</v>
      </c>
      <c r="F3398" s="18">
        <f>SUM(Acueducto[[#This Row],[Acueducto]:[Aseo]])</f>
        <v>0</v>
      </c>
    </row>
    <row r="3399" spans="1:6" ht="15" x14ac:dyDescent="0.2">
      <c r="A3399" s="7">
        <v>790408</v>
      </c>
      <c r="B3399" s="3" t="s">
        <v>1441</v>
      </c>
      <c r="C3399" s="29">
        <f>ROUND(Balances[[#This Row],[Total]]*40%,0)</f>
        <v>0</v>
      </c>
      <c r="D3399" s="29">
        <f>ROUND(Balances[[#This Row],[Total]]*20%,0)</f>
        <v>0</v>
      </c>
      <c r="E3399" s="29">
        <f>ROUND(Balances[[#This Row],[Total]]*40%,0)</f>
        <v>0</v>
      </c>
      <c r="F3399" s="18">
        <f>SUM(Acueducto[[#This Row],[Acueducto]:[Aseo]])</f>
        <v>0</v>
      </c>
    </row>
    <row r="3400" spans="1:6" ht="15" x14ac:dyDescent="0.2">
      <c r="A3400" s="7">
        <v>790409</v>
      </c>
      <c r="B3400" s="3" t="s">
        <v>1442</v>
      </c>
      <c r="C3400" s="29">
        <f>ROUND(Balances[[#This Row],[Total]]*40%,0)</f>
        <v>0</v>
      </c>
      <c r="D3400" s="29">
        <f>ROUND(Balances[[#This Row],[Total]]*20%,0)</f>
        <v>0</v>
      </c>
      <c r="E3400" s="29">
        <f>ROUND(Balances[[#This Row],[Total]]*40%,0)</f>
        <v>0</v>
      </c>
      <c r="F3400" s="18">
        <f>SUM(Acueducto[[#This Row],[Acueducto]:[Aseo]])</f>
        <v>0</v>
      </c>
    </row>
    <row r="3401" spans="1:6" ht="15" x14ac:dyDescent="0.2">
      <c r="A3401" s="7">
        <v>790410</v>
      </c>
      <c r="B3401" s="3" t="s">
        <v>1443</v>
      </c>
      <c r="C3401" s="29">
        <f>ROUND(Balances[[#This Row],[Total]]*40%,0)</f>
        <v>0</v>
      </c>
      <c r="D3401" s="29">
        <f>ROUND(Balances[[#This Row],[Total]]*20%,0)</f>
        <v>0</v>
      </c>
      <c r="E3401" s="29">
        <f>ROUND(Balances[[#This Row],[Total]]*40%,0)</f>
        <v>0</v>
      </c>
      <c r="F3401" s="18">
        <f>SUM(Acueducto[[#This Row],[Acueducto]:[Aseo]])</f>
        <v>0</v>
      </c>
    </row>
    <row r="3402" spans="1:6" ht="15" x14ac:dyDescent="0.2">
      <c r="A3402" s="7">
        <v>790495</v>
      </c>
      <c r="B3402" s="3" t="s">
        <v>1444</v>
      </c>
      <c r="C3402" s="29">
        <f>ROUND(Balances[[#This Row],[Total]]*40%,0)</f>
        <v>0</v>
      </c>
      <c r="D3402" s="29">
        <f>ROUND(Balances[[#This Row],[Total]]*20%,0)</f>
        <v>0</v>
      </c>
      <c r="E3402" s="29">
        <f>ROUND(Balances[[#This Row],[Total]]*40%,0)</f>
        <v>0</v>
      </c>
      <c r="F3402" s="18">
        <f>SUM(Acueducto[[#This Row],[Acueducto]:[Aseo]])</f>
        <v>0</v>
      </c>
    </row>
    <row r="3403" spans="1:6" ht="15" x14ac:dyDescent="0.2">
      <c r="A3403" s="6">
        <v>7905</v>
      </c>
      <c r="B3403" s="2" t="s">
        <v>1110</v>
      </c>
      <c r="C3403" s="28">
        <f>ROUND(Balances[[#This Row],[Total]]*40%,0)</f>
        <v>0</v>
      </c>
      <c r="D3403" s="28">
        <f>ROUND(Balances[[#This Row],[Total]]*20%,0)</f>
        <v>0</v>
      </c>
      <c r="E3403" s="28">
        <f>ROUND(Balances[[#This Row],[Total]]*40%,0)</f>
        <v>0</v>
      </c>
      <c r="F3403" s="17">
        <f>SUM(Acueducto[[#This Row],[Acueducto]:[Aseo]])</f>
        <v>0</v>
      </c>
    </row>
    <row r="3404" spans="1:6" ht="15" x14ac:dyDescent="0.2">
      <c r="A3404" s="7">
        <v>790501</v>
      </c>
      <c r="B3404" s="3" t="s">
        <v>1436</v>
      </c>
      <c r="C3404" s="29">
        <f>ROUND(Balances[[#This Row],[Total]]*40%,0)</f>
        <v>0</v>
      </c>
      <c r="D3404" s="29">
        <f>ROUND(Balances[[#This Row],[Total]]*20%,0)</f>
        <v>0</v>
      </c>
      <c r="E3404" s="29">
        <f>ROUND(Balances[[#This Row],[Total]]*40%,0)</f>
        <v>0</v>
      </c>
      <c r="F3404" s="18">
        <f>SUM(Acueducto[[#This Row],[Acueducto]:[Aseo]])</f>
        <v>0</v>
      </c>
    </row>
    <row r="3405" spans="1:6" ht="15" x14ac:dyDescent="0.2">
      <c r="A3405" s="7">
        <v>790502</v>
      </c>
      <c r="B3405" s="3" t="s">
        <v>1437</v>
      </c>
      <c r="C3405" s="29">
        <f>ROUND(Balances[[#This Row],[Total]]*40%,0)</f>
        <v>0</v>
      </c>
      <c r="D3405" s="29">
        <f>ROUND(Balances[[#This Row],[Total]]*20%,0)</f>
        <v>0</v>
      </c>
      <c r="E3405" s="29">
        <f>ROUND(Balances[[#This Row],[Total]]*40%,0)</f>
        <v>0</v>
      </c>
      <c r="F3405" s="18">
        <f>SUM(Acueducto[[#This Row],[Acueducto]:[Aseo]])</f>
        <v>0</v>
      </c>
    </row>
    <row r="3406" spans="1:6" ht="15" x14ac:dyDescent="0.2">
      <c r="A3406" s="7">
        <v>790503</v>
      </c>
      <c r="B3406" s="3" t="s">
        <v>568</v>
      </c>
      <c r="C3406" s="29">
        <f>ROUND(Balances[[#This Row],[Total]]*40%,0)</f>
        <v>0</v>
      </c>
      <c r="D3406" s="29">
        <f>ROUND(Balances[[#This Row],[Total]]*20%,0)</f>
        <v>0</v>
      </c>
      <c r="E3406" s="29">
        <f>ROUND(Balances[[#This Row],[Total]]*40%,0)</f>
        <v>0</v>
      </c>
      <c r="F3406" s="18">
        <f>SUM(Acueducto[[#This Row],[Acueducto]:[Aseo]])</f>
        <v>0</v>
      </c>
    </row>
    <row r="3407" spans="1:6" ht="15" x14ac:dyDescent="0.2">
      <c r="A3407" s="7">
        <v>790504</v>
      </c>
      <c r="B3407" s="3" t="s">
        <v>1438</v>
      </c>
      <c r="C3407" s="29">
        <f>ROUND(Balances[[#This Row],[Total]]*40%,0)</f>
        <v>0</v>
      </c>
      <c r="D3407" s="29">
        <f>ROUND(Balances[[#This Row],[Total]]*20%,0)</f>
        <v>0</v>
      </c>
      <c r="E3407" s="29">
        <f>ROUND(Balances[[#This Row],[Total]]*40%,0)</f>
        <v>0</v>
      </c>
      <c r="F3407" s="18">
        <f>SUM(Acueducto[[#This Row],[Acueducto]:[Aseo]])</f>
        <v>0</v>
      </c>
    </row>
    <row r="3408" spans="1:6" ht="15" x14ac:dyDescent="0.2">
      <c r="A3408" s="7">
        <v>790505</v>
      </c>
      <c r="B3408" s="3" t="s">
        <v>569</v>
      </c>
      <c r="C3408" s="29">
        <f>ROUND(Balances[[#This Row],[Total]]*40%,0)</f>
        <v>0</v>
      </c>
      <c r="D3408" s="29">
        <f>ROUND(Balances[[#This Row],[Total]]*20%,0)</f>
        <v>0</v>
      </c>
      <c r="E3408" s="29">
        <f>ROUND(Balances[[#This Row],[Total]]*40%,0)</f>
        <v>0</v>
      </c>
      <c r="F3408" s="18">
        <f>SUM(Acueducto[[#This Row],[Acueducto]:[Aseo]])</f>
        <v>0</v>
      </c>
    </row>
    <row r="3409" spans="1:6" ht="15" x14ac:dyDescent="0.2">
      <c r="A3409" s="7">
        <v>790506</v>
      </c>
      <c r="B3409" s="3" t="s">
        <v>1439</v>
      </c>
      <c r="C3409" s="29">
        <f>ROUND(Balances[[#This Row],[Total]]*40%,0)</f>
        <v>0</v>
      </c>
      <c r="D3409" s="29">
        <f>ROUND(Balances[[#This Row],[Total]]*20%,0)</f>
        <v>0</v>
      </c>
      <c r="E3409" s="29">
        <f>ROUND(Balances[[#This Row],[Total]]*40%,0)</f>
        <v>0</v>
      </c>
      <c r="F3409" s="18">
        <f>SUM(Acueducto[[#This Row],[Acueducto]:[Aseo]])</f>
        <v>0</v>
      </c>
    </row>
    <row r="3410" spans="1:6" ht="15" x14ac:dyDescent="0.2">
      <c r="A3410" s="7">
        <v>790507</v>
      </c>
      <c r="B3410" s="3" t="s">
        <v>1440</v>
      </c>
      <c r="C3410" s="29">
        <f>ROUND(Balances[[#This Row],[Total]]*40%,0)</f>
        <v>0</v>
      </c>
      <c r="D3410" s="29">
        <f>ROUND(Balances[[#This Row],[Total]]*20%,0)</f>
        <v>0</v>
      </c>
      <c r="E3410" s="29">
        <f>ROUND(Balances[[#This Row],[Total]]*40%,0)</f>
        <v>0</v>
      </c>
      <c r="F3410" s="18">
        <f>SUM(Acueducto[[#This Row],[Acueducto]:[Aseo]])</f>
        <v>0</v>
      </c>
    </row>
    <row r="3411" spans="1:6" ht="15" x14ac:dyDescent="0.2">
      <c r="A3411" s="7">
        <v>790508</v>
      </c>
      <c r="B3411" s="3" t="s">
        <v>1441</v>
      </c>
      <c r="C3411" s="29">
        <f>ROUND(Balances[[#This Row],[Total]]*40%,0)</f>
        <v>0</v>
      </c>
      <c r="D3411" s="29">
        <f>ROUND(Balances[[#This Row],[Total]]*20%,0)</f>
        <v>0</v>
      </c>
      <c r="E3411" s="29">
        <f>ROUND(Balances[[#This Row],[Total]]*40%,0)</f>
        <v>0</v>
      </c>
      <c r="F3411" s="18">
        <f>SUM(Acueducto[[#This Row],[Acueducto]:[Aseo]])</f>
        <v>0</v>
      </c>
    </row>
    <row r="3412" spans="1:6" ht="15" x14ac:dyDescent="0.2">
      <c r="A3412" s="7">
        <v>790509</v>
      </c>
      <c r="B3412" s="3" t="s">
        <v>1442</v>
      </c>
      <c r="C3412" s="29">
        <f>ROUND(Balances[[#This Row],[Total]]*40%,0)</f>
        <v>0</v>
      </c>
      <c r="D3412" s="29">
        <f>ROUND(Balances[[#This Row],[Total]]*20%,0)</f>
        <v>0</v>
      </c>
      <c r="E3412" s="29">
        <f>ROUND(Balances[[#This Row],[Total]]*40%,0)</f>
        <v>0</v>
      </c>
      <c r="F3412" s="18">
        <f>SUM(Acueducto[[#This Row],[Acueducto]:[Aseo]])</f>
        <v>0</v>
      </c>
    </row>
    <row r="3413" spans="1:6" ht="15" x14ac:dyDescent="0.2">
      <c r="A3413" s="7">
        <v>790510</v>
      </c>
      <c r="B3413" s="3" t="s">
        <v>1443</v>
      </c>
      <c r="C3413" s="29">
        <f>ROUND(Balances[[#This Row],[Total]]*40%,0)</f>
        <v>0</v>
      </c>
      <c r="D3413" s="29">
        <f>ROUND(Balances[[#This Row],[Total]]*20%,0)</f>
        <v>0</v>
      </c>
      <c r="E3413" s="29">
        <f>ROUND(Balances[[#This Row],[Total]]*40%,0)</f>
        <v>0</v>
      </c>
      <c r="F3413" s="18">
        <f>SUM(Acueducto[[#This Row],[Acueducto]:[Aseo]])</f>
        <v>0</v>
      </c>
    </row>
    <row r="3414" spans="1:6" ht="15" x14ac:dyDescent="0.2">
      <c r="A3414" s="7">
        <v>790595</v>
      </c>
      <c r="B3414" s="3" t="s">
        <v>1444</v>
      </c>
      <c r="C3414" s="29">
        <f>ROUND(Balances[[#This Row],[Total]]*40%,0)</f>
        <v>0</v>
      </c>
      <c r="D3414" s="29">
        <f>ROUND(Balances[[#This Row],[Total]]*20%,0)</f>
        <v>0</v>
      </c>
      <c r="E3414" s="29">
        <f>ROUND(Balances[[#This Row],[Total]]*40%,0)</f>
        <v>0</v>
      </c>
      <c r="F3414" s="18">
        <f>SUM(Acueducto[[#This Row],[Acueducto]:[Aseo]])</f>
        <v>0</v>
      </c>
    </row>
    <row r="3415" spans="1:6" ht="15" x14ac:dyDescent="0.2">
      <c r="A3415" s="6">
        <v>7906</v>
      </c>
      <c r="B3415" s="2" t="s">
        <v>1507</v>
      </c>
      <c r="C3415" s="28">
        <f>ROUND(Balances[[#This Row],[Total]]*40%,0)</f>
        <v>0</v>
      </c>
      <c r="D3415" s="28">
        <f>ROUND(Balances[[#This Row],[Total]]*20%,0)</f>
        <v>0</v>
      </c>
      <c r="E3415" s="28">
        <f>ROUND(Balances[[#This Row],[Total]]*40%,0)</f>
        <v>0</v>
      </c>
      <c r="F3415" s="17">
        <f>SUM(Acueducto[[#This Row],[Acueducto]:[Aseo]])</f>
        <v>0</v>
      </c>
    </row>
    <row r="3416" spans="1:6" ht="15" x14ac:dyDescent="0.2">
      <c r="A3416" s="7">
        <v>790601</v>
      </c>
      <c r="B3416" s="3" t="s">
        <v>1436</v>
      </c>
      <c r="C3416" s="29">
        <f>ROUND(Balances[[#This Row],[Total]]*40%,0)</f>
        <v>0</v>
      </c>
      <c r="D3416" s="29">
        <f>ROUND(Balances[[#This Row],[Total]]*20%,0)</f>
        <v>0</v>
      </c>
      <c r="E3416" s="29">
        <f>ROUND(Balances[[#This Row],[Total]]*40%,0)</f>
        <v>0</v>
      </c>
      <c r="F3416" s="18">
        <f>SUM(Acueducto[[#This Row],[Acueducto]:[Aseo]])</f>
        <v>0</v>
      </c>
    </row>
    <row r="3417" spans="1:6" ht="15" x14ac:dyDescent="0.2">
      <c r="A3417" s="7">
        <v>790602</v>
      </c>
      <c r="B3417" s="3" t="s">
        <v>1437</v>
      </c>
      <c r="C3417" s="29">
        <f>ROUND(Balances[[#This Row],[Total]]*40%,0)</f>
        <v>0</v>
      </c>
      <c r="D3417" s="29">
        <f>ROUND(Balances[[#This Row],[Total]]*20%,0)</f>
        <v>0</v>
      </c>
      <c r="E3417" s="29">
        <f>ROUND(Balances[[#This Row],[Total]]*40%,0)</f>
        <v>0</v>
      </c>
      <c r="F3417" s="18">
        <f>SUM(Acueducto[[#This Row],[Acueducto]:[Aseo]])</f>
        <v>0</v>
      </c>
    </row>
    <row r="3418" spans="1:6" ht="15" x14ac:dyDescent="0.2">
      <c r="A3418" s="7">
        <v>790603</v>
      </c>
      <c r="B3418" s="3" t="s">
        <v>568</v>
      </c>
      <c r="C3418" s="29">
        <f>ROUND(Balances[[#This Row],[Total]]*40%,0)</f>
        <v>0</v>
      </c>
      <c r="D3418" s="29">
        <f>ROUND(Balances[[#This Row],[Total]]*20%,0)</f>
        <v>0</v>
      </c>
      <c r="E3418" s="29">
        <f>ROUND(Balances[[#This Row],[Total]]*40%,0)</f>
        <v>0</v>
      </c>
      <c r="F3418" s="18">
        <f>SUM(Acueducto[[#This Row],[Acueducto]:[Aseo]])</f>
        <v>0</v>
      </c>
    </row>
    <row r="3419" spans="1:6" ht="15" x14ac:dyDescent="0.2">
      <c r="A3419" s="7">
        <v>790604</v>
      </c>
      <c r="B3419" s="3" t="s">
        <v>1438</v>
      </c>
      <c r="C3419" s="29">
        <f>ROUND(Balances[[#This Row],[Total]]*40%,0)</f>
        <v>0</v>
      </c>
      <c r="D3419" s="29">
        <f>ROUND(Balances[[#This Row],[Total]]*20%,0)</f>
        <v>0</v>
      </c>
      <c r="E3419" s="29">
        <f>ROUND(Balances[[#This Row],[Total]]*40%,0)</f>
        <v>0</v>
      </c>
      <c r="F3419" s="18">
        <f>SUM(Acueducto[[#This Row],[Acueducto]:[Aseo]])</f>
        <v>0</v>
      </c>
    </row>
    <row r="3420" spans="1:6" ht="15" x14ac:dyDescent="0.2">
      <c r="A3420" s="7">
        <v>790605</v>
      </c>
      <c r="B3420" s="3" t="s">
        <v>569</v>
      </c>
      <c r="C3420" s="29">
        <f>ROUND(Balances[[#This Row],[Total]]*40%,0)</f>
        <v>0</v>
      </c>
      <c r="D3420" s="29">
        <f>ROUND(Balances[[#This Row],[Total]]*20%,0)</f>
        <v>0</v>
      </c>
      <c r="E3420" s="29">
        <f>ROUND(Balances[[#This Row],[Total]]*40%,0)</f>
        <v>0</v>
      </c>
      <c r="F3420" s="18">
        <f>SUM(Acueducto[[#This Row],[Acueducto]:[Aseo]])</f>
        <v>0</v>
      </c>
    </row>
    <row r="3421" spans="1:6" ht="15" x14ac:dyDescent="0.2">
      <c r="A3421" s="7">
        <v>790606</v>
      </c>
      <c r="B3421" s="3" t="s">
        <v>1439</v>
      </c>
      <c r="C3421" s="29">
        <f>ROUND(Balances[[#This Row],[Total]]*40%,0)</f>
        <v>0</v>
      </c>
      <c r="D3421" s="29">
        <f>ROUND(Balances[[#This Row],[Total]]*20%,0)</f>
        <v>0</v>
      </c>
      <c r="E3421" s="29">
        <f>ROUND(Balances[[#This Row],[Total]]*40%,0)</f>
        <v>0</v>
      </c>
      <c r="F3421" s="18">
        <f>SUM(Acueducto[[#This Row],[Acueducto]:[Aseo]])</f>
        <v>0</v>
      </c>
    </row>
    <row r="3422" spans="1:6" ht="15" x14ac:dyDescent="0.2">
      <c r="A3422" s="7">
        <v>790607</v>
      </c>
      <c r="B3422" s="3" t="s">
        <v>1440</v>
      </c>
      <c r="C3422" s="29">
        <f>ROUND(Balances[[#This Row],[Total]]*40%,0)</f>
        <v>0</v>
      </c>
      <c r="D3422" s="29">
        <f>ROUND(Balances[[#This Row],[Total]]*20%,0)</f>
        <v>0</v>
      </c>
      <c r="E3422" s="29">
        <f>ROUND(Balances[[#This Row],[Total]]*40%,0)</f>
        <v>0</v>
      </c>
      <c r="F3422" s="18">
        <f>SUM(Acueducto[[#This Row],[Acueducto]:[Aseo]])</f>
        <v>0</v>
      </c>
    </row>
    <row r="3423" spans="1:6" ht="15" x14ac:dyDescent="0.2">
      <c r="A3423" s="7">
        <v>790608</v>
      </c>
      <c r="B3423" s="3" t="s">
        <v>1441</v>
      </c>
      <c r="C3423" s="29">
        <f>ROUND(Balances[[#This Row],[Total]]*40%,0)</f>
        <v>0</v>
      </c>
      <c r="D3423" s="29">
        <f>ROUND(Balances[[#This Row],[Total]]*20%,0)</f>
        <v>0</v>
      </c>
      <c r="E3423" s="29">
        <f>ROUND(Balances[[#This Row],[Total]]*40%,0)</f>
        <v>0</v>
      </c>
      <c r="F3423" s="18">
        <f>SUM(Acueducto[[#This Row],[Acueducto]:[Aseo]])</f>
        <v>0</v>
      </c>
    </row>
    <row r="3424" spans="1:6" ht="15" x14ac:dyDescent="0.2">
      <c r="A3424" s="7">
        <v>790609</v>
      </c>
      <c r="B3424" s="3" t="s">
        <v>1442</v>
      </c>
      <c r="C3424" s="29">
        <f>ROUND(Balances[[#This Row],[Total]]*40%,0)</f>
        <v>0</v>
      </c>
      <c r="D3424" s="29">
        <f>ROUND(Balances[[#This Row],[Total]]*20%,0)</f>
        <v>0</v>
      </c>
      <c r="E3424" s="29">
        <f>ROUND(Balances[[#This Row],[Total]]*40%,0)</f>
        <v>0</v>
      </c>
      <c r="F3424" s="18">
        <f>SUM(Acueducto[[#This Row],[Acueducto]:[Aseo]])</f>
        <v>0</v>
      </c>
    </row>
    <row r="3425" spans="1:6" ht="15" x14ac:dyDescent="0.2">
      <c r="A3425" s="7">
        <v>790610</v>
      </c>
      <c r="B3425" s="3" t="s">
        <v>1443</v>
      </c>
      <c r="C3425" s="29">
        <f>ROUND(Balances[[#This Row],[Total]]*40%,0)</f>
        <v>0</v>
      </c>
      <c r="D3425" s="29">
        <f>ROUND(Balances[[#This Row],[Total]]*20%,0)</f>
        <v>0</v>
      </c>
      <c r="E3425" s="29">
        <f>ROUND(Balances[[#This Row],[Total]]*40%,0)</f>
        <v>0</v>
      </c>
      <c r="F3425" s="18">
        <f>SUM(Acueducto[[#This Row],[Acueducto]:[Aseo]])</f>
        <v>0</v>
      </c>
    </row>
    <row r="3426" spans="1:6" ht="15" x14ac:dyDescent="0.2">
      <c r="A3426" s="7">
        <v>790695</v>
      </c>
      <c r="B3426" s="3" t="s">
        <v>1444</v>
      </c>
      <c r="C3426" s="29">
        <f>ROUND(Balances[[#This Row],[Total]]*40%,0)</f>
        <v>0</v>
      </c>
      <c r="D3426" s="29">
        <f>ROUND(Balances[[#This Row],[Total]]*20%,0)</f>
        <v>0</v>
      </c>
      <c r="E3426" s="29">
        <f>ROUND(Balances[[#This Row],[Total]]*40%,0)</f>
        <v>0</v>
      </c>
      <c r="F3426" s="18">
        <f>SUM(Acueducto[[#This Row],[Acueducto]:[Aseo]])</f>
        <v>0</v>
      </c>
    </row>
    <row r="3427" spans="1:6" ht="15" x14ac:dyDescent="0.2">
      <c r="A3427" s="6">
        <v>7907</v>
      </c>
      <c r="B3427" s="2" t="s">
        <v>1508</v>
      </c>
      <c r="C3427" s="28">
        <f>ROUND(Balances[[#This Row],[Total]]*40%,0)</f>
        <v>0</v>
      </c>
      <c r="D3427" s="28">
        <f>ROUND(Balances[[#This Row],[Total]]*20%,0)</f>
        <v>0</v>
      </c>
      <c r="E3427" s="28">
        <f>ROUND(Balances[[#This Row],[Total]]*40%,0)</f>
        <v>0</v>
      </c>
      <c r="F3427" s="17">
        <f>SUM(Acueducto[[#This Row],[Acueducto]:[Aseo]])</f>
        <v>0</v>
      </c>
    </row>
    <row r="3428" spans="1:6" ht="15" x14ac:dyDescent="0.2">
      <c r="A3428" s="7">
        <v>790701</v>
      </c>
      <c r="B3428" s="3" t="s">
        <v>1436</v>
      </c>
      <c r="C3428" s="29">
        <f>ROUND(Balances[[#This Row],[Total]]*40%,0)</f>
        <v>0</v>
      </c>
      <c r="D3428" s="29">
        <f>ROUND(Balances[[#This Row],[Total]]*20%,0)</f>
        <v>0</v>
      </c>
      <c r="E3428" s="29">
        <f>ROUND(Balances[[#This Row],[Total]]*40%,0)</f>
        <v>0</v>
      </c>
      <c r="F3428" s="18">
        <f>SUM(Acueducto[[#This Row],[Acueducto]:[Aseo]])</f>
        <v>0</v>
      </c>
    </row>
    <row r="3429" spans="1:6" ht="15" x14ac:dyDescent="0.2">
      <c r="A3429" s="7">
        <v>790702</v>
      </c>
      <c r="B3429" s="3" t="s">
        <v>1437</v>
      </c>
      <c r="C3429" s="29">
        <f>ROUND(Balances[[#This Row],[Total]]*40%,0)</f>
        <v>0</v>
      </c>
      <c r="D3429" s="29">
        <f>ROUND(Balances[[#This Row],[Total]]*20%,0)</f>
        <v>0</v>
      </c>
      <c r="E3429" s="29">
        <f>ROUND(Balances[[#This Row],[Total]]*40%,0)</f>
        <v>0</v>
      </c>
      <c r="F3429" s="18">
        <f>SUM(Acueducto[[#This Row],[Acueducto]:[Aseo]])</f>
        <v>0</v>
      </c>
    </row>
    <row r="3430" spans="1:6" ht="15" x14ac:dyDescent="0.2">
      <c r="A3430" s="7">
        <v>790703</v>
      </c>
      <c r="B3430" s="3" t="s">
        <v>568</v>
      </c>
      <c r="C3430" s="29">
        <f>ROUND(Balances[[#This Row],[Total]]*40%,0)</f>
        <v>0</v>
      </c>
      <c r="D3430" s="29">
        <f>ROUND(Balances[[#This Row],[Total]]*20%,0)</f>
        <v>0</v>
      </c>
      <c r="E3430" s="29">
        <f>ROUND(Balances[[#This Row],[Total]]*40%,0)</f>
        <v>0</v>
      </c>
      <c r="F3430" s="18">
        <f>SUM(Acueducto[[#This Row],[Acueducto]:[Aseo]])</f>
        <v>0</v>
      </c>
    </row>
    <row r="3431" spans="1:6" ht="15" x14ac:dyDescent="0.2">
      <c r="A3431" s="7">
        <v>790704</v>
      </c>
      <c r="B3431" s="3" t="s">
        <v>1438</v>
      </c>
      <c r="C3431" s="29">
        <f>ROUND(Balances[[#This Row],[Total]]*40%,0)</f>
        <v>0</v>
      </c>
      <c r="D3431" s="29">
        <f>ROUND(Balances[[#This Row],[Total]]*20%,0)</f>
        <v>0</v>
      </c>
      <c r="E3431" s="29">
        <f>ROUND(Balances[[#This Row],[Total]]*40%,0)</f>
        <v>0</v>
      </c>
      <c r="F3431" s="18">
        <f>SUM(Acueducto[[#This Row],[Acueducto]:[Aseo]])</f>
        <v>0</v>
      </c>
    </row>
    <row r="3432" spans="1:6" ht="15" x14ac:dyDescent="0.2">
      <c r="A3432" s="7">
        <v>790705</v>
      </c>
      <c r="B3432" s="3" t="s">
        <v>569</v>
      </c>
      <c r="C3432" s="29">
        <f>ROUND(Balances[[#This Row],[Total]]*40%,0)</f>
        <v>0</v>
      </c>
      <c r="D3432" s="29">
        <f>ROUND(Balances[[#This Row],[Total]]*20%,0)</f>
        <v>0</v>
      </c>
      <c r="E3432" s="29">
        <f>ROUND(Balances[[#This Row],[Total]]*40%,0)</f>
        <v>0</v>
      </c>
      <c r="F3432" s="18">
        <f>SUM(Acueducto[[#This Row],[Acueducto]:[Aseo]])</f>
        <v>0</v>
      </c>
    </row>
    <row r="3433" spans="1:6" ht="15" x14ac:dyDescent="0.2">
      <c r="A3433" s="7">
        <v>790706</v>
      </c>
      <c r="B3433" s="3" t="s">
        <v>1439</v>
      </c>
      <c r="C3433" s="29">
        <f>ROUND(Balances[[#This Row],[Total]]*40%,0)</f>
        <v>0</v>
      </c>
      <c r="D3433" s="29">
        <f>ROUND(Balances[[#This Row],[Total]]*20%,0)</f>
        <v>0</v>
      </c>
      <c r="E3433" s="29">
        <f>ROUND(Balances[[#This Row],[Total]]*40%,0)</f>
        <v>0</v>
      </c>
      <c r="F3433" s="18">
        <f>SUM(Acueducto[[#This Row],[Acueducto]:[Aseo]])</f>
        <v>0</v>
      </c>
    </row>
    <row r="3434" spans="1:6" ht="15" x14ac:dyDescent="0.2">
      <c r="A3434" s="7">
        <v>790707</v>
      </c>
      <c r="B3434" s="3" t="s">
        <v>1440</v>
      </c>
      <c r="C3434" s="29">
        <f>ROUND(Balances[[#This Row],[Total]]*40%,0)</f>
        <v>0</v>
      </c>
      <c r="D3434" s="29">
        <f>ROUND(Balances[[#This Row],[Total]]*20%,0)</f>
        <v>0</v>
      </c>
      <c r="E3434" s="29">
        <f>ROUND(Balances[[#This Row],[Total]]*40%,0)</f>
        <v>0</v>
      </c>
      <c r="F3434" s="18">
        <f>SUM(Acueducto[[#This Row],[Acueducto]:[Aseo]])</f>
        <v>0</v>
      </c>
    </row>
    <row r="3435" spans="1:6" ht="15" x14ac:dyDescent="0.2">
      <c r="A3435" s="7">
        <v>790708</v>
      </c>
      <c r="B3435" s="3" t="s">
        <v>1441</v>
      </c>
      <c r="C3435" s="29">
        <f>ROUND(Balances[[#This Row],[Total]]*40%,0)</f>
        <v>0</v>
      </c>
      <c r="D3435" s="29">
        <f>ROUND(Balances[[#This Row],[Total]]*20%,0)</f>
        <v>0</v>
      </c>
      <c r="E3435" s="29">
        <f>ROUND(Balances[[#This Row],[Total]]*40%,0)</f>
        <v>0</v>
      </c>
      <c r="F3435" s="18">
        <f>SUM(Acueducto[[#This Row],[Acueducto]:[Aseo]])</f>
        <v>0</v>
      </c>
    </row>
    <row r="3436" spans="1:6" ht="15" x14ac:dyDescent="0.2">
      <c r="A3436" s="7">
        <v>790709</v>
      </c>
      <c r="B3436" s="3" t="s">
        <v>1442</v>
      </c>
      <c r="C3436" s="29">
        <f>ROUND(Balances[[#This Row],[Total]]*40%,0)</f>
        <v>0</v>
      </c>
      <c r="D3436" s="29">
        <f>ROUND(Balances[[#This Row],[Total]]*20%,0)</f>
        <v>0</v>
      </c>
      <c r="E3436" s="29">
        <f>ROUND(Balances[[#This Row],[Total]]*40%,0)</f>
        <v>0</v>
      </c>
      <c r="F3436" s="18">
        <f>SUM(Acueducto[[#This Row],[Acueducto]:[Aseo]])</f>
        <v>0</v>
      </c>
    </row>
    <row r="3437" spans="1:6" ht="15" x14ac:dyDescent="0.2">
      <c r="A3437" s="7">
        <v>790710</v>
      </c>
      <c r="B3437" s="3" t="s">
        <v>1443</v>
      </c>
      <c r="C3437" s="29">
        <f>ROUND(Balances[[#This Row],[Total]]*40%,0)</f>
        <v>0</v>
      </c>
      <c r="D3437" s="29">
        <f>ROUND(Balances[[#This Row],[Total]]*20%,0)</f>
        <v>0</v>
      </c>
      <c r="E3437" s="29">
        <f>ROUND(Balances[[#This Row],[Total]]*40%,0)</f>
        <v>0</v>
      </c>
      <c r="F3437" s="18">
        <f>SUM(Acueducto[[#This Row],[Acueducto]:[Aseo]])</f>
        <v>0</v>
      </c>
    </row>
    <row r="3438" spans="1:6" ht="15" x14ac:dyDescent="0.2">
      <c r="A3438" s="7">
        <v>790795</v>
      </c>
      <c r="B3438" s="3" t="s">
        <v>1444</v>
      </c>
      <c r="C3438" s="29">
        <f>ROUND(Balances[[#This Row],[Total]]*40%,0)</f>
        <v>0</v>
      </c>
      <c r="D3438" s="29">
        <f>ROUND(Balances[[#This Row],[Total]]*20%,0)</f>
        <v>0</v>
      </c>
      <c r="E3438" s="29">
        <f>ROUND(Balances[[#This Row],[Total]]*40%,0)</f>
        <v>0</v>
      </c>
      <c r="F3438" s="18">
        <f>SUM(Acueducto[[#This Row],[Acueducto]:[Aseo]])</f>
        <v>0</v>
      </c>
    </row>
    <row r="3439" spans="1:6" ht="15" x14ac:dyDescent="0.2">
      <c r="A3439" s="6">
        <v>7908</v>
      </c>
      <c r="B3439" s="2" t="s">
        <v>1509</v>
      </c>
      <c r="C3439" s="28">
        <f>ROUND(Balances[[#This Row],[Total]]*40%,0)</f>
        <v>0</v>
      </c>
      <c r="D3439" s="28">
        <f>ROUND(Balances[[#This Row],[Total]]*20%,0)</f>
        <v>0</v>
      </c>
      <c r="E3439" s="28">
        <f>ROUND(Balances[[#This Row],[Total]]*40%,0)</f>
        <v>0</v>
      </c>
      <c r="F3439" s="17">
        <f>SUM(Acueducto[[#This Row],[Acueducto]:[Aseo]])</f>
        <v>0</v>
      </c>
    </row>
    <row r="3440" spans="1:6" ht="15" x14ac:dyDescent="0.2">
      <c r="A3440" s="7">
        <v>790801</v>
      </c>
      <c r="B3440" s="3" t="s">
        <v>1436</v>
      </c>
      <c r="C3440" s="29">
        <f>ROUND(Balances[[#This Row],[Total]]*40%,0)</f>
        <v>0</v>
      </c>
      <c r="D3440" s="29">
        <f>ROUND(Balances[[#This Row],[Total]]*20%,0)</f>
        <v>0</v>
      </c>
      <c r="E3440" s="29">
        <f>ROUND(Balances[[#This Row],[Total]]*40%,0)</f>
        <v>0</v>
      </c>
      <c r="F3440" s="18">
        <f>SUM(Acueducto[[#This Row],[Acueducto]:[Aseo]])</f>
        <v>0</v>
      </c>
    </row>
    <row r="3441" spans="1:6" ht="15" x14ac:dyDescent="0.2">
      <c r="A3441" s="7">
        <v>790802</v>
      </c>
      <c r="B3441" s="3" t="s">
        <v>1437</v>
      </c>
      <c r="C3441" s="29">
        <f>ROUND(Balances[[#This Row],[Total]]*40%,0)</f>
        <v>0</v>
      </c>
      <c r="D3441" s="29">
        <f>ROUND(Balances[[#This Row],[Total]]*20%,0)</f>
        <v>0</v>
      </c>
      <c r="E3441" s="29">
        <f>ROUND(Balances[[#This Row],[Total]]*40%,0)</f>
        <v>0</v>
      </c>
      <c r="F3441" s="18">
        <f>SUM(Acueducto[[#This Row],[Acueducto]:[Aseo]])</f>
        <v>0</v>
      </c>
    </row>
    <row r="3442" spans="1:6" ht="15" x14ac:dyDescent="0.2">
      <c r="A3442" s="7">
        <v>790803</v>
      </c>
      <c r="B3442" s="3" t="s">
        <v>568</v>
      </c>
      <c r="C3442" s="29">
        <f>ROUND(Balances[[#This Row],[Total]]*40%,0)</f>
        <v>0</v>
      </c>
      <c r="D3442" s="29">
        <f>ROUND(Balances[[#This Row],[Total]]*20%,0)</f>
        <v>0</v>
      </c>
      <c r="E3442" s="29">
        <f>ROUND(Balances[[#This Row],[Total]]*40%,0)</f>
        <v>0</v>
      </c>
      <c r="F3442" s="18">
        <f>SUM(Acueducto[[#This Row],[Acueducto]:[Aseo]])</f>
        <v>0</v>
      </c>
    </row>
    <row r="3443" spans="1:6" ht="15" x14ac:dyDescent="0.2">
      <c r="A3443" s="7">
        <v>790804</v>
      </c>
      <c r="B3443" s="3" t="s">
        <v>1438</v>
      </c>
      <c r="C3443" s="29">
        <f>ROUND(Balances[[#This Row],[Total]]*40%,0)</f>
        <v>0</v>
      </c>
      <c r="D3443" s="29">
        <f>ROUND(Balances[[#This Row],[Total]]*20%,0)</f>
        <v>0</v>
      </c>
      <c r="E3443" s="29">
        <f>ROUND(Balances[[#This Row],[Total]]*40%,0)</f>
        <v>0</v>
      </c>
      <c r="F3443" s="18">
        <f>SUM(Acueducto[[#This Row],[Acueducto]:[Aseo]])</f>
        <v>0</v>
      </c>
    </row>
    <row r="3444" spans="1:6" ht="15" x14ac:dyDescent="0.2">
      <c r="A3444" s="7">
        <v>790805</v>
      </c>
      <c r="B3444" s="3" t="s">
        <v>569</v>
      </c>
      <c r="C3444" s="29">
        <f>ROUND(Balances[[#This Row],[Total]]*40%,0)</f>
        <v>0</v>
      </c>
      <c r="D3444" s="29">
        <f>ROUND(Balances[[#This Row],[Total]]*20%,0)</f>
        <v>0</v>
      </c>
      <c r="E3444" s="29">
        <f>ROUND(Balances[[#This Row],[Total]]*40%,0)</f>
        <v>0</v>
      </c>
      <c r="F3444" s="18">
        <f>SUM(Acueducto[[#This Row],[Acueducto]:[Aseo]])</f>
        <v>0</v>
      </c>
    </row>
    <row r="3445" spans="1:6" ht="15" x14ac:dyDescent="0.2">
      <c r="A3445" s="7">
        <v>790806</v>
      </c>
      <c r="B3445" s="3" t="s">
        <v>1439</v>
      </c>
      <c r="C3445" s="29">
        <f>ROUND(Balances[[#This Row],[Total]]*40%,0)</f>
        <v>0</v>
      </c>
      <c r="D3445" s="29">
        <f>ROUND(Balances[[#This Row],[Total]]*20%,0)</f>
        <v>0</v>
      </c>
      <c r="E3445" s="29">
        <f>ROUND(Balances[[#This Row],[Total]]*40%,0)</f>
        <v>0</v>
      </c>
      <c r="F3445" s="18">
        <f>SUM(Acueducto[[#This Row],[Acueducto]:[Aseo]])</f>
        <v>0</v>
      </c>
    </row>
    <row r="3446" spans="1:6" ht="15" x14ac:dyDescent="0.2">
      <c r="A3446" s="7">
        <v>790807</v>
      </c>
      <c r="B3446" s="3" t="s">
        <v>1440</v>
      </c>
      <c r="C3446" s="29">
        <f>ROUND(Balances[[#This Row],[Total]]*40%,0)</f>
        <v>0</v>
      </c>
      <c r="D3446" s="29">
        <f>ROUND(Balances[[#This Row],[Total]]*20%,0)</f>
        <v>0</v>
      </c>
      <c r="E3446" s="29">
        <f>ROUND(Balances[[#This Row],[Total]]*40%,0)</f>
        <v>0</v>
      </c>
      <c r="F3446" s="18">
        <f>SUM(Acueducto[[#This Row],[Acueducto]:[Aseo]])</f>
        <v>0</v>
      </c>
    </row>
    <row r="3447" spans="1:6" ht="15" x14ac:dyDescent="0.2">
      <c r="A3447" s="7">
        <v>790808</v>
      </c>
      <c r="B3447" s="3" t="s">
        <v>1441</v>
      </c>
      <c r="C3447" s="29">
        <f>ROUND(Balances[[#This Row],[Total]]*40%,0)</f>
        <v>0</v>
      </c>
      <c r="D3447" s="29">
        <f>ROUND(Balances[[#This Row],[Total]]*20%,0)</f>
        <v>0</v>
      </c>
      <c r="E3447" s="29">
        <f>ROUND(Balances[[#This Row],[Total]]*40%,0)</f>
        <v>0</v>
      </c>
      <c r="F3447" s="18">
        <f>SUM(Acueducto[[#This Row],[Acueducto]:[Aseo]])</f>
        <v>0</v>
      </c>
    </row>
    <row r="3448" spans="1:6" ht="15" x14ac:dyDescent="0.2">
      <c r="A3448" s="7">
        <v>790809</v>
      </c>
      <c r="B3448" s="3" t="s">
        <v>1442</v>
      </c>
      <c r="C3448" s="29">
        <f>ROUND(Balances[[#This Row],[Total]]*40%,0)</f>
        <v>0</v>
      </c>
      <c r="D3448" s="29">
        <f>ROUND(Balances[[#This Row],[Total]]*20%,0)</f>
        <v>0</v>
      </c>
      <c r="E3448" s="29">
        <f>ROUND(Balances[[#This Row],[Total]]*40%,0)</f>
        <v>0</v>
      </c>
      <c r="F3448" s="18">
        <f>SUM(Acueducto[[#This Row],[Acueducto]:[Aseo]])</f>
        <v>0</v>
      </c>
    </row>
    <row r="3449" spans="1:6" ht="15" x14ac:dyDescent="0.2">
      <c r="A3449" s="7">
        <v>790810</v>
      </c>
      <c r="B3449" s="3" t="s">
        <v>1443</v>
      </c>
      <c r="C3449" s="29">
        <f>ROUND(Balances[[#This Row],[Total]]*40%,0)</f>
        <v>0</v>
      </c>
      <c r="D3449" s="29">
        <f>ROUND(Balances[[#This Row],[Total]]*20%,0)</f>
        <v>0</v>
      </c>
      <c r="E3449" s="29">
        <f>ROUND(Balances[[#This Row],[Total]]*40%,0)</f>
        <v>0</v>
      </c>
      <c r="F3449" s="18">
        <f>SUM(Acueducto[[#This Row],[Acueducto]:[Aseo]])</f>
        <v>0</v>
      </c>
    </row>
    <row r="3450" spans="1:6" ht="15" x14ac:dyDescent="0.2">
      <c r="A3450" s="7">
        <v>790895</v>
      </c>
      <c r="B3450" s="3" t="s">
        <v>1444</v>
      </c>
      <c r="C3450" s="29">
        <f>ROUND(Balances[[#This Row],[Total]]*40%,0)</f>
        <v>0</v>
      </c>
      <c r="D3450" s="29">
        <f>ROUND(Balances[[#This Row],[Total]]*20%,0)</f>
        <v>0</v>
      </c>
      <c r="E3450" s="29">
        <f>ROUND(Balances[[#This Row],[Total]]*40%,0)</f>
        <v>0</v>
      </c>
      <c r="F3450" s="18">
        <f>SUM(Acueducto[[#This Row],[Acueducto]:[Aseo]])</f>
        <v>0</v>
      </c>
    </row>
    <row r="3451" spans="1:6" ht="15" x14ac:dyDescent="0.2">
      <c r="A3451" s="6">
        <v>7910</v>
      </c>
      <c r="B3451" s="2" t="s">
        <v>1510</v>
      </c>
      <c r="C3451" s="28">
        <f>ROUND(Balances[[#This Row],[Total]]*40%,0)</f>
        <v>0</v>
      </c>
      <c r="D3451" s="28">
        <f>ROUND(Balances[[#This Row],[Total]]*20%,0)</f>
        <v>0</v>
      </c>
      <c r="E3451" s="28">
        <f>ROUND(Balances[[#This Row],[Total]]*40%,0)</f>
        <v>0</v>
      </c>
      <c r="F3451" s="17">
        <f>SUM(Acueducto[[#This Row],[Acueducto]:[Aseo]])</f>
        <v>0</v>
      </c>
    </row>
    <row r="3452" spans="1:6" ht="15" x14ac:dyDescent="0.2">
      <c r="A3452" s="7">
        <v>791001</v>
      </c>
      <c r="B3452" s="3" t="s">
        <v>1436</v>
      </c>
      <c r="C3452" s="29">
        <f>ROUND(Balances[[#This Row],[Total]]*40%,0)</f>
        <v>0</v>
      </c>
      <c r="D3452" s="29">
        <f>ROUND(Balances[[#This Row],[Total]]*20%,0)</f>
        <v>0</v>
      </c>
      <c r="E3452" s="29">
        <f>ROUND(Balances[[#This Row],[Total]]*40%,0)</f>
        <v>0</v>
      </c>
      <c r="F3452" s="18">
        <f>SUM(Acueducto[[#This Row],[Acueducto]:[Aseo]])</f>
        <v>0</v>
      </c>
    </row>
    <row r="3453" spans="1:6" ht="15" x14ac:dyDescent="0.2">
      <c r="A3453" s="7">
        <v>791002</v>
      </c>
      <c r="B3453" s="3" t="s">
        <v>1437</v>
      </c>
      <c r="C3453" s="29">
        <f>ROUND(Balances[[#This Row],[Total]]*40%,0)</f>
        <v>0</v>
      </c>
      <c r="D3453" s="29">
        <f>ROUND(Balances[[#This Row],[Total]]*20%,0)</f>
        <v>0</v>
      </c>
      <c r="E3453" s="29">
        <f>ROUND(Balances[[#This Row],[Total]]*40%,0)</f>
        <v>0</v>
      </c>
      <c r="F3453" s="18">
        <f>SUM(Acueducto[[#This Row],[Acueducto]:[Aseo]])</f>
        <v>0</v>
      </c>
    </row>
    <row r="3454" spans="1:6" ht="15" x14ac:dyDescent="0.2">
      <c r="A3454" s="7">
        <v>791003</v>
      </c>
      <c r="B3454" s="3" t="s">
        <v>568</v>
      </c>
      <c r="C3454" s="29">
        <f>ROUND(Balances[[#This Row],[Total]]*40%,0)</f>
        <v>0</v>
      </c>
      <c r="D3454" s="29">
        <f>ROUND(Balances[[#This Row],[Total]]*20%,0)</f>
        <v>0</v>
      </c>
      <c r="E3454" s="29">
        <f>ROUND(Balances[[#This Row],[Total]]*40%,0)</f>
        <v>0</v>
      </c>
      <c r="F3454" s="18">
        <f>SUM(Acueducto[[#This Row],[Acueducto]:[Aseo]])</f>
        <v>0</v>
      </c>
    </row>
    <row r="3455" spans="1:6" ht="15" x14ac:dyDescent="0.2">
      <c r="A3455" s="7">
        <v>791004</v>
      </c>
      <c r="B3455" s="3" t="s">
        <v>1438</v>
      </c>
      <c r="C3455" s="29">
        <f>ROUND(Balances[[#This Row],[Total]]*40%,0)</f>
        <v>0</v>
      </c>
      <c r="D3455" s="29">
        <f>ROUND(Balances[[#This Row],[Total]]*20%,0)</f>
        <v>0</v>
      </c>
      <c r="E3455" s="29">
        <f>ROUND(Balances[[#This Row],[Total]]*40%,0)</f>
        <v>0</v>
      </c>
      <c r="F3455" s="18">
        <f>SUM(Acueducto[[#This Row],[Acueducto]:[Aseo]])</f>
        <v>0</v>
      </c>
    </row>
    <row r="3456" spans="1:6" ht="15" x14ac:dyDescent="0.2">
      <c r="A3456" s="7">
        <v>791005</v>
      </c>
      <c r="B3456" s="3" t="s">
        <v>569</v>
      </c>
      <c r="C3456" s="29">
        <f>ROUND(Balances[[#This Row],[Total]]*40%,0)</f>
        <v>0</v>
      </c>
      <c r="D3456" s="29">
        <f>ROUND(Balances[[#This Row],[Total]]*20%,0)</f>
        <v>0</v>
      </c>
      <c r="E3456" s="29">
        <f>ROUND(Balances[[#This Row],[Total]]*40%,0)</f>
        <v>0</v>
      </c>
      <c r="F3456" s="18">
        <f>SUM(Acueducto[[#This Row],[Acueducto]:[Aseo]])</f>
        <v>0</v>
      </c>
    </row>
    <row r="3457" spans="1:6" ht="15" x14ac:dyDescent="0.2">
      <c r="A3457" s="7">
        <v>791006</v>
      </c>
      <c r="B3457" s="3" t="s">
        <v>1439</v>
      </c>
      <c r="C3457" s="29">
        <f>ROUND(Balances[[#This Row],[Total]]*40%,0)</f>
        <v>0</v>
      </c>
      <c r="D3457" s="29">
        <f>ROUND(Balances[[#This Row],[Total]]*20%,0)</f>
        <v>0</v>
      </c>
      <c r="E3457" s="29">
        <f>ROUND(Balances[[#This Row],[Total]]*40%,0)</f>
        <v>0</v>
      </c>
      <c r="F3457" s="18">
        <f>SUM(Acueducto[[#This Row],[Acueducto]:[Aseo]])</f>
        <v>0</v>
      </c>
    </row>
    <row r="3458" spans="1:6" ht="15" x14ac:dyDescent="0.2">
      <c r="A3458" s="7">
        <v>791007</v>
      </c>
      <c r="B3458" s="3" t="s">
        <v>1440</v>
      </c>
      <c r="C3458" s="29">
        <f>ROUND(Balances[[#This Row],[Total]]*40%,0)</f>
        <v>0</v>
      </c>
      <c r="D3458" s="29">
        <f>ROUND(Balances[[#This Row],[Total]]*20%,0)</f>
        <v>0</v>
      </c>
      <c r="E3458" s="29">
        <f>ROUND(Balances[[#This Row],[Total]]*40%,0)</f>
        <v>0</v>
      </c>
      <c r="F3458" s="18">
        <f>SUM(Acueducto[[#This Row],[Acueducto]:[Aseo]])</f>
        <v>0</v>
      </c>
    </row>
    <row r="3459" spans="1:6" ht="15" x14ac:dyDescent="0.2">
      <c r="A3459" s="7">
        <v>791008</v>
      </c>
      <c r="B3459" s="3" t="s">
        <v>1441</v>
      </c>
      <c r="C3459" s="29">
        <f>ROUND(Balances[[#This Row],[Total]]*40%,0)</f>
        <v>0</v>
      </c>
      <c r="D3459" s="29">
        <f>ROUND(Balances[[#This Row],[Total]]*20%,0)</f>
        <v>0</v>
      </c>
      <c r="E3459" s="29">
        <f>ROUND(Balances[[#This Row],[Total]]*40%,0)</f>
        <v>0</v>
      </c>
      <c r="F3459" s="18">
        <f>SUM(Acueducto[[#This Row],[Acueducto]:[Aseo]])</f>
        <v>0</v>
      </c>
    </row>
    <row r="3460" spans="1:6" ht="15" x14ac:dyDescent="0.2">
      <c r="A3460" s="7">
        <v>791009</v>
      </c>
      <c r="B3460" s="3" t="s">
        <v>1442</v>
      </c>
      <c r="C3460" s="29">
        <f>ROUND(Balances[[#This Row],[Total]]*40%,0)</f>
        <v>0</v>
      </c>
      <c r="D3460" s="29">
        <f>ROUND(Balances[[#This Row],[Total]]*20%,0)</f>
        <v>0</v>
      </c>
      <c r="E3460" s="29">
        <f>ROUND(Balances[[#This Row],[Total]]*40%,0)</f>
        <v>0</v>
      </c>
      <c r="F3460" s="18">
        <f>SUM(Acueducto[[#This Row],[Acueducto]:[Aseo]])</f>
        <v>0</v>
      </c>
    </row>
    <row r="3461" spans="1:6" ht="15" x14ac:dyDescent="0.2">
      <c r="A3461" s="7">
        <v>791010</v>
      </c>
      <c r="B3461" s="3" t="s">
        <v>1443</v>
      </c>
      <c r="C3461" s="29">
        <f>ROUND(Balances[[#This Row],[Total]]*40%,0)</f>
        <v>0</v>
      </c>
      <c r="D3461" s="29">
        <f>ROUND(Balances[[#This Row],[Total]]*20%,0)</f>
        <v>0</v>
      </c>
      <c r="E3461" s="29">
        <f>ROUND(Balances[[#This Row],[Total]]*40%,0)</f>
        <v>0</v>
      </c>
      <c r="F3461" s="18">
        <f>SUM(Acueducto[[#This Row],[Acueducto]:[Aseo]])</f>
        <v>0</v>
      </c>
    </row>
    <row r="3462" spans="1:6" ht="15" x14ac:dyDescent="0.2">
      <c r="A3462" s="7">
        <v>791095</v>
      </c>
      <c r="B3462" s="3" t="s">
        <v>1444</v>
      </c>
      <c r="C3462" s="29">
        <f>ROUND(Balances[[#This Row],[Total]]*40%,0)</f>
        <v>0</v>
      </c>
      <c r="D3462" s="29">
        <f>ROUND(Balances[[#This Row],[Total]]*20%,0)</f>
        <v>0</v>
      </c>
      <c r="E3462" s="29">
        <f>ROUND(Balances[[#This Row],[Total]]*40%,0)</f>
        <v>0</v>
      </c>
      <c r="F3462" s="18">
        <f>SUM(Acueducto[[#This Row],[Acueducto]:[Aseo]])</f>
        <v>0</v>
      </c>
    </row>
    <row r="3463" spans="1:6" ht="15" x14ac:dyDescent="0.2">
      <c r="A3463" s="6">
        <v>7911</v>
      </c>
      <c r="B3463" s="2" t="s">
        <v>1511</v>
      </c>
      <c r="C3463" s="28">
        <f>ROUND(Balances[[#This Row],[Total]]*40%,0)</f>
        <v>0</v>
      </c>
      <c r="D3463" s="28">
        <f>ROUND(Balances[[#This Row],[Total]]*20%,0)</f>
        <v>0</v>
      </c>
      <c r="E3463" s="28">
        <f>ROUND(Balances[[#This Row],[Total]]*40%,0)</f>
        <v>0</v>
      </c>
      <c r="F3463" s="17">
        <f>SUM(Acueducto[[#This Row],[Acueducto]:[Aseo]])</f>
        <v>0</v>
      </c>
    </row>
    <row r="3464" spans="1:6" ht="15" x14ac:dyDescent="0.2">
      <c r="A3464" s="7">
        <v>791101</v>
      </c>
      <c r="B3464" s="3" t="s">
        <v>1436</v>
      </c>
      <c r="C3464" s="29">
        <f>ROUND(Balances[[#This Row],[Total]]*40%,0)</f>
        <v>0</v>
      </c>
      <c r="D3464" s="29">
        <f>ROUND(Balances[[#This Row],[Total]]*20%,0)</f>
        <v>0</v>
      </c>
      <c r="E3464" s="29">
        <f>ROUND(Balances[[#This Row],[Total]]*40%,0)</f>
        <v>0</v>
      </c>
      <c r="F3464" s="18">
        <f>SUM(Acueducto[[#This Row],[Acueducto]:[Aseo]])</f>
        <v>0</v>
      </c>
    </row>
    <row r="3465" spans="1:6" ht="15" x14ac:dyDescent="0.2">
      <c r="A3465" s="7">
        <v>791102</v>
      </c>
      <c r="B3465" s="3" t="s">
        <v>1437</v>
      </c>
      <c r="C3465" s="29">
        <f>ROUND(Balances[[#This Row],[Total]]*40%,0)</f>
        <v>0</v>
      </c>
      <c r="D3465" s="29">
        <f>ROUND(Balances[[#This Row],[Total]]*20%,0)</f>
        <v>0</v>
      </c>
      <c r="E3465" s="29">
        <f>ROUND(Balances[[#This Row],[Total]]*40%,0)</f>
        <v>0</v>
      </c>
      <c r="F3465" s="18">
        <f>SUM(Acueducto[[#This Row],[Acueducto]:[Aseo]])</f>
        <v>0</v>
      </c>
    </row>
    <row r="3466" spans="1:6" ht="15" x14ac:dyDescent="0.2">
      <c r="A3466" s="7">
        <v>791103</v>
      </c>
      <c r="B3466" s="3" t="s">
        <v>568</v>
      </c>
      <c r="C3466" s="29">
        <f>ROUND(Balances[[#This Row],[Total]]*40%,0)</f>
        <v>0</v>
      </c>
      <c r="D3466" s="29">
        <f>ROUND(Balances[[#This Row],[Total]]*20%,0)</f>
        <v>0</v>
      </c>
      <c r="E3466" s="29">
        <f>ROUND(Balances[[#This Row],[Total]]*40%,0)</f>
        <v>0</v>
      </c>
      <c r="F3466" s="18">
        <f>SUM(Acueducto[[#This Row],[Acueducto]:[Aseo]])</f>
        <v>0</v>
      </c>
    </row>
    <row r="3467" spans="1:6" ht="15" x14ac:dyDescent="0.2">
      <c r="A3467" s="7">
        <v>791104</v>
      </c>
      <c r="B3467" s="3" t="s">
        <v>1438</v>
      </c>
      <c r="C3467" s="29">
        <f>ROUND(Balances[[#This Row],[Total]]*40%,0)</f>
        <v>0</v>
      </c>
      <c r="D3467" s="29">
        <f>ROUND(Balances[[#This Row],[Total]]*20%,0)</f>
        <v>0</v>
      </c>
      <c r="E3467" s="29">
        <f>ROUND(Balances[[#This Row],[Total]]*40%,0)</f>
        <v>0</v>
      </c>
      <c r="F3467" s="18">
        <f>SUM(Acueducto[[#This Row],[Acueducto]:[Aseo]])</f>
        <v>0</v>
      </c>
    </row>
    <row r="3468" spans="1:6" ht="15" x14ac:dyDescent="0.2">
      <c r="A3468" s="7">
        <v>791105</v>
      </c>
      <c r="B3468" s="3" t="s">
        <v>569</v>
      </c>
      <c r="C3468" s="29">
        <f>ROUND(Balances[[#This Row],[Total]]*40%,0)</f>
        <v>0</v>
      </c>
      <c r="D3468" s="29">
        <f>ROUND(Balances[[#This Row],[Total]]*20%,0)</f>
        <v>0</v>
      </c>
      <c r="E3468" s="29">
        <f>ROUND(Balances[[#This Row],[Total]]*40%,0)</f>
        <v>0</v>
      </c>
      <c r="F3468" s="18">
        <f>SUM(Acueducto[[#This Row],[Acueducto]:[Aseo]])</f>
        <v>0</v>
      </c>
    </row>
    <row r="3469" spans="1:6" ht="15" x14ac:dyDescent="0.2">
      <c r="A3469" s="7">
        <v>791106</v>
      </c>
      <c r="B3469" s="3" t="s">
        <v>1439</v>
      </c>
      <c r="C3469" s="29">
        <f>ROUND(Balances[[#This Row],[Total]]*40%,0)</f>
        <v>0</v>
      </c>
      <c r="D3469" s="29">
        <f>ROUND(Balances[[#This Row],[Total]]*20%,0)</f>
        <v>0</v>
      </c>
      <c r="E3469" s="29">
        <f>ROUND(Balances[[#This Row],[Total]]*40%,0)</f>
        <v>0</v>
      </c>
      <c r="F3469" s="18">
        <f>SUM(Acueducto[[#This Row],[Acueducto]:[Aseo]])</f>
        <v>0</v>
      </c>
    </row>
    <row r="3470" spans="1:6" ht="15" x14ac:dyDescent="0.2">
      <c r="A3470" s="7">
        <v>791107</v>
      </c>
      <c r="B3470" s="3" t="s">
        <v>1440</v>
      </c>
      <c r="C3470" s="29">
        <f>ROUND(Balances[[#This Row],[Total]]*40%,0)</f>
        <v>0</v>
      </c>
      <c r="D3470" s="29">
        <f>ROUND(Balances[[#This Row],[Total]]*20%,0)</f>
        <v>0</v>
      </c>
      <c r="E3470" s="29">
        <f>ROUND(Balances[[#This Row],[Total]]*40%,0)</f>
        <v>0</v>
      </c>
      <c r="F3470" s="18">
        <f>SUM(Acueducto[[#This Row],[Acueducto]:[Aseo]])</f>
        <v>0</v>
      </c>
    </row>
    <row r="3471" spans="1:6" ht="15" x14ac:dyDescent="0.2">
      <c r="A3471" s="7">
        <v>791108</v>
      </c>
      <c r="B3471" s="3" t="s">
        <v>1441</v>
      </c>
      <c r="C3471" s="29">
        <f>ROUND(Balances[[#This Row],[Total]]*40%,0)</f>
        <v>0</v>
      </c>
      <c r="D3471" s="29">
        <f>ROUND(Balances[[#This Row],[Total]]*20%,0)</f>
        <v>0</v>
      </c>
      <c r="E3471" s="29">
        <f>ROUND(Balances[[#This Row],[Total]]*40%,0)</f>
        <v>0</v>
      </c>
      <c r="F3471" s="18">
        <f>SUM(Acueducto[[#This Row],[Acueducto]:[Aseo]])</f>
        <v>0</v>
      </c>
    </row>
    <row r="3472" spans="1:6" ht="15" x14ac:dyDescent="0.2">
      <c r="A3472" s="7">
        <v>791109</v>
      </c>
      <c r="B3472" s="3" t="s">
        <v>1442</v>
      </c>
      <c r="C3472" s="29">
        <f>ROUND(Balances[[#This Row],[Total]]*40%,0)</f>
        <v>0</v>
      </c>
      <c r="D3472" s="29">
        <f>ROUND(Balances[[#This Row],[Total]]*20%,0)</f>
        <v>0</v>
      </c>
      <c r="E3472" s="29">
        <f>ROUND(Balances[[#This Row],[Total]]*40%,0)</f>
        <v>0</v>
      </c>
      <c r="F3472" s="18">
        <f>SUM(Acueducto[[#This Row],[Acueducto]:[Aseo]])</f>
        <v>0</v>
      </c>
    </row>
    <row r="3473" spans="1:6" ht="15" x14ac:dyDescent="0.2">
      <c r="A3473" s="7">
        <v>791110</v>
      </c>
      <c r="B3473" s="3" t="s">
        <v>1443</v>
      </c>
      <c r="C3473" s="29">
        <f>ROUND(Balances[[#This Row],[Total]]*40%,0)</f>
        <v>0</v>
      </c>
      <c r="D3473" s="29">
        <f>ROUND(Balances[[#This Row],[Total]]*20%,0)</f>
        <v>0</v>
      </c>
      <c r="E3473" s="29">
        <f>ROUND(Balances[[#This Row],[Total]]*40%,0)</f>
        <v>0</v>
      </c>
      <c r="F3473" s="18">
        <f>SUM(Acueducto[[#This Row],[Acueducto]:[Aseo]])</f>
        <v>0</v>
      </c>
    </row>
    <row r="3474" spans="1:6" ht="15" x14ac:dyDescent="0.2">
      <c r="A3474" s="7">
        <v>791195</v>
      </c>
      <c r="B3474" s="3" t="s">
        <v>1444</v>
      </c>
      <c r="C3474" s="29">
        <f>ROUND(Balances[[#This Row],[Total]]*40%,0)</f>
        <v>0</v>
      </c>
      <c r="D3474" s="29">
        <f>ROUND(Balances[[#This Row],[Total]]*20%,0)</f>
        <v>0</v>
      </c>
      <c r="E3474" s="29">
        <f>ROUND(Balances[[#This Row],[Total]]*40%,0)</f>
        <v>0</v>
      </c>
      <c r="F3474" s="18">
        <f>SUM(Acueducto[[#This Row],[Acueducto]:[Aseo]])</f>
        <v>0</v>
      </c>
    </row>
    <row r="3475" spans="1:6" ht="15" x14ac:dyDescent="0.2">
      <c r="A3475" s="6">
        <v>7912</v>
      </c>
      <c r="B3475" s="2" t="s">
        <v>1512</v>
      </c>
      <c r="C3475" s="28">
        <f>ROUND(Balances[[#This Row],[Total]]*40%,0)</f>
        <v>0</v>
      </c>
      <c r="D3475" s="28">
        <f>ROUND(Balances[[#This Row],[Total]]*20%,0)</f>
        <v>0</v>
      </c>
      <c r="E3475" s="28">
        <f>ROUND(Balances[[#This Row],[Total]]*40%,0)</f>
        <v>0</v>
      </c>
      <c r="F3475" s="17">
        <f>SUM(Acueducto[[#This Row],[Acueducto]:[Aseo]])</f>
        <v>0</v>
      </c>
    </row>
    <row r="3476" spans="1:6" ht="15" x14ac:dyDescent="0.2">
      <c r="A3476" s="7">
        <v>791201</v>
      </c>
      <c r="B3476" s="3" t="s">
        <v>1436</v>
      </c>
      <c r="C3476" s="29">
        <f>ROUND(Balances[[#This Row],[Total]]*40%,0)</f>
        <v>0</v>
      </c>
      <c r="D3476" s="29">
        <f>ROUND(Balances[[#This Row],[Total]]*20%,0)</f>
        <v>0</v>
      </c>
      <c r="E3476" s="29">
        <f>ROUND(Balances[[#This Row],[Total]]*40%,0)</f>
        <v>0</v>
      </c>
      <c r="F3476" s="18">
        <f>SUM(Acueducto[[#This Row],[Acueducto]:[Aseo]])</f>
        <v>0</v>
      </c>
    </row>
    <row r="3477" spans="1:6" ht="15" x14ac:dyDescent="0.2">
      <c r="A3477" s="7">
        <v>791202</v>
      </c>
      <c r="B3477" s="3" t="s">
        <v>1437</v>
      </c>
      <c r="C3477" s="29">
        <f>ROUND(Balances[[#This Row],[Total]]*40%,0)</f>
        <v>0</v>
      </c>
      <c r="D3477" s="29">
        <f>ROUND(Balances[[#This Row],[Total]]*20%,0)</f>
        <v>0</v>
      </c>
      <c r="E3477" s="29">
        <f>ROUND(Balances[[#This Row],[Total]]*40%,0)</f>
        <v>0</v>
      </c>
      <c r="F3477" s="18">
        <f>SUM(Acueducto[[#This Row],[Acueducto]:[Aseo]])</f>
        <v>0</v>
      </c>
    </row>
    <row r="3478" spans="1:6" ht="15" x14ac:dyDescent="0.2">
      <c r="A3478" s="7">
        <v>791203</v>
      </c>
      <c r="B3478" s="3" t="s">
        <v>568</v>
      </c>
      <c r="C3478" s="29">
        <f>ROUND(Balances[[#This Row],[Total]]*40%,0)</f>
        <v>0</v>
      </c>
      <c r="D3478" s="29">
        <f>ROUND(Balances[[#This Row],[Total]]*20%,0)</f>
        <v>0</v>
      </c>
      <c r="E3478" s="29">
        <f>ROUND(Balances[[#This Row],[Total]]*40%,0)</f>
        <v>0</v>
      </c>
      <c r="F3478" s="18">
        <f>SUM(Acueducto[[#This Row],[Acueducto]:[Aseo]])</f>
        <v>0</v>
      </c>
    </row>
    <row r="3479" spans="1:6" ht="15" x14ac:dyDescent="0.2">
      <c r="A3479" s="7">
        <v>791204</v>
      </c>
      <c r="B3479" s="3" t="s">
        <v>1438</v>
      </c>
      <c r="C3479" s="29">
        <f>ROUND(Balances[[#This Row],[Total]]*40%,0)</f>
        <v>0</v>
      </c>
      <c r="D3479" s="29">
        <f>ROUND(Balances[[#This Row],[Total]]*20%,0)</f>
        <v>0</v>
      </c>
      <c r="E3479" s="29">
        <f>ROUND(Balances[[#This Row],[Total]]*40%,0)</f>
        <v>0</v>
      </c>
      <c r="F3479" s="18">
        <f>SUM(Acueducto[[#This Row],[Acueducto]:[Aseo]])</f>
        <v>0</v>
      </c>
    </row>
    <row r="3480" spans="1:6" ht="15" x14ac:dyDescent="0.2">
      <c r="A3480" s="7">
        <v>791205</v>
      </c>
      <c r="B3480" s="3" t="s">
        <v>569</v>
      </c>
      <c r="C3480" s="29">
        <f>ROUND(Balances[[#This Row],[Total]]*40%,0)</f>
        <v>0</v>
      </c>
      <c r="D3480" s="29">
        <f>ROUND(Balances[[#This Row],[Total]]*20%,0)</f>
        <v>0</v>
      </c>
      <c r="E3480" s="29">
        <f>ROUND(Balances[[#This Row],[Total]]*40%,0)</f>
        <v>0</v>
      </c>
      <c r="F3480" s="18">
        <f>SUM(Acueducto[[#This Row],[Acueducto]:[Aseo]])</f>
        <v>0</v>
      </c>
    </row>
    <row r="3481" spans="1:6" ht="15" x14ac:dyDescent="0.2">
      <c r="A3481" s="7">
        <v>791206</v>
      </c>
      <c r="B3481" s="3" t="s">
        <v>1439</v>
      </c>
      <c r="C3481" s="29">
        <f>ROUND(Balances[[#This Row],[Total]]*40%,0)</f>
        <v>0</v>
      </c>
      <c r="D3481" s="29">
        <f>ROUND(Balances[[#This Row],[Total]]*20%,0)</f>
        <v>0</v>
      </c>
      <c r="E3481" s="29">
        <f>ROUND(Balances[[#This Row],[Total]]*40%,0)</f>
        <v>0</v>
      </c>
      <c r="F3481" s="18">
        <f>SUM(Acueducto[[#This Row],[Acueducto]:[Aseo]])</f>
        <v>0</v>
      </c>
    </row>
    <row r="3482" spans="1:6" ht="15" x14ac:dyDescent="0.2">
      <c r="A3482" s="7">
        <v>791207</v>
      </c>
      <c r="B3482" s="3" t="s">
        <v>1440</v>
      </c>
      <c r="C3482" s="29">
        <f>ROUND(Balances[[#This Row],[Total]]*40%,0)</f>
        <v>0</v>
      </c>
      <c r="D3482" s="29">
        <f>ROUND(Balances[[#This Row],[Total]]*20%,0)</f>
        <v>0</v>
      </c>
      <c r="E3482" s="29">
        <f>ROUND(Balances[[#This Row],[Total]]*40%,0)</f>
        <v>0</v>
      </c>
      <c r="F3482" s="18">
        <f>SUM(Acueducto[[#This Row],[Acueducto]:[Aseo]])</f>
        <v>0</v>
      </c>
    </row>
    <row r="3483" spans="1:6" ht="15" x14ac:dyDescent="0.2">
      <c r="A3483" s="7">
        <v>791208</v>
      </c>
      <c r="B3483" s="3" t="s">
        <v>1441</v>
      </c>
      <c r="C3483" s="29">
        <f>ROUND(Balances[[#This Row],[Total]]*40%,0)</f>
        <v>0</v>
      </c>
      <c r="D3483" s="29">
        <f>ROUND(Balances[[#This Row],[Total]]*20%,0)</f>
        <v>0</v>
      </c>
      <c r="E3483" s="29">
        <f>ROUND(Balances[[#This Row],[Total]]*40%,0)</f>
        <v>0</v>
      </c>
      <c r="F3483" s="18">
        <f>SUM(Acueducto[[#This Row],[Acueducto]:[Aseo]])</f>
        <v>0</v>
      </c>
    </row>
    <row r="3484" spans="1:6" ht="15" x14ac:dyDescent="0.2">
      <c r="A3484" s="7">
        <v>791209</v>
      </c>
      <c r="B3484" s="3" t="s">
        <v>1442</v>
      </c>
      <c r="C3484" s="29">
        <f>ROUND(Balances[[#This Row],[Total]]*40%,0)</f>
        <v>0</v>
      </c>
      <c r="D3484" s="29">
        <f>ROUND(Balances[[#This Row],[Total]]*20%,0)</f>
        <v>0</v>
      </c>
      <c r="E3484" s="29">
        <f>ROUND(Balances[[#This Row],[Total]]*40%,0)</f>
        <v>0</v>
      </c>
      <c r="F3484" s="18">
        <f>SUM(Acueducto[[#This Row],[Acueducto]:[Aseo]])</f>
        <v>0</v>
      </c>
    </row>
    <row r="3485" spans="1:6" ht="15" x14ac:dyDescent="0.2">
      <c r="A3485" s="7">
        <v>791210</v>
      </c>
      <c r="B3485" s="3" t="s">
        <v>1443</v>
      </c>
      <c r="C3485" s="29">
        <f>ROUND(Balances[[#This Row],[Total]]*40%,0)</f>
        <v>0</v>
      </c>
      <c r="D3485" s="29">
        <f>ROUND(Balances[[#This Row],[Total]]*20%,0)</f>
        <v>0</v>
      </c>
      <c r="E3485" s="29">
        <f>ROUND(Balances[[#This Row],[Total]]*40%,0)</f>
        <v>0</v>
      </c>
      <c r="F3485" s="18">
        <f>SUM(Acueducto[[#This Row],[Acueducto]:[Aseo]])</f>
        <v>0</v>
      </c>
    </row>
    <row r="3486" spans="1:6" ht="15" x14ac:dyDescent="0.2">
      <c r="A3486" s="7">
        <v>791295</v>
      </c>
      <c r="B3486" s="3" t="s">
        <v>1444</v>
      </c>
      <c r="C3486" s="29">
        <f>ROUND(Balances[[#This Row],[Total]]*40%,0)</f>
        <v>0</v>
      </c>
      <c r="D3486" s="29">
        <f>ROUND(Balances[[#This Row],[Total]]*20%,0)</f>
        <v>0</v>
      </c>
      <c r="E3486" s="29">
        <f>ROUND(Balances[[#This Row],[Total]]*40%,0)</f>
        <v>0</v>
      </c>
      <c r="F3486" s="18">
        <f>SUM(Acueducto[[#This Row],[Acueducto]:[Aseo]])</f>
        <v>0</v>
      </c>
    </row>
    <row r="3487" spans="1:6" ht="15" x14ac:dyDescent="0.2">
      <c r="A3487" s="6">
        <v>7990</v>
      </c>
      <c r="B3487" s="2" t="s">
        <v>1146</v>
      </c>
      <c r="C3487" s="28">
        <f>ROUND(Balances[[#This Row],[Total]]*40%,0)</f>
        <v>0</v>
      </c>
      <c r="D3487" s="28">
        <f>ROUND(Balances[[#This Row],[Total]]*20%,0)</f>
        <v>0</v>
      </c>
      <c r="E3487" s="28">
        <f>ROUND(Balances[[#This Row],[Total]]*40%,0)</f>
        <v>0</v>
      </c>
      <c r="F3487" s="17">
        <f>SUM(Acueducto[[#This Row],[Acueducto]:[Aseo]])</f>
        <v>0</v>
      </c>
    </row>
    <row r="3488" spans="1:6" ht="15" x14ac:dyDescent="0.2">
      <c r="A3488" s="7">
        <v>799001</v>
      </c>
      <c r="B3488" s="3" t="s">
        <v>1436</v>
      </c>
      <c r="C3488" s="29">
        <f>ROUND(Balances[[#This Row],[Total]]*40%,0)</f>
        <v>0</v>
      </c>
      <c r="D3488" s="29">
        <f>ROUND(Balances[[#This Row],[Total]]*20%,0)</f>
        <v>0</v>
      </c>
      <c r="E3488" s="29">
        <f>ROUND(Balances[[#This Row],[Total]]*40%,0)</f>
        <v>0</v>
      </c>
      <c r="F3488" s="18">
        <f>SUM(Acueducto[[#This Row],[Acueducto]:[Aseo]])</f>
        <v>0</v>
      </c>
    </row>
    <row r="3489" spans="1:6" ht="15" x14ac:dyDescent="0.2">
      <c r="A3489" s="7">
        <v>799002</v>
      </c>
      <c r="B3489" s="3" t="s">
        <v>1437</v>
      </c>
      <c r="C3489" s="29">
        <f>ROUND(Balances[[#This Row],[Total]]*40%,0)</f>
        <v>0</v>
      </c>
      <c r="D3489" s="29">
        <f>ROUND(Balances[[#This Row],[Total]]*20%,0)</f>
        <v>0</v>
      </c>
      <c r="E3489" s="29">
        <f>ROUND(Balances[[#This Row],[Total]]*40%,0)</f>
        <v>0</v>
      </c>
      <c r="F3489" s="18">
        <f>SUM(Acueducto[[#This Row],[Acueducto]:[Aseo]])</f>
        <v>0</v>
      </c>
    </row>
    <row r="3490" spans="1:6" ht="15" x14ac:dyDescent="0.2">
      <c r="A3490" s="7">
        <v>799003</v>
      </c>
      <c r="B3490" s="3" t="s">
        <v>568</v>
      </c>
      <c r="C3490" s="29">
        <f>ROUND(Balances[[#This Row],[Total]]*40%,0)</f>
        <v>0</v>
      </c>
      <c r="D3490" s="29">
        <f>ROUND(Balances[[#This Row],[Total]]*20%,0)</f>
        <v>0</v>
      </c>
      <c r="E3490" s="29">
        <f>ROUND(Balances[[#This Row],[Total]]*40%,0)</f>
        <v>0</v>
      </c>
      <c r="F3490" s="18">
        <f>SUM(Acueducto[[#This Row],[Acueducto]:[Aseo]])</f>
        <v>0</v>
      </c>
    </row>
    <row r="3491" spans="1:6" ht="15" x14ac:dyDescent="0.2">
      <c r="A3491" s="7">
        <v>799004</v>
      </c>
      <c r="B3491" s="3" t="s">
        <v>1438</v>
      </c>
      <c r="C3491" s="29">
        <f>ROUND(Balances[[#This Row],[Total]]*40%,0)</f>
        <v>0</v>
      </c>
      <c r="D3491" s="29">
        <f>ROUND(Balances[[#This Row],[Total]]*20%,0)</f>
        <v>0</v>
      </c>
      <c r="E3491" s="29">
        <f>ROUND(Balances[[#This Row],[Total]]*40%,0)</f>
        <v>0</v>
      </c>
      <c r="F3491" s="18">
        <f>SUM(Acueducto[[#This Row],[Acueducto]:[Aseo]])</f>
        <v>0</v>
      </c>
    </row>
    <row r="3492" spans="1:6" ht="15" x14ac:dyDescent="0.2">
      <c r="A3492" s="7">
        <v>799005</v>
      </c>
      <c r="B3492" s="3" t="s">
        <v>569</v>
      </c>
      <c r="C3492" s="29">
        <f>ROUND(Balances[[#This Row],[Total]]*40%,0)</f>
        <v>0</v>
      </c>
      <c r="D3492" s="29">
        <f>ROUND(Balances[[#This Row],[Total]]*20%,0)</f>
        <v>0</v>
      </c>
      <c r="E3492" s="29">
        <f>ROUND(Balances[[#This Row],[Total]]*40%,0)</f>
        <v>0</v>
      </c>
      <c r="F3492" s="18">
        <f>SUM(Acueducto[[#This Row],[Acueducto]:[Aseo]])</f>
        <v>0</v>
      </c>
    </row>
    <row r="3493" spans="1:6" ht="15" x14ac:dyDescent="0.2">
      <c r="A3493" s="7">
        <v>799006</v>
      </c>
      <c r="B3493" s="3" t="s">
        <v>1439</v>
      </c>
      <c r="C3493" s="29">
        <f>ROUND(Balances[[#This Row],[Total]]*40%,0)</f>
        <v>0</v>
      </c>
      <c r="D3493" s="29">
        <f>ROUND(Balances[[#This Row],[Total]]*20%,0)</f>
        <v>0</v>
      </c>
      <c r="E3493" s="29">
        <f>ROUND(Balances[[#This Row],[Total]]*40%,0)</f>
        <v>0</v>
      </c>
      <c r="F3493" s="18">
        <f>SUM(Acueducto[[#This Row],[Acueducto]:[Aseo]])</f>
        <v>0</v>
      </c>
    </row>
    <row r="3494" spans="1:6" ht="15" x14ac:dyDescent="0.2">
      <c r="A3494" s="7">
        <v>799007</v>
      </c>
      <c r="B3494" s="3" t="s">
        <v>1440</v>
      </c>
      <c r="C3494" s="29">
        <f>ROUND(Balances[[#This Row],[Total]]*40%,0)</f>
        <v>0</v>
      </c>
      <c r="D3494" s="29">
        <f>ROUND(Balances[[#This Row],[Total]]*20%,0)</f>
        <v>0</v>
      </c>
      <c r="E3494" s="29">
        <f>ROUND(Balances[[#This Row],[Total]]*40%,0)</f>
        <v>0</v>
      </c>
      <c r="F3494" s="18">
        <f>SUM(Acueducto[[#This Row],[Acueducto]:[Aseo]])</f>
        <v>0</v>
      </c>
    </row>
    <row r="3495" spans="1:6" ht="15" x14ac:dyDescent="0.2">
      <c r="A3495" s="7">
        <v>799008</v>
      </c>
      <c r="B3495" s="3" t="s">
        <v>1441</v>
      </c>
      <c r="C3495" s="29">
        <f>ROUND(Balances[[#This Row],[Total]]*40%,0)</f>
        <v>0</v>
      </c>
      <c r="D3495" s="29">
        <f>ROUND(Balances[[#This Row],[Total]]*20%,0)</f>
        <v>0</v>
      </c>
      <c r="E3495" s="29">
        <f>ROUND(Balances[[#This Row],[Total]]*40%,0)</f>
        <v>0</v>
      </c>
      <c r="F3495" s="18">
        <f>SUM(Acueducto[[#This Row],[Acueducto]:[Aseo]])</f>
        <v>0</v>
      </c>
    </row>
    <row r="3496" spans="1:6" ht="15" x14ac:dyDescent="0.2">
      <c r="A3496" s="7">
        <v>799009</v>
      </c>
      <c r="B3496" s="3" t="s">
        <v>1442</v>
      </c>
      <c r="C3496" s="29">
        <f>ROUND(Balances[[#This Row],[Total]]*40%,0)</f>
        <v>0</v>
      </c>
      <c r="D3496" s="29">
        <f>ROUND(Balances[[#This Row],[Total]]*20%,0)</f>
        <v>0</v>
      </c>
      <c r="E3496" s="29">
        <f>ROUND(Balances[[#This Row],[Total]]*40%,0)</f>
        <v>0</v>
      </c>
      <c r="F3496" s="18">
        <f>SUM(Acueducto[[#This Row],[Acueducto]:[Aseo]])</f>
        <v>0</v>
      </c>
    </row>
    <row r="3497" spans="1:6" ht="15" x14ac:dyDescent="0.2">
      <c r="A3497" s="7">
        <v>799010</v>
      </c>
      <c r="B3497" s="3" t="s">
        <v>1443</v>
      </c>
      <c r="C3497" s="29">
        <f>ROUND(Balances[[#This Row],[Total]]*40%,0)</f>
        <v>0</v>
      </c>
      <c r="D3497" s="29">
        <f>ROUND(Balances[[#This Row],[Total]]*20%,0)</f>
        <v>0</v>
      </c>
      <c r="E3497" s="29">
        <f>ROUND(Balances[[#This Row],[Total]]*40%,0)</f>
        <v>0</v>
      </c>
      <c r="F3497" s="18">
        <f>SUM(Acueducto[[#This Row],[Acueducto]:[Aseo]])</f>
        <v>0</v>
      </c>
    </row>
    <row r="3498" spans="1:6" ht="15" x14ac:dyDescent="0.2">
      <c r="A3498" s="7">
        <v>799095</v>
      </c>
      <c r="B3498" s="3" t="s">
        <v>1444</v>
      </c>
      <c r="C3498" s="29">
        <f>ROUND(Balances[[#This Row],[Total]]*40%,0)</f>
        <v>0</v>
      </c>
      <c r="D3498" s="29">
        <f>ROUND(Balances[[#This Row],[Total]]*20%,0)</f>
        <v>0</v>
      </c>
      <c r="E3498" s="29">
        <f>ROUND(Balances[[#This Row],[Total]]*40%,0)</f>
        <v>0</v>
      </c>
      <c r="F3498" s="18">
        <f>SUM(Acueducto[[#This Row],[Acueducto]:[Aseo]])</f>
        <v>0</v>
      </c>
    </row>
    <row r="3499" spans="1:6" ht="15" x14ac:dyDescent="0.2">
      <c r="A3499" s="6">
        <v>8</v>
      </c>
      <c r="B3499" s="2" t="s">
        <v>1513</v>
      </c>
      <c r="C3499" s="28">
        <f>ROUND(Balances[[#This Row],[Total]]*40%,0)</f>
        <v>0</v>
      </c>
      <c r="D3499" s="28">
        <f>ROUND(Balances[[#This Row],[Total]]*20%,0)</f>
        <v>0</v>
      </c>
      <c r="E3499" s="28">
        <f>ROUND(Balances[[#This Row],[Total]]*40%,0)</f>
        <v>0</v>
      </c>
      <c r="F3499" s="17">
        <f>SUM(Acueducto[[#This Row],[Acueducto]:[Aseo]])</f>
        <v>0</v>
      </c>
    </row>
    <row r="3500" spans="1:6" ht="15" x14ac:dyDescent="0.2">
      <c r="A3500" s="6">
        <v>81</v>
      </c>
      <c r="B3500" s="2" t="s">
        <v>1514</v>
      </c>
      <c r="C3500" s="28">
        <f>ROUND(Balances[[#This Row],[Total]]*40%,0)</f>
        <v>0</v>
      </c>
      <c r="D3500" s="28">
        <f>ROUND(Balances[[#This Row],[Total]]*20%,0)</f>
        <v>0</v>
      </c>
      <c r="E3500" s="28">
        <f>ROUND(Balances[[#This Row],[Total]]*40%,0)</f>
        <v>0</v>
      </c>
      <c r="F3500" s="17">
        <f>SUM(Acueducto[[#This Row],[Acueducto]:[Aseo]])</f>
        <v>0</v>
      </c>
    </row>
    <row r="3501" spans="1:6" ht="15" x14ac:dyDescent="0.2">
      <c r="A3501" s="6">
        <v>8120</v>
      </c>
      <c r="B3501" s="2" t="s">
        <v>1515</v>
      </c>
      <c r="C3501" s="28">
        <f>ROUND(Balances[[#This Row],[Total]]*40%,0)</f>
        <v>0</v>
      </c>
      <c r="D3501" s="28">
        <f>ROUND(Balances[[#This Row],[Total]]*20%,0)</f>
        <v>0</v>
      </c>
      <c r="E3501" s="28">
        <f>ROUND(Balances[[#This Row],[Total]]*40%,0)</f>
        <v>0</v>
      </c>
      <c r="F3501" s="17">
        <f>SUM(Acueducto[[#This Row],[Acueducto]:[Aseo]])</f>
        <v>0</v>
      </c>
    </row>
    <row r="3502" spans="1:6" ht="15" x14ac:dyDescent="0.2">
      <c r="A3502" s="7">
        <v>812001</v>
      </c>
      <c r="B3502" s="3" t="s">
        <v>912</v>
      </c>
      <c r="C3502" s="29">
        <f>ROUND(Balances[[#This Row],[Total]]*40%,0)</f>
        <v>0</v>
      </c>
      <c r="D3502" s="29">
        <f>ROUND(Balances[[#This Row],[Total]]*20%,0)</f>
        <v>0</v>
      </c>
      <c r="E3502" s="29">
        <f>ROUND(Balances[[#This Row],[Total]]*40%,0)</f>
        <v>0</v>
      </c>
      <c r="F3502" s="18">
        <f>SUM(Acueducto[[#This Row],[Acueducto]:[Aseo]])</f>
        <v>0</v>
      </c>
    </row>
    <row r="3503" spans="1:6" ht="15" x14ac:dyDescent="0.2">
      <c r="A3503" s="7">
        <v>812002</v>
      </c>
      <c r="B3503" s="3" t="s">
        <v>916</v>
      </c>
      <c r="C3503" s="29">
        <f>ROUND(Balances[[#This Row],[Total]]*40%,0)</f>
        <v>0</v>
      </c>
      <c r="D3503" s="29">
        <f>ROUND(Balances[[#This Row],[Total]]*20%,0)</f>
        <v>0</v>
      </c>
      <c r="E3503" s="29">
        <f>ROUND(Balances[[#This Row],[Total]]*40%,0)</f>
        <v>0</v>
      </c>
      <c r="F3503" s="18">
        <f>SUM(Acueducto[[#This Row],[Acueducto]:[Aseo]])</f>
        <v>0</v>
      </c>
    </row>
    <row r="3504" spans="1:6" ht="15" x14ac:dyDescent="0.2">
      <c r="A3504" s="7">
        <v>812003</v>
      </c>
      <c r="B3504" s="3" t="s">
        <v>913</v>
      </c>
      <c r="C3504" s="29">
        <f>ROUND(Balances[[#This Row],[Total]]*40%,0)</f>
        <v>0</v>
      </c>
      <c r="D3504" s="29">
        <f>ROUND(Balances[[#This Row],[Total]]*20%,0)</f>
        <v>0</v>
      </c>
      <c r="E3504" s="29">
        <f>ROUND(Balances[[#This Row],[Total]]*40%,0)</f>
        <v>0</v>
      </c>
      <c r="F3504" s="18">
        <f>SUM(Acueducto[[#This Row],[Acueducto]:[Aseo]])</f>
        <v>0</v>
      </c>
    </row>
    <row r="3505" spans="1:6" ht="15" x14ac:dyDescent="0.2">
      <c r="A3505" s="7">
        <v>812004</v>
      </c>
      <c r="B3505" s="3" t="s">
        <v>914</v>
      </c>
      <c r="C3505" s="29">
        <f>ROUND(Balances[[#This Row],[Total]]*40%,0)</f>
        <v>0</v>
      </c>
      <c r="D3505" s="29">
        <f>ROUND(Balances[[#This Row],[Total]]*20%,0)</f>
        <v>0</v>
      </c>
      <c r="E3505" s="29">
        <f>ROUND(Balances[[#This Row],[Total]]*40%,0)</f>
        <v>0</v>
      </c>
      <c r="F3505" s="18">
        <f>SUM(Acueducto[[#This Row],[Acueducto]:[Aseo]])</f>
        <v>0</v>
      </c>
    </row>
    <row r="3506" spans="1:6" ht="15" x14ac:dyDescent="0.2">
      <c r="A3506" s="7">
        <v>812005</v>
      </c>
      <c r="B3506" s="3" t="s">
        <v>1516</v>
      </c>
      <c r="C3506" s="29">
        <f>ROUND(Balances[[#This Row],[Total]]*40%,0)</f>
        <v>0</v>
      </c>
      <c r="D3506" s="29">
        <f>ROUND(Balances[[#This Row],[Total]]*20%,0)</f>
        <v>0</v>
      </c>
      <c r="E3506" s="29">
        <f>ROUND(Balances[[#This Row],[Total]]*40%,0)</f>
        <v>0</v>
      </c>
      <c r="F3506" s="18">
        <f>SUM(Acueducto[[#This Row],[Acueducto]:[Aseo]])</f>
        <v>0</v>
      </c>
    </row>
    <row r="3507" spans="1:6" ht="15" x14ac:dyDescent="0.2">
      <c r="A3507" s="7">
        <v>812090</v>
      </c>
      <c r="B3507" s="3" t="s">
        <v>1517</v>
      </c>
      <c r="C3507" s="29">
        <f>ROUND(Balances[[#This Row],[Total]]*40%,0)</f>
        <v>0</v>
      </c>
      <c r="D3507" s="29">
        <f>ROUND(Balances[[#This Row],[Total]]*20%,0)</f>
        <v>0</v>
      </c>
      <c r="E3507" s="29">
        <f>ROUND(Balances[[#This Row],[Total]]*40%,0)</f>
        <v>0</v>
      </c>
      <c r="F3507" s="18">
        <f>SUM(Acueducto[[#This Row],[Acueducto]:[Aseo]])</f>
        <v>0</v>
      </c>
    </row>
    <row r="3508" spans="1:6" ht="15" x14ac:dyDescent="0.2">
      <c r="A3508" s="6">
        <v>8128</v>
      </c>
      <c r="B3508" s="2" t="s">
        <v>1518</v>
      </c>
      <c r="C3508" s="28">
        <f>ROUND(Balances[[#This Row],[Total]]*40%,0)</f>
        <v>0</v>
      </c>
      <c r="D3508" s="28">
        <f>ROUND(Balances[[#This Row],[Total]]*20%,0)</f>
        <v>0</v>
      </c>
      <c r="E3508" s="28">
        <f>ROUND(Balances[[#This Row],[Total]]*40%,0)</f>
        <v>0</v>
      </c>
      <c r="F3508" s="17">
        <f>SUM(Acueducto[[#This Row],[Acueducto]:[Aseo]])</f>
        <v>0</v>
      </c>
    </row>
    <row r="3509" spans="1:6" ht="15" x14ac:dyDescent="0.2">
      <c r="A3509" s="7">
        <v>812801</v>
      </c>
      <c r="B3509" s="3" t="s">
        <v>1519</v>
      </c>
      <c r="C3509" s="29">
        <f>ROUND(Balances[[#This Row],[Total]]*40%,0)</f>
        <v>0</v>
      </c>
      <c r="D3509" s="29">
        <f>ROUND(Balances[[#This Row],[Total]]*20%,0)</f>
        <v>0</v>
      </c>
      <c r="E3509" s="29">
        <f>ROUND(Balances[[#This Row],[Total]]*40%,0)</f>
        <v>0</v>
      </c>
      <c r="F3509" s="18">
        <f>SUM(Acueducto[[#This Row],[Acueducto]:[Aseo]])</f>
        <v>0</v>
      </c>
    </row>
    <row r="3510" spans="1:6" ht="15" x14ac:dyDescent="0.2">
      <c r="A3510" s="7">
        <v>812802</v>
      </c>
      <c r="B3510" s="3" t="s">
        <v>1520</v>
      </c>
      <c r="C3510" s="29">
        <f>ROUND(Balances[[#This Row],[Total]]*40%,0)</f>
        <v>0</v>
      </c>
      <c r="D3510" s="29">
        <f>ROUND(Balances[[#This Row],[Total]]*20%,0)</f>
        <v>0</v>
      </c>
      <c r="E3510" s="29">
        <f>ROUND(Balances[[#This Row],[Total]]*40%,0)</f>
        <v>0</v>
      </c>
      <c r="F3510" s="18">
        <f>SUM(Acueducto[[#This Row],[Acueducto]:[Aseo]])</f>
        <v>0</v>
      </c>
    </row>
    <row r="3511" spans="1:6" ht="15" x14ac:dyDescent="0.2">
      <c r="A3511" s="7">
        <v>812803</v>
      </c>
      <c r="B3511" s="3" t="s">
        <v>1521</v>
      </c>
      <c r="C3511" s="29">
        <f>ROUND(Balances[[#This Row],[Total]]*40%,0)</f>
        <v>0</v>
      </c>
      <c r="D3511" s="29">
        <f>ROUND(Balances[[#This Row],[Total]]*20%,0)</f>
        <v>0</v>
      </c>
      <c r="E3511" s="29">
        <f>ROUND(Balances[[#This Row],[Total]]*40%,0)</f>
        <v>0</v>
      </c>
      <c r="F3511" s="18">
        <f>SUM(Acueducto[[#This Row],[Acueducto]:[Aseo]])</f>
        <v>0</v>
      </c>
    </row>
    <row r="3512" spans="1:6" ht="15" x14ac:dyDescent="0.2">
      <c r="A3512" s="7">
        <v>812804</v>
      </c>
      <c r="B3512" s="3" t="s">
        <v>1522</v>
      </c>
      <c r="C3512" s="29">
        <f>ROUND(Balances[[#This Row],[Total]]*40%,0)</f>
        <v>0</v>
      </c>
      <c r="D3512" s="29">
        <f>ROUND(Balances[[#This Row],[Total]]*20%,0)</f>
        <v>0</v>
      </c>
      <c r="E3512" s="29">
        <f>ROUND(Balances[[#This Row],[Total]]*40%,0)</f>
        <v>0</v>
      </c>
      <c r="F3512" s="18">
        <f>SUM(Acueducto[[#This Row],[Acueducto]:[Aseo]])</f>
        <v>0</v>
      </c>
    </row>
    <row r="3513" spans="1:6" ht="15" x14ac:dyDescent="0.2">
      <c r="A3513" s="7">
        <v>812805</v>
      </c>
      <c r="B3513" s="3" t="s">
        <v>1523</v>
      </c>
      <c r="C3513" s="29">
        <f>ROUND(Balances[[#This Row],[Total]]*40%,0)</f>
        <v>0</v>
      </c>
      <c r="D3513" s="29">
        <f>ROUND(Balances[[#This Row],[Total]]*20%,0)</f>
        <v>0</v>
      </c>
      <c r="E3513" s="29">
        <f>ROUND(Balances[[#This Row],[Total]]*40%,0)</f>
        <v>0</v>
      </c>
      <c r="F3513" s="18">
        <f>SUM(Acueducto[[#This Row],[Acueducto]:[Aseo]])</f>
        <v>0</v>
      </c>
    </row>
    <row r="3514" spans="1:6" ht="15" x14ac:dyDescent="0.2">
      <c r="A3514" s="7">
        <v>812806</v>
      </c>
      <c r="B3514" s="3" t="s">
        <v>1524</v>
      </c>
      <c r="C3514" s="29">
        <f>ROUND(Balances[[#This Row],[Total]]*40%,0)</f>
        <v>0</v>
      </c>
      <c r="D3514" s="29">
        <f>ROUND(Balances[[#This Row],[Total]]*20%,0)</f>
        <v>0</v>
      </c>
      <c r="E3514" s="29">
        <f>ROUND(Balances[[#This Row],[Total]]*40%,0)</f>
        <v>0</v>
      </c>
      <c r="F3514" s="18">
        <f>SUM(Acueducto[[#This Row],[Acueducto]:[Aseo]])</f>
        <v>0</v>
      </c>
    </row>
    <row r="3515" spans="1:6" ht="15" x14ac:dyDescent="0.2">
      <c r="A3515" s="7">
        <v>812807</v>
      </c>
      <c r="B3515" s="3" t="s">
        <v>1525</v>
      </c>
      <c r="C3515" s="29">
        <f>ROUND(Balances[[#This Row],[Total]]*40%,0)</f>
        <v>0</v>
      </c>
      <c r="D3515" s="29">
        <f>ROUND(Balances[[#This Row],[Total]]*20%,0)</f>
        <v>0</v>
      </c>
      <c r="E3515" s="29">
        <f>ROUND(Balances[[#This Row],[Total]]*40%,0)</f>
        <v>0</v>
      </c>
      <c r="F3515" s="18">
        <f>SUM(Acueducto[[#This Row],[Acueducto]:[Aseo]])</f>
        <v>0</v>
      </c>
    </row>
    <row r="3516" spans="1:6" ht="15" x14ac:dyDescent="0.2">
      <c r="A3516" s="7">
        <v>812890</v>
      </c>
      <c r="B3516" s="3" t="s">
        <v>1526</v>
      </c>
      <c r="C3516" s="29">
        <f>ROUND(Balances[[#This Row],[Total]]*40%,0)</f>
        <v>0</v>
      </c>
      <c r="D3516" s="29">
        <f>ROUND(Balances[[#This Row],[Total]]*20%,0)</f>
        <v>0</v>
      </c>
      <c r="E3516" s="29">
        <f>ROUND(Balances[[#This Row],[Total]]*40%,0)</f>
        <v>0</v>
      </c>
      <c r="F3516" s="18">
        <f>SUM(Acueducto[[#This Row],[Acueducto]:[Aseo]])</f>
        <v>0</v>
      </c>
    </row>
    <row r="3517" spans="1:6" ht="15" x14ac:dyDescent="0.2">
      <c r="A3517" s="6">
        <v>8129</v>
      </c>
      <c r="B3517" s="2" t="s">
        <v>1527</v>
      </c>
      <c r="C3517" s="28">
        <f>ROUND(Balances[[#This Row],[Total]]*40%,0)</f>
        <v>0</v>
      </c>
      <c r="D3517" s="28">
        <f>ROUND(Balances[[#This Row],[Total]]*20%,0)</f>
        <v>0</v>
      </c>
      <c r="E3517" s="28">
        <f>ROUND(Balances[[#This Row],[Total]]*40%,0)</f>
        <v>0</v>
      </c>
      <c r="F3517" s="17">
        <f>SUM(Acueducto[[#This Row],[Acueducto]:[Aseo]])</f>
        <v>0</v>
      </c>
    </row>
    <row r="3518" spans="1:6" ht="15" x14ac:dyDescent="0.2">
      <c r="A3518" s="7">
        <v>812907</v>
      </c>
      <c r="B3518" s="3" t="s">
        <v>1528</v>
      </c>
      <c r="C3518" s="29">
        <f>ROUND(Balances[[#This Row],[Total]]*40%,0)</f>
        <v>0</v>
      </c>
      <c r="D3518" s="29">
        <f>ROUND(Balances[[#This Row],[Total]]*20%,0)</f>
        <v>0</v>
      </c>
      <c r="E3518" s="29">
        <f>ROUND(Balances[[#This Row],[Total]]*40%,0)</f>
        <v>0</v>
      </c>
      <c r="F3518" s="18">
        <f>SUM(Acueducto[[#This Row],[Acueducto]:[Aseo]])</f>
        <v>0</v>
      </c>
    </row>
    <row r="3519" spans="1:6" ht="15" x14ac:dyDescent="0.2">
      <c r="A3519" s="7">
        <v>812908</v>
      </c>
      <c r="B3519" s="3" t="s">
        <v>1529</v>
      </c>
      <c r="C3519" s="29">
        <f>ROUND(Balances[[#This Row],[Total]]*40%,0)</f>
        <v>0</v>
      </c>
      <c r="D3519" s="29">
        <f>ROUND(Balances[[#This Row],[Total]]*20%,0)</f>
        <v>0</v>
      </c>
      <c r="E3519" s="29">
        <f>ROUND(Balances[[#This Row],[Total]]*40%,0)</f>
        <v>0</v>
      </c>
      <c r="F3519" s="18">
        <f>SUM(Acueducto[[#This Row],[Acueducto]:[Aseo]])</f>
        <v>0</v>
      </c>
    </row>
    <row r="3520" spans="1:6" ht="15" x14ac:dyDescent="0.2">
      <c r="A3520" s="6">
        <v>8190</v>
      </c>
      <c r="B3520" s="2" t="s">
        <v>1530</v>
      </c>
      <c r="C3520" s="28">
        <f>ROUND(Balances[[#This Row],[Total]]*40%,0)</f>
        <v>0</v>
      </c>
      <c r="D3520" s="28">
        <f>ROUND(Balances[[#This Row],[Total]]*20%,0)</f>
        <v>0</v>
      </c>
      <c r="E3520" s="28">
        <f>ROUND(Balances[[#This Row],[Total]]*40%,0)</f>
        <v>0</v>
      </c>
      <c r="F3520" s="17">
        <f>SUM(Acueducto[[#This Row],[Acueducto]:[Aseo]])</f>
        <v>0</v>
      </c>
    </row>
    <row r="3521" spans="1:6" ht="15" x14ac:dyDescent="0.2">
      <c r="A3521" s="7">
        <v>819002</v>
      </c>
      <c r="B3521" s="3" t="s">
        <v>1531</v>
      </c>
      <c r="C3521" s="29">
        <f>ROUND(Balances[[#This Row],[Total]]*40%,0)</f>
        <v>0</v>
      </c>
      <c r="D3521" s="29">
        <f>ROUND(Balances[[#This Row],[Total]]*20%,0)</f>
        <v>0</v>
      </c>
      <c r="E3521" s="29">
        <f>ROUND(Balances[[#This Row],[Total]]*40%,0)</f>
        <v>0</v>
      </c>
      <c r="F3521" s="18">
        <f>SUM(Acueducto[[#This Row],[Acueducto]:[Aseo]])</f>
        <v>0</v>
      </c>
    </row>
    <row r="3522" spans="1:6" ht="15" x14ac:dyDescent="0.2">
      <c r="A3522" s="7">
        <v>819003</v>
      </c>
      <c r="B3522" s="3" t="s">
        <v>252</v>
      </c>
      <c r="C3522" s="29">
        <f>ROUND(Balances[[#This Row],[Total]]*40%,0)</f>
        <v>0</v>
      </c>
      <c r="D3522" s="29">
        <f>ROUND(Balances[[#This Row],[Total]]*20%,0)</f>
        <v>0</v>
      </c>
      <c r="E3522" s="29">
        <f>ROUND(Balances[[#This Row],[Total]]*40%,0)</f>
        <v>0</v>
      </c>
      <c r="F3522" s="18">
        <f>SUM(Acueducto[[#This Row],[Acueducto]:[Aseo]])</f>
        <v>0</v>
      </c>
    </row>
    <row r="3523" spans="1:6" ht="15" x14ac:dyDescent="0.2">
      <c r="A3523" s="7">
        <v>819090</v>
      </c>
      <c r="B3523" s="3" t="s">
        <v>1532</v>
      </c>
      <c r="C3523" s="29">
        <f>ROUND(Balances[[#This Row],[Total]]*40%,0)</f>
        <v>0</v>
      </c>
      <c r="D3523" s="29">
        <f>ROUND(Balances[[#This Row],[Total]]*20%,0)</f>
        <v>0</v>
      </c>
      <c r="E3523" s="29">
        <f>ROUND(Balances[[#This Row],[Total]]*40%,0)</f>
        <v>0</v>
      </c>
      <c r="F3523" s="18">
        <f>SUM(Acueducto[[#This Row],[Acueducto]:[Aseo]])</f>
        <v>0</v>
      </c>
    </row>
    <row r="3524" spans="1:6" ht="15" x14ac:dyDescent="0.2">
      <c r="A3524" s="6">
        <v>82</v>
      </c>
      <c r="B3524" s="2" t="s">
        <v>1533</v>
      </c>
      <c r="C3524" s="28">
        <f>ROUND(Balances[[#This Row],[Total]]*40%,0)</f>
        <v>0</v>
      </c>
      <c r="D3524" s="28">
        <f>ROUND(Balances[[#This Row],[Total]]*20%,0)</f>
        <v>0</v>
      </c>
      <c r="E3524" s="28">
        <f>ROUND(Balances[[#This Row],[Total]]*40%,0)</f>
        <v>0</v>
      </c>
      <c r="F3524" s="17">
        <f>SUM(Acueducto[[#This Row],[Acueducto]:[Aseo]])</f>
        <v>0</v>
      </c>
    </row>
    <row r="3525" spans="1:6" ht="15" x14ac:dyDescent="0.2">
      <c r="A3525" s="6">
        <v>83</v>
      </c>
      <c r="B3525" s="2" t="s">
        <v>1534</v>
      </c>
      <c r="C3525" s="28">
        <f>ROUND(Balances[[#This Row],[Total]]*40%,0)</f>
        <v>0</v>
      </c>
      <c r="D3525" s="28">
        <f>ROUND(Balances[[#This Row],[Total]]*20%,0)</f>
        <v>0</v>
      </c>
      <c r="E3525" s="28">
        <f>ROUND(Balances[[#This Row],[Total]]*40%,0)</f>
        <v>0</v>
      </c>
      <c r="F3525" s="17">
        <f>SUM(Acueducto[[#This Row],[Acueducto]:[Aseo]])</f>
        <v>0</v>
      </c>
    </row>
    <row r="3526" spans="1:6" ht="15" x14ac:dyDescent="0.2">
      <c r="A3526" s="6">
        <v>8301</v>
      </c>
      <c r="B3526" s="2" t="s">
        <v>1535</v>
      </c>
      <c r="C3526" s="28">
        <f>ROUND(Balances[[#This Row],[Total]]*40%,0)</f>
        <v>0</v>
      </c>
      <c r="D3526" s="28">
        <f>ROUND(Balances[[#This Row],[Total]]*20%,0)</f>
        <v>0</v>
      </c>
      <c r="E3526" s="28">
        <f>ROUND(Balances[[#This Row],[Total]]*40%,0)</f>
        <v>0</v>
      </c>
      <c r="F3526" s="17">
        <f>SUM(Acueducto[[#This Row],[Acueducto]:[Aseo]])</f>
        <v>0</v>
      </c>
    </row>
    <row r="3527" spans="1:6" ht="15" x14ac:dyDescent="0.2">
      <c r="A3527" s="7">
        <v>830101</v>
      </c>
      <c r="B3527" s="3" t="s">
        <v>1536</v>
      </c>
      <c r="C3527" s="29">
        <f>ROUND(Balances[[#This Row],[Total]]*40%,0)</f>
        <v>0</v>
      </c>
      <c r="D3527" s="29">
        <f>ROUND(Balances[[#This Row],[Total]]*20%,0)</f>
        <v>0</v>
      </c>
      <c r="E3527" s="29">
        <f>ROUND(Balances[[#This Row],[Total]]*40%,0)</f>
        <v>0</v>
      </c>
      <c r="F3527" s="18">
        <f>SUM(Acueducto[[#This Row],[Acueducto]:[Aseo]])</f>
        <v>0</v>
      </c>
    </row>
    <row r="3528" spans="1:6" ht="15" x14ac:dyDescent="0.2">
      <c r="A3528" s="7">
        <v>830102</v>
      </c>
      <c r="B3528" s="3" t="s">
        <v>619</v>
      </c>
      <c r="C3528" s="29">
        <f>ROUND(Balances[[#This Row],[Total]]*40%,0)</f>
        <v>0</v>
      </c>
      <c r="D3528" s="29">
        <f>ROUND(Balances[[#This Row],[Total]]*20%,0)</f>
        <v>0</v>
      </c>
      <c r="E3528" s="29">
        <f>ROUND(Balances[[#This Row],[Total]]*40%,0)</f>
        <v>0</v>
      </c>
      <c r="F3528" s="18">
        <f>SUM(Acueducto[[#This Row],[Acueducto]:[Aseo]])</f>
        <v>0</v>
      </c>
    </row>
    <row r="3529" spans="1:6" ht="15" x14ac:dyDescent="0.2">
      <c r="A3529" s="6">
        <v>8306</v>
      </c>
      <c r="B3529" s="2" t="s">
        <v>1537</v>
      </c>
      <c r="C3529" s="28">
        <f>ROUND(Balances[[#This Row],[Total]]*40%,0)</f>
        <v>0</v>
      </c>
      <c r="D3529" s="28">
        <f>ROUND(Balances[[#This Row],[Total]]*20%,0)</f>
        <v>0</v>
      </c>
      <c r="E3529" s="28">
        <f>ROUND(Balances[[#This Row],[Total]]*40%,0)</f>
        <v>0</v>
      </c>
      <c r="F3529" s="17">
        <f>SUM(Acueducto[[#This Row],[Acueducto]:[Aseo]])</f>
        <v>0</v>
      </c>
    </row>
    <row r="3530" spans="1:6" ht="15" x14ac:dyDescent="0.2">
      <c r="A3530" s="7">
        <v>830601</v>
      </c>
      <c r="B3530" s="3" t="s">
        <v>551</v>
      </c>
      <c r="C3530" s="29">
        <f>ROUND(Balances[[#This Row],[Total]]*40%,0)</f>
        <v>0</v>
      </c>
      <c r="D3530" s="29">
        <f>ROUND(Balances[[#This Row],[Total]]*20%,0)</f>
        <v>0</v>
      </c>
      <c r="E3530" s="29">
        <f>ROUND(Balances[[#This Row],[Total]]*40%,0)</f>
        <v>0</v>
      </c>
      <c r="F3530" s="18">
        <f>SUM(Acueducto[[#This Row],[Acueducto]:[Aseo]])</f>
        <v>0</v>
      </c>
    </row>
    <row r="3531" spans="1:6" ht="15" x14ac:dyDescent="0.2">
      <c r="A3531" s="7">
        <v>830602</v>
      </c>
      <c r="B3531" s="3" t="s">
        <v>638</v>
      </c>
      <c r="C3531" s="29">
        <f>ROUND(Balances[[#This Row],[Total]]*40%,0)</f>
        <v>0</v>
      </c>
      <c r="D3531" s="29">
        <f>ROUND(Balances[[#This Row],[Total]]*20%,0)</f>
        <v>0</v>
      </c>
      <c r="E3531" s="29">
        <f>ROUND(Balances[[#This Row],[Total]]*40%,0)</f>
        <v>0</v>
      </c>
      <c r="F3531" s="18">
        <f>SUM(Acueducto[[#This Row],[Acueducto]:[Aseo]])</f>
        <v>0</v>
      </c>
    </row>
    <row r="3532" spans="1:6" ht="15" x14ac:dyDescent="0.2">
      <c r="A3532" s="7">
        <v>830616</v>
      </c>
      <c r="B3532" s="3" t="s">
        <v>1538</v>
      </c>
      <c r="C3532" s="29">
        <f>ROUND(Balances[[#This Row],[Total]]*40%,0)</f>
        <v>0</v>
      </c>
      <c r="D3532" s="29">
        <f>ROUND(Balances[[#This Row],[Total]]*20%,0)</f>
        <v>0</v>
      </c>
      <c r="E3532" s="29">
        <f>ROUND(Balances[[#This Row],[Total]]*40%,0)</f>
        <v>0</v>
      </c>
      <c r="F3532" s="18">
        <f>SUM(Acueducto[[#This Row],[Acueducto]:[Aseo]])</f>
        <v>0</v>
      </c>
    </row>
    <row r="3533" spans="1:6" ht="15" x14ac:dyDescent="0.2">
      <c r="A3533" s="7">
        <v>830617</v>
      </c>
      <c r="B3533" s="3" t="s">
        <v>553</v>
      </c>
      <c r="C3533" s="29">
        <f>ROUND(Balances[[#This Row],[Total]]*40%,0)</f>
        <v>0</v>
      </c>
      <c r="D3533" s="29">
        <f>ROUND(Balances[[#This Row],[Total]]*20%,0)</f>
        <v>0</v>
      </c>
      <c r="E3533" s="29">
        <f>ROUND(Balances[[#This Row],[Total]]*40%,0)</f>
        <v>0</v>
      </c>
      <c r="F3533" s="18">
        <f>SUM(Acueducto[[#This Row],[Acueducto]:[Aseo]])</f>
        <v>0</v>
      </c>
    </row>
    <row r="3534" spans="1:6" ht="15" x14ac:dyDescent="0.2">
      <c r="A3534" s="7">
        <v>830618</v>
      </c>
      <c r="B3534" s="3" t="s">
        <v>555</v>
      </c>
      <c r="C3534" s="29">
        <f>ROUND(Balances[[#This Row],[Total]]*40%,0)</f>
        <v>0</v>
      </c>
      <c r="D3534" s="29">
        <f>ROUND(Balances[[#This Row],[Total]]*20%,0)</f>
        <v>0</v>
      </c>
      <c r="E3534" s="29">
        <f>ROUND(Balances[[#This Row],[Total]]*40%,0)</f>
        <v>0</v>
      </c>
      <c r="F3534" s="18">
        <f>SUM(Acueducto[[#This Row],[Acueducto]:[Aseo]])</f>
        <v>0</v>
      </c>
    </row>
    <row r="3535" spans="1:6" ht="15" x14ac:dyDescent="0.2">
      <c r="A3535" s="7">
        <v>830690</v>
      </c>
      <c r="B3535" s="3" t="s">
        <v>1539</v>
      </c>
      <c r="C3535" s="29">
        <f>ROUND(Balances[[#This Row],[Total]]*40%,0)</f>
        <v>0</v>
      </c>
      <c r="D3535" s="29">
        <f>ROUND(Balances[[#This Row],[Total]]*20%,0)</f>
        <v>0</v>
      </c>
      <c r="E3535" s="29">
        <f>ROUND(Balances[[#This Row],[Total]]*40%,0)</f>
        <v>0</v>
      </c>
      <c r="F3535" s="18">
        <f>SUM(Acueducto[[#This Row],[Acueducto]:[Aseo]])</f>
        <v>0</v>
      </c>
    </row>
    <row r="3536" spans="1:6" ht="15" x14ac:dyDescent="0.2">
      <c r="A3536" s="6">
        <v>8310</v>
      </c>
      <c r="B3536" s="2" t="s">
        <v>1540</v>
      </c>
      <c r="C3536" s="28">
        <f>ROUND(Balances[[#This Row],[Total]]*40%,0)</f>
        <v>0</v>
      </c>
      <c r="D3536" s="28">
        <f>ROUND(Balances[[#This Row],[Total]]*20%,0)</f>
        <v>0</v>
      </c>
      <c r="E3536" s="28">
        <f>ROUND(Balances[[#This Row],[Total]]*40%,0)</f>
        <v>0</v>
      </c>
      <c r="F3536" s="17">
        <f>SUM(Acueducto[[#This Row],[Acueducto]:[Aseo]])</f>
        <v>0</v>
      </c>
    </row>
    <row r="3537" spans="1:6" ht="15" x14ac:dyDescent="0.2">
      <c r="A3537" s="7">
        <v>831001</v>
      </c>
      <c r="B3537" s="3" t="s">
        <v>1541</v>
      </c>
      <c r="C3537" s="29">
        <f>ROUND(Balances[[#This Row],[Total]]*40%,0)</f>
        <v>0</v>
      </c>
      <c r="D3537" s="29">
        <f>ROUND(Balances[[#This Row],[Total]]*20%,0)</f>
        <v>0</v>
      </c>
      <c r="E3537" s="29">
        <f>ROUND(Balances[[#This Row],[Total]]*40%,0)</f>
        <v>0</v>
      </c>
      <c r="F3537" s="18">
        <f>SUM(Acueducto[[#This Row],[Acueducto]:[Aseo]])</f>
        <v>0</v>
      </c>
    </row>
    <row r="3538" spans="1:6" ht="15" x14ac:dyDescent="0.2">
      <c r="A3538" s="7">
        <v>831002</v>
      </c>
      <c r="B3538" s="3" t="s">
        <v>1542</v>
      </c>
      <c r="C3538" s="29">
        <f>ROUND(Balances[[#This Row],[Total]]*40%,0)</f>
        <v>0</v>
      </c>
      <c r="D3538" s="29">
        <f>ROUND(Balances[[#This Row],[Total]]*20%,0)</f>
        <v>0</v>
      </c>
      <c r="E3538" s="29">
        <f>ROUND(Balances[[#This Row],[Total]]*40%,0)</f>
        <v>0</v>
      </c>
      <c r="F3538" s="18">
        <f>SUM(Acueducto[[#This Row],[Acueducto]:[Aseo]])</f>
        <v>0</v>
      </c>
    </row>
    <row r="3539" spans="1:6" ht="15" x14ac:dyDescent="0.2">
      <c r="A3539" s="7">
        <v>831003</v>
      </c>
      <c r="B3539" s="3" t="s">
        <v>1543</v>
      </c>
      <c r="C3539" s="29">
        <f>ROUND(Balances[[#This Row],[Total]]*40%,0)</f>
        <v>0</v>
      </c>
      <c r="D3539" s="29">
        <f>ROUND(Balances[[#This Row],[Total]]*20%,0)</f>
        <v>0</v>
      </c>
      <c r="E3539" s="29">
        <f>ROUND(Balances[[#This Row],[Total]]*40%,0)</f>
        <v>0</v>
      </c>
      <c r="F3539" s="18">
        <f>SUM(Acueducto[[#This Row],[Acueducto]:[Aseo]])</f>
        <v>0</v>
      </c>
    </row>
    <row r="3540" spans="1:6" ht="15" x14ac:dyDescent="0.2">
      <c r="A3540" s="7">
        <v>831005</v>
      </c>
      <c r="B3540" s="3" t="s">
        <v>113</v>
      </c>
      <c r="C3540" s="29">
        <f>ROUND(Balances[[#This Row],[Total]]*40%,0)</f>
        <v>0</v>
      </c>
      <c r="D3540" s="29">
        <f>ROUND(Balances[[#This Row],[Total]]*20%,0)</f>
        <v>0</v>
      </c>
      <c r="E3540" s="29">
        <f>ROUND(Balances[[#This Row],[Total]]*40%,0)</f>
        <v>0</v>
      </c>
      <c r="F3540" s="18">
        <f>SUM(Acueducto[[#This Row],[Acueducto]:[Aseo]])</f>
        <v>0</v>
      </c>
    </row>
    <row r="3541" spans="1:6" ht="15" x14ac:dyDescent="0.2">
      <c r="A3541" s="7">
        <v>831090</v>
      </c>
      <c r="B3541" s="3" t="s">
        <v>1544</v>
      </c>
      <c r="C3541" s="29">
        <f>ROUND(Balances[[#This Row],[Total]]*40%,0)</f>
        <v>0</v>
      </c>
      <c r="D3541" s="29">
        <f>ROUND(Balances[[#This Row],[Total]]*20%,0)</f>
        <v>0</v>
      </c>
      <c r="E3541" s="29">
        <f>ROUND(Balances[[#This Row],[Total]]*40%,0)</f>
        <v>0</v>
      </c>
      <c r="F3541" s="18">
        <f>SUM(Acueducto[[#This Row],[Acueducto]:[Aseo]])</f>
        <v>0</v>
      </c>
    </row>
    <row r="3542" spans="1:6" ht="15" x14ac:dyDescent="0.2">
      <c r="A3542" s="6">
        <v>8312</v>
      </c>
      <c r="B3542" s="2" t="s">
        <v>1545</v>
      </c>
      <c r="C3542" s="28">
        <f>ROUND(Balances[[#This Row],[Total]]*40%,0)</f>
        <v>0</v>
      </c>
      <c r="D3542" s="28">
        <f>ROUND(Balances[[#This Row],[Total]]*20%,0)</f>
        <v>0</v>
      </c>
      <c r="E3542" s="28">
        <f>ROUND(Balances[[#This Row],[Total]]*40%,0)</f>
        <v>0</v>
      </c>
      <c r="F3542" s="17">
        <f>SUM(Acueducto[[#This Row],[Acueducto]:[Aseo]])</f>
        <v>0</v>
      </c>
    </row>
    <row r="3543" spans="1:6" ht="15" x14ac:dyDescent="0.2">
      <c r="A3543" s="7">
        <v>831201</v>
      </c>
      <c r="B3543" s="3" t="s">
        <v>57</v>
      </c>
      <c r="C3543" s="29">
        <f>ROUND(Balances[[#This Row],[Total]]*40%,0)</f>
        <v>0</v>
      </c>
      <c r="D3543" s="29">
        <f>ROUND(Balances[[#This Row],[Total]]*20%,0)</f>
        <v>0</v>
      </c>
      <c r="E3543" s="29">
        <f>ROUND(Balances[[#This Row],[Total]]*40%,0)</f>
        <v>0</v>
      </c>
      <c r="F3543" s="18">
        <f>SUM(Acueducto[[#This Row],[Acueducto]:[Aseo]])</f>
        <v>0</v>
      </c>
    </row>
    <row r="3544" spans="1:6" ht="15" x14ac:dyDescent="0.2">
      <c r="A3544" s="7">
        <v>831202</v>
      </c>
      <c r="B3544" s="3" t="s">
        <v>1546</v>
      </c>
      <c r="C3544" s="29">
        <f>ROUND(Balances[[#This Row],[Total]]*40%,0)</f>
        <v>0</v>
      </c>
      <c r="D3544" s="29">
        <f>ROUND(Balances[[#This Row],[Total]]*20%,0)</f>
        <v>0</v>
      </c>
      <c r="E3544" s="29">
        <f>ROUND(Balances[[#This Row],[Total]]*40%,0)</f>
        <v>0</v>
      </c>
      <c r="F3544" s="18">
        <f>SUM(Acueducto[[#This Row],[Acueducto]:[Aseo]])</f>
        <v>0</v>
      </c>
    </row>
    <row r="3545" spans="1:6" ht="15" x14ac:dyDescent="0.2">
      <c r="A3545" s="7">
        <v>831203</v>
      </c>
      <c r="B3545" s="3" t="s">
        <v>1547</v>
      </c>
      <c r="C3545" s="29">
        <f>ROUND(Balances[[#This Row],[Total]]*40%,0)</f>
        <v>0</v>
      </c>
      <c r="D3545" s="29">
        <f>ROUND(Balances[[#This Row],[Total]]*20%,0)</f>
        <v>0</v>
      </c>
      <c r="E3545" s="29">
        <f>ROUND(Balances[[#This Row],[Total]]*40%,0)</f>
        <v>0</v>
      </c>
      <c r="F3545" s="18">
        <f>SUM(Acueducto[[#This Row],[Acueducto]:[Aseo]])</f>
        <v>0</v>
      </c>
    </row>
    <row r="3546" spans="1:6" ht="15" x14ac:dyDescent="0.2">
      <c r="A3546" s="7">
        <v>831290</v>
      </c>
      <c r="B3546" s="3" t="s">
        <v>1548</v>
      </c>
      <c r="C3546" s="29">
        <f>ROUND(Balances[[#This Row],[Total]]*40%,0)</f>
        <v>0</v>
      </c>
      <c r="D3546" s="29">
        <f>ROUND(Balances[[#This Row],[Total]]*20%,0)</f>
        <v>0</v>
      </c>
      <c r="E3546" s="29">
        <f>ROUND(Balances[[#This Row],[Total]]*40%,0)</f>
        <v>0</v>
      </c>
      <c r="F3546" s="18">
        <f>SUM(Acueducto[[#This Row],[Acueducto]:[Aseo]])</f>
        <v>0</v>
      </c>
    </row>
    <row r="3547" spans="1:6" ht="15" x14ac:dyDescent="0.2">
      <c r="A3547" s="6">
        <v>8313</v>
      </c>
      <c r="B3547" s="2" t="s">
        <v>1549</v>
      </c>
      <c r="C3547" s="28">
        <f>ROUND(Balances[[#This Row],[Total]]*40%,0)</f>
        <v>0</v>
      </c>
      <c r="D3547" s="28">
        <f>ROUND(Balances[[#This Row],[Total]]*20%,0)</f>
        <v>0</v>
      </c>
      <c r="E3547" s="28">
        <f>ROUND(Balances[[#This Row],[Total]]*40%,0)</f>
        <v>0</v>
      </c>
      <c r="F3547" s="17">
        <f>SUM(Acueducto[[#This Row],[Acueducto]:[Aseo]])</f>
        <v>0</v>
      </c>
    </row>
    <row r="3548" spans="1:6" ht="15" x14ac:dyDescent="0.2">
      <c r="A3548" s="7">
        <v>831301</v>
      </c>
      <c r="B3548" s="3" t="s">
        <v>1550</v>
      </c>
      <c r="C3548" s="29">
        <f>ROUND(Balances[[#This Row],[Total]]*40%,0)</f>
        <v>0</v>
      </c>
      <c r="D3548" s="29">
        <f>ROUND(Balances[[#This Row],[Total]]*20%,0)</f>
        <v>0</v>
      </c>
      <c r="E3548" s="29">
        <f>ROUND(Balances[[#This Row],[Total]]*40%,0)</f>
        <v>0</v>
      </c>
      <c r="F3548" s="18">
        <f>SUM(Acueducto[[#This Row],[Acueducto]:[Aseo]])</f>
        <v>0</v>
      </c>
    </row>
    <row r="3549" spans="1:6" ht="15" x14ac:dyDescent="0.2">
      <c r="A3549" s="6">
        <v>8315</v>
      </c>
      <c r="B3549" s="2" t="s">
        <v>1551</v>
      </c>
      <c r="C3549" s="28">
        <f>ROUND(Balances[[#This Row],[Total]]*40%,0)</f>
        <v>0</v>
      </c>
      <c r="D3549" s="28">
        <f>ROUND(Balances[[#This Row],[Total]]*20%,0)</f>
        <v>0</v>
      </c>
      <c r="E3549" s="28">
        <f>ROUND(Balances[[#This Row],[Total]]*40%,0)</f>
        <v>0</v>
      </c>
      <c r="F3549" s="17">
        <f>SUM(Acueducto[[#This Row],[Acueducto]:[Aseo]])</f>
        <v>0</v>
      </c>
    </row>
    <row r="3550" spans="1:6" ht="15" x14ac:dyDescent="0.2">
      <c r="A3550" s="7">
        <v>831510</v>
      </c>
      <c r="B3550" s="3" t="s">
        <v>553</v>
      </c>
      <c r="C3550" s="29">
        <f>ROUND(Balances[[#This Row],[Total]]*40%,0)</f>
        <v>0</v>
      </c>
      <c r="D3550" s="29">
        <f>ROUND(Balances[[#This Row],[Total]]*20%,0)</f>
        <v>0</v>
      </c>
      <c r="E3550" s="29">
        <f>ROUND(Balances[[#This Row],[Total]]*40%,0)</f>
        <v>0</v>
      </c>
      <c r="F3550" s="18">
        <f>SUM(Acueducto[[#This Row],[Acueducto]:[Aseo]])</f>
        <v>0</v>
      </c>
    </row>
    <row r="3551" spans="1:6" ht="15" x14ac:dyDescent="0.2">
      <c r="A3551" s="7">
        <v>831532</v>
      </c>
      <c r="B3551" s="3" t="s">
        <v>1552</v>
      </c>
      <c r="C3551" s="29">
        <f>ROUND(Balances[[#This Row],[Total]]*40%,0)</f>
        <v>0</v>
      </c>
      <c r="D3551" s="29">
        <f>ROUND(Balances[[#This Row],[Total]]*20%,0)</f>
        <v>0</v>
      </c>
      <c r="E3551" s="29">
        <f>ROUND(Balances[[#This Row],[Total]]*40%,0)</f>
        <v>0</v>
      </c>
      <c r="F3551" s="18">
        <f>SUM(Acueducto[[#This Row],[Acueducto]:[Aseo]])</f>
        <v>0</v>
      </c>
    </row>
    <row r="3552" spans="1:6" ht="15" x14ac:dyDescent="0.2">
      <c r="A3552" s="7">
        <v>831533</v>
      </c>
      <c r="B3552" s="3" t="s">
        <v>1553</v>
      </c>
      <c r="C3552" s="29">
        <f>ROUND(Balances[[#This Row],[Total]]*40%,0)</f>
        <v>0</v>
      </c>
      <c r="D3552" s="29">
        <f>ROUND(Balances[[#This Row],[Total]]*20%,0)</f>
        <v>0</v>
      </c>
      <c r="E3552" s="29">
        <f>ROUND(Balances[[#This Row],[Total]]*40%,0)</f>
        <v>0</v>
      </c>
      <c r="F3552" s="18">
        <f>SUM(Acueducto[[#This Row],[Acueducto]:[Aseo]])</f>
        <v>0</v>
      </c>
    </row>
    <row r="3553" spans="1:6" ht="15" x14ac:dyDescent="0.2">
      <c r="A3553" s="7">
        <v>831534</v>
      </c>
      <c r="B3553" s="3" t="s">
        <v>551</v>
      </c>
      <c r="C3553" s="29">
        <f>ROUND(Balances[[#This Row],[Total]]*40%,0)</f>
        <v>0</v>
      </c>
      <c r="D3553" s="29">
        <f>ROUND(Balances[[#This Row],[Total]]*20%,0)</f>
        <v>0</v>
      </c>
      <c r="E3553" s="29">
        <f>ROUND(Balances[[#This Row],[Total]]*40%,0)</f>
        <v>0</v>
      </c>
      <c r="F3553" s="18">
        <f>SUM(Acueducto[[#This Row],[Acueducto]:[Aseo]])</f>
        <v>0</v>
      </c>
    </row>
    <row r="3554" spans="1:6" ht="15" x14ac:dyDescent="0.2">
      <c r="A3554" s="7">
        <v>831535</v>
      </c>
      <c r="B3554" s="3" t="s">
        <v>226</v>
      </c>
      <c r="C3554" s="29">
        <f>ROUND(Balances[[#This Row],[Total]]*40%,0)</f>
        <v>0</v>
      </c>
      <c r="D3554" s="29">
        <f>ROUND(Balances[[#This Row],[Total]]*20%,0)</f>
        <v>0</v>
      </c>
      <c r="E3554" s="29">
        <f>ROUND(Balances[[#This Row],[Total]]*40%,0)</f>
        <v>0</v>
      </c>
      <c r="F3554" s="18">
        <f>SUM(Acueducto[[#This Row],[Acueducto]:[Aseo]])</f>
        <v>0</v>
      </c>
    </row>
    <row r="3555" spans="1:6" ht="15" x14ac:dyDescent="0.2">
      <c r="A3555" s="7">
        <v>831536</v>
      </c>
      <c r="B3555" s="3" t="s">
        <v>287</v>
      </c>
      <c r="C3555" s="29">
        <f>ROUND(Balances[[#This Row],[Total]]*40%,0)</f>
        <v>0</v>
      </c>
      <c r="D3555" s="29">
        <f>ROUND(Balances[[#This Row],[Total]]*20%,0)</f>
        <v>0</v>
      </c>
      <c r="E3555" s="29">
        <f>ROUND(Balances[[#This Row],[Total]]*40%,0)</f>
        <v>0</v>
      </c>
      <c r="F3555" s="18">
        <f>SUM(Acueducto[[#This Row],[Acueducto]:[Aseo]])</f>
        <v>0</v>
      </c>
    </row>
    <row r="3556" spans="1:6" ht="15" x14ac:dyDescent="0.2">
      <c r="A3556" s="7">
        <v>831537</v>
      </c>
      <c r="B3556" s="3" t="s">
        <v>638</v>
      </c>
      <c r="C3556" s="29">
        <f>ROUND(Balances[[#This Row],[Total]]*40%,0)</f>
        <v>0</v>
      </c>
      <c r="D3556" s="29">
        <f>ROUND(Balances[[#This Row],[Total]]*20%,0)</f>
        <v>0</v>
      </c>
      <c r="E3556" s="29">
        <f>ROUND(Balances[[#This Row],[Total]]*40%,0)</f>
        <v>0</v>
      </c>
      <c r="F3556" s="18">
        <f>SUM(Acueducto[[#This Row],[Acueducto]:[Aseo]])</f>
        <v>0</v>
      </c>
    </row>
    <row r="3557" spans="1:6" ht="15" x14ac:dyDescent="0.2">
      <c r="A3557" s="7">
        <v>831590</v>
      </c>
      <c r="B3557" s="3" t="s">
        <v>1554</v>
      </c>
      <c r="C3557" s="29">
        <f>ROUND(Balances[[#This Row],[Total]]*40%,0)</f>
        <v>0</v>
      </c>
      <c r="D3557" s="29">
        <f>ROUND(Balances[[#This Row],[Total]]*20%,0)</f>
        <v>0</v>
      </c>
      <c r="E3557" s="29">
        <f>ROUND(Balances[[#This Row],[Total]]*40%,0)</f>
        <v>0</v>
      </c>
      <c r="F3557" s="18">
        <f>SUM(Acueducto[[#This Row],[Acueducto]:[Aseo]])</f>
        <v>0</v>
      </c>
    </row>
    <row r="3558" spans="1:6" ht="15" x14ac:dyDescent="0.2">
      <c r="A3558" s="6">
        <v>8333</v>
      </c>
      <c r="B3558" s="2" t="s">
        <v>1555</v>
      </c>
      <c r="C3558" s="28">
        <f>ROUND(Balances[[#This Row],[Total]]*40%,0)</f>
        <v>0</v>
      </c>
      <c r="D3558" s="28">
        <f>ROUND(Balances[[#This Row],[Total]]*20%,0)</f>
        <v>0</v>
      </c>
      <c r="E3558" s="28">
        <f>ROUND(Balances[[#This Row],[Total]]*40%,0)</f>
        <v>0</v>
      </c>
      <c r="F3558" s="17">
        <f>SUM(Acueducto[[#This Row],[Acueducto]:[Aseo]])</f>
        <v>0</v>
      </c>
    </row>
    <row r="3559" spans="1:6" ht="15" x14ac:dyDescent="0.2">
      <c r="A3559" s="7">
        <v>833301</v>
      </c>
      <c r="B3559" s="3" t="s">
        <v>1556</v>
      </c>
      <c r="C3559" s="29">
        <f>ROUND(Balances[[#This Row],[Total]]*40%,0)</f>
        <v>0</v>
      </c>
      <c r="D3559" s="29">
        <f>ROUND(Balances[[#This Row],[Total]]*20%,0)</f>
        <v>0</v>
      </c>
      <c r="E3559" s="29">
        <f>ROUND(Balances[[#This Row],[Total]]*40%,0)</f>
        <v>0</v>
      </c>
      <c r="F3559" s="18">
        <f>SUM(Acueducto[[#This Row],[Acueducto]:[Aseo]])</f>
        <v>0</v>
      </c>
    </row>
    <row r="3560" spans="1:6" ht="15" x14ac:dyDescent="0.2">
      <c r="A3560" s="7">
        <v>833302</v>
      </c>
      <c r="B3560" s="3" t="s">
        <v>1557</v>
      </c>
      <c r="C3560" s="29">
        <f>ROUND(Balances[[#This Row],[Total]]*40%,0)</f>
        <v>0</v>
      </c>
      <c r="D3560" s="29">
        <f>ROUND(Balances[[#This Row],[Total]]*20%,0)</f>
        <v>0</v>
      </c>
      <c r="E3560" s="29">
        <f>ROUND(Balances[[#This Row],[Total]]*40%,0)</f>
        <v>0</v>
      </c>
      <c r="F3560" s="18">
        <f>SUM(Acueducto[[#This Row],[Acueducto]:[Aseo]])</f>
        <v>0</v>
      </c>
    </row>
    <row r="3561" spans="1:6" ht="15" x14ac:dyDescent="0.2">
      <c r="A3561" s="7">
        <v>833303</v>
      </c>
      <c r="B3561" s="3" t="s">
        <v>1558</v>
      </c>
      <c r="C3561" s="29">
        <f>ROUND(Balances[[#This Row],[Total]]*40%,0)</f>
        <v>0</v>
      </c>
      <c r="D3561" s="29">
        <f>ROUND(Balances[[#This Row],[Total]]*20%,0)</f>
        <v>0</v>
      </c>
      <c r="E3561" s="29">
        <f>ROUND(Balances[[#This Row],[Total]]*40%,0)</f>
        <v>0</v>
      </c>
      <c r="F3561" s="18">
        <f>SUM(Acueducto[[#This Row],[Acueducto]:[Aseo]])</f>
        <v>0</v>
      </c>
    </row>
    <row r="3562" spans="1:6" ht="15" x14ac:dyDescent="0.2">
      <c r="A3562" s="7">
        <v>833304</v>
      </c>
      <c r="B3562" s="3" t="s">
        <v>1559</v>
      </c>
      <c r="C3562" s="29">
        <f>ROUND(Balances[[#This Row],[Total]]*40%,0)</f>
        <v>0</v>
      </c>
      <c r="D3562" s="29">
        <f>ROUND(Balances[[#This Row],[Total]]*20%,0)</f>
        <v>0</v>
      </c>
      <c r="E3562" s="29">
        <f>ROUND(Balances[[#This Row],[Total]]*40%,0)</f>
        <v>0</v>
      </c>
      <c r="F3562" s="18">
        <f>SUM(Acueducto[[#This Row],[Acueducto]:[Aseo]])</f>
        <v>0</v>
      </c>
    </row>
    <row r="3563" spans="1:6" ht="15" x14ac:dyDescent="0.2">
      <c r="A3563" s="7">
        <v>833305</v>
      </c>
      <c r="B3563" s="3" t="s">
        <v>1560</v>
      </c>
      <c r="C3563" s="29">
        <f>ROUND(Balances[[#This Row],[Total]]*40%,0)</f>
        <v>0</v>
      </c>
      <c r="D3563" s="29">
        <f>ROUND(Balances[[#This Row],[Total]]*20%,0)</f>
        <v>0</v>
      </c>
      <c r="E3563" s="29">
        <f>ROUND(Balances[[#This Row],[Total]]*40%,0)</f>
        <v>0</v>
      </c>
      <c r="F3563" s="18">
        <f>SUM(Acueducto[[#This Row],[Acueducto]:[Aseo]])</f>
        <v>0</v>
      </c>
    </row>
    <row r="3564" spans="1:6" ht="15" x14ac:dyDescent="0.2">
      <c r="A3564" s="7">
        <v>833306</v>
      </c>
      <c r="B3564" s="3" t="s">
        <v>1561</v>
      </c>
      <c r="C3564" s="29">
        <f>ROUND(Balances[[#This Row],[Total]]*40%,0)</f>
        <v>0</v>
      </c>
      <c r="D3564" s="29">
        <f>ROUND(Balances[[#This Row],[Total]]*20%,0)</f>
        <v>0</v>
      </c>
      <c r="E3564" s="29">
        <f>ROUND(Balances[[#This Row],[Total]]*40%,0)</f>
        <v>0</v>
      </c>
      <c r="F3564" s="18">
        <f>SUM(Acueducto[[#This Row],[Acueducto]:[Aseo]])</f>
        <v>0</v>
      </c>
    </row>
    <row r="3565" spans="1:6" ht="15" x14ac:dyDescent="0.2">
      <c r="A3565" s="7">
        <v>833307</v>
      </c>
      <c r="B3565" s="3" t="s">
        <v>1562</v>
      </c>
      <c r="C3565" s="29">
        <f>ROUND(Balances[[#This Row],[Total]]*40%,0)</f>
        <v>0</v>
      </c>
      <c r="D3565" s="29">
        <f>ROUND(Balances[[#This Row],[Total]]*20%,0)</f>
        <v>0</v>
      </c>
      <c r="E3565" s="29">
        <f>ROUND(Balances[[#This Row],[Total]]*40%,0)</f>
        <v>0</v>
      </c>
      <c r="F3565" s="18">
        <f>SUM(Acueducto[[#This Row],[Acueducto]:[Aseo]])</f>
        <v>0</v>
      </c>
    </row>
    <row r="3566" spans="1:6" ht="15" x14ac:dyDescent="0.2">
      <c r="A3566" s="7">
        <v>833308</v>
      </c>
      <c r="B3566" s="3" t="s">
        <v>1563</v>
      </c>
      <c r="C3566" s="29">
        <f>ROUND(Balances[[#This Row],[Total]]*40%,0)</f>
        <v>0</v>
      </c>
      <c r="D3566" s="29">
        <f>ROUND(Balances[[#This Row],[Total]]*20%,0)</f>
        <v>0</v>
      </c>
      <c r="E3566" s="29">
        <f>ROUND(Balances[[#This Row],[Total]]*40%,0)</f>
        <v>0</v>
      </c>
      <c r="F3566" s="18">
        <f>SUM(Acueducto[[#This Row],[Acueducto]:[Aseo]])</f>
        <v>0</v>
      </c>
    </row>
    <row r="3567" spans="1:6" ht="15" x14ac:dyDescent="0.2">
      <c r="A3567" s="7">
        <v>833309</v>
      </c>
      <c r="B3567" s="3" t="s">
        <v>1564</v>
      </c>
      <c r="C3567" s="29">
        <f>ROUND(Balances[[#This Row],[Total]]*40%,0)</f>
        <v>0</v>
      </c>
      <c r="D3567" s="29">
        <f>ROUND(Balances[[#This Row],[Total]]*20%,0)</f>
        <v>0</v>
      </c>
      <c r="E3567" s="29">
        <f>ROUND(Balances[[#This Row],[Total]]*40%,0)</f>
        <v>0</v>
      </c>
      <c r="F3567" s="18">
        <f>SUM(Acueducto[[#This Row],[Acueducto]:[Aseo]])</f>
        <v>0</v>
      </c>
    </row>
    <row r="3568" spans="1:6" ht="15" x14ac:dyDescent="0.2">
      <c r="A3568" s="7">
        <v>833310</v>
      </c>
      <c r="B3568" s="3" t="s">
        <v>1565</v>
      </c>
      <c r="C3568" s="29">
        <f>ROUND(Balances[[#This Row],[Total]]*40%,0)</f>
        <v>0</v>
      </c>
      <c r="D3568" s="29">
        <f>ROUND(Balances[[#This Row],[Total]]*20%,0)</f>
        <v>0</v>
      </c>
      <c r="E3568" s="29">
        <f>ROUND(Balances[[#This Row],[Total]]*40%,0)</f>
        <v>0</v>
      </c>
      <c r="F3568" s="18">
        <f>SUM(Acueducto[[#This Row],[Acueducto]:[Aseo]])</f>
        <v>0</v>
      </c>
    </row>
    <row r="3569" spans="1:6" ht="15" x14ac:dyDescent="0.2">
      <c r="A3569" s="7">
        <v>833311</v>
      </c>
      <c r="B3569" s="3" t="s">
        <v>1566</v>
      </c>
      <c r="C3569" s="29">
        <f>ROUND(Balances[[#This Row],[Total]]*40%,0)</f>
        <v>0</v>
      </c>
      <c r="D3569" s="29">
        <f>ROUND(Balances[[#This Row],[Total]]*20%,0)</f>
        <v>0</v>
      </c>
      <c r="E3569" s="29">
        <f>ROUND(Balances[[#This Row],[Total]]*40%,0)</f>
        <v>0</v>
      </c>
      <c r="F3569" s="18">
        <f>SUM(Acueducto[[#This Row],[Acueducto]:[Aseo]])</f>
        <v>0</v>
      </c>
    </row>
    <row r="3570" spans="1:6" ht="15" x14ac:dyDescent="0.2">
      <c r="A3570" s="7">
        <v>833312</v>
      </c>
      <c r="B3570" s="3" t="s">
        <v>1567</v>
      </c>
      <c r="C3570" s="29">
        <f>ROUND(Balances[[#This Row],[Total]]*40%,0)</f>
        <v>0</v>
      </c>
      <c r="D3570" s="29">
        <f>ROUND(Balances[[#This Row],[Total]]*20%,0)</f>
        <v>0</v>
      </c>
      <c r="E3570" s="29">
        <f>ROUND(Balances[[#This Row],[Total]]*40%,0)</f>
        <v>0</v>
      </c>
      <c r="F3570" s="18">
        <f>SUM(Acueducto[[#This Row],[Acueducto]:[Aseo]])</f>
        <v>0</v>
      </c>
    </row>
    <row r="3571" spans="1:6" ht="15" x14ac:dyDescent="0.2">
      <c r="A3571" s="7">
        <v>833313</v>
      </c>
      <c r="B3571" s="4" t="s">
        <v>1568</v>
      </c>
      <c r="C3571" s="31">
        <f>ROUND(Balances[[#This Row],[Total]]*40%,0)</f>
        <v>0</v>
      </c>
      <c r="D3571" s="31">
        <f>ROUND(Balances[[#This Row],[Total]]*20%,0)</f>
        <v>0</v>
      </c>
      <c r="E3571" s="31">
        <f>ROUND(Balances[[#This Row],[Total]]*40%,0)</f>
        <v>0</v>
      </c>
      <c r="F3571" s="19">
        <f>SUM(Acueducto[[#This Row],[Acueducto]:[Aseo]])</f>
        <v>0</v>
      </c>
    </row>
    <row r="3572" spans="1:6" ht="15" x14ac:dyDescent="0.2">
      <c r="A3572" s="7">
        <v>833314</v>
      </c>
      <c r="B3572" s="3" t="s">
        <v>193</v>
      </c>
      <c r="C3572" s="29">
        <f>ROUND(Balances[[#This Row],[Total]]*40%,0)</f>
        <v>0</v>
      </c>
      <c r="D3572" s="29">
        <f>ROUND(Balances[[#This Row],[Total]]*20%,0)</f>
        <v>0</v>
      </c>
      <c r="E3572" s="29">
        <f>ROUND(Balances[[#This Row],[Total]]*40%,0)</f>
        <v>0</v>
      </c>
      <c r="F3572" s="18">
        <f>SUM(Acueducto[[#This Row],[Acueducto]:[Aseo]])</f>
        <v>0</v>
      </c>
    </row>
    <row r="3573" spans="1:6" ht="15" x14ac:dyDescent="0.2">
      <c r="A3573" s="7">
        <v>833315</v>
      </c>
      <c r="B3573" s="3" t="s">
        <v>1569</v>
      </c>
      <c r="C3573" s="29">
        <f>ROUND(Balances[[#This Row],[Total]]*40%,0)</f>
        <v>0</v>
      </c>
      <c r="D3573" s="29">
        <f>ROUND(Balances[[#This Row],[Total]]*20%,0)</f>
        <v>0</v>
      </c>
      <c r="E3573" s="29">
        <f>ROUND(Balances[[#This Row],[Total]]*40%,0)</f>
        <v>0</v>
      </c>
      <c r="F3573" s="18">
        <f>SUM(Acueducto[[#This Row],[Acueducto]:[Aseo]])</f>
        <v>0</v>
      </c>
    </row>
    <row r="3574" spans="1:6" ht="15" x14ac:dyDescent="0.2">
      <c r="A3574" s="7">
        <v>833390</v>
      </c>
      <c r="B3574" s="3" t="s">
        <v>195</v>
      </c>
      <c r="C3574" s="29">
        <f>ROUND(Balances[[#This Row],[Total]]*40%,0)</f>
        <v>0</v>
      </c>
      <c r="D3574" s="29">
        <f>ROUND(Balances[[#This Row],[Total]]*20%,0)</f>
        <v>0</v>
      </c>
      <c r="E3574" s="29">
        <f>ROUND(Balances[[#This Row],[Total]]*40%,0)</f>
        <v>0</v>
      </c>
      <c r="F3574" s="18">
        <f>SUM(Acueducto[[#This Row],[Acueducto]:[Aseo]])</f>
        <v>0</v>
      </c>
    </row>
    <row r="3575" spans="1:6" ht="15" x14ac:dyDescent="0.2">
      <c r="A3575" s="6">
        <v>8344</v>
      </c>
      <c r="B3575" s="2" t="s">
        <v>1570</v>
      </c>
      <c r="C3575" s="28">
        <f>ROUND(Balances[[#This Row],[Total]]*40%,0)</f>
        <v>0</v>
      </c>
      <c r="D3575" s="28">
        <f>ROUND(Balances[[#This Row],[Total]]*20%,0)</f>
        <v>0</v>
      </c>
      <c r="E3575" s="28">
        <f>ROUND(Balances[[#This Row],[Total]]*40%,0)</f>
        <v>0</v>
      </c>
      <c r="F3575" s="17">
        <f>SUM(Acueducto[[#This Row],[Acueducto]:[Aseo]])</f>
        <v>0</v>
      </c>
    </row>
    <row r="3576" spans="1:6" ht="15" x14ac:dyDescent="0.2">
      <c r="A3576" s="7">
        <v>834404</v>
      </c>
      <c r="B3576" s="3" t="s">
        <v>1571</v>
      </c>
      <c r="C3576" s="29">
        <f>ROUND(Balances[[#This Row],[Total]]*40%,0)</f>
        <v>0</v>
      </c>
      <c r="D3576" s="29">
        <f>ROUND(Balances[[#This Row],[Total]]*20%,0)</f>
        <v>0</v>
      </c>
      <c r="E3576" s="29">
        <f>ROUND(Balances[[#This Row],[Total]]*40%,0)</f>
        <v>0</v>
      </c>
      <c r="F3576" s="18">
        <f>SUM(Acueducto[[#This Row],[Acueducto]:[Aseo]])</f>
        <v>0</v>
      </c>
    </row>
    <row r="3577" spans="1:6" ht="15" x14ac:dyDescent="0.2">
      <c r="A3577" s="7">
        <v>834405</v>
      </c>
      <c r="B3577" s="3" t="s">
        <v>1572</v>
      </c>
      <c r="C3577" s="29">
        <f>ROUND(Balances[[#This Row],[Total]]*40%,0)</f>
        <v>0</v>
      </c>
      <c r="D3577" s="29">
        <f>ROUND(Balances[[#This Row],[Total]]*20%,0)</f>
        <v>0</v>
      </c>
      <c r="E3577" s="29">
        <f>ROUND(Balances[[#This Row],[Total]]*40%,0)</f>
        <v>0</v>
      </c>
      <c r="F3577" s="18">
        <f>SUM(Acueducto[[#This Row],[Acueducto]:[Aseo]])</f>
        <v>0</v>
      </c>
    </row>
    <row r="3578" spans="1:6" ht="15" x14ac:dyDescent="0.2">
      <c r="A3578" s="6">
        <v>8347</v>
      </c>
      <c r="B3578" s="2" t="s">
        <v>1573</v>
      </c>
      <c r="C3578" s="28">
        <f>ROUND(Balances[[#This Row],[Total]]*40%,0)</f>
        <v>0</v>
      </c>
      <c r="D3578" s="28">
        <f>ROUND(Balances[[#This Row],[Total]]*20%,0)</f>
        <v>0</v>
      </c>
      <c r="E3578" s="28">
        <f>ROUND(Balances[[#This Row],[Total]]*40%,0)</f>
        <v>0</v>
      </c>
      <c r="F3578" s="17">
        <f>SUM(Acueducto[[#This Row],[Acueducto]:[Aseo]])</f>
        <v>0</v>
      </c>
    </row>
    <row r="3579" spans="1:6" ht="15" x14ac:dyDescent="0.2">
      <c r="A3579" s="7">
        <v>834704</v>
      </c>
      <c r="B3579" s="3" t="s">
        <v>553</v>
      </c>
      <c r="C3579" s="29">
        <f>ROUND(Balances[[#This Row],[Total]]*40%,0)</f>
        <v>0</v>
      </c>
      <c r="D3579" s="29">
        <f>ROUND(Balances[[#This Row],[Total]]*20%,0)</f>
        <v>0</v>
      </c>
      <c r="E3579" s="29">
        <f>ROUND(Balances[[#This Row],[Total]]*40%,0)</f>
        <v>0</v>
      </c>
      <c r="F3579" s="18">
        <f>SUM(Acueducto[[#This Row],[Acueducto]:[Aseo]])</f>
        <v>0</v>
      </c>
    </row>
    <row r="3580" spans="1:6" ht="15" x14ac:dyDescent="0.2">
      <c r="A3580" s="7">
        <v>834705</v>
      </c>
      <c r="B3580" s="3" t="s">
        <v>1574</v>
      </c>
      <c r="C3580" s="29">
        <f>ROUND(Balances[[#This Row],[Total]]*40%,0)</f>
        <v>0</v>
      </c>
      <c r="D3580" s="29">
        <f>ROUND(Balances[[#This Row],[Total]]*20%,0)</f>
        <v>0</v>
      </c>
      <c r="E3580" s="29">
        <f>ROUND(Balances[[#This Row],[Total]]*40%,0)</f>
        <v>0</v>
      </c>
      <c r="F3580" s="18">
        <f>SUM(Acueducto[[#This Row],[Acueducto]:[Aseo]])</f>
        <v>0</v>
      </c>
    </row>
    <row r="3581" spans="1:6" ht="15" x14ac:dyDescent="0.2">
      <c r="A3581" s="7">
        <v>834707</v>
      </c>
      <c r="B3581" s="3" t="s">
        <v>639</v>
      </c>
      <c r="C3581" s="29">
        <f>ROUND(Balances[[#This Row],[Total]]*40%,0)</f>
        <v>0</v>
      </c>
      <c r="D3581" s="29">
        <f>ROUND(Balances[[#This Row],[Total]]*20%,0)</f>
        <v>0</v>
      </c>
      <c r="E3581" s="29">
        <f>ROUND(Balances[[#This Row],[Total]]*40%,0)</f>
        <v>0</v>
      </c>
      <c r="F3581" s="18">
        <f>SUM(Acueducto[[#This Row],[Acueducto]:[Aseo]])</f>
        <v>0</v>
      </c>
    </row>
    <row r="3582" spans="1:6" ht="15" x14ac:dyDescent="0.2">
      <c r="A3582" s="7">
        <v>834790</v>
      </c>
      <c r="B3582" s="3" t="s">
        <v>1575</v>
      </c>
      <c r="C3582" s="29">
        <f>ROUND(Balances[[#This Row],[Total]]*40%,0)</f>
        <v>0</v>
      </c>
      <c r="D3582" s="29">
        <f>ROUND(Balances[[#This Row],[Total]]*20%,0)</f>
        <v>0</v>
      </c>
      <c r="E3582" s="29">
        <f>ROUND(Balances[[#This Row],[Total]]*40%,0)</f>
        <v>0</v>
      </c>
      <c r="F3582" s="18">
        <f>SUM(Acueducto[[#This Row],[Acueducto]:[Aseo]])</f>
        <v>0</v>
      </c>
    </row>
    <row r="3583" spans="1:6" ht="15" x14ac:dyDescent="0.2">
      <c r="A3583" s="6">
        <v>8350</v>
      </c>
      <c r="B3583" s="2" t="s">
        <v>1576</v>
      </c>
      <c r="C3583" s="28">
        <f>ROUND(Balances[[#This Row],[Total]]*40%,0)</f>
        <v>0</v>
      </c>
      <c r="D3583" s="28">
        <f>ROUND(Balances[[#This Row],[Total]]*20%,0)</f>
        <v>0</v>
      </c>
      <c r="E3583" s="28">
        <f>ROUND(Balances[[#This Row],[Total]]*40%,0)</f>
        <v>0</v>
      </c>
      <c r="F3583" s="17">
        <f>SUM(Acueducto[[#This Row],[Acueducto]:[Aseo]])</f>
        <v>0</v>
      </c>
    </row>
    <row r="3584" spans="1:6" ht="15" x14ac:dyDescent="0.2">
      <c r="A3584" s="7">
        <v>835013</v>
      </c>
      <c r="B3584" s="3" t="s">
        <v>1577</v>
      </c>
      <c r="C3584" s="29">
        <f>ROUND(Balances[[#This Row],[Total]]*40%,0)</f>
        <v>0</v>
      </c>
      <c r="D3584" s="29">
        <f>ROUND(Balances[[#This Row],[Total]]*20%,0)</f>
        <v>0</v>
      </c>
      <c r="E3584" s="29">
        <f>ROUND(Balances[[#This Row],[Total]]*40%,0)</f>
        <v>0</v>
      </c>
      <c r="F3584" s="18">
        <f>SUM(Acueducto[[#This Row],[Acueducto]:[Aseo]])</f>
        <v>0</v>
      </c>
    </row>
    <row r="3585" spans="1:6" ht="15" x14ac:dyDescent="0.2">
      <c r="A3585" s="7">
        <v>835014</v>
      </c>
      <c r="B3585" s="3" t="s">
        <v>1578</v>
      </c>
      <c r="C3585" s="29">
        <f>ROUND(Balances[[#This Row],[Total]]*40%,0)</f>
        <v>0</v>
      </c>
      <c r="D3585" s="29">
        <f>ROUND(Balances[[#This Row],[Total]]*20%,0)</f>
        <v>0</v>
      </c>
      <c r="E3585" s="29">
        <f>ROUND(Balances[[#This Row],[Total]]*40%,0)</f>
        <v>0</v>
      </c>
      <c r="F3585" s="18">
        <f>SUM(Acueducto[[#This Row],[Acueducto]:[Aseo]])</f>
        <v>0</v>
      </c>
    </row>
    <row r="3586" spans="1:6" ht="15" x14ac:dyDescent="0.2">
      <c r="A3586" s="6">
        <v>8355</v>
      </c>
      <c r="B3586" s="2" t="s">
        <v>1579</v>
      </c>
      <c r="C3586" s="28">
        <f>ROUND(Balances[[#This Row],[Total]]*40%,0)</f>
        <v>0</v>
      </c>
      <c r="D3586" s="28">
        <f>ROUND(Balances[[#This Row],[Total]]*20%,0)</f>
        <v>0</v>
      </c>
      <c r="E3586" s="28">
        <f>ROUND(Balances[[#This Row],[Total]]*40%,0)</f>
        <v>0</v>
      </c>
      <c r="F3586" s="17">
        <f>SUM(Acueducto[[#This Row],[Acueducto]:[Aseo]])</f>
        <v>0</v>
      </c>
    </row>
    <row r="3587" spans="1:6" ht="15" x14ac:dyDescent="0.2">
      <c r="A3587" s="7">
        <v>835510</v>
      </c>
      <c r="B3587" s="3" t="s">
        <v>1571</v>
      </c>
      <c r="C3587" s="29">
        <f>ROUND(Balances[[#This Row],[Total]]*40%,0)</f>
        <v>0</v>
      </c>
      <c r="D3587" s="29">
        <f>ROUND(Balances[[#This Row],[Total]]*20%,0)</f>
        <v>0</v>
      </c>
      <c r="E3587" s="29">
        <f>ROUND(Balances[[#This Row],[Total]]*40%,0)</f>
        <v>0</v>
      </c>
      <c r="F3587" s="18">
        <f>SUM(Acueducto[[#This Row],[Acueducto]:[Aseo]])</f>
        <v>0</v>
      </c>
    </row>
    <row r="3588" spans="1:6" ht="15" x14ac:dyDescent="0.2">
      <c r="A3588" s="7">
        <v>835511</v>
      </c>
      <c r="B3588" s="3" t="s">
        <v>1580</v>
      </c>
      <c r="C3588" s="29">
        <f>ROUND(Balances[[#This Row],[Total]]*40%,0)</f>
        <v>0</v>
      </c>
      <c r="D3588" s="29">
        <f>ROUND(Balances[[#This Row],[Total]]*20%,0)</f>
        <v>0</v>
      </c>
      <c r="E3588" s="29">
        <f>ROUND(Balances[[#This Row],[Total]]*40%,0)</f>
        <v>0</v>
      </c>
      <c r="F3588" s="18">
        <f>SUM(Acueducto[[#This Row],[Acueducto]:[Aseo]])</f>
        <v>0</v>
      </c>
    </row>
    <row r="3589" spans="1:6" ht="15" x14ac:dyDescent="0.2">
      <c r="A3589" s="6">
        <v>8361</v>
      </c>
      <c r="B3589" s="2" t="s">
        <v>1581</v>
      </c>
      <c r="C3589" s="28">
        <f>ROUND(Balances[[#This Row],[Total]]*40%,0)</f>
        <v>0</v>
      </c>
      <c r="D3589" s="28">
        <f>ROUND(Balances[[#This Row],[Total]]*20%,0)</f>
        <v>0</v>
      </c>
      <c r="E3589" s="28">
        <f>ROUND(Balances[[#This Row],[Total]]*40%,0)</f>
        <v>0</v>
      </c>
      <c r="F3589" s="17">
        <f>SUM(Acueducto[[#This Row],[Acueducto]:[Aseo]])</f>
        <v>0</v>
      </c>
    </row>
    <row r="3590" spans="1:6" ht="15" x14ac:dyDescent="0.2">
      <c r="A3590" s="7">
        <v>836101</v>
      </c>
      <c r="B3590" s="3" t="s">
        <v>1582</v>
      </c>
      <c r="C3590" s="29">
        <f>ROUND(Balances[[#This Row],[Total]]*40%,0)</f>
        <v>0</v>
      </c>
      <c r="D3590" s="29">
        <f>ROUND(Balances[[#This Row],[Total]]*20%,0)</f>
        <v>0</v>
      </c>
      <c r="E3590" s="29">
        <f>ROUND(Balances[[#This Row],[Total]]*40%,0)</f>
        <v>0</v>
      </c>
      <c r="F3590" s="18">
        <f>SUM(Acueducto[[#This Row],[Acueducto]:[Aseo]])</f>
        <v>0</v>
      </c>
    </row>
    <row r="3591" spans="1:6" ht="15" x14ac:dyDescent="0.2">
      <c r="A3591" s="7">
        <v>836102</v>
      </c>
      <c r="B3591" s="3" t="s">
        <v>1583</v>
      </c>
      <c r="C3591" s="29">
        <f>ROUND(Balances[[#This Row],[Total]]*40%,0)</f>
        <v>0</v>
      </c>
      <c r="D3591" s="29">
        <f>ROUND(Balances[[#This Row],[Total]]*20%,0)</f>
        <v>0</v>
      </c>
      <c r="E3591" s="29">
        <f>ROUND(Balances[[#This Row],[Total]]*40%,0)</f>
        <v>0</v>
      </c>
      <c r="F3591" s="18">
        <f>SUM(Acueducto[[#This Row],[Acueducto]:[Aseo]])</f>
        <v>0</v>
      </c>
    </row>
    <row r="3592" spans="1:6" ht="15" x14ac:dyDescent="0.2">
      <c r="A3592" s="6">
        <v>8366</v>
      </c>
      <c r="B3592" s="2" t="s">
        <v>1584</v>
      </c>
      <c r="C3592" s="28">
        <f>ROUND(Balances[[#This Row],[Total]]*40%,0)</f>
        <v>0</v>
      </c>
      <c r="D3592" s="28">
        <f>ROUND(Balances[[#This Row],[Total]]*20%,0)</f>
        <v>0</v>
      </c>
      <c r="E3592" s="28">
        <f>ROUND(Balances[[#This Row],[Total]]*40%,0)</f>
        <v>0</v>
      </c>
      <c r="F3592" s="17">
        <f>SUM(Acueducto[[#This Row],[Acueducto]:[Aseo]])</f>
        <v>0</v>
      </c>
    </row>
    <row r="3593" spans="1:6" ht="15" x14ac:dyDescent="0.2">
      <c r="A3593" s="7">
        <v>836601</v>
      </c>
      <c r="B3593" s="3" t="s">
        <v>1585</v>
      </c>
      <c r="C3593" s="29">
        <f>ROUND(Balances[[#This Row],[Total]]*40%,0)</f>
        <v>0</v>
      </c>
      <c r="D3593" s="29">
        <f>ROUND(Balances[[#This Row],[Total]]*20%,0)</f>
        <v>0</v>
      </c>
      <c r="E3593" s="29">
        <f>ROUND(Balances[[#This Row],[Total]]*40%,0)</f>
        <v>0</v>
      </c>
      <c r="F3593" s="18">
        <f>SUM(Acueducto[[#This Row],[Acueducto]:[Aseo]])</f>
        <v>0</v>
      </c>
    </row>
    <row r="3594" spans="1:6" ht="15" x14ac:dyDescent="0.2">
      <c r="A3594" s="7">
        <v>836602</v>
      </c>
      <c r="B3594" s="3" t="s">
        <v>1586</v>
      </c>
      <c r="C3594" s="29">
        <f>ROUND(Balances[[#This Row],[Total]]*40%,0)</f>
        <v>0</v>
      </c>
      <c r="D3594" s="29">
        <f>ROUND(Balances[[#This Row],[Total]]*20%,0)</f>
        <v>0</v>
      </c>
      <c r="E3594" s="29">
        <f>ROUND(Balances[[#This Row],[Total]]*40%,0)</f>
        <v>0</v>
      </c>
      <c r="F3594" s="18">
        <f>SUM(Acueducto[[#This Row],[Acueducto]:[Aseo]])</f>
        <v>0</v>
      </c>
    </row>
    <row r="3595" spans="1:6" ht="15" x14ac:dyDescent="0.2">
      <c r="A3595" s="6">
        <v>8367</v>
      </c>
      <c r="B3595" s="2" t="s">
        <v>1587</v>
      </c>
      <c r="C3595" s="28">
        <f>ROUND(Balances[[#This Row],[Total]]*40%,0)</f>
        <v>0</v>
      </c>
      <c r="D3595" s="28">
        <f>ROUND(Balances[[#This Row],[Total]]*20%,0)</f>
        <v>0</v>
      </c>
      <c r="E3595" s="28">
        <f>ROUND(Balances[[#This Row],[Total]]*40%,0)</f>
        <v>0</v>
      </c>
      <c r="F3595" s="17">
        <f>SUM(Acueducto[[#This Row],[Acueducto]:[Aseo]])</f>
        <v>0</v>
      </c>
    </row>
    <row r="3596" spans="1:6" ht="15" x14ac:dyDescent="0.2">
      <c r="A3596" s="7">
        <v>836701</v>
      </c>
      <c r="B3596" s="3" t="s">
        <v>1588</v>
      </c>
      <c r="C3596" s="29">
        <f>ROUND(Balances[[#This Row],[Total]]*40%,0)</f>
        <v>0</v>
      </c>
      <c r="D3596" s="29">
        <f>ROUND(Balances[[#This Row],[Total]]*20%,0)</f>
        <v>0</v>
      </c>
      <c r="E3596" s="29">
        <f>ROUND(Balances[[#This Row],[Total]]*40%,0)</f>
        <v>0</v>
      </c>
      <c r="F3596" s="18">
        <f>SUM(Acueducto[[#This Row],[Acueducto]:[Aseo]])</f>
        <v>0</v>
      </c>
    </row>
    <row r="3597" spans="1:6" ht="15" x14ac:dyDescent="0.2">
      <c r="A3597" s="7">
        <v>836702</v>
      </c>
      <c r="B3597" s="3" t="s">
        <v>1589</v>
      </c>
      <c r="C3597" s="29">
        <f>ROUND(Balances[[#This Row],[Total]]*40%,0)</f>
        <v>0</v>
      </c>
      <c r="D3597" s="29">
        <f>ROUND(Balances[[#This Row],[Total]]*20%,0)</f>
        <v>0</v>
      </c>
      <c r="E3597" s="29">
        <f>ROUND(Balances[[#This Row],[Total]]*40%,0)</f>
        <v>0</v>
      </c>
      <c r="F3597" s="18">
        <f>SUM(Acueducto[[#This Row],[Acueducto]:[Aseo]])</f>
        <v>0</v>
      </c>
    </row>
    <row r="3598" spans="1:6" ht="15" x14ac:dyDescent="0.2">
      <c r="A3598" s="7">
        <v>836703</v>
      </c>
      <c r="B3598" s="3" t="s">
        <v>1590</v>
      </c>
      <c r="C3598" s="29">
        <f>ROUND(Balances[[#This Row],[Total]]*40%,0)</f>
        <v>0</v>
      </c>
      <c r="D3598" s="29">
        <f>ROUND(Balances[[#This Row],[Total]]*20%,0)</f>
        <v>0</v>
      </c>
      <c r="E3598" s="29">
        <f>ROUND(Balances[[#This Row],[Total]]*40%,0)</f>
        <v>0</v>
      </c>
      <c r="F3598" s="18">
        <f>SUM(Acueducto[[#This Row],[Acueducto]:[Aseo]])</f>
        <v>0</v>
      </c>
    </row>
    <row r="3599" spans="1:6" ht="15" x14ac:dyDescent="0.2">
      <c r="A3599" s="7">
        <v>836704</v>
      </c>
      <c r="B3599" s="3" t="s">
        <v>1591</v>
      </c>
      <c r="C3599" s="29">
        <f>ROUND(Balances[[#This Row],[Total]]*40%,0)</f>
        <v>0</v>
      </c>
      <c r="D3599" s="29">
        <f>ROUND(Balances[[#This Row],[Total]]*20%,0)</f>
        <v>0</v>
      </c>
      <c r="E3599" s="29">
        <f>ROUND(Balances[[#This Row],[Total]]*40%,0)</f>
        <v>0</v>
      </c>
      <c r="F3599" s="18">
        <f>SUM(Acueducto[[#This Row],[Acueducto]:[Aseo]])</f>
        <v>0</v>
      </c>
    </row>
    <row r="3600" spans="1:6" ht="15" x14ac:dyDescent="0.2">
      <c r="A3600" s="7">
        <v>836705</v>
      </c>
      <c r="B3600" s="3" t="s">
        <v>1592</v>
      </c>
      <c r="C3600" s="29">
        <f>ROUND(Balances[[#This Row],[Total]]*40%,0)</f>
        <v>0</v>
      </c>
      <c r="D3600" s="29">
        <f>ROUND(Balances[[#This Row],[Total]]*20%,0)</f>
        <v>0</v>
      </c>
      <c r="E3600" s="29">
        <f>ROUND(Balances[[#This Row],[Total]]*40%,0)</f>
        <v>0</v>
      </c>
      <c r="F3600" s="18">
        <f>SUM(Acueducto[[#This Row],[Acueducto]:[Aseo]])</f>
        <v>0</v>
      </c>
    </row>
    <row r="3601" spans="1:6" ht="15" x14ac:dyDescent="0.2">
      <c r="A3601" s="7">
        <v>836706</v>
      </c>
      <c r="B3601" s="3" t="s">
        <v>385</v>
      </c>
      <c r="C3601" s="29">
        <f>ROUND(Balances[[#This Row],[Total]]*40%,0)</f>
        <v>0</v>
      </c>
      <c r="D3601" s="29">
        <f>ROUND(Balances[[#This Row],[Total]]*20%,0)</f>
        <v>0</v>
      </c>
      <c r="E3601" s="29">
        <f>ROUND(Balances[[#This Row],[Total]]*40%,0)</f>
        <v>0</v>
      </c>
      <c r="F3601" s="18">
        <f>SUM(Acueducto[[#This Row],[Acueducto]:[Aseo]])</f>
        <v>0</v>
      </c>
    </row>
    <row r="3602" spans="1:6" ht="15" x14ac:dyDescent="0.2">
      <c r="A3602" s="7">
        <v>836707</v>
      </c>
      <c r="B3602" s="3" t="s">
        <v>1593</v>
      </c>
      <c r="C3602" s="29">
        <f>ROUND(Balances[[#This Row],[Total]]*40%,0)</f>
        <v>0</v>
      </c>
      <c r="D3602" s="29">
        <f>ROUND(Balances[[#This Row],[Total]]*20%,0)</f>
        <v>0</v>
      </c>
      <c r="E3602" s="29">
        <f>ROUND(Balances[[#This Row],[Total]]*40%,0)</f>
        <v>0</v>
      </c>
      <c r="F3602" s="18">
        <f>SUM(Acueducto[[#This Row],[Acueducto]:[Aseo]])</f>
        <v>0</v>
      </c>
    </row>
    <row r="3603" spans="1:6" ht="15" x14ac:dyDescent="0.2">
      <c r="A3603" s="7">
        <v>836790</v>
      </c>
      <c r="B3603" s="3" t="s">
        <v>1594</v>
      </c>
      <c r="C3603" s="29">
        <f>ROUND(Balances[[#This Row],[Total]]*40%,0)</f>
        <v>0</v>
      </c>
      <c r="D3603" s="29">
        <f>ROUND(Balances[[#This Row],[Total]]*20%,0)</f>
        <v>0</v>
      </c>
      <c r="E3603" s="29">
        <f>ROUND(Balances[[#This Row],[Total]]*40%,0)</f>
        <v>0</v>
      </c>
      <c r="F3603" s="18">
        <f>SUM(Acueducto[[#This Row],[Acueducto]:[Aseo]])</f>
        <v>0</v>
      </c>
    </row>
    <row r="3604" spans="1:6" ht="15" x14ac:dyDescent="0.2">
      <c r="A3604" s="6">
        <v>8368</v>
      </c>
      <c r="B3604" s="2" t="s">
        <v>1595</v>
      </c>
      <c r="C3604" s="28">
        <f>ROUND(Balances[[#This Row],[Total]]*40%,0)</f>
        <v>0</v>
      </c>
      <c r="D3604" s="28">
        <f>ROUND(Balances[[#This Row],[Total]]*20%,0)</f>
        <v>0</v>
      </c>
      <c r="E3604" s="28">
        <f>ROUND(Balances[[#This Row],[Total]]*40%,0)</f>
        <v>0</v>
      </c>
      <c r="F3604" s="17">
        <f>SUM(Acueducto[[#This Row],[Acueducto]:[Aseo]])</f>
        <v>0</v>
      </c>
    </row>
    <row r="3605" spans="1:6" ht="15" x14ac:dyDescent="0.2">
      <c r="A3605" s="7">
        <v>836801</v>
      </c>
      <c r="B3605" s="3" t="s">
        <v>1596</v>
      </c>
      <c r="C3605" s="29">
        <f>ROUND(Balances[[#This Row],[Total]]*40%,0)</f>
        <v>0</v>
      </c>
      <c r="D3605" s="29">
        <f>ROUND(Balances[[#This Row],[Total]]*20%,0)</f>
        <v>0</v>
      </c>
      <c r="E3605" s="29">
        <f>ROUND(Balances[[#This Row],[Total]]*40%,0)</f>
        <v>0</v>
      </c>
      <c r="F3605" s="18">
        <f>SUM(Acueducto[[#This Row],[Acueducto]:[Aseo]])</f>
        <v>0</v>
      </c>
    </row>
    <row r="3606" spans="1:6" ht="15" x14ac:dyDescent="0.2">
      <c r="A3606" s="7">
        <v>836802</v>
      </c>
      <c r="B3606" s="3" t="s">
        <v>1593</v>
      </c>
      <c r="C3606" s="29">
        <f>ROUND(Balances[[#This Row],[Total]]*40%,0)</f>
        <v>0</v>
      </c>
      <c r="D3606" s="29">
        <f>ROUND(Balances[[#This Row],[Total]]*20%,0)</f>
        <v>0</v>
      </c>
      <c r="E3606" s="29">
        <f>ROUND(Balances[[#This Row],[Total]]*40%,0)</f>
        <v>0</v>
      </c>
      <c r="F3606" s="18">
        <f>SUM(Acueducto[[#This Row],[Acueducto]:[Aseo]])</f>
        <v>0</v>
      </c>
    </row>
    <row r="3607" spans="1:6" ht="15" x14ac:dyDescent="0.2">
      <c r="A3607" s="7">
        <v>836803</v>
      </c>
      <c r="B3607" s="3" t="s">
        <v>525</v>
      </c>
      <c r="C3607" s="29">
        <f>ROUND(Balances[[#This Row],[Total]]*40%,0)</f>
        <v>0</v>
      </c>
      <c r="D3607" s="29">
        <f>ROUND(Balances[[#This Row],[Total]]*20%,0)</f>
        <v>0</v>
      </c>
      <c r="E3607" s="29">
        <f>ROUND(Balances[[#This Row],[Total]]*40%,0)</f>
        <v>0</v>
      </c>
      <c r="F3607" s="18">
        <f>SUM(Acueducto[[#This Row],[Acueducto]:[Aseo]])</f>
        <v>0</v>
      </c>
    </row>
    <row r="3608" spans="1:6" ht="15" x14ac:dyDescent="0.2">
      <c r="A3608" s="7">
        <v>836804</v>
      </c>
      <c r="B3608" s="3" t="s">
        <v>1597</v>
      </c>
      <c r="C3608" s="29">
        <f>ROUND(Balances[[#This Row],[Total]]*40%,0)</f>
        <v>0</v>
      </c>
      <c r="D3608" s="29">
        <f>ROUND(Balances[[#This Row],[Total]]*20%,0)</f>
        <v>0</v>
      </c>
      <c r="E3608" s="29">
        <f>ROUND(Balances[[#This Row],[Total]]*40%,0)</f>
        <v>0</v>
      </c>
      <c r="F3608" s="18">
        <f>SUM(Acueducto[[#This Row],[Acueducto]:[Aseo]])</f>
        <v>0</v>
      </c>
    </row>
    <row r="3609" spans="1:6" ht="15" x14ac:dyDescent="0.2">
      <c r="A3609" s="7">
        <v>836808</v>
      </c>
      <c r="B3609" s="3" t="s">
        <v>528</v>
      </c>
      <c r="C3609" s="29">
        <f>ROUND(Balances[[#This Row],[Total]]*40%,0)</f>
        <v>0</v>
      </c>
      <c r="D3609" s="29">
        <f>ROUND(Balances[[#This Row],[Total]]*20%,0)</f>
        <v>0</v>
      </c>
      <c r="E3609" s="29">
        <f>ROUND(Balances[[#This Row],[Total]]*40%,0)</f>
        <v>0</v>
      </c>
      <c r="F3609" s="18">
        <f>SUM(Acueducto[[#This Row],[Acueducto]:[Aseo]])</f>
        <v>0</v>
      </c>
    </row>
    <row r="3610" spans="1:6" ht="15" x14ac:dyDescent="0.2">
      <c r="A3610" s="7">
        <v>836809</v>
      </c>
      <c r="B3610" s="3" t="s">
        <v>1598</v>
      </c>
      <c r="C3610" s="29">
        <f>ROUND(Balances[[#This Row],[Total]]*40%,0)</f>
        <v>0</v>
      </c>
      <c r="D3610" s="29">
        <f>ROUND(Balances[[#This Row],[Total]]*20%,0)</f>
        <v>0</v>
      </c>
      <c r="E3610" s="29">
        <f>ROUND(Balances[[#This Row],[Total]]*40%,0)</f>
        <v>0</v>
      </c>
      <c r="F3610" s="18">
        <f>SUM(Acueducto[[#This Row],[Acueducto]:[Aseo]])</f>
        <v>0</v>
      </c>
    </row>
    <row r="3611" spans="1:6" ht="15" x14ac:dyDescent="0.2">
      <c r="A3611" s="7">
        <v>836890</v>
      </c>
      <c r="B3611" s="3" t="s">
        <v>1599</v>
      </c>
      <c r="C3611" s="29">
        <f>ROUND(Balances[[#This Row],[Total]]*40%,0)</f>
        <v>0</v>
      </c>
      <c r="D3611" s="29">
        <f>ROUND(Balances[[#This Row],[Total]]*20%,0)</f>
        <v>0</v>
      </c>
      <c r="E3611" s="29">
        <f>ROUND(Balances[[#This Row],[Total]]*40%,0)</f>
        <v>0</v>
      </c>
      <c r="F3611" s="18">
        <f>SUM(Acueducto[[#This Row],[Acueducto]:[Aseo]])</f>
        <v>0</v>
      </c>
    </row>
    <row r="3612" spans="1:6" ht="15" x14ac:dyDescent="0.2">
      <c r="A3612" s="6">
        <v>8390</v>
      </c>
      <c r="B3612" s="2" t="s">
        <v>1600</v>
      </c>
      <c r="C3612" s="28">
        <f>ROUND(Balances[[#This Row],[Total]]*40%,0)</f>
        <v>0</v>
      </c>
      <c r="D3612" s="28">
        <f>ROUND(Balances[[#This Row],[Total]]*20%,0)</f>
        <v>0</v>
      </c>
      <c r="E3612" s="28">
        <f>ROUND(Balances[[#This Row],[Total]]*40%,0)</f>
        <v>0</v>
      </c>
      <c r="F3612" s="17">
        <f>SUM(Acueducto[[#This Row],[Acueducto]:[Aseo]])</f>
        <v>0</v>
      </c>
    </row>
    <row r="3613" spans="1:6" ht="15" x14ac:dyDescent="0.2">
      <c r="A3613" s="7">
        <v>839004</v>
      </c>
      <c r="B3613" s="3" t="s">
        <v>241</v>
      </c>
      <c r="C3613" s="29">
        <f>ROUND(Balances[[#This Row],[Total]]*40%,0)</f>
        <v>0</v>
      </c>
      <c r="D3613" s="29">
        <f>ROUND(Balances[[#This Row],[Total]]*20%,0)</f>
        <v>0</v>
      </c>
      <c r="E3613" s="29">
        <f>ROUND(Balances[[#This Row],[Total]]*40%,0)</f>
        <v>0</v>
      </c>
      <c r="F3613" s="18">
        <f>SUM(Acueducto[[#This Row],[Acueducto]:[Aseo]])</f>
        <v>0</v>
      </c>
    </row>
    <row r="3614" spans="1:6" ht="15" x14ac:dyDescent="0.2">
      <c r="A3614" s="7">
        <v>839090</v>
      </c>
      <c r="B3614" s="3" t="s">
        <v>1601</v>
      </c>
      <c r="C3614" s="29">
        <f>ROUND(Balances[[#This Row],[Total]]*40%,0)</f>
        <v>0</v>
      </c>
      <c r="D3614" s="29">
        <f>ROUND(Balances[[#This Row],[Total]]*20%,0)</f>
        <v>0</v>
      </c>
      <c r="E3614" s="29">
        <f>ROUND(Balances[[#This Row],[Total]]*40%,0)</f>
        <v>0</v>
      </c>
      <c r="F3614" s="18">
        <f>SUM(Acueducto[[#This Row],[Acueducto]:[Aseo]])</f>
        <v>0</v>
      </c>
    </row>
    <row r="3615" spans="1:6" ht="15" x14ac:dyDescent="0.2">
      <c r="A3615" s="6">
        <v>89</v>
      </c>
      <c r="B3615" s="2" t="s">
        <v>1602</v>
      </c>
      <c r="C3615" s="28">
        <f>ROUND(Balances[[#This Row],[Total]]*40%,0)</f>
        <v>0</v>
      </c>
      <c r="D3615" s="28">
        <f>ROUND(Balances[[#This Row],[Total]]*20%,0)</f>
        <v>0</v>
      </c>
      <c r="E3615" s="28">
        <f>ROUND(Balances[[#This Row],[Total]]*40%,0)</f>
        <v>0</v>
      </c>
      <c r="F3615" s="17">
        <f>SUM(Acueducto[[#This Row],[Acueducto]:[Aseo]])</f>
        <v>0</v>
      </c>
    </row>
    <row r="3616" spans="1:6" ht="15" x14ac:dyDescent="0.2">
      <c r="A3616" s="6">
        <v>8905</v>
      </c>
      <c r="B3616" s="2" t="s">
        <v>1603</v>
      </c>
      <c r="C3616" s="28">
        <f>ROUND(Balances[[#This Row],[Total]]*40%,0)</f>
        <v>0</v>
      </c>
      <c r="D3616" s="28">
        <f>ROUND(Balances[[#This Row],[Total]]*20%,0)</f>
        <v>0</v>
      </c>
      <c r="E3616" s="28">
        <f>ROUND(Balances[[#This Row],[Total]]*40%,0)</f>
        <v>0</v>
      </c>
      <c r="F3616" s="17">
        <f>SUM(Acueducto[[#This Row],[Acueducto]:[Aseo]])</f>
        <v>0</v>
      </c>
    </row>
    <row r="3617" spans="1:6" ht="15" x14ac:dyDescent="0.2">
      <c r="A3617" s="7">
        <v>890506</v>
      </c>
      <c r="B3617" s="3" t="s">
        <v>1604</v>
      </c>
      <c r="C3617" s="29">
        <f>ROUND(Balances[[#This Row],[Total]]*40%,0)</f>
        <v>0</v>
      </c>
      <c r="D3617" s="29">
        <f>ROUND(Balances[[#This Row],[Total]]*20%,0)</f>
        <v>0</v>
      </c>
      <c r="E3617" s="29">
        <f>ROUND(Balances[[#This Row],[Total]]*40%,0)</f>
        <v>0</v>
      </c>
      <c r="F3617" s="18">
        <f>SUM(Acueducto[[#This Row],[Acueducto]:[Aseo]])</f>
        <v>0</v>
      </c>
    </row>
    <row r="3618" spans="1:6" ht="15" x14ac:dyDescent="0.2">
      <c r="A3618" s="7">
        <v>890509</v>
      </c>
      <c r="B3618" s="3" t="s">
        <v>919</v>
      </c>
      <c r="C3618" s="29">
        <f>ROUND(Balances[[#This Row],[Total]]*40%,0)</f>
        <v>0</v>
      </c>
      <c r="D3618" s="29">
        <f>ROUND(Balances[[#This Row],[Total]]*20%,0)</f>
        <v>0</v>
      </c>
      <c r="E3618" s="29">
        <f>ROUND(Balances[[#This Row],[Total]]*40%,0)</f>
        <v>0</v>
      </c>
      <c r="F3618" s="18">
        <f>SUM(Acueducto[[#This Row],[Acueducto]:[Aseo]])</f>
        <v>0</v>
      </c>
    </row>
    <row r="3619" spans="1:6" ht="15" x14ac:dyDescent="0.2">
      <c r="A3619" s="7">
        <v>890512</v>
      </c>
      <c r="B3619" s="3" t="s">
        <v>1605</v>
      </c>
      <c r="C3619" s="29">
        <f>ROUND(Balances[[#This Row],[Total]]*40%,0)</f>
        <v>0</v>
      </c>
      <c r="D3619" s="29">
        <f>ROUND(Balances[[#This Row],[Total]]*20%,0)</f>
        <v>0</v>
      </c>
      <c r="E3619" s="29">
        <f>ROUND(Balances[[#This Row],[Total]]*40%,0)</f>
        <v>0</v>
      </c>
      <c r="F3619" s="18">
        <f>SUM(Acueducto[[#This Row],[Acueducto]:[Aseo]])</f>
        <v>0</v>
      </c>
    </row>
    <row r="3620" spans="1:6" ht="15" x14ac:dyDescent="0.2">
      <c r="A3620" s="7">
        <v>890590</v>
      </c>
      <c r="B3620" s="3" t="s">
        <v>1606</v>
      </c>
      <c r="C3620" s="29">
        <f>ROUND(Balances[[#This Row],[Total]]*40%,0)</f>
        <v>0</v>
      </c>
      <c r="D3620" s="29">
        <f>ROUND(Balances[[#This Row],[Total]]*20%,0)</f>
        <v>0</v>
      </c>
      <c r="E3620" s="29">
        <f>ROUND(Balances[[#This Row],[Total]]*40%,0)</f>
        <v>0</v>
      </c>
      <c r="F3620" s="18">
        <f>SUM(Acueducto[[#This Row],[Acueducto]:[Aseo]])</f>
        <v>0</v>
      </c>
    </row>
    <row r="3621" spans="1:6" ht="15" x14ac:dyDescent="0.2">
      <c r="A3621" s="6">
        <v>8910</v>
      </c>
      <c r="B3621" s="2" t="s">
        <v>1607</v>
      </c>
      <c r="C3621" s="28">
        <f>ROUND(Balances[[#This Row],[Total]]*40%,0)</f>
        <v>0</v>
      </c>
      <c r="D3621" s="28">
        <f>ROUND(Balances[[#This Row],[Total]]*20%,0)</f>
        <v>0</v>
      </c>
      <c r="E3621" s="28">
        <f>ROUND(Balances[[#This Row],[Total]]*40%,0)</f>
        <v>0</v>
      </c>
      <c r="F3621" s="17">
        <f>SUM(Acueducto[[#This Row],[Acueducto]:[Aseo]])</f>
        <v>0</v>
      </c>
    </row>
    <row r="3622" spans="1:6" ht="15" x14ac:dyDescent="0.2">
      <c r="A3622" s="7">
        <v>891001</v>
      </c>
      <c r="B3622" s="3" t="s">
        <v>1608</v>
      </c>
      <c r="C3622" s="29">
        <f>ROUND(Balances[[#This Row],[Total]]*40%,0)</f>
        <v>0</v>
      </c>
      <c r="D3622" s="29">
        <f>ROUND(Balances[[#This Row],[Total]]*20%,0)</f>
        <v>0</v>
      </c>
      <c r="E3622" s="29">
        <f>ROUND(Balances[[#This Row],[Total]]*40%,0)</f>
        <v>0</v>
      </c>
      <c r="F3622" s="18">
        <f>SUM(Acueducto[[#This Row],[Acueducto]:[Aseo]])</f>
        <v>0</v>
      </c>
    </row>
    <row r="3623" spans="1:6" ht="15" x14ac:dyDescent="0.2">
      <c r="A3623" s="6">
        <v>8915</v>
      </c>
      <c r="B3623" s="2" t="s">
        <v>1609</v>
      </c>
      <c r="C3623" s="28">
        <f>ROUND(Balances[[#This Row],[Total]]*40%,0)</f>
        <v>0</v>
      </c>
      <c r="D3623" s="28">
        <f>ROUND(Balances[[#This Row],[Total]]*20%,0)</f>
        <v>0</v>
      </c>
      <c r="E3623" s="28">
        <f>ROUND(Balances[[#This Row],[Total]]*40%,0)</f>
        <v>0</v>
      </c>
      <c r="F3623" s="17">
        <f>SUM(Acueducto[[#This Row],[Acueducto]:[Aseo]])</f>
        <v>0</v>
      </c>
    </row>
    <row r="3624" spans="1:6" ht="15" x14ac:dyDescent="0.2">
      <c r="A3624" s="7">
        <v>891502</v>
      </c>
      <c r="B3624" s="3" t="s">
        <v>1610</v>
      </c>
      <c r="C3624" s="29">
        <f>ROUND(Balances[[#This Row],[Total]]*40%,0)</f>
        <v>0</v>
      </c>
      <c r="D3624" s="29">
        <f>ROUND(Balances[[#This Row],[Total]]*20%,0)</f>
        <v>0</v>
      </c>
      <c r="E3624" s="29">
        <f>ROUND(Balances[[#This Row],[Total]]*40%,0)</f>
        <v>0</v>
      </c>
      <c r="F3624" s="18">
        <f>SUM(Acueducto[[#This Row],[Acueducto]:[Aseo]])</f>
        <v>0</v>
      </c>
    </row>
    <row r="3625" spans="1:6" ht="15" x14ac:dyDescent="0.2">
      <c r="A3625" s="7">
        <v>891503</v>
      </c>
      <c r="B3625" s="3" t="s">
        <v>1611</v>
      </c>
      <c r="C3625" s="29">
        <f>ROUND(Balances[[#This Row],[Total]]*40%,0)</f>
        <v>0</v>
      </c>
      <c r="D3625" s="29">
        <f>ROUND(Balances[[#This Row],[Total]]*20%,0)</f>
        <v>0</v>
      </c>
      <c r="E3625" s="29">
        <f>ROUND(Balances[[#This Row],[Total]]*40%,0)</f>
        <v>0</v>
      </c>
      <c r="F3625" s="18">
        <f>SUM(Acueducto[[#This Row],[Acueducto]:[Aseo]])</f>
        <v>0</v>
      </c>
    </row>
    <row r="3626" spans="1:6" ht="15" x14ac:dyDescent="0.2">
      <c r="A3626" s="7">
        <v>891504</v>
      </c>
      <c r="B3626" s="3" t="s">
        <v>1612</v>
      </c>
      <c r="C3626" s="29">
        <f>ROUND(Balances[[#This Row],[Total]]*40%,0)</f>
        <v>0</v>
      </c>
      <c r="D3626" s="29">
        <f>ROUND(Balances[[#This Row],[Total]]*20%,0)</f>
        <v>0</v>
      </c>
      <c r="E3626" s="29">
        <f>ROUND(Balances[[#This Row],[Total]]*40%,0)</f>
        <v>0</v>
      </c>
      <c r="F3626" s="18">
        <f>SUM(Acueducto[[#This Row],[Acueducto]:[Aseo]])</f>
        <v>0</v>
      </c>
    </row>
    <row r="3627" spans="1:6" ht="15" x14ac:dyDescent="0.2">
      <c r="A3627" s="7">
        <v>891505</v>
      </c>
      <c r="B3627" s="3" t="s">
        <v>1550</v>
      </c>
      <c r="C3627" s="29">
        <f>ROUND(Balances[[#This Row],[Total]]*40%,0)</f>
        <v>0</v>
      </c>
      <c r="D3627" s="29">
        <f>ROUND(Balances[[#This Row],[Total]]*20%,0)</f>
        <v>0</v>
      </c>
      <c r="E3627" s="29">
        <f>ROUND(Balances[[#This Row],[Total]]*40%,0)</f>
        <v>0</v>
      </c>
      <c r="F3627" s="18">
        <f>SUM(Acueducto[[#This Row],[Acueducto]:[Aseo]])</f>
        <v>0</v>
      </c>
    </row>
    <row r="3628" spans="1:6" ht="15" x14ac:dyDescent="0.2">
      <c r="A3628" s="7">
        <v>891506</v>
      </c>
      <c r="B3628" s="3" t="s">
        <v>1613</v>
      </c>
      <c r="C3628" s="29">
        <f>ROUND(Balances[[#This Row],[Total]]*40%,0)</f>
        <v>0</v>
      </c>
      <c r="D3628" s="29">
        <f>ROUND(Balances[[#This Row],[Total]]*20%,0)</f>
        <v>0</v>
      </c>
      <c r="E3628" s="29">
        <f>ROUND(Balances[[#This Row],[Total]]*40%,0)</f>
        <v>0</v>
      </c>
      <c r="F3628" s="18">
        <f>SUM(Acueducto[[#This Row],[Acueducto]:[Aseo]])</f>
        <v>0</v>
      </c>
    </row>
    <row r="3629" spans="1:6" ht="15" x14ac:dyDescent="0.2">
      <c r="A3629" s="7">
        <v>891513</v>
      </c>
      <c r="B3629" s="3" t="s">
        <v>1614</v>
      </c>
      <c r="C3629" s="29">
        <f>ROUND(Balances[[#This Row],[Total]]*40%,0)</f>
        <v>0</v>
      </c>
      <c r="D3629" s="29">
        <f>ROUND(Balances[[#This Row],[Total]]*20%,0)</f>
        <v>0</v>
      </c>
      <c r="E3629" s="29">
        <f>ROUND(Balances[[#This Row],[Total]]*40%,0)</f>
        <v>0</v>
      </c>
      <c r="F3629" s="18">
        <f>SUM(Acueducto[[#This Row],[Acueducto]:[Aseo]])</f>
        <v>0</v>
      </c>
    </row>
    <row r="3630" spans="1:6" ht="15" x14ac:dyDescent="0.2">
      <c r="A3630" s="7">
        <v>891515</v>
      </c>
      <c r="B3630" s="3" t="s">
        <v>1615</v>
      </c>
      <c r="C3630" s="29">
        <f>ROUND(Balances[[#This Row],[Total]]*40%,0)</f>
        <v>0</v>
      </c>
      <c r="D3630" s="29">
        <f>ROUND(Balances[[#This Row],[Total]]*20%,0)</f>
        <v>0</v>
      </c>
      <c r="E3630" s="29">
        <f>ROUND(Balances[[#This Row],[Total]]*40%,0)</f>
        <v>0</v>
      </c>
      <c r="F3630" s="18">
        <f>SUM(Acueducto[[#This Row],[Acueducto]:[Aseo]])</f>
        <v>0</v>
      </c>
    </row>
    <row r="3631" spans="1:6" ht="15" x14ac:dyDescent="0.2">
      <c r="A3631" s="7">
        <v>891516</v>
      </c>
      <c r="B3631" s="3" t="s">
        <v>1616</v>
      </c>
      <c r="C3631" s="29">
        <f>ROUND(Balances[[#This Row],[Total]]*40%,0)</f>
        <v>0</v>
      </c>
      <c r="D3631" s="29">
        <f>ROUND(Balances[[#This Row],[Total]]*20%,0)</f>
        <v>0</v>
      </c>
      <c r="E3631" s="29">
        <f>ROUND(Balances[[#This Row],[Total]]*40%,0)</f>
        <v>0</v>
      </c>
      <c r="F3631" s="18">
        <f>SUM(Acueducto[[#This Row],[Acueducto]:[Aseo]])</f>
        <v>0</v>
      </c>
    </row>
    <row r="3632" spans="1:6" ht="15" x14ac:dyDescent="0.2">
      <c r="A3632" s="7">
        <v>891517</v>
      </c>
      <c r="B3632" s="3" t="s">
        <v>1617</v>
      </c>
      <c r="C3632" s="29">
        <f>ROUND(Balances[[#This Row],[Total]]*40%,0)</f>
        <v>0</v>
      </c>
      <c r="D3632" s="29">
        <f>ROUND(Balances[[#This Row],[Total]]*20%,0)</f>
        <v>0</v>
      </c>
      <c r="E3632" s="29">
        <f>ROUND(Balances[[#This Row],[Total]]*40%,0)</f>
        <v>0</v>
      </c>
      <c r="F3632" s="18">
        <f>SUM(Acueducto[[#This Row],[Acueducto]:[Aseo]])</f>
        <v>0</v>
      </c>
    </row>
    <row r="3633" spans="1:6" ht="15" x14ac:dyDescent="0.2">
      <c r="A3633" s="7">
        <v>891518</v>
      </c>
      <c r="B3633" s="3" t="s">
        <v>1618</v>
      </c>
      <c r="C3633" s="29">
        <f>ROUND(Balances[[#This Row],[Total]]*40%,0)</f>
        <v>0</v>
      </c>
      <c r="D3633" s="29">
        <f>ROUND(Balances[[#This Row],[Total]]*20%,0)</f>
        <v>0</v>
      </c>
      <c r="E3633" s="29">
        <f>ROUND(Balances[[#This Row],[Total]]*40%,0)</f>
        <v>0</v>
      </c>
      <c r="F3633" s="18">
        <f>SUM(Acueducto[[#This Row],[Acueducto]:[Aseo]])</f>
        <v>0</v>
      </c>
    </row>
    <row r="3634" spans="1:6" ht="15" x14ac:dyDescent="0.2">
      <c r="A3634" s="7">
        <v>891521</v>
      </c>
      <c r="B3634" s="3" t="s">
        <v>1619</v>
      </c>
      <c r="C3634" s="29">
        <f>ROUND(Balances[[#This Row],[Total]]*40%,0)</f>
        <v>0</v>
      </c>
      <c r="D3634" s="29">
        <f>ROUND(Balances[[#This Row],[Total]]*20%,0)</f>
        <v>0</v>
      </c>
      <c r="E3634" s="29">
        <f>ROUND(Balances[[#This Row],[Total]]*40%,0)</f>
        <v>0</v>
      </c>
      <c r="F3634" s="18">
        <f>SUM(Acueducto[[#This Row],[Acueducto]:[Aseo]])</f>
        <v>0</v>
      </c>
    </row>
    <row r="3635" spans="1:6" ht="15" x14ac:dyDescent="0.2">
      <c r="A3635" s="7">
        <v>891525</v>
      </c>
      <c r="B3635" s="3" t="s">
        <v>1620</v>
      </c>
      <c r="C3635" s="29">
        <f>ROUND(Balances[[#This Row],[Total]]*40%,0)</f>
        <v>0</v>
      </c>
      <c r="D3635" s="29">
        <f>ROUND(Balances[[#This Row],[Total]]*20%,0)</f>
        <v>0</v>
      </c>
      <c r="E3635" s="29">
        <f>ROUND(Balances[[#This Row],[Total]]*40%,0)</f>
        <v>0</v>
      </c>
      <c r="F3635" s="18">
        <f>SUM(Acueducto[[#This Row],[Acueducto]:[Aseo]])</f>
        <v>0</v>
      </c>
    </row>
    <row r="3636" spans="1:6" ht="15" x14ac:dyDescent="0.2">
      <c r="A3636" s="7">
        <v>891529</v>
      </c>
      <c r="B3636" s="3" t="s">
        <v>1621</v>
      </c>
      <c r="C3636" s="29">
        <f>ROUND(Balances[[#This Row],[Total]]*40%,0)</f>
        <v>0</v>
      </c>
      <c r="D3636" s="29">
        <f>ROUND(Balances[[#This Row],[Total]]*20%,0)</f>
        <v>0</v>
      </c>
      <c r="E3636" s="29">
        <f>ROUND(Balances[[#This Row],[Total]]*40%,0)</f>
        <v>0</v>
      </c>
      <c r="F3636" s="18">
        <f>SUM(Acueducto[[#This Row],[Acueducto]:[Aseo]])</f>
        <v>0</v>
      </c>
    </row>
    <row r="3637" spans="1:6" ht="15" x14ac:dyDescent="0.2">
      <c r="A3637" s="7">
        <v>891531</v>
      </c>
      <c r="B3637" s="3" t="s">
        <v>1552</v>
      </c>
      <c r="C3637" s="29">
        <f>ROUND(Balances[[#This Row],[Total]]*40%,0)</f>
        <v>0</v>
      </c>
      <c r="D3637" s="29">
        <f>ROUND(Balances[[#This Row],[Total]]*20%,0)</f>
        <v>0</v>
      </c>
      <c r="E3637" s="29">
        <f>ROUND(Balances[[#This Row],[Total]]*40%,0)</f>
        <v>0</v>
      </c>
      <c r="F3637" s="18">
        <f>SUM(Acueducto[[#This Row],[Acueducto]:[Aseo]])</f>
        <v>0</v>
      </c>
    </row>
    <row r="3638" spans="1:6" ht="15" x14ac:dyDescent="0.2">
      <c r="A3638" s="7">
        <v>891532</v>
      </c>
      <c r="B3638" s="3" t="s">
        <v>1622</v>
      </c>
      <c r="C3638" s="29">
        <f>ROUND(Balances[[#This Row],[Total]]*40%,0)</f>
        <v>0</v>
      </c>
      <c r="D3638" s="29">
        <f>ROUND(Balances[[#This Row],[Total]]*20%,0)</f>
        <v>0</v>
      </c>
      <c r="E3638" s="29">
        <f>ROUND(Balances[[#This Row],[Total]]*40%,0)</f>
        <v>0</v>
      </c>
      <c r="F3638" s="18">
        <f>SUM(Acueducto[[#This Row],[Acueducto]:[Aseo]])</f>
        <v>0</v>
      </c>
    </row>
    <row r="3639" spans="1:6" ht="15" x14ac:dyDescent="0.2">
      <c r="A3639" s="7">
        <v>891590</v>
      </c>
      <c r="B3639" s="3" t="s">
        <v>1623</v>
      </c>
      <c r="C3639" s="29">
        <f>ROUND(Balances[[#This Row],[Total]]*40%,0)</f>
        <v>0</v>
      </c>
      <c r="D3639" s="29">
        <f>ROUND(Balances[[#This Row],[Total]]*20%,0)</f>
        <v>0</v>
      </c>
      <c r="E3639" s="29">
        <f>ROUND(Balances[[#This Row],[Total]]*40%,0)</f>
        <v>0</v>
      </c>
      <c r="F3639" s="18">
        <f>SUM(Acueducto[[#This Row],[Acueducto]:[Aseo]])</f>
        <v>0</v>
      </c>
    </row>
    <row r="3640" spans="1:6" ht="15" x14ac:dyDescent="0.2">
      <c r="A3640" s="6">
        <v>9</v>
      </c>
      <c r="B3640" s="2" t="s">
        <v>1624</v>
      </c>
      <c r="C3640" s="28">
        <f>ROUND(Balances[[#This Row],[Total]]*40%,0)</f>
        <v>0</v>
      </c>
      <c r="D3640" s="28">
        <f>ROUND(Balances[[#This Row],[Total]]*20%,0)</f>
        <v>0</v>
      </c>
      <c r="E3640" s="28">
        <f>ROUND(Balances[[#This Row],[Total]]*40%,0)</f>
        <v>0</v>
      </c>
      <c r="F3640" s="17">
        <f>SUM(Acueducto[[#This Row],[Acueducto]:[Aseo]])</f>
        <v>0</v>
      </c>
    </row>
    <row r="3641" spans="1:6" ht="15" x14ac:dyDescent="0.2">
      <c r="A3641" s="6">
        <v>91</v>
      </c>
      <c r="B3641" s="2" t="s">
        <v>1625</v>
      </c>
      <c r="C3641" s="28">
        <f>ROUND(Balances[[#This Row],[Total]]*40%,0)</f>
        <v>0</v>
      </c>
      <c r="D3641" s="28">
        <f>ROUND(Balances[[#This Row],[Total]]*20%,0)</f>
        <v>0</v>
      </c>
      <c r="E3641" s="28">
        <f>ROUND(Balances[[#This Row],[Total]]*40%,0)</f>
        <v>0</v>
      </c>
      <c r="F3641" s="17">
        <f>SUM(Acueducto[[#This Row],[Acueducto]:[Aseo]])</f>
        <v>0</v>
      </c>
    </row>
    <row r="3642" spans="1:6" ht="15" x14ac:dyDescent="0.2">
      <c r="A3642" s="6">
        <v>9120</v>
      </c>
      <c r="B3642" s="2" t="s">
        <v>1515</v>
      </c>
      <c r="C3642" s="28">
        <f>ROUND(Balances[[#This Row],[Total]]*40%,0)</f>
        <v>0</v>
      </c>
      <c r="D3642" s="28">
        <f>ROUND(Balances[[#This Row],[Total]]*20%,0)</f>
        <v>0</v>
      </c>
      <c r="E3642" s="28">
        <f>ROUND(Balances[[#This Row],[Total]]*40%,0)</f>
        <v>0</v>
      </c>
      <c r="F3642" s="17">
        <f>SUM(Acueducto[[#This Row],[Acueducto]:[Aseo]])</f>
        <v>0</v>
      </c>
    </row>
    <row r="3643" spans="1:6" ht="15" x14ac:dyDescent="0.2">
      <c r="A3643" s="7">
        <v>912001</v>
      </c>
      <c r="B3643" s="3" t="s">
        <v>912</v>
      </c>
      <c r="C3643" s="29">
        <f>ROUND(Balances[[#This Row],[Total]]*40%,0)</f>
        <v>0</v>
      </c>
      <c r="D3643" s="29">
        <f>ROUND(Balances[[#This Row],[Total]]*20%,0)</f>
        <v>0</v>
      </c>
      <c r="E3643" s="29">
        <f>ROUND(Balances[[#This Row],[Total]]*40%,0)</f>
        <v>0</v>
      </c>
      <c r="F3643" s="18">
        <f>SUM(Acueducto[[#This Row],[Acueducto]:[Aseo]])</f>
        <v>0</v>
      </c>
    </row>
    <row r="3644" spans="1:6" ht="15" x14ac:dyDescent="0.2">
      <c r="A3644" s="7">
        <v>912002</v>
      </c>
      <c r="B3644" s="3" t="s">
        <v>916</v>
      </c>
      <c r="C3644" s="29">
        <f>ROUND(Balances[[#This Row],[Total]]*40%,0)</f>
        <v>0</v>
      </c>
      <c r="D3644" s="29">
        <f>ROUND(Balances[[#This Row],[Total]]*20%,0)</f>
        <v>0</v>
      </c>
      <c r="E3644" s="29">
        <f>ROUND(Balances[[#This Row],[Total]]*40%,0)</f>
        <v>0</v>
      </c>
      <c r="F3644" s="18">
        <f>SUM(Acueducto[[#This Row],[Acueducto]:[Aseo]])</f>
        <v>0</v>
      </c>
    </row>
    <row r="3645" spans="1:6" ht="15" x14ac:dyDescent="0.2">
      <c r="A3645" s="7">
        <v>912004</v>
      </c>
      <c r="B3645" s="3" t="s">
        <v>1626</v>
      </c>
      <c r="C3645" s="29">
        <f>ROUND(Balances[[#This Row],[Total]]*40%,0)</f>
        <v>0</v>
      </c>
      <c r="D3645" s="29">
        <f>ROUND(Balances[[#This Row],[Total]]*20%,0)</f>
        <v>0</v>
      </c>
      <c r="E3645" s="29">
        <f>ROUND(Balances[[#This Row],[Total]]*40%,0)</f>
        <v>0</v>
      </c>
      <c r="F3645" s="18">
        <f>SUM(Acueducto[[#This Row],[Acueducto]:[Aseo]])</f>
        <v>0</v>
      </c>
    </row>
    <row r="3646" spans="1:6" ht="15" x14ac:dyDescent="0.2">
      <c r="A3646" s="7">
        <v>912005</v>
      </c>
      <c r="B3646" s="3" t="s">
        <v>915</v>
      </c>
      <c r="C3646" s="29">
        <f>ROUND(Balances[[#This Row],[Total]]*40%,0)</f>
        <v>0</v>
      </c>
      <c r="D3646" s="29">
        <f>ROUND(Balances[[#This Row],[Total]]*20%,0)</f>
        <v>0</v>
      </c>
      <c r="E3646" s="29">
        <f>ROUND(Balances[[#This Row],[Total]]*40%,0)</f>
        <v>0</v>
      </c>
      <c r="F3646" s="18">
        <f>SUM(Acueducto[[#This Row],[Acueducto]:[Aseo]])</f>
        <v>0</v>
      </c>
    </row>
    <row r="3647" spans="1:6" ht="15" x14ac:dyDescent="0.2">
      <c r="A3647" s="7">
        <v>912090</v>
      </c>
      <c r="B3647" s="3" t="s">
        <v>1517</v>
      </c>
      <c r="C3647" s="29">
        <f>ROUND(Balances[[#This Row],[Total]]*40%,0)</f>
        <v>0</v>
      </c>
      <c r="D3647" s="29">
        <f>ROUND(Balances[[#This Row],[Total]]*20%,0)</f>
        <v>0</v>
      </c>
      <c r="E3647" s="29">
        <f>ROUND(Balances[[#This Row],[Total]]*40%,0)</f>
        <v>0</v>
      </c>
      <c r="F3647" s="18">
        <f>SUM(Acueducto[[#This Row],[Acueducto]:[Aseo]])</f>
        <v>0</v>
      </c>
    </row>
    <row r="3648" spans="1:6" ht="15" x14ac:dyDescent="0.2">
      <c r="A3648" s="6">
        <v>9128</v>
      </c>
      <c r="B3648" s="2" t="s">
        <v>1518</v>
      </c>
      <c r="C3648" s="28">
        <f>ROUND(Balances[[#This Row],[Total]]*40%,0)</f>
        <v>0</v>
      </c>
      <c r="D3648" s="28">
        <f>ROUND(Balances[[#This Row],[Total]]*20%,0)</f>
        <v>0</v>
      </c>
      <c r="E3648" s="28">
        <f>ROUND(Balances[[#This Row],[Total]]*40%,0)</f>
        <v>0</v>
      </c>
      <c r="F3648" s="17">
        <f>SUM(Acueducto[[#This Row],[Acueducto]:[Aseo]])</f>
        <v>0</v>
      </c>
    </row>
    <row r="3649" spans="1:6" ht="15" x14ac:dyDescent="0.2">
      <c r="A3649" s="7">
        <v>912801</v>
      </c>
      <c r="B3649" s="3" t="s">
        <v>1519</v>
      </c>
      <c r="C3649" s="29">
        <f>ROUND(Balances[[#This Row],[Total]]*40%,0)</f>
        <v>0</v>
      </c>
      <c r="D3649" s="29">
        <f>ROUND(Balances[[#This Row],[Total]]*20%,0)</f>
        <v>0</v>
      </c>
      <c r="E3649" s="29">
        <f>ROUND(Balances[[#This Row],[Total]]*40%,0)</f>
        <v>0</v>
      </c>
      <c r="F3649" s="18">
        <f>SUM(Acueducto[[#This Row],[Acueducto]:[Aseo]])</f>
        <v>0</v>
      </c>
    </row>
    <row r="3650" spans="1:6" ht="15" x14ac:dyDescent="0.2">
      <c r="A3650" s="7">
        <v>912802</v>
      </c>
      <c r="B3650" s="3" t="s">
        <v>1520</v>
      </c>
      <c r="C3650" s="29">
        <f>ROUND(Balances[[#This Row],[Total]]*40%,0)</f>
        <v>0</v>
      </c>
      <c r="D3650" s="29">
        <f>ROUND(Balances[[#This Row],[Total]]*20%,0)</f>
        <v>0</v>
      </c>
      <c r="E3650" s="29">
        <f>ROUND(Balances[[#This Row],[Total]]*40%,0)</f>
        <v>0</v>
      </c>
      <c r="F3650" s="18">
        <f>SUM(Acueducto[[#This Row],[Acueducto]:[Aseo]])</f>
        <v>0</v>
      </c>
    </row>
    <row r="3651" spans="1:6" ht="15" x14ac:dyDescent="0.2">
      <c r="A3651" s="7">
        <v>912803</v>
      </c>
      <c r="B3651" s="3" t="s">
        <v>1521</v>
      </c>
      <c r="C3651" s="29">
        <f>ROUND(Balances[[#This Row],[Total]]*40%,0)</f>
        <v>0</v>
      </c>
      <c r="D3651" s="29">
        <f>ROUND(Balances[[#This Row],[Total]]*20%,0)</f>
        <v>0</v>
      </c>
      <c r="E3651" s="29">
        <f>ROUND(Balances[[#This Row],[Total]]*40%,0)</f>
        <v>0</v>
      </c>
      <c r="F3651" s="18">
        <f>SUM(Acueducto[[#This Row],[Acueducto]:[Aseo]])</f>
        <v>0</v>
      </c>
    </row>
    <row r="3652" spans="1:6" ht="15" x14ac:dyDescent="0.2">
      <c r="A3652" s="7">
        <v>912804</v>
      </c>
      <c r="B3652" s="3" t="s">
        <v>1522</v>
      </c>
      <c r="C3652" s="29">
        <f>ROUND(Balances[[#This Row],[Total]]*40%,0)</f>
        <v>0</v>
      </c>
      <c r="D3652" s="29">
        <f>ROUND(Balances[[#This Row],[Total]]*20%,0)</f>
        <v>0</v>
      </c>
      <c r="E3652" s="29">
        <f>ROUND(Balances[[#This Row],[Total]]*40%,0)</f>
        <v>0</v>
      </c>
      <c r="F3652" s="18">
        <f>SUM(Acueducto[[#This Row],[Acueducto]:[Aseo]])</f>
        <v>0</v>
      </c>
    </row>
    <row r="3653" spans="1:6" ht="15" x14ac:dyDescent="0.2">
      <c r="A3653" s="7">
        <v>912805</v>
      </c>
      <c r="B3653" s="3" t="s">
        <v>1523</v>
      </c>
      <c r="C3653" s="29">
        <f>ROUND(Balances[[#This Row],[Total]]*40%,0)</f>
        <v>0</v>
      </c>
      <c r="D3653" s="29">
        <f>ROUND(Balances[[#This Row],[Total]]*20%,0)</f>
        <v>0</v>
      </c>
      <c r="E3653" s="29">
        <f>ROUND(Balances[[#This Row],[Total]]*40%,0)</f>
        <v>0</v>
      </c>
      <c r="F3653" s="18">
        <f>SUM(Acueducto[[#This Row],[Acueducto]:[Aseo]])</f>
        <v>0</v>
      </c>
    </row>
    <row r="3654" spans="1:6" ht="15" x14ac:dyDescent="0.2">
      <c r="A3654" s="7">
        <v>912806</v>
      </c>
      <c r="B3654" s="3" t="s">
        <v>1524</v>
      </c>
      <c r="C3654" s="29">
        <f>ROUND(Balances[[#This Row],[Total]]*40%,0)</f>
        <v>0</v>
      </c>
      <c r="D3654" s="29">
        <f>ROUND(Balances[[#This Row],[Total]]*20%,0)</f>
        <v>0</v>
      </c>
      <c r="E3654" s="29">
        <f>ROUND(Balances[[#This Row],[Total]]*40%,0)</f>
        <v>0</v>
      </c>
      <c r="F3654" s="18">
        <f>SUM(Acueducto[[#This Row],[Acueducto]:[Aseo]])</f>
        <v>0</v>
      </c>
    </row>
    <row r="3655" spans="1:6" ht="15" x14ac:dyDescent="0.2">
      <c r="A3655" s="7">
        <v>912807</v>
      </c>
      <c r="B3655" s="3" t="s">
        <v>1525</v>
      </c>
      <c r="C3655" s="29">
        <f>ROUND(Balances[[#This Row],[Total]]*40%,0)</f>
        <v>0</v>
      </c>
      <c r="D3655" s="29">
        <f>ROUND(Balances[[#This Row],[Total]]*20%,0)</f>
        <v>0</v>
      </c>
      <c r="E3655" s="29">
        <f>ROUND(Balances[[#This Row],[Total]]*40%,0)</f>
        <v>0</v>
      </c>
      <c r="F3655" s="18">
        <f>SUM(Acueducto[[#This Row],[Acueducto]:[Aseo]])</f>
        <v>0</v>
      </c>
    </row>
    <row r="3656" spans="1:6" ht="15" x14ac:dyDescent="0.2">
      <c r="A3656" s="7">
        <v>912890</v>
      </c>
      <c r="B3656" s="3" t="s">
        <v>1526</v>
      </c>
      <c r="C3656" s="29">
        <f>ROUND(Balances[[#This Row],[Total]]*40%,0)</f>
        <v>0</v>
      </c>
      <c r="D3656" s="29">
        <f>ROUND(Balances[[#This Row],[Total]]*20%,0)</f>
        <v>0</v>
      </c>
      <c r="E3656" s="29">
        <f>ROUND(Balances[[#This Row],[Total]]*40%,0)</f>
        <v>0</v>
      </c>
      <c r="F3656" s="18">
        <f>SUM(Acueducto[[#This Row],[Acueducto]:[Aseo]])</f>
        <v>0</v>
      </c>
    </row>
    <row r="3657" spans="1:6" ht="15" x14ac:dyDescent="0.2">
      <c r="A3657" s="6">
        <v>9129</v>
      </c>
      <c r="B3657" s="2" t="s">
        <v>1627</v>
      </c>
      <c r="C3657" s="28">
        <f>ROUND(Balances[[#This Row],[Total]]*40%,0)</f>
        <v>0</v>
      </c>
      <c r="D3657" s="28">
        <f>ROUND(Balances[[#This Row],[Total]]*20%,0)</f>
        <v>0</v>
      </c>
      <c r="E3657" s="28">
        <f>ROUND(Balances[[#This Row],[Total]]*40%,0)</f>
        <v>0</v>
      </c>
      <c r="F3657" s="17">
        <f>SUM(Acueducto[[#This Row],[Acueducto]:[Aseo]])</f>
        <v>0</v>
      </c>
    </row>
    <row r="3658" spans="1:6" ht="15" x14ac:dyDescent="0.2">
      <c r="A3658" s="7">
        <v>912907</v>
      </c>
      <c r="B3658" s="3" t="s">
        <v>1528</v>
      </c>
      <c r="C3658" s="29">
        <f>ROUND(Balances[[#This Row],[Total]]*40%,0)</f>
        <v>0</v>
      </c>
      <c r="D3658" s="29">
        <f>ROUND(Balances[[#This Row],[Total]]*20%,0)</f>
        <v>0</v>
      </c>
      <c r="E3658" s="29">
        <f>ROUND(Balances[[#This Row],[Total]]*40%,0)</f>
        <v>0</v>
      </c>
      <c r="F3658" s="18">
        <f>SUM(Acueducto[[#This Row],[Acueducto]:[Aseo]])</f>
        <v>0</v>
      </c>
    </row>
    <row r="3659" spans="1:6" ht="15" x14ac:dyDescent="0.2">
      <c r="A3659" s="7">
        <v>912908</v>
      </c>
      <c r="B3659" s="3" t="s">
        <v>1529</v>
      </c>
      <c r="C3659" s="29">
        <f>ROUND(Balances[[#This Row],[Total]]*40%,0)</f>
        <v>0</v>
      </c>
      <c r="D3659" s="29">
        <f>ROUND(Balances[[#This Row],[Total]]*20%,0)</f>
        <v>0</v>
      </c>
      <c r="E3659" s="29">
        <f>ROUND(Balances[[#This Row],[Total]]*40%,0)</f>
        <v>0</v>
      </c>
      <c r="F3659" s="18">
        <f>SUM(Acueducto[[#This Row],[Acueducto]:[Aseo]])</f>
        <v>0</v>
      </c>
    </row>
    <row r="3660" spans="1:6" ht="15" x14ac:dyDescent="0.2">
      <c r="A3660" s="6">
        <v>9190</v>
      </c>
      <c r="B3660" s="2" t="s">
        <v>1628</v>
      </c>
      <c r="C3660" s="28">
        <f>ROUND(Balances[[#This Row],[Total]]*40%,0)</f>
        <v>0</v>
      </c>
      <c r="D3660" s="28">
        <f>ROUND(Balances[[#This Row],[Total]]*20%,0)</f>
        <v>0</v>
      </c>
      <c r="E3660" s="28">
        <f>ROUND(Balances[[#This Row],[Total]]*40%,0)</f>
        <v>0</v>
      </c>
      <c r="F3660" s="17">
        <f>SUM(Acueducto[[#This Row],[Acueducto]:[Aseo]])</f>
        <v>0</v>
      </c>
    </row>
    <row r="3661" spans="1:6" ht="15" x14ac:dyDescent="0.2">
      <c r="A3661" s="7">
        <v>919001</v>
      </c>
      <c r="B3661" s="3" t="s">
        <v>1629</v>
      </c>
      <c r="C3661" s="29">
        <f>ROUND(Balances[[#This Row],[Total]]*40%,0)</f>
        <v>0</v>
      </c>
      <c r="D3661" s="29">
        <f>ROUND(Balances[[#This Row],[Total]]*20%,0)</f>
        <v>0</v>
      </c>
      <c r="E3661" s="29">
        <f>ROUND(Balances[[#This Row],[Total]]*40%,0)</f>
        <v>0</v>
      </c>
      <c r="F3661" s="18">
        <f>SUM(Acueducto[[#This Row],[Acueducto]:[Aseo]])</f>
        <v>0</v>
      </c>
    </row>
    <row r="3662" spans="1:6" ht="15" x14ac:dyDescent="0.2">
      <c r="A3662" s="7">
        <v>919002</v>
      </c>
      <c r="B3662" s="3" t="s">
        <v>1630</v>
      </c>
      <c r="C3662" s="29">
        <f>ROUND(Balances[[#This Row],[Total]]*40%,0)</f>
        <v>0</v>
      </c>
      <c r="D3662" s="29">
        <f>ROUND(Balances[[#This Row],[Total]]*20%,0)</f>
        <v>0</v>
      </c>
      <c r="E3662" s="29">
        <f>ROUND(Balances[[#This Row],[Total]]*40%,0)</f>
        <v>0</v>
      </c>
      <c r="F3662" s="18">
        <f>SUM(Acueducto[[#This Row],[Acueducto]:[Aseo]])</f>
        <v>0</v>
      </c>
    </row>
    <row r="3663" spans="1:6" ht="15" x14ac:dyDescent="0.2">
      <c r="A3663" s="7">
        <v>919003</v>
      </c>
      <c r="B3663" s="3" t="s">
        <v>1631</v>
      </c>
      <c r="C3663" s="29">
        <f>ROUND(Balances[[#This Row],[Total]]*40%,0)</f>
        <v>0</v>
      </c>
      <c r="D3663" s="29">
        <f>ROUND(Balances[[#This Row],[Total]]*20%,0)</f>
        <v>0</v>
      </c>
      <c r="E3663" s="29">
        <f>ROUND(Balances[[#This Row],[Total]]*40%,0)</f>
        <v>0</v>
      </c>
      <c r="F3663" s="18">
        <f>SUM(Acueducto[[#This Row],[Acueducto]:[Aseo]])</f>
        <v>0</v>
      </c>
    </row>
    <row r="3664" spans="1:6" ht="15" x14ac:dyDescent="0.2">
      <c r="A3664" s="7">
        <v>919090</v>
      </c>
      <c r="B3664" s="3" t="s">
        <v>1632</v>
      </c>
      <c r="C3664" s="29">
        <f>ROUND(Balances[[#This Row],[Total]]*40%,0)</f>
        <v>0</v>
      </c>
      <c r="D3664" s="29">
        <f>ROUND(Balances[[#This Row],[Total]]*20%,0)</f>
        <v>0</v>
      </c>
      <c r="E3664" s="29">
        <f>ROUND(Balances[[#This Row],[Total]]*40%,0)</f>
        <v>0</v>
      </c>
      <c r="F3664" s="18">
        <f>SUM(Acueducto[[#This Row],[Acueducto]:[Aseo]])</f>
        <v>0</v>
      </c>
    </row>
    <row r="3665" spans="1:6" ht="15" x14ac:dyDescent="0.2">
      <c r="A3665" s="6">
        <v>92</v>
      </c>
      <c r="B3665" s="2" t="s">
        <v>1633</v>
      </c>
      <c r="C3665" s="28">
        <f>ROUND(Balances[[#This Row],[Total]]*40%,0)</f>
        <v>0</v>
      </c>
      <c r="D3665" s="28">
        <f>ROUND(Balances[[#This Row],[Total]]*20%,0)</f>
        <v>0</v>
      </c>
      <c r="E3665" s="28">
        <f>ROUND(Balances[[#This Row],[Total]]*40%,0)</f>
        <v>0</v>
      </c>
      <c r="F3665" s="17">
        <f>SUM(Acueducto[[#This Row],[Acueducto]:[Aseo]])</f>
        <v>0</v>
      </c>
    </row>
    <row r="3666" spans="1:6" ht="15" x14ac:dyDescent="0.2">
      <c r="A3666" s="6">
        <v>93</v>
      </c>
      <c r="B3666" s="2" t="s">
        <v>1634</v>
      </c>
      <c r="C3666" s="28">
        <f>ROUND(Balances[[#This Row],[Total]]*40%,0)</f>
        <v>0</v>
      </c>
      <c r="D3666" s="28">
        <f>ROUND(Balances[[#This Row],[Total]]*20%,0)</f>
        <v>0</v>
      </c>
      <c r="E3666" s="28">
        <f>ROUND(Balances[[#This Row],[Total]]*40%,0)</f>
        <v>0</v>
      </c>
      <c r="F3666" s="17">
        <f>SUM(Acueducto[[#This Row],[Acueducto]:[Aseo]])</f>
        <v>0</v>
      </c>
    </row>
    <row r="3667" spans="1:6" ht="15" x14ac:dyDescent="0.2">
      <c r="A3667" s="6">
        <v>9301</v>
      </c>
      <c r="B3667" s="2" t="s">
        <v>1635</v>
      </c>
      <c r="C3667" s="28">
        <f>ROUND(Balances[[#This Row],[Total]]*40%,0)</f>
        <v>0</v>
      </c>
      <c r="D3667" s="28">
        <f>ROUND(Balances[[#This Row],[Total]]*20%,0)</f>
        <v>0</v>
      </c>
      <c r="E3667" s="28">
        <f>ROUND(Balances[[#This Row],[Total]]*40%,0)</f>
        <v>0</v>
      </c>
      <c r="F3667" s="17">
        <f>SUM(Acueducto[[#This Row],[Acueducto]:[Aseo]])</f>
        <v>0</v>
      </c>
    </row>
    <row r="3668" spans="1:6" ht="15" x14ac:dyDescent="0.2">
      <c r="A3668" s="7">
        <v>930101</v>
      </c>
      <c r="B3668" s="3" t="s">
        <v>1536</v>
      </c>
      <c r="C3668" s="29">
        <f>ROUND(Balances[[#This Row],[Total]]*40%,0)</f>
        <v>0</v>
      </c>
      <c r="D3668" s="29">
        <f>ROUND(Balances[[#This Row],[Total]]*20%,0)</f>
        <v>0</v>
      </c>
      <c r="E3668" s="29">
        <f>ROUND(Balances[[#This Row],[Total]]*40%,0)</f>
        <v>0</v>
      </c>
      <c r="F3668" s="18">
        <f>SUM(Acueducto[[#This Row],[Acueducto]:[Aseo]])</f>
        <v>0</v>
      </c>
    </row>
    <row r="3669" spans="1:6" ht="15" x14ac:dyDescent="0.2">
      <c r="A3669" s="7">
        <v>930102</v>
      </c>
      <c r="B3669" s="3" t="s">
        <v>619</v>
      </c>
      <c r="C3669" s="29">
        <f>ROUND(Balances[[#This Row],[Total]]*40%,0)</f>
        <v>0</v>
      </c>
      <c r="D3669" s="29">
        <f>ROUND(Balances[[#This Row],[Total]]*20%,0)</f>
        <v>0</v>
      </c>
      <c r="E3669" s="29">
        <f>ROUND(Balances[[#This Row],[Total]]*40%,0)</f>
        <v>0</v>
      </c>
      <c r="F3669" s="18">
        <f>SUM(Acueducto[[#This Row],[Acueducto]:[Aseo]])</f>
        <v>0</v>
      </c>
    </row>
    <row r="3670" spans="1:6" ht="15" x14ac:dyDescent="0.2">
      <c r="A3670" s="6">
        <v>9302</v>
      </c>
      <c r="B3670" s="2" t="s">
        <v>1636</v>
      </c>
      <c r="C3670" s="28">
        <f>ROUND(Balances[[#This Row],[Total]]*40%,0)</f>
        <v>0</v>
      </c>
      <c r="D3670" s="28">
        <f>ROUND(Balances[[#This Row],[Total]]*20%,0)</f>
        <v>0</v>
      </c>
      <c r="E3670" s="28">
        <f>ROUND(Balances[[#This Row],[Total]]*40%,0)</f>
        <v>0</v>
      </c>
      <c r="F3670" s="17">
        <f>SUM(Acueducto[[#This Row],[Acueducto]:[Aseo]])</f>
        <v>0</v>
      </c>
    </row>
    <row r="3671" spans="1:6" ht="15" x14ac:dyDescent="0.2">
      <c r="A3671" s="7">
        <v>930201</v>
      </c>
      <c r="B3671" s="3" t="s">
        <v>1637</v>
      </c>
      <c r="C3671" s="29">
        <f>ROUND(Balances[[#This Row],[Total]]*40%,0)</f>
        <v>0</v>
      </c>
      <c r="D3671" s="29">
        <f>ROUND(Balances[[#This Row],[Total]]*20%,0)</f>
        <v>0</v>
      </c>
      <c r="E3671" s="29">
        <f>ROUND(Balances[[#This Row],[Total]]*40%,0)</f>
        <v>0</v>
      </c>
      <c r="F3671" s="18">
        <f>SUM(Acueducto[[#This Row],[Acueducto]:[Aseo]])</f>
        <v>0</v>
      </c>
    </row>
    <row r="3672" spans="1:6" ht="15" x14ac:dyDescent="0.2">
      <c r="A3672" s="7">
        <v>930202</v>
      </c>
      <c r="B3672" s="3" t="s">
        <v>1638</v>
      </c>
      <c r="C3672" s="29">
        <f>ROUND(Balances[[#This Row],[Total]]*40%,0)</f>
        <v>0</v>
      </c>
      <c r="D3672" s="29">
        <f>ROUND(Balances[[#This Row],[Total]]*20%,0)</f>
        <v>0</v>
      </c>
      <c r="E3672" s="29">
        <f>ROUND(Balances[[#This Row],[Total]]*40%,0)</f>
        <v>0</v>
      </c>
      <c r="F3672" s="18">
        <f>SUM(Acueducto[[#This Row],[Acueducto]:[Aseo]])</f>
        <v>0</v>
      </c>
    </row>
    <row r="3673" spans="1:6" ht="15" x14ac:dyDescent="0.2">
      <c r="A3673" s="7">
        <v>930203</v>
      </c>
      <c r="B3673" s="3" t="s">
        <v>1639</v>
      </c>
      <c r="C3673" s="29">
        <f>ROUND(Balances[[#This Row],[Total]]*40%,0)</f>
        <v>0</v>
      </c>
      <c r="D3673" s="29">
        <f>ROUND(Balances[[#This Row],[Total]]*20%,0)</f>
        <v>0</v>
      </c>
      <c r="E3673" s="29">
        <f>ROUND(Balances[[#This Row],[Total]]*40%,0)</f>
        <v>0</v>
      </c>
      <c r="F3673" s="18">
        <f>SUM(Acueducto[[#This Row],[Acueducto]:[Aseo]])</f>
        <v>0</v>
      </c>
    </row>
    <row r="3674" spans="1:6" ht="15" x14ac:dyDescent="0.2">
      <c r="A3674" s="6">
        <v>9306</v>
      </c>
      <c r="B3674" s="2" t="s">
        <v>1640</v>
      </c>
      <c r="C3674" s="28">
        <f>ROUND(Balances[[#This Row],[Total]]*40%,0)</f>
        <v>0</v>
      </c>
      <c r="D3674" s="28">
        <f>ROUND(Balances[[#This Row],[Total]]*20%,0)</f>
        <v>0</v>
      </c>
      <c r="E3674" s="28">
        <f>ROUND(Balances[[#This Row],[Total]]*40%,0)</f>
        <v>0</v>
      </c>
      <c r="F3674" s="17">
        <f>SUM(Acueducto[[#This Row],[Acueducto]:[Aseo]])</f>
        <v>0</v>
      </c>
    </row>
    <row r="3675" spans="1:6" ht="15" x14ac:dyDescent="0.2">
      <c r="A3675" s="7">
        <v>930601</v>
      </c>
      <c r="B3675" s="3" t="s">
        <v>551</v>
      </c>
      <c r="C3675" s="29">
        <f>ROUND(Balances[[#This Row],[Total]]*40%,0)</f>
        <v>0</v>
      </c>
      <c r="D3675" s="29">
        <f>ROUND(Balances[[#This Row],[Total]]*20%,0)</f>
        <v>0</v>
      </c>
      <c r="E3675" s="29">
        <f>ROUND(Balances[[#This Row],[Total]]*40%,0)</f>
        <v>0</v>
      </c>
      <c r="F3675" s="18">
        <f>SUM(Acueducto[[#This Row],[Acueducto]:[Aseo]])</f>
        <v>0</v>
      </c>
    </row>
    <row r="3676" spans="1:6" ht="15" x14ac:dyDescent="0.2">
      <c r="A3676" s="7">
        <v>930602</v>
      </c>
      <c r="B3676" s="3" t="s">
        <v>638</v>
      </c>
      <c r="C3676" s="29">
        <f>ROUND(Balances[[#This Row],[Total]]*40%,0)</f>
        <v>0</v>
      </c>
      <c r="D3676" s="29">
        <f>ROUND(Balances[[#This Row],[Total]]*20%,0)</f>
        <v>0</v>
      </c>
      <c r="E3676" s="29">
        <f>ROUND(Balances[[#This Row],[Total]]*40%,0)</f>
        <v>0</v>
      </c>
      <c r="F3676" s="18">
        <f>SUM(Acueducto[[#This Row],[Acueducto]:[Aseo]])</f>
        <v>0</v>
      </c>
    </row>
    <row r="3677" spans="1:6" ht="15" x14ac:dyDescent="0.2">
      <c r="A3677" s="7">
        <v>930616</v>
      </c>
      <c r="B3677" s="3" t="s">
        <v>1538</v>
      </c>
      <c r="C3677" s="29">
        <f>ROUND(Balances[[#This Row],[Total]]*40%,0)</f>
        <v>0</v>
      </c>
      <c r="D3677" s="29">
        <f>ROUND(Balances[[#This Row],[Total]]*20%,0)</f>
        <v>0</v>
      </c>
      <c r="E3677" s="29">
        <f>ROUND(Balances[[#This Row],[Total]]*40%,0)</f>
        <v>0</v>
      </c>
      <c r="F3677" s="18">
        <f>SUM(Acueducto[[#This Row],[Acueducto]:[Aseo]])</f>
        <v>0</v>
      </c>
    </row>
    <row r="3678" spans="1:6" ht="15" x14ac:dyDescent="0.2">
      <c r="A3678" s="7">
        <v>930617</v>
      </c>
      <c r="B3678" s="3" t="s">
        <v>553</v>
      </c>
      <c r="C3678" s="29">
        <f>ROUND(Balances[[#This Row],[Total]]*40%,0)</f>
        <v>0</v>
      </c>
      <c r="D3678" s="29">
        <f>ROUND(Balances[[#This Row],[Total]]*20%,0)</f>
        <v>0</v>
      </c>
      <c r="E3678" s="29">
        <f>ROUND(Balances[[#This Row],[Total]]*40%,0)</f>
        <v>0</v>
      </c>
      <c r="F3678" s="18">
        <f>SUM(Acueducto[[#This Row],[Acueducto]:[Aseo]])</f>
        <v>0</v>
      </c>
    </row>
    <row r="3679" spans="1:6" ht="15" x14ac:dyDescent="0.2">
      <c r="A3679" s="7">
        <v>930618</v>
      </c>
      <c r="B3679" s="3" t="s">
        <v>555</v>
      </c>
      <c r="C3679" s="29">
        <f>ROUND(Balances[[#This Row],[Total]]*40%,0)</f>
        <v>0</v>
      </c>
      <c r="D3679" s="29">
        <f>ROUND(Balances[[#This Row],[Total]]*20%,0)</f>
        <v>0</v>
      </c>
      <c r="E3679" s="29">
        <f>ROUND(Balances[[#This Row],[Total]]*40%,0)</f>
        <v>0</v>
      </c>
      <c r="F3679" s="18">
        <f>SUM(Acueducto[[#This Row],[Acueducto]:[Aseo]])</f>
        <v>0</v>
      </c>
    </row>
    <row r="3680" spans="1:6" ht="15" x14ac:dyDescent="0.2">
      <c r="A3680" s="7">
        <v>930690</v>
      </c>
      <c r="B3680" s="3" t="s">
        <v>1641</v>
      </c>
      <c r="C3680" s="29">
        <f>ROUND(Balances[[#This Row],[Total]]*40%,0)</f>
        <v>0</v>
      </c>
      <c r="D3680" s="29">
        <f>ROUND(Balances[[#This Row],[Total]]*20%,0)</f>
        <v>0</v>
      </c>
      <c r="E3680" s="29">
        <f>ROUND(Balances[[#This Row],[Total]]*40%,0)</f>
        <v>0</v>
      </c>
      <c r="F3680" s="18">
        <f>SUM(Acueducto[[#This Row],[Acueducto]:[Aseo]])</f>
        <v>0</v>
      </c>
    </row>
    <row r="3681" spans="1:6" ht="15" x14ac:dyDescent="0.2">
      <c r="A3681" s="6">
        <v>9308</v>
      </c>
      <c r="B3681" s="2" t="s">
        <v>1642</v>
      </c>
      <c r="C3681" s="28">
        <f>ROUND(Balances[[#This Row],[Total]]*40%,0)</f>
        <v>0</v>
      </c>
      <c r="D3681" s="28">
        <f>ROUND(Balances[[#This Row],[Total]]*20%,0)</f>
        <v>0</v>
      </c>
      <c r="E3681" s="28">
        <f>ROUND(Balances[[#This Row],[Total]]*40%,0)</f>
        <v>0</v>
      </c>
      <c r="F3681" s="17">
        <f>SUM(Acueducto[[#This Row],[Acueducto]:[Aseo]])</f>
        <v>0</v>
      </c>
    </row>
    <row r="3682" spans="1:6" ht="15" x14ac:dyDescent="0.2">
      <c r="A3682" s="7">
        <v>930802</v>
      </c>
      <c r="B3682" s="3" t="s">
        <v>551</v>
      </c>
      <c r="C3682" s="29">
        <f>ROUND(Balances[[#This Row],[Total]]*40%,0)</f>
        <v>0</v>
      </c>
      <c r="D3682" s="29">
        <f>ROUND(Balances[[#This Row],[Total]]*20%,0)</f>
        <v>0</v>
      </c>
      <c r="E3682" s="29">
        <f>ROUND(Balances[[#This Row],[Total]]*40%,0)</f>
        <v>0</v>
      </c>
      <c r="F3682" s="18">
        <f>SUM(Acueducto[[#This Row],[Acueducto]:[Aseo]])</f>
        <v>0</v>
      </c>
    </row>
    <row r="3683" spans="1:6" ht="15" x14ac:dyDescent="0.2">
      <c r="A3683" s="7">
        <v>930803</v>
      </c>
      <c r="B3683" s="3" t="s">
        <v>1643</v>
      </c>
      <c r="C3683" s="29">
        <f>ROUND(Balances[[#This Row],[Total]]*40%,0)</f>
        <v>0</v>
      </c>
      <c r="D3683" s="29">
        <f>ROUND(Balances[[#This Row],[Total]]*20%,0)</f>
        <v>0</v>
      </c>
      <c r="E3683" s="29">
        <f>ROUND(Balances[[#This Row],[Total]]*40%,0)</f>
        <v>0</v>
      </c>
      <c r="F3683" s="18">
        <f>SUM(Acueducto[[#This Row],[Acueducto]:[Aseo]])</f>
        <v>0</v>
      </c>
    </row>
    <row r="3684" spans="1:6" ht="15" x14ac:dyDescent="0.2">
      <c r="A3684" s="7">
        <v>930804</v>
      </c>
      <c r="B3684" s="3" t="s">
        <v>1644</v>
      </c>
      <c r="C3684" s="29">
        <f>ROUND(Balances[[#This Row],[Total]]*40%,0)</f>
        <v>0</v>
      </c>
      <c r="D3684" s="29">
        <f>ROUND(Balances[[#This Row],[Total]]*20%,0)</f>
        <v>0</v>
      </c>
      <c r="E3684" s="29">
        <f>ROUND(Balances[[#This Row],[Total]]*40%,0)</f>
        <v>0</v>
      </c>
      <c r="F3684" s="18">
        <f>SUM(Acueducto[[#This Row],[Acueducto]:[Aseo]])</f>
        <v>0</v>
      </c>
    </row>
    <row r="3685" spans="1:6" ht="15" x14ac:dyDescent="0.2">
      <c r="A3685" s="7">
        <v>930805</v>
      </c>
      <c r="B3685" s="3" t="s">
        <v>619</v>
      </c>
      <c r="C3685" s="29">
        <f>ROUND(Balances[[#This Row],[Total]]*40%,0)</f>
        <v>0</v>
      </c>
      <c r="D3685" s="29">
        <f>ROUND(Balances[[#This Row],[Total]]*20%,0)</f>
        <v>0</v>
      </c>
      <c r="E3685" s="29">
        <f>ROUND(Balances[[#This Row],[Total]]*40%,0)</f>
        <v>0</v>
      </c>
      <c r="F3685" s="18">
        <f>SUM(Acueducto[[#This Row],[Acueducto]:[Aseo]])</f>
        <v>0</v>
      </c>
    </row>
    <row r="3686" spans="1:6" ht="15" x14ac:dyDescent="0.2">
      <c r="A3686" s="7">
        <v>930806</v>
      </c>
      <c r="B3686" s="3" t="s">
        <v>1536</v>
      </c>
      <c r="C3686" s="29">
        <f>ROUND(Balances[[#This Row],[Total]]*40%,0)</f>
        <v>0</v>
      </c>
      <c r="D3686" s="29">
        <f>ROUND(Balances[[#This Row],[Total]]*20%,0)</f>
        <v>0</v>
      </c>
      <c r="E3686" s="29">
        <f>ROUND(Balances[[#This Row],[Total]]*40%,0)</f>
        <v>0</v>
      </c>
      <c r="F3686" s="18">
        <f>SUM(Acueducto[[#This Row],[Acueducto]:[Aseo]])</f>
        <v>0</v>
      </c>
    </row>
    <row r="3687" spans="1:6" ht="15" x14ac:dyDescent="0.2">
      <c r="A3687" s="6">
        <v>9311</v>
      </c>
      <c r="B3687" s="2" t="s">
        <v>1645</v>
      </c>
      <c r="C3687" s="28">
        <f>ROUND(Balances[[#This Row],[Total]]*40%,0)</f>
        <v>0</v>
      </c>
      <c r="D3687" s="28">
        <f>ROUND(Balances[[#This Row],[Total]]*20%,0)</f>
        <v>0</v>
      </c>
      <c r="E3687" s="28">
        <f>ROUND(Balances[[#This Row],[Total]]*40%,0)</f>
        <v>0</v>
      </c>
      <c r="F3687" s="17">
        <f>SUM(Acueducto[[#This Row],[Acueducto]:[Aseo]])</f>
        <v>0</v>
      </c>
    </row>
    <row r="3688" spans="1:6" ht="15" x14ac:dyDescent="0.2">
      <c r="A3688" s="7">
        <v>931101</v>
      </c>
      <c r="B3688" s="3" t="s">
        <v>1646</v>
      </c>
      <c r="C3688" s="29">
        <f>ROUND(Balances[[#This Row],[Total]]*40%,0)</f>
        <v>0</v>
      </c>
      <c r="D3688" s="29">
        <f>ROUND(Balances[[#This Row],[Total]]*20%,0)</f>
        <v>0</v>
      </c>
      <c r="E3688" s="29">
        <f>ROUND(Balances[[#This Row],[Total]]*40%,0)</f>
        <v>0</v>
      </c>
      <c r="F3688" s="18">
        <f>SUM(Acueducto[[#This Row],[Acueducto]:[Aseo]])</f>
        <v>0</v>
      </c>
    </row>
    <row r="3689" spans="1:6" ht="15" x14ac:dyDescent="0.2">
      <c r="A3689" s="7">
        <v>931102</v>
      </c>
      <c r="B3689" s="3" t="s">
        <v>234</v>
      </c>
      <c r="C3689" s="29">
        <f>ROUND(Balances[[#This Row],[Total]]*40%,0)</f>
        <v>0</v>
      </c>
      <c r="D3689" s="29">
        <f>ROUND(Balances[[#This Row],[Total]]*20%,0)</f>
        <v>0</v>
      </c>
      <c r="E3689" s="29">
        <f>ROUND(Balances[[#This Row],[Total]]*40%,0)</f>
        <v>0</v>
      </c>
      <c r="F3689" s="18">
        <f>SUM(Acueducto[[#This Row],[Acueducto]:[Aseo]])</f>
        <v>0</v>
      </c>
    </row>
    <row r="3690" spans="1:6" ht="15" x14ac:dyDescent="0.2">
      <c r="A3690" s="7">
        <v>931103</v>
      </c>
      <c r="B3690" s="3" t="s">
        <v>1647</v>
      </c>
      <c r="C3690" s="29">
        <f>ROUND(Balances[[#This Row],[Total]]*40%,0)</f>
        <v>0</v>
      </c>
      <c r="D3690" s="29">
        <f>ROUND(Balances[[#This Row],[Total]]*20%,0)</f>
        <v>0</v>
      </c>
      <c r="E3690" s="29">
        <f>ROUND(Balances[[#This Row],[Total]]*40%,0)</f>
        <v>0</v>
      </c>
      <c r="F3690" s="18">
        <f>SUM(Acueducto[[#This Row],[Acueducto]:[Aseo]])</f>
        <v>0</v>
      </c>
    </row>
    <row r="3691" spans="1:6" ht="15" x14ac:dyDescent="0.2">
      <c r="A3691" s="7">
        <v>931104</v>
      </c>
      <c r="B3691" s="3" t="s">
        <v>1648</v>
      </c>
      <c r="C3691" s="29">
        <f>ROUND(Balances[[#This Row],[Total]]*40%,0)</f>
        <v>0</v>
      </c>
      <c r="D3691" s="29">
        <f>ROUND(Balances[[#This Row],[Total]]*20%,0)</f>
        <v>0</v>
      </c>
      <c r="E3691" s="29">
        <f>ROUND(Balances[[#This Row],[Total]]*40%,0)</f>
        <v>0</v>
      </c>
      <c r="F3691" s="18">
        <f>SUM(Acueducto[[#This Row],[Acueducto]:[Aseo]])</f>
        <v>0</v>
      </c>
    </row>
    <row r="3692" spans="1:6" ht="15" x14ac:dyDescent="0.2">
      <c r="A3692" s="7">
        <v>931105</v>
      </c>
      <c r="B3692" s="3" t="s">
        <v>1649</v>
      </c>
      <c r="C3692" s="29">
        <f>ROUND(Balances[[#This Row],[Total]]*40%,0)</f>
        <v>0</v>
      </c>
      <c r="D3692" s="29">
        <f>ROUND(Balances[[#This Row],[Total]]*20%,0)</f>
        <v>0</v>
      </c>
      <c r="E3692" s="29">
        <f>ROUND(Balances[[#This Row],[Total]]*40%,0)</f>
        <v>0</v>
      </c>
      <c r="F3692" s="18">
        <f>SUM(Acueducto[[#This Row],[Acueducto]:[Aseo]])</f>
        <v>0</v>
      </c>
    </row>
    <row r="3693" spans="1:6" ht="15" x14ac:dyDescent="0.2">
      <c r="A3693" s="7">
        <v>931106</v>
      </c>
      <c r="B3693" s="3" t="s">
        <v>1650</v>
      </c>
      <c r="C3693" s="29">
        <f>ROUND(Balances[[#This Row],[Total]]*40%,0)</f>
        <v>0</v>
      </c>
      <c r="D3693" s="29">
        <f>ROUND(Balances[[#This Row],[Total]]*20%,0)</f>
        <v>0</v>
      </c>
      <c r="E3693" s="29">
        <f>ROUND(Balances[[#This Row],[Total]]*40%,0)</f>
        <v>0</v>
      </c>
      <c r="F3693" s="18">
        <f>SUM(Acueducto[[#This Row],[Acueducto]:[Aseo]])</f>
        <v>0</v>
      </c>
    </row>
    <row r="3694" spans="1:6" ht="15" x14ac:dyDescent="0.2">
      <c r="A3694" s="6">
        <v>9312</v>
      </c>
      <c r="B3694" s="2" t="s">
        <v>1651</v>
      </c>
      <c r="C3694" s="28">
        <f>ROUND(Balances[[#This Row],[Total]]*40%,0)</f>
        <v>0</v>
      </c>
      <c r="D3694" s="28">
        <f>ROUND(Balances[[#This Row],[Total]]*20%,0)</f>
        <v>0</v>
      </c>
      <c r="E3694" s="28">
        <f>ROUND(Balances[[#This Row],[Total]]*40%,0)</f>
        <v>0</v>
      </c>
      <c r="F3694" s="17">
        <f>SUM(Acueducto[[#This Row],[Acueducto]:[Aseo]])</f>
        <v>0</v>
      </c>
    </row>
    <row r="3695" spans="1:6" ht="15" x14ac:dyDescent="0.2">
      <c r="A3695" s="7">
        <v>931202</v>
      </c>
      <c r="B3695" s="3" t="s">
        <v>1652</v>
      </c>
      <c r="C3695" s="29">
        <f>ROUND(Balances[[#This Row],[Total]]*40%,0)</f>
        <v>0</v>
      </c>
      <c r="D3695" s="29">
        <f>ROUND(Balances[[#This Row],[Total]]*20%,0)</f>
        <v>0</v>
      </c>
      <c r="E3695" s="29">
        <f>ROUND(Balances[[#This Row],[Total]]*40%,0)</f>
        <v>0</v>
      </c>
      <c r="F3695" s="18">
        <f>SUM(Acueducto[[#This Row],[Acueducto]:[Aseo]])</f>
        <v>0</v>
      </c>
    </row>
    <row r="3696" spans="1:6" ht="15" x14ac:dyDescent="0.2">
      <c r="A3696" s="6">
        <v>9313</v>
      </c>
      <c r="B3696" s="2" t="s">
        <v>1653</v>
      </c>
      <c r="C3696" s="28">
        <f>ROUND(Balances[[#This Row],[Total]]*40%,0)</f>
        <v>0</v>
      </c>
      <c r="D3696" s="28">
        <f>ROUND(Balances[[#This Row],[Total]]*20%,0)</f>
        <v>0</v>
      </c>
      <c r="E3696" s="28">
        <f>ROUND(Balances[[#This Row],[Total]]*40%,0)</f>
        <v>0</v>
      </c>
      <c r="F3696" s="17">
        <f>SUM(Acueducto[[#This Row],[Acueducto]:[Aseo]])</f>
        <v>0</v>
      </c>
    </row>
    <row r="3697" spans="1:6" ht="15" x14ac:dyDescent="0.2">
      <c r="A3697" s="7">
        <v>931301</v>
      </c>
      <c r="B3697" s="3" t="s">
        <v>1654</v>
      </c>
      <c r="C3697" s="29">
        <f>ROUND(Balances[[#This Row],[Total]]*40%,0)</f>
        <v>0</v>
      </c>
      <c r="D3697" s="29">
        <f>ROUND(Balances[[#This Row],[Total]]*20%,0)</f>
        <v>0</v>
      </c>
      <c r="E3697" s="29">
        <f>ROUND(Balances[[#This Row],[Total]]*40%,0)</f>
        <v>0</v>
      </c>
      <c r="F3697" s="18">
        <f>SUM(Acueducto[[#This Row],[Acueducto]:[Aseo]])</f>
        <v>0</v>
      </c>
    </row>
    <row r="3698" spans="1:6" ht="15" x14ac:dyDescent="0.2">
      <c r="A3698" s="6">
        <v>9350</v>
      </c>
      <c r="B3698" s="2" t="s">
        <v>1655</v>
      </c>
      <c r="C3698" s="28">
        <f>ROUND(Balances[[#This Row],[Total]]*40%,0)</f>
        <v>0</v>
      </c>
      <c r="D3698" s="28">
        <f>ROUND(Balances[[#This Row],[Total]]*20%,0)</f>
        <v>0</v>
      </c>
      <c r="E3698" s="28">
        <f>ROUND(Balances[[#This Row],[Total]]*40%,0)</f>
        <v>0</v>
      </c>
      <c r="F3698" s="17">
        <f>SUM(Acueducto[[#This Row],[Acueducto]:[Aseo]])</f>
        <v>0</v>
      </c>
    </row>
    <row r="3699" spans="1:6" ht="15" x14ac:dyDescent="0.2">
      <c r="A3699" s="7">
        <v>935001</v>
      </c>
      <c r="B3699" s="3" t="s">
        <v>1656</v>
      </c>
      <c r="C3699" s="29">
        <f>ROUND(Balances[[#This Row],[Total]]*40%,0)</f>
        <v>0</v>
      </c>
      <c r="D3699" s="29">
        <f>ROUND(Balances[[#This Row],[Total]]*20%,0)</f>
        <v>0</v>
      </c>
      <c r="E3699" s="29">
        <f>ROUND(Balances[[#This Row],[Total]]*40%,0)</f>
        <v>0</v>
      </c>
      <c r="F3699" s="18">
        <f>SUM(Acueducto[[#This Row],[Acueducto]:[Aseo]])</f>
        <v>0</v>
      </c>
    </row>
    <row r="3700" spans="1:6" ht="15" x14ac:dyDescent="0.2">
      <c r="A3700" s="7">
        <v>935002</v>
      </c>
      <c r="B3700" s="3" t="s">
        <v>1657</v>
      </c>
      <c r="C3700" s="29">
        <f>ROUND(Balances[[#This Row],[Total]]*40%,0)</f>
        <v>0</v>
      </c>
      <c r="D3700" s="29">
        <f>ROUND(Balances[[#This Row],[Total]]*20%,0)</f>
        <v>0</v>
      </c>
      <c r="E3700" s="29">
        <f>ROUND(Balances[[#This Row],[Total]]*40%,0)</f>
        <v>0</v>
      </c>
      <c r="F3700" s="18">
        <f>SUM(Acueducto[[#This Row],[Acueducto]:[Aseo]])</f>
        <v>0</v>
      </c>
    </row>
    <row r="3701" spans="1:6" ht="15" x14ac:dyDescent="0.2">
      <c r="A3701" s="7">
        <v>935003</v>
      </c>
      <c r="B3701" s="3" t="s">
        <v>1658</v>
      </c>
      <c r="C3701" s="29">
        <f>ROUND(Balances[[#This Row],[Total]]*40%,0)</f>
        <v>0</v>
      </c>
      <c r="D3701" s="29">
        <f>ROUND(Balances[[#This Row],[Total]]*20%,0)</f>
        <v>0</v>
      </c>
      <c r="E3701" s="29">
        <f>ROUND(Balances[[#This Row],[Total]]*40%,0)</f>
        <v>0</v>
      </c>
      <c r="F3701" s="18">
        <f>SUM(Acueducto[[#This Row],[Acueducto]:[Aseo]])</f>
        <v>0</v>
      </c>
    </row>
    <row r="3702" spans="1:6" ht="15" x14ac:dyDescent="0.2">
      <c r="A3702" s="7">
        <v>935004</v>
      </c>
      <c r="B3702" s="3" t="s">
        <v>1659</v>
      </c>
      <c r="C3702" s="29">
        <f>ROUND(Balances[[#This Row],[Total]]*40%,0)</f>
        <v>0</v>
      </c>
      <c r="D3702" s="29">
        <f>ROUND(Balances[[#This Row],[Total]]*20%,0)</f>
        <v>0</v>
      </c>
      <c r="E3702" s="29">
        <f>ROUND(Balances[[#This Row],[Total]]*40%,0)</f>
        <v>0</v>
      </c>
      <c r="F3702" s="18">
        <f>SUM(Acueducto[[#This Row],[Acueducto]:[Aseo]])</f>
        <v>0</v>
      </c>
    </row>
    <row r="3703" spans="1:6" ht="15" x14ac:dyDescent="0.2">
      <c r="A3703" s="7">
        <v>935005</v>
      </c>
      <c r="B3703" s="3" t="s">
        <v>1660</v>
      </c>
      <c r="C3703" s="29">
        <f>ROUND(Balances[[#This Row],[Total]]*40%,0)</f>
        <v>0</v>
      </c>
      <c r="D3703" s="29">
        <f>ROUND(Balances[[#This Row],[Total]]*20%,0)</f>
        <v>0</v>
      </c>
      <c r="E3703" s="29">
        <f>ROUND(Balances[[#This Row],[Total]]*40%,0)</f>
        <v>0</v>
      </c>
      <c r="F3703" s="18">
        <f>SUM(Acueducto[[#This Row],[Acueducto]:[Aseo]])</f>
        <v>0</v>
      </c>
    </row>
    <row r="3704" spans="1:6" ht="15" x14ac:dyDescent="0.2">
      <c r="A3704" s="7">
        <v>935090</v>
      </c>
      <c r="B3704" s="3" t="s">
        <v>1661</v>
      </c>
      <c r="C3704" s="29">
        <f>ROUND(Balances[[#This Row],[Total]]*40%,0)</f>
        <v>0</v>
      </c>
      <c r="D3704" s="29">
        <f>ROUND(Balances[[#This Row],[Total]]*20%,0)</f>
        <v>0</v>
      </c>
      <c r="E3704" s="29">
        <f>ROUND(Balances[[#This Row],[Total]]*40%,0)</f>
        <v>0</v>
      </c>
      <c r="F3704" s="18">
        <f>SUM(Acueducto[[#This Row],[Acueducto]:[Aseo]])</f>
        <v>0</v>
      </c>
    </row>
    <row r="3705" spans="1:6" ht="15" x14ac:dyDescent="0.2">
      <c r="A3705" s="6">
        <v>9355</v>
      </c>
      <c r="B3705" s="2" t="s">
        <v>1579</v>
      </c>
      <c r="C3705" s="28">
        <f>ROUND(Balances[[#This Row],[Total]]*40%,0)</f>
        <v>0</v>
      </c>
      <c r="D3705" s="28">
        <f>ROUND(Balances[[#This Row],[Total]]*20%,0)</f>
        <v>0</v>
      </c>
      <c r="E3705" s="28">
        <f>ROUND(Balances[[#This Row],[Total]]*40%,0)</f>
        <v>0</v>
      </c>
      <c r="F3705" s="17">
        <f>SUM(Acueducto[[#This Row],[Acueducto]:[Aseo]])</f>
        <v>0</v>
      </c>
    </row>
    <row r="3706" spans="1:6" ht="15" x14ac:dyDescent="0.2">
      <c r="A3706" s="7">
        <v>935501</v>
      </c>
      <c r="B3706" s="3" t="s">
        <v>1662</v>
      </c>
      <c r="C3706" s="29">
        <f>ROUND(Balances[[#This Row],[Total]]*40%,0)</f>
        <v>0</v>
      </c>
      <c r="D3706" s="29">
        <f>ROUND(Balances[[#This Row],[Total]]*20%,0)</f>
        <v>0</v>
      </c>
      <c r="E3706" s="29">
        <f>ROUND(Balances[[#This Row],[Total]]*40%,0)</f>
        <v>0</v>
      </c>
      <c r="F3706" s="18">
        <f>SUM(Acueducto[[#This Row],[Acueducto]:[Aseo]])</f>
        <v>0</v>
      </c>
    </row>
    <row r="3707" spans="1:6" ht="15" x14ac:dyDescent="0.2">
      <c r="A3707" s="7">
        <v>935502</v>
      </c>
      <c r="B3707" s="3" t="s">
        <v>1663</v>
      </c>
      <c r="C3707" s="29">
        <f>ROUND(Balances[[#This Row],[Total]]*40%,0)</f>
        <v>0</v>
      </c>
      <c r="D3707" s="29">
        <f>ROUND(Balances[[#This Row],[Total]]*20%,0)</f>
        <v>0</v>
      </c>
      <c r="E3707" s="29">
        <f>ROUND(Balances[[#This Row],[Total]]*40%,0)</f>
        <v>0</v>
      </c>
      <c r="F3707" s="18">
        <f>SUM(Acueducto[[#This Row],[Acueducto]:[Aseo]])</f>
        <v>0</v>
      </c>
    </row>
    <row r="3708" spans="1:6" ht="15" x14ac:dyDescent="0.2">
      <c r="A3708" s="6">
        <v>9390</v>
      </c>
      <c r="B3708" s="2" t="s">
        <v>1664</v>
      </c>
      <c r="C3708" s="28">
        <f>ROUND(Balances[[#This Row],[Total]]*40%,0)</f>
        <v>0</v>
      </c>
      <c r="D3708" s="28">
        <f>ROUND(Balances[[#This Row],[Total]]*20%,0)</f>
        <v>0</v>
      </c>
      <c r="E3708" s="28">
        <f>ROUND(Balances[[#This Row],[Total]]*40%,0)</f>
        <v>0</v>
      </c>
      <c r="F3708" s="17">
        <f>SUM(Acueducto[[#This Row],[Acueducto]:[Aseo]])</f>
        <v>0</v>
      </c>
    </row>
    <row r="3709" spans="1:6" ht="15" x14ac:dyDescent="0.2">
      <c r="A3709" s="7">
        <v>939002</v>
      </c>
      <c r="B3709" s="3" t="s">
        <v>1665</v>
      </c>
      <c r="C3709" s="29">
        <f>ROUND(Balances[[#This Row],[Total]]*40%,0)</f>
        <v>0</v>
      </c>
      <c r="D3709" s="29">
        <f>ROUND(Balances[[#This Row],[Total]]*20%,0)</f>
        <v>0</v>
      </c>
      <c r="E3709" s="29">
        <f>ROUND(Balances[[#This Row],[Total]]*40%,0)</f>
        <v>0</v>
      </c>
      <c r="F3709" s="18">
        <f>SUM(Acueducto[[#This Row],[Acueducto]:[Aseo]])</f>
        <v>0</v>
      </c>
    </row>
    <row r="3710" spans="1:6" ht="15" x14ac:dyDescent="0.2">
      <c r="A3710" s="7">
        <v>939004</v>
      </c>
      <c r="B3710" s="3" t="s">
        <v>1666</v>
      </c>
      <c r="C3710" s="29">
        <f>ROUND(Balances[[#This Row],[Total]]*40%,0)</f>
        <v>0</v>
      </c>
      <c r="D3710" s="29">
        <f>ROUND(Balances[[#This Row],[Total]]*20%,0)</f>
        <v>0</v>
      </c>
      <c r="E3710" s="29">
        <f>ROUND(Balances[[#This Row],[Total]]*40%,0)</f>
        <v>0</v>
      </c>
      <c r="F3710" s="18">
        <f>SUM(Acueducto[[#This Row],[Acueducto]:[Aseo]])</f>
        <v>0</v>
      </c>
    </row>
    <row r="3711" spans="1:6" ht="15" x14ac:dyDescent="0.2">
      <c r="A3711" s="7">
        <v>939010</v>
      </c>
      <c r="B3711" s="3" t="s">
        <v>817</v>
      </c>
      <c r="C3711" s="29">
        <f>ROUND(Balances[[#This Row],[Total]]*40%,0)</f>
        <v>0</v>
      </c>
      <c r="D3711" s="29">
        <f>ROUND(Balances[[#This Row],[Total]]*20%,0)</f>
        <v>0</v>
      </c>
      <c r="E3711" s="29">
        <f>ROUND(Balances[[#This Row],[Total]]*40%,0)</f>
        <v>0</v>
      </c>
      <c r="F3711" s="18">
        <f>SUM(Acueducto[[#This Row],[Acueducto]:[Aseo]])</f>
        <v>0</v>
      </c>
    </row>
    <row r="3712" spans="1:6" ht="15" x14ac:dyDescent="0.2">
      <c r="A3712" s="7">
        <v>939011</v>
      </c>
      <c r="B3712" s="3" t="s">
        <v>1667</v>
      </c>
      <c r="C3712" s="29">
        <f>ROUND(Balances[[#This Row],[Total]]*40%,0)</f>
        <v>0</v>
      </c>
      <c r="D3712" s="29">
        <f>ROUND(Balances[[#This Row],[Total]]*20%,0)</f>
        <v>0</v>
      </c>
      <c r="E3712" s="29">
        <f>ROUND(Balances[[#This Row],[Total]]*40%,0)</f>
        <v>0</v>
      </c>
      <c r="F3712" s="18">
        <f>SUM(Acueducto[[#This Row],[Acueducto]:[Aseo]])</f>
        <v>0</v>
      </c>
    </row>
    <row r="3713" spans="1:6" ht="15" x14ac:dyDescent="0.2">
      <c r="A3713" s="7">
        <v>939012</v>
      </c>
      <c r="B3713" s="3" t="s">
        <v>1668</v>
      </c>
      <c r="C3713" s="29">
        <f>ROUND(Balances[[#This Row],[Total]]*40%,0)</f>
        <v>0</v>
      </c>
      <c r="D3713" s="29">
        <f>ROUND(Balances[[#This Row],[Total]]*20%,0)</f>
        <v>0</v>
      </c>
      <c r="E3713" s="29">
        <f>ROUND(Balances[[#This Row],[Total]]*40%,0)</f>
        <v>0</v>
      </c>
      <c r="F3713" s="18">
        <f>SUM(Acueducto[[#This Row],[Acueducto]:[Aseo]])</f>
        <v>0</v>
      </c>
    </row>
    <row r="3714" spans="1:6" ht="15" x14ac:dyDescent="0.2">
      <c r="A3714" s="7">
        <v>939013</v>
      </c>
      <c r="B3714" s="3" t="s">
        <v>1669</v>
      </c>
      <c r="C3714" s="29">
        <f>ROUND(Balances[[#This Row],[Total]]*40%,0)</f>
        <v>0</v>
      </c>
      <c r="D3714" s="29">
        <f>ROUND(Balances[[#This Row],[Total]]*20%,0)</f>
        <v>0</v>
      </c>
      <c r="E3714" s="29">
        <f>ROUND(Balances[[#This Row],[Total]]*40%,0)</f>
        <v>0</v>
      </c>
      <c r="F3714" s="18">
        <f>SUM(Acueducto[[#This Row],[Acueducto]:[Aseo]])</f>
        <v>0</v>
      </c>
    </row>
    <row r="3715" spans="1:6" ht="15" x14ac:dyDescent="0.2">
      <c r="A3715" s="7">
        <v>939017</v>
      </c>
      <c r="B3715" s="3" t="s">
        <v>689</v>
      </c>
      <c r="C3715" s="29">
        <f>ROUND(Balances[[#This Row],[Total]]*40%,0)</f>
        <v>0</v>
      </c>
      <c r="D3715" s="29">
        <f>ROUND(Balances[[#This Row],[Total]]*20%,0)</f>
        <v>0</v>
      </c>
      <c r="E3715" s="29">
        <f>ROUND(Balances[[#This Row],[Total]]*40%,0)</f>
        <v>0</v>
      </c>
      <c r="F3715" s="18">
        <f>SUM(Acueducto[[#This Row],[Acueducto]:[Aseo]])</f>
        <v>0</v>
      </c>
    </row>
    <row r="3716" spans="1:6" ht="15" x14ac:dyDescent="0.2">
      <c r="A3716" s="7">
        <v>939090</v>
      </c>
      <c r="B3716" s="3" t="s">
        <v>1670</v>
      </c>
      <c r="C3716" s="29">
        <f>ROUND(Balances[[#This Row],[Total]]*40%,0)</f>
        <v>0</v>
      </c>
      <c r="D3716" s="29">
        <f>ROUND(Balances[[#This Row],[Total]]*20%,0)</f>
        <v>0</v>
      </c>
      <c r="E3716" s="29">
        <f>ROUND(Balances[[#This Row],[Total]]*40%,0)</f>
        <v>0</v>
      </c>
      <c r="F3716" s="18">
        <f>SUM(Acueducto[[#This Row],[Acueducto]:[Aseo]])</f>
        <v>0</v>
      </c>
    </row>
    <row r="3717" spans="1:6" ht="15" x14ac:dyDescent="0.2">
      <c r="A3717" s="6">
        <v>99</v>
      </c>
      <c r="B3717" s="2" t="s">
        <v>1671</v>
      </c>
      <c r="C3717" s="28">
        <f>ROUND(Balances[[#This Row],[Total]]*40%,0)</f>
        <v>0</v>
      </c>
      <c r="D3717" s="28">
        <f>ROUND(Balances[[#This Row],[Total]]*20%,0)</f>
        <v>0</v>
      </c>
      <c r="E3717" s="28">
        <f>ROUND(Balances[[#This Row],[Total]]*40%,0)</f>
        <v>0</v>
      </c>
      <c r="F3717" s="17">
        <f>SUM(Acueducto[[#This Row],[Acueducto]:[Aseo]])</f>
        <v>0</v>
      </c>
    </row>
    <row r="3718" spans="1:6" ht="15" x14ac:dyDescent="0.2">
      <c r="A3718" s="6">
        <v>9905</v>
      </c>
      <c r="B3718" s="2" t="s">
        <v>1672</v>
      </c>
      <c r="C3718" s="28">
        <f>ROUND(Balances[[#This Row],[Total]]*40%,0)</f>
        <v>0</v>
      </c>
      <c r="D3718" s="28">
        <f>ROUND(Balances[[#This Row],[Total]]*20%,0)</f>
        <v>0</v>
      </c>
      <c r="E3718" s="28">
        <f>ROUND(Balances[[#This Row],[Total]]*40%,0)</f>
        <v>0</v>
      </c>
      <c r="F3718" s="17">
        <f>SUM(Acueducto[[#This Row],[Acueducto]:[Aseo]])</f>
        <v>0</v>
      </c>
    </row>
    <row r="3719" spans="1:6" ht="15" x14ac:dyDescent="0.2">
      <c r="A3719" s="7">
        <v>990505</v>
      </c>
      <c r="B3719" s="3" t="s">
        <v>1604</v>
      </c>
      <c r="C3719" s="29">
        <f>ROUND(Balances[[#This Row],[Total]]*40%,0)</f>
        <v>0</v>
      </c>
      <c r="D3719" s="29">
        <f>ROUND(Balances[[#This Row],[Total]]*20%,0)</f>
        <v>0</v>
      </c>
      <c r="E3719" s="29">
        <f>ROUND(Balances[[#This Row],[Total]]*40%,0)</f>
        <v>0</v>
      </c>
      <c r="F3719" s="18">
        <f>SUM(Acueducto[[#This Row],[Acueducto]:[Aseo]])</f>
        <v>0</v>
      </c>
    </row>
    <row r="3720" spans="1:6" ht="15" x14ac:dyDescent="0.2">
      <c r="A3720" s="7">
        <v>990511</v>
      </c>
      <c r="B3720" s="3" t="s">
        <v>919</v>
      </c>
      <c r="C3720" s="29">
        <f>ROUND(Balances[[#This Row],[Total]]*40%,0)</f>
        <v>0</v>
      </c>
      <c r="D3720" s="29">
        <f>ROUND(Balances[[#This Row],[Total]]*20%,0)</f>
        <v>0</v>
      </c>
      <c r="E3720" s="29">
        <f>ROUND(Balances[[#This Row],[Total]]*40%,0)</f>
        <v>0</v>
      </c>
      <c r="F3720" s="18">
        <f>SUM(Acueducto[[#This Row],[Acueducto]:[Aseo]])</f>
        <v>0</v>
      </c>
    </row>
    <row r="3721" spans="1:6" ht="15" x14ac:dyDescent="0.2">
      <c r="A3721" s="7">
        <v>990514</v>
      </c>
      <c r="B3721" s="3" t="s">
        <v>1673</v>
      </c>
      <c r="C3721" s="29">
        <f>ROUND(Balances[[#This Row],[Total]]*40%,0)</f>
        <v>0</v>
      </c>
      <c r="D3721" s="29">
        <f>ROUND(Balances[[#This Row],[Total]]*20%,0)</f>
        <v>0</v>
      </c>
      <c r="E3721" s="29">
        <f>ROUND(Balances[[#This Row],[Total]]*40%,0)</f>
        <v>0</v>
      </c>
      <c r="F3721" s="18">
        <f>SUM(Acueducto[[#This Row],[Acueducto]:[Aseo]])</f>
        <v>0</v>
      </c>
    </row>
    <row r="3722" spans="1:6" ht="15" x14ac:dyDescent="0.2">
      <c r="A3722" s="7">
        <v>990590</v>
      </c>
      <c r="B3722" s="3" t="s">
        <v>1674</v>
      </c>
      <c r="C3722" s="29">
        <f>ROUND(Balances[[#This Row],[Total]]*40%,0)</f>
        <v>0</v>
      </c>
      <c r="D3722" s="29">
        <f>ROUND(Balances[[#This Row],[Total]]*20%,0)</f>
        <v>0</v>
      </c>
      <c r="E3722" s="29">
        <f>ROUND(Balances[[#This Row],[Total]]*40%,0)</f>
        <v>0</v>
      </c>
      <c r="F3722" s="18">
        <f>SUM(Acueducto[[#This Row],[Acueducto]:[Aseo]])</f>
        <v>0</v>
      </c>
    </row>
    <row r="3723" spans="1:6" ht="15" x14ac:dyDescent="0.2">
      <c r="A3723" s="6">
        <v>9910</v>
      </c>
      <c r="B3723" s="2" t="s">
        <v>1675</v>
      </c>
      <c r="C3723" s="28">
        <f>ROUND(Balances[[#This Row],[Total]]*40%,0)</f>
        <v>0</v>
      </c>
      <c r="D3723" s="28">
        <f>ROUND(Balances[[#This Row],[Total]]*20%,0)</f>
        <v>0</v>
      </c>
      <c r="E3723" s="28">
        <f>ROUND(Balances[[#This Row],[Total]]*40%,0)</f>
        <v>0</v>
      </c>
      <c r="F3723" s="17">
        <f>SUM(Acueducto[[#This Row],[Acueducto]:[Aseo]])</f>
        <v>0</v>
      </c>
    </row>
    <row r="3724" spans="1:6" ht="15" x14ac:dyDescent="0.2">
      <c r="A3724" s="7">
        <v>991001</v>
      </c>
      <c r="B3724" s="3" t="s">
        <v>1676</v>
      </c>
      <c r="C3724" s="29">
        <f>ROUND(Balances[[#This Row],[Total]]*40%,0)</f>
        <v>0</v>
      </c>
      <c r="D3724" s="29">
        <f>ROUND(Balances[[#This Row],[Total]]*20%,0)</f>
        <v>0</v>
      </c>
      <c r="E3724" s="29">
        <f>ROUND(Balances[[#This Row],[Total]]*40%,0)</f>
        <v>0</v>
      </c>
      <c r="F3724" s="18">
        <f>SUM(Acueducto[[#This Row],[Acueducto]:[Aseo]])</f>
        <v>0</v>
      </c>
    </row>
    <row r="3725" spans="1:6" ht="15" x14ac:dyDescent="0.2">
      <c r="A3725" s="6">
        <v>9915</v>
      </c>
      <c r="B3725" s="2" t="s">
        <v>1677</v>
      </c>
      <c r="C3725" s="28">
        <f>ROUND(Balances[[#This Row],[Total]]*40%,0)</f>
        <v>0</v>
      </c>
      <c r="D3725" s="28">
        <f>ROUND(Balances[[#This Row],[Total]]*20%,0)</f>
        <v>0</v>
      </c>
      <c r="E3725" s="28">
        <f>ROUND(Balances[[#This Row],[Total]]*40%,0)</f>
        <v>0</v>
      </c>
      <c r="F3725" s="17">
        <f>SUM(Acueducto[[#This Row],[Acueducto]:[Aseo]])</f>
        <v>0</v>
      </c>
    </row>
    <row r="3726" spans="1:6" ht="15" x14ac:dyDescent="0.2">
      <c r="A3726" s="7">
        <v>991502</v>
      </c>
      <c r="B3726" s="3" t="s">
        <v>1678</v>
      </c>
      <c r="C3726" s="29">
        <f>ROUND(Balances[[#This Row],[Total]]*40%,0)</f>
        <v>0</v>
      </c>
      <c r="D3726" s="29">
        <f>ROUND(Balances[[#This Row],[Total]]*20%,0)</f>
        <v>0</v>
      </c>
      <c r="E3726" s="29">
        <f>ROUND(Balances[[#This Row],[Total]]*40%,0)</f>
        <v>0</v>
      </c>
      <c r="F3726" s="18">
        <f>SUM(Acueducto[[#This Row],[Acueducto]:[Aseo]])</f>
        <v>0</v>
      </c>
    </row>
    <row r="3727" spans="1:6" ht="15" x14ac:dyDescent="0.2">
      <c r="A3727" s="7">
        <v>991503</v>
      </c>
      <c r="B3727" s="3" t="s">
        <v>1654</v>
      </c>
      <c r="C3727" s="29">
        <f>ROUND(Balances[[#This Row],[Total]]*40%,0)</f>
        <v>0</v>
      </c>
      <c r="D3727" s="29">
        <f>ROUND(Balances[[#This Row],[Total]]*20%,0)</f>
        <v>0</v>
      </c>
      <c r="E3727" s="29">
        <f>ROUND(Balances[[#This Row],[Total]]*40%,0)</f>
        <v>0</v>
      </c>
      <c r="F3727" s="18">
        <f>SUM(Acueducto[[#This Row],[Acueducto]:[Aseo]])</f>
        <v>0</v>
      </c>
    </row>
    <row r="3728" spans="1:6" ht="15" x14ac:dyDescent="0.2">
      <c r="A3728" s="7">
        <v>991507</v>
      </c>
      <c r="B3728" s="3" t="s">
        <v>1679</v>
      </c>
      <c r="C3728" s="29">
        <f>ROUND(Balances[[#This Row],[Total]]*40%,0)</f>
        <v>0</v>
      </c>
      <c r="D3728" s="29">
        <f>ROUND(Balances[[#This Row],[Total]]*20%,0)</f>
        <v>0</v>
      </c>
      <c r="E3728" s="29">
        <f>ROUND(Balances[[#This Row],[Total]]*40%,0)</f>
        <v>0</v>
      </c>
      <c r="F3728" s="18">
        <f>SUM(Acueducto[[#This Row],[Acueducto]:[Aseo]])</f>
        <v>0</v>
      </c>
    </row>
    <row r="3729" spans="1:6" ht="15" x14ac:dyDescent="0.2">
      <c r="A3729" s="7">
        <v>991510</v>
      </c>
      <c r="B3729" s="3" t="s">
        <v>1680</v>
      </c>
      <c r="C3729" s="29">
        <f>ROUND(Balances[[#This Row],[Total]]*40%,0)</f>
        <v>0</v>
      </c>
      <c r="D3729" s="29">
        <f>ROUND(Balances[[#This Row],[Total]]*20%,0)</f>
        <v>0</v>
      </c>
      <c r="E3729" s="29">
        <f>ROUND(Balances[[#This Row],[Total]]*40%,0)</f>
        <v>0</v>
      </c>
      <c r="F3729" s="18">
        <f>SUM(Acueducto[[#This Row],[Acueducto]:[Aseo]])</f>
        <v>0</v>
      </c>
    </row>
    <row r="3730" spans="1:6" ht="15" x14ac:dyDescent="0.2">
      <c r="A3730" s="7">
        <v>991511</v>
      </c>
      <c r="B3730" s="3" t="s">
        <v>1681</v>
      </c>
      <c r="C3730" s="29">
        <f>ROUND(Balances[[#This Row],[Total]]*40%,0)</f>
        <v>0</v>
      </c>
      <c r="D3730" s="29">
        <f>ROUND(Balances[[#This Row],[Total]]*20%,0)</f>
        <v>0</v>
      </c>
      <c r="E3730" s="29">
        <f>ROUND(Balances[[#This Row],[Total]]*40%,0)</f>
        <v>0</v>
      </c>
      <c r="F3730" s="18">
        <f>SUM(Acueducto[[#This Row],[Acueducto]:[Aseo]])</f>
        <v>0</v>
      </c>
    </row>
    <row r="3731" spans="1:6" ht="15" x14ac:dyDescent="0.2">
      <c r="A3731" s="7">
        <v>991522</v>
      </c>
      <c r="B3731" s="3" t="s">
        <v>1616</v>
      </c>
      <c r="C3731" s="29">
        <f>ROUND(Balances[[#This Row],[Total]]*40%,0)</f>
        <v>0</v>
      </c>
      <c r="D3731" s="29">
        <f>ROUND(Balances[[#This Row],[Total]]*20%,0)</f>
        <v>0</v>
      </c>
      <c r="E3731" s="29">
        <f>ROUND(Balances[[#This Row],[Total]]*40%,0)</f>
        <v>0</v>
      </c>
      <c r="F3731" s="18">
        <f>SUM(Acueducto[[#This Row],[Acueducto]:[Aseo]])</f>
        <v>0</v>
      </c>
    </row>
    <row r="3732" spans="1:6" ht="15" x14ac:dyDescent="0.2">
      <c r="A3732" s="7">
        <v>991524</v>
      </c>
      <c r="B3732" s="3" t="s">
        <v>1682</v>
      </c>
      <c r="C3732" s="29">
        <f>ROUND(Balances[[#This Row],[Total]]*40%,0)</f>
        <v>0</v>
      </c>
      <c r="D3732" s="29">
        <f>ROUND(Balances[[#This Row],[Total]]*20%,0)</f>
        <v>0</v>
      </c>
      <c r="E3732" s="29">
        <f>ROUND(Balances[[#This Row],[Total]]*40%,0)</f>
        <v>0</v>
      </c>
      <c r="F3732" s="18">
        <f>SUM(Acueducto[[#This Row],[Acueducto]:[Aseo]])</f>
        <v>0</v>
      </c>
    </row>
    <row r="3733" spans="1:6" ht="15" x14ac:dyDescent="0.2">
      <c r="A3733" s="7">
        <v>991530</v>
      </c>
      <c r="B3733" s="3" t="s">
        <v>1683</v>
      </c>
      <c r="C3733" s="29">
        <f>ROUND(Balances[[#This Row],[Total]]*40%,0)</f>
        <v>0</v>
      </c>
      <c r="D3733" s="29">
        <f>ROUND(Balances[[#This Row],[Total]]*20%,0)</f>
        <v>0</v>
      </c>
      <c r="E3733" s="29">
        <f>ROUND(Balances[[#This Row],[Total]]*40%,0)</f>
        <v>0</v>
      </c>
      <c r="F3733" s="18">
        <f>SUM(Acueducto[[#This Row],[Acueducto]:[Aseo]])</f>
        <v>0</v>
      </c>
    </row>
    <row r="3734" spans="1:6" ht="15" x14ac:dyDescent="0.2">
      <c r="A3734" s="7">
        <v>991532</v>
      </c>
      <c r="B3734" s="3" t="s">
        <v>1684</v>
      </c>
      <c r="C3734" s="29">
        <f>ROUND(Balances[[#This Row],[Total]]*40%,0)</f>
        <v>0</v>
      </c>
      <c r="D3734" s="29">
        <f>ROUND(Balances[[#This Row],[Total]]*20%,0)</f>
        <v>0</v>
      </c>
      <c r="E3734" s="29">
        <f>ROUND(Balances[[#This Row],[Total]]*40%,0)</f>
        <v>0</v>
      </c>
      <c r="F3734" s="18">
        <f>SUM(Acueducto[[#This Row],[Acueducto]:[Aseo]])</f>
        <v>0</v>
      </c>
    </row>
    <row r="3735" spans="1:6" ht="15" x14ac:dyDescent="0.2">
      <c r="A3735" s="12">
        <v>991590</v>
      </c>
      <c r="B3735" s="14" t="s">
        <v>1685</v>
      </c>
      <c r="C3735" s="32">
        <f>ROUND(Balances[[#This Row],[Total]]*40%,0)</f>
        <v>0</v>
      </c>
      <c r="D3735" s="32">
        <f>ROUND(Balances[[#This Row],[Total]]*20%,0)</f>
        <v>0</v>
      </c>
      <c r="E3735" s="32">
        <f>ROUND(Balances[[#This Row],[Total]]*40%,0)</f>
        <v>0</v>
      </c>
      <c r="F3735" s="20">
        <f>SUM(Acueducto[[#This Row],[Acueducto]:[Aseo]])</f>
        <v>0</v>
      </c>
    </row>
    <row r="3737" spans="1:6" x14ac:dyDescent="0.2">
      <c r="C3737" s="21">
        <f>C2</f>
        <v>26368678</v>
      </c>
      <c r="D3737" s="21">
        <f>D2</f>
        <v>13184339</v>
      </c>
      <c r="E3737" s="21">
        <f>E2</f>
        <v>26368678</v>
      </c>
      <c r="F3737" s="21">
        <f>F2</f>
        <v>65921695</v>
      </c>
    </row>
    <row r="3738" spans="1:6" x14ac:dyDescent="0.2">
      <c r="C3738" s="21">
        <f>C984</f>
        <v>361981904</v>
      </c>
      <c r="D3738" s="21">
        <f>D984</f>
        <v>180990952</v>
      </c>
      <c r="E3738" s="21">
        <f>E984</f>
        <v>361981904</v>
      </c>
      <c r="F3738" s="21">
        <f>F984</f>
        <v>904954760</v>
      </c>
    </row>
    <row r="3739" spans="1:6" x14ac:dyDescent="0.2">
      <c r="C3739" s="21">
        <f>C1417</f>
        <v>-335613226</v>
      </c>
      <c r="D3739" s="21">
        <f>D1417</f>
        <v>-167806613</v>
      </c>
      <c r="E3739" s="21">
        <f>E1417</f>
        <v>-335613226</v>
      </c>
      <c r="F3739" s="21">
        <f>F1417</f>
        <v>-839033065</v>
      </c>
    </row>
    <row r="3740" spans="1:6" x14ac:dyDescent="0.2">
      <c r="C3740" s="22">
        <f>C3737-(C3738+C3739)</f>
        <v>0</v>
      </c>
      <c r="D3740" s="22">
        <f>D3737-(D3738+D3739)</f>
        <v>0</v>
      </c>
      <c r="E3740" s="22">
        <f>E3737-(E3738+E3739)</f>
        <v>0</v>
      </c>
      <c r="F3740" s="22">
        <f>F3737-(F3738+F3739)</f>
        <v>0</v>
      </c>
    </row>
    <row r="3741" spans="1:6" x14ac:dyDescent="0.2">
      <c r="C3741" s="21">
        <f>C1487</f>
        <v>153745561</v>
      </c>
      <c r="D3741" s="21">
        <f>D1487</f>
        <v>76872781</v>
      </c>
      <c r="E3741" s="21">
        <f>E1487</f>
        <v>153745561</v>
      </c>
      <c r="F3741" s="21">
        <f>F1487</f>
        <v>384363903</v>
      </c>
    </row>
    <row r="3742" spans="1:6" x14ac:dyDescent="0.2">
      <c r="C3742" s="22">
        <f>C1887</f>
        <v>31679941</v>
      </c>
      <c r="D3742" s="22">
        <f>D1887</f>
        <v>15839971</v>
      </c>
      <c r="E3742" s="22">
        <f>E1887</f>
        <v>31679941</v>
      </c>
      <c r="F3742" s="22">
        <f>F1887</f>
        <v>79199853</v>
      </c>
    </row>
    <row r="3743" spans="1:6" x14ac:dyDescent="0.2">
      <c r="C3743" s="22">
        <f>C2492</f>
        <v>123482730</v>
      </c>
      <c r="D3743" s="22">
        <f>D2492</f>
        <v>61741365</v>
      </c>
      <c r="E3743" s="22">
        <f>E2492</f>
        <v>123482730</v>
      </c>
      <c r="F3743" s="22">
        <f>F2492</f>
        <v>308706825</v>
      </c>
    </row>
    <row r="3744" spans="1:6" x14ac:dyDescent="0.2">
      <c r="C3744" s="22">
        <f>C3741-(C3742+C3743)</f>
        <v>-1417110</v>
      </c>
      <c r="D3744" s="22">
        <f>D3741-(D3742+D3743)</f>
        <v>-708555</v>
      </c>
      <c r="E3744" s="22">
        <f>E3741-(E3742+E3743)</f>
        <v>-1417110</v>
      </c>
      <c r="F3744" s="22">
        <f>F3741-(F3742+F3743)</f>
        <v>-3542775</v>
      </c>
    </row>
    <row r="3749" spans="3:6" x14ac:dyDescent="0.2">
      <c r="C3749">
        <v>9168934</v>
      </c>
      <c r="D3749">
        <v>4584467</v>
      </c>
      <c r="E3749">
        <v>9168934</v>
      </c>
      <c r="F3749">
        <f>SUM(C3749:E3749)</f>
        <v>22922335</v>
      </c>
    </row>
    <row r="3750" spans="3:6" x14ac:dyDescent="0.2">
      <c r="C3750">
        <v>505161</v>
      </c>
      <c r="D3750">
        <v>252580</v>
      </c>
      <c r="E3750">
        <v>505161</v>
      </c>
      <c r="F3750">
        <f>SUM(C3750:E3750)</f>
        <v>1262902</v>
      </c>
    </row>
    <row r="3751" spans="3:6" x14ac:dyDescent="0.2">
      <c r="C3751">
        <f>C3749-C3750</f>
        <v>8663773</v>
      </c>
      <c r="D3751">
        <f t="shared" ref="D3751:E3751" si="0">D3749-D3750</f>
        <v>4331887</v>
      </c>
      <c r="E3751">
        <f t="shared" si="0"/>
        <v>8663773</v>
      </c>
      <c r="F3751">
        <f>SUM(C3751:E3751)</f>
        <v>21659433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AAA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CGC Emp. no Cotizantes V.2015.06</dc:title>
  <dc:creator>SUBCONTADURÍA GENERAL</dc:creator>
  <cp:keywords>CGC Marco Normativo para Empresas que no Cotizan en el Mercado de Valores, y que no Captan ni Administran Ahorro del Público</cp:keywords>
  <cp:lastModifiedBy>Eduardo Eudoro Enríquez Ramos</cp:lastModifiedBy>
  <cp:lastPrinted>2025-05-05T22:15:44Z</cp:lastPrinted>
  <dcterms:created xsi:type="dcterms:W3CDTF">2022-12-21T18:22:23Z</dcterms:created>
  <dcterms:modified xsi:type="dcterms:W3CDTF">2025-11-22T00:37:34Z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2019-07-09T00:00:00Z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2022-12-21T00:00:00Z</vt:filetime>
  </property>
  <property fmtid="{D5CDD505-2E9C-101B-9397-08002B2CF9AE}" pid="5" name="Producer">
    <vt:lpwstr>Microsoft® Word 2010</vt:lpwstr>
  </property>
</Properties>
</file>