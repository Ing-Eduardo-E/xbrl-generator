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ice" r:id="rId3" sheetId="1"/>
    <sheet name="Hoja1" r:id="rId4" sheetId="2"/>
    <sheet name="Lists" r:id="rId5" sheetId="3" state="hidden"/>
    <sheet name="Hoja2" r:id="rId6" sheetId="4"/>
    <sheet name="Hoja3" r:id="rId7" sheetId="5"/>
    <sheet name="Hoja4" r:id="rId8" sheetId="6"/>
    <sheet name="Hoja5" r:id="rId9" sheetId="7"/>
    <sheet name="Hoja6" r:id="rId10" sheetId="8"/>
    <sheet name="Hoja7" r:id="rId11" sheetId="9"/>
    <sheet name="Hoja8" r:id="rId12" sheetId="10"/>
    <sheet name="Hoja9" r:id="rId13" sheetId="11"/>
    <sheet name="Hoja10" r:id="rId14" sheetId="12"/>
    <sheet name="Hoja11" r:id="rId15" sheetId="13"/>
    <sheet name="Hoja12" r:id="rId16" sheetId="14"/>
    <sheet name="Hoja13" r:id="rId17" sheetId="15"/>
    <sheet name="Hoja14" r:id="rId18" sheetId="16"/>
    <sheet name="Hoja15" r:id="rId19" sheetId="17"/>
    <sheet name="Hoja16" r:id="rId20" sheetId="18"/>
    <sheet name="Hoja17" r:id="rId21" sheetId="19"/>
    <sheet name="Hoja18" r:id="rId22" sheetId="20"/>
    <sheet name="Hoja19" r:id="rId23" sheetId="21"/>
    <sheet name="Hoja20" r:id="rId24" sheetId="22"/>
    <sheet name="Hoja21" r:id="rId25" sheetId="23"/>
    <sheet name="Hoja22" r:id="rId26" sheetId="24"/>
    <sheet name="Hoja23" r:id="rId27" sheetId="25"/>
    <sheet name="Hoja24" r:id="rId28" sheetId="26"/>
    <sheet name="Hoja25" r:id="rId29" sheetId="27"/>
    <sheet name="Hoja26" r:id="rId30" sheetId="28"/>
    <sheet name="Hoja27" r:id="rId31" sheetId="29"/>
    <sheet name="Hoja28" r:id="rId32" sheetId="30"/>
  </sheets>
  <definedNames>
    <definedName name="sspdtipos_TipoGradoRedondeo">Lists!$B$3:$B$6</definedName>
    <definedName name="sspdtipos_TipoSiNo">Lists!$D$3:$D$4</definedName>
    <definedName name="sspdtipos_TipoIdentificacionResponsablesInformacion">Lists!$F$3:$F$5</definedName>
    <definedName name="sspdtipos_TipoDeDictamenDeAuditoria">Lists!$H$3:$H$10</definedName>
    <definedName name="sspdtipos_TipoClasificacionEmpresarialSegunResolucionCRA906Del2019">Lists!$J$3:$J$6</definedName>
    <definedName name="sspdtipos_TipoPeriodoFaseDeProgresividad">Lists!$L$3:$L$15</definedName>
  </definedNames>
</workbook>
</file>

<file path=xl/sharedStrings.xml><?xml version="1.0" encoding="utf-8"?>
<sst xmlns="http://schemas.openxmlformats.org/spreadsheetml/2006/main" count="1779" uniqueCount="721">
  <si>
    <t>Tabla de contenidos</t>
  </si>
  <si>
    <t>Indice</t>
  </si>
  <si>
    <t>[110000] Información general sobre estados financieros</t>
  </si>
  <si>
    <t>Archivo:</t>
  </si>
  <si>
    <t>I:\Proyectos2025\proyecto_niif\_backup_legacy\Grupo 3\Grupo3_ID20037_2024-12-31.xbrl</t>
  </si>
  <si>
    <t>Empresa:</t>
  </si>
  <si>
    <t>20037</t>
  </si>
  <si>
    <t>Vista:</t>
  </si>
  <si>
    <t>Eje X:</t>
  </si>
  <si>
    <t>N/A</t>
  </si>
  <si>
    <t>Eje Y:</t>
  </si>
  <si>
    <t>Eje Z:</t>
  </si>
  <si>
    <t>Periodo Actual</t>
  </si>
  <si>
    <t>Información a revelar sobre información general sobre los estados financieros [bloque de texto]</t>
  </si>
  <si>
    <t>Nombre de la entidad que informa u otras formas de identificación</t>
  </si>
  <si>
    <t>Identificación de la Empresa (ID RUPS)</t>
  </si>
  <si>
    <t>NIT</t>
  </si>
  <si>
    <t>Información a revelar sobre la naturaleza del negocio</t>
  </si>
  <si>
    <t>Fecha de inicio de operaciones (o fecha de constitución si no ha iniciado la prestación de servicios)</t>
  </si>
  <si>
    <t>Fecha de cierre del periodo sobre el que se informa</t>
  </si>
  <si>
    <t>Grado de redondeo utilizado en los estados financieros</t>
  </si>
  <si>
    <t>1 - Pesos</t>
  </si>
  <si>
    <t>2 - Miles de pesos</t>
  </si>
  <si>
    <t>3 - Millones de pesos</t>
  </si>
  <si>
    <t>4 - Pesos redondeada a miles</t>
  </si>
  <si>
    <t>[210000] Estado de situación financiera</t>
  </si>
  <si>
    <t>Total ESF por servicios - Inciso 2 articulo 18 Ley 142 de 1994 [miembro]</t>
  </si>
  <si>
    <t>Acueducto [miembro]</t>
  </si>
  <si>
    <t>Alcantarillado [miembro]</t>
  </si>
  <si>
    <t>Aseo [miembro]</t>
  </si>
  <si>
    <t>Energía Eléctrica [miembro]</t>
  </si>
  <si>
    <t>Gas combustible por redes [miembro]</t>
  </si>
  <si>
    <t>Gas Licuado de Petróleo [miembro]</t>
  </si>
  <si>
    <t>Estado de situación financiera por servicio [partidas]</t>
  </si>
  <si>
    <t>Activos [resumen]</t>
  </si>
  <si>
    <t>Activos corrientes [resumen]</t>
  </si>
  <si>
    <t>Efectivo y equivalentes al efectivo</t>
  </si>
  <si>
    <t>Efectivo y equivalentes al efectivo de uso restringido corriente</t>
  </si>
  <si>
    <t>Inversiones corrientes</t>
  </si>
  <si>
    <t>Cuentas comerciales por cobrar y otras cuentas por cobrar corrientes [Resumen]</t>
  </si>
  <si>
    <t>Cuentas comerciales por cobrar por prestación de servicios públicos corrientes [Resumen]</t>
  </si>
  <si>
    <t>Cuentas comerciales por cobrar corrientes por prestación de servicios públicos corrientes (Sin incluir subsidios ni actividades de aprovechamiento)</t>
  </si>
  <si>
    <t>Cuentas comerciales por cobrar por subsidios corrientes</t>
  </si>
  <si>
    <t>Cuentas comerciales por cobrar corrientes del servicio público al Ministerio de Minas por concepto de subsidios</t>
  </si>
  <si>
    <t>Cuentas comerciales por cobrar por actividad de aprovechamiento corrientes</t>
  </si>
  <si>
    <t>Total cuentas comerciales por cobrar por prestación de servicios públicos corrientes</t>
  </si>
  <si>
    <t>Cuentas comerciales por cobrar por venta de bienes corrientes</t>
  </si>
  <si>
    <t>Otras cuentas por cobrar corrientes</t>
  </si>
  <si>
    <t>Total cuentas comerciales por cobrar y otras cuentas por cobrar corrientes</t>
  </si>
  <si>
    <t>Inventarios corrientes</t>
  </si>
  <si>
    <t>Activo por impuesto a las ganancias corriente</t>
  </si>
  <si>
    <t>Otros activos corrientes</t>
  </si>
  <si>
    <t>Activos corrientes totales</t>
  </si>
  <si>
    <t>Activos no corrientes [resumen]</t>
  </si>
  <si>
    <t>Efectivo y equivalente al efectivo de uso restringido</t>
  </si>
  <si>
    <t>Inversiones no corrientes</t>
  </si>
  <si>
    <t>Propiedad de inversión</t>
  </si>
  <si>
    <t>Propiedades, planta y equipo</t>
  </si>
  <si>
    <t>Cuentas comerciales por cobrar y otras cuentas por cobrar no corrientes [Resumen]</t>
  </si>
  <si>
    <t>Cuentas comerciales por cobrar por prestación de servicios públicos no corrientes [Resumen]</t>
  </si>
  <si>
    <t>Cuentas comerciales por cobrar no corrientes por prestación de servicios públicos corrientes (Sin incluir subsidios ni actividades de aprovechamiento)</t>
  </si>
  <si>
    <t>Cuentas comerciales por cobrar por subsidios no corrientes</t>
  </si>
  <si>
    <t>Cuentas comerciales por cobrar no corrientes del servicio público al Ministerio de Minas por concepto de subsidios</t>
  </si>
  <si>
    <t>Cuentas comerciales por cobrar por actividad de aprovechamiento no corrientes</t>
  </si>
  <si>
    <t>Total cuentas comerciales por cobrar por prestación de servicios públicos no corrientes</t>
  </si>
  <si>
    <t>Cuentas comerciales por cobrar por venta de bienes no corrientes</t>
  </si>
  <si>
    <t>Otras cuentas comerciales por cobrar no corrientes</t>
  </si>
  <si>
    <t>Total cuentas comerciales por cobrar y otras cuentas por cobrar no corrientes</t>
  </si>
  <si>
    <t>Inventarios no corrientes</t>
  </si>
  <si>
    <t>Activos por impuestos diferidos</t>
  </si>
  <si>
    <t>Activo por impuesto a las ganancias corriente, no corriente</t>
  </si>
  <si>
    <t>Otros activos no corrientes</t>
  </si>
  <si>
    <t>Activos no corrientes totales</t>
  </si>
  <si>
    <t>Total de activos</t>
  </si>
  <si>
    <t>Patrimonio y pasivos [resumen]</t>
  </si>
  <si>
    <t>Pasivos [resumen]</t>
  </si>
  <si>
    <t>Pasivos corrientes [resumen]</t>
  </si>
  <si>
    <t>Acreedores comerciales y otras cuentas por pagar corrientes [resumen]</t>
  </si>
  <si>
    <t>Proveedores Corrientes</t>
  </si>
  <si>
    <t>Ingresos Diferidos Corrientes</t>
  </si>
  <si>
    <t>Gastos acumulados por pagar corrientes</t>
  </si>
  <si>
    <t>Cuentas por pagar y otras cuentas por pagar corrientes</t>
  </si>
  <si>
    <t>Total Acreedores comerciales y otras cuentas por pagar corrientes</t>
  </si>
  <si>
    <t>Obligaciones Laborales Corrientes</t>
  </si>
  <si>
    <t>Obligaciones Financieras Corrientes</t>
  </si>
  <si>
    <t>Pasivo por impuesto a las ganancias corriente</t>
  </si>
  <si>
    <t>Otras provisiones corrientes</t>
  </si>
  <si>
    <t>Otros pasivos financieros corrientes</t>
  </si>
  <si>
    <t>Pasivos corrientes totales</t>
  </si>
  <si>
    <t>Pasivos no corrientes [resumen]</t>
  </si>
  <si>
    <t>Acreedores comerciales y otras cuentas por pagar no corrientes [resumen]</t>
  </si>
  <si>
    <t>Proveedores no Corrientes</t>
  </si>
  <si>
    <t>Ingresos Diferidos no Corrientes</t>
  </si>
  <si>
    <t>Gastos acumulados por pagar no corrientes</t>
  </si>
  <si>
    <t>Cuentas comerciales por pagar y otras cuentas por pagar no corrientes</t>
  </si>
  <si>
    <t>Total Acreedores comerciales y otras cuentas por pagar no corrientes</t>
  </si>
  <si>
    <t>Obligaciones Financieras no Corrientes</t>
  </si>
  <si>
    <t>Obligaciones Laborales no Corrientes</t>
  </si>
  <si>
    <t>Pasivo por impuesto a las ganancias corriente, no corriente</t>
  </si>
  <si>
    <t>Pasivo por impuestos diferidos no corrientes</t>
  </si>
  <si>
    <t>Otras provisiones no corrientes</t>
  </si>
  <si>
    <t>Otros pasivos financieros no corrientes</t>
  </si>
  <si>
    <t>Total de pasivos no corrientes</t>
  </si>
  <si>
    <t>Total pasivos</t>
  </si>
  <si>
    <t>Patrimonio [resumen]</t>
  </si>
  <si>
    <t>Capital emitido</t>
  </si>
  <si>
    <t>Ganancias acumuladas</t>
  </si>
  <si>
    <t>Efectos de convergencia NIF</t>
  </si>
  <si>
    <t>Reserva Legal</t>
  </si>
  <si>
    <t>Otras Reservas</t>
  </si>
  <si>
    <t>Otras participaciones en el patrimonio</t>
  </si>
  <si>
    <t>Patrimonio total</t>
  </si>
  <si>
    <t>Total de patrimonio y pasivos</t>
  </si>
  <si>
    <t>Periodo Anterior</t>
  </si>
  <si>
    <t>[310000] Estado de resultados</t>
  </si>
  <si>
    <t>Total ER por servicios - Inciso 2 articulo 18 Ley 142 de 1994 [miembro]</t>
  </si>
  <si>
    <t>Estado de resultados por servicio [partidas]</t>
  </si>
  <si>
    <t>Ganancia (pérdida) [resumen]</t>
  </si>
  <si>
    <t>Ingresos de actividades ordinarias</t>
  </si>
  <si>
    <t>Costo de ventas</t>
  </si>
  <si>
    <t>Ganancia bruta</t>
  </si>
  <si>
    <t>Gastos de administración</t>
  </si>
  <si>
    <t>Otros gastos</t>
  </si>
  <si>
    <t>Otras ganancias (pérdidas)</t>
  </si>
  <si>
    <t>Costos financieros</t>
  </si>
  <si>
    <t>Otros ingresos</t>
  </si>
  <si>
    <t>Ingresos financieros</t>
  </si>
  <si>
    <t>Ganancia (pérdida), antes de impuestos</t>
  </si>
  <si>
    <t>Gasto (ingreso) por impuesto a las ganancias corriente</t>
  </si>
  <si>
    <t>Gasto / Ingreso impuesto a las ganancias diferido</t>
  </si>
  <si>
    <t>Ganancia (pérdida)</t>
  </si>
  <si>
    <t>[800100] Notas - Subclasificaciones de activos, pasivos y patrimonios</t>
  </si>
  <si>
    <t>Subclasificaciones de activos, pasivos y patrimonios [resumen]</t>
  </si>
  <si>
    <t>Propiedades, planta y equipo [sinopsis]</t>
  </si>
  <si>
    <t>Terrenos y construcciones [sinopsis]</t>
  </si>
  <si>
    <t>Terrenos</t>
  </si>
  <si>
    <t>Edificios</t>
  </si>
  <si>
    <t>Total terrenos y edificios</t>
  </si>
  <si>
    <t>Maquinaria</t>
  </si>
  <si>
    <t>Vehículos</t>
  </si>
  <si>
    <t>Enseres y accesorios</t>
  </si>
  <si>
    <t>Equipo de oficina</t>
  </si>
  <si>
    <t>Construcciones en proceso</t>
  </si>
  <si>
    <t>Propiedades, planta y equipo, información especial [sinopsis]</t>
  </si>
  <si>
    <t>Vías</t>
  </si>
  <si>
    <t>Ductos</t>
  </si>
  <si>
    <t>Plantas</t>
  </si>
  <si>
    <t>Redes y cables</t>
  </si>
  <si>
    <t>Relleno sanitario</t>
  </si>
  <si>
    <t>Activos para generación de energía</t>
  </si>
  <si>
    <t>Total propiedades, planta y equipo, información especial</t>
  </si>
  <si>
    <t>Otras propiedades, planta y equipo</t>
  </si>
  <si>
    <t>Total propiedades, planta y equipo, importe en libros en términos brutos</t>
  </si>
  <si>
    <t>Depreciación acumulada propiedades, planta y equipo</t>
  </si>
  <si>
    <t>Deterioro de valor acumulado propiedades, planta y equipo</t>
  </si>
  <si>
    <t>Total de propiedades, planta y equipo</t>
  </si>
  <si>
    <t>Activos intangibles y plusvalía [resumen]</t>
  </si>
  <si>
    <t>Activos intangibles distintos de la plusvalía [sinopsis]</t>
  </si>
  <si>
    <t>Marcas comerciales</t>
  </si>
  <si>
    <t>activos intangibles para exploración y evaluación</t>
  </si>
  <si>
    <t>Programas de computador</t>
  </si>
  <si>
    <t>Licencias y franquicias</t>
  </si>
  <si>
    <t>Derechos de propiedad intelectual, patentes y otros derechos de propiedad industrial, servicio y derechos de explotación</t>
  </si>
  <si>
    <t>Activos intangibles en desarrollo</t>
  </si>
  <si>
    <t>Otros activos intangibles</t>
  </si>
  <si>
    <t>Total de activos intangibles distintos de la plusvalía</t>
  </si>
  <si>
    <t>Plusvalía</t>
  </si>
  <si>
    <t>Amortización acumulada activos  intangibles y plusvalía</t>
  </si>
  <si>
    <t>Deterioro de valor acumulado activos intangibles y plusvalía</t>
  </si>
  <si>
    <t>Total activos intangibles y plusvalía</t>
  </si>
  <si>
    <t>Efectivo y equivalentes al efectivo [sinopsis]</t>
  </si>
  <si>
    <t>Efectivo [sinopsis]</t>
  </si>
  <si>
    <t>Efectivo en caja</t>
  </si>
  <si>
    <t>Saldos en bancos</t>
  </si>
  <si>
    <t>Total efectivo</t>
  </si>
  <si>
    <t>Equivalentes al efectivo [sinopsis]</t>
  </si>
  <si>
    <t>Depósitos a corto plazo, clasificados como equivalentes al efectivo</t>
  </si>
  <si>
    <t>Inversiones a corto plazo, clasificadas como equivalentes al efectivo</t>
  </si>
  <si>
    <t>Otros acuerdos bancarios, clasificados como equivalentes al efectivo</t>
  </si>
  <si>
    <t>Total equivalentes al efectivo</t>
  </si>
  <si>
    <t>Otro efectivo y equivalentes al efectivo</t>
  </si>
  <si>
    <t>Total efectivo y equivalentes al efectivo</t>
  </si>
  <si>
    <t>Clases de otras provisiones [resumen]</t>
  </si>
  <si>
    <t>Provisiones por litigios y demandas [resumen]</t>
  </si>
  <si>
    <t>Provisiones por litigios y demandas no corriente</t>
  </si>
  <si>
    <t>Provisiones por litigios y demandas corriente</t>
  </si>
  <si>
    <t>Total de Provisiones por litigios y demandas</t>
  </si>
  <si>
    <t>Provisiones por contratos onerosos [resumen]</t>
  </si>
  <si>
    <t>Provisión por contratos onerosos no corriente</t>
  </si>
  <si>
    <t>Provisión corriente por contratos onerosos</t>
  </si>
  <si>
    <t>Total de provisiones por contratos onerosos</t>
  </si>
  <si>
    <t>Provisiones por costos de dejar fuera de servicio, restauración y rehabilitación [resumen]</t>
  </si>
  <si>
    <t>Provisión no corriente para costos de desmantelamiento, restauración y rehabilitación</t>
  </si>
  <si>
    <t>Provisión corriente para costos de desmantelamiento, restauración y rehabilitación</t>
  </si>
  <si>
    <t>Total de provisiones por costos de dejar fuera de servicio, restauración y rehabilitación</t>
  </si>
  <si>
    <t>Otras provisiones [resumen]</t>
  </si>
  <si>
    <t>Total otras provisiones</t>
  </si>
  <si>
    <t>[800500] Notas - Lista de Notas</t>
  </si>
  <si>
    <t>Información a revelar sobre notas y otra información explicativa [resumen]</t>
  </si>
  <si>
    <t>Información a revelar sobre activos [Bloque de texto]</t>
  </si>
  <si>
    <t>Información a revelar sobre pasivos [Bloque de texto]</t>
  </si>
  <si>
    <t>Información a revelar sobre patrimonio [Bloque de texto]</t>
  </si>
  <si>
    <t>Información a revelar sobre ingresos [Bloque de texto]</t>
  </si>
  <si>
    <t>Información a revelar sobre gastos [Bloque de texto]</t>
  </si>
  <si>
    <t>Información a revelar sobre impuestos [Bloque de texto]</t>
  </si>
  <si>
    <t>[810000] Notas - Información de la entidad y declaración de cumplimiento con el marco normativo</t>
  </si>
  <si>
    <t>Información a revelar sobre notas y otra información explicativa [bloque de texto]</t>
  </si>
  <si>
    <t>Sede de la entidad</t>
  </si>
  <si>
    <t>Forma legal de la entidad</t>
  </si>
  <si>
    <t>País de constitución</t>
  </si>
  <si>
    <t>Ciudad donde se encuentra ubicada la sede administrativa</t>
  </si>
  <si>
    <t>Dirección de la sede administrativa de la entidad</t>
  </si>
  <si>
    <t>Email Corporativo</t>
  </si>
  <si>
    <t>Numero de empleados</t>
  </si>
  <si>
    <t>Numero promedio de empleados</t>
  </si>
  <si>
    <t>Descripción de la naturaleza de las operaciones de la entidad y actividades principales</t>
  </si>
  <si>
    <t>Declaración de cumplimiento del marco normativo para microempresas [bloque de texto]</t>
  </si>
  <si>
    <t>Información a revelar sobre incertidumbres sobre la capacidad de la entidad para continuar como negocio en marcha [bloque de texto[</t>
  </si>
  <si>
    <t>Explicación del hecho y bases para la elaboración de los estados financieros cuando no es aplicable la hipótesis de negocio en marcha</t>
  </si>
  <si>
    <t>Explicación de la razón por la que no se considera a la entidad como negocio en marcha</t>
  </si>
  <si>
    <t>Información a revelar sobre finalización de la prestación de los servicios inscritos en RUPS. (Abstract)</t>
  </si>
  <si>
    <t>Información a revelar sobre incertidumbres sobre la capacidad de dar continuidad a la prestación de uno o más servicios inscritos en RUPS</t>
  </si>
  <si>
    <t>¿Durante el periodo sobre el que se informa se finalizó la prestación de uno o más servicios inscritos en RUPS?</t>
  </si>
  <si>
    <t>Detalle sobre la finalización de la prestación de los servicios inscritos en RUPS. (indicar servicio y fecha de finalización del servicio)</t>
  </si>
  <si>
    <t>1. Si</t>
  </si>
  <si>
    <t>2. No</t>
  </si>
  <si>
    <t>[834480] Notas - Obligaciones laborales</t>
  </si>
  <si>
    <t>Información a revelar sobre beneficios a empleados [miembro]</t>
  </si>
  <si>
    <t>Beneficios [miembro]</t>
  </si>
  <si>
    <t>Naturaleza de los beneficios  [miembro]</t>
  </si>
  <si>
    <t>Clases de gasto de beneficios a los empleados  [resumen]</t>
  </si>
  <si>
    <t>Sueldos y salarios</t>
  </si>
  <si>
    <t>Aportaciones a la seguridad social</t>
  </si>
  <si>
    <t>Prestaciones sociales básicas</t>
  </si>
  <si>
    <t>Otros beneficios a los empleados a corto plazo</t>
  </si>
  <si>
    <t>Otros beneficios a los empleados a largo plazo</t>
  </si>
  <si>
    <t>Total gastos por beneficios a los empleados</t>
  </si>
  <si>
    <t>[835110] Notas - Impuestos a las ganancias</t>
  </si>
  <si>
    <t>Activos - pasivos por impuestos diferidos y corrientes resumen</t>
  </si>
  <si>
    <t>Explicación del importe de los activos y pasivos por impuestos diferidos</t>
  </si>
  <si>
    <t>Información a revelar sobre impuesto a las ganancias corriente</t>
  </si>
  <si>
    <t>[900010] Notas - Información a revelar sobre los responsables de la información financiera e información del AEGR</t>
  </si>
  <si>
    <t>Detalle [resumen]</t>
  </si>
  <si>
    <t>Nombres</t>
  </si>
  <si>
    <t>Apellidos</t>
  </si>
  <si>
    <t>Tipo de documento</t>
  </si>
  <si>
    <t>Número de documento</t>
  </si>
  <si>
    <t>Email</t>
  </si>
  <si>
    <t>Tarjeta profesional</t>
  </si>
  <si>
    <t>Indique la razón social, si la persona natural actúa como miembro de una persona jurídica</t>
  </si>
  <si>
    <t>Indique el NIT, si la persona natural actúa como miembro de una persona jurídica</t>
  </si>
  <si>
    <t>Tipo de norma de auditoría aplicada y tipo de dictamen</t>
  </si>
  <si>
    <t>Relación [miembro]</t>
  </si>
  <si>
    <t>Representante legal [miembro]</t>
  </si>
  <si>
    <t>Contador [miembro]</t>
  </si>
  <si>
    <t>Jefe de la oficina de control interno [miembro]</t>
  </si>
  <si>
    <t>Revisor fiscal [miembro]</t>
  </si>
  <si>
    <t>AEGR [miembro]</t>
  </si>
  <si>
    <t>01 - CÉDULA DE CIUDADANÍA</t>
  </si>
  <si>
    <t>02 - CÉDULA DE EXTRANJERÍA</t>
  </si>
  <si>
    <t>03 - PASAPORTE</t>
  </si>
  <si>
    <t>NAGAS - 1. Limpio</t>
  </si>
  <si>
    <t>NAGAS - 2. Con salvedad</t>
  </si>
  <si>
    <t>NAGAS - 3. Negativo</t>
  </si>
  <si>
    <t>NAGAS - 4. Abstención de opinión</t>
  </si>
  <si>
    <t>NIAS - 1. No modificada</t>
  </si>
  <si>
    <t>NIAS - 2. Modificada; opinión con salvedades</t>
  </si>
  <si>
    <t>NIAS - 3. Modificada; opinión desfavorable o adversa</t>
  </si>
  <si>
    <t>NIAS - 4. Modificada; denegación o abstención de opinión</t>
  </si>
  <si>
    <t>[900017a] FC01-1 - Gastos de servicios públicos - Acueducto</t>
  </si>
  <si>
    <t>Gasto administrativo - Acueducto [miembro]</t>
  </si>
  <si>
    <t>Gasto operativo - Acueducto [miembro]</t>
  </si>
  <si>
    <t>Gastos [resumen]</t>
  </si>
  <si>
    <t>Beneficios a empleados</t>
  </si>
  <si>
    <t>Honorarios</t>
  </si>
  <si>
    <t>Impuestos, Tasas y Contribuciones (No incluye impuesto de renta)</t>
  </si>
  <si>
    <t>Generales</t>
  </si>
  <si>
    <t>Deterioro</t>
  </si>
  <si>
    <t>Depreciación</t>
  </si>
  <si>
    <t>Amortización</t>
  </si>
  <si>
    <t>Provisiones [resumen]</t>
  </si>
  <si>
    <t>Litigios y demandas</t>
  </si>
  <si>
    <t>Garantías</t>
  </si>
  <si>
    <t>Diversas</t>
  </si>
  <si>
    <t>Total gastos de provisiones</t>
  </si>
  <si>
    <t>Arrendamientos</t>
  </si>
  <si>
    <t>Otros Gastos [resumen]</t>
  </si>
  <si>
    <t>Comisiones</t>
  </si>
  <si>
    <t>Ajuste por diferencia en cambio</t>
  </si>
  <si>
    <t>Financieros</t>
  </si>
  <si>
    <t>Pérdidas por aplicación del método de participación patrimonial</t>
  </si>
  <si>
    <t>Gastos diversos</t>
  </si>
  <si>
    <t>Donaciones</t>
  </si>
  <si>
    <t>Total otros gastos</t>
  </si>
  <si>
    <t>Impuesto a las ganancias corrientes</t>
  </si>
  <si>
    <t>Impuesto a las ganancias diferido</t>
  </si>
  <si>
    <t>Bienes y servicios públicos para la venta [resumen]</t>
  </si>
  <si>
    <t>Compras en bloque y/o a largo plazo</t>
  </si>
  <si>
    <t>Compras en bolsa y/o a corto plazo</t>
  </si>
  <si>
    <t>Gastos por suministro de agua potable (agua en bloque)</t>
  </si>
  <si>
    <t>Gastos de conexión</t>
  </si>
  <si>
    <t>Uso de Líneas, redes y ductos</t>
  </si>
  <si>
    <t>Gastos de distribución y/o comercialización de gas combustible por redes</t>
  </si>
  <si>
    <t>Manejo comercial y financiero del servicio</t>
  </si>
  <si>
    <t>Gastos de distribución y/o comercialización de gas licuado de petróleo – GLP</t>
  </si>
  <si>
    <t>Contrato de explotación</t>
  </si>
  <si>
    <t>Gastos asociados a las transacciones en el mercado mayorista</t>
  </si>
  <si>
    <t>Contrato de concesión</t>
  </si>
  <si>
    <t>Otros gastos bienes y servicios públicos para la venta</t>
  </si>
  <si>
    <t>Gastos asociados a las transacciones en el mercado minorista</t>
  </si>
  <si>
    <t>Total de bienes y servicios públicos para la venta</t>
  </si>
  <si>
    <t>Licencias, contribuciones y regalías [resumen]</t>
  </si>
  <si>
    <t>Secretaría Distrital del Medio Ambiente</t>
  </si>
  <si>
    <t>Ley 56 de 1981</t>
  </si>
  <si>
    <t>Medio Ambiente – Ley 99 de 1993</t>
  </si>
  <si>
    <t>Regalías</t>
  </si>
  <si>
    <t>Licencia De Operación Del Servicio</t>
  </si>
  <si>
    <t>FAZNI</t>
  </si>
  <si>
    <t>FAER</t>
  </si>
  <si>
    <t>Cuota de Fomento de gas</t>
  </si>
  <si>
    <t>Comité De Estratificación –Ley 505 De 1999</t>
  </si>
  <si>
    <t>Art 25 - Ley 142 - Concesiones, y permisos ambientales y sanitarios</t>
  </si>
  <si>
    <t>Otras licencias Ley 142 de 1994</t>
  </si>
  <si>
    <t>Total licencias, contribuciones y regalías</t>
  </si>
  <si>
    <t>Consumo de Insumos Directos [resumen]</t>
  </si>
  <si>
    <t>Productos Químicos</t>
  </si>
  <si>
    <t>Gas Combustible</t>
  </si>
  <si>
    <t>Carbón Mineral</t>
  </si>
  <si>
    <t>Energía</t>
  </si>
  <si>
    <t>ACPM, Fuel Oil</t>
  </si>
  <si>
    <t>Otros Elementos de Consumo de Insumos Directos</t>
  </si>
  <si>
    <t>Total consumo de insumos directos</t>
  </si>
  <si>
    <t>Ordenes y contratos de mantenimiento y reparaciones</t>
  </si>
  <si>
    <t>Peajes terrestres</t>
  </si>
  <si>
    <t>Disposición final</t>
  </si>
  <si>
    <t>Peajes por interconexión de acueductos</t>
  </si>
  <si>
    <t>Peajes por interconexión de alcantarillado</t>
  </si>
  <si>
    <t>Servicios públicos</t>
  </si>
  <si>
    <t>Materiales y otros gastos de operación</t>
  </si>
  <si>
    <t>Pérdidas en prestación del servicio de acueducto</t>
  </si>
  <si>
    <t>Seguros</t>
  </si>
  <si>
    <t>Órdenes y contratos por otros servicios</t>
  </si>
  <si>
    <t>Total gastos</t>
  </si>
  <si>
    <t>[900017b] FC01-2 - Gastos de servicios públicos - Alcantarillado</t>
  </si>
  <si>
    <t>Gasto administrativo - Alcantarillado [miembro]</t>
  </si>
  <si>
    <t>Gasto operativo - Alcantarillado [miembro]</t>
  </si>
  <si>
    <t>[900017c] FC01-3 - Gastos de servicios públicos - Aseo</t>
  </si>
  <si>
    <t>Gasto administrativo - Aseo [miembro]</t>
  </si>
  <si>
    <t>Gasto operativo - Aseo [miembro]</t>
  </si>
  <si>
    <t>[900017d] FC01-4 - Gastos de servicios públicos - Energía</t>
  </si>
  <si>
    <t>ENERGIA - SIN [miembro]</t>
  </si>
  <si>
    <t>Generación [miembro]</t>
  </si>
  <si>
    <t>Gasto administrativo - Energía Eléctrica SIN - Generación [miembro]</t>
  </si>
  <si>
    <t>Gasto operativo - Energía Eléctrica SIN - Generación [miembro]</t>
  </si>
  <si>
    <t>Transmisión [miembro]</t>
  </si>
  <si>
    <t>Gasto administrativo - Energía Eléctrica SIN - Transmisión [miembro]</t>
  </si>
  <si>
    <t>Gasto operativo - Energía Eléctrica SIN - Transmisión [miembro]</t>
  </si>
  <si>
    <t>Distribución [miembro]</t>
  </si>
  <si>
    <t>Gasto administrativo - Energía Eléctrica SIN - Distribución [miembro]</t>
  </si>
  <si>
    <t>Gasto operativo - Energía Eléctrica SIN - Distribución [miembro]</t>
  </si>
  <si>
    <t>Comercialización [miembro]</t>
  </si>
  <si>
    <t>Gasto administrativo - Energía Eléctrica SIN - Comercialización [miembro]</t>
  </si>
  <si>
    <t>Gasto operativo - Energía Eléctrica SIN - Comercialización [miembro]</t>
  </si>
  <si>
    <t>Gasto administrativo - Energía Eléctrica SIN [miembro]</t>
  </si>
  <si>
    <t>Gasto operativo - Energía Eléctrica SIN [miembro]</t>
  </si>
  <si>
    <t>ENERGIA - ZNI [miembro]</t>
  </si>
  <si>
    <t>Gasto administrativo - Energía Eléctrica ZNI - Generación [miembro]</t>
  </si>
  <si>
    <t>Gasto operativo - Energía Eléctrica ZNI - Generación [miembro]</t>
  </si>
  <si>
    <t>Gasto administrativo - Energía Eléctrica ZNI - Distribución [miembro]</t>
  </si>
  <si>
    <t>Gasto operativo - Energía Eléctrica ZNI - Distribución [miembro]</t>
  </si>
  <si>
    <t>Gasto administrativo - Energía Eléctrica ZNI - Comercialización [miembro]</t>
  </si>
  <si>
    <t>Gasto operativo - Energía Eléctrica ZNI - Comercialización [miembro]</t>
  </si>
  <si>
    <t>Gasto administrativo - Energía Eléctrica ZNI [miembro]</t>
  </si>
  <si>
    <t>Gasto operativo - Energía Eléctrica ZNI [miembro]</t>
  </si>
  <si>
    <t>Gasto administrativo - Energía eléctrica [miembro]</t>
  </si>
  <si>
    <t>Gasto operativo - Energía Eléctrica [miembro]</t>
  </si>
  <si>
    <t>[900017e] FC01-5 - Gastos de servicios públicos - Gas combustible por redes</t>
  </si>
  <si>
    <t>Producción [miembro]</t>
  </si>
  <si>
    <t>Gasto administrativo - Gas Combustible por redes - Producción [miembro]</t>
  </si>
  <si>
    <t>Gasto operativo - Gas Combustible por redes - Producción [miembro]</t>
  </si>
  <si>
    <t>Transporte [miembro]</t>
  </si>
  <si>
    <t>Gasto administrativo - Gas Combustible por redes - Transporte [miembro]</t>
  </si>
  <si>
    <t>Gasto operativo - Gas Combustible por redes - Transporte [miembro]</t>
  </si>
  <si>
    <t>Gasto administrativo - Gas Combustible por redes - Distribución [miembro]</t>
  </si>
  <si>
    <t>Gasto operativo - Gas Combustible por redes - Distribución [miembro]</t>
  </si>
  <si>
    <t>Gasto administrativo - Gas Combustible por redes - Comercialización [miembro]</t>
  </si>
  <si>
    <t>Gasto operativo - Gas Combustible por redes - Comercialización [miembro]</t>
  </si>
  <si>
    <t>Comercialización de gas importado [miembro]</t>
  </si>
  <si>
    <t>Gasto administrativo - Gas Combustible por redes - Comercialización de gas importado [miembro]</t>
  </si>
  <si>
    <t>Gasto operativo - Gas Combustible por redes - Comercialización de gas importado[miembro]</t>
  </si>
  <si>
    <t>Regasificación [miembro]</t>
  </si>
  <si>
    <t>Gasto administrativo - Gas Combustible por redes - Regasificación [miembro]</t>
  </si>
  <si>
    <t>Gasto operativo - Gas Combustible por redes - Regasificación [miembro]</t>
  </si>
  <si>
    <t>Gasto administrativo - Gas Combustible por redes [miembro]</t>
  </si>
  <si>
    <t>Gasto operativo - Gas Combustible por redes [miembro]</t>
  </si>
  <si>
    <t>[900017f] FC01-6 - Gastos de servicios públicos - Gas licuado del petroleo</t>
  </si>
  <si>
    <t>Comercialización Mayorista [miembro]</t>
  </si>
  <si>
    <t>Gasto administrativo - GLP - Comercialización mayorista [miembro]</t>
  </si>
  <si>
    <t>Gasto operativo - GLP - Comercialización mayorista [miembro]</t>
  </si>
  <si>
    <t>Distribución Inversionista [miembro]</t>
  </si>
  <si>
    <t>Gasto administrativo - GLP - Distribución inversionista [miembro]</t>
  </si>
  <si>
    <t>Gasto operativo - GLP - Distribución inversionista [miembro]</t>
  </si>
  <si>
    <t>Comercialización Minorista [miembro]</t>
  </si>
  <si>
    <t>Gasto administrativo - GLP - Comercialización minorista [miembro]</t>
  </si>
  <si>
    <t>Gasto operativo - GLP - Comercialización minorista [miembro]</t>
  </si>
  <si>
    <t>Gasto administrativo - GLP - Transporte [miembro]</t>
  </si>
  <si>
    <t>Gasto operativo - GLP - Transporte [miembro]</t>
  </si>
  <si>
    <t>Gasto administrativo - GLP [miembro]</t>
  </si>
  <si>
    <t>Gasto operativo - GLP [miembro]</t>
  </si>
  <si>
    <t>[900017g] FC01-7 - Gastos de servicios públicos - Total servicios públicos</t>
  </si>
  <si>
    <t>Total prestación servicios públicos nacionales [miembro]</t>
  </si>
  <si>
    <t>Gasto administrativo - Total de servicios públicos [miembro]</t>
  </si>
  <si>
    <t>Gasto operativo - Total de servicios públicos [miembro]</t>
  </si>
  <si>
    <t>[900019] FC02 - Complementario ingresos</t>
  </si>
  <si>
    <t>Ingresos, devoluciones, rebajas y descuentos [miembro]</t>
  </si>
  <si>
    <t>Ingresos brutos [miembro]</t>
  </si>
  <si>
    <t>Devoluciones, rebajas y descuentos [miembro]</t>
  </si>
  <si>
    <t>Ingresos netos [miembro]</t>
  </si>
  <si>
    <t>Información a revelar sobre ingresos y devoluciones [resumen]</t>
  </si>
  <si>
    <t>Información a revelar sobre ingresos [resumen]</t>
  </si>
  <si>
    <t>Acueducto [resumen]</t>
  </si>
  <si>
    <t>Abastecimiento</t>
  </si>
  <si>
    <t>Distribución</t>
  </si>
  <si>
    <t>Comercialización</t>
  </si>
  <si>
    <t>Subtotal Ingresos Acueducto</t>
  </si>
  <si>
    <t>Alcantarillado [resumen]</t>
  </si>
  <si>
    <t>Recolección y transporte</t>
  </si>
  <si>
    <t>Tratamiento de aguas residuales</t>
  </si>
  <si>
    <t>Subtotal Ingresos Alcantarillado</t>
  </si>
  <si>
    <t>Aseo [resumen]</t>
  </si>
  <si>
    <t>Recolección y transporte de residuos no aprovechables</t>
  </si>
  <si>
    <t>Tratamiento de lixiviados</t>
  </si>
  <si>
    <t>Corte de césped</t>
  </si>
  <si>
    <t>Poda de arboles</t>
  </si>
  <si>
    <t>Limpieza y lavado de áreas públicas</t>
  </si>
  <si>
    <t>Limpieza de playa costeras y rivereñas</t>
  </si>
  <si>
    <t>Suministro e Instalación de cestas en vías y áreas públicas</t>
  </si>
  <si>
    <t>Mantenimiento de cestas en vías y áreas públicas</t>
  </si>
  <si>
    <t>Barrido y Limpieza</t>
  </si>
  <si>
    <t>Transferencia</t>
  </si>
  <si>
    <t>Aprovechamiento</t>
  </si>
  <si>
    <t>Manejo de residuos especiales</t>
  </si>
  <si>
    <t>Otros ingresos servicio aseo</t>
  </si>
  <si>
    <t>Subtotal Ingresos Aseo</t>
  </si>
  <si>
    <t>Energía Eléctrica [resumen]</t>
  </si>
  <si>
    <t>ENERGIA - SIN [resumen]</t>
  </si>
  <si>
    <t>Generación [resumen]</t>
  </si>
  <si>
    <t>Ventas de contratos bilaterales</t>
  </si>
  <si>
    <t>Transacciones de energía en bolsa [resumen]</t>
  </si>
  <si>
    <t>Arranques y paradas</t>
  </si>
  <si>
    <t>Desviaciones positivas</t>
  </si>
  <si>
    <t>Cargo por confiabilidad</t>
  </si>
  <si>
    <t>Servicio AGC</t>
  </si>
  <si>
    <t>Restricciones</t>
  </si>
  <si>
    <t>Ventas en bolsa</t>
  </si>
  <si>
    <t>Subtotal Transacciones de energía en bolsa</t>
  </si>
  <si>
    <t>Otros ingresos de generación</t>
  </si>
  <si>
    <t>Subtotal Ingresos Generación</t>
  </si>
  <si>
    <t>Transmisión</t>
  </si>
  <si>
    <t>Comercialización [resumen]</t>
  </si>
  <si>
    <t>Ventas contratos bilaterales</t>
  </si>
  <si>
    <t>Ventas energía en bolsa</t>
  </si>
  <si>
    <t>Subtotal Comercialización</t>
  </si>
  <si>
    <t>Subtotal Energia - SIN</t>
  </si>
  <si>
    <t>ENERGIA - ZNI [resumen]</t>
  </si>
  <si>
    <t>Generación</t>
  </si>
  <si>
    <t>Subtotal Energia - ZNI</t>
  </si>
  <si>
    <t>Subtotal Energia Eléctrica</t>
  </si>
  <si>
    <t>Gas combustible por redes [resumen]</t>
  </si>
  <si>
    <t>Producción, comercialización [resumen]</t>
  </si>
  <si>
    <t>Contrato de Suministro en Firme</t>
  </si>
  <si>
    <t>Contrato de Suministro con Firmeza condicionada</t>
  </si>
  <si>
    <t>Contrato de Suministro en Firme al 95% - CF95</t>
  </si>
  <si>
    <t>Contrato de Suministro C1</t>
  </si>
  <si>
    <t>Contrato de Suministro C2</t>
  </si>
  <si>
    <t>Contrato de Opción de Compra de Gas</t>
  </si>
  <si>
    <t>Contrato de Suministro de Contingencia</t>
  </si>
  <si>
    <t>Contrato de Opción de Compra de Gas contra exportaciones</t>
  </si>
  <si>
    <t>Contrato con Interrupciones</t>
  </si>
  <si>
    <t>Contrato de condiciones uniformes</t>
  </si>
  <si>
    <t>Otros</t>
  </si>
  <si>
    <t>Subtotal Producción, comercialización</t>
  </si>
  <si>
    <t>Transporte [resumen]</t>
  </si>
  <si>
    <t>Contrato de Transporte Firme</t>
  </si>
  <si>
    <t>Contrato de Opción de Compra de Transporte</t>
  </si>
  <si>
    <t>Contrato de Transporte de Contingencia</t>
  </si>
  <si>
    <t>Contrato de Transporte con Firmeza Condicionada</t>
  </si>
  <si>
    <t>Parqueo Rodante</t>
  </si>
  <si>
    <t>Subtotal Transporte</t>
  </si>
  <si>
    <t>Distribución [resumen]</t>
  </si>
  <si>
    <t>Ingresos por Distribución de Gas Natural</t>
  </si>
  <si>
    <t>Ingresos por Distribución de GLP por Redes</t>
  </si>
  <si>
    <t>Ingresos por Distribución de Aire Propanado</t>
  </si>
  <si>
    <t>Subtotal Distribución</t>
  </si>
  <si>
    <t>Contrato Firme que garantiza Firmeza de Suministro</t>
  </si>
  <si>
    <t>Contrato Firme que garantiza Firmeza de Transporte</t>
  </si>
  <si>
    <t>Comercialización de Gas Importado [resumen]</t>
  </si>
  <si>
    <t>Ingresos por Contratos de representación</t>
  </si>
  <si>
    <t>Subtotal Comercialización de Gas Importado</t>
  </si>
  <si>
    <t>Regasificación [resumen]</t>
  </si>
  <si>
    <t>Ingresos por servicio puro de regasificación</t>
  </si>
  <si>
    <t>Ingresos por disponibilidad de la planta</t>
  </si>
  <si>
    <t>Subtotal Regasificación</t>
  </si>
  <si>
    <t>Subtotal Gas Combustible por Redes</t>
  </si>
  <si>
    <t>Gas Licuado de Petróleo [resumen]</t>
  </si>
  <si>
    <t>Comercialización Mayorista [resumen]</t>
  </si>
  <si>
    <t>Remuneración por Producción</t>
  </si>
  <si>
    <t>Ingreso por Comercialización Mayorista</t>
  </si>
  <si>
    <t>Subtotal Comercialización Mayorista</t>
  </si>
  <si>
    <t>Comercialización Minorista</t>
  </si>
  <si>
    <t>Remuneración por Transporte por Ductos</t>
  </si>
  <si>
    <t>Remuneración por Transporte Marítimo</t>
  </si>
  <si>
    <t>Cargo por Estampilla</t>
  </si>
  <si>
    <t>Subtotal Gas Licuado de Petróleo</t>
  </si>
  <si>
    <t>Ingresos por actividades de servicios públicos</t>
  </si>
  <si>
    <t>Total Ingresos</t>
  </si>
  <si>
    <t>[900020] FC03 - Cuentas por cobrar por servicio</t>
  </si>
  <si>
    <t>Formato Complementario - Cuentas por cobrar</t>
  </si>
  <si>
    <t>Corriente / No corriente [miembro]</t>
  </si>
  <si>
    <t>Corriente [miembro]</t>
  </si>
  <si>
    <t>No Corriente [miembro]</t>
  </si>
  <si>
    <t>Total [miembro]</t>
  </si>
  <si>
    <t>No vencida [miembro]</t>
  </si>
  <si>
    <t>Vencida 1 a 30 días [miembro]</t>
  </si>
  <si>
    <t>Vencida 31 a 60 días [miembro]</t>
  </si>
  <si>
    <t>Vencida 61 a 90 días [miembro]</t>
  </si>
  <si>
    <t>Vencida 91 a 120 días [miembro]</t>
  </si>
  <si>
    <t>Vencida 121 a 150 días [miembro]</t>
  </si>
  <si>
    <t>Vencida 151 a 180 días [miembro]</t>
  </si>
  <si>
    <t>Vencida 181 a 360 días [miembro]</t>
  </si>
  <si>
    <t>Vencida mayor de 360 días [miembro]</t>
  </si>
  <si>
    <t>Formato Complementario - Cuentas por cobrar [partidas]</t>
  </si>
  <si>
    <t>Acueducto</t>
  </si>
  <si>
    <t>Alcantarillado</t>
  </si>
  <si>
    <t>Aseo</t>
  </si>
  <si>
    <t>Energía Eléctrica</t>
  </si>
  <si>
    <t>Gas combustible por redes</t>
  </si>
  <si>
    <t>Gas Licuado de Petróleo</t>
  </si>
  <si>
    <t>Cuentas por cobrar por servicio</t>
  </si>
  <si>
    <t>[900027] FC04 - Información Subsidios y Contribuciones</t>
  </si>
  <si>
    <t>Total Periodo [miembro]</t>
  </si>
  <si>
    <t>Formato Complementario - Subsidios y Contribuciones [partidas]</t>
  </si>
  <si>
    <t>Subsidios</t>
  </si>
  <si>
    <t>Estrato 1</t>
  </si>
  <si>
    <t>Estrato 2</t>
  </si>
  <si>
    <t>Estrato 3</t>
  </si>
  <si>
    <t>Total Subsidios</t>
  </si>
  <si>
    <t>Contribuciones</t>
  </si>
  <si>
    <t>Estrato 5</t>
  </si>
  <si>
    <t>Estrato 6</t>
  </si>
  <si>
    <t>Comercial</t>
  </si>
  <si>
    <t>Industrial</t>
  </si>
  <si>
    <t>Total Contribución</t>
  </si>
  <si>
    <t>Valor Neto Subsidios vs. Contribuciones</t>
  </si>
  <si>
    <t>Detalle deterioro cartera de municipios</t>
  </si>
  <si>
    <t>Subsidio FOES</t>
  </si>
  <si>
    <t>Subsidio FAER</t>
  </si>
  <si>
    <t>Subsidio FAZNI</t>
  </si>
  <si>
    <t>Subsidio PRONE</t>
  </si>
  <si>
    <t>Subsidio Gas combustible por redes</t>
  </si>
  <si>
    <t>Subsidio GLP</t>
  </si>
  <si>
    <t>[900028b] FC05b - Clase de pasivo por edades de vencimiento - Revelaciones</t>
  </si>
  <si>
    <t>Formato Complementario - Detalle de Pasivos [partidas]</t>
  </si>
  <si>
    <t>Total Corriente / No corriente</t>
  </si>
  <si>
    <t>Corriente</t>
  </si>
  <si>
    <t>No corriente</t>
  </si>
  <si>
    <t>Total pasivos por bandas de tiempo</t>
  </si>
  <si>
    <t>Pasivos no vencidos</t>
  </si>
  <si>
    <t>Total pasivos vencidos</t>
  </si>
  <si>
    <t>Vencidos hasta 30 Días</t>
  </si>
  <si>
    <t>Vencidos hasta 60 Días</t>
  </si>
  <si>
    <t>Vencidos hasta 90 Días</t>
  </si>
  <si>
    <t>Vencidos hasta 180 Días</t>
  </si>
  <si>
    <t>Vencidos hasta 360 Días</t>
  </si>
  <si>
    <t>Vencidos mayores a 360 Días</t>
  </si>
  <si>
    <t>Incluya las revelaciones asociadas a las edades de los pasivos por cada clase</t>
  </si>
  <si>
    <t>Formato Complementario - Detalle de pasivos [miembro]</t>
  </si>
  <si>
    <t>Nómina por pagar</t>
  </si>
  <si>
    <t>Prestaciones sociales por pagar</t>
  </si>
  <si>
    <t>Cuentas comerciales por pagar por adquisición de bienes y servicios</t>
  </si>
  <si>
    <t>Impuestos por pagar</t>
  </si>
  <si>
    <t>Obligaciones financieras por pagar</t>
  </si>
  <si>
    <t>Provisiones</t>
  </si>
  <si>
    <t>Otros pasivos</t>
  </si>
  <si>
    <t>TOTAL</t>
  </si>
  <si>
    <t>[900029] FC06 - Depósitos en Garantía de GLP - Distribuidores Inversionistas</t>
  </si>
  <si>
    <t>Trimestres [miembro]</t>
  </si>
  <si>
    <t>Trimestre Enero - Marzo [miembro]</t>
  </si>
  <si>
    <t>Trimestre Abril - Junio [miembro]</t>
  </si>
  <si>
    <t>Trimestre Julio - Septiembre [miembro]</t>
  </si>
  <si>
    <t>Trimestre Octubre - Diciembre [miembro]</t>
  </si>
  <si>
    <t>Formato Complementario - Depósitos en Garantía de GLP - Distribuidores Inversionistas [partidas]</t>
  </si>
  <si>
    <t>Valor de la Fiducia</t>
  </si>
  <si>
    <t>Valor Depósitos en Garantía</t>
  </si>
  <si>
    <t>PORCENTAJE</t>
  </si>
  <si>
    <t>[900031] FC08 - Conciliación de ingresos</t>
  </si>
  <si>
    <t>Diligenciar en este formulario, en los conceptos que el PSPD considere, los valores que a su criterio conforman los ingresos de actividades ordinarias en desarrollo de su objeto social.</t>
  </si>
  <si>
    <t>Servicios [miembro]</t>
  </si>
  <si>
    <t>Conciliación de ingresos [partidas]</t>
  </si>
  <si>
    <t>Ingresos de actividades ordinarias [sinopsis]</t>
  </si>
  <si>
    <t>Ingresos de actividades ordinarias procedentes de la venta de bienes [resumen]</t>
  </si>
  <si>
    <t>Ingresos de actividades ordinarias por venta de energía, gas natural, gas licuado de petróleo, agua</t>
  </si>
  <si>
    <t>Ingresos de actividades ordinarias por venta de aire propanado, combustibles, hidrocarburos, derivados de petróleo</t>
  </si>
  <si>
    <t>Ingresos de actividades ordinarias por venta de equipos de medición de servicios públicos domiciliarios</t>
  </si>
  <si>
    <t>Ingresos de actividades ordinarias por venta de redes internas o partes de ellas</t>
  </si>
  <si>
    <t>Ingresos de actividades ordinarias por venta de electrodomésticos</t>
  </si>
  <si>
    <t>Ingresos de actividades ordinarias por venta de equipos y materiales</t>
  </si>
  <si>
    <t>Ingresos de actividades ordinarias por venta de bienes diferentes a los descritos anteriormente</t>
  </si>
  <si>
    <t>Si reporta ingresos de actividades ordinarias por venta de otros bienes indique cuales [bloque de texto]</t>
  </si>
  <si>
    <t>Total ingresos de actividades ordinarias por venta de bienes</t>
  </si>
  <si>
    <t>Ingresos de actividades ordinarias procedentes de la prestación de servicios [resumen]</t>
  </si>
  <si>
    <t>Ingresos de actividades ordinarias por prestación de servicios públicos domiciliarios</t>
  </si>
  <si>
    <t>Ingresos de actividades ordinarias por prestación de servicios de instalación de redes internas</t>
  </si>
  <si>
    <t>Ingresos de actividades ordinarias por prestación de servicios de mantenimiento de redes internas</t>
  </si>
  <si>
    <t>Ingresos de actividades ordinarias por prestación de servicios de asistencia técnica en servicios públicos domiciliarios</t>
  </si>
  <si>
    <t>Ingresos de actividades ordinarias por prestación de servicios de obras civiles relacionados con servicios públicos domiciliarios</t>
  </si>
  <si>
    <t>Ingresos de actividades ordinarias por cargo de conexión</t>
  </si>
  <si>
    <t>Ingresos de actividades ordinarias por honorarios, asesorías o comisiones por franquicias</t>
  </si>
  <si>
    <t>Ingresos de actividades ordinarias por cargo de confiabilidad</t>
  </si>
  <si>
    <t>Ingresos de actividades ordinarias por reconexiones</t>
  </si>
  <si>
    <t>Ingresos por almacenamiento relacionados con servicios públicos domiciliarios</t>
  </si>
  <si>
    <t>Ingresos de actividades ordinarias por arrendamientos relacionados con servicios públicos domiciliarios</t>
  </si>
  <si>
    <t>Ingresos de actividades ordinarias por reinstalaciones</t>
  </si>
  <si>
    <t>Ingresos de actividades ordinarias procedentes de contratos de construcción</t>
  </si>
  <si>
    <t>Ingresos de actividades ordinarias por revisiones técnicas</t>
  </si>
  <si>
    <t>Ingresos por servicios de facturación, recaudo, manejo comercial</t>
  </si>
  <si>
    <t>Ingresos de actividades ordinarias por prestación de servicios diferentes a los descritos anteriormente</t>
  </si>
  <si>
    <t>Si reporta ingresos de actividades ordinarias por prestación de otros servicios indique cuales [bloque de texto]</t>
  </si>
  <si>
    <t>Total ingresos de actividades ordinarias por prestación de servicios</t>
  </si>
  <si>
    <t>Ingresos de actividades ordinarias por intereses [resumen]</t>
  </si>
  <si>
    <t>Ingresos de actividades ordinarias por intereses de financiación</t>
  </si>
  <si>
    <t>Ingresos de actividades ordinarias por intereses de mora</t>
  </si>
  <si>
    <t>Total de ingresos de actividades ordinarias por intereses</t>
  </si>
  <si>
    <t>Ingresos de actividades ordinarias por dividendos</t>
  </si>
  <si>
    <t>Utilidad de actividades ordinarias en venta de propiedad, planta y equipo (Redes, cables, plantas, y otros directamente relacionados con el servicio público domiciliario)</t>
  </si>
  <si>
    <t>Ingresos de actividades ordinarias por contratos de operación</t>
  </si>
  <si>
    <t>Ingresos de actividades ordinarias por contratos de concesión</t>
  </si>
  <si>
    <t>Ingresos de actividades ordinarias por contratos de cuentas en participación</t>
  </si>
  <si>
    <t>Ingresos de actividades ordinarias por publicidad</t>
  </si>
  <si>
    <t>Otros ingresos de actividades ordinarias</t>
  </si>
  <si>
    <t>Si reporta otros ingresos de actividades ordinarias indique cuáles [bloque de texto]</t>
  </si>
  <si>
    <t>Total de ingresos de actividades ordinarias</t>
  </si>
  <si>
    <t>Ingresos que no son considerados de actividades ordinarias [sinopsis]</t>
  </si>
  <si>
    <t>Ingresos que no son considerados de actividades ordinarias</t>
  </si>
  <si>
    <t>[900032] FC09 - Detalle de costo de ventas</t>
  </si>
  <si>
    <t>Diligencie en este formulario la composición del Costo de Ventas, solo sì el detalle del gasto operativo del formulario FC01 es diferente del costo de ventas en el estado de resultados.</t>
  </si>
  <si>
    <t>Conciliación entre gastos por función y por naturaleza [partidas]</t>
  </si>
  <si>
    <t>Gastos por función [resumen]</t>
  </si>
  <si>
    <t>[900040] FC15 - Información sobre el cálculo del IUS</t>
  </si>
  <si>
    <t>La información contenida en el presente formato es en cumplimiento de lo establecido en la Resolución CRA 906 de 2019 para el cálculo del IUS, para los prestadores de acueducto y/o alcantarillado</t>
  </si>
  <si>
    <t>Total Empresa [miembro]</t>
  </si>
  <si>
    <t>Información adicional [miembro]</t>
  </si>
  <si>
    <t>Información sobre el cálculo del IUS</t>
  </si>
  <si>
    <t>Caracterización</t>
  </si>
  <si>
    <t>Clasifique su empresa de acuerdo al segmento establecido en la resolución CRA 906 de 2019</t>
  </si>
  <si>
    <t>¿Tiene calificación crediticia con grado de inversión AAA a largo plazo, emitida por una calificadora de riesgo para el periodo de reporte? Seleccione de la lista, Sí o No.</t>
  </si>
  <si>
    <t>Variables</t>
  </si>
  <si>
    <t>RI: Recaudo en el periodo de evaluación</t>
  </si>
  <si>
    <t>If: Ingresos facturados en el periodo de evaluación</t>
  </si>
  <si>
    <t>CGGS: Costos y gastos totales destinados a la gestión social</t>
  </si>
  <si>
    <t>ICMI: Ingreso causado por concepto de Costo Medio de Inversión - CMI derivados del POIR para el servicio público</t>
  </si>
  <si>
    <t>ICMO: Ingreso causado por concepto de Costo Medio de Operación - CMO: por APS, durante el periodo de evaluación, para el servicio público</t>
  </si>
  <si>
    <t>ICMA: Ingreso causado por concepto de Costo Medio de Administración - CMA: por APS, durante el periodo de evaluación, para el servicio público</t>
  </si>
  <si>
    <t>TUR_AC: Gasto por concepto de Tasa de uso de agua</t>
  </si>
  <si>
    <t>TUR_AL: Gasto por concepto de Tasa retributiva</t>
  </si>
  <si>
    <t>COA: Costos operativos y gastos de administración</t>
  </si>
  <si>
    <t>SDNC: Servicio de deuda no corriente</t>
  </si>
  <si>
    <t>1 - Grandes Prestadores</t>
  </si>
  <si>
    <t>2 - Pequeños Prestadores</t>
  </si>
  <si>
    <t>3 - Prestadores Rurales</t>
  </si>
  <si>
    <t>4 - Esquema Diferencial</t>
  </si>
  <si>
    <t>[900080] FC30 - Ingreso por tarifa y comercialización de aprovechamiento</t>
  </si>
  <si>
    <t>La información contenida en el presente formato debe ser diligenciada de acuerdo a la información reportada mes a mes</t>
  </si>
  <si>
    <t>Aprovechamiento [miembro]</t>
  </si>
  <si>
    <t>Ingreso por tarifa [miembro]</t>
  </si>
  <si>
    <t>Ingreso por comercialización de material [miembro]</t>
  </si>
  <si>
    <t>Información detallada por tarifa y comercialización de aprovechamiento</t>
  </si>
  <si>
    <t>Del 1 al 31 de Enero</t>
  </si>
  <si>
    <t>Del 1 al 28 de Febrero</t>
  </si>
  <si>
    <t>Del 1 al 31 de Marzo</t>
  </si>
  <si>
    <t>Del 1 al 30 de Abril</t>
  </si>
  <si>
    <t>Del 1 al 31 de Mayo</t>
  </si>
  <si>
    <t>Del 1 al 30 de Junio</t>
  </si>
  <si>
    <t>Del 1 al 31 de Julio</t>
  </si>
  <si>
    <t>Del 1 al 31 de Agosto</t>
  </si>
  <si>
    <t>Del 1 al 30 de Septiembre</t>
  </si>
  <si>
    <t>Del 1 al 31 de Octubre</t>
  </si>
  <si>
    <t>Del 1 al 30 de Noviembre</t>
  </si>
  <si>
    <t>Del 1 al 31 de Diciembre</t>
  </si>
  <si>
    <t>[900090] FC40 - Pagos tarifa de aprovechamiento a recicladores</t>
  </si>
  <si>
    <t>Pago mensual a recicladores [miembro]</t>
  </si>
  <si>
    <t>Información detallada de pagos a recicladores por tarifa de aprovechamiento</t>
  </si>
  <si>
    <t>[900100] FC50 - Detalle de ventas a comercializadores de materiales aprovechables</t>
  </si>
  <si>
    <t>Detalle de ventas a comercializadores de materiales de aprovechamiento [Resumen]</t>
  </si>
  <si>
    <t>Tipo de identificación del comercializador</t>
  </si>
  <si>
    <t>Nit del comercializador</t>
  </si>
  <si>
    <t>Nombre o Razón social del comercializador</t>
  </si>
  <si>
    <t># Fila comercializador de materiales</t>
  </si>
  <si>
    <t>[900110] FC60 - Porcentaje de provisión de la tarifa de aprovechamiento</t>
  </si>
  <si>
    <t>Información detallada del porcentaje de provisión por tarifa de aprovechamiento</t>
  </si>
  <si>
    <t>Año</t>
  </si>
  <si>
    <t>Porcentaje de provisión que aplicó con respecto al valor de la tarifa de aprovechamiento (%)</t>
  </si>
  <si>
    <t>Valor en pesos de la provisión que aplicó</t>
  </si>
  <si>
    <t>Fase de progresividad:</t>
  </si>
  <si>
    <t>Fase de progresividad cinco: 5</t>
  </si>
  <si>
    <t>Fase de progresividad seis: 6</t>
  </si>
  <si>
    <t>Fase de progresividad siete: 7</t>
  </si>
  <si>
    <t>Fase de progresividad ocho: 8</t>
  </si>
  <si>
    <t>2018</t>
  </si>
  <si>
    <t>2019</t>
  </si>
  <si>
    <t>2020</t>
  </si>
  <si>
    <t>2021</t>
  </si>
  <si>
    <t>2022</t>
  </si>
  <si>
    <t>2023</t>
  </si>
  <si>
    <t>2024</t>
  </si>
  <si>
    <t>2025</t>
  </si>
  <si>
    <t>2026</t>
  </si>
  <si>
    <t>2027</t>
  </si>
  <si>
    <t>2028</t>
  </si>
  <si>
    <t>2029</t>
  </si>
  <si>
    <t>2030</t>
  </si>
</sst>
</file>

<file path=xl/styles.xml><?xml version="1.0" encoding="utf-8"?>
<styleSheet xmlns="http://schemas.openxmlformats.org/spreadsheetml/2006/main">
  <numFmts count="1">
    <numFmt numFmtId="164" formatCode="[$-0409]yyyy-MM-dd;@"/>
  </numFmts>
  <fonts count="7">
    <font>
      <sz val="11.0"/>
      <color indexed="8"/>
      <name val="Calibri"/>
      <family val="2"/>
      <scheme val="minor"/>
    </font>
    <font>
      <name val="Microsoft Sans Serif"/>
      <sz val="11.0"/>
      <u val="single"/>
      <color indexed="12"/>
    </font>
    <font>
      <name val="Microsoft Sans Serif"/>
      <sz val="11.0"/>
      <u val="single"/>
      <color indexed="12"/>
    </font>
    <font>
      <name val="Microsoft Sans Serif"/>
      <sz val="9.0"/>
    </font>
    <font>
      <name val="Calibri"/>
      <sz val="11.0"/>
      <color rgb="0000FF"/>
      <u val="single"/>
    </font>
    <font>
      <name val="Microsoft Sans Serif"/>
      <sz val="9.0"/>
      <b val="true"/>
    </font>
    <font>
      <name val="Microsoft Sans Serif"/>
      <sz val="9.0"/>
      <color indexed="10"/>
    </font>
  </fonts>
  <fills count="10">
    <fill>
      <patternFill patternType="none"/>
    </fill>
    <fill>
      <patternFill patternType="darkGray"/>
    </fill>
    <fill>
      <patternFill patternType="none">
        <fgColor rgb="CCCCCC"/>
      </patternFill>
    </fill>
    <fill>
      <patternFill patternType="solid">
        <fgColor rgb="CCCCCC"/>
      </patternFill>
    </fill>
    <fill>
      <patternFill patternType="none">
        <fgColor rgb="FFFFCC"/>
      </patternFill>
    </fill>
    <fill>
      <patternFill patternType="solid">
        <fgColor rgb="FFFFCC"/>
      </patternFill>
    </fill>
    <fill>
      <patternFill patternType="solid"/>
    </fill>
    <fill>
      <patternFill patternType="solid">
        <fgColor rgb="F2F2F2"/>
      </patternFill>
    </fill>
    <fill>
      <patternFill patternType="none">
        <fgColor rgb="000000"/>
      </patternFill>
    </fill>
    <fill>
      <patternFill patternType="darkDown">
        <fgColor rgb="000000"/>
      </patternFill>
    </fill>
  </fills>
  <borders count="14">
    <border>
      <left/>
      <right/>
      <top/>
      <bottom/>
      <diagonal/>
    </border>
    <border>
      <top style="thin"/>
    </border>
    <border>
      <left style="thin"/>
      <top style="thin"/>
    </border>
    <border>
      <left style="thin"/>
      <right style="thin"/>
      <top style="thin"/>
    </border>
    <border>
      <top style="thin"/>
      <bottom style="thin"/>
    </border>
    <border>
      <left style="thin"/>
      <top style="thin"/>
      <bottom style="thin"/>
    </border>
    <border>
      <left style="thin"/>
      <right style="thin"/>
      <top style="thin"/>
      <bottom style="thin"/>
    </border>
    <border>
      <right style="thin"/>
      <top style="thin"/>
      <bottom style="thin"/>
    </border>
    <border>
      <left style="thin"/>
    </border>
    <border>
      <left style="thin"/>
      <right style="thin"/>
    </border>
    <border>
      <bottom style="thin"/>
    </border>
    <border>
      <left style="thin"/>
      <bottom style="thin"/>
    </border>
    <border>
      <left style="thin"/>
      <right style="thin"/>
      <bottom style="thin"/>
    </border>
    <border>
      <right style="thin"/>
      <top style="thin"/>
    </border>
  </borders>
  <cellStyleXfs count="1">
    <xf numFmtId="0" fontId="0" fillId="0" borderId="0"/>
  </cellStyleXfs>
  <cellXfs count="72">
    <xf numFmtId="0" fontId="0" fillId="0" borderId="0" xfId="0"/>
    <xf numFmtId="0" fontId="0" fillId="0" borderId="0" xfId="0">
      <alignment horizontal="right"/>
    </xf>
    <xf numFmtId="0" fontId="1" fillId="0" borderId="0" xfId="0" applyFont="true"/>
    <xf numFmtId="0" fontId="2" fillId="0" borderId="0" xfId="0" applyFont="true">
      <alignment indent="1"/>
    </xf>
    <xf numFmtId="0" fontId="3" fillId="3" borderId="2" xfId="0" applyFill="true" applyFont="true" applyBorder="true">
      <alignment horizontal="center" vertical="center" wrapText="true"/>
    </xf>
    <xf numFmtId="0" fontId="3" fillId="3" borderId="3" xfId="0" applyFill="true" applyFont="true" applyBorder="true">
      <alignment horizontal="center" vertical="center" wrapText="true"/>
    </xf>
    <xf numFmtId="0" fontId="3" fillId="3" borderId="6" xfId="0" applyFill="true" applyFont="true" applyBorder="true">
      <alignment horizontal="center" vertical="center" wrapText="true"/>
    </xf>
    <xf numFmtId="0" fontId="3" fillId="3" borderId="2" xfId="0" applyFill="true" applyFont="true" applyBorder="true">
      <alignment horizontal="left" vertical="center" wrapText="true"/>
    </xf>
    <xf numFmtId="0" fontId="3" fillId="3" borderId="7" xfId="0" applyFill="true" applyFont="true" applyBorder="true">
      <alignment horizontal="left" vertical="center" wrapText="true"/>
    </xf>
    <xf numFmtId="0" fontId="3" fillId="3" borderId="9" xfId="0" applyFill="true" applyFont="true" applyBorder="true">
      <alignment horizontal="left" vertical="center" wrapText="true"/>
    </xf>
    <xf numFmtId="0" fontId="3" fillId="3" borderId="12" xfId="0" applyFill="true" applyFont="true" applyBorder="true">
      <alignment horizontal="left" vertical="center" wrapText="true"/>
    </xf>
    <xf numFmtId="0" fontId="3" fillId="5" borderId="5" xfId="0" applyFill="true" applyFont="true" applyBorder="true">
      <alignment horizontal="left" vertical="center" wrapText="true"/>
    </xf>
    <xf numFmtId="0" fontId="3" fillId="3" borderId="5" xfId="0" applyFill="true" applyFont="true" applyBorder="true">
      <alignment horizontal="left" vertical="center" wrapText="true"/>
    </xf>
    <xf numFmtId="0" fontId="3" fillId="5" borderId="6" xfId="0" applyFill="true" applyFont="true" applyBorder="true">
      <alignment horizontal="left" vertical="center" wrapText="true"/>
    </xf>
    <xf numFmtId="0" fontId="3" fillId="3" borderId="6" xfId="0" applyFill="true" applyFont="true" applyBorder="true">
      <alignment horizontal="left" vertical="center" wrapText="true"/>
    </xf>
    <xf numFmtId="0" fontId="0" fillId="7" borderId="9" xfId="0" applyFill="true" applyBorder="true">
      <alignment vertical="center"/>
    </xf>
    <xf numFmtId="0" fontId="0" fillId="0" borderId="9" xfId="0" applyBorder="true">
      <alignment vertical="center"/>
    </xf>
    <xf numFmtId="0" fontId="0" fillId="9" borderId="6" xfId="0" applyBorder="true" applyFill="true">
      <alignment vertical="center"/>
    </xf>
    <xf numFmtId="0" fontId="0" fillId="9" borderId="6" xfId="0" applyBorder="true" applyFill="true">
      <alignment vertical="center"/>
    </xf>
    <xf numFmtId="0" fontId="0" fillId="7" borderId="9" xfId="0" applyBorder="true" applyFill="true">
      <alignment horizontal="center"/>
    </xf>
    <xf numFmtId="0" fontId="0" fillId="0" borderId="9" xfId="0" applyBorder="true">
      <alignment horizontal="center"/>
    </xf>
    <xf numFmtId="164" fontId="0" fillId="7" borderId="9" xfId="0" applyFill="true" applyBorder="true" applyNumberFormat="true">
      <alignment vertical="center"/>
    </xf>
    <xf numFmtId="164" fontId="0" fillId="0" borderId="9" xfId="0" applyBorder="true" applyNumberFormat="true">
      <alignment vertical="center"/>
    </xf>
    <xf numFmtId="0" fontId="0" fillId="7" borderId="12" xfId="0" applyFill="true" applyBorder="true">
      <alignment vertical="center"/>
    </xf>
    <xf numFmtId="0" fontId="3" fillId="3" borderId="1" xfId="0" applyFill="true" applyFont="true" applyBorder="true">
      <alignment horizontal="center" vertical="center" wrapText="true"/>
    </xf>
    <xf numFmtId="0" fontId="3" fillId="3" borderId="13" xfId="0" applyFill="true" applyFont="true" applyBorder="true">
      <alignment horizontal="center" vertical="center" wrapText="true"/>
    </xf>
    <xf numFmtId="0" fontId="3" fillId="3" borderId="8" xfId="0" applyFill="true" applyFont="true" applyBorder="true">
      <alignment horizontal="center" vertical="center" wrapText="true"/>
    </xf>
    <xf numFmtId="0" fontId="3" fillId="5" borderId="2" xfId="0" applyFill="true" applyFont="true" applyBorder="true">
      <alignment horizontal="center" vertical="center" wrapText="true"/>
    </xf>
    <xf numFmtId="0" fontId="3" fillId="5" borderId="3" xfId="0" applyFill="true" applyFont="true" applyBorder="true">
      <alignment horizontal="center" vertical="center" wrapText="true"/>
    </xf>
    <xf numFmtId="0" fontId="3" fillId="5" borderId="6" xfId="0" applyFill="true" applyFont="true" applyBorder="true">
      <alignment horizontal="center" vertical="center" wrapText="true"/>
    </xf>
    <xf numFmtId="0" fontId="3" fillId="3" borderId="11" xfId="0" applyFill="true" applyFont="true" applyBorder="true">
      <alignment horizontal="center" vertical="center" wrapText="true"/>
    </xf>
    <xf numFmtId="0" fontId="3" fillId="3" borderId="12" xfId="0" applyFill="true" applyFont="true" applyBorder="true">
      <alignment horizontal="center" vertical="center" wrapText="true"/>
    </xf>
    <xf numFmtId="0" fontId="3" fillId="3" borderId="4" xfId="0" applyFill="true" applyFont="true" applyBorder="true">
      <alignment horizontal="left" vertical="center" wrapText="true"/>
    </xf>
    <xf numFmtId="0" fontId="3" fillId="5" borderId="2" xfId="0" applyFill="true" applyFont="true" applyBorder="true">
      <alignment horizontal="left" vertical="center" wrapText="true"/>
    </xf>
    <xf numFmtId="0" fontId="3" fillId="5" borderId="4" xfId="0" applyFill="true" applyFont="true" applyBorder="true">
      <alignment horizontal="left" vertical="center" wrapText="true"/>
    </xf>
    <xf numFmtId="0" fontId="3" fillId="5" borderId="7" xfId="0" applyFill="true" applyFont="true" applyBorder="true">
      <alignment horizontal="left" vertical="center" wrapText="true"/>
    </xf>
    <xf numFmtId="0" fontId="3" fillId="5" borderId="9" xfId="0" applyFill="true" applyFont="true" applyBorder="true">
      <alignment horizontal="left" vertical="center" wrapText="true"/>
    </xf>
    <xf numFmtId="0" fontId="3" fillId="5" borderId="12" xfId="0" applyFill="true" applyFont="true" applyBorder="true">
      <alignment horizontal="left" vertical="center" wrapText="true"/>
    </xf>
    <xf numFmtId="0" fontId="5" fillId="3" borderId="5" xfId="0" applyFill="true" applyFont="true" applyBorder="true">
      <alignment horizontal="left" vertical="center" wrapText="true"/>
    </xf>
    <xf numFmtId="0" fontId="5" fillId="3" borderId="7" xfId="0" applyFill="true" applyFont="true" applyBorder="true">
      <alignment horizontal="left" vertical="center" wrapText="true"/>
    </xf>
    <xf numFmtId="0" fontId="5" fillId="3" borderId="12" xfId="0" applyFill="true" applyFont="true" applyBorder="true">
      <alignment horizontal="left" vertical="center" wrapText="true"/>
    </xf>
    <xf numFmtId="0" fontId="5" fillId="5" borderId="5" xfId="0" applyFill="true" applyFont="true" applyBorder="true">
      <alignment horizontal="left" vertical="center" wrapText="true"/>
    </xf>
    <xf numFmtId="0" fontId="5" fillId="5" borderId="4" xfId="0" applyFill="true" applyFont="true" applyBorder="true">
      <alignment horizontal="left" vertical="center" wrapText="true"/>
    </xf>
    <xf numFmtId="0" fontId="5" fillId="5" borderId="7" xfId="0" applyFill="true" applyFont="true" applyBorder="true">
      <alignment horizontal="left" vertical="center" wrapText="true"/>
    </xf>
    <xf numFmtId="0" fontId="5" fillId="5" borderId="12" xfId="0" applyFill="true" applyFont="true" applyBorder="true">
      <alignment horizontal="left" vertical="center" wrapText="true"/>
    </xf>
    <xf numFmtId="0" fontId="5" fillId="3" borderId="4" xfId="0" applyFill="true" applyFont="true" applyBorder="true">
      <alignment horizontal="left" vertical="center" wrapText="true"/>
    </xf>
    <xf numFmtId="4" fontId="0" fillId="0" borderId="9" xfId="0" applyBorder="true" applyNumberFormat="true">
      <alignment vertical="center"/>
    </xf>
    <xf numFmtId="4" fontId="0" fillId="7" borderId="9" xfId="0" applyFill="true" applyBorder="true" applyNumberFormat="true">
      <alignment vertical="center"/>
    </xf>
    <xf numFmtId="4" fontId="0" fillId="0" borderId="12" xfId="0" applyBorder="true" applyNumberFormat="true">
      <alignment vertical="center"/>
    </xf>
    <xf numFmtId="0" fontId="6" fillId="5" borderId="5" xfId="0" applyFill="true" applyFont="true" applyBorder="true">
      <alignment horizontal="left" vertical="center" wrapText="true"/>
    </xf>
    <xf numFmtId="0" fontId="6" fillId="3" borderId="5" xfId="0" applyFill="true" applyFont="true" applyBorder="true">
      <alignment horizontal="left" vertical="center" wrapText="true"/>
    </xf>
    <xf numFmtId="0" fontId="5" fillId="3" borderId="6" xfId="0" applyFill="true" applyFont="true" applyBorder="true">
      <alignment horizontal="left" vertical="center" wrapText="true"/>
    </xf>
    <xf numFmtId="4" fontId="0" fillId="7" borderId="12" xfId="0" applyFill="true" applyBorder="true" applyNumberFormat="true">
      <alignment vertical="center"/>
    </xf>
    <xf numFmtId="0" fontId="5" fillId="5" borderId="6" xfId="0" applyFill="true" applyFont="true" applyBorder="true">
      <alignment horizontal="left" vertical="center" wrapText="true"/>
    </xf>
    <xf numFmtId="0" fontId="0" fillId="0" borderId="12" xfId="0" applyBorder="true">
      <alignment vertical="center"/>
    </xf>
    <xf numFmtId="0" fontId="0" fillId="9" borderId="6" xfId="0" applyBorder="true" applyFill="true">
      <alignment vertical="center"/>
    </xf>
    <xf numFmtId="0" fontId="3" fillId="5" borderId="1" xfId="0" applyFill="true" applyFont="true" applyBorder="true">
      <alignment horizontal="center" vertical="center" wrapText="true"/>
    </xf>
    <xf numFmtId="0" fontId="3" fillId="5" borderId="13" xfId="0" applyFill="true" applyFont="true" applyBorder="true">
      <alignment horizontal="center" vertical="center" wrapText="true"/>
    </xf>
    <xf numFmtId="0" fontId="3" fillId="5" borderId="8" xfId="0" applyFill="true" applyFont="true" applyBorder="true">
      <alignment horizontal="center" vertical="center" wrapText="true"/>
    </xf>
    <xf numFmtId="0" fontId="3" fillId="5" borderId="11" xfId="0" applyFill="true" applyFont="true" applyBorder="true">
      <alignment horizontal="center" vertical="center" wrapText="true"/>
    </xf>
    <xf numFmtId="0" fontId="3" fillId="3" borderId="9" xfId="0" applyFill="true" applyFont="true" applyBorder="true">
      <alignment horizontal="center" vertical="center" wrapText="true"/>
    </xf>
    <xf numFmtId="0" fontId="5" fillId="5" borderId="2" xfId="0" applyFill="true" applyFont="true" applyBorder="true">
      <alignment horizontal="center" vertical="center" wrapText="true"/>
    </xf>
    <xf numFmtId="0" fontId="5" fillId="5" borderId="1" xfId="0" applyFill="true" applyFont="true" applyBorder="true">
      <alignment horizontal="center" vertical="center" wrapText="true"/>
    </xf>
    <xf numFmtId="0" fontId="5" fillId="5" borderId="13" xfId="0" applyFill="true" applyFont="true" applyBorder="true">
      <alignment horizontal="center" vertical="center" wrapText="true"/>
    </xf>
    <xf numFmtId="0" fontId="5" fillId="5" borderId="8" xfId="0" applyFill="true" applyFont="true" applyBorder="true">
      <alignment horizontal="center" vertical="center" wrapText="true"/>
    </xf>
    <xf numFmtId="0" fontId="5" fillId="3" borderId="2" xfId="0" applyFill="true" applyFont="true" applyBorder="true">
      <alignment horizontal="center" vertical="center" wrapText="true"/>
    </xf>
    <xf numFmtId="0" fontId="5" fillId="3" borderId="1" xfId="0" applyFill="true" applyFont="true" applyBorder="true">
      <alignment horizontal="center" vertical="center" wrapText="true"/>
    </xf>
    <xf numFmtId="0" fontId="5" fillId="3" borderId="13" xfId="0" applyFill="true" applyFont="true" applyBorder="true">
      <alignment horizontal="center" vertical="center" wrapText="true"/>
    </xf>
    <xf numFmtId="0" fontId="5" fillId="3" borderId="8" xfId="0" applyFill="true" applyFont="true" applyBorder="true">
      <alignment horizontal="center" vertical="center" wrapText="true"/>
    </xf>
    <xf numFmtId="0" fontId="3" fillId="3" borderId="10" xfId="0" applyFill="true" applyFont="true" applyBorder="true">
      <alignment horizontal="left" vertical="center" wrapText="true"/>
    </xf>
    <xf numFmtId="0" fontId="3" fillId="5" borderId="9" xfId="0" applyFill="true" applyFont="true" applyBorder="true">
      <alignment horizontal="center" vertical="center" wrapText="true"/>
    </xf>
    <xf numFmtId="0" fontId="3" fillId="5" borderId="12" xfId="0" applyFill="true" applyFont="true" applyBorder="true">
      <alignment horizontal="center"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B2:C30"/>
  <sheetViews>
    <sheetView workbookViewId="0" tabSelected="true"/>
  </sheetViews>
  <sheetFormatPr defaultRowHeight="15.0"/>
  <sheetData>
    <row r="2">
      <c r="B2" t="s">
        <v>0</v>
      </c>
    </row>
    <row r="3">
      <c r="B3" t="s" s="3">
        <v>2</v>
      </c>
    </row>
    <row r="4">
      <c r="B4" t="s" s="3">
        <v>25</v>
      </c>
    </row>
    <row r="5">
      <c r="B5" t="s" s="3">
        <v>114</v>
      </c>
    </row>
    <row r="6">
      <c r="B6" t="s" s="3">
        <v>131</v>
      </c>
    </row>
    <row r="7">
      <c r="B7" t="s" s="3">
        <v>197</v>
      </c>
    </row>
    <row r="8">
      <c r="B8" t="s" s="3">
        <v>205</v>
      </c>
    </row>
    <row r="9">
      <c r="B9" t="s" s="3">
        <v>226</v>
      </c>
    </row>
    <row r="10">
      <c r="B10" t="s" s="3">
        <v>237</v>
      </c>
    </row>
    <row r="11">
      <c r="B11" t="s" s="3">
        <v>241</v>
      </c>
    </row>
    <row r="12">
      <c r="B12" t="s" s="3">
        <v>269</v>
      </c>
    </row>
    <row r="13">
      <c r="B13" t="s" s="3">
        <v>343</v>
      </c>
    </row>
    <row r="14">
      <c r="B14" t="s" s="3">
        <v>346</v>
      </c>
    </row>
    <row r="15">
      <c r="B15" t="s" s="3">
        <v>349</v>
      </c>
    </row>
    <row r="16">
      <c r="B16" t="s" s="3">
        <v>376</v>
      </c>
    </row>
    <row r="17">
      <c r="B17" t="s" s="3">
        <v>395</v>
      </c>
    </row>
    <row r="18">
      <c r="B18" t="s" s="3">
        <v>409</v>
      </c>
    </row>
    <row r="19">
      <c r="B19" t="s" s="3">
        <v>413</v>
      </c>
    </row>
    <row r="20">
      <c r="B20" t="s" s="3">
        <v>516</v>
      </c>
    </row>
    <row r="21">
      <c r="B21" t="s" s="3">
        <v>539</v>
      </c>
    </row>
    <row r="22">
      <c r="B22" t="s" s="3">
        <v>561</v>
      </c>
    </row>
    <row r="23">
      <c r="B23" t="s" s="3">
        <v>585</v>
      </c>
    </row>
    <row r="24">
      <c r="B24" t="s" s="3">
        <v>595</v>
      </c>
    </row>
    <row r="25">
      <c r="B25" t="s" s="3">
        <v>644</v>
      </c>
    </row>
    <row r="26">
      <c r="B26" t="s" s="3">
        <v>648</v>
      </c>
    </row>
    <row r="27">
      <c r="B27" t="s" s="3">
        <v>671</v>
      </c>
    </row>
    <row r="28">
      <c r="B28" t="s" s="3">
        <v>689</v>
      </c>
    </row>
    <row r="29">
      <c r="B29" t="s" s="3">
        <v>692</v>
      </c>
    </row>
    <row r="30">
      <c r="B30" t="s" s="3">
        <v>698</v>
      </c>
    </row>
  </sheetData>
  <hyperlinks>
    <hyperlink location="Hoja1!B2" ref="B3"/>
    <hyperlink location="Hoja2!B2" ref="B4"/>
    <hyperlink location="Hoja3!B2" ref="B5"/>
    <hyperlink location="Hoja4!B2" ref="B6"/>
    <hyperlink location="Hoja5!B2" ref="B7"/>
    <hyperlink location="Hoja6!B2" ref="B8"/>
    <hyperlink location="Hoja7!B2" ref="B9"/>
    <hyperlink location="Hoja8!B2" ref="B10"/>
    <hyperlink location="Hoja9!B2" ref="B11"/>
    <hyperlink location="Hoja10!B2" ref="B12"/>
    <hyperlink location="Hoja11!B2" ref="B13"/>
    <hyperlink location="Hoja12!B2" ref="B14"/>
    <hyperlink location="Hoja13!B2" ref="B15"/>
    <hyperlink location="Hoja14!B2" ref="B16"/>
    <hyperlink location="Hoja15!B2" ref="B17"/>
    <hyperlink location="Hoja16!B2" ref="B18"/>
    <hyperlink location="Hoja17!B2" ref="B19"/>
    <hyperlink location="Hoja18!B2" ref="B20"/>
    <hyperlink location="Hoja19!B2" ref="B21"/>
    <hyperlink location="Hoja20!B2" ref="B22"/>
    <hyperlink location="Hoja21!B2" ref="B23"/>
    <hyperlink location="Hoja22!B2" ref="B24"/>
    <hyperlink location="Hoja23!B2" ref="B25"/>
    <hyperlink location="Hoja24!B2" ref="B26"/>
    <hyperlink location="Hoja25!B2" ref="B27"/>
    <hyperlink location="Hoja26!B2" ref="B28"/>
    <hyperlink location="Hoja27!B2" ref="B29"/>
    <hyperlink location="Hoja28!B2" ref="B30"/>
  </hyperlinks>
  <pageMargins bottom="0.75" footer="0.3" header="0.3" left="0.7" right="0.7" top="0.75"/>
</worksheet>
</file>

<file path=xl/worksheets/sheet2.xml><?xml version="1.0" encoding="utf-8"?>
<worksheet xmlns="http://schemas.openxmlformats.org/spreadsheetml/2006/main">
  <dimension ref="B2:E18"/>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2</v>
      </c>
    </row>
    <row r="6">
      <c r="B6" t="s" s="1">
        <v>8</v>
      </c>
      <c r="C6" t="s">
        <v>9</v>
      </c>
    </row>
    <row r="7">
      <c r="B7" t="s" s="1">
        <v>10</v>
      </c>
      <c r="C7" t="s">
        <v>9</v>
      </c>
    </row>
    <row r="8">
      <c r="B8" t="s" s="1">
        <v>11</v>
      </c>
      <c r="C8" t="s">
        <v>9</v>
      </c>
    </row>
    <row r="10">
      <c r="D10" t="s" s="6">
        <v>12</v>
      </c>
    </row>
    <row r="11" ht="28.0" customHeight="true">
      <c r="B11" s="7" t="s">
        <v>13</v>
      </c>
      <c r="C11" s="8"/>
      <c r="D11" s="16"/>
    </row>
    <row r="12">
      <c r="B12" s="9"/>
      <c r="C12" s="13" t="s">
        <v>14</v>
      </c>
      <c r="D12" s="15"/>
    </row>
    <row r="13">
      <c r="B13" s="9"/>
      <c r="C13" s="14" t="s">
        <v>15</v>
      </c>
      <c r="D13" s="16"/>
    </row>
    <row r="14">
      <c r="B14" s="9"/>
      <c r="C14" s="13" t="s">
        <v>16</v>
      </c>
      <c r="D14" s="15"/>
    </row>
    <row r="15">
      <c r="B15" s="9"/>
      <c r="C15" s="14" t="s">
        <v>17</v>
      </c>
      <c r="D15" s="16"/>
    </row>
    <row r="16">
      <c r="B16" s="9"/>
      <c r="C16" s="13" t="s">
        <v>18</v>
      </c>
      <c r="D16" s="21" t="n"/>
    </row>
    <row r="17">
      <c r="B17" s="9"/>
      <c r="C17" s="14" t="s">
        <v>19</v>
      </c>
      <c r="D17" s="22" t="n"/>
    </row>
    <row r="18">
      <c r="B18" s="10"/>
      <c r="C18" s="13" t="s">
        <v>20</v>
      </c>
      <c r="D18" s="23"/>
    </row>
  </sheetData>
  <mergeCells>
    <mergeCell ref="B11:C11"/>
  </mergeCells>
  <dataValidations count="1">
    <dataValidation type="list" sqref="D18" allowBlank="true" errorStyle="stop" showErrorMessage="true" showDropDown="false">
      <formula1>sspdtipos_TipoGradoRedondeo</formula1>
    </dataValidation>
  </dataValidations>
  <hyperlinks>
    <hyperlink location="'Indice'!A1" ref="B2"/>
  </hyperlinks>
  <pageMargins bottom="0.75" footer="0.3" header="0.3" left="0.7" right="0.7" top="0.75"/>
</worksheet>
</file>

<file path=xl/worksheets/sheet3.xml><?xml version="1.0" encoding="utf-8"?>
<worksheet xmlns="http://schemas.openxmlformats.org/spreadsheetml/2006/main">
  <dimension ref="B3:M15"/>
  <sheetViews>
    <sheetView workbookViewId="0"/>
  </sheetViews>
  <sheetFormatPr defaultRowHeight="15.0"/>
  <sheetData>
    <row r="3">
      <c r="B3" t="s">
        <v>21</v>
      </c>
      <c r="D3" t="s">
        <v>224</v>
      </c>
      <c r="F3" t="s">
        <v>258</v>
      </c>
      <c r="H3" t="s">
        <v>261</v>
      </c>
      <c r="J3" t="s">
        <v>667</v>
      </c>
      <c r="L3" t="s">
        <v>708</v>
      </c>
    </row>
    <row r="4">
      <c r="B4" t="s">
        <v>22</v>
      </c>
      <c r="D4" t="s">
        <v>225</v>
      </c>
      <c r="F4" t="s">
        <v>259</v>
      </c>
      <c r="H4" t="s">
        <v>262</v>
      </c>
      <c r="J4" t="s">
        <v>668</v>
      </c>
      <c r="L4" t="s">
        <v>709</v>
      </c>
    </row>
    <row r="5">
      <c r="B5" t="s">
        <v>23</v>
      </c>
      <c r="F5" t="s">
        <v>260</v>
      </c>
      <c r="H5" t="s">
        <v>263</v>
      </c>
      <c r="J5" t="s">
        <v>669</v>
      </c>
      <c r="L5" t="s">
        <v>710</v>
      </c>
    </row>
    <row r="6">
      <c r="B6" t="s">
        <v>24</v>
      </c>
      <c r="H6" t="s">
        <v>264</v>
      </c>
      <c r="J6" t="s">
        <v>670</v>
      </c>
      <c r="L6" t="s">
        <v>711</v>
      </c>
    </row>
    <row r="7">
      <c r="H7" t="s">
        <v>265</v>
      </c>
      <c r="L7" t="s">
        <v>712</v>
      </c>
    </row>
    <row r="8">
      <c r="H8" t="s">
        <v>266</v>
      </c>
      <c r="L8" t="s">
        <v>713</v>
      </c>
    </row>
    <row r="9">
      <c r="H9" t="s">
        <v>267</v>
      </c>
      <c r="L9" t="s">
        <v>714</v>
      </c>
    </row>
    <row r="10">
      <c r="H10" t="s">
        <v>268</v>
      </c>
      <c r="L10" t="s">
        <v>715</v>
      </c>
    </row>
    <row r="11">
      <c r="L11" t="s">
        <v>716</v>
      </c>
    </row>
    <row r="12">
      <c r="L12" t="s">
        <v>717</v>
      </c>
    </row>
    <row r="13">
      <c r="L13" t="s">
        <v>718</v>
      </c>
    </row>
    <row r="14">
      <c r="L14" t="s">
        <v>719</v>
      </c>
    </row>
    <row r="15">
      <c r="L15" t="s">
        <v>720</v>
      </c>
    </row>
  </sheetData>
  <pageMargins bottom="0.75" footer="0.3" header="0.3" left="0.7" right="0.7" top="0.75"/>
</worksheet>
</file>

<file path=xl/worksheets/sheet4.xml><?xml version="1.0" encoding="utf-8"?>
<worksheet xmlns="http://schemas.openxmlformats.org/spreadsheetml/2006/main">
  <dimension ref="B2:P175"/>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2.70703125" customWidth="true"/>
    <col min="8" max="8" width="50.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2">
      <c r="B2" t="s" s="2">
        <v>1</v>
      </c>
    </row>
    <row r="3">
      <c r="B3" t="s" s="1">
        <v>3</v>
      </c>
      <c r="C3" t="s">
        <v>4</v>
      </c>
    </row>
    <row r="4">
      <c r="B4" s="1" t="s">
        <v>5</v>
      </c>
      <c r="C4" t="s">
        <v>6</v>
      </c>
    </row>
    <row r="5">
      <c r="B5" t="s" s="1">
        <v>7</v>
      </c>
      <c r="C5" t="s">
        <v>25</v>
      </c>
    </row>
    <row r="6">
      <c r="B6" t="s" s="1">
        <v>8</v>
      </c>
      <c r="C6" t="s">
        <v>9</v>
      </c>
    </row>
    <row r="7">
      <c r="B7" t="s" s="1">
        <v>10</v>
      </c>
      <c r="C7" t="s">
        <v>9</v>
      </c>
    </row>
    <row r="9">
      <c r="B9" t="s" s="1">
        <v>11</v>
      </c>
      <c r="C9" t="s">
        <v>12</v>
      </c>
    </row>
    <row r="10">
      <c r="I10" t="s" s="4">
        <v>26</v>
      </c>
      <c r="J10" s="24"/>
      <c r="K10" s="24"/>
      <c r="L10" s="24"/>
      <c r="M10" s="24"/>
      <c r="N10" s="24"/>
      <c r="O10" s="25"/>
    </row>
    <row r="11">
      <c r="I11" t="s" s="29">
        <v>27</v>
      </c>
      <c r="J11" t="s" s="6">
        <v>28</v>
      </c>
      <c r="K11" t="s" s="29">
        <v>29</v>
      </c>
      <c r="L11" t="s" s="6">
        <v>30</v>
      </c>
      <c r="M11" t="s" s="29">
        <v>31</v>
      </c>
      <c r="N11" t="s" s="6">
        <v>32</v>
      </c>
      <c r="O11" s="31"/>
    </row>
    <row r="12">
      <c r="B12" s="7" t="s">
        <v>33</v>
      </c>
      <c r="C12" s="32"/>
      <c r="D12" s="32"/>
      <c r="E12" s="32"/>
      <c r="F12" s="32"/>
      <c r="G12" s="32"/>
      <c r="H12" s="8"/>
      <c r="I12" s="18"/>
      <c r="J12" s="18"/>
      <c r="K12" s="18"/>
      <c r="L12" s="18"/>
      <c r="M12" s="18"/>
      <c r="N12" s="18"/>
      <c r="O12" s="18"/>
    </row>
    <row r="13">
      <c r="B13" s="9"/>
      <c r="C13" s="33" t="s">
        <v>34</v>
      </c>
      <c r="D13" s="34"/>
      <c r="E13" s="34"/>
      <c r="F13" s="34"/>
      <c r="G13" s="34"/>
      <c r="H13" s="35"/>
      <c r="I13" s="17"/>
      <c r="J13" s="17"/>
      <c r="K13" s="17"/>
      <c r="L13" s="17"/>
      <c r="M13" s="17"/>
      <c r="N13" s="17"/>
      <c r="O13" s="17"/>
    </row>
    <row r="14">
      <c r="B14" s="9"/>
      <c r="C14" s="36"/>
      <c r="D14" s="7" t="s">
        <v>35</v>
      </c>
      <c r="E14" s="32"/>
      <c r="F14" s="32"/>
      <c r="G14" s="32"/>
      <c r="H14" s="8"/>
      <c r="I14" s="18"/>
      <c r="J14" s="18"/>
      <c r="K14" s="18"/>
      <c r="L14" s="18"/>
      <c r="M14" s="18"/>
      <c r="N14" s="18"/>
      <c r="O14" s="18"/>
    </row>
    <row r="15">
      <c r="B15" s="9"/>
      <c r="C15" s="36"/>
      <c r="D15" s="9"/>
      <c r="E15" s="33" t="s">
        <v>36</v>
      </c>
      <c r="F15" s="34"/>
      <c r="G15" s="34"/>
      <c r="H15" s="35"/>
      <c r="I15" s="46" t="n"/>
      <c r="J15" s="46" t="n"/>
      <c r="K15" s="46" t="n"/>
      <c r="L15" s="46" t="n"/>
      <c r="M15" s="46" t="n"/>
      <c r="N15" s="46" t="n"/>
      <c r="O15" s="46" t="n">
        <f>Hoja4!F53+Hoja4!F58+Hoja4!F59</f>
      </c>
    </row>
    <row r="16">
      <c r="B16" s="9"/>
      <c r="C16" s="36"/>
      <c r="D16" s="9"/>
      <c r="E16" s="37"/>
      <c r="F16" s="10" t="s">
        <v>37</v>
      </c>
      <c r="G16" s="32"/>
      <c r="H16" s="8"/>
      <c r="I16" s="47" t="n"/>
      <c r="J16" s="47" t="n"/>
      <c r="K16" s="47" t="n"/>
      <c r="L16" s="47" t="n"/>
      <c r="M16" s="47" t="n"/>
      <c r="N16" s="47" t="n"/>
      <c r="O16" s="47" t="n"/>
    </row>
    <row r="17">
      <c r="B17" s="9"/>
      <c r="C17" s="36"/>
      <c r="D17" s="9"/>
      <c r="E17" s="37" t="s">
        <v>38</v>
      </c>
      <c r="F17" s="34"/>
      <c r="G17" s="34"/>
      <c r="H17" s="35"/>
      <c r="I17" s="46" t="n"/>
      <c r="J17" s="46" t="n"/>
      <c r="K17" s="46" t="n"/>
      <c r="L17" s="46" t="n"/>
      <c r="M17" s="46" t="n"/>
      <c r="N17" s="46" t="n"/>
      <c r="O17" s="46" t="n"/>
    </row>
    <row r="18" ht="28.0" customHeight="true">
      <c r="B18" s="9"/>
      <c r="C18" s="36"/>
      <c r="D18" s="9"/>
      <c r="E18" s="7" t="s">
        <v>39</v>
      </c>
      <c r="F18" s="32"/>
      <c r="G18" s="32"/>
      <c r="H18" s="8"/>
      <c r="I18" s="18"/>
      <c r="J18" s="18"/>
      <c r="K18" s="18"/>
      <c r="L18" s="18"/>
      <c r="M18" s="18"/>
      <c r="N18" s="18"/>
      <c r="O18" s="18"/>
    </row>
    <row r="19" ht="28.0" customHeight="true">
      <c r="B19" s="9"/>
      <c r="C19" s="36"/>
      <c r="D19" s="9"/>
      <c r="E19" s="9"/>
      <c r="F19" s="33" t="s">
        <v>40</v>
      </c>
      <c r="G19" s="34"/>
      <c r="H19" s="35"/>
      <c r="I19" s="17"/>
      <c r="J19" s="17"/>
      <c r="K19" s="17"/>
      <c r="L19" s="17"/>
      <c r="M19" s="17"/>
      <c r="N19" s="17"/>
      <c r="O19" s="17"/>
    </row>
    <row r="20" ht="42.0" customHeight="true">
      <c r="B20" s="9"/>
      <c r="C20" s="36"/>
      <c r="D20" s="9"/>
      <c r="E20" s="9"/>
      <c r="F20" s="36"/>
      <c r="G20" s="10" t="s">
        <v>41</v>
      </c>
      <c r="H20" s="8"/>
      <c r="I20" s="47" t="n"/>
      <c r="J20" s="47" t="n"/>
      <c r="K20" s="47" t="n"/>
      <c r="L20" s="47" t="n"/>
      <c r="M20" s="47" t="n"/>
      <c r="N20" s="47" t="n"/>
      <c r="O20" s="47" t="n"/>
    </row>
    <row r="21">
      <c r="B21" s="9"/>
      <c r="C21" s="36"/>
      <c r="D21" s="9"/>
      <c r="E21" s="9"/>
      <c r="F21" s="36"/>
      <c r="G21" s="33" t="s">
        <v>42</v>
      </c>
      <c r="H21" s="35"/>
      <c r="I21" s="46" t="n"/>
      <c r="J21" s="46" t="n"/>
      <c r="K21" s="46" t="n"/>
      <c r="L21" s="46" t="n"/>
      <c r="M21" s="46" t="n"/>
      <c r="N21" s="46" t="n"/>
      <c r="O21" s="46" t="n"/>
    </row>
    <row r="22">
      <c r="B22" s="9"/>
      <c r="C22" s="36"/>
      <c r="D22" s="9"/>
      <c r="E22" s="9"/>
      <c r="F22" s="36"/>
      <c r="G22" s="37"/>
      <c r="H22" s="14" t="s">
        <v>43</v>
      </c>
      <c r="I22" s="18"/>
      <c r="J22" s="18"/>
      <c r="K22" s="18"/>
      <c r="L22" s="47" t="n"/>
      <c r="M22" s="47" t="n"/>
      <c r="N22" s="47" t="n"/>
      <c r="O22" s="47" t="n"/>
    </row>
    <row r="23" ht="28.0" customHeight="true">
      <c r="B23" s="9"/>
      <c r="C23" s="36"/>
      <c r="D23" s="9"/>
      <c r="E23" s="9"/>
      <c r="F23" s="36"/>
      <c r="G23" s="37" t="s">
        <v>44</v>
      </c>
      <c r="H23" s="35"/>
      <c r="I23" s="17"/>
      <c r="J23" s="17"/>
      <c r="K23" s="46" t="n"/>
      <c r="L23" s="17"/>
      <c r="M23" s="17"/>
      <c r="N23" s="17"/>
      <c r="O23" s="46" t="n"/>
    </row>
    <row r="24" ht="28.0" customHeight="true">
      <c r="B24" s="9"/>
      <c r="C24" s="36"/>
      <c r="D24" s="9"/>
      <c r="E24" s="9"/>
      <c r="F24" s="37"/>
      <c r="G24" s="40" t="s">
        <v>45</v>
      </c>
      <c r="H24" s="39"/>
      <c r="I24" s="47" t="n">
        <f>I20+I21</f>
      </c>
      <c r="J24" s="47" t="n">
        <f>J20+J21</f>
      </c>
      <c r="K24" s="47" t="n">
        <f>K20+K21+K23</f>
      </c>
      <c r="L24" s="47" t="n">
        <f>L20+L21</f>
      </c>
      <c r="M24" s="47" t="n">
        <f>M20+M21</f>
      </c>
      <c r="N24" s="47" t="n">
        <f>N20+N21</f>
      </c>
      <c r="O24" s="47" t="n">
        <f>O20+O21+O23</f>
      </c>
    </row>
    <row r="25">
      <c r="B25" s="9"/>
      <c r="C25" s="36"/>
      <c r="D25" s="9"/>
      <c r="E25" s="9"/>
      <c r="F25" s="37" t="s">
        <v>46</v>
      </c>
      <c r="G25" s="34"/>
      <c r="H25" s="35"/>
      <c r="I25" s="46" t="n"/>
      <c r="J25" s="46" t="n"/>
      <c r="K25" s="46" t="n"/>
      <c r="L25" s="46" t="n"/>
      <c r="M25" s="46" t="n"/>
      <c r="N25" s="46" t="n"/>
      <c r="O25" s="46" t="n"/>
    </row>
    <row r="26">
      <c r="B26" s="9"/>
      <c r="C26" s="36"/>
      <c r="D26" s="9"/>
      <c r="E26" s="9"/>
      <c r="F26" s="10" t="s">
        <v>47</v>
      </c>
      <c r="G26" s="32"/>
      <c r="H26" s="8"/>
      <c r="I26" s="47" t="n"/>
      <c r="J26" s="47" t="n"/>
      <c r="K26" s="47" t="n"/>
      <c r="L26" s="47" t="n"/>
      <c r="M26" s="47" t="n"/>
      <c r="N26" s="47" t="n"/>
      <c r="O26" s="47" t="n"/>
    </row>
    <row r="27" ht="28.0" customHeight="true">
      <c r="B27" s="9"/>
      <c r="C27" s="36"/>
      <c r="D27" s="9"/>
      <c r="E27" s="10"/>
      <c r="F27" s="44" t="s">
        <v>48</v>
      </c>
      <c r="G27" s="42"/>
      <c r="H27" s="43"/>
      <c r="I27" s="46" t="n">
        <f>SUM(I24:I26)</f>
      </c>
      <c r="J27" s="46" t="n">
        <f>SUM(J24:J26)</f>
      </c>
      <c r="K27" s="46" t="n">
        <f>SUM(K24:K26)</f>
      </c>
      <c r="L27" s="46" t="n">
        <f>SUM(L24:L26)</f>
      </c>
      <c r="M27" s="46" t="n">
        <f>SUM(M24:M26)</f>
      </c>
      <c r="N27" s="46" t="n">
        <f>SUM(N24:N26)</f>
      </c>
      <c r="O27" s="46" t="n">
        <f>SUM(O24:O26)</f>
      </c>
    </row>
    <row r="28">
      <c r="B28" s="9"/>
      <c r="C28" s="36"/>
      <c r="D28" s="9"/>
      <c r="E28" s="10" t="s">
        <v>49</v>
      </c>
      <c r="F28" s="32"/>
      <c r="G28" s="32"/>
      <c r="H28" s="8"/>
      <c r="I28" s="47" t="n"/>
      <c r="J28" s="47" t="n"/>
      <c r="K28" s="47" t="n"/>
      <c r="L28" s="47" t="n"/>
      <c r="M28" s="47" t="n"/>
      <c r="N28" s="47" t="n"/>
      <c r="O28" s="47" t="n"/>
    </row>
    <row r="29">
      <c r="B29" s="9"/>
      <c r="C29" s="36"/>
      <c r="D29" s="9"/>
      <c r="E29" s="37" t="s">
        <v>50</v>
      </c>
      <c r="F29" s="34"/>
      <c r="G29" s="34"/>
      <c r="H29" s="35"/>
      <c r="I29" s="46" t="n"/>
      <c r="J29" s="46" t="n"/>
      <c r="K29" s="46" t="n"/>
      <c r="L29" s="46" t="n"/>
      <c r="M29" s="46" t="n"/>
      <c r="N29" s="46" t="n"/>
      <c r="O29" s="46" t="n"/>
    </row>
    <row r="30">
      <c r="B30" s="9"/>
      <c r="C30" s="36"/>
      <c r="D30" s="9"/>
      <c r="E30" s="10" t="s">
        <v>51</v>
      </c>
      <c r="F30" s="32"/>
      <c r="G30" s="32"/>
      <c r="H30" s="8"/>
      <c r="I30" s="47" t="n"/>
      <c r="J30" s="47" t="n"/>
      <c r="K30" s="47" t="n"/>
      <c r="L30" s="47" t="n"/>
      <c r="M30" s="47" t="n"/>
      <c r="N30" s="47" t="n"/>
      <c r="O30" s="47" t="n"/>
    </row>
    <row r="31">
      <c r="B31" s="9"/>
      <c r="C31" s="36"/>
      <c r="D31" s="10"/>
      <c r="E31" s="44" t="s">
        <v>52</v>
      </c>
      <c r="F31" s="42"/>
      <c r="G31" s="42"/>
      <c r="H31" s="43"/>
      <c r="I31" s="46" t="n">
        <f>I15+I17+SUM(I27:I30)</f>
      </c>
      <c r="J31" s="46" t="n">
        <f>J15+J17+SUM(J27:J30)</f>
      </c>
      <c r="K31" s="46" t="n">
        <f>K15+K17+SUM(K27:K30)</f>
      </c>
      <c r="L31" s="46" t="n">
        <f>L15+L17+SUM(L27:L30)</f>
      </c>
      <c r="M31" s="46" t="n">
        <f>M15+M17+SUM(M27:M30)</f>
      </c>
      <c r="N31" s="46" t="n">
        <f>N15+N17+SUM(N27:N30)</f>
      </c>
      <c r="O31" s="46" t="n">
        <f>O15+O17+SUM(O27:O30)</f>
      </c>
    </row>
    <row r="32">
      <c r="B32" s="9"/>
      <c r="C32" s="36"/>
      <c r="D32" s="7" t="s">
        <v>53</v>
      </c>
      <c r="E32" s="32"/>
      <c r="F32" s="32"/>
      <c r="G32" s="32"/>
      <c r="H32" s="8"/>
      <c r="I32" s="18"/>
      <c r="J32" s="18"/>
      <c r="K32" s="18"/>
      <c r="L32" s="18"/>
      <c r="M32" s="18"/>
      <c r="N32" s="18"/>
      <c r="O32" s="18"/>
    </row>
    <row r="33">
      <c r="B33" s="9"/>
      <c r="C33" s="36"/>
      <c r="D33" s="9"/>
      <c r="E33" s="37" t="s">
        <v>54</v>
      </c>
      <c r="F33" s="34"/>
      <c r="G33" s="34"/>
      <c r="H33" s="35"/>
      <c r="I33" s="46" t="n"/>
      <c r="J33" s="46" t="n"/>
      <c r="K33" s="46" t="n"/>
      <c r="L33" s="46" t="n"/>
      <c r="M33" s="46" t="n"/>
      <c r="N33" s="46" t="n"/>
      <c r="O33" s="46" t="n"/>
    </row>
    <row r="34">
      <c r="B34" s="9"/>
      <c r="C34" s="36"/>
      <c r="D34" s="9"/>
      <c r="E34" s="10" t="s">
        <v>55</v>
      </c>
      <c r="F34" s="32"/>
      <c r="G34" s="32"/>
      <c r="H34" s="8"/>
      <c r="I34" s="47" t="n"/>
      <c r="J34" s="47" t="n"/>
      <c r="K34" s="47" t="n"/>
      <c r="L34" s="47" t="n"/>
      <c r="M34" s="47" t="n"/>
      <c r="N34" s="47" t="n"/>
      <c r="O34" s="47" t="n"/>
    </row>
    <row r="35">
      <c r="B35" s="9"/>
      <c r="C35" s="36"/>
      <c r="D35" s="9"/>
      <c r="E35" s="37" t="s">
        <v>56</v>
      </c>
      <c r="F35" s="34"/>
      <c r="G35" s="34"/>
      <c r="H35" s="35"/>
      <c r="I35" s="46" t="n"/>
      <c r="J35" s="46" t="n"/>
      <c r="K35" s="46" t="n"/>
      <c r="L35" s="46" t="n"/>
      <c r="M35" s="46" t="n"/>
      <c r="N35" s="46" t="n"/>
      <c r="O35" s="46" t="n"/>
    </row>
    <row r="36">
      <c r="B36" s="9"/>
      <c r="C36" s="36"/>
      <c r="D36" s="9"/>
      <c r="E36" s="10" t="s">
        <v>57</v>
      </c>
      <c r="F36" s="32"/>
      <c r="G36" s="32"/>
      <c r="H36" s="8"/>
      <c r="I36" s="47" t="n"/>
      <c r="J36" s="47" t="n"/>
      <c r="K36" s="47" t="n"/>
      <c r="L36" s="47" t="n"/>
      <c r="M36" s="47" t="n"/>
      <c r="N36" s="47" t="n"/>
      <c r="O36" s="47" t="n">
        <f>Hoja4!F31-Hoja4!F32-Hoja4!F33</f>
      </c>
    </row>
    <row r="37" ht="28.0" customHeight="true">
      <c r="B37" s="9"/>
      <c r="C37" s="36"/>
      <c r="D37" s="9"/>
      <c r="E37" s="33" t="s">
        <v>58</v>
      </c>
      <c r="F37" s="34"/>
      <c r="G37" s="34"/>
      <c r="H37" s="35"/>
      <c r="I37" s="17"/>
      <c r="J37" s="17"/>
      <c r="K37" s="17"/>
      <c r="L37" s="17"/>
      <c r="M37" s="17"/>
      <c r="N37" s="17"/>
      <c r="O37" s="17"/>
    </row>
    <row r="38" ht="28.0" customHeight="true">
      <c r="B38" s="9"/>
      <c r="C38" s="36"/>
      <c r="D38" s="9"/>
      <c r="E38" s="36"/>
      <c r="F38" s="7" t="s">
        <v>59</v>
      </c>
      <c r="G38" s="32"/>
      <c r="H38" s="8"/>
      <c r="I38" s="18"/>
      <c r="J38" s="18"/>
      <c r="K38" s="18"/>
      <c r="L38" s="18"/>
      <c r="M38" s="18"/>
      <c r="N38" s="18"/>
      <c r="O38" s="18"/>
    </row>
    <row r="39" ht="42.0" customHeight="true">
      <c r="B39" s="9"/>
      <c r="C39" s="36"/>
      <c r="D39" s="9"/>
      <c r="E39" s="36"/>
      <c r="F39" s="9"/>
      <c r="G39" s="37" t="s">
        <v>60</v>
      </c>
      <c r="H39" s="35"/>
      <c r="I39" s="46" t="n"/>
      <c r="J39" s="46" t="n"/>
      <c r="K39" s="46" t="n"/>
      <c r="L39" s="46" t="n"/>
      <c r="M39" s="46" t="n"/>
      <c r="N39" s="46" t="n"/>
      <c r="O39" s="46" t="n"/>
    </row>
    <row r="40">
      <c r="B40" s="9"/>
      <c r="C40" s="36"/>
      <c r="D40" s="9"/>
      <c r="E40" s="36"/>
      <c r="F40" s="9"/>
      <c r="G40" s="7" t="s">
        <v>61</v>
      </c>
      <c r="H40" s="8"/>
      <c r="I40" s="47" t="n"/>
      <c r="J40" s="47" t="n"/>
      <c r="K40" s="47" t="n"/>
      <c r="L40" s="47" t="n"/>
      <c r="M40" s="47" t="n"/>
      <c r="N40" s="47" t="n"/>
      <c r="O40" s="47" t="n"/>
    </row>
    <row r="41">
      <c r="B41" s="9"/>
      <c r="C41" s="36"/>
      <c r="D41" s="9"/>
      <c r="E41" s="36"/>
      <c r="F41" s="9"/>
      <c r="G41" s="10"/>
      <c r="H41" s="13" t="s">
        <v>62</v>
      </c>
      <c r="I41" s="17"/>
      <c r="J41" s="17"/>
      <c r="K41" s="17"/>
      <c r="L41" s="46" t="n"/>
      <c r="M41" s="46" t="n"/>
      <c r="N41" s="46" t="n"/>
      <c r="O41" s="46" t="n"/>
    </row>
    <row r="42" ht="28.0" customHeight="true">
      <c r="B42" s="9"/>
      <c r="C42" s="36"/>
      <c r="D42" s="9"/>
      <c r="E42" s="36"/>
      <c r="F42" s="9"/>
      <c r="G42" s="10" t="s">
        <v>63</v>
      </c>
      <c r="H42" s="8"/>
      <c r="I42" s="18"/>
      <c r="J42" s="18"/>
      <c r="K42" s="47" t="n"/>
      <c r="L42" s="18"/>
      <c r="M42" s="18"/>
      <c r="N42" s="18"/>
      <c r="O42" s="47" t="n"/>
    </row>
    <row r="43" ht="28.0" customHeight="true">
      <c r="B43" s="9"/>
      <c r="C43" s="36"/>
      <c r="D43" s="9"/>
      <c r="E43" s="36"/>
      <c r="F43" s="10"/>
      <c r="G43" s="44" t="s">
        <v>64</v>
      </c>
      <c r="H43" s="43"/>
      <c r="I43" s="46" t="n">
        <f>I39+I40</f>
      </c>
      <c r="J43" s="46" t="n">
        <f>J39+J40</f>
      </c>
      <c r="K43" s="46" t="n">
        <f>K39+K40+K42</f>
      </c>
      <c r="L43" s="46" t="n">
        <f>L39+L40</f>
      </c>
      <c r="M43" s="46" t="n">
        <f>M39+M40</f>
      </c>
      <c r="N43" s="46" t="n">
        <f>N39+N40</f>
      </c>
      <c r="O43" s="46" t="n">
        <f>O39+O40+O42</f>
      </c>
    </row>
    <row r="44">
      <c r="B44" s="9"/>
      <c r="C44" s="36"/>
      <c r="D44" s="9"/>
      <c r="E44" s="36"/>
      <c r="F44" s="10" t="s">
        <v>65</v>
      </c>
      <c r="G44" s="32"/>
      <c r="H44" s="8"/>
      <c r="I44" s="47" t="n"/>
      <c r="J44" s="47" t="n"/>
      <c r="K44" s="47" t="n"/>
      <c r="L44" s="47" t="n"/>
      <c r="M44" s="47" t="n"/>
      <c r="N44" s="47" t="n"/>
      <c r="O44" s="47" t="n"/>
    </row>
    <row r="45">
      <c r="B45" s="9"/>
      <c r="C45" s="36"/>
      <c r="D45" s="9"/>
      <c r="E45" s="36"/>
      <c r="F45" s="37" t="s">
        <v>66</v>
      </c>
      <c r="G45" s="34"/>
      <c r="H45" s="35"/>
      <c r="I45" s="46" t="n"/>
      <c r="J45" s="46" t="n"/>
      <c r="K45" s="46" t="n"/>
      <c r="L45" s="46" t="n"/>
      <c r="M45" s="46" t="n"/>
      <c r="N45" s="46" t="n"/>
      <c r="O45" s="46" t="n"/>
    </row>
    <row r="46" ht="28.0" customHeight="true">
      <c r="B46" s="9"/>
      <c r="C46" s="36"/>
      <c r="D46" s="9"/>
      <c r="E46" s="37"/>
      <c r="F46" s="40" t="s">
        <v>67</v>
      </c>
      <c r="G46" s="45"/>
      <c r="H46" s="39"/>
      <c r="I46" s="47" t="n">
        <f>SUM(I43:I45)</f>
      </c>
      <c r="J46" s="47" t="n">
        <f>SUM(J43:J45)</f>
      </c>
      <c r="K46" s="47" t="n">
        <f>SUM(K43:K45)</f>
      </c>
      <c r="L46" s="47" t="n">
        <f>SUM(L43:L45)</f>
      </c>
      <c r="M46" s="47" t="n">
        <f>SUM(M43:M45)</f>
      </c>
      <c r="N46" s="47" t="n">
        <f>SUM(N43:N45)</f>
      </c>
      <c r="O46" s="47" t="n">
        <f>SUM(O43:O45)</f>
      </c>
    </row>
    <row r="47">
      <c r="B47" s="9"/>
      <c r="C47" s="36"/>
      <c r="D47" s="9"/>
      <c r="E47" s="37" t="s">
        <v>68</v>
      </c>
      <c r="F47" s="34"/>
      <c r="G47" s="34"/>
      <c r="H47" s="35"/>
      <c r="I47" s="46" t="n"/>
      <c r="J47" s="46" t="n"/>
      <c r="K47" s="46" t="n"/>
      <c r="L47" s="46" t="n"/>
      <c r="M47" s="46" t="n"/>
      <c r="N47" s="46" t="n"/>
      <c r="O47" s="46" t="n"/>
    </row>
    <row r="48">
      <c r="B48" s="9"/>
      <c r="C48" s="36"/>
      <c r="D48" s="9"/>
      <c r="E48" s="10" t="s">
        <v>69</v>
      </c>
      <c r="F48" s="32"/>
      <c r="G48" s="32"/>
      <c r="H48" s="8"/>
      <c r="I48" s="47" t="n"/>
      <c r="J48" s="47" t="n"/>
      <c r="K48" s="47" t="n"/>
      <c r="L48" s="47" t="n"/>
      <c r="M48" s="47" t="n"/>
      <c r="N48" s="47" t="n"/>
      <c r="O48" s="47" t="n"/>
    </row>
    <row r="49">
      <c r="B49" s="9"/>
      <c r="C49" s="36"/>
      <c r="D49" s="9"/>
      <c r="E49" s="37" t="s">
        <v>70</v>
      </c>
      <c r="F49" s="34"/>
      <c r="G49" s="34"/>
      <c r="H49" s="35"/>
      <c r="I49" s="46" t="n"/>
      <c r="J49" s="46" t="n"/>
      <c r="K49" s="46" t="n"/>
      <c r="L49" s="46" t="n"/>
      <c r="M49" s="46" t="n"/>
      <c r="N49" s="46" t="n"/>
      <c r="O49" s="46" t="n"/>
    </row>
    <row r="50">
      <c r="B50" s="9"/>
      <c r="C50" s="36"/>
      <c r="D50" s="9"/>
      <c r="E50" s="10" t="s">
        <v>71</v>
      </c>
      <c r="F50" s="32"/>
      <c r="G50" s="32"/>
      <c r="H50" s="8"/>
      <c r="I50" s="47" t="n"/>
      <c r="J50" s="47" t="n"/>
      <c r="K50" s="47" t="n"/>
      <c r="L50" s="47" t="n"/>
      <c r="M50" s="47" t="n"/>
      <c r="N50" s="47" t="n"/>
      <c r="O50" s="47" t="n"/>
    </row>
    <row r="51">
      <c r="B51" s="9"/>
      <c r="C51" s="36"/>
      <c r="D51" s="10"/>
      <c r="E51" s="44" t="s">
        <v>72</v>
      </c>
      <c r="F51" s="42"/>
      <c r="G51" s="42"/>
      <c r="H51" s="43"/>
      <c r="I51" s="46" t="n">
        <f>SUM(I33:I36)+SUM(I46:I50)</f>
      </c>
      <c r="J51" s="46" t="n">
        <f>SUM(J33:J36)+SUM(J46:J50)</f>
      </c>
      <c r="K51" s="46" t="n">
        <f>SUM(K33:K36)+SUM(K46:K50)</f>
      </c>
      <c r="L51" s="46" t="n">
        <f>SUM(L33:L36)+SUM(L46:L50)</f>
      </c>
      <c r="M51" s="46" t="n">
        <f>SUM(M33:M36)+SUM(M46:M50)</f>
      </c>
      <c r="N51" s="46" t="n">
        <f>SUM(N33:N36)+SUM(N46:N50)</f>
      </c>
      <c r="O51" s="46" t="n">
        <f>SUM(O33:O36)+SUM(O46:O50)</f>
      </c>
    </row>
    <row r="52">
      <c r="B52" s="9"/>
      <c r="C52" s="37"/>
      <c r="D52" s="40" t="s">
        <v>73</v>
      </c>
      <c r="E52" s="45"/>
      <c r="F52" s="45"/>
      <c r="G52" s="45"/>
      <c r="H52" s="39"/>
      <c r="I52" s="47" t="n">
        <f>I51+I31</f>
      </c>
      <c r="J52" s="47" t="n">
        <f>J51+J31</f>
      </c>
      <c r="K52" s="47" t="n">
        <f>K51+K31</f>
      </c>
      <c r="L52" s="47" t="n">
        <f>L51+L31</f>
      </c>
      <c r="M52" s="47" t="n">
        <f>M51+M31</f>
      </c>
      <c r="N52" s="47" t="n">
        <f>N51+N31</f>
      </c>
      <c r="O52" s="47" t="n">
        <f>O51+O31</f>
      </c>
    </row>
    <row r="53">
      <c r="B53" s="9"/>
      <c r="C53" s="33" t="s">
        <v>74</v>
      </c>
      <c r="D53" s="34"/>
      <c r="E53" s="34"/>
      <c r="F53" s="34"/>
      <c r="G53" s="34"/>
      <c r="H53" s="35"/>
      <c r="I53" s="17"/>
      <c r="J53" s="17"/>
      <c r="K53" s="17"/>
      <c r="L53" s="17"/>
      <c r="M53" s="17"/>
      <c r="N53" s="17"/>
      <c r="O53" s="17"/>
    </row>
    <row r="54">
      <c r="B54" s="9"/>
      <c r="C54" s="36"/>
      <c r="D54" s="7" t="s">
        <v>75</v>
      </c>
      <c r="E54" s="32"/>
      <c r="F54" s="32"/>
      <c r="G54" s="32"/>
      <c r="H54" s="8"/>
      <c r="I54" s="18"/>
      <c r="J54" s="18"/>
      <c r="K54" s="18"/>
      <c r="L54" s="18"/>
      <c r="M54" s="18"/>
      <c r="N54" s="18"/>
      <c r="O54" s="18"/>
    </row>
    <row r="55">
      <c r="B55" s="9"/>
      <c r="C55" s="36"/>
      <c r="D55" s="9"/>
      <c r="E55" s="33" t="s">
        <v>76</v>
      </c>
      <c r="F55" s="34"/>
      <c r="G55" s="34"/>
      <c r="H55" s="35"/>
      <c r="I55" s="17"/>
      <c r="J55" s="17"/>
      <c r="K55" s="17"/>
      <c r="L55" s="17"/>
      <c r="M55" s="17"/>
      <c r="N55" s="17"/>
      <c r="O55" s="17"/>
    </row>
    <row r="56">
      <c r="B56" s="9"/>
      <c r="C56" s="36"/>
      <c r="D56" s="9"/>
      <c r="E56" s="36"/>
      <c r="F56" s="7" t="s">
        <v>77</v>
      </c>
      <c r="G56" s="32"/>
      <c r="H56" s="8"/>
      <c r="I56" s="18"/>
      <c r="J56" s="18"/>
      <c r="K56" s="18"/>
      <c r="L56" s="18"/>
      <c r="M56" s="18"/>
      <c r="N56" s="18"/>
      <c r="O56" s="18"/>
    </row>
    <row r="57">
      <c r="B57" s="9"/>
      <c r="C57" s="36"/>
      <c r="D57" s="9"/>
      <c r="E57" s="36"/>
      <c r="F57" s="9"/>
      <c r="G57" s="37" t="s">
        <v>78</v>
      </c>
      <c r="H57" s="35"/>
      <c r="I57" s="46" t="n"/>
      <c r="J57" s="46" t="n"/>
      <c r="K57" s="46" t="n"/>
      <c r="L57" s="46" t="n"/>
      <c r="M57" s="46" t="n"/>
      <c r="N57" s="46" t="n"/>
      <c r="O57" s="46" t="n"/>
    </row>
    <row r="58">
      <c r="B58" s="9"/>
      <c r="C58" s="36"/>
      <c r="D58" s="9"/>
      <c r="E58" s="36"/>
      <c r="F58" s="9"/>
      <c r="G58" s="10" t="s">
        <v>79</v>
      </c>
      <c r="H58" s="8"/>
      <c r="I58" s="47" t="n"/>
      <c r="J58" s="47" t="n"/>
      <c r="K58" s="47" t="n"/>
      <c r="L58" s="47" t="n"/>
      <c r="M58" s="47" t="n"/>
      <c r="N58" s="47" t="n"/>
      <c r="O58" s="47" t="n"/>
    </row>
    <row r="59">
      <c r="B59" s="9"/>
      <c r="C59" s="36"/>
      <c r="D59" s="9"/>
      <c r="E59" s="36"/>
      <c r="F59" s="9"/>
      <c r="G59" s="37" t="s">
        <v>80</v>
      </c>
      <c r="H59" s="35"/>
      <c r="I59" s="46" t="n"/>
      <c r="J59" s="46" t="n"/>
      <c r="K59" s="46" t="n"/>
      <c r="L59" s="46" t="n"/>
      <c r="M59" s="46" t="n"/>
      <c r="N59" s="46" t="n"/>
      <c r="O59" s="46" t="n"/>
    </row>
    <row r="60">
      <c r="B60" s="9"/>
      <c r="C60" s="36"/>
      <c r="D60" s="9"/>
      <c r="E60" s="36"/>
      <c r="F60" s="9"/>
      <c r="G60" s="10" t="s">
        <v>81</v>
      </c>
      <c r="H60" s="8"/>
      <c r="I60" s="47" t="n"/>
      <c r="J60" s="47" t="n"/>
      <c r="K60" s="47" t="n"/>
      <c r="L60" s="47" t="n"/>
      <c r="M60" s="47" t="n"/>
      <c r="N60" s="47" t="n"/>
      <c r="O60" s="47" t="n"/>
    </row>
    <row r="61" ht="28.0" customHeight="true">
      <c r="B61" s="9"/>
      <c r="C61" s="36"/>
      <c r="D61" s="9"/>
      <c r="E61" s="36"/>
      <c r="F61" s="10"/>
      <c r="G61" s="44" t="s">
        <v>82</v>
      </c>
      <c r="H61" s="43"/>
      <c r="I61" s="46" t="n">
        <f>SUM(I57:I60)</f>
      </c>
      <c r="J61" s="46" t="n">
        <f>SUM(J57:J60)</f>
      </c>
      <c r="K61" s="46" t="n">
        <f>SUM(K57:K60)</f>
      </c>
      <c r="L61" s="46" t="n">
        <f>SUM(L57:L60)</f>
      </c>
      <c r="M61" s="46" t="n">
        <f>SUM(M57:M60)</f>
      </c>
      <c r="N61" s="46" t="n">
        <f>SUM(N57:N60)</f>
      </c>
      <c r="O61" s="46" t="n">
        <f>SUM(O57:O60)</f>
      </c>
    </row>
    <row r="62">
      <c r="B62" s="9"/>
      <c r="C62" s="36"/>
      <c r="D62" s="9"/>
      <c r="E62" s="36"/>
      <c r="F62" s="10" t="s">
        <v>83</v>
      </c>
      <c r="G62" s="32"/>
      <c r="H62" s="8"/>
      <c r="I62" s="47" t="n"/>
      <c r="J62" s="47" t="n"/>
      <c r="K62" s="47" t="n"/>
      <c r="L62" s="47" t="n"/>
      <c r="M62" s="47" t="n"/>
      <c r="N62" s="47" t="n"/>
      <c r="O62" s="47" t="n"/>
    </row>
    <row r="63">
      <c r="B63" s="9"/>
      <c r="C63" s="36"/>
      <c r="D63" s="9"/>
      <c r="E63" s="36"/>
      <c r="F63" s="37" t="s">
        <v>84</v>
      </c>
      <c r="G63" s="34"/>
      <c r="H63" s="35"/>
      <c r="I63" s="46" t="n"/>
      <c r="J63" s="46" t="n"/>
      <c r="K63" s="46" t="n"/>
      <c r="L63" s="46" t="n"/>
      <c r="M63" s="46" t="n"/>
      <c r="N63" s="46" t="n"/>
      <c r="O63" s="46" t="n"/>
    </row>
    <row r="64">
      <c r="B64" s="9"/>
      <c r="C64" s="36"/>
      <c r="D64" s="9"/>
      <c r="E64" s="36"/>
      <c r="F64" s="10" t="s">
        <v>85</v>
      </c>
      <c r="G64" s="32"/>
      <c r="H64" s="8"/>
      <c r="I64" s="47" t="n"/>
      <c r="J64" s="47" t="n"/>
      <c r="K64" s="47" t="n"/>
      <c r="L64" s="47" t="n"/>
      <c r="M64" s="47" t="n"/>
      <c r="N64" s="47" t="n"/>
      <c r="O64" s="47" t="n"/>
    </row>
    <row r="65">
      <c r="B65" s="9"/>
      <c r="C65" s="36"/>
      <c r="D65" s="9"/>
      <c r="E65" s="36"/>
      <c r="F65" s="37" t="s">
        <v>86</v>
      </c>
      <c r="G65" s="34"/>
      <c r="H65" s="35"/>
      <c r="I65" s="46" t="n"/>
      <c r="J65" s="46" t="n"/>
      <c r="K65" s="46" t="n"/>
      <c r="L65" s="46" t="n"/>
      <c r="M65" s="46" t="n"/>
      <c r="N65" s="46" t="n"/>
      <c r="O65" s="46" t="n"/>
    </row>
    <row r="66">
      <c r="B66" s="9"/>
      <c r="C66" s="36"/>
      <c r="D66" s="9"/>
      <c r="E66" s="36"/>
      <c r="F66" s="10" t="s">
        <v>87</v>
      </c>
      <c r="G66" s="32"/>
      <c r="H66" s="8"/>
      <c r="I66" s="47" t="n"/>
      <c r="J66" s="47" t="n"/>
      <c r="K66" s="47" t="n"/>
      <c r="L66" s="47" t="n"/>
      <c r="M66" s="47" t="n"/>
      <c r="N66" s="47" t="n"/>
      <c r="O66" s="47" t="n"/>
    </row>
    <row r="67">
      <c r="B67" s="9"/>
      <c r="C67" s="36"/>
      <c r="D67" s="9"/>
      <c r="E67" s="37"/>
      <c r="F67" s="44" t="s">
        <v>88</v>
      </c>
      <c r="G67" s="42"/>
      <c r="H67" s="43"/>
      <c r="I67" s="46" t="n">
        <f>SUM(I61:I66)</f>
      </c>
      <c r="J67" s="46" t="n">
        <f>SUM(J61:J66)</f>
      </c>
      <c r="K67" s="46" t="n">
        <f>SUM(K61:K66)</f>
      </c>
      <c r="L67" s="46" t="n">
        <f>SUM(L61:L66)</f>
      </c>
      <c r="M67" s="46" t="n">
        <f>SUM(M61:M66)</f>
      </c>
      <c r="N67" s="46" t="n">
        <f>SUM(N61:N66)</f>
      </c>
      <c r="O67" s="46" t="n">
        <f>SUM(O61:O66)</f>
      </c>
    </row>
    <row r="68">
      <c r="B68" s="9"/>
      <c r="C68" s="36"/>
      <c r="D68" s="9"/>
      <c r="E68" s="7" t="s">
        <v>89</v>
      </c>
      <c r="F68" s="32"/>
      <c r="G68" s="32"/>
      <c r="H68" s="8"/>
      <c r="I68" s="18"/>
      <c r="J68" s="18"/>
      <c r="K68" s="18"/>
      <c r="L68" s="18"/>
      <c r="M68" s="18"/>
      <c r="N68" s="18"/>
      <c r="O68" s="18"/>
    </row>
    <row r="69">
      <c r="B69" s="9"/>
      <c r="C69" s="36"/>
      <c r="D69" s="9"/>
      <c r="E69" s="9"/>
      <c r="F69" s="33" t="s">
        <v>90</v>
      </c>
      <c r="G69" s="34"/>
      <c r="H69" s="35"/>
      <c r="I69" s="17"/>
      <c r="J69" s="17"/>
      <c r="K69" s="17"/>
      <c r="L69" s="17"/>
      <c r="M69" s="17"/>
      <c r="N69" s="17"/>
      <c r="O69" s="17"/>
    </row>
    <row r="70">
      <c r="B70" s="9"/>
      <c r="C70" s="36"/>
      <c r="D70" s="9"/>
      <c r="E70" s="9"/>
      <c r="F70" s="36"/>
      <c r="G70" s="10" t="s">
        <v>91</v>
      </c>
      <c r="H70" s="8"/>
      <c r="I70" s="47" t="n"/>
      <c r="J70" s="47" t="n"/>
      <c r="K70" s="47" t="n"/>
      <c r="L70" s="47" t="n"/>
      <c r="M70" s="47" t="n"/>
      <c r="N70" s="47" t="n"/>
      <c r="O70" s="47" t="n"/>
    </row>
    <row r="71">
      <c r="B71" s="9"/>
      <c r="C71" s="36"/>
      <c r="D71" s="9"/>
      <c r="E71" s="9"/>
      <c r="F71" s="36"/>
      <c r="G71" s="37" t="s">
        <v>92</v>
      </c>
      <c r="H71" s="35"/>
      <c r="I71" s="46" t="n"/>
      <c r="J71" s="46" t="n"/>
      <c r="K71" s="46" t="n"/>
      <c r="L71" s="46" t="n"/>
      <c r="M71" s="46" t="n"/>
      <c r="N71" s="46" t="n"/>
      <c r="O71" s="46" t="n"/>
    </row>
    <row r="72">
      <c r="B72" s="9"/>
      <c r="C72" s="36"/>
      <c r="D72" s="9"/>
      <c r="E72" s="9"/>
      <c r="F72" s="36"/>
      <c r="G72" s="10" t="s">
        <v>93</v>
      </c>
      <c r="H72" s="8"/>
      <c r="I72" s="47" t="n"/>
      <c r="J72" s="47" t="n"/>
      <c r="K72" s="47" t="n"/>
      <c r="L72" s="47" t="n"/>
      <c r="M72" s="47" t="n"/>
      <c r="N72" s="47" t="n"/>
      <c r="O72" s="47" t="n"/>
    </row>
    <row r="73">
      <c r="B73" s="9"/>
      <c r="C73" s="36"/>
      <c r="D73" s="9"/>
      <c r="E73" s="9"/>
      <c r="F73" s="36"/>
      <c r="G73" s="37" t="s">
        <v>94</v>
      </c>
      <c r="H73" s="35"/>
      <c r="I73" s="46" t="n"/>
      <c r="J73" s="46" t="n"/>
      <c r="K73" s="46" t="n"/>
      <c r="L73" s="46" t="n"/>
      <c r="M73" s="46" t="n"/>
      <c r="N73" s="46" t="n"/>
      <c r="O73" s="46" t="n"/>
    </row>
    <row r="74" ht="28.0" customHeight="true">
      <c r="B74" s="9"/>
      <c r="C74" s="36"/>
      <c r="D74" s="9"/>
      <c r="E74" s="9"/>
      <c r="F74" s="37"/>
      <c r="G74" s="40" t="s">
        <v>95</v>
      </c>
      <c r="H74" s="39"/>
      <c r="I74" s="47" t="n">
        <f>SUM(I70:I73)</f>
      </c>
      <c r="J74" s="47" t="n">
        <f>SUM(J70:J73)</f>
      </c>
      <c r="K74" s="47" t="n">
        <f>SUM(K70:K73)</f>
      </c>
      <c r="L74" s="47" t="n">
        <f>SUM(L70:L73)</f>
      </c>
      <c r="M74" s="47" t="n">
        <f>SUM(M70:M73)</f>
      </c>
      <c r="N74" s="47" t="n">
        <f>SUM(N70:N73)</f>
      </c>
      <c r="O74" s="47" t="n">
        <f>SUM(O70:O73)</f>
      </c>
    </row>
    <row r="75">
      <c r="B75" s="9"/>
      <c r="C75" s="36"/>
      <c r="D75" s="9"/>
      <c r="E75" s="9"/>
      <c r="F75" s="37" t="s">
        <v>96</v>
      </c>
      <c r="G75" s="34"/>
      <c r="H75" s="35"/>
      <c r="I75" s="46" t="n"/>
      <c r="J75" s="46" t="n"/>
      <c r="K75" s="46" t="n"/>
      <c r="L75" s="46" t="n"/>
      <c r="M75" s="46" t="n"/>
      <c r="N75" s="46" t="n"/>
      <c r="O75" s="46" t="n"/>
    </row>
    <row r="76">
      <c r="B76" s="9"/>
      <c r="C76" s="36"/>
      <c r="D76" s="9"/>
      <c r="E76" s="9"/>
      <c r="F76" s="10" t="s">
        <v>97</v>
      </c>
      <c r="G76" s="32"/>
      <c r="H76" s="8"/>
      <c r="I76" s="47" t="n"/>
      <c r="J76" s="47" t="n"/>
      <c r="K76" s="47" t="n"/>
      <c r="L76" s="47" t="n"/>
      <c r="M76" s="47" t="n"/>
      <c r="N76" s="47" t="n"/>
      <c r="O76" s="47" t="n"/>
    </row>
    <row r="77">
      <c r="B77" s="9"/>
      <c r="C77" s="36"/>
      <c r="D77" s="9"/>
      <c r="E77" s="9"/>
      <c r="F77" s="37" t="s">
        <v>98</v>
      </c>
      <c r="G77" s="34"/>
      <c r="H77" s="35"/>
      <c r="I77" s="46" t="n"/>
      <c r="J77" s="46" t="n"/>
      <c r="K77" s="46" t="n"/>
      <c r="L77" s="46" t="n"/>
      <c r="M77" s="46" t="n"/>
      <c r="N77" s="46" t="n"/>
      <c r="O77" s="46" t="n"/>
    </row>
    <row r="78">
      <c r="B78" s="9"/>
      <c r="C78" s="36"/>
      <c r="D78" s="9"/>
      <c r="E78" s="9"/>
      <c r="F78" s="10" t="s">
        <v>99</v>
      </c>
      <c r="G78" s="32"/>
      <c r="H78" s="8"/>
      <c r="I78" s="47" t="n"/>
      <c r="J78" s="47" t="n"/>
      <c r="K78" s="47" t="n"/>
      <c r="L78" s="47" t="n"/>
      <c r="M78" s="47" t="n"/>
      <c r="N78" s="47" t="n"/>
      <c r="O78" s="47" t="n"/>
    </row>
    <row r="79">
      <c r="B79" s="9"/>
      <c r="C79" s="36"/>
      <c r="D79" s="9"/>
      <c r="E79" s="9"/>
      <c r="F79" s="37" t="s">
        <v>100</v>
      </c>
      <c r="G79" s="34"/>
      <c r="H79" s="35"/>
      <c r="I79" s="46" t="n"/>
      <c r="J79" s="46" t="n"/>
      <c r="K79" s="46" t="n"/>
      <c r="L79" s="46" t="n"/>
      <c r="M79" s="46" t="n"/>
      <c r="N79" s="46" t="n"/>
      <c r="O79" s="46" t="n"/>
    </row>
    <row r="80">
      <c r="B80" s="9"/>
      <c r="C80" s="36"/>
      <c r="D80" s="9"/>
      <c r="E80" s="9"/>
      <c r="F80" s="10" t="s">
        <v>101</v>
      </c>
      <c r="G80" s="32"/>
      <c r="H80" s="8"/>
      <c r="I80" s="47" t="n"/>
      <c r="J80" s="47" t="n"/>
      <c r="K80" s="47" t="n"/>
      <c r="L80" s="47" t="n"/>
      <c r="M80" s="47" t="n"/>
      <c r="N80" s="47" t="n"/>
      <c r="O80" s="47" t="n"/>
    </row>
    <row r="81">
      <c r="B81" s="9"/>
      <c r="C81" s="36"/>
      <c r="D81" s="9"/>
      <c r="E81" s="10"/>
      <c r="F81" s="44" t="s">
        <v>102</v>
      </c>
      <c r="G81" s="42"/>
      <c r="H81" s="43"/>
      <c r="I81" s="46" t="n">
        <f>SUM(I74:I80)</f>
      </c>
      <c r="J81" s="46" t="n">
        <f>SUM(J74:J80)</f>
      </c>
      <c r="K81" s="46" t="n">
        <f>SUM(K74:K80)</f>
      </c>
      <c r="L81" s="46" t="n">
        <f>SUM(L74:L80)</f>
      </c>
      <c r="M81" s="46" t="n">
        <f>SUM(M74:M80)</f>
      </c>
      <c r="N81" s="46" t="n">
        <f>SUM(N74:N80)</f>
      </c>
      <c r="O81" s="46" t="n">
        <f>SUM(O74:O80)</f>
      </c>
    </row>
    <row r="82">
      <c r="B82" s="9"/>
      <c r="C82" s="36"/>
      <c r="D82" s="10"/>
      <c r="E82" s="40" t="s">
        <v>103</v>
      </c>
      <c r="F82" s="45"/>
      <c r="G82" s="45"/>
      <c r="H82" s="39"/>
      <c r="I82" s="47" t="n">
        <f>I81+I67</f>
      </c>
      <c r="J82" s="47" t="n">
        <f>J81+J67</f>
      </c>
      <c r="K82" s="47" t="n">
        <f>K81+K67</f>
      </c>
      <c r="L82" s="47" t="n">
        <f>L81+L67</f>
      </c>
      <c r="M82" s="47" t="n">
        <f>M81+M67</f>
      </c>
      <c r="N82" s="47" t="n">
        <f>N81+N67</f>
      </c>
      <c r="O82" s="47" t="n">
        <f>O81+O67</f>
      </c>
    </row>
    <row r="83">
      <c r="B83" s="9"/>
      <c r="C83" s="36"/>
      <c r="D83" s="33" t="s">
        <v>104</v>
      </c>
      <c r="E83" s="34"/>
      <c r="F83" s="34"/>
      <c r="G83" s="34"/>
      <c r="H83" s="35"/>
      <c r="I83" s="17"/>
      <c r="J83" s="17"/>
      <c r="K83" s="17"/>
      <c r="L83" s="17"/>
      <c r="M83" s="17"/>
      <c r="N83" s="17"/>
      <c r="O83" s="17"/>
    </row>
    <row r="84">
      <c r="B84" s="9"/>
      <c r="C84" s="36"/>
      <c r="D84" s="36"/>
      <c r="E84" s="10" t="s">
        <v>105</v>
      </c>
      <c r="F84" s="32"/>
      <c r="G84" s="32"/>
      <c r="H84" s="8"/>
      <c r="I84" s="47" t="n"/>
      <c r="J84" s="47" t="n"/>
      <c r="K84" s="47" t="n"/>
      <c r="L84" s="47" t="n"/>
      <c r="M84" s="47" t="n"/>
      <c r="N84" s="47" t="n"/>
      <c r="O84" s="47" t="n"/>
    </row>
    <row r="85">
      <c r="B85" s="9"/>
      <c r="C85" s="36"/>
      <c r="D85" s="36"/>
      <c r="E85" s="33" t="s">
        <v>106</v>
      </c>
      <c r="F85" s="34"/>
      <c r="G85" s="34"/>
      <c r="H85" s="35"/>
      <c r="I85" s="46" t="n"/>
      <c r="J85" s="46" t="n"/>
      <c r="K85" s="46" t="n"/>
      <c r="L85" s="46" t="n"/>
      <c r="M85" s="46" t="n"/>
      <c r="N85" s="46" t="n"/>
      <c r="O85" s="46" t="n"/>
    </row>
    <row r="86">
      <c r="B86" s="9"/>
      <c r="C86" s="36"/>
      <c r="D86" s="36"/>
      <c r="E86" s="37"/>
      <c r="F86" s="10" t="s">
        <v>107</v>
      </c>
      <c r="G86" s="32"/>
      <c r="H86" s="8"/>
      <c r="I86" s="47" t="n"/>
      <c r="J86" s="47" t="n"/>
      <c r="K86" s="47" t="n"/>
      <c r="L86" s="47" t="n"/>
      <c r="M86" s="47" t="n"/>
      <c r="N86" s="47" t="n"/>
      <c r="O86" s="47" t="n"/>
    </row>
    <row r="87">
      <c r="B87" s="9"/>
      <c r="C87" s="36"/>
      <c r="D87" s="36"/>
      <c r="E87" s="37" t="s">
        <v>108</v>
      </c>
      <c r="F87" s="34"/>
      <c r="G87" s="34"/>
      <c r="H87" s="35"/>
      <c r="I87" s="46" t="n"/>
      <c r="J87" s="46" t="n"/>
      <c r="K87" s="46" t="n"/>
      <c r="L87" s="46" t="n"/>
      <c r="M87" s="46" t="n"/>
      <c r="N87" s="46" t="n"/>
      <c r="O87" s="46" t="n"/>
    </row>
    <row r="88">
      <c r="B88" s="9"/>
      <c r="C88" s="36"/>
      <c r="D88" s="36"/>
      <c r="E88" s="10" t="s">
        <v>109</v>
      </c>
      <c r="F88" s="32"/>
      <c r="G88" s="32"/>
      <c r="H88" s="8"/>
      <c r="I88" s="47" t="n"/>
      <c r="J88" s="47" t="n"/>
      <c r="K88" s="47" t="n"/>
      <c r="L88" s="47" t="n"/>
      <c r="M88" s="47" t="n"/>
      <c r="N88" s="47" t="n"/>
      <c r="O88" s="47" t="n"/>
    </row>
    <row r="89">
      <c r="B89" s="9"/>
      <c r="C89" s="36"/>
      <c r="D89" s="36"/>
      <c r="E89" s="37" t="s">
        <v>110</v>
      </c>
      <c r="F89" s="34"/>
      <c r="G89" s="34"/>
      <c r="H89" s="35"/>
      <c r="I89" s="46" t="n"/>
      <c r="J89" s="46" t="n"/>
      <c r="K89" s="46" t="n"/>
      <c r="L89" s="46" t="n"/>
      <c r="M89" s="46" t="n"/>
      <c r="N89" s="46" t="n"/>
      <c r="O89" s="46" t="n"/>
    </row>
    <row r="90">
      <c r="B90" s="9"/>
      <c r="C90" s="36"/>
      <c r="D90" s="37"/>
      <c r="E90" s="40" t="s">
        <v>111</v>
      </c>
      <c r="F90" s="45"/>
      <c r="G90" s="45"/>
      <c r="H90" s="39"/>
      <c r="I90" s="47" t="n">
        <f>I84+I85+SUM(I87:I89)</f>
      </c>
      <c r="J90" s="47" t="n">
        <f>J84+J85+SUM(J87:J89)</f>
      </c>
      <c r="K90" s="47" t="n">
        <f>K84+K85+SUM(K87:K89)</f>
      </c>
      <c r="L90" s="47" t="n">
        <f>L84+L85+SUM(L87:L89)</f>
      </c>
      <c r="M90" s="47" t="n">
        <f>M84+M85+SUM(M87:M89)</f>
      </c>
      <c r="N90" s="47" t="n">
        <f>N84+N85+SUM(N87:N89)</f>
      </c>
      <c r="O90" s="47" t="n">
        <f>O84+O85+SUM(O87:O89)</f>
      </c>
    </row>
    <row r="91">
      <c r="B91" s="10"/>
      <c r="C91" s="37"/>
      <c r="D91" s="44" t="s">
        <v>112</v>
      </c>
      <c r="E91" s="42"/>
      <c r="F91" s="42"/>
      <c r="G91" s="42"/>
      <c r="H91" s="43"/>
      <c r="I91" s="48" t="n">
        <f>I82+I90</f>
      </c>
      <c r="J91" s="48" t="n">
        <f>J82+J90</f>
      </c>
      <c r="K91" s="48" t="n">
        <f>K82+K90</f>
      </c>
      <c r="L91" s="48" t="n">
        <f>L82+L90</f>
      </c>
      <c r="M91" s="48" t="n">
        <f>M82+M90</f>
      </c>
      <c r="N91" s="48" t="n">
        <f>N82+N90</f>
      </c>
      <c r="O91" s="48" t="n">
        <f>O82+O90</f>
      </c>
    </row>
    <row r="93">
      <c r="B93" t="s" s="1">
        <v>11</v>
      </c>
      <c r="C93" t="s">
        <v>113</v>
      </c>
    </row>
    <row r="94">
      <c r="I94" t="s" s="4">
        <v>26</v>
      </c>
      <c r="J94" s="24"/>
      <c r="K94" s="24"/>
      <c r="L94" s="24"/>
      <c r="M94" s="24"/>
      <c r="N94" s="24"/>
      <c r="O94" s="25"/>
    </row>
    <row r="95">
      <c r="I95" t="s" s="29">
        <v>27</v>
      </c>
      <c r="J95" t="s" s="6">
        <v>28</v>
      </c>
      <c r="K95" t="s" s="29">
        <v>29</v>
      </c>
      <c r="L95" t="s" s="6">
        <v>30</v>
      </c>
      <c r="M95" t="s" s="29">
        <v>31</v>
      </c>
      <c r="N95" t="s" s="6">
        <v>32</v>
      </c>
      <c r="O95" s="31"/>
    </row>
    <row r="96">
      <c r="B96" s="7" t="s">
        <v>33</v>
      </c>
      <c r="C96" s="32"/>
      <c r="D96" s="32"/>
      <c r="E96" s="32"/>
      <c r="F96" s="32"/>
      <c r="G96" s="32"/>
      <c r="H96" s="8"/>
      <c r="I96" s="18"/>
      <c r="J96" s="18"/>
      <c r="K96" s="18"/>
      <c r="L96" s="18"/>
      <c r="M96" s="18"/>
      <c r="N96" s="18"/>
      <c r="O96" s="18"/>
    </row>
    <row r="97">
      <c r="B97" s="9"/>
      <c r="C97" s="33" t="s">
        <v>34</v>
      </c>
      <c r="D97" s="34"/>
      <c r="E97" s="34"/>
      <c r="F97" s="34"/>
      <c r="G97" s="34"/>
      <c r="H97" s="35"/>
      <c r="I97" s="17"/>
      <c r="J97" s="17"/>
      <c r="K97" s="17"/>
      <c r="L97" s="17"/>
      <c r="M97" s="17"/>
      <c r="N97" s="17"/>
      <c r="O97" s="17"/>
    </row>
    <row r="98">
      <c r="B98" s="9"/>
      <c r="C98" s="36"/>
      <c r="D98" s="7" t="s">
        <v>35</v>
      </c>
      <c r="E98" s="32"/>
      <c r="F98" s="32"/>
      <c r="G98" s="32"/>
      <c r="H98" s="8"/>
      <c r="I98" s="18"/>
      <c r="J98" s="18"/>
      <c r="K98" s="18"/>
      <c r="L98" s="18"/>
      <c r="M98" s="18"/>
      <c r="N98" s="18"/>
      <c r="O98" s="18"/>
    </row>
    <row r="99">
      <c r="B99" s="9"/>
      <c r="C99" s="36"/>
      <c r="D99" s="9"/>
      <c r="E99" s="33" t="s">
        <v>36</v>
      </c>
      <c r="F99" s="34"/>
      <c r="G99" s="34"/>
      <c r="H99" s="35"/>
      <c r="I99" s="46" t="n"/>
      <c r="J99" s="46" t="n"/>
      <c r="K99" s="46" t="n"/>
      <c r="L99" s="46" t="n"/>
      <c r="M99" s="46" t="n"/>
      <c r="N99" s="46" t="n"/>
      <c r="O99" s="46" t="n"/>
    </row>
    <row r="100">
      <c r="B100" s="9"/>
      <c r="C100" s="36"/>
      <c r="D100" s="9"/>
      <c r="E100" s="37"/>
      <c r="F100" s="10" t="s">
        <v>37</v>
      </c>
      <c r="G100" s="32"/>
      <c r="H100" s="8"/>
      <c r="I100" s="47" t="n"/>
      <c r="J100" s="47" t="n"/>
      <c r="K100" s="47" t="n"/>
      <c r="L100" s="47" t="n"/>
      <c r="M100" s="47" t="n"/>
      <c r="N100" s="47" t="n"/>
      <c r="O100" s="47" t="n"/>
    </row>
    <row r="101">
      <c r="B101" s="9"/>
      <c r="C101" s="36"/>
      <c r="D101" s="9"/>
      <c r="E101" s="37" t="s">
        <v>38</v>
      </c>
      <c r="F101" s="34"/>
      <c r="G101" s="34"/>
      <c r="H101" s="35"/>
      <c r="I101" s="46" t="n"/>
      <c r="J101" s="46" t="n"/>
      <c r="K101" s="46" t="n"/>
      <c r="L101" s="46" t="n"/>
      <c r="M101" s="46" t="n"/>
      <c r="N101" s="46" t="n"/>
      <c r="O101" s="46" t="n"/>
    </row>
    <row r="102" ht="28.0" customHeight="true">
      <c r="B102" s="9"/>
      <c r="C102" s="36"/>
      <c r="D102" s="9"/>
      <c r="E102" s="7" t="s">
        <v>39</v>
      </c>
      <c r="F102" s="32"/>
      <c r="G102" s="32"/>
      <c r="H102" s="8"/>
      <c r="I102" s="18"/>
      <c r="J102" s="18"/>
      <c r="K102" s="18"/>
      <c r="L102" s="18"/>
      <c r="M102" s="18"/>
      <c r="N102" s="18"/>
      <c r="O102" s="18"/>
    </row>
    <row r="103" ht="28.0" customHeight="true">
      <c r="B103" s="9"/>
      <c r="C103" s="36"/>
      <c r="D103" s="9"/>
      <c r="E103" s="9"/>
      <c r="F103" s="33" t="s">
        <v>40</v>
      </c>
      <c r="G103" s="34"/>
      <c r="H103" s="35"/>
      <c r="I103" s="17"/>
      <c r="J103" s="17"/>
      <c r="K103" s="17"/>
      <c r="L103" s="17"/>
      <c r="M103" s="17"/>
      <c r="N103" s="17"/>
      <c r="O103" s="17"/>
    </row>
    <row r="104" ht="42.0" customHeight="true">
      <c r="B104" s="9"/>
      <c r="C104" s="36"/>
      <c r="D104" s="9"/>
      <c r="E104" s="9"/>
      <c r="F104" s="36"/>
      <c r="G104" s="10" t="s">
        <v>41</v>
      </c>
      <c r="H104" s="8"/>
      <c r="I104" s="47" t="n"/>
      <c r="J104" s="47" t="n"/>
      <c r="K104" s="47" t="n"/>
      <c r="L104" s="47" t="n"/>
      <c r="M104" s="47" t="n"/>
      <c r="N104" s="47" t="n"/>
      <c r="O104" s="47" t="n"/>
    </row>
    <row r="105">
      <c r="B105" s="9"/>
      <c r="C105" s="36"/>
      <c r="D105" s="9"/>
      <c r="E105" s="9"/>
      <c r="F105" s="36"/>
      <c r="G105" s="33" t="s">
        <v>42</v>
      </c>
      <c r="H105" s="35"/>
      <c r="I105" s="46" t="n"/>
      <c r="J105" s="46" t="n"/>
      <c r="K105" s="46" t="n"/>
      <c r="L105" s="46" t="n"/>
      <c r="M105" s="46" t="n"/>
      <c r="N105" s="46" t="n"/>
      <c r="O105" s="46" t="n"/>
    </row>
    <row r="106">
      <c r="B106" s="9"/>
      <c r="C106" s="36"/>
      <c r="D106" s="9"/>
      <c r="E106" s="9"/>
      <c r="F106" s="36"/>
      <c r="G106" s="37"/>
      <c r="H106" s="14" t="s">
        <v>43</v>
      </c>
      <c r="I106" s="18"/>
      <c r="J106" s="18"/>
      <c r="K106" s="18"/>
      <c r="L106" s="47" t="n"/>
      <c r="M106" s="47" t="n"/>
      <c r="N106" s="47" t="n"/>
      <c r="O106" s="47" t="n"/>
    </row>
    <row r="107" ht="28.0" customHeight="true">
      <c r="B107" s="9"/>
      <c r="C107" s="36"/>
      <c r="D107" s="9"/>
      <c r="E107" s="9"/>
      <c r="F107" s="36"/>
      <c r="G107" s="37" t="s">
        <v>44</v>
      </c>
      <c r="H107" s="35"/>
      <c r="I107" s="17"/>
      <c r="J107" s="17"/>
      <c r="K107" s="46" t="n"/>
      <c r="L107" s="17"/>
      <c r="M107" s="17"/>
      <c r="N107" s="17"/>
      <c r="O107" s="46" t="n"/>
    </row>
    <row r="108" ht="28.0" customHeight="true">
      <c r="B108" s="9"/>
      <c r="C108" s="36"/>
      <c r="D108" s="9"/>
      <c r="E108" s="9"/>
      <c r="F108" s="37"/>
      <c r="G108" s="40" t="s">
        <v>45</v>
      </c>
      <c r="H108" s="39"/>
      <c r="I108" s="47" t="n">
        <f>I104+I105</f>
      </c>
      <c r="J108" s="47" t="n">
        <f>J104+J105</f>
      </c>
      <c r="K108" s="47" t="n">
        <f>K104+K105+K107</f>
      </c>
      <c r="L108" s="47" t="n">
        <f>L104+L105</f>
      </c>
      <c r="M108" s="47" t="n">
        <f>M104+M105</f>
      </c>
      <c r="N108" s="47" t="n">
        <f>N104+N105</f>
      </c>
      <c r="O108" s="47" t="n">
        <f>O104+O105+O107</f>
      </c>
    </row>
    <row r="109">
      <c r="B109" s="9"/>
      <c r="C109" s="36"/>
      <c r="D109" s="9"/>
      <c r="E109" s="9"/>
      <c r="F109" s="37" t="s">
        <v>46</v>
      </c>
      <c r="G109" s="34"/>
      <c r="H109" s="35"/>
      <c r="I109" s="46" t="n"/>
      <c r="J109" s="46" t="n"/>
      <c r="K109" s="46" t="n"/>
      <c r="L109" s="46" t="n"/>
      <c r="M109" s="46" t="n"/>
      <c r="N109" s="46" t="n"/>
      <c r="O109" s="46" t="n"/>
    </row>
    <row r="110">
      <c r="B110" s="9"/>
      <c r="C110" s="36"/>
      <c r="D110" s="9"/>
      <c r="E110" s="9"/>
      <c r="F110" s="10" t="s">
        <v>47</v>
      </c>
      <c r="G110" s="32"/>
      <c r="H110" s="8"/>
      <c r="I110" s="47" t="n"/>
      <c r="J110" s="47" t="n"/>
      <c r="K110" s="47" t="n"/>
      <c r="L110" s="47" t="n"/>
      <c r="M110" s="47" t="n"/>
      <c r="N110" s="47" t="n"/>
      <c r="O110" s="47" t="n"/>
    </row>
    <row r="111" ht="28.0" customHeight="true">
      <c r="B111" s="9"/>
      <c r="C111" s="36"/>
      <c r="D111" s="9"/>
      <c r="E111" s="10"/>
      <c r="F111" s="44" t="s">
        <v>48</v>
      </c>
      <c r="G111" s="42"/>
      <c r="H111" s="43"/>
      <c r="I111" s="46" t="n">
        <f>SUM(I108:I110)</f>
      </c>
      <c r="J111" s="46" t="n">
        <f>SUM(J108:J110)</f>
      </c>
      <c r="K111" s="46" t="n">
        <f>SUM(K108:K110)</f>
      </c>
      <c r="L111" s="46" t="n">
        <f>SUM(L108:L110)</f>
      </c>
      <c r="M111" s="46" t="n">
        <f>SUM(M108:M110)</f>
      </c>
      <c r="N111" s="46" t="n">
        <f>SUM(N108:N110)</f>
      </c>
      <c r="O111" s="46" t="n">
        <f>SUM(O108:O110)</f>
      </c>
    </row>
    <row r="112">
      <c r="B112" s="9"/>
      <c r="C112" s="36"/>
      <c r="D112" s="9"/>
      <c r="E112" s="10" t="s">
        <v>49</v>
      </c>
      <c r="F112" s="32"/>
      <c r="G112" s="32"/>
      <c r="H112" s="8"/>
      <c r="I112" s="47" t="n"/>
      <c r="J112" s="47" t="n"/>
      <c r="K112" s="47" t="n"/>
      <c r="L112" s="47" t="n"/>
      <c r="M112" s="47" t="n"/>
      <c r="N112" s="47" t="n"/>
      <c r="O112" s="47" t="n"/>
    </row>
    <row r="113">
      <c r="B113" s="9"/>
      <c r="C113" s="36"/>
      <c r="D113" s="9"/>
      <c r="E113" s="37" t="s">
        <v>50</v>
      </c>
      <c r="F113" s="34"/>
      <c r="G113" s="34"/>
      <c r="H113" s="35"/>
      <c r="I113" s="46" t="n"/>
      <c r="J113" s="46" t="n"/>
      <c r="K113" s="46" t="n"/>
      <c r="L113" s="46" t="n"/>
      <c r="M113" s="46" t="n"/>
      <c r="N113" s="46" t="n"/>
      <c r="O113" s="46" t="n"/>
    </row>
    <row r="114">
      <c r="B114" s="9"/>
      <c r="C114" s="36"/>
      <c r="D114" s="9"/>
      <c r="E114" s="10" t="s">
        <v>51</v>
      </c>
      <c r="F114" s="32"/>
      <c r="G114" s="32"/>
      <c r="H114" s="8"/>
      <c r="I114" s="47" t="n"/>
      <c r="J114" s="47" t="n"/>
      <c r="K114" s="47" t="n"/>
      <c r="L114" s="47" t="n"/>
      <c r="M114" s="47" t="n"/>
      <c r="N114" s="47" t="n"/>
      <c r="O114" s="47" t="n"/>
    </row>
    <row r="115">
      <c r="B115" s="9"/>
      <c r="C115" s="36"/>
      <c r="D115" s="10"/>
      <c r="E115" s="44" t="s">
        <v>52</v>
      </c>
      <c r="F115" s="42"/>
      <c r="G115" s="42"/>
      <c r="H115" s="43"/>
      <c r="I115" s="46" t="n">
        <f>I99+I101+SUM(I111:I114)</f>
      </c>
      <c r="J115" s="46" t="n">
        <f>J99+J101+SUM(J111:J114)</f>
      </c>
      <c r="K115" s="46" t="n">
        <f>K99+K101+SUM(K111:K114)</f>
      </c>
      <c r="L115" s="46" t="n">
        <f>L99+L101+SUM(L111:L114)</f>
      </c>
      <c r="M115" s="46" t="n">
        <f>M99+M101+SUM(M111:M114)</f>
      </c>
      <c r="N115" s="46" t="n">
        <f>N99+N101+SUM(N111:N114)</f>
      </c>
      <c r="O115" s="46" t="n">
        <f>O99+O101+SUM(O111:O114)</f>
      </c>
    </row>
    <row r="116">
      <c r="B116" s="9"/>
      <c r="C116" s="36"/>
      <c r="D116" s="7" t="s">
        <v>53</v>
      </c>
      <c r="E116" s="32"/>
      <c r="F116" s="32"/>
      <c r="G116" s="32"/>
      <c r="H116" s="8"/>
      <c r="I116" s="18"/>
      <c r="J116" s="18"/>
      <c r="K116" s="18"/>
      <c r="L116" s="18"/>
      <c r="M116" s="18"/>
      <c r="N116" s="18"/>
      <c r="O116" s="18"/>
    </row>
    <row r="117">
      <c r="B117" s="9"/>
      <c r="C117" s="36"/>
      <c r="D117" s="9"/>
      <c r="E117" s="37" t="s">
        <v>54</v>
      </c>
      <c r="F117" s="34"/>
      <c r="G117" s="34"/>
      <c r="H117" s="35"/>
      <c r="I117" s="46" t="n"/>
      <c r="J117" s="46" t="n"/>
      <c r="K117" s="46" t="n"/>
      <c r="L117" s="46" t="n"/>
      <c r="M117" s="46" t="n"/>
      <c r="N117" s="46" t="n"/>
      <c r="O117" s="46" t="n"/>
    </row>
    <row r="118">
      <c r="B118" s="9"/>
      <c r="C118" s="36"/>
      <c r="D118" s="9"/>
      <c r="E118" s="10" t="s">
        <v>55</v>
      </c>
      <c r="F118" s="32"/>
      <c r="G118" s="32"/>
      <c r="H118" s="8"/>
      <c r="I118" s="47" t="n"/>
      <c r="J118" s="47" t="n"/>
      <c r="K118" s="47" t="n"/>
      <c r="L118" s="47" t="n"/>
      <c r="M118" s="47" t="n"/>
      <c r="N118" s="47" t="n"/>
      <c r="O118" s="47" t="n"/>
    </row>
    <row r="119">
      <c r="B119" s="9"/>
      <c r="C119" s="36"/>
      <c r="D119" s="9"/>
      <c r="E119" s="37" t="s">
        <v>56</v>
      </c>
      <c r="F119" s="34"/>
      <c r="G119" s="34"/>
      <c r="H119" s="35"/>
      <c r="I119" s="46" t="n"/>
      <c r="J119" s="46" t="n"/>
      <c r="K119" s="46" t="n"/>
      <c r="L119" s="46" t="n"/>
      <c r="M119" s="46" t="n"/>
      <c r="N119" s="46" t="n"/>
      <c r="O119" s="46" t="n"/>
    </row>
    <row r="120">
      <c r="B120" s="9"/>
      <c r="C120" s="36"/>
      <c r="D120" s="9"/>
      <c r="E120" s="10" t="s">
        <v>57</v>
      </c>
      <c r="F120" s="32"/>
      <c r="G120" s="32"/>
      <c r="H120" s="8"/>
      <c r="I120" s="47" t="n"/>
      <c r="J120" s="47" t="n"/>
      <c r="K120" s="47" t="n"/>
      <c r="L120" s="47" t="n"/>
      <c r="M120" s="47" t="n"/>
      <c r="N120" s="47" t="n"/>
      <c r="O120" s="47" t="n"/>
    </row>
    <row r="121" ht="28.0" customHeight="true">
      <c r="B121" s="9"/>
      <c r="C121" s="36"/>
      <c r="D121" s="9"/>
      <c r="E121" s="33" t="s">
        <v>58</v>
      </c>
      <c r="F121" s="34"/>
      <c r="G121" s="34"/>
      <c r="H121" s="35"/>
      <c r="I121" s="17"/>
      <c r="J121" s="17"/>
      <c r="K121" s="17"/>
      <c r="L121" s="17"/>
      <c r="M121" s="17"/>
      <c r="N121" s="17"/>
      <c r="O121" s="17"/>
    </row>
    <row r="122" ht="28.0" customHeight="true">
      <c r="B122" s="9"/>
      <c r="C122" s="36"/>
      <c r="D122" s="9"/>
      <c r="E122" s="36"/>
      <c r="F122" s="7" t="s">
        <v>59</v>
      </c>
      <c r="G122" s="32"/>
      <c r="H122" s="8"/>
      <c r="I122" s="18"/>
      <c r="J122" s="18"/>
      <c r="K122" s="18"/>
      <c r="L122" s="18"/>
      <c r="M122" s="18"/>
      <c r="N122" s="18"/>
      <c r="O122" s="18"/>
    </row>
    <row r="123" ht="42.0" customHeight="true">
      <c r="B123" s="9"/>
      <c r="C123" s="36"/>
      <c r="D123" s="9"/>
      <c r="E123" s="36"/>
      <c r="F123" s="9"/>
      <c r="G123" s="37" t="s">
        <v>60</v>
      </c>
      <c r="H123" s="35"/>
      <c r="I123" s="46" t="n"/>
      <c r="J123" s="46" t="n"/>
      <c r="K123" s="46" t="n"/>
      <c r="L123" s="46" t="n"/>
      <c r="M123" s="46" t="n"/>
      <c r="N123" s="46" t="n"/>
      <c r="O123" s="46" t="n"/>
    </row>
    <row r="124">
      <c r="B124" s="9"/>
      <c r="C124" s="36"/>
      <c r="D124" s="9"/>
      <c r="E124" s="36"/>
      <c r="F124" s="9"/>
      <c r="G124" s="7" t="s">
        <v>61</v>
      </c>
      <c r="H124" s="8"/>
      <c r="I124" s="47" t="n"/>
      <c r="J124" s="47" t="n"/>
      <c r="K124" s="47" t="n"/>
      <c r="L124" s="47" t="n"/>
      <c r="M124" s="47" t="n"/>
      <c r="N124" s="47" t="n"/>
      <c r="O124" s="47" t="n"/>
    </row>
    <row r="125">
      <c r="B125" s="9"/>
      <c r="C125" s="36"/>
      <c r="D125" s="9"/>
      <c r="E125" s="36"/>
      <c r="F125" s="9"/>
      <c r="G125" s="10"/>
      <c r="H125" s="13" t="s">
        <v>62</v>
      </c>
      <c r="I125" s="17"/>
      <c r="J125" s="17"/>
      <c r="K125" s="17"/>
      <c r="L125" s="46" t="n"/>
      <c r="M125" s="46" t="n"/>
      <c r="N125" s="46" t="n"/>
      <c r="O125" s="46" t="n"/>
    </row>
    <row r="126" ht="28.0" customHeight="true">
      <c r="B126" s="9"/>
      <c r="C126" s="36"/>
      <c r="D126" s="9"/>
      <c r="E126" s="36"/>
      <c r="F126" s="9"/>
      <c r="G126" s="10" t="s">
        <v>63</v>
      </c>
      <c r="H126" s="8"/>
      <c r="I126" s="18"/>
      <c r="J126" s="18"/>
      <c r="K126" s="47" t="n"/>
      <c r="L126" s="18"/>
      <c r="M126" s="18"/>
      <c r="N126" s="18"/>
      <c r="O126" s="47" t="n"/>
    </row>
    <row r="127" ht="28.0" customHeight="true">
      <c r="B127" s="9"/>
      <c r="C127" s="36"/>
      <c r="D127" s="9"/>
      <c r="E127" s="36"/>
      <c r="F127" s="10"/>
      <c r="G127" s="44" t="s">
        <v>64</v>
      </c>
      <c r="H127" s="43"/>
      <c r="I127" s="46" t="n">
        <f>I123+I124</f>
      </c>
      <c r="J127" s="46" t="n">
        <f>J123+J124</f>
      </c>
      <c r="K127" s="46" t="n">
        <f>K123+K124+K126</f>
      </c>
      <c r="L127" s="46" t="n">
        <f>L123+L124</f>
      </c>
      <c r="M127" s="46" t="n">
        <f>M123+M124</f>
      </c>
      <c r="N127" s="46" t="n">
        <f>N123+N124</f>
      </c>
      <c r="O127" s="46" t="n">
        <f>O123+O124+O126</f>
      </c>
    </row>
    <row r="128">
      <c r="B128" s="9"/>
      <c r="C128" s="36"/>
      <c r="D128" s="9"/>
      <c r="E128" s="36"/>
      <c r="F128" s="10" t="s">
        <v>65</v>
      </c>
      <c r="G128" s="32"/>
      <c r="H128" s="8"/>
      <c r="I128" s="47" t="n"/>
      <c r="J128" s="47" t="n"/>
      <c r="K128" s="47" t="n"/>
      <c r="L128" s="47" t="n"/>
      <c r="M128" s="47" t="n"/>
      <c r="N128" s="47" t="n"/>
      <c r="O128" s="47" t="n"/>
    </row>
    <row r="129">
      <c r="B129" s="9"/>
      <c r="C129" s="36"/>
      <c r="D129" s="9"/>
      <c r="E129" s="36"/>
      <c r="F129" s="37" t="s">
        <v>66</v>
      </c>
      <c r="G129" s="34"/>
      <c r="H129" s="35"/>
      <c r="I129" s="46" t="n"/>
      <c r="J129" s="46" t="n"/>
      <c r="K129" s="46" t="n"/>
      <c r="L129" s="46" t="n"/>
      <c r="M129" s="46" t="n"/>
      <c r="N129" s="46" t="n"/>
      <c r="O129" s="46" t="n"/>
    </row>
    <row r="130" ht="28.0" customHeight="true">
      <c r="B130" s="9"/>
      <c r="C130" s="36"/>
      <c r="D130" s="9"/>
      <c r="E130" s="37"/>
      <c r="F130" s="40" t="s">
        <v>67</v>
      </c>
      <c r="G130" s="45"/>
      <c r="H130" s="39"/>
      <c r="I130" s="47" t="n">
        <f>SUM(I127:I129)</f>
      </c>
      <c r="J130" s="47" t="n">
        <f>SUM(J127:J129)</f>
      </c>
      <c r="K130" s="47" t="n">
        <f>SUM(K127:K129)</f>
      </c>
      <c r="L130" s="47" t="n">
        <f>SUM(L127:L129)</f>
      </c>
      <c r="M130" s="47" t="n">
        <f>SUM(M127:M129)</f>
      </c>
      <c r="N130" s="47" t="n">
        <f>SUM(N127:N129)</f>
      </c>
      <c r="O130" s="47" t="n">
        <f>SUM(O127:O129)</f>
      </c>
    </row>
    <row r="131">
      <c r="B131" s="9"/>
      <c r="C131" s="36"/>
      <c r="D131" s="9"/>
      <c r="E131" s="37" t="s">
        <v>68</v>
      </c>
      <c r="F131" s="34"/>
      <c r="G131" s="34"/>
      <c r="H131" s="35"/>
      <c r="I131" s="46" t="n"/>
      <c r="J131" s="46" t="n"/>
      <c r="K131" s="46" t="n"/>
      <c r="L131" s="46" t="n"/>
      <c r="M131" s="46" t="n"/>
      <c r="N131" s="46" t="n"/>
      <c r="O131" s="46" t="n"/>
    </row>
    <row r="132">
      <c r="B132" s="9"/>
      <c r="C132" s="36"/>
      <c r="D132" s="9"/>
      <c r="E132" s="10" t="s">
        <v>69</v>
      </c>
      <c r="F132" s="32"/>
      <c r="G132" s="32"/>
      <c r="H132" s="8"/>
      <c r="I132" s="47" t="n"/>
      <c r="J132" s="47" t="n"/>
      <c r="K132" s="47" t="n"/>
      <c r="L132" s="47" t="n"/>
      <c r="M132" s="47" t="n"/>
      <c r="N132" s="47" t="n"/>
      <c r="O132" s="47" t="n"/>
    </row>
    <row r="133">
      <c r="B133" s="9"/>
      <c r="C133" s="36"/>
      <c r="D133" s="9"/>
      <c r="E133" s="37" t="s">
        <v>70</v>
      </c>
      <c r="F133" s="34"/>
      <c r="G133" s="34"/>
      <c r="H133" s="35"/>
      <c r="I133" s="46" t="n"/>
      <c r="J133" s="46" t="n"/>
      <c r="K133" s="46" t="n"/>
      <c r="L133" s="46" t="n"/>
      <c r="M133" s="46" t="n"/>
      <c r="N133" s="46" t="n"/>
      <c r="O133" s="46" t="n"/>
    </row>
    <row r="134">
      <c r="B134" s="9"/>
      <c r="C134" s="36"/>
      <c r="D134" s="9"/>
      <c r="E134" s="10" t="s">
        <v>71</v>
      </c>
      <c r="F134" s="32"/>
      <c r="G134" s="32"/>
      <c r="H134" s="8"/>
      <c r="I134" s="47" t="n"/>
      <c r="J134" s="47" t="n"/>
      <c r="K134" s="47" t="n"/>
      <c r="L134" s="47" t="n"/>
      <c r="M134" s="47" t="n"/>
      <c r="N134" s="47" t="n"/>
      <c r="O134" s="47" t="n"/>
    </row>
    <row r="135">
      <c r="B135" s="9"/>
      <c r="C135" s="36"/>
      <c r="D135" s="10"/>
      <c r="E135" s="44" t="s">
        <v>72</v>
      </c>
      <c r="F135" s="42"/>
      <c r="G135" s="42"/>
      <c r="H135" s="43"/>
      <c r="I135" s="46" t="n">
        <f>SUM(I117:I120)+SUM(I130:I134)</f>
      </c>
      <c r="J135" s="46" t="n">
        <f>SUM(J117:J120)+SUM(J130:J134)</f>
      </c>
      <c r="K135" s="46" t="n">
        <f>SUM(K117:K120)+SUM(K130:K134)</f>
      </c>
      <c r="L135" s="46" t="n">
        <f>SUM(L117:L120)+SUM(L130:L134)</f>
      </c>
      <c r="M135" s="46" t="n">
        <f>SUM(M117:M120)+SUM(M130:M134)</f>
      </c>
      <c r="N135" s="46" t="n">
        <f>SUM(N117:N120)+SUM(N130:N134)</f>
      </c>
      <c r="O135" s="46" t="n">
        <f>SUM(O117:O120)+SUM(O130:O134)</f>
      </c>
    </row>
    <row r="136">
      <c r="B136" s="9"/>
      <c r="C136" s="37"/>
      <c r="D136" s="40" t="s">
        <v>73</v>
      </c>
      <c r="E136" s="45"/>
      <c r="F136" s="45"/>
      <c r="G136" s="45"/>
      <c r="H136" s="39"/>
      <c r="I136" s="47" t="n">
        <f>I135+I115</f>
      </c>
      <c r="J136" s="47" t="n">
        <f>J135+J115</f>
      </c>
      <c r="K136" s="47" t="n">
        <f>K135+K115</f>
      </c>
      <c r="L136" s="47" t="n">
        <f>L135+L115</f>
      </c>
      <c r="M136" s="47" t="n">
        <f>M135+M115</f>
      </c>
      <c r="N136" s="47" t="n">
        <f>N135+N115</f>
      </c>
      <c r="O136" s="47" t="n">
        <f>O135+O115</f>
      </c>
    </row>
    <row r="137">
      <c r="B137" s="9"/>
      <c r="C137" s="33" t="s">
        <v>74</v>
      </c>
      <c r="D137" s="34"/>
      <c r="E137" s="34"/>
      <c r="F137" s="34"/>
      <c r="G137" s="34"/>
      <c r="H137" s="35"/>
      <c r="I137" s="17"/>
      <c r="J137" s="17"/>
      <c r="K137" s="17"/>
      <c r="L137" s="17"/>
      <c r="M137" s="17"/>
      <c r="N137" s="17"/>
      <c r="O137" s="17"/>
    </row>
    <row r="138">
      <c r="B138" s="9"/>
      <c r="C138" s="36"/>
      <c r="D138" s="7" t="s">
        <v>75</v>
      </c>
      <c r="E138" s="32"/>
      <c r="F138" s="32"/>
      <c r="G138" s="32"/>
      <c r="H138" s="8"/>
      <c r="I138" s="18"/>
      <c r="J138" s="18"/>
      <c r="K138" s="18"/>
      <c r="L138" s="18"/>
      <c r="M138" s="18"/>
      <c r="N138" s="18"/>
      <c r="O138" s="18"/>
    </row>
    <row r="139">
      <c r="B139" s="9"/>
      <c r="C139" s="36"/>
      <c r="D139" s="9"/>
      <c r="E139" s="33" t="s">
        <v>76</v>
      </c>
      <c r="F139" s="34"/>
      <c r="G139" s="34"/>
      <c r="H139" s="35"/>
      <c r="I139" s="17"/>
      <c r="J139" s="17"/>
      <c r="K139" s="17"/>
      <c r="L139" s="17"/>
      <c r="M139" s="17"/>
      <c r="N139" s="17"/>
      <c r="O139" s="17"/>
    </row>
    <row r="140">
      <c r="B140" s="9"/>
      <c r="C140" s="36"/>
      <c r="D140" s="9"/>
      <c r="E140" s="36"/>
      <c r="F140" s="7" t="s">
        <v>77</v>
      </c>
      <c r="G140" s="32"/>
      <c r="H140" s="8"/>
      <c r="I140" s="18"/>
      <c r="J140" s="18"/>
      <c r="K140" s="18"/>
      <c r="L140" s="18"/>
      <c r="M140" s="18"/>
      <c r="N140" s="18"/>
      <c r="O140" s="18"/>
    </row>
    <row r="141">
      <c r="B141" s="9"/>
      <c r="C141" s="36"/>
      <c r="D141" s="9"/>
      <c r="E141" s="36"/>
      <c r="F141" s="9"/>
      <c r="G141" s="37" t="s">
        <v>78</v>
      </c>
      <c r="H141" s="35"/>
      <c r="I141" s="46" t="n"/>
      <c r="J141" s="46" t="n"/>
      <c r="K141" s="46" t="n"/>
      <c r="L141" s="46" t="n"/>
      <c r="M141" s="46" t="n"/>
      <c r="N141" s="46" t="n"/>
      <c r="O141" s="46" t="n"/>
    </row>
    <row r="142">
      <c r="B142" s="9"/>
      <c r="C142" s="36"/>
      <c r="D142" s="9"/>
      <c r="E142" s="36"/>
      <c r="F142" s="9"/>
      <c r="G142" s="10" t="s">
        <v>79</v>
      </c>
      <c r="H142" s="8"/>
      <c r="I142" s="47" t="n"/>
      <c r="J142" s="47" t="n"/>
      <c r="K142" s="47" t="n"/>
      <c r="L142" s="47" t="n"/>
      <c r="M142" s="47" t="n"/>
      <c r="N142" s="47" t="n"/>
      <c r="O142" s="47" t="n"/>
    </row>
    <row r="143">
      <c r="B143" s="9"/>
      <c r="C143" s="36"/>
      <c r="D143" s="9"/>
      <c r="E143" s="36"/>
      <c r="F143" s="9"/>
      <c r="G143" s="37" t="s">
        <v>80</v>
      </c>
      <c r="H143" s="35"/>
      <c r="I143" s="46" t="n"/>
      <c r="J143" s="46" t="n"/>
      <c r="K143" s="46" t="n"/>
      <c r="L143" s="46" t="n"/>
      <c r="M143" s="46" t="n"/>
      <c r="N143" s="46" t="n"/>
      <c r="O143" s="46" t="n"/>
    </row>
    <row r="144">
      <c r="B144" s="9"/>
      <c r="C144" s="36"/>
      <c r="D144" s="9"/>
      <c r="E144" s="36"/>
      <c r="F144" s="9"/>
      <c r="G144" s="10" t="s">
        <v>81</v>
      </c>
      <c r="H144" s="8"/>
      <c r="I144" s="47" t="n"/>
      <c r="J144" s="47" t="n"/>
      <c r="K144" s="47" t="n"/>
      <c r="L144" s="47" t="n"/>
      <c r="M144" s="47" t="n"/>
      <c r="N144" s="47" t="n"/>
      <c r="O144" s="47" t="n"/>
    </row>
    <row r="145" ht="28.0" customHeight="true">
      <c r="B145" s="9"/>
      <c r="C145" s="36"/>
      <c r="D145" s="9"/>
      <c r="E145" s="36"/>
      <c r="F145" s="10"/>
      <c r="G145" s="44" t="s">
        <v>82</v>
      </c>
      <c r="H145" s="43"/>
      <c r="I145" s="46" t="n">
        <f>SUM(I141:I144)</f>
      </c>
      <c r="J145" s="46" t="n">
        <f>SUM(J141:J144)</f>
      </c>
      <c r="K145" s="46" t="n">
        <f>SUM(K141:K144)</f>
      </c>
      <c r="L145" s="46" t="n">
        <f>SUM(L141:L144)</f>
      </c>
      <c r="M145" s="46" t="n">
        <f>SUM(M141:M144)</f>
      </c>
      <c r="N145" s="46" t="n">
        <f>SUM(N141:N144)</f>
      </c>
      <c r="O145" s="46" t="n">
        <f>SUM(O141:O144)</f>
      </c>
    </row>
    <row r="146">
      <c r="B146" s="9"/>
      <c r="C146" s="36"/>
      <c r="D146" s="9"/>
      <c r="E146" s="36"/>
      <c r="F146" s="10" t="s">
        <v>83</v>
      </c>
      <c r="G146" s="32"/>
      <c r="H146" s="8"/>
      <c r="I146" s="47" t="n"/>
      <c r="J146" s="47" t="n"/>
      <c r="K146" s="47" t="n"/>
      <c r="L146" s="47" t="n"/>
      <c r="M146" s="47" t="n"/>
      <c r="N146" s="47" t="n"/>
      <c r="O146" s="47" t="n"/>
    </row>
    <row r="147">
      <c r="B147" s="9"/>
      <c r="C147" s="36"/>
      <c r="D147" s="9"/>
      <c r="E147" s="36"/>
      <c r="F147" s="37" t="s">
        <v>84</v>
      </c>
      <c r="G147" s="34"/>
      <c r="H147" s="35"/>
      <c r="I147" s="46" t="n"/>
      <c r="J147" s="46" t="n"/>
      <c r="K147" s="46" t="n"/>
      <c r="L147" s="46" t="n"/>
      <c r="M147" s="46" t="n"/>
      <c r="N147" s="46" t="n"/>
      <c r="O147" s="46" t="n"/>
    </row>
    <row r="148">
      <c r="B148" s="9"/>
      <c r="C148" s="36"/>
      <c r="D148" s="9"/>
      <c r="E148" s="36"/>
      <c r="F148" s="10" t="s">
        <v>85</v>
      </c>
      <c r="G148" s="32"/>
      <c r="H148" s="8"/>
      <c r="I148" s="47" t="n"/>
      <c r="J148" s="47" t="n"/>
      <c r="K148" s="47" t="n"/>
      <c r="L148" s="47" t="n"/>
      <c r="M148" s="47" t="n"/>
      <c r="N148" s="47" t="n"/>
      <c r="O148" s="47" t="n"/>
    </row>
    <row r="149">
      <c r="B149" s="9"/>
      <c r="C149" s="36"/>
      <c r="D149" s="9"/>
      <c r="E149" s="36"/>
      <c r="F149" s="37" t="s">
        <v>86</v>
      </c>
      <c r="G149" s="34"/>
      <c r="H149" s="35"/>
      <c r="I149" s="46" t="n"/>
      <c r="J149" s="46" t="n"/>
      <c r="K149" s="46" t="n"/>
      <c r="L149" s="46" t="n"/>
      <c r="M149" s="46" t="n"/>
      <c r="N149" s="46" t="n"/>
      <c r="O149" s="46" t="n"/>
    </row>
    <row r="150">
      <c r="B150" s="9"/>
      <c r="C150" s="36"/>
      <c r="D150" s="9"/>
      <c r="E150" s="36"/>
      <c r="F150" s="10" t="s">
        <v>87</v>
      </c>
      <c r="G150" s="32"/>
      <c r="H150" s="8"/>
      <c r="I150" s="47" t="n"/>
      <c r="J150" s="47" t="n"/>
      <c r="K150" s="47" t="n"/>
      <c r="L150" s="47" t="n"/>
      <c r="M150" s="47" t="n"/>
      <c r="N150" s="47" t="n"/>
      <c r="O150" s="47" t="n"/>
    </row>
    <row r="151">
      <c r="B151" s="9"/>
      <c r="C151" s="36"/>
      <c r="D151" s="9"/>
      <c r="E151" s="37"/>
      <c r="F151" s="44" t="s">
        <v>88</v>
      </c>
      <c r="G151" s="42"/>
      <c r="H151" s="43"/>
      <c r="I151" s="46" t="n">
        <f>SUM(I145:I150)</f>
      </c>
      <c r="J151" s="46" t="n">
        <f>SUM(J145:J150)</f>
      </c>
      <c r="K151" s="46" t="n">
        <f>SUM(K145:K150)</f>
      </c>
      <c r="L151" s="46" t="n">
        <f>SUM(L145:L150)</f>
      </c>
      <c r="M151" s="46" t="n">
        <f>SUM(M145:M150)</f>
      </c>
      <c r="N151" s="46" t="n">
        <f>SUM(N145:N150)</f>
      </c>
      <c r="O151" s="46" t="n">
        <f>SUM(O145:O150)</f>
      </c>
    </row>
    <row r="152">
      <c r="B152" s="9"/>
      <c r="C152" s="36"/>
      <c r="D152" s="9"/>
      <c r="E152" s="7" t="s">
        <v>89</v>
      </c>
      <c r="F152" s="32"/>
      <c r="G152" s="32"/>
      <c r="H152" s="8"/>
      <c r="I152" s="18"/>
      <c r="J152" s="18"/>
      <c r="K152" s="18"/>
      <c r="L152" s="18"/>
      <c r="M152" s="18"/>
      <c r="N152" s="18"/>
      <c r="O152" s="18"/>
    </row>
    <row r="153">
      <c r="B153" s="9"/>
      <c r="C153" s="36"/>
      <c r="D153" s="9"/>
      <c r="E153" s="9"/>
      <c r="F153" s="33" t="s">
        <v>90</v>
      </c>
      <c r="G153" s="34"/>
      <c r="H153" s="35"/>
      <c r="I153" s="17"/>
      <c r="J153" s="17"/>
      <c r="K153" s="17"/>
      <c r="L153" s="17"/>
      <c r="M153" s="17"/>
      <c r="N153" s="17"/>
      <c r="O153" s="17"/>
    </row>
    <row r="154">
      <c r="B154" s="9"/>
      <c r="C154" s="36"/>
      <c r="D154" s="9"/>
      <c r="E154" s="9"/>
      <c r="F154" s="36"/>
      <c r="G154" s="10" t="s">
        <v>91</v>
      </c>
      <c r="H154" s="8"/>
      <c r="I154" s="47" t="n"/>
      <c r="J154" s="47" t="n"/>
      <c r="K154" s="47" t="n"/>
      <c r="L154" s="47" t="n"/>
      <c r="M154" s="47" t="n"/>
      <c r="N154" s="47" t="n"/>
      <c r="O154" s="47" t="n"/>
    </row>
    <row r="155">
      <c r="B155" s="9"/>
      <c r="C155" s="36"/>
      <c r="D155" s="9"/>
      <c r="E155" s="9"/>
      <c r="F155" s="36"/>
      <c r="G155" s="37" t="s">
        <v>92</v>
      </c>
      <c r="H155" s="35"/>
      <c r="I155" s="46" t="n"/>
      <c r="J155" s="46" t="n"/>
      <c r="K155" s="46" t="n"/>
      <c r="L155" s="46" t="n"/>
      <c r="M155" s="46" t="n"/>
      <c r="N155" s="46" t="n"/>
      <c r="O155" s="46" t="n"/>
    </row>
    <row r="156">
      <c r="B156" s="9"/>
      <c r="C156" s="36"/>
      <c r="D156" s="9"/>
      <c r="E156" s="9"/>
      <c r="F156" s="36"/>
      <c r="G156" s="10" t="s">
        <v>93</v>
      </c>
      <c r="H156" s="8"/>
      <c r="I156" s="47" t="n"/>
      <c r="J156" s="47" t="n"/>
      <c r="K156" s="47" t="n"/>
      <c r="L156" s="47" t="n"/>
      <c r="M156" s="47" t="n"/>
      <c r="N156" s="47" t="n"/>
      <c r="O156" s="47" t="n"/>
    </row>
    <row r="157">
      <c r="B157" s="9"/>
      <c r="C157" s="36"/>
      <c r="D157" s="9"/>
      <c r="E157" s="9"/>
      <c r="F157" s="36"/>
      <c r="G157" s="37" t="s">
        <v>94</v>
      </c>
      <c r="H157" s="35"/>
      <c r="I157" s="46" t="n"/>
      <c r="J157" s="46" t="n"/>
      <c r="K157" s="46" t="n"/>
      <c r="L157" s="46" t="n"/>
      <c r="M157" s="46" t="n"/>
      <c r="N157" s="46" t="n"/>
      <c r="O157" s="46" t="n"/>
    </row>
    <row r="158" ht="28.0" customHeight="true">
      <c r="B158" s="9"/>
      <c r="C158" s="36"/>
      <c r="D158" s="9"/>
      <c r="E158" s="9"/>
      <c r="F158" s="37"/>
      <c r="G158" s="40" t="s">
        <v>95</v>
      </c>
      <c r="H158" s="39"/>
      <c r="I158" s="47" t="n">
        <f>SUM(I154:I157)</f>
      </c>
      <c r="J158" s="47" t="n">
        <f>SUM(J154:J157)</f>
      </c>
      <c r="K158" s="47" t="n">
        <f>SUM(K154:K157)</f>
      </c>
      <c r="L158" s="47" t="n">
        <f>SUM(L154:L157)</f>
      </c>
      <c r="M158" s="47" t="n">
        <f>SUM(M154:M157)</f>
      </c>
      <c r="N158" s="47" t="n">
        <f>SUM(N154:N157)</f>
      </c>
      <c r="O158" s="47" t="n">
        <f>SUM(O154:O157)</f>
      </c>
    </row>
    <row r="159">
      <c r="B159" s="9"/>
      <c r="C159" s="36"/>
      <c r="D159" s="9"/>
      <c r="E159" s="9"/>
      <c r="F159" s="37" t="s">
        <v>96</v>
      </c>
      <c r="G159" s="34"/>
      <c r="H159" s="35"/>
      <c r="I159" s="46" t="n"/>
      <c r="J159" s="46" t="n"/>
      <c r="K159" s="46" t="n"/>
      <c r="L159" s="46" t="n"/>
      <c r="M159" s="46" t="n"/>
      <c r="N159" s="46" t="n"/>
      <c r="O159" s="46" t="n"/>
    </row>
    <row r="160">
      <c r="B160" s="9"/>
      <c r="C160" s="36"/>
      <c r="D160" s="9"/>
      <c r="E160" s="9"/>
      <c r="F160" s="10" t="s">
        <v>97</v>
      </c>
      <c r="G160" s="32"/>
      <c r="H160" s="8"/>
      <c r="I160" s="47" t="n"/>
      <c r="J160" s="47" t="n"/>
      <c r="K160" s="47" t="n"/>
      <c r="L160" s="47" t="n"/>
      <c r="M160" s="47" t="n"/>
      <c r="N160" s="47" t="n"/>
      <c r="O160" s="47" t="n"/>
    </row>
    <row r="161">
      <c r="B161" s="9"/>
      <c r="C161" s="36"/>
      <c r="D161" s="9"/>
      <c r="E161" s="9"/>
      <c r="F161" s="37" t="s">
        <v>98</v>
      </c>
      <c r="G161" s="34"/>
      <c r="H161" s="35"/>
      <c r="I161" s="46" t="n"/>
      <c r="J161" s="46" t="n"/>
      <c r="K161" s="46" t="n"/>
      <c r="L161" s="46" t="n"/>
      <c r="M161" s="46" t="n"/>
      <c r="N161" s="46" t="n"/>
      <c r="O161" s="46" t="n"/>
    </row>
    <row r="162">
      <c r="B162" s="9"/>
      <c r="C162" s="36"/>
      <c r="D162" s="9"/>
      <c r="E162" s="9"/>
      <c r="F162" s="10" t="s">
        <v>99</v>
      </c>
      <c r="G162" s="32"/>
      <c r="H162" s="8"/>
      <c r="I162" s="47" t="n"/>
      <c r="J162" s="47" t="n"/>
      <c r="K162" s="47" t="n"/>
      <c r="L162" s="47" t="n"/>
      <c r="M162" s="47" t="n"/>
      <c r="N162" s="47" t="n"/>
      <c r="O162" s="47" t="n"/>
    </row>
    <row r="163">
      <c r="B163" s="9"/>
      <c r="C163" s="36"/>
      <c r="D163" s="9"/>
      <c r="E163" s="9"/>
      <c r="F163" s="37" t="s">
        <v>100</v>
      </c>
      <c r="G163" s="34"/>
      <c r="H163" s="35"/>
      <c r="I163" s="46" t="n"/>
      <c r="J163" s="46" t="n"/>
      <c r="K163" s="46" t="n"/>
      <c r="L163" s="46" t="n"/>
      <c r="M163" s="46" t="n"/>
      <c r="N163" s="46" t="n"/>
      <c r="O163" s="46" t="n"/>
    </row>
    <row r="164">
      <c r="B164" s="9"/>
      <c r="C164" s="36"/>
      <c r="D164" s="9"/>
      <c r="E164" s="9"/>
      <c r="F164" s="10" t="s">
        <v>101</v>
      </c>
      <c r="G164" s="32"/>
      <c r="H164" s="8"/>
      <c r="I164" s="47" t="n"/>
      <c r="J164" s="47" t="n"/>
      <c r="K164" s="47" t="n"/>
      <c r="L164" s="47" t="n"/>
      <c r="M164" s="47" t="n"/>
      <c r="N164" s="47" t="n"/>
      <c r="O164" s="47" t="n"/>
    </row>
    <row r="165">
      <c r="B165" s="9"/>
      <c r="C165" s="36"/>
      <c r="D165" s="9"/>
      <c r="E165" s="10"/>
      <c r="F165" s="44" t="s">
        <v>102</v>
      </c>
      <c r="G165" s="42"/>
      <c r="H165" s="43"/>
      <c r="I165" s="46" t="n">
        <f>SUM(I158:I164)</f>
      </c>
      <c r="J165" s="46" t="n">
        <f>SUM(J158:J164)</f>
      </c>
      <c r="K165" s="46" t="n">
        <f>SUM(K158:K164)</f>
      </c>
      <c r="L165" s="46" t="n">
        <f>SUM(L158:L164)</f>
      </c>
      <c r="M165" s="46" t="n">
        <f>SUM(M158:M164)</f>
      </c>
      <c r="N165" s="46" t="n">
        <f>SUM(N158:N164)</f>
      </c>
      <c r="O165" s="46" t="n">
        <f>SUM(O158:O164)</f>
      </c>
    </row>
    <row r="166">
      <c r="B166" s="9"/>
      <c r="C166" s="36"/>
      <c r="D166" s="10"/>
      <c r="E166" s="40" t="s">
        <v>103</v>
      </c>
      <c r="F166" s="45"/>
      <c r="G166" s="45"/>
      <c r="H166" s="39"/>
      <c r="I166" s="47" t="n">
        <f>I165+I151</f>
      </c>
      <c r="J166" s="47" t="n">
        <f>J165+J151</f>
      </c>
      <c r="K166" s="47" t="n">
        <f>K165+K151</f>
      </c>
      <c r="L166" s="47" t="n">
        <f>L165+L151</f>
      </c>
      <c r="M166" s="47" t="n">
        <f>M165+M151</f>
      </c>
      <c r="N166" s="47" t="n">
        <f>N165+N151</f>
      </c>
      <c r="O166" s="47" t="n">
        <f>O165+O151</f>
      </c>
    </row>
    <row r="167">
      <c r="B167" s="9"/>
      <c r="C167" s="36"/>
      <c r="D167" s="33" t="s">
        <v>104</v>
      </c>
      <c r="E167" s="34"/>
      <c r="F167" s="34"/>
      <c r="G167" s="34"/>
      <c r="H167" s="35"/>
      <c r="I167" s="17"/>
      <c r="J167" s="17"/>
      <c r="K167" s="17"/>
      <c r="L167" s="17"/>
      <c r="M167" s="17"/>
      <c r="N167" s="17"/>
      <c r="O167" s="17"/>
    </row>
    <row r="168">
      <c r="B168" s="9"/>
      <c r="C168" s="36"/>
      <c r="D168" s="36"/>
      <c r="E168" s="10" t="s">
        <v>105</v>
      </c>
      <c r="F168" s="32"/>
      <c r="G168" s="32"/>
      <c r="H168" s="8"/>
      <c r="I168" s="47" t="n"/>
      <c r="J168" s="47" t="n"/>
      <c r="K168" s="47" t="n"/>
      <c r="L168" s="47" t="n"/>
      <c r="M168" s="47" t="n"/>
      <c r="N168" s="47" t="n"/>
      <c r="O168" s="47" t="n"/>
    </row>
    <row r="169">
      <c r="B169" s="9"/>
      <c r="C169" s="36"/>
      <c r="D169" s="36"/>
      <c r="E169" s="33" t="s">
        <v>106</v>
      </c>
      <c r="F169" s="34"/>
      <c r="G169" s="34"/>
      <c r="H169" s="35"/>
      <c r="I169" s="46" t="n"/>
      <c r="J169" s="46" t="n"/>
      <c r="K169" s="46" t="n"/>
      <c r="L169" s="46" t="n"/>
      <c r="M169" s="46" t="n"/>
      <c r="N169" s="46" t="n"/>
      <c r="O169" s="46" t="n"/>
    </row>
    <row r="170">
      <c r="B170" s="9"/>
      <c r="C170" s="36"/>
      <c r="D170" s="36"/>
      <c r="E170" s="37"/>
      <c r="F170" s="10" t="s">
        <v>107</v>
      </c>
      <c r="G170" s="32"/>
      <c r="H170" s="8"/>
      <c r="I170" s="47" t="n"/>
      <c r="J170" s="47" t="n"/>
      <c r="K170" s="47" t="n"/>
      <c r="L170" s="47" t="n"/>
      <c r="M170" s="47" t="n"/>
      <c r="N170" s="47" t="n"/>
      <c r="O170" s="47" t="n"/>
    </row>
    <row r="171">
      <c r="B171" s="9"/>
      <c r="C171" s="36"/>
      <c r="D171" s="36"/>
      <c r="E171" s="37" t="s">
        <v>108</v>
      </c>
      <c r="F171" s="34"/>
      <c r="G171" s="34"/>
      <c r="H171" s="35"/>
      <c r="I171" s="46" t="n"/>
      <c r="J171" s="46" t="n"/>
      <c r="K171" s="46" t="n"/>
      <c r="L171" s="46" t="n"/>
      <c r="M171" s="46" t="n"/>
      <c r="N171" s="46" t="n"/>
      <c r="O171" s="46" t="n"/>
    </row>
    <row r="172">
      <c r="B172" s="9"/>
      <c r="C172" s="36"/>
      <c r="D172" s="36"/>
      <c r="E172" s="10" t="s">
        <v>109</v>
      </c>
      <c r="F172" s="32"/>
      <c r="G172" s="32"/>
      <c r="H172" s="8"/>
      <c r="I172" s="47" t="n"/>
      <c r="J172" s="47" t="n"/>
      <c r="K172" s="47" t="n"/>
      <c r="L172" s="47" t="n"/>
      <c r="M172" s="47" t="n"/>
      <c r="N172" s="47" t="n"/>
      <c r="O172" s="47" t="n"/>
    </row>
    <row r="173">
      <c r="B173" s="9"/>
      <c r="C173" s="36"/>
      <c r="D173" s="36"/>
      <c r="E173" s="37" t="s">
        <v>110</v>
      </c>
      <c r="F173" s="34"/>
      <c r="G173" s="34"/>
      <c r="H173" s="35"/>
      <c r="I173" s="46" t="n"/>
      <c r="J173" s="46" t="n"/>
      <c r="K173" s="46" t="n"/>
      <c r="L173" s="46" t="n"/>
      <c r="M173" s="46" t="n"/>
      <c r="N173" s="46" t="n"/>
      <c r="O173" s="46" t="n"/>
    </row>
    <row r="174">
      <c r="B174" s="9"/>
      <c r="C174" s="36"/>
      <c r="D174" s="37"/>
      <c r="E174" s="40" t="s">
        <v>111</v>
      </c>
      <c r="F174" s="45"/>
      <c r="G174" s="45"/>
      <c r="H174" s="39"/>
      <c r="I174" s="47" t="n">
        <f>I168+I169+SUM(I171:I173)</f>
      </c>
      <c r="J174" s="47" t="n">
        <f>J168+J169+SUM(J171:J173)</f>
      </c>
      <c r="K174" s="47" t="n">
        <f>K168+K169+SUM(K171:K173)</f>
      </c>
      <c r="L174" s="47" t="n">
        <f>L168+L169+SUM(L171:L173)</f>
      </c>
      <c r="M174" s="47" t="n">
        <f>M168+M169+SUM(M171:M173)</f>
      </c>
      <c r="N174" s="47" t="n">
        <f>N168+N169+SUM(N171:N173)</f>
      </c>
      <c r="O174" s="47" t="n">
        <f>O168+O169+SUM(O171:O173)</f>
      </c>
    </row>
    <row r="175">
      <c r="B175" s="10"/>
      <c r="C175" s="37"/>
      <c r="D175" s="44" t="s">
        <v>112</v>
      </c>
      <c r="E175" s="42"/>
      <c r="F175" s="42"/>
      <c r="G175" s="42"/>
      <c r="H175" s="43"/>
      <c r="I175" s="48" t="n">
        <f>I166+I174</f>
      </c>
      <c r="J175" s="48" t="n">
        <f>J166+J174</f>
      </c>
      <c r="K175" s="48" t="n">
        <f>K166+K174</f>
      </c>
      <c r="L175" s="48" t="n">
        <f>L166+L174</f>
      </c>
      <c r="M175" s="48" t="n">
        <f>M166+M174</f>
      </c>
      <c r="N175" s="48" t="n">
        <f>N166+N174</f>
      </c>
      <c r="O175" s="48" t="n">
        <f>O166+O174</f>
      </c>
    </row>
  </sheetData>
  <mergeCells>
    <mergeCell ref="I10:O10"/>
    <mergeCell ref="B12:H12"/>
    <mergeCell ref="C13:H13"/>
    <mergeCell ref="D14:H14"/>
    <mergeCell ref="E15:H15"/>
    <mergeCell ref="F16:H16"/>
    <mergeCell ref="E17:H17"/>
    <mergeCell ref="E18:H18"/>
    <mergeCell ref="F19:H19"/>
    <mergeCell ref="G20:H20"/>
    <mergeCell ref="G21:H21"/>
    <mergeCell ref="G23:H23"/>
    <mergeCell ref="G24:H24"/>
    <mergeCell ref="F25:H25"/>
    <mergeCell ref="F26:H26"/>
    <mergeCell ref="F27:H27"/>
    <mergeCell ref="E28:H28"/>
    <mergeCell ref="E29:H29"/>
    <mergeCell ref="E30:H30"/>
    <mergeCell ref="E31:H31"/>
    <mergeCell ref="D32:H32"/>
    <mergeCell ref="E33:H33"/>
    <mergeCell ref="E34:H34"/>
    <mergeCell ref="E35:H35"/>
    <mergeCell ref="E36:H36"/>
    <mergeCell ref="E37:H37"/>
    <mergeCell ref="F38:H38"/>
    <mergeCell ref="G39:H39"/>
    <mergeCell ref="G40:H40"/>
    <mergeCell ref="G42:H42"/>
    <mergeCell ref="G43:H43"/>
    <mergeCell ref="F44:H44"/>
    <mergeCell ref="F45:H45"/>
    <mergeCell ref="F46:H46"/>
    <mergeCell ref="E47:H47"/>
    <mergeCell ref="E48:H48"/>
    <mergeCell ref="E49:H49"/>
    <mergeCell ref="E50:H50"/>
    <mergeCell ref="E51:H51"/>
    <mergeCell ref="D52:H52"/>
    <mergeCell ref="C53:H53"/>
    <mergeCell ref="D54:H54"/>
    <mergeCell ref="E55:H55"/>
    <mergeCell ref="F56:H56"/>
    <mergeCell ref="G57:H57"/>
    <mergeCell ref="G58:H58"/>
    <mergeCell ref="G59:H59"/>
    <mergeCell ref="G60:H60"/>
    <mergeCell ref="G61:H61"/>
    <mergeCell ref="F62:H62"/>
    <mergeCell ref="F63:H63"/>
    <mergeCell ref="F64:H64"/>
    <mergeCell ref="F65:H65"/>
    <mergeCell ref="F66:H66"/>
    <mergeCell ref="F67:H67"/>
    <mergeCell ref="E68:H68"/>
    <mergeCell ref="F69:H69"/>
    <mergeCell ref="G70:H70"/>
    <mergeCell ref="G71:H71"/>
    <mergeCell ref="G72:H72"/>
    <mergeCell ref="G73:H73"/>
    <mergeCell ref="G74:H74"/>
    <mergeCell ref="F75:H75"/>
    <mergeCell ref="F76:H76"/>
    <mergeCell ref="F77:H77"/>
    <mergeCell ref="F78:H78"/>
    <mergeCell ref="F79:H79"/>
    <mergeCell ref="F80:H80"/>
    <mergeCell ref="F81:H81"/>
    <mergeCell ref="E82:H82"/>
    <mergeCell ref="D83:H83"/>
    <mergeCell ref="E84:H84"/>
    <mergeCell ref="E85:H85"/>
    <mergeCell ref="F86:H86"/>
    <mergeCell ref="E87:H87"/>
    <mergeCell ref="E88:H88"/>
    <mergeCell ref="E89:H89"/>
    <mergeCell ref="E90:H90"/>
    <mergeCell ref="D91:H91"/>
    <mergeCell ref="I94:O94"/>
    <mergeCell ref="B96:H96"/>
    <mergeCell ref="C97:H97"/>
    <mergeCell ref="D98:H98"/>
    <mergeCell ref="E99:H99"/>
    <mergeCell ref="F100:H100"/>
    <mergeCell ref="E101:H101"/>
    <mergeCell ref="E102:H102"/>
    <mergeCell ref="F103:H103"/>
    <mergeCell ref="G104:H104"/>
    <mergeCell ref="G105:H105"/>
    <mergeCell ref="G107:H107"/>
    <mergeCell ref="G108:H108"/>
    <mergeCell ref="F109:H109"/>
    <mergeCell ref="F110:H110"/>
    <mergeCell ref="F111:H111"/>
    <mergeCell ref="E112:H112"/>
    <mergeCell ref="E113:H113"/>
    <mergeCell ref="E114:H114"/>
    <mergeCell ref="E115:H115"/>
    <mergeCell ref="D116:H116"/>
    <mergeCell ref="E117:H117"/>
    <mergeCell ref="E118:H118"/>
    <mergeCell ref="E119:H119"/>
    <mergeCell ref="E120:H120"/>
    <mergeCell ref="E121:H121"/>
    <mergeCell ref="F122:H122"/>
    <mergeCell ref="G123:H123"/>
    <mergeCell ref="G124:H124"/>
    <mergeCell ref="G126:H126"/>
    <mergeCell ref="G127:H127"/>
    <mergeCell ref="F128:H128"/>
    <mergeCell ref="F129:H129"/>
    <mergeCell ref="F130:H130"/>
    <mergeCell ref="E131:H131"/>
    <mergeCell ref="E132:H132"/>
    <mergeCell ref="E133:H133"/>
    <mergeCell ref="E134:H134"/>
    <mergeCell ref="E135:H135"/>
    <mergeCell ref="D136:H136"/>
    <mergeCell ref="C137:H137"/>
    <mergeCell ref="D138:H138"/>
    <mergeCell ref="E139:H139"/>
    <mergeCell ref="F140:H140"/>
    <mergeCell ref="G141:H141"/>
    <mergeCell ref="G142:H142"/>
    <mergeCell ref="G143:H143"/>
    <mergeCell ref="G144:H144"/>
    <mergeCell ref="G145:H145"/>
    <mergeCell ref="F146:H146"/>
    <mergeCell ref="F147:H147"/>
    <mergeCell ref="F148:H148"/>
    <mergeCell ref="F149:H149"/>
    <mergeCell ref="F150:H150"/>
    <mergeCell ref="F151:H151"/>
    <mergeCell ref="E152:H152"/>
    <mergeCell ref="F153:H153"/>
    <mergeCell ref="G154:H154"/>
    <mergeCell ref="G155:H155"/>
    <mergeCell ref="G156:H156"/>
    <mergeCell ref="G157:H157"/>
    <mergeCell ref="G158:H158"/>
    <mergeCell ref="F159:H159"/>
    <mergeCell ref="F160:H160"/>
    <mergeCell ref="F161:H161"/>
    <mergeCell ref="F162:H162"/>
    <mergeCell ref="F163:H163"/>
    <mergeCell ref="F164:H164"/>
    <mergeCell ref="F165:H165"/>
    <mergeCell ref="E166:H166"/>
    <mergeCell ref="D167:H167"/>
    <mergeCell ref="E168:H168"/>
    <mergeCell ref="E169:H169"/>
    <mergeCell ref="F170:H170"/>
    <mergeCell ref="E171:H171"/>
    <mergeCell ref="E172:H172"/>
    <mergeCell ref="E173:H173"/>
    <mergeCell ref="E174:H174"/>
    <mergeCell ref="D175:H175"/>
  </mergeCells>
  <hyperlinks>
    <hyperlink location="'Indice'!A1" ref="B2"/>
  </hyperlinks>
  <pageMargins bottom="0.75" footer="0.3" header="0.3" left="0.7" right="0.7" top="0.75"/>
</worksheet>
</file>

<file path=xl/worksheets/sheet5.xml><?xml version="1.0" encoding="utf-8"?>
<worksheet xmlns="http://schemas.openxmlformats.org/spreadsheetml/2006/main">
  <dimension ref="B2:L45"/>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114</v>
      </c>
    </row>
    <row r="6">
      <c r="B6" t="s" s="1">
        <v>8</v>
      </c>
      <c r="C6" t="s">
        <v>9</v>
      </c>
    </row>
    <row r="7">
      <c r="B7" t="s" s="1">
        <v>10</v>
      </c>
      <c r="C7" t="s">
        <v>9</v>
      </c>
    </row>
    <row r="9">
      <c r="B9" t="s" s="1">
        <v>11</v>
      </c>
      <c r="C9" t="s">
        <v>12</v>
      </c>
    </row>
    <row r="10">
      <c r="E10" t="s" s="4">
        <v>115</v>
      </c>
      <c r="F10" s="24"/>
      <c r="G10" s="24"/>
      <c r="H10" s="24"/>
      <c r="I10" s="24"/>
      <c r="J10" s="24"/>
      <c r="K10" s="25"/>
    </row>
    <row r="11">
      <c r="E11" t="s" s="29">
        <v>27</v>
      </c>
      <c r="F11" t="s" s="6">
        <v>28</v>
      </c>
      <c r="G11" t="s" s="29">
        <v>29</v>
      </c>
      <c r="H11" t="s" s="6">
        <v>30</v>
      </c>
      <c r="I11" t="s" s="29">
        <v>31</v>
      </c>
      <c r="J11" t="s" s="6">
        <v>32</v>
      </c>
      <c r="K11" s="31"/>
    </row>
    <row r="12">
      <c r="B12" s="7" t="s">
        <v>116</v>
      </c>
      <c r="C12" s="32"/>
      <c r="D12" s="8"/>
      <c r="E12" s="18"/>
      <c r="F12" s="18"/>
      <c r="G12" s="18"/>
      <c r="H12" s="18"/>
      <c r="I12" s="18"/>
      <c r="J12" s="18"/>
      <c r="K12" s="18"/>
    </row>
    <row r="13">
      <c r="B13" s="9"/>
      <c r="C13" s="33" t="s">
        <v>117</v>
      </c>
      <c r="D13" s="35"/>
      <c r="E13" s="17"/>
      <c r="F13" s="17"/>
      <c r="G13" s="17"/>
      <c r="H13" s="17"/>
      <c r="I13" s="17"/>
      <c r="J13" s="17"/>
      <c r="K13" s="17"/>
    </row>
    <row r="14">
      <c r="B14" s="9"/>
      <c r="C14" s="36"/>
      <c r="D14" s="14" t="s">
        <v>118</v>
      </c>
      <c r="E14" s="47" t="n"/>
      <c r="F14" s="47" t="n"/>
      <c r="G14" s="47" t="n"/>
      <c r="H14" s="47" t="n"/>
      <c r="I14" s="47" t="n"/>
      <c r="J14" s="47" t="n"/>
      <c r="K14" s="47" t="n"/>
    </row>
    <row r="15">
      <c r="B15" s="9"/>
      <c r="C15" s="36"/>
      <c r="D15" s="13" t="s">
        <v>119</v>
      </c>
      <c r="E15" s="46" t="n"/>
      <c r="F15" s="46" t="n"/>
      <c r="G15" s="46" t="n"/>
      <c r="H15" s="46" t="n"/>
      <c r="I15" s="46" t="n"/>
      <c r="J15" s="46" t="n"/>
      <c r="K15" s="46" t="n"/>
    </row>
    <row r="16">
      <c r="B16" s="9"/>
      <c r="C16" s="36"/>
      <c r="D16" s="51" t="s">
        <v>120</v>
      </c>
      <c r="E16" s="47" t="n">
        <f>-E15+E14</f>
      </c>
      <c r="F16" s="47" t="n">
        <f>-F15+F14</f>
      </c>
      <c r="G16" s="47" t="n">
        <f>-G15+G14</f>
      </c>
      <c r="H16" s="47" t="n">
        <f>-H15+H14</f>
      </c>
      <c r="I16" s="47" t="n">
        <f>-I15+I14</f>
      </c>
      <c r="J16" s="47" t="n">
        <f>-J15+J14</f>
      </c>
      <c r="K16" s="47" t="n">
        <f>-K15+K14</f>
      </c>
    </row>
    <row r="17">
      <c r="B17" s="9"/>
      <c r="C17" s="36"/>
      <c r="D17" s="13" t="s">
        <v>121</v>
      </c>
      <c r="E17" s="46" t="n"/>
      <c r="F17" s="46" t="n"/>
      <c r="G17" s="46" t="n"/>
      <c r="H17" s="46" t="n"/>
      <c r="I17" s="46" t="n"/>
      <c r="J17" s="46" t="n"/>
      <c r="K17" s="46" t="n"/>
    </row>
    <row r="18">
      <c r="B18" s="9"/>
      <c r="C18" s="36"/>
      <c r="D18" s="14" t="s">
        <v>122</v>
      </c>
      <c r="E18" s="47" t="n"/>
      <c r="F18" s="47" t="n"/>
      <c r="G18" s="47" t="n"/>
      <c r="H18" s="47" t="n"/>
      <c r="I18" s="47" t="n"/>
      <c r="J18" s="47" t="n"/>
      <c r="K18" s="47" t="n"/>
    </row>
    <row r="19">
      <c r="B19" s="9"/>
      <c r="C19" s="36"/>
      <c r="D19" s="13" t="s">
        <v>123</v>
      </c>
      <c r="E19" s="46" t="n"/>
      <c r="F19" s="46" t="n"/>
      <c r="G19" s="46" t="n"/>
      <c r="H19" s="46" t="n"/>
      <c r="I19" s="46" t="n"/>
      <c r="J19" s="46" t="n"/>
      <c r="K19" s="46" t="n"/>
    </row>
    <row r="20">
      <c r="B20" s="9"/>
      <c r="C20" s="36"/>
      <c r="D20" s="14" t="s">
        <v>124</v>
      </c>
      <c r="E20" s="47" t="n"/>
      <c r="F20" s="47" t="n"/>
      <c r="G20" s="47" t="n"/>
      <c r="H20" s="47" t="n"/>
      <c r="I20" s="47" t="n"/>
      <c r="J20" s="47" t="n"/>
      <c r="K20" s="47" t="n"/>
    </row>
    <row r="21">
      <c r="B21" s="9"/>
      <c r="C21" s="36"/>
      <c r="D21" s="13" t="s">
        <v>125</v>
      </c>
      <c r="E21" s="46" t="n"/>
      <c r="F21" s="46" t="n"/>
      <c r="G21" s="46" t="n"/>
      <c r="H21" s="46" t="n"/>
      <c r="I21" s="46" t="n"/>
      <c r="J21" s="46" t="n"/>
      <c r="K21" s="46" t="n"/>
    </row>
    <row r="22">
      <c r="B22" s="9"/>
      <c r="C22" s="36"/>
      <c r="D22" s="14" t="s">
        <v>126</v>
      </c>
      <c r="E22" s="47" t="n"/>
      <c r="F22" s="47" t="n"/>
      <c r="G22" s="47" t="n"/>
      <c r="H22" s="47" t="n"/>
      <c r="I22" s="47" t="n"/>
      <c r="J22" s="47" t="n"/>
      <c r="K22" s="47" t="n"/>
    </row>
    <row r="23">
      <c r="B23" s="9"/>
      <c r="C23" s="36"/>
      <c r="D23" s="13" t="s">
        <v>127</v>
      </c>
      <c r="E23" s="46" t="n">
        <f>E16-E17-E18+E19-E20+E21+E22</f>
      </c>
      <c r="F23" s="46" t="n">
        <f>F16-F17-F18+F19-F20+F21+F22</f>
      </c>
      <c r="G23" s="46" t="n">
        <f>G16-G17-G18+G19-G20+G21+G22</f>
      </c>
      <c r="H23" s="46" t="n">
        <f>H16-H17-H18+H19-H20+H21+H22</f>
      </c>
      <c r="I23" s="46" t="n">
        <f>I16-I17-I18+I19-I20+I21+I22</f>
      </c>
      <c r="J23" s="46" t="n">
        <f>J16-J17-J18+J19-J20+J21+J22</f>
      </c>
      <c r="K23" s="46" t="n">
        <f>K16-K17-K18+K19-K20+K21+K22</f>
      </c>
    </row>
    <row r="24">
      <c r="B24" s="9"/>
      <c r="C24" s="36"/>
      <c r="D24" s="14" t="s">
        <v>128</v>
      </c>
      <c r="E24" s="47" t="n"/>
      <c r="F24" s="47" t="n"/>
      <c r="G24" s="47" t="n"/>
      <c r="H24" s="47" t="n"/>
      <c r="I24" s="47" t="n"/>
      <c r="J24" s="47" t="n"/>
      <c r="K24" s="47" t="n"/>
    </row>
    <row r="25">
      <c r="B25" s="9"/>
      <c r="C25" s="36"/>
      <c r="D25" s="13" t="s">
        <v>129</v>
      </c>
      <c r="E25" s="46" t="n"/>
      <c r="F25" s="46" t="n"/>
      <c r="G25" s="46" t="n"/>
      <c r="H25" s="46" t="n"/>
      <c r="I25" s="46" t="n"/>
      <c r="J25" s="46" t="n"/>
      <c r="K25" s="46" t="n"/>
    </row>
    <row r="26">
      <c r="B26" s="10"/>
      <c r="C26" s="37"/>
      <c r="D26" s="51" t="s">
        <v>130</v>
      </c>
      <c r="E26" s="52" t="n">
        <f>E23-E24-E25</f>
      </c>
      <c r="F26" s="52" t="n">
        <f>F23-F24-F25</f>
      </c>
      <c r="G26" s="52" t="n">
        <f>G23-G24-G25</f>
      </c>
      <c r="H26" s="52" t="n">
        <f>H23-H24-H25</f>
      </c>
      <c r="I26" s="52" t="n">
        <f>I23-I24-I25</f>
      </c>
      <c r="J26" s="52" t="n">
        <f>J23-J24-J25</f>
      </c>
      <c r="K26" s="52" t="n">
        <f>K23-K24-K25</f>
      </c>
    </row>
    <row r="28">
      <c r="B28" t="s" s="1">
        <v>11</v>
      </c>
      <c r="C28" t="s">
        <v>113</v>
      </c>
    </row>
    <row r="29">
      <c r="E29" t="s" s="4">
        <v>115</v>
      </c>
      <c r="F29" s="24"/>
      <c r="G29" s="24"/>
      <c r="H29" s="24"/>
      <c r="I29" s="24"/>
      <c r="J29" s="24"/>
      <c r="K29" s="25"/>
    </row>
    <row r="30">
      <c r="E30" t="s" s="29">
        <v>27</v>
      </c>
      <c r="F30" t="s" s="6">
        <v>28</v>
      </c>
      <c r="G30" t="s" s="29">
        <v>29</v>
      </c>
      <c r="H30" t="s" s="6">
        <v>30</v>
      </c>
      <c r="I30" t="s" s="29">
        <v>31</v>
      </c>
      <c r="J30" t="s" s="6">
        <v>32</v>
      </c>
      <c r="K30" s="31"/>
    </row>
    <row r="31">
      <c r="B31" s="7" t="s">
        <v>116</v>
      </c>
      <c r="C31" s="32"/>
      <c r="D31" s="8"/>
      <c r="E31" s="17"/>
      <c r="F31" s="17"/>
      <c r="G31" s="17"/>
      <c r="H31" s="17"/>
      <c r="I31" s="17"/>
      <c r="J31" s="17"/>
      <c r="K31" s="17"/>
    </row>
    <row r="32">
      <c r="B32" s="9"/>
      <c r="C32" s="33" t="s">
        <v>117</v>
      </c>
      <c r="D32" s="35"/>
      <c r="E32" s="18"/>
      <c r="F32" s="18"/>
      <c r="G32" s="18"/>
      <c r="H32" s="18"/>
      <c r="I32" s="18"/>
      <c r="J32" s="18"/>
      <c r="K32" s="18"/>
    </row>
    <row r="33">
      <c r="B33" s="9"/>
      <c r="C33" s="36"/>
      <c r="D33" s="14" t="s">
        <v>118</v>
      </c>
      <c r="E33" s="46" t="n"/>
      <c r="F33" s="46" t="n"/>
      <c r="G33" s="46" t="n"/>
      <c r="H33" s="46" t="n"/>
      <c r="I33" s="46" t="n"/>
      <c r="J33" s="46" t="n"/>
      <c r="K33" s="46" t="n"/>
    </row>
    <row r="34">
      <c r="B34" s="9"/>
      <c r="C34" s="36"/>
      <c r="D34" s="13" t="s">
        <v>119</v>
      </c>
      <c r="E34" s="47" t="n"/>
      <c r="F34" s="47" t="n"/>
      <c r="G34" s="47" t="n"/>
      <c r="H34" s="47" t="n"/>
      <c r="I34" s="47" t="n"/>
      <c r="J34" s="47" t="n"/>
      <c r="K34" s="47" t="n"/>
    </row>
    <row r="35">
      <c r="B35" s="9"/>
      <c r="C35" s="36"/>
      <c r="D35" s="51" t="s">
        <v>120</v>
      </c>
      <c r="E35" s="46" t="n">
        <f>-E34+E33</f>
      </c>
      <c r="F35" s="46" t="n">
        <f>-F34+F33</f>
      </c>
      <c r="G35" s="46" t="n">
        <f>-G34+G33</f>
      </c>
      <c r="H35" s="46" t="n">
        <f>-H34+H33</f>
      </c>
      <c r="I35" s="46" t="n">
        <f>-I34+I33</f>
      </c>
      <c r="J35" s="46" t="n">
        <f>-J34+J33</f>
      </c>
      <c r="K35" s="46" t="n">
        <f>-K34+K33</f>
      </c>
    </row>
    <row r="36">
      <c r="B36" s="9"/>
      <c r="C36" s="36"/>
      <c r="D36" s="13" t="s">
        <v>121</v>
      </c>
      <c r="E36" s="47" t="n"/>
      <c r="F36" s="47" t="n"/>
      <c r="G36" s="47" t="n"/>
      <c r="H36" s="47" t="n"/>
      <c r="I36" s="47" t="n"/>
      <c r="J36" s="47" t="n"/>
      <c r="K36" s="47" t="n"/>
    </row>
    <row r="37">
      <c r="B37" s="9"/>
      <c r="C37" s="36"/>
      <c r="D37" s="14" t="s">
        <v>122</v>
      </c>
      <c r="E37" s="46" t="n"/>
      <c r="F37" s="46" t="n"/>
      <c r="G37" s="46" t="n"/>
      <c r="H37" s="46" t="n"/>
      <c r="I37" s="46" t="n"/>
      <c r="J37" s="46" t="n"/>
      <c r="K37" s="46" t="n"/>
    </row>
    <row r="38">
      <c r="B38" s="9"/>
      <c r="C38" s="36"/>
      <c r="D38" s="13" t="s">
        <v>123</v>
      </c>
      <c r="E38" s="47" t="n"/>
      <c r="F38" s="47" t="n"/>
      <c r="G38" s="47" t="n"/>
      <c r="H38" s="47" t="n"/>
      <c r="I38" s="47" t="n"/>
      <c r="J38" s="47" t="n"/>
      <c r="K38" s="47" t="n"/>
    </row>
    <row r="39">
      <c r="B39" s="9"/>
      <c r="C39" s="36"/>
      <c r="D39" s="14" t="s">
        <v>124</v>
      </c>
      <c r="E39" s="46" t="n"/>
      <c r="F39" s="46" t="n"/>
      <c r="G39" s="46" t="n"/>
      <c r="H39" s="46" t="n"/>
      <c r="I39" s="46" t="n"/>
      <c r="J39" s="46" t="n"/>
      <c r="K39" s="46" t="n"/>
    </row>
    <row r="40">
      <c r="B40" s="9"/>
      <c r="C40" s="36"/>
      <c r="D40" s="13" t="s">
        <v>125</v>
      </c>
      <c r="E40" s="47" t="n"/>
      <c r="F40" s="47" t="n"/>
      <c r="G40" s="47" t="n"/>
      <c r="H40" s="47" t="n"/>
      <c r="I40" s="47" t="n"/>
      <c r="J40" s="47" t="n"/>
      <c r="K40" s="47" t="n"/>
    </row>
    <row r="41">
      <c r="B41" s="9"/>
      <c r="C41" s="36"/>
      <c r="D41" s="14" t="s">
        <v>126</v>
      </c>
      <c r="E41" s="46" t="n"/>
      <c r="F41" s="46" t="n"/>
      <c r="G41" s="46" t="n"/>
      <c r="H41" s="46" t="n"/>
      <c r="I41" s="46" t="n"/>
      <c r="J41" s="46" t="n"/>
      <c r="K41" s="46" t="n"/>
    </row>
    <row r="42">
      <c r="B42" s="9"/>
      <c r="C42" s="36"/>
      <c r="D42" s="13" t="s">
        <v>127</v>
      </c>
      <c r="E42" s="47" t="n">
        <f>E35-E36-E37+E38-E39+E40+E41</f>
      </c>
      <c r="F42" s="47" t="n">
        <f>F35-F36-F37+F38-F39+F40+F41</f>
      </c>
      <c r="G42" s="47" t="n">
        <f>G35-G36-G37+G38-G39+G40+G41</f>
      </c>
      <c r="H42" s="47" t="n">
        <f>H35-H36-H37+H38-H39+H40+H41</f>
      </c>
      <c r="I42" s="47" t="n">
        <f>I35-I36-I37+I38-I39+I40+I41</f>
      </c>
      <c r="J42" s="47" t="n">
        <f>J35-J36-J37+J38-J39+J40+J41</f>
      </c>
      <c r="K42" s="47" t="n">
        <f>K35-K36-K37+K38-K39+K40+K41</f>
      </c>
    </row>
    <row r="43">
      <c r="B43" s="9"/>
      <c r="C43" s="36"/>
      <c r="D43" s="14" t="s">
        <v>128</v>
      </c>
      <c r="E43" s="46" t="n"/>
      <c r="F43" s="46" t="n"/>
      <c r="G43" s="46" t="n"/>
      <c r="H43" s="46" t="n"/>
      <c r="I43" s="46" t="n"/>
      <c r="J43" s="46" t="n"/>
      <c r="K43" s="46" t="n"/>
    </row>
    <row r="44">
      <c r="B44" s="9"/>
      <c r="C44" s="36"/>
      <c r="D44" s="13" t="s">
        <v>129</v>
      </c>
      <c r="E44" s="47" t="n"/>
      <c r="F44" s="47" t="n"/>
      <c r="G44" s="47" t="n"/>
      <c r="H44" s="47" t="n"/>
      <c r="I44" s="47" t="n"/>
      <c r="J44" s="47" t="n"/>
      <c r="K44" s="47" t="n"/>
    </row>
    <row r="45">
      <c r="B45" s="10"/>
      <c r="C45" s="37"/>
      <c r="D45" s="51" t="s">
        <v>130</v>
      </c>
      <c r="E45" s="48" t="n">
        <f>E42-E43-E44</f>
      </c>
      <c r="F45" s="48" t="n">
        <f>F42-F43-F44</f>
      </c>
      <c r="G45" s="48" t="n">
        <f>G42-G43-G44</f>
      </c>
      <c r="H45" s="48" t="n">
        <f>H42-H43-H44</f>
      </c>
      <c r="I45" s="48" t="n">
        <f>I42-I43-I44</f>
      </c>
      <c r="J45" s="48" t="n">
        <f>J42-J43-J44</f>
      </c>
      <c r="K45" s="48" t="n">
        <f>K42-K43-K44</f>
      </c>
    </row>
  </sheetData>
  <mergeCells>
    <mergeCell ref="E10:K10"/>
    <mergeCell ref="B12:D12"/>
    <mergeCell ref="C13:D13"/>
    <mergeCell ref="E29:K29"/>
    <mergeCell ref="B31:D31"/>
    <mergeCell ref="C32:D32"/>
  </mergeCells>
  <hyperlinks>
    <hyperlink location="'Indice'!A1" ref="B2"/>
  </hyperlinks>
  <pageMargins bottom="0.75" footer="0.3" header="0.3" left="0.7" right="0.7" top="0.75"/>
</worksheet>
</file>

<file path=xl/worksheets/sheet6.xml><?xml version="1.0" encoding="utf-8"?>
<worksheet xmlns="http://schemas.openxmlformats.org/spreadsheetml/2006/main">
  <dimension ref="B2:G77"/>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s>
  <sheetData>
    <row r="2">
      <c r="B2" t="s" s="2">
        <v>1</v>
      </c>
    </row>
    <row r="3">
      <c r="B3" t="s" s="1">
        <v>3</v>
      </c>
      <c r="C3" t="s">
        <v>4</v>
      </c>
    </row>
    <row r="4">
      <c r="B4" s="1" t="s">
        <v>5</v>
      </c>
      <c r="C4" t="s">
        <v>6</v>
      </c>
    </row>
    <row r="5">
      <c r="B5" t="s" s="1">
        <v>7</v>
      </c>
      <c r="C5" t="s">
        <v>131</v>
      </c>
    </row>
    <row r="6">
      <c r="B6" t="s" s="1">
        <v>8</v>
      </c>
      <c r="C6" t="s">
        <v>9</v>
      </c>
    </row>
    <row r="7">
      <c r="B7" t="s" s="1">
        <v>10</v>
      </c>
      <c r="C7" t="s">
        <v>9</v>
      </c>
    </row>
    <row r="8">
      <c r="B8" t="s" s="1">
        <v>11</v>
      </c>
      <c r="C8" t="s">
        <v>9</v>
      </c>
    </row>
    <row r="10">
      <c r="F10" t="s" s="6">
        <v>12</v>
      </c>
    </row>
    <row r="11">
      <c r="B11" s="7" t="s">
        <v>132</v>
      </c>
      <c r="C11" s="32"/>
      <c r="D11" s="32"/>
      <c r="E11" s="8"/>
      <c r="F11" s="17"/>
    </row>
    <row r="12">
      <c r="B12" s="9"/>
      <c r="C12" s="33" t="s">
        <v>133</v>
      </c>
      <c r="D12" s="34"/>
      <c r="E12" s="35"/>
      <c r="F12" s="18"/>
    </row>
    <row r="13">
      <c r="B13" s="9"/>
      <c r="C13" s="36"/>
      <c r="D13" s="7" t="s">
        <v>134</v>
      </c>
      <c r="E13" s="8"/>
      <c r="F13" s="17"/>
    </row>
    <row r="14">
      <c r="B14" s="9"/>
      <c r="C14" s="36"/>
      <c r="D14" s="9"/>
      <c r="E14" s="13" t="s">
        <v>135</v>
      </c>
      <c r="F14" s="47" t="n"/>
    </row>
    <row r="15">
      <c r="B15" s="9"/>
      <c r="C15" s="36"/>
      <c r="D15" s="9"/>
      <c r="E15" s="14" t="s">
        <v>136</v>
      </c>
      <c r="F15" s="46" t="n"/>
    </row>
    <row r="16">
      <c r="B16" s="9"/>
      <c r="C16" s="36"/>
      <c r="D16" s="10"/>
      <c r="E16" s="53" t="s">
        <v>137</v>
      </c>
      <c r="F16" s="47" t="n">
        <f>F14+F15</f>
      </c>
    </row>
    <row r="17">
      <c r="B17" s="9"/>
      <c r="C17" s="36"/>
      <c r="D17" s="10" t="s">
        <v>138</v>
      </c>
      <c r="E17" s="8"/>
      <c r="F17" s="46" t="n"/>
    </row>
    <row r="18">
      <c r="B18" s="9"/>
      <c r="C18" s="36"/>
      <c r="D18" s="37" t="s">
        <v>139</v>
      </c>
      <c r="E18" s="35"/>
      <c r="F18" s="47" t="n"/>
    </row>
    <row r="19">
      <c r="B19" s="9"/>
      <c r="C19" s="36"/>
      <c r="D19" s="10" t="s">
        <v>140</v>
      </c>
      <c r="E19" s="8"/>
      <c r="F19" s="46" t="n"/>
    </row>
    <row r="20">
      <c r="B20" s="9"/>
      <c r="C20" s="36"/>
      <c r="D20" s="37" t="s">
        <v>141</v>
      </c>
      <c r="E20" s="35"/>
      <c r="F20" s="47" t="n"/>
    </row>
    <row r="21">
      <c r="B21" s="9"/>
      <c r="C21" s="36"/>
      <c r="D21" s="10" t="s">
        <v>142</v>
      </c>
      <c r="E21" s="8"/>
      <c r="F21" s="46" t="n"/>
    </row>
    <row r="22">
      <c r="B22" s="9"/>
      <c r="C22" s="36"/>
      <c r="D22" s="33" t="s">
        <v>143</v>
      </c>
      <c r="E22" s="35"/>
      <c r="F22" s="18"/>
    </row>
    <row r="23">
      <c r="B23" s="9"/>
      <c r="C23" s="36"/>
      <c r="D23" s="36"/>
      <c r="E23" s="14" t="s">
        <v>144</v>
      </c>
      <c r="F23" s="46" t="n"/>
    </row>
    <row r="24">
      <c r="B24" s="9"/>
      <c r="C24" s="36"/>
      <c r="D24" s="36"/>
      <c r="E24" s="13" t="s">
        <v>145</v>
      </c>
      <c r="F24" s="47" t="n"/>
    </row>
    <row r="25">
      <c r="B25" s="9"/>
      <c r="C25" s="36"/>
      <c r="D25" s="36"/>
      <c r="E25" s="14" t="s">
        <v>146</v>
      </c>
      <c r="F25" s="46" t="n"/>
    </row>
    <row r="26">
      <c r="B26" s="9"/>
      <c r="C26" s="36"/>
      <c r="D26" s="36"/>
      <c r="E26" s="13" t="s">
        <v>147</v>
      </c>
      <c r="F26" s="47" t="n"/>
    </row>
    <row r="27">
      <c r="B27" s="9"/>
      <c r="C27" s="36"/>
      <c r="D27" s="36"/>
      <c r="E27" s="14" t="s">
        <v>148</v>
      </c>
      <c r="F27" s="46" t="n"/>
    </row>
    <row r="28">
      <c r="B28" s="9"/>
      <c r="C28" s="36"/>
      <c r="D28" s="36"/>
      <c r="E28" s="13" t="s">
        <v>149</v>
      </c>
      <c r="F28" s="47" t="n"/>
    </row>
    <row r="29">
      <c r="B29" s="9"/>
      <c r="C29" s="36"/>
      <c r="D29" s="37"/>
      <c r="E29" s="51" t="s">
        <v>150</v>
      </c>
      <c r="F29" s="46" t="n">
        <f>SUM(F23:F28)</f>
      </c>
    </row>
    <row r="30">
      <c r="B30" s="9"/>
      <c r="C30" s="36"/>
      <c r="D30" s="37" t="s">
        <v>151</v>
      </c>
      <c r="E30" s="35"/>
      <c r="F30" s="47" t="n"/>
    </row>
    <row r="31" ht="28.0" customHeight="true">
      <c r="B31" s="9"/>
      <c r="C31" s="36"/>
      <c r="D31" s="40" t="s">
        <v>152</v>
      </c>
      <c r="E31" s="39"/>
      <c r="F31" s="46" t="n">
        <f>SUM(F16:F21)+F29+F30</f>
      </c>
    </row>
    <row r="32">
      <c r="B32" s="9"/>
      <c r="C32" s="36"/>
      <c r="D32" s="37" t="s">
        <v>153</v>
      </c>
      <c r="E32" s="35"/>
      <c r="F32" s="47" t="n"/>
    </row>
    <row r="33">
      <c r="B33" s="9"/>
      <c r="C33" s="36"/>
      <c r="D33" s="10" t="s">
        <v>154</v>
      </c>
      <c r="E33" s="8"/>
      <c r="F33" s="46" t="n"/>
    </row>
    <row r="34">
      <c r="B34" s="9"/>
      <c r="C34" s="37"/>
      <c r="D34" s="44" t="s">
        <v>155</v>
      </c>
      <c r="E34" s="43"/>
      <c r="F34" s="47" t="n">
        <f>F31-F32-F33</f>
      </c>
    </row>
    <row r="35">
      <c r="B35" s="9"/>
      <c r="C35" s="7" t="s">
        <v>156</v>
      </c>
      <c r="D35" s="32"/>
      <c r="E35" s="8"/>
      <c r="F35" s="17"/>
    </row>
    <row r="36">
      <c r="B36" s="9"/>
      <c r="C36" s="9"/>
      <c r="D36" s="33" t="s">
        <v>157</v>
      </c>
      <c r="E36" s="35"/>
      <c r="F36" s="18"/>
    </row>
    <row r="37">
      <c r="B37" s="9"/>
      <c r="C37" s="9"/>
      <c r="D37" s="36"/>
      <c r="E37" s="14" t="s">
        <v>158</v>
      </c>
      <c r="F37" s="46" t="n"/>
    </row>
    <row r="38">
      <c r="B38" s="9"/>
      <c r="C38" s="9"/>
      <c r="D38" s="36"/>
      <c r="E38" s="13" t="s">
        <v>159</v>
      </c>
      <c r="F38" s="47" t="n"/>
    </row>
    <row r="39">
      <c r="B39" s="9"/>
      <c r="C39" s="9"/>
      <c r="D39" s="36"/>
      <c r="E39" s="14" t="s">
        <v>160</v>
      </c>
      <c r="F39" s="46" t="n"/>
    </row>
    <row r="40">
      <c r="B40" s="9"/>
      <c r="C40" s="9"/>
      <c r="D40" s="36"/>
      <c r="E40" s="13" t="s">
        <v>161</v>
      </c>
      <c r="F40" s="47" t="n"/>
    </row>
    <row r="41">
      <c r="B41" s="9"/>
      <c r="C41" s="9"/>
      <c r="D41" s="36"/>
      <c r="E41" s="14" t="s">
        <v>162</v>
      </c>
      <c r="F41" s="46" t="n"/>
    </row>
    <row r="42">
      <c r="B42" s="9"/>
      <c r="C42" s="9"/>
      <c r="D42" s="36"/>
      <c r="E42" s="13" t="s">
        <v>163</v>
      </c>
      <c r="F42" s="47" t="n"/>
    </row>
    <row r="43">
      <c r="B43" s="9"/>
      <c r="C43" s="9"/>
      <c r="D43" s="36"/>
      <c r="E43" s="14" t="s">
        <v>164</v>
      </c>
      <c r="F43" s="46" t="n"/>
    </row>
    <row r="44">
      <c r="B44" s="9"/>
      <c r="C44" s="9"/>
      <c r="D44" s="37"/>
      <c r="E44" s="53" t="s">
        <v>165</v>
      </c>
      <c r="F44" s="47" t="n">
        <f>SUM(F37:F43)</f>
      </c>
    </row>
    <row r="45">
      <c r="B45" s="9"/>
      <c r="C45" s="9"/>
      <c r="D45" s="10" t="s">
        <v>166</v>
      </c>
      <c r="E45" s="8"/>
      <c r="F45" s="46" t="n"/>
    </row>
    <row r="46">
      <c r="B46" s="9"/>
      <c r="C46" s="9"/>
      <c r="D46" s="37" t="s">
        <v>167</v>
      </c>
      <c r="E46" s="35"/>
      <c r="F46" s="47" t="n"/>
    </row>
    <row r="47">
      <c r="B47" s="9"/>
      <c r="C47" s="9"/>
      <c r="D47" s="10" t="s">
        <v>168</v>
      </c>
      <c r="E47" s="8"/>
      <c r="F47" s="46" t="n"/>
    </row>
    <row r="48">
      <c r="B48" s="9"/>
      <c r="C48" s="10"/>
      <c r="D48" s="44" t="s">
        <v>169</v>
      </c>
      <c r="E48" s="43"/>
      <c r="F48" s="47" t="n">
        <f>F44+F45-F46-F47</f>
      </c>
    </row>
    <row r="49">
      <c r="B49" s="9"/>
      <c r="C49" s="7" t="s">
        <v>170</v>
      </c>
      <c r="D49" s="32"/>
      <c r="E49" s="8"/>
      <c r="F49" s="17"/>
    </row>
    <row r="50">
      <c r="B50" s="9"/>
      <c r="C50" s="9"/>
      <c r="D50" s="33" t="s">
        <v>171</v>
      </c>
      <c r="E50" s="35"/>
      <c r="F50" s="18"/>
    </row>
    <row r="51">
      <c r="B51" s="9"/>
      <c r="C51" s="9"/>
      <c r="D51" s="36"/>
      <c r="E51" s="14" t="s">
        <v>172</v>
      </c>
      <c r="F51" s="46" t="n"/>
    </row>
    <row r="52">
      <c r="B52" s="9"/>
      <c r="C52" s="9"/>
      <c r="D52" s="36"/>
      <c r="E52" s="13" t="s">
        <v>173</v>
      </c>
      <c r="F52" s="47" t="n"/>
    </row>
    <row r="53">
      <c r="B53" s="9"/>
      <c r="C53" s="9"/>
      <c r="D53" s="37"/>
      <c r="E53" s="51" t="s">
        <v>174</v>
      </c>
      <c r="F53" s="46" t="n">
        <f>F51+F52</f>
      </c>
    </row>
    <row r="54">
      <c r="B54" s="9"/>
      <c r="C54" s="9"/>
      <c r="D54" s="33" t="s">
        <v>175</v>
      </c>
      <c r="E54" s="35"/>
      <c r="F54" s="18"/>
    </row>
    <row r="55">
      <c r="B55" s="9"/>
      <c r="C55" s="9"/>
      <c r="D55" s="36"/>
      <c r="E55" s="14" t="s">
        <v>176</v>
      </c>
      <c r="F55" s="46" t="n"/>
    </row>
    <row r="56">
      <c r="B56" s="9"/>
      <c r="C56" s="9"/>
      <c r="D56" s="36"/>
      <c r="E56" s="13" t="s">
        <v>177</v>
      </c>
      <c r="F56" s="47" t="n"/>
    </row>
    <row r="57">
      <c r="B57" s="9"/>
      <c r="C57" s="9"/>
      <c r="D57" s="36"/>
      <c r="E57" s="14" t="s">
        <v>178</v>
      </c>
      <c r="F57" s="46" t="n"/>
    </row>
    <row r="58">
      <c r="B58" s="9"/>
      <c r="C58" s="9"/>
      <c r="D58" s="37"/>
      <c r="E58" s="53" t="s">
        <v>179</v>
      </c>
      <c r="F58" s="47" t="n">
        <f>SUM(F55:F57)</f>
      </c>
    </row>
    <row r="59">
      <c r="B59" s="9"/>
      <c r="C59" s="9"/>
      <c r="D59" s="10" t="s">
        <v>180</v>
      </c>
      <c r="E59" s="8"/>
      <c r="F59" s="46" t="n"/>
    </row>
    <row r="60">
      <c r="B60" s="9"/>
      <c r="C60" s="10"/>
      <c r="D60" s="44" t="s">
        <v>181</v>
      </c>
      <c r="E60" s="43"/>
      <c r="F60" s="47" t="n">
        <f>F53+F58+F59</f>
      </c>
    </row>
    <row r="61">
      <c r="B61" s="9"/>
      <c r="C61" s="7" t="s">
        <v>182</v>
      </c>
      <c r="D61" s="32"/>
      <c r="E61" s="8"/>
      <c r="F61" s="17"/>
    </row>
    <row r="62">
      <c r="B62" s="9"/>
      <c r="C62" s="9"/>
      <c r="D62" s="33" t="s">
        <v>183</v>
      </c>
      <c r="E62" s="35"/>
      <c r="F62" s="18"/>
    </row>
    <row r="63">
      <c r="B63" s="9"/>
      <c r="C63" s="9"/>
      <c r="D63" s="36"/>
      <c r="E63" s="14" t="s">
        <v>184</v>
      </c>
      <c r="F63" s="46" t="n"/>
    </row>
    <row r="64">
      <c r="B64" s="9"/>
      <c r="C64" s="9"/>
      <c r="D64" s="36"/>
      <c r="E64" s="13" t="s">
        <v>185</v>
      </c>
      <c r="F64" s="47" t="n"/>
    </row>
    <row r="65">
      <c r="B65" s="9"/>
      <c r="C65" s="9"/>
      <c r="D65" s="37"/>
      <c r="E65" s="51" t="s">
        <v>186</v>
      </c>
      <c r="F65" s="46" t="n">
        <f>F63+F64</f>
      </c>
    </row>
    <row r="66">
      <c r="B66" s="9"/>
      <c r="C66" s="9"/>
      <c r="D66" s="33" t="s">
        <v>187</v>
      </c>
      <c r="E66" s="35"/>
      <c r="F66" s="18"/>
    </row>
    <row r="67">
      <c r="B67" s="9"/>
      <c r="C67" s="9"/>
      <c r="D67" s="36"/>
      <c r="E67" s="14" t="s">
        <v>188</v>
      </c>
      <c r="F67" s="46" t="n"/>
    </row>
    <row r="68">
      <c r="B68" s="9"/>
      <c r="C68" s="9"/>
      <c r="D68" s="36"/>
      <c r="E68" s="13" t="s">
        <v>189</v>
      </c>
      <c r="F68" s="47" t="n"/>
    </row>
    <row r="69">
      <c r="B69" s="9"/>
      <c r="C69" s="9"/>
      <c r="D69" s="37"/>
      <c r="E69" s="51" t="s">
        <v>190</v>
      </c>
      <c r="F69" s="46" t="n">
        <f>F67+F68</f>
      </c>
    </row>
    <row r="70" ht="28.0" customHeight="true">
      <c r="B70" s="9"/>
      <c r="C70" s="9"/>
      <c r="D70" s="33" t="s">
        <v>191</v>
      </c>
      <c r="E70" s="35"/>
      <c r="F70" s="18"/>
    </row>
    <row r="71">
      <c r="B71" s="9"/>
      <c r="C71" s="9"/>
      <c r="D71" s="36"/>
      <c r="E71" s="14" t="s">
        <v>192</v>
      </c>
      <c r="F71" s="46" t="n"/>
    </row>
    <row r="72">
      <c r="B72" s="9"/>
      <c r="C72" s="9"/>
      <c r="D72" s="36"/>
      <c r="E72" s="13" t="s">
        <v>193</v>
      </c>
      <c r="F72" s="47" t="n"/>
    </row>
    <row r="73">
      <c r="B73" s="9"/>
      <c r="C73" s="9"/>
      <c r="D73" s="37"/>
      <c r="E73" s="51" t="s">
        <v>194</v>
      </c>
      <c r="F73" s="46" t="n">
        <f>F71+F72</f>
      </c>
    </row>
    <row r="74">
      <c r="B74" s="9"/>
      <c r="C74" s="9"/>
      <c r="D74" s="33" t="s">
        <v>195</v>
      </c>
      <c r="E74" s="35"/>
      <c r="F74" s="18"/>
    </row>
    <row r="75">
      <c r="B75" s="9"/>
      <c r="C75" s="9"/>
      <c r="D75" s="36"/>
      <c r="E75" s="14" t="s">
        <v>100</v>
      </c>
      <c r="F75" s="46" t="n">
        <f>Hoja2!O79</f>
      </c>
    </row>
    <row r="76">
      <c r="B76" s="9"/>
      <c r="C76" s="9"/>
      <c r="D76" s="36"/>
      <c r="E76" s="13" t="s">
        <v>86</v>
      </c>
      <c r="F76" s="47" t="n">
        <f>Hoja2!O65</f>
      </c>
    </row>
    <row r="77">
      <c r="B77" s="10"/>
      <c r="C77" s="10"/>
      <c r="D77" s="37"/>
      <c r="E77" s="51" t="s">
        <v>196</v>
      </c>
      <c r="F77" s="48" t="n">
        <f>F75+F76</f>
      </c>
    </row>
  </sheetData>
  <mergeCells>
    <mergeCell ref="B11:E11"/>
    <mergeCell ref="C12:E12"/>
    <mergeCell ref="D13:E13"/>
    <mergeCell ref="D17:E17"/>
    <mergeCell ref="D18:E18"/>
    <mergeCell ref="D19:E19"/>
    <mergeCell ref="D20:E20"/>
    <mergeCell ref="D21:E21"/>
    <mergeCell ref="D22:E22"/>
    <mergeCell ref="D30:E30"/>
    <mergeCell ref="D31:E31"/>
    <mergeCell ref="D32:E32"/>
    <mergeCell ref="D33:E33"/>
    <mergeCell ref="D34:E34"/>
    <mergeCell ref="C35:E35"/>
    <mergeCell ref="D36:E36"/>
    <mergeCell ref="D45:E45"/>
    <mergeCell ref="D46:E46"/>
    <mergeCell ref="D47:E47"/>
    <mergeCell ref="D48:E48"/>
    <mergeCell ref="C49:E49"/>
    <mergeCell ref="D50:E50"/>
    <mergeCell ref="D54:E54"/>
    <mergeCell ref="D59:E59"/>
    <mergeCell ref="D60:E60"/>
    <mergeCell ref="C61:E61"/>
    <mergeCell ref="D62:E62"/>
    <mergeCell ref="D66:E66"/>
    <mergeCell ref="D70:E70"/>
    <mergeCell ref="D74:E74"/>
  </mergeCells>
  <hyperlinks>
    <hyperlink location="'Indice'!A1" ref="B2"/>
  </hyperlinks>
  <pageMargins bottom="0.75" footer="0.3" header="0.3" left="0.7" right="0.7" top="0.75"/>
</worksheet>
</file>

<file path=xl/worksheets/sheet7.xml><?xml version="1.0" encoding="utf-8"?>
<worksheet xmlns="http://schemas.openxmlformats.org/spreadsheetml/2006/main">
  <dimension ref="B2:E17"/>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197</v>
      </c>
    </row>
    <row r="6">
      <c r="B6" t="s" s="1">
        <v>8</v>
      </c>
      <c r="C6" t="s">
        <v>9</v>
      </c>
    </row>
    <row r="7">
      <c r="B7" t="s" s="1">
        <v>10</v>
      </c>
      <c r="C7" t="s">
        <v>9</v>
      </c>
    </row>
    <row r="8">
      <c r="B8" t="s" s="1">
        <v>11</v>
      </c>
      <c r="C8" t="s">
        <v>9</v>
      </c>
    </row>
    <row r="10">
      <c r="D10" t="s" s="6">
        <v>12</v>
      </c>
    </row>
    <row r="11" ht="28.0" customHeight="true">
      <c r="B11" s="7" t="s">
        <v>198</v>
      </c>
      <c r="C11" s="8"/>
      <c r="D11" s="17"/>
    </row>
    <row r="12">
      <c r="B12" s="9"/>
      <c r="C12" s="13" t="s">
        <v>199</v>
      </c>
      <c r="D12" s="15"/>
    </row>
    <row r="13">
      <c r="B13" s="9"/>
      <c r="C13" s="14" t="s">
        <v>200</v>
      </c>
      <c r="D13" s="16"/>
    </row>
    <row r="14">
      <c r="B14" s="9"/>
      <c r="C14" s="13" t="s">
        <v>201</v>
      </c>
      <c r="D14" s="15"/>
    </row>
    <row r="15">
      <c r="B15" s="9"/>
      <c r="C15" s="14" t="s">
        <v>202</v>
      </c>
      <c r="D15" s="16"/>
    </row>
    <row r="16">
      <c r="B16" s="9"/>
      <c r="C16" s="13" t="s">
        <v>203</v>
      </c>
      <c r="D16" s="15"/>
    </row>
    <row r="17">
      <c r="B17" s="10"/>
      <c r="C17" s="14" t="s">
        <v>204</v>
      </c>
      <c r="D17" s="54"/>
    </row>
  </sheetData>
  <mergeCells>
    <mergeCell ref="B11:C11"/>
  </mergeCells>
  <hyperlinks>
    <hyperlink location="'Indice'!A1" ref="B2"/>
  </hyperlinks>
  <pageMargins bottom="0.75" footer="0.3" header="0.3" left="0.7" right="0.7" top="0.75"/>
</worksheet>
</file>

<file path=xl/worksheets/sheet8.xml><?xml version="1.0" encoding="utf-8"?>
<worksheet xmlns="http://schemas.openxmlformats.org/spreadsheetml/2006/main">
  <dimension ref="B2:F29"/>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205</v>
      </c>
    </row>
    <row r="6">
      <c r="B6" t="s" s="1">
        <v>8</v>
      </c>
      <c r="C6" t="s">
        <v>9</v>
      </c>
    </row>
    <row r="7">
      <c r="B7" t="s" s="1">
        <v>10</v>
      </c>
      <c r="C7" t="s">
        <v>9</v>
      </c>
    </row>
    <row r="8">
      <c r="B8" t="s" s="1">
        <v>11</v>
      </c>
      <c r="C8" t="s">
        <v>9</v>
      </c>
    </row>
    <row r="10">
      <c r="E10" t="s" s="6">
        <v>12</v>
      </c>
    </row>
    <row r="11" ht="28.0" customHeight="true">
      <c r="B11" s="7" t="s">
        <v>206</v>
      </c>
      <c r="C11" s="32"/>
      <c r="D11" s="8"/>
      <c r="E11" s="16"/>
    </row>
    <row r="12">
      <c r="B12" s="9"/>
      <c r="C12" s="37" t="s">
        <v>14</v>
      </c>
      <c r="D12" s="35"/>
      <c r="E12" s="15"/>
    </row>
    <row r="13">
      <c r="B13" s="9"/>
      <c r="C13" s="10" t="s">
        <v>207</v>
      </c>
      <c r="D13" s="8"/>
      <c r="E13" s="16"/>
    </row>
    <row r="14">
      <c r="B14" s="9"/>
      <c r="C14" s="37" t="s">
        <v>208</v>
      </c>
      <c r="D14" s="35"/>
      <c r="E14" s="15"/>
    </row>
    <row r="15">
      <c r="B15" s="9"/>
      <c r="C15" s="10" t="s">
        <v>209</v>
      </c>
      <c r="D15" s="8"/>
      <c r="E15" s="16"/>
    </row>
    <row r="16">
      <c r="B16" s="9"/>
      <c r="C16" s="37" t="s">
        <v>210</v>
      </c>
      <c r="D16" s="35"/>
      <c r="E16" s="15"/>
    </row>
    <row r="17">
      <c r="B17" s="9"/>
      <c r="C17" s="10" t="s">
        <v>211</v>
      </c>
      <c r="D17" s="8"/>
      <c r="E17" s="16"/>
    </row>
    <row r="18">
      <c r="B18" s="9"/>
      <c r="C18" s="37" t="s">
        <v>212</v>
      </c>
      <c r="D18" s="35"/>
      <c r="E18" s="15"/>
    </row>
    <row r="19">
      <c r="B19" s="9"/>
      <c r="C19" s="10" t="s">
        <v>213</v>
      </c>
      <c r="D19" s="8"/>
      <c r="E19" s="16"/>
    </row>
    <row r="20">
      <c r="B20" s="9"/>
      <c r="C20" s="37" t="s">
        <v>214</v>
      </c>
      <c r="D20" s="35"/>
      <c r="E20" s="15"/>
    </row>
    <row r="21" ht="28.0" customHeight="true">
      <c r="B21" s="9"/>
      <c r="C21" s="10" t="s">
        <v>215</v>
      </c>
      <c r="D21" s="8"/>
      <c r="E21" s="16"/>
    </row>
    <row r="22" ht="28.0" customHeight="true">
      <c r="B22" s="9"/>
      <c r="C22" s="33" t="s">
        <v>216</v>
      </c>
      <c r="D22" s="35"/>
      <c r="E22" s="15"/>
    </row>
    <row r="23">
      <c r="B23" s="9"/>
      <c r="C23" s="36"/>
      <c r="D23" s="14" t="s">
        <v>217</v>
      </c>
      <c r="E23" s="16"/>
    </row>
    <row r="24">
      <c r="B24" s="9"/>
      <c r="C24" s="36"/>
      <c r="D24" s="13" t="s">
        <v>218</v>
      </c>
      <c r="E24" s="15"/>
    </row>
    <row r="25">
      <c r="B25" s="9"/>
      <c r="C25" s="37"/>
      <c r="D25" s="14" t="s">
        <v>219</v>
      </c>
      <c r="E25" s="16"/>
    </row>
    <row r="26" ht="28.0" customHeight="true">
      <c r="B26" s="9"/>
      <c r="C26" s="33" t="s">
        <v>220</v>
      </c>
      <c r="D26" s="35"/>
      <c r="E26" s="15"/>
    </row>
    <row r="27">
      <c r="B27" s="9"/>
      <c r="C27" s="36"/>
      <c r="D27" s="14" t="s">
        <v>221</v>
      </c>
      <c r="E27" s="16"/>
    </row>
    <row r="28">
      <c r="B28" s="9"/>
      <c r="C28" s="36"/>
      <c r="D28" s="13" t="s">
        <v>222</v>
      </c>
      <c r="E28" s="15"/>
    </row>
    <row r="29">
      <c r="B29" s="10"/>
      <c r="C29" s="37"/>
      <c r="D29" s="14" t="s">
        <v>223</v>
      </c>
      <c r="E29" s="54"/>
    </row>
  </sheetData>
  <mergeCells>
    <mergeCell ref="B11:D11"/>
    <mergeCell ref="C12:D12"/>
    <mergeCell ref="C13:D13"/>
    <mergeCell ref="C14:D14"/>
    <mergeCell ref="C15:D15"/>
    <mergeCell ref="C16:D16"/>
    <mergeCell ref="C17:D17"/>
    <mergeCell ref="C18:D18"/>
    <mergeCell ref="C19:D19"/>
    <mergeCell ref="C20:D20"/>
    <mergeCell ref="C21:D21"/>
    <mergeCell ref="C22:D22"/>
    <mergeCell ref="C26:D26"/>
  </mergeCells>
  <dataValidations count="1">
    <dataValidation type="list" sqref="E28" allowBlank="true" errorStyle="stop" showErrorMessage="true" showDropDown="false">
      <formula1>sspdtipos_TipoSiNo</formula1>
    </dataValidation>
  </dataValidations>
  <hyperlinks>
    <hyperlink location="'Indice'!A1" ref="B2"/>
  </hyperlinks>
  <pageMargins bottom="0.75" footer="0.3" header="0.3" left="0.7" right="0.7" top="0.75"/>
</worksheet>
</file>

<file path=xl/worksheets/sheet9.xml><?xml version="1.0" encoding="utf-8"?>
<worksheet xmlns="http://schemas.openxmlformats.org/spreadsheetml/2006/main">
  <dimension ref="B2:F18"/>
  <sheetViews>
    <sheetView workbookViewId="0" showGridLines="false"/>
  </sheetViews>
  <sheetFormatPr defaultRowHeight="15.0"/>
  <cols>
    <col min="2" max="2" width="2.70703125" customWidth="true"/>
    <col min="3" max="3" width="50.0" customWidth="true"/>
    <col min="4" max="4" width="15.0" customWidth="true"/>
    <col min="5" max="5" width="15.0" customWidth="true"/>
  </cols>
  <sheetData>
    <row r="2">
      <c r="B2" t="s" s="2">
        <v>1</v>
      </c>
    </row>
    <row r="3">
      <c r="B3" t="s" s="1">
        <v>3</v>
      </c>
      <c r="C3" t="s">
        <v>4</v>
      </c>
    </row>
    <row r="4">
      <c r="B4" s="1" t="s">
        <v>5</v>
      </c>
      <c r="C4" t="s">
        <v>6</v>
      </c>
    </row>
    <row r="5">
      <c r="B5" t="s" s="1">
        <v>7</v>
      </c>
      <c r="C5" t="s">
        <v>226</v>
      </c>
    </row>
    <row r="6">
      <c r="B6" t="s" s="1">
        <v>8</v>
      </c>
      <c r="C6" t="s">
        <v>9</v>
      </c>
    </row>
    <row r="7">
      <c r="B7" t="s" s="1">
        <v>10</v>
      </c>
      <c r="C7" t="s">
        <v>9</v>
      </c>
    </row>
    <row r="8">
      <c r="B8" t="s" s="1">
        <v>11</v>
      </c>
      <c r="C8" t="s">
        <v>12</v>
      </c>
    </row>
    <row r="10" ht="28.0" customHeight="true">
      <c r="D10" t="s" s="4">
        <v>227</v>
      </c>
      <c r="E10" s="25"/>
    </row>
    <row r="11">
      <c r="D11" t="s" s="29">
        <v>228</v>
      </c>
      <c r="E11" s="6" t="s">
        <v>229</v>
      </c>
    </row>
    <row r="12">
      <c r="B12" s="7" t="s">
        <v>230</v>
      </c>
      <c r="C12" s="8"/>
      <c r="D12" s="18"/>
      <c r="E12" s="18"/>
    </row>
    <row r="13">
      <c r="B13" s="9"/>
      <c r="C13" s="13" t="s">
        <v>231</v>
      </c>
      <c r="D13" s="46" t="n"/>
      <c r="E13" s="46" t="n"/>
    </row>
    <row r="14">
      <c r="B14" s="9"/>
      <c r="C14" s="14" t="s">
        <v>232</v>
      </c>
      <c r="D14" s="47" t="n"/>
      <c r="E14" s="47" t="n"/>
    </row>
    <row r="15">
      <c r="B15" s="9"/>
      <c r="C15" s="13" t="s">
        <v>233</v>
      </c>
      <c r="D15" s="46" t="n"/>
      <c r="E15" s="46" t="n"/>
    </row>
    <row r="16">
      <c r="B16" s="9"/>
      <c r="C16" s="14" t="s">
        <v>234</v>
      </c>
      <c r="D16" s="47" t="n"/>
      <c r="E16" s="47" t="n"/>
    </row>
    <row r="17">
      <c r="B17" s="9"/>
      <c r="C17" s="13" t="s">
        <v>235</v>
      </c>
      <c r="D17" s="46" t="n"/>
      <c r="E17" s="46" t="n"/>
    </row>
    <row r="18">
      <c r="B18" s="10"/>
      <c r="C18" s="51" t="s">
        <v>236</v>
      </c>
      <c r="D18" s="52" t="n"/>
      <c r="E18" s="55"/>
    </row>
  </sheetData>
  <mergeCells>
    <mergeCell ref="D10:E10"/>
    <mergeCell ref="B12:C12"/>
  </mergeCells>
  <hyperlinks>
    <hyperlink location="'Indice'!A1" ref="B2"/>
  </hyperlinks>
  <pageMargins bottom="0.75" footer="0.3" header="0.3" left="0.7" right="0.7" top="0.75"/>
</worksheet>
</file>

<file path=xl/worksheets/sheet10.xml><?xml version="1.0" encoding="utf-8"?>
<worksheet xmlns="http://schemas.openxmlformats.org/spreadsheetml/2006/main">
  <dimension ref="B2:E13"/>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237</v>
      </c>
    </row>
    <row r="6">
      <c r="B6" t="s" s="1">
        <v>8</v>
      </c>
      <c r="C6" t="s">
        <v>9</v>
      </c>
    </row>
    <row r="7">
      <c r="B7" t="s" s="1">
        <v>10</v>
      </c>
      <c r="C7" t="s">
        <v>9</v>
      </c>
    </row>
    <row r="8">
      <c r="B8" t="s" s="1">
        <v>11</v>
      </c>
      <c r="C8" t="s">
        <v>9</v>
      </c>
    </row>
    <row r="10">
      <c r="D10" t="s" s="6">
        <v>12</v>
      </c>
    </row>
    <row r="11">
      <c r="B11" s="7" t="s">
        <v>238</v>
      </c>
      <c r="C11" s="8"/>
      <c r="D11" s="16"/>
    </row>
    <row r="12">
      <c r="B12" s="9"/>
      <c r="C12" s="13" t="s">
        <v>239</v>
      </c>
      <c r="D12" s="15"/>
    </row>
    <row r="13">
      <c r="B13" s="10"/>
      <c r="C13" s="14" t="s">
        <v>240</v>
      </c>
      <c r="D13" s="54"/>
    </row>
  </sheetData>
  <mergeCells>
    <mergeCell ref="B11:C11"/>
  </mergeCells>
  <hyperlinks>
    <hyperlink location="'Indice'!A1" ref="B2"/>
  </hyperlinks>
  <pageMargins bottom="0.75" footer="0.3" header="0.3" left="0.7" right="0.7" top="0.75"/>
</worksheet>
</file>

<file path=xl/worksheets/sheet11.xml><?xml version="1.0" encoding="utf-8"?>
<worksheet xmlns="http://schemas.openxmlformats.org/spreadsheetml/2006/main">
  <dimension ref="B2:M17"/>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241</v>
      </c>
    </row>
    <row r="6">
      <c r="B6" t="s" s="1">
        <v>8</v>
      </c>
      <c r="C6" t="s">
        <v>9</v>
      </c>
    </row>
    <row r="7">
      <c r="B7" t="s" s="1">
        <v>10</v>
      </c>
      <c r="C7" t="s">
        <v>9</v>
      </c>
    </row>
    <row r="8">
      <c r="B8" t="s" s="1">
        <v>11</v>
      </c>
      <c r="C8" t="s">
        <v>12</v>
      </c>
    </row>
    <row r="10">
      <c r="D10" t="s" s="4">
        <v>242</v>
      </c>
      <c r="E10" s="24"/>
      <c r="F10" s="24"/>
      <c r="G10" s="24"/>
      <c r="H10" s="24"/>
      <c r="I10" s="24"/>
      <c r="J10" s="24"/>
      <c r="K10" s="24"/>
      <c r="L10" s="25"/>
    </row>
    <row r="11">
      <c r="D11" t="s" s="29">
        <v>243</v>
      </c>
      <c r="E11" t="s" s="6">
        <v>244</v>
      </c>
      <c r="F11" t="s" s="29">
        <v>245</v>
      </c>
      <c r="G11" t="s" s="6">
        <v>246</v>
      </c>
      <c r="H11" t="s" s="29">
        <v>247</v>
      </c>
      <c r="I11" t="s" s="6">
        <v>248</v>
      </c>
      <c r="J11" t="s" s="29">
        <v>249</v>
      </c>
      <c r="K11" t="s" s="6">
        <v>250</v>
      </c>
      <c r="L11" s="29" t="s">
        <v>251</v>
      </c>
    </row>
    <row r="12">
      <c r="B12" s="7" t="s">
        <v>252</v>
      </c>
      <c r="C12" s="8"/>
      <c r="D12" s="18"/>
      <c r="E12" s="18"/>
      <c r="F12" s="18"/>
      <c r="G12" s="18"/>
      <c r="H12" s="18"/>
      <c r="I12" s="18"/>
      <c r="J12" s="18"/>
      <c r="K12" s="18"/>
      <c r="L12" s="18"/>
    </row>
    <row r="13">
      <c r="B13" s="9"/>
      <c r="C13" s="13" t="s">
        <v>253</v>
      </c>
      <c r="D13" s="16"/>
      <c r="E13" s="16"/>
      <c r="F13" s="16"/>
      <c r="G13" s="16"/>
      <c r="H13" s="16"/>
      <c r="I13" s="17"/>
      <c r="J13" s="17"/>
      <c r="K13" s="17"/>
      <c r="L13" s="17"/>
    </row>
    <row r="14">
      <c r="B14" s="9"/>
      <c r="C14" s="14" t="s">
        <v>254</v>
      </c>
      <c r="D14" s="15"/>
      <c r="E14" s="15"/>
      <c r="F14" s="15"/>
      <c r="G14" s="15"/>
      <c r="H14" s="15"/>
      <c r="I14" s="15"/>
      <c r="J14" s="15"/>
      <c r="K14" s="15"/>
      <c r="L14" s="18"/>
    </row>
    <row r="15">
      <c r="B15" s="9"/>
      <c r="C15" s="13" t="s">
        <v>255</v>
      </c>
      <c r="D15" s="16"/>
      <c r="E15" s="16"/>
      <c r="F15" s="16"/>
      <c r="G15" s="16"/>
      <c r="H15" s="16"/>
      <c r="I15" s="16"/>
      <c r="J15" s="17"/>
      <c r="K15" s="17"/>
      <c r="L15" s="17"/>
    </row>
    <row r="16">
      <c r="B16" s="9"/>
      <c r="C16" s="14" t="s">
        <v>256</v>
      </c>
      <c r="D16" s="15"/>
      <c r="E16" s="15"/>
      <c r="F16" s="15"/>
      <c r="G16" s="15"/>
      <c r="H16" s="15"/>
      <c r="I16" s="15"/>
      <c r="J16" s="15"/>
      <c r="K16" s="15"/>
      <c r="L16" s="15"/>
    </row>
    <row r="17">
      <c r="B17" s="10"/>
      <c r="C17" s="13" t="s">
        <v>257</v>
      </c>
      <c r="D17" s="54"/>
      <c r="E17" s="54"/>
      <c r="F17" s="54"/>
      <c r="G17" s="54"/>
      <c r="H17" s="54"/>
      <c r="I17" s="54"/>
      <c r="J17" s="54"/>
      <c r="K17" s="54"/>
      <c r="L17" s="55"/>
    </row>
  </sheetData>
  <mergeCells>
    <mergeCell ref="D10:L10"/>
    <mergeCell ref="B12:C12"/>
  </mergeCells>
  <dataValidations count="6">
    <dataValidation type="list" sqref="F13" allowBlank="true" errorStyle="stop" showErrorMessage="true" showDropDown="false">
      <formula1>sspdtipos_TipoIdentificacionResponsablesInformacion</formula1>
    </dataValidation>
    <dataValidation type="list" sqref="F14" allowBlank="true" errorStyle="stop" showErrorMessage="true" showDropDown="false">
      <formula1>sspdtipos_TipoIdentificacionResponsablesInformacion</formula1>
    </dataValidation>
    <dataValidation type="list" sqref="F15" allowBlank="true" errorStyle="stop" showErrorMessage="true" showDropDown="false">
      <formula1>sspdtipos_TipoIdentificacionResponsablesInformacion</formula1>
    </dataValidation>
    <dataValidation type="list" sqref="F16" allowBlank="true" errorStyle="stop" showErrorMessage="true" showDropDown="false">
      <formula1>sspdtipos_TipoIdentificacionResponsablesInformacion</formula1>
    </dataValidation>
    <dataValidation type="list" sqref="L16" allowBlank="true" errorStyle="stop" showErrorMessage="true" showDropDown="false">
      <formula1>sspdtipos_TipoDeDictamenDeAuditoria</formula1>
    </dataValidation>
    <dataValidation type="list" sqref="F17" allowBlank="true" errorStyle="stop" showErrorMessage="true" showDropDown="false">
      <formula1>sspdtipos_TipoIdentificacionResponsablesInformacion</formula1>
    </dataValidation>
  </dataValidations>
  <hyperlinks>
    <hyperlink location="'Indice'!A1" ref="B2"/>
  </hyperlinks>
  <pageMargins bottom="0.75" footer="0.3" header="0.3" left="0.7" right="0.7" top="0.75"/>
</worksheet>
</file>

<file path=xl/worksheets/sheet12.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269</v>
      </c>
    </row>
    <row r="6">
      <c r="B6" t="s" s="1">
        <v>8</v>
      </c>
      <c r="C6" t="s">
        <v>9</v>
      </c>
    </row>
    <row r="7">
      <c r="B7" t="s" s="1">
        <v>10</v>
      </c>
      <c r="C7" t="s">
        <v>9</v>
      </c>
    </row>
    <row r="8">
      <c r="B8" t="s" s="1">
        <v>11</v>
      </c>
      <c r="C8" t="s">
        <v>12</v>
      </c>
    </row>
    <row r="10">
      <c r="E10" t="s" s="4">
        <v>27</v>
      </c>
      <c r="F10" s="24"/>
      <c r="G10" s="25"/>
    </row>
    <row r="11">
      <c r="E11" t="s" s="29">
        <v>270</v>
      </c>
      <c r="F11" t="s" s="6">
        <v>271</v>
      </c>
      <c r="G11" s="31"/>
    </row>
    <row r="12">
      <c r="B12" s="7" t="s">
        <v>272</v>
      </c>
      <c r="C12" s="32"/>
      <c r="D12" s="8"/>
      <c r="E12" s="18"/>
      <c r="F12" s="18"/>
      <c r="G12" s="18"/>
    </row>
    <row r="13">
      <c r="B13" s="9"/>
      <c r="C13" s="37" t="s">
        <v>273</v>
      </c>
      <c r="D13" s="35"/>
      <c r="E13" s="46" t="n"/>
      <c r="F13" s="46" t="n"/>
      <c r="G13" s="46" t="n"/>
    </row>
    <row r="14">
      <c r="B14" s="9"/>
      <c r="C14" s="10" t="s">
        <v>274</v>
      </c>
      <c r="D14" s="8"/>
      <c r="E14" s="47" t="n"/>
      <c r="F14" s="47" t="n"/>
      <c r="G14" s="47" t="n"/>
    </row>
    <row r="15">
      <c r="B15" s="9"/>
      <c r="C15" s="37" t="s">
        <v>275</v>
      </c>
      <c r="D15" s="35"/>
      <c r="E15" s="46" t="n"/>
      <c r="F15" s="46" t="n"/>
      <c r="G15" s="46" t="n"/>
    </row>
    <row r="16">
      <c r="B16" s="9"/>
      <c r="C16" s="10" t="s">
        <v>276</v>
      </c>
      <c r="D16" s="8"/>
      <c r="E16" s="47" t="n"/>
      <c r="F16" s="47" t="n"/>
      <c r="G16" s="47" t="n"/>
    </row>
    <row r="17">
      <c r="B17" s="9"/>
      <c r="C17" s="37" t="s">
        <v>277</v>
      </c>
      <c r="D17" s="35"/>
      <c r="E17" s="46" t="n"/>
      <c r="F17" s="46" t="n"/>
      <c r="G17" s="46" t="n"/>
    </row>
    <row r="18">
      <c r="B18" s="9"/>
      <c r="C18" s="10" t="s">
        <v>278</v>
      </c>
      <c r="D18" s="8"/>
      <c r="E18" s="47" t="n"/>
      <c r="F18" s="47" t="n"/>
      <c r="G18" s="47" t="n"/>
    </row>
    <row r="19">
      <c r="B19" s="9"/>
      <c r="C19" s="37" t="s">
        <v>279</v>
      </c>
      <c r="D19" s="35"/>
      <c r="E19" s="46" t="n"/>
      <c r="F19" s="46" t="n"/>
      <c r="G19" s="46" t="n"/>
    </row>
    <row r="20">
      <c r="B20" s="9"/>
      <c r="C20" s="7" t="s">
        <v>280</v>
      </c>
      <c r="D20" s="8"/>
      <c r="E20" s="18"/>
      <c r="F20" s="18"/>
      <c r="G20" s="18"/>
    </row>
    <row r="21">
      <c r="B21" s="9"/>
      <c r="C21" s="9"/>
      <c r="D21" s="13" t="s">
        <v>281</v>
      </c>
      <c r="E21" s="46" t="n"/>
      <c r="F21" s="46" t="n"/>
      <c r="G21" s="46" t="n"/>
    </row>
    <row r="22">
      <c r="B22" s="9"/>
      <c r="C22" s="9"/>
      <c r="D22" s="14" t="s">
        <v>282</v>
      </c>
      <c r="E22" s="47" t="n"/>
      <c r="F22" s="47" t="n"/>
      <c r="G22" s="47" t="n"/>
    </row>
    <row r="23">
      <c r="B23" s="9"/>
      <c r="C23" s="9"/>
      <c r="D23" s="13" t="s">
        <v>283</v>
      </c>
      <c r="E23" s="46" t="n"/>
      <c r="F23" s="46" t="n"/>
      <c r="G23" s="46" t="n"/>
    </row>
    <row r="24">
      <c r="B24" s="9"/>
      <c r="C24" s="10"/>
      <c r="D24" s="51" t="s">
        <v>284</v>
      </c>
      <c r="E24" s="47" t="n">
        <f>SUM(E21:E23)</f>
      </c>
      <c r="F24" s="47" t="n">
        <f>SUM(F21:F23)</f>
      </c>
      <c r="G24" s="47" t="n">
        <f>SUM(G21:G23)</f>
      </c>
    </row>
    <row r="25">
      <c r="B25" s="9"/>
      <c r="C25" s="37" t="s">
        <v>285</v>
      </c>
      <c r="D25" s="35"/>
      <c r="E25" s="46" t="n"/>
      <c r="F25" s="46" t="n"/>
      <c r="G25" s="46" t="n"/>
    </row>
    <row r="26">
      <c r="B26" s="9"/>
      <c r="C26" s="7" t="s">
        <v>286</v>
      </c>
      <c r="D26" s="8"/>
      <c r="E26" s="18"/>
      <c r="F26" s="18"/>
      <c r="G26" s="18"/>
    </row>
    <row r="27">
      <c r="B27" s="9"/>
      <c r="C27" s="9"/>
      <c r="D27" s="13" t="s">
        <v>287</v>
      </c>
      <c r="E27" s="46" t="n"/>
      <c r="F27" s="46" t="n"/>
      <c r="G27" s="46" t="n"/>
    </row>
    <row r="28">
      <c r="B28" s="9"/>
      <c r="C28" s="9"/>
      <c r="D28" s="14" t="s">
        <v>288</v>
      </c>
      <c r="E28" s="47" t="n"/>
      <c r="F28" s="47" t="n"/>
      <c r="G28" s="47" t="n"/>
    </row>
    <row r="29">
      <c r="B29" s="9"/>
      <c r="C29" s="9"/>
      <c r="D29" s="13" t="s">
        <v>289</v>
      </c>
      <c r="E29" s="46" t="n"/>
      <c r="F29" s="46" t="n"/>
      <c r="G29" s="46" t="n"/>
    </row>
    <row r="30">
      <c r="B30" s="9"/>
      <c r="C30" s="9"/>
      <c r="D30" s="14" t="s">
        <v>290</v>
      </c>
      <c r="E30" s="47" t="n"/>
      <c r="F30" s="47" t="n"/>
      <c r="G30" s="47" t="n"/>
    </row>
    <row r="31">
      <c r="B31" s="9"/>
      <c r="C31" s="9"/>
      <c r="D31" s="13" t="s">
        <v>291</v>
      </c>
      <c r="E31" s="46" t="n"/>
      <c r="F31" s="46" t="n"/>
      <c r="G31" s="46" t="n"/>
    </row>
    <row r="32">
      <c r="B32" s="9"/>
      <c r="C32" s="9"/>
      <c r="D32" s="14" t="s">
        <v>292</v>
      </c>
      <c r="E32" s="47" t="n"/>
      <c r="F32" s="47" t="n"/>
      <c r="G32" s="47" t="n"/>
    </row>
    <row r="33">
      <c r="B33" s="9"/>
      <c r="C33" s="10"/>
      <c r="D33" s="53" t="s">
        <v>293</v>
      </c>
      <c r="E33" s="46" t="n">
        <f>SUM(E27:E32)</f>
      </c>
      <c r="F33" s="46" t="n">
        <f>SUM(F27:F32)</f>
      </c>
      <c r="G33" s="46" t="n">
        <f>SUM(G27:G32)</f>
      </c>
    </row>
    <row r="34">
      <c r="B34" s="9"/>
      <c r="C34" s="10" t="s">
        <v>294</v>
      </c>
      <c r="D34" s="8"/>
      <c r="E34" s="47" t="n"/>
      <c r="F34" s="47" t="n"/>
      <c r="G34" s="47" t="n"/>
    </row>
    <row r="35">
      <c r="B35" s="9"/>
      <c r="C35" s="37" t="s">
        <v>295</v>
      </c>
      <c r="D35" s="35"/>
      <c r="E35" s="46" t="n"/>
      <c r="F35" s="46" t="n"/>
      <c r="G35" s="46" t="n"/>
    </row>
    <row r="36">
      <c r="B36" s="9"/>
      <c r="C36" s="7" t="s">
        <v>296</v>
      </c>
      <c r="D36" s="8"/>
      <c r="E36" s="18"/>
      <c r="F36" s="18"/>
      <c r="G36" s="18"/>
    </row>
    <row r="37">
      <c r="B37" s="9"/>
      <c r="C37" s="9"/>
      <c r="D37" s="13" t="s">
        <v>297</v>
      </c>
      <c r="E37" s="46" t="n"/>
      <c r="F37" s="46" t="n"/>
      <c r="G37" s="46" t="n"/>
    </row>
    <row r="38">
      <c r="B38" s="9"/>
      <c r="C38" s="9"/>
      <c r="D38" s="14" t="s">
        <v>298</v>
      </c>
      <c r="E38" s="47" t="n"/>
      <c r="F38" s="47" t="n"/>
      <c r="G38" s="47" t="n"/>
    </row>
    <row r="39">
      <c r="B39" s="9"/>
      <c r="C39" s="9"/>
      <c r="D39" s="13" t="s">
        <v>299</v>
      </c>
      <c r="E39" s="46" t="n"/>
      <c r="F39" s="46" t="n"/>
      <c r="G39" s="46" t="n"/>
    </row>
    <row r="40">
      <c r="B40" s="9"/>
      <c r="C40" s="9"/>
      <c r="D40" s="14" t="s">
        <v>300</v>
      </c>
      <c r="E40" s="47" t="n"/>
      <c r="F40" s="47" t="n"/>
      <c r="G40" s="47" t="n"/>
    </row>
    <row r="41">
      <c r="B41" s="9"/>
      <c r="C41" s="9"/>
      <c r="D41" s="13" t="s">
        <v>301</v>
      </c>
      <c r="E41" s="46" t="n"/>
      <c r="F41" s="46" t="n"/>
      <c r="G41" s="46" t="n"/>
    </row>
    <row r="42">
      <c r="B42" s="9"/>
      <c r="C42" s="9"/>
      <c r="D42" s="14" t="s">
        <v>302</v>
      </c>
      <c r="E42" s="47" t="n"/>
      <c r="F42" s="47" t="n"/>
      <c r="G42" s="47" t="n"/>
    </row>
    <row r="43">
      <c r="B43" s="9"/>
      <c r="C43" s="9"/>
      <c r="D43" s="13" t="s">
        <v>303</v>
      </c>
      <c r="E43" s="46" t="n"/>
      <c r="F43" s="46" t="n"/>
      <c r="G43" s="46" t="n"/>
    </row>
    <row r="44">
      <c r="B44" s="9"/>
      <c r="C44" s="9"/>
      <c r="D44" s="14" t="s">
        <v>304</v>
      </c>
      <c r="E44" s="47" t="n"/>
      <c r="F44" s="47" t="n"/>
      <c r="G44" s="47" t="n"/>
    </row>
    <row r="45">
      <c r="B45" s="9"/>
      <c r="C45" s="9"/>
      <c r="D45" s="13" t="s">
        <v>305</v>
      </c>
      <c r="E45" s="46" t="n"/>
      <c r="F45" s="46" t="n"/>
      <c r="G45" s="46" t="n"/>
    </row>
    <row r="46">
      <c r="B46" s="9"/>
      <c r="C46" s="9"/>
      <c r="D46" s="14" t="s">
        <v>306</v>
      </c>
      <c r="E46" s="47" t="n"/>
      <c r="F46" s="47" t="n"/>
      <c r="G46" s="47" t="n"/>
    </row>
    <row r="47">
      <c r="B47" s="9"/>
      <c r="C47" s="9"/>
      <c r="D47" s="13" t="s">
        <v>307</v>
      </c>
      <c r="E47" s="46" t="n"/>
      <c r="F47" s="46" t="n"/>
      <c r="G47" s="46" t="n"/>
    </row>
    <row r="48">
      <c r="B48" s="9"/>
      <c r="C48" s="9"/>
      <c r="D48" s="14" t="s">
        <v>308</v>
      </c>
      <c r="E48" s="47" t="n"/>
      <c r="F48" s="47" t="n"/>
      <c r="G48" s="47" t="n"/>
    </row>
    <row r="49">
      <c r="B49" s="9"/>
      <c r="C49" s="9"/>
      <c r="D49" s="13" t="s">
        <v>309</v>
      </c>
      <c r="E49" s="46" t="n"/>
      <c r="F49" s="46" t="n"/>
      <c r="G49" s="46" t="n"/>
    </row>
    <row r="50">
      <c r="B50" s="9"/>
      <c r="C50" s="10"/>
      <c r="D50" s="14" t="s">
        <v>310</v>
      </c>
      <c r="E50" s="47" t="n">
        <f>SUM(E37:E49)</f>
      </c>
      <c r="F50" s="47" t="n">
        <f>SUM(F37:F49)</f>
      </c>
      <c r="G50" s="47" t="n">
        <f>SUM(G37:G49)</f>
      </c>
    </row>
    <row r="51">
      <c r="B51" s="9"/>
      <c r="C51" s="33" t="s">
        <v>311</v>
      </c>
      <c r="D51" s="35"/>
      <c r="E51" s="17"/>
      <c r="F51" s="17"/>
      <c r="G51" s="17"/>
    </row>
    <row r="52">
      <c r="B52" s="9"/>
      <c r="C52" s="36"/>
      <c r="D52" s="14" t="s">
        <v>312</v>
      </c>
      <c r="E52" s="47" t="n"/>
      <c r="F52" s="47" t="n"/>
      <c r="G52" s="47" t="n"/>
    </row>
    <row r="53">
      <c r="B53" s="9"/>
      <c r="C53" s="36"/>
      <c r="D53" s="13" t="s">
        <v>313</v>
      </c>
      <c r="E53" s="46" t="n"/>
      <c r="F53" s="46" t="n"/>
      <c r="G53" s="46" t="n"/>
    </row>
    <row r="54">
      <c r="B54" s="9"/>
      <c r="C54" s="36"/>
      <c r="D54" s="14" t="s">
        <v>314</v>
      </c>
      <c r="E54" s="47" t="n"/>
      <c r="F54" s="47" t="n"/>
      <c r="G54" s="47" t="n"/>
    </row>
    <row r="55">
      <c r="B55" s="9"/>
      <c r="C55" s="36"/>
      <c r="D55" s="13" t="s">
        <v>315</v>
      </c>
      <c r="E55" s="46" t="n"/>
      <c r="F55" s="46" t="n"/>
      <c r="G55" s="46" t="n"/>
    </row>
    <row r="56">
      <c r="B56" s="9"/>
      <c r="C56" s="36"/>
      <c r="D56" s="14" t="s">
        <v>316</v>
      </c>
      <c r="E56" s="47" t="n"/>
      <c r="F56" s="47" t="n"/>
      <c r="G56" s="47" t="n"/>
    </row>
    <row r="57">
      <c r="B57" s="9"/>
      <c r="C57" s="36"/>
      <c r="D57" s="13" t="s">
        <v>317</v>
      </c>
      <c r="E57" s="46" t="n"/>
      <c r="F57" s="46" t="n"/>
      <c r="G57" s="46" t="n"/>
    </row>
    <row r="58">
      <c r="B58" s="9"/>
      <c r="C58" s="36"/>
      <c r="D58" s="14" t="s">
        <v>318</v>
      </c>
      <c r="E58" s="47" t="n"/>
      <c r="F58" s="47" t="n"/>
      <c r="G58" s="47" t="n"/>
    </row>
    <row r="59">
      <c r="B59" s="9"/>
      <c r="C59" s="36"/>
      <c r="D59" s="13" t="s">
        <v>319</v>
      </c>
      <c r="E59" s="46" t="n"/>
      <c r="F59" s="46" t="n"/>
      <c r="G59" s="46" t="n"/>
    </row>
    <row r="60">
      <c r="B60" s="9"/>
      <c r="C60" s="36"/>
      <c r="D60" s="14" t="s">
        <v>320</v>
      </c>
      <c r="E60" s="47" t="n"/>
      <c r="F60" s="47" t="n"/>
      <c r="G60" s="47" t="n"/>
    </row>
    <row r="61">
      <c r="B61" s="9"/>
      <c r="C61" s="36"/>
      <c r="D61" s="13" t="s">
        <v>321</v>
      </c>
      <c r="E61" s="46" t="n"/>
      <c r="F61" s="46" t="n"/>
      <c r="G61" s="46" t="n"/>
    </row>
    <row r="62">
      <c r="B62" s="9"/>
      <c r="C62" s="36"/>
      <c r="D62" s="14" t="s">
        <v>322</v>
      </c>
      <c r="E62" s="47" t="n"/>
      <c r="F62" s="47" t="n"/>
      <c r="G62" s="47" t="n"/>
    </row>
    <row r="63">
      <c r="B63" s="9"/>
      <c r="C63" s="37"/>
      <c r="D63" s="53" t="s">
        <v>323</v>
      </c>
      <c r="E63" s="46" t="n">
        <f>SUM(E52:E62)</f>
      </c>
      <c r="F63" s="46" t="n">
        <f>SUM(F52:F62)</f>
      </c>
      <c r="G63" s="46" t="n">
        <f>SUM(G52:G62)</f>
      </c>
    </row>
    <row r="64">
      <c r="B64" s="9"/>
      <c r="C64" s="7" t="s">
        <v>324</v>
      </c>
      <c r="D64" s="8"/>
      <c r="E64" s="18"/>
      <c r="F64" s="18"/>
      <c r="G64" s="18"/>
    </row>
    <row r="65">
      <c r="B65" s="9"/>
      <c r="C65" s="9"/>
      <c r="D65" s="13" t="s">
        <v>325</v>
      </c>
      <c r="E65" s="46" t="n"/>
      <c r="F65" s="46" t="n"/>
      <c r="G65" s="46" t="n"/>
    </row>
    <row r="66">
      <c r="B66" s="9"/>
      <c r="C66" s="9"/>
      <c r="D66" s="14" t="s">
        <v>326</v>
      </c>
      <c r="E66" s="47" t="n"/>
      <c r="F66" s="47" t="n"/>
      <c r="G66" s="47" t="n"/>
    </row>
    <row r="67">
      <c r="B67" s="9"/>
      <c r="C67" s="9"/>
      <c r="D67" s="13" t="s">
        <v>327</v>
      </c>
      <c r="E67" s="46" t="n"/>
      <c r="F67" s="46" t="n"/>
      <c r="G67" s="46" t="n"/>
    </row>
    <row r="68">
      <c r="B68" s="9"/>
      <c r="C68" s="9"/>
      <c r="D68" s="14" t="s">
        <v>328</v>
      </c>
      <c r="E68" s="47" t="n"/>
      <c r="F68" s="47" t="n"/>
      <c r="G68" s="47" t="n"/>
    </row>
    <row r="69">
      <c r="B69" s="9"/>
      <c r="C69" s="9"/>
      <c r="D69" s="13" t="s">
        <v>329</v>
      </c>
      <c r="E69" s="46" t="n"/>
      <c r="F69" s="46" t="n"/>
      <c r="G69" s="46" t="n"/>
    </row>
    <row r="70">
      <c r="B70" s="9"/>
      <c r="C70" s="9"/>
      <c r="D70" s="14" t="s">
        <v>330</v>
      </c>
      <c r="E70" s="47" t="n"/>
      <c r="F70" s="47" t="n"/>
      <c r="G70" s="47" t="n"/>
    </row>
    <row r="71">
      <c r="B71" s="9"/>
      <c r="C71" s="10"/>
      <c r="D71" s="53" t="s">
        <v>331</v>
      </c>
      <c r="E71" s="46" t="n">
        <f>SUM(E65:E70)</f>
      </c>
      <c r="F71" s="46" t="n">
        <f>SUM(F65:F70)</f>
      </c>
      <c r="G71" s="46" t="n">
        <f>SUM(G65:G70)</f>
      </c>
    </row>
    <row r="72">
      <c r="B72" s="9"/>
      <c r="C72" s="10" t="s">
        <v>332</v>
      </c>
      <c r="D72" s="8"/>
      <c r="E72" s="47" t="n"/>
      <c r="F72" s="47" t="n"/>
      <c r="G72" s="47" t="n"/>
    </row>
    <row r="73">
      <c r="B73" s="9"/>
      <c r="C73" s="37" t="s">
        <v>333</v>
      </c>
      <c r="D73" s="35"/>
      <c r="E73" s="46" t="n"/>
      <c r="F73" s="46" t="n"/>
      <c r="G73" s="46" t="n"/>
    </row>
    <row r="74">
      <c r="B74" s="9"/>
      <c r="C74" s="10" t="s">
        <v>334</v>
      </c>
      <c r="D74" s="8"/>
      <c r="E74" s="47" t="n"/>
      <c r="F74" s="47" t="n"/>
      <c r="G74" s="47" t="n"/>
    </row>
    <row r="75">
      <c r="B75" s="9"/>
      <c r="C75" s="37" t="s">
        <v>335</v>
      </c>
      <c r="D75" s="35"/>
      <c r="E75" s="46" t="n"/>
      <c r="F75" s="46" t="n"/>
      <c r="G75" s="46" t="n"/>
    </row>
    <row r="76">
      <c r="B76" s="9"/>
      <c r="C76" s="10" t="s">
        <v>336</v>
      </c>
      <c r="D76" s="8"/>
      <c r="E76" s="47" t="n"/>
      <c r="F76" s="47" t="n"/>
      <c r="G76" s="47" t="n"/>
    </row>
    <row r="77">
      <c r="B77" s="9"/>
      <c r="C77" s="37" t="s">
        <v>337</v>
      </c>
      <c r="D77" s="35"/>
      <c r="E77" s="46" t="n"/>
      <c r="F77" s="46" t="n"/>
      <c r="G77" s="46" t="n"/>
    </row>
    <row r="78">
      <c r="B78" s="9"/>
      <c r="C78" s="10" t="s">
        <v>338</v>
      </c>
      <c r="D78" s="8"/>
      <c r="E78" s="47" t="n"/>
      <c r="F78" s="47" t="n"/>
      <c r="G78" s="47" t="n"/>
    </row>
    <row r="79">
      <c r="B79" s="9"/>
      <c r="C79" s="37" t="s">
        <v>339</v>
      </c>
      <c r="D79" s="35"/>
      <c r="E79" s="46" t="n"/>
      <c r="F79" s="46" t="n"/>
      <c r="G79" s="46" t="n"/>
    </row>
    <row r="80">
      <c r="B80" s="9"/>
      <c r="C80" s="10" t="s">
        <v>340</v>
      </c>
      <c r="D80" s="8"/>
      <c r="E80" s="47" t="n"/>
      <c r="F80" s="47" t="n"/>
      <c r="G80" s="47" t="n"/>
    </row>
    <row r="81">
      <c r="B81" s="9"/>
      <c r="C81" s="37" t="s">
        <v>341</v>
      </c>
      <c r="D81" s="35"/>
      <c r="E81" s="46" t="n"/>
      <c r="F81" s="46" t="n"/>
      <c r="G81" s="46" t="n"/>
    </row>
    <row r="82">
      <c r="B82" s="10"/>
      <c r="C82" s="40" t="s">
        <v>342</v>
      </c>
      <c r="D82" s="39"/>
      <c r="E82" s="52" t="n">
        <f>SUM(E13:E19)+E24+E25+SUM(E33:E35)+E50+E63+SUM(E71:E81)</f>
      </c>
      <c r="F82" s="52" t="n">
        <f>SUM(F13:F19)+F24+F25+SUM(F33:F35)+F50+F63+SUM(F71:F81)</f>
      </c>
      <c r="G82" s="52"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13.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343</v>
      </c>
    </row>
    <row r="6">
      <c r="B6" t="s" s="1">
        <v>8</v>
      </c>
      <c r="C6" t="s">
        <v>9</v>
      </c>
    </row>
    <row r="7">
      <c r="B7" t="s" s="1">
        <v>10</v>
      </c>
      <c r="C7" t="s">
        <v>9</v>
      </c>
    </row>
    <row r="8">
      <c r="B8" t="s" s="1">
        <v>11</v>
      </c>
      <c r="C8" t="s">
        <v>12</v>
      </c>
    </row>
    <row r="10">
      <c r="E10" t="s" s="4">
        <v>28</v>
      </c>
      <c r="F10" s="24"/>
      <c r="G10" s="25"/>
    </row>
    <row r="11">
      <c r="E11" t="s" s="29">
        <v>344</v>
      </c>
      <c r="F11" t="s" s="6">
        <v>345</v>
      </c>
      <c r="G11" s="31"/>
    </row>
    <row r="12">
      <c r="B12" s="7" t="s">
        <v>272</v>
      </c>
      <c r="C12" s="32"/>
      <c r="D12" s="8"/>
      <c r="E12" s="18"/>
      <c r="F12" s="18"/>
      <c r="G12" s="18"/>
    </row>
    <row r="13">
      <c r="B13" s="9"/>
      <c r="C13" s="37" t="s">
        <v>273</v>
      </c>
      <c r="D13" s="35"/>
      <c r="E13" s="46" t="n"/>
      <c r="F13" s="46" t="n"/>
      <c r="G13" s="46" t="n"/>
    </row>
    <row r="14">
      <c r="B14" s="9"/>
      <c r="C14" s="10" t="s">
        <v>274</v>
      </c>
      <c r="D14" s="8"/>
      <c r="E14" s="47" t="n"/>
      <c r="F14" s="47" t="n"/>
      <c r="G14" s="47" t="n"/>
    </row>
    <row r="15">
      <c r="B15" s="9"/>
      <c r="C15" s="37" t="s">
        <v>275</v>
      </c>
      <c r="D15" s="35"/>
      <c r="E15" s="46" t="n"/>
      <c r="F15" s="46" t="n"/>
      <c r="G15" s="46" t="n"/>
    </row>
    <row r="16">
      <c r="B16" s="9"/>
      <c r="C16" s="10" t="s">
        <v>276</v>
      </c>
      <c r="D16" s="8"/>
      <c r="E16" s="47" t="n"/>
      <c r="F16" s="47" t="n"/>
      <c r="G16" s="47" t="n"/>
    </row>
    <row r="17">
      <c r="B17" s="9"/>
      <c r="C17" s="37" t="s">
        <v>277</v>
      </c>
      <c r="D17" s="35"/>
      <c r="E17" s="46" t="n"/>
      <c r="F17" s="46" t="n"/>
      <c r="G17" s="46" t="n"/>
    </row>
    <row r="18">
      <c r="B18" s="9"/>
      <c r="C18" s="10" t="s">
        <v>278</v>
      </c>
      <c r="D18" s="8"/>
      <c r="E18" s="47" t="n"/>
      <c r="F18" s="47" t="n"/>
      <c r="G18" s="47" t="n"/>
    </row>
    <row r="19">
      <c r="B19" s="9"/>
      <c r="C19" s="37" t="s">
        <v>279</v>
      </c>
      <c r="D19" s="35"/>
      <c r="E19" s="46" t="n"/>
      <c r="F19" s="46" t="n"/>
      <c r="G19" s="46" t="n"/>
    </row>
    <row r="20">
      <c r="B20" s="9"/>
      <c r="C20" s="7" t="s">
        <v>280</v>
      </c>
      <c r="D20" s="8"/>
      <c r="E20" s="18"/>
      <c r="F20" s="18"/>
      <c r="G20" s="18"/>
    </row>
    <row r="21">
      <c r="B21" s="9"/>
      <c r="C21" s="9"/>
      <c r="D21" s="13" t="s">
        <v>281</v>
      </c>
      <c r="E21" s="46" t="n"/>
      <c r="F21" s="46" t="n"/>
      <c r="G21" s="46" t="n"/>
    </row>
    <row r="22">
      <c r="B22" s="9"/>
      <c r="C22" s="9"/>
      <c r="D22" s="14" t="s">
        <v>282</v>
      </c>
      <c r="E22" s="47" t="n"/>
      <c r="F22" s="47" t="n"/>
      <c r="G22" s="47" t="n"/>
    </row>
    <row r="23">
      <c r="B23" s="9"/>
      <c r="C23" s="9"/>
      <c r="D23" s="13" t="s">
        <v>283</v>
      </c>
      <c r="E23" s="46" t="n"/>
      <c r="F23" s="46" t="n"/>
      <c r="G23" s="46" t="n"/>
    </row>
    <row r="24">
      <c r="B24" s="9"/>
      <c r="C24" s="10"/>
      <c r="D24" s="51" t="s">
        <v>284</v>
      </c>
      <c r="E24" s="47" t="n">
        <f>SUM(E21:E23)</f>
      </c>
      <c r="F24" s="47" t="n">
        <f>SUM(F21:F23)</f>
      </c>
      <c r="G24" s="47" t="n">
        <f>SUM(G21:G23)</f>
      </c>
    </row>
    <row r="25">
      <c r="B25" s="9"/>
      <c r="C25" s="37" t="s">
        <v>285</v>
      </c>
      <c r="D25" s="35"/>
      <c r="E25" s="46" t="n"/>
      <c r="F25" s="46" t="n"/>
      <c r="G25" s="46" t="n"/>
    </row>
    <row r="26">
      <c r="B26" s="9"/>
      <c r="C26" s="7" t="s">
        <v>286</v>
      </c>
      <c r="D26" s="8"/>
      <c r="E26" s="18"/>
      <c r="F26" s="18"/>
      <c r="G26" s="18"/>
    </row>
    <row r="27">
      <c r="B27" s="9"/>
      <c r="C27" s="9"/>
      <c r="D27" s="13" t="s">
        <v>287</v>
      </c>
      <c r="E27" s="46" t="n"/>
      <c r="F27" s="46" t="n"/>
      <c r="G27" s="46" t="n"/>
    </row>
    <row r="28">
      <c r="B28" s="9"/>
      <c r="C28" s="9"/>
      <c r="D28" s="14" t="s">
        <v>288</v>
      </c>
      <c r="E28" s="47" t="n"/>
      <c r="F28" s="47" t="n"/>
      <c r="G28" s="47" t="n"/>
    </row>
    <row r="29">
      <c r="B29" s="9"/>
      <c r="C29" s="9"/>
      <c r="D29" s="13" t="s">
        <v>289</v>
      </c>
      <c r="E29" s="46" t="n"/>
      <c r="F29" s="46" t="n"/>
      <c r="G29" s="46" t="n"/>
    </row>
    <row r="30">
      <c r="B30" s="9"/>
      <c r="C30" s="9"/>
      <c r="D30" s="14" t="s">
        <v>290</v>
      </c>
      <c r="E30" s="47" t="n"/>
      <c r="F30" s="47" t="n"/>
      <c r="G30" s="47" t="n"/>
    </row>
    <row r="31">
      <c r="B31" s="9"/>
      <c r="C31" s="9"/>
      <c r="D31" s="13" t="s">
        <v>291</v>
      </c>
      <c r="E31" s="46" t="n"/>
      <c r="F31" s="46" t="n"/>
      <c r="G31" s="46" t="n"/>
    </row>
    <row r="32">
      <c r="B32" s="9"/>
      <c r="C32" s="9"/>
      <c r="D32" s="14" t="s">
        <v>292</v>
      </c>
      <c r="E32" s="47" t="n"/>
      <c r="F32" s="47" t="n"/>
      <c r="G32" s="47" t="n"/>
    </row>
    <row r="33">
      <c r="B33" s="9"/>
      <c r="C33" s="10"/>
      <c r="D33" s="53" t="s">
        <v>293</v>
      </c>
      <c r="E33" s="46" t="n">
        <f>SUM(E27:E32)</f>
      </c>
      <c r="F33" s="46" t="n">
        <f>SUM(F27:F32)</f>
      </c>
      <c r="G33" s="46" t="n">
        <f>SUM(G27:G32)</f>
      </c>
    </row>
    <row r="34">
      <c r="B34" s="9"/>
      <c r="C34" s="10" t="s">
        <v>294</v>
      </c>
      <c r="D34" s="8"/>
      <c r="E34" s="47" t="n"/>
      <c r="F34" s="47" t="n"/>
      <c r="G34" s="47" t="n"/>
    </row>
    <row r="35">
      <c r="B35" s="9"/>
      <c r="C35" s="37" t="s">
        <v>295</v>
      </c>
      <c r="D35" s="35"/>
      <c r="E35" s="46" t="n"/>
      <c r="F35" s="46" t="n"/>
      <c r="G35" s="46" t="n"/>
    </row>
    <row r="36">
      <c r="B36" s="9"/>
      <c r="C36" s="7" t="s">
        <v>296</v>
      </c>
      <c r="D36" s="8"/>
      <c r="E36" s="18"/>
      <c r="F36" s="18"/>
      <c r="G36" s="18"/>
    </row>
    <row r="37">
      <c r="B37" s="9"/>
      <c r="C37" s="9"/>
      <c r="D37" s="13" t="s">
        <v>297</v>
      </c>
      <c r="E37" s="46" t="n"/>
      <c r="F37" s="46" t="n"/>
      <c r="G37" s="46" t="n"/>
    </row>
    <row r="38">
      <c r="B38" s="9"/>
      <c r="C38" s="9"/>
      <c r="D38" s="14" t="s">
        <v>298</v>
      </c>
      <c r="E38" s="47" t="n"/>
      <c r="F38" s="47" t="n"/>
      <c r="G38" s="47" t="n"/>
    </row>
    <row r="39">
      <c r="B39" s="9"/>
      <c r="C39" s="9"/>
      <c r="D39" s="13" t="s">
        <v>299</v>
      </c>
      <c r="E39" s="46" t="n"/>
      <c r="F39" s="46" t="n"/>
      <c r="G39" s="46" t="n"/>
    </row>
    <row r="40">
      <c r="B40" s="9"/>
      <c r="C40" s="9"/>
      <c r="D40" s="14" t="s">
        <v>300</v>
      </c>
      <c r="E40" s="47" t="n"/>
      <c r="F40" s="47" t="n"/>
      <c r="G40" s="47" t="n"/>
    </row>
    <row r="41">
      <c r="B41" s="9"/>
      <c r="C41" s="9"/>
      <c r="D41" s="13" t="s">
        <v>301</v>
      </c>
      <c r="E41" s="46" t="n"/>
      <c r="F41" s="46" t="n"/>
      <c r="G41" s="46" t="n"/>
    </row>
    <row r="42">
      <c r="B42" s="9"/>
      <c r="C42" s="9"/>
      <c r="D42" s="14" t="s">
        <v>302</v>
      </c>
      <c r="E42" s="47" t="n"/>
      <c r="F42" s="47" t="n"/>
      <c r="G42" s="47" t="n"/>
    </row>
    <row r="43">
      <c r="B43" s="9"/>
      <c r="C43" s="9"/>
      <c r="D43" s="13" t="s">
        <v>303</v>
      </c>
      <c r="E43" s="46" t="n"/>
      <c r="F43" s="46" t="n"/>
      <c r="G43" s="46" t="n"/>
    </row>
    <row r="44">
      <c r="B44" s="9"/>
      <c r="C44" s="9"/>
      <c r="D44" s="14" t="s">
        <v>304</v>
      </c>
      <c r="E44" s="47" t="n"/>
      <c r="F44" s="47" t="n"/>
      <c r="G44" s="47" t="n"/>
    </row>
    <row r="45">
      <c r="B45" s="9"/>
      <c r="C45" s="9"/>
      <c r="D45" s="13" t="s">
        <v>305</v>
      </c>
      <c r="E45" s="46" t="n"/>
      <c r="F45" s="46" t="n"/>
      <c r="G45" s="46" t="n"/>
    </row>
    <row r="46">
      <c r="B46" s="9"/>
      <c r="C46" s="9"/>
      <c r="D46" s="14" t="s">
        <v>306</v>
      </c>
      <c r="E46" s="47" t="n"/>
      <c r="F46" s="47" t="n"/>
      <c r="G46" s="47" t="n"/>
    </row>
    <row r="47">
      <c r="B47" s="9"/>
      <c r="C47" s="9"/>
      <c r="D47" s="13" t="s">
        <v>307</v>
      </c>
      <c r="E47" s="46" t="n"/>
      <c r="F47" s="46" t="n"/>
      <c r="G47" s="46" t="n"/>
    </row>
    <row r="48">
      <c r="B48" s="9"/>
      <c r="C48" s="9"/>
      <c r="D48" s="14" t="s">
        <v>308</v>
      </c>
      <c r="E48" s="47" t="n"/>
      <c r="F48" s="47" t="n"/>
      <c r="G48" s="47" t="n"/>
    </row>
    <row r="49">
      <c r="B49" s="9"/>
      <c r="C49" s="9"/>
      <c r="D49" s="13" t="s">
        <v>309</v>
      </c>
      <c r="E49" s="46" t="n"/>
      <c r="F49" s="46" t="n"/>
      <c r="G49" s="46" t="n"/>
    </row>
    <row r="50">
      <c r="B50" s="9"/>
      <c r="C50" s="10"/>
      <c r="D50" s="14" t="s">
        <v>310</v>
      </c>
      <c r="E50" s="47" t="n">
        <f>SUM(E37:E49)</f>
      </c>
      <c r="F50" s="47" t="n">
        <f>SUM(F37:F49)</f>
      </c>
      <c r="G50" s="47" t="n">
        <f>SUM(G37:G49)</f>
      </c>
    </row>
    <row r="51">
      <c r="B51" s="9"/>
      <c r="C51" s="33" t="s">
        <v>311</v>
      </c>
      <c r="D51" s="35"/>
      <c r="E51" s="17"/>
      <c r="F51" s="17"/>
      <c r="G51" s="17"/>
    </row>
    <row r="52">
      <c r="B52" s="9"/>
      <c r="C52" s="36"/>
      <c r="D52" s="14" t="s">
        <v>312</v>
      </c>
      <c r="E52" s="47" t="n"/>
      <c r="F52" s="47" t="n"/>
      <c r="G52" s="47" t="n"/>
    </row>
    <row r="53">
      <c r="B53" s="9"/>
      <c r="C53" s="36"/>
      <c r="D53" s="13" t="s">
        <v>313</v>
      </c>
      <c r="E53" s="46" t="n"/>
      <c r="F53" s="46" t="n"/>
      <c r="G53" s="46" t="n"/>
    </row>
    <row r="54">
      <c r="B54" s="9"/>
      <c r="C54" s="36"/>
      <c r="D54" s="14" t="s">
        <v>314</v>
      </c>
      <c r="E54" s="47" t="n"/>
      <c r="F54" s="47" t="n"/>
      <c r="G54" s="47" t="n"/>
    </row>
    <row r="55">
      <c r="B55" s="9"/>
      <c r="C55" s="36"/>
      <c r="D55" s="13" t="s">
        <v>315</v>
      </c>
      <c r="E55" s="46" t="n"/>
      <c r="F55" s="46" t="n"/>
      <c r="G55" s="46" t="n"/>
    </row>
    <row r="56">
      <c r="B56" s="9"/>
      <c r="C56" s="36"/>
      <c r="D56" s="14" t="s">
        <v>316</v>
      </c>
      <c r="E56" s="47" t="n"/>
      <c r="F56" s="47" t="n"/>
      <c r="G56" s="47" t="n"/>
    </row>
    <row r="57">
      <c r="B57" s="9"/>
      <c r="C57" s="36"/>
      <c r="D57" s="13" t="s">
        <v>317</v>
      </c>
      <c r="E57" s="46" t="n"/>
      <c r="F57" s="46" t="n"/>
      <c r="G57" s="46" t="n"/>
    </row>
    <row r="58">
      <c r="B58" s="9"/>
      <c r="C58" s="36"/>
      <c r="D58" s="14" t="s">
        <v>318</v>
      </c>
      <c r="E58" s="47" t="n"/>
      <c r="F58" s="47" t="n"/>
      <c r="G58" s="47" t="n"/>
    </row>
    <row r="59">
      <c r="B59" s="9"/>
      <c r="C59" s="36"/>
      <c r="D59" s="13" t="s">
        <v>319</v>
      </c>
      <c r="E59" s="46" t="n"/>
      <c r="F59" s="46" t="n"/>
      <c r="G59" s="46" t="n"/>
    </row>
    <row r="60">
      <c r="B60" s="9"/>
      <c r="C60" s="36"/>
      <c r="D60" s="14" t="s">
        <v>320</v>
      </c>
      <c r="E60" s="47" t="n"/>
      <c r="F60" s="47" t="n"/>
      <c r="G60" s="47" t="n"/>
    </row>
    <row r="61">
      <c r="B61" s="9"/>
      <c r="C61" s="36"/>
      <c r="D61" s="13" t="s">
        <v>321</v>
      </c>
      <c r="E61" s="46" t="n"/>
      <c r="F61" s="46" t="n"/>
      <c r="G61" s="46" t="n"/>
    </row>
    <row r="62">
      <c r="B62" s="9"/>
      <c r="C62" s="36"/>
      <c r="D62" s="14" t="s">
        <v>322</v>
      </c>
      <c r="E62" s="47" t="n"/>
      <c r="F62" s="47" t="n"/>
      <c r="G62" s="47" t="n"/>
    </row>
    <row r="63">
      <c r="B63" s="9"/>
      <c r="C63" s="37"/>
      <c r="D63" s="53" t="s">
        <v>323</v>
      </c>
      <c r="E63" s="46" t="n">
        <f>SUM(E52:E62)</f>
      </c>
      <c r="F63" s="46" t="n">
        <f>SUM(F52:F62)</f>
      </c>
      <c r="G63" s="46" t="n">
        <f>SUM(G52:G62)</f>
      </c>
    </row>
    <row r="64">
      <c r="B64" s="9"/>
      <c r="C64" s="7" t="s">
        <v>324</v>
      </c>
      <c r="D64" s="8"/>
      <c r="E64" s="18"/>
      <c r="F64" s="18"/>
      <c r="G64" s="18"/>
    </row>
    <row r="65">
      <c r="B65" s="9"/>
      <c r="C65" s="9"/>
      <c r="D65" s="13" t="s">
        <v>325</v>
      </c>
      <c r="E65" s="46" t="n"/>
      <c r="F65" s="46" t="n"/>
      <c r="G65" s="46" t="n"/>
    </row>
    <row r="66">
      <c r="B66" s="9"/>
      <c r="C66" s="9"/>
      <c r="D66" s="14" t="s">
        <v>326</v>
      </c>
      <c r="E66" s="47" t="n"/>
      <c r="F66" s="47" t="n"/>
      <c r="G66" s="47" t="n"/>
    </row>
    <row r="67">
      <c r="B67" s="9"/>
      <c r="C67" s="9"/>
      <c r="D67" s="13" t="s">
        <v>327</v>
      </c>
      <c r="E67" s="46" t="n"/>
      <c r="F67" s="46" t="n"/>
      <c r="G67" s="46" t="n"/>
    </row>
    <row r="68">
      <c r="B68" s="9"/>
      <c r="C68" s="9"/>
      <c r="D68" s="14" t="s">
        <v>328</v>
      </c>
      <c r="E68" s="47" t="n"/>
      <c r="F68" s="47" t="n"/>
      <c r="G68" s="47" t="n"/>
    </row>
    <row r="69">
      <c r="B69" s="9"/>
      <c r="C69" s="9"/>
      <c r="D69" s="13" t="s">
        <v>329</v>
      </c>
      <c r="E69" s="46" t="n"/>
      <c r="F69" s="46" t="n"/>
      <c r="G69" s="46" t="n"/>
    </row>
    <row r="70">
      <c r="B70" s="9"/>
      <c r="C70" s="9"/>
      <c r="D70" s="14" t="s">
        <v>330</v>
      </c>
      <c r="E70" s="47" t="n"/>
      <c r="F70" s="47" t="n"/>
      <c r="G70" s="47" t="n"/>
    </row>
    <row r="71">
      <c r="B71" s="9"/>
      <c r="C71" s="10"/>
      <c r="D71" s="53" t="s">
        <v>331</v>
      </c>
      <c r="E71" s="46" t="n">
        <f>SUM(E65:E70)</f>
      </c>
      <c r="F71" s="46" t="n">
        <f>SUM(F65:F70)</f>
      </c>
      <c r="G71" s="46" t="n">
        <f>SUM(G65:G70)</f>
      </c>
    </row>
    <row r="72">
      <c r="B72" s="9"/>
      <c r="C72" s="10" t="s">
        <v>332</v>
      </c>
      <c r="D72" s="8"/>
      <c r="E72" s="47" t="n"/>
      <c r="F72" s="47" t="n"/>
      <c r="G72" s="47" t="n"/>
    </row>
    <row r="73">
      <c r="B73" s="9"/>
      <c r="C73" s="37" t="s">
        <v>333</v>
      </c>
      <c r="D73" s="35"/>
      <c r="E73" s="46" t="n"/>
      <c r="F73" s="46" t="n"/>
      <c r="G73" s="46" t="n"/>
    </row>
    <row r="74">
      <c r="B74" s="9"/>
      <c r="C74" s="10" t="s">
        <v>334</v>
      </c>
      <c r="D74" s="8"/>
      <c r="E74" s="47" t="n"/>
      <c r="F74" s="47" t="n"/>
      <c r="G74" s="47" t="n"/>
    </row>
    <row r="75">
      <c r="B75" s="9"/>
      <c r="C75" s="37" t="s">
        <v>335</v>
      </c>
      <c r="D75" s="35"/>
      <c r="E75" s="46" t="n"/>
      <c r="F75" s="46" t="n"/>
      <c r="G75" s="46" t="n"/>
    </row>
    <row r="76">
      <c r="B76" s="9"/>
      <c r="C76" s="10" t="s">
        <v>336</v>
      </c>
      <c r="D76" s="8"/>
      <c r="E76" s="47" t="n"/>
      <c r="F76" s="47" t="n"/>
      <c r="G76" s="47" t="n"/>
    </row>
    <row r="77">
      <c r="B77" s="9"/>
      <c r="C77" s="37" t="s">
        <v>337</v>
      </c>
      <c r="D77" s="35"/>
      <c r="E77" s="46" t="n"/>
      <c r="F77" s="46" t="n"/>
      <c r="G77" s="46" t="n"/>
    </row>
    <row r="78">
      <c r="B78" s="9"/>
      <c r="C78" s="10" t="s">
        <v>338</v>
      </c>
      <c r="D78" s="8"/>
      <c r="E78" s="47" t="n"/>
      <c r="F78" s="47" t="n"/>
      <c r="G78" s="47" t="n"/>
    </row>
    <row r="79">
      <c r="B79" s="9"/>
      <c r="C79" s="37" t="s">
        <v>339</v>
      </c>
      <c r="D79" s="35"/>
      <c r="E79" s="46" t="n"/>
      <c r="F79" s="46" t="n"/>
      <c r="G79" s="46" t="n"/>
    </row>
    <row r="80">
      <c r="B80" s="9"/>
      <c r="C80" s="10" t="s">
        <v>340</v>
      </c>
      <c r="D80" s="8"/>
      <c r="E80" s="47" t="n"/>
      <c r="F80" s="47" t="n"/>
      <c r="G80" s="47" t="n"/>
    </row>
    <row r="81">
      <c r="B81" s="9"/>
      <c r="C81" s="37" t="s">
        <v>341</v>
      </c>
      <c r="D81" s="35"/>
      <c r="E81" s="46" t="n"/>
      <c r="F81" s="46" t="n"/>
      <c r="G81" s="46" t="n"/>
    </row>
    <row r="82">
      <c r="B82" s="10"/>
      <c r="C82" s="40" t="s">
        <v>342</v>
      </c>
      <c r="D82" s="39"/>
      <c r="E82" s="52" t="n">
        <f>SUM(E13:E19)+E24+E25+SUM(E33:E35)+E50+E63+SUM(E71:E81)</f>
      </c>
      <c r="F82" s="52" t="n">
        <f>SUM(F13:F19)+F24+F25+SUM(F33:F35)+F50+F63+SUM(F71:F81)</f>
      </c>
      <c r="G82" s="52"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14.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346</v>
      </c>
    </row>
    <row r="6">
      <c r="B6" t="s" s="1">
        <v>8</v>
      </c>
      <c r="C6" t="s">
        <v>9</v>
      </c>
    </row>
    <row r="7">
      <c r="B7" t="s" s="1">
        <v>10</v>
      </c>
      <c r="C7" t="s">
        <v>9</v>
      </c>
    </row>
    <row r="8">
      <c r="B8" t="s" s="1">
        <v>11</v>
      </c>
      <c r="C8" t="s">
        <v>12</v>
      </c>
    </row>
    <row r="10">
      <c r="E10" t="s" s="4">
        <v>29</v>
      </c>
      <c r="F10" s="24"/>
      <c r="G10" s="25"/>
    </row>
    <row r="11">
      <c r="E11" t="s" s="29">
        <v>347</v>
      </c>
      <c r="F11" t="s" s="6">
        <v>348</v>
      </c>
      <c r="G11" s="31"/>
    </row>
    <row r="12">
      <c r="B12" s="7" t="s">
        <v>272</v>
      </c>
      <c r="C12" s="32"/>
      <c r="D12" s="8"/>
      <c r="E12" s="18"/>
      <c r="F12" s="18"/>
      <c r="G12" s="18"/>
    </row>
    <row r="13">
      <c r="B13" s="9"/>
      <c r="C13" s="37" t="s">
        <v>273</v>
      </c>
      <c r="D13" s="35"/>
      <c r="E13" s="46" t="n"/>
      <c r="F13" s="46" t="n"/>
      <c r="G13" s="46" t="n"/>
    </row>
    <row r="14">
      <c r="B14" s="9"/>
      <c r="C14" s="10" t="s">
        <v>274</v>
      </c>
      <c r="D14" s="8"/>
      <c r="E14" s="47" t="n"/>
      <c r="F14" s="47" t="n"/>
      <c r="G14" s="47" t="n"/>
    </row>
    <row r="15">
      <c r="B15" s="9"/>
      <c r="C15" s="37" t="s">
        <v>275</v>
      </c>
      <c r="D15" s="35"/>
      <c r="E15" s="46" t="n"/>
      <c r="F15" s="46" t="n"/>
      <c r="G15" s="46" t="n"/>
    </row>
    <row r="16">
      <c r="B16" s="9"/>
      <c r="C16" s="10" t="s">
        <v>276</v>
      </c>
      <c r="D16" s="8"/>
      <c r="E16" s="47" t="n"/>
      <c r="F16" s="47" t="n"/>
      <c r="G16" s="47" t="n"/>
    </row>
    <row r="17">
      <c r="B17" s="9"/>
      <c r="C17" s="37" t="s">
        <v>277</v>
      </c>
      <c r="D17" s="35"/>
      <c r="E17" s="46" t="n"/>
      <c r="F17" s="46" t="n"/>
      <c r="G17" s="46" t="n"/>
    </row>
    <row r="18">
      <c r="B18" s="9"/>
      <c r="C18" s="10" t="s">
        <v>278</v>
      </c>
      <c r="D18" s="8"/>
      <c r="E18" s="47" t="n"/>
      <c r="F18" s="47" t="n"/>
      <c r="G18" s="47" t="n"/>
    </row>
    <row r="19">
      <c r="B19" s="9"/>
      <c r="C19" s="37" t="s">
        <v>279</v>
      </c>
      <c r="D19" s="35"/>
      <c r="E19" s="46" t="n"/>
      <c r="F19" s="46" t="n"/>
      <c r="G19" s="46" t="n"/>
    </row>
    <row r="20">
      <c r="B20" s="9"/>
      <c r="C20" s="7" t="s">
        <v>280</v>
      </c>
      <c r="D20" s="8"/>
      <c r="E20" s="18"/>
      <c r="F20" s="18"/>
      <c r="G20" s="18"/>
    </row>
    <row r="21">
      <c r="B21" s="9"/>
      <c r="C21" s="9"/>
      <c r="D21" s="13" t="s">
        <v>281</v>
      </c>
      <c r="E21" s="46" t="n"/>
      <c r="F21" s="46" t="n"/>
      <c r="G21" s="46" t="n"/>
    </row>
    <row r="22">
      <c r="B22" s="9"/>
      <c r="C22" s="9"/>
      <c r="D22" s="14" t="s">
        <v>282</v>
      </c>
      <c r="E22" s="47" t="n"/>
      <c r="F22" s="47" t="n"/>
      <c r="G22" s="47" t="n"/>
    </row>
    <row r="23">
      <c r="B23" s="9"/>
      <c r="C23" s="9"/>
      <c r="D23" s="13" t="s">
        <v>283</v>
      </c>
      <c r="E23" s="46" t="n"/>
      <c r="F23" s="46" t="n"/>
      <c r="G23" s="46" t="n"/>
    </row>
    <row r="24">
      <c r="B24" s="9"/>
      <c r="C24" s="10"/>
      <c r="D24" s="51" t="s">
        <v>284</v>
      </c>
      <c r="E24" s="47" t="n">
        <f>SUM(E21:E23)</f>
      </c>
      <c r="F24" s="47" t="n">
        <f>SUM(F21:F23)</f>
      </c>
      <c r="G24" s="47" t="n">
        <f>SUM(G21:G23)</f>
      </c>
    </row>
    <row r="25">
      <c r="B25" s="9"/>
      <c r="C25" s="37" t="s">
        <v>285</v>
      </c>
      <c r="D25" s="35"/>
      <c r="E25" s="46" t="n"/>
      <c r="F25" s="46" t="n"/>
      <c r="G25" s="46" t="n"/>
    </row>
    <row r="26">
      <c r="B26" s="9"/>
      <c r="C26" s="7" t="s">
        <v>286</v>
      </c>
      <c r="D26" s="8"/>
      <c r="E26" s="18"/>
      <c r="F26" s="18"/>
      <c r="G26" s="18"/>
    </row>
    <row r="27">
      <c r="B27" s="9"/>
      <c r="C27" s="9"/>
      <c r="D27" s="13" t="s">
        <v>287</v>
      </c>
      <c r="E27" s="46" t="n"/>
      <c r="F27" s="46" t="n"/>
      <c r="G27" s="46" t="n"/>
    </row>
    <row r="28">
      <c r="B28" s="9"/>
      <c r="C28" s="9"/>
      <c r="D28" s="14" t="s">
        <v>288</v>
      </c>
      <c r="E28" s="47" t="n"/>
      <c r="F28" s="47" t="n"/>
      <c r="G28" s="47" t="n"/>
    </row>
    <row r="29">
      <c r="B29" s="9"/>
      <c r="C29" s="9"/>
      <c r="D29" s="13" t="s">
        <v>289</v>
      </c>
      <c r="E29" s="46" t="n"/>
      <c r="F29" s="46" t="n"/>
      <c r="G29" s="46" t="n"/>
    </row>
    <row r="30">
      <c r="B30" s="9"/>
      <c r="C30" s="9"/>
      <c r="D30" s="14" t="s">
        <v>290</v>
      </c>
      <c r="E30" s="47" t="n"/>
      <c r="F30" s="47" t="n"/>
      <c r="G30" s="47" t="n"/>
    </row>
    <row r="31">
      <c r="B31" s="9"/>
      <c r="C31" s="9"/>
      <c r="D31" s="13" t="s">
        <v>291</v>
      </c>
      <c r="E31" s="46" t="n"/>
      <c r="F31" s="46" t="n"/>
      <c r="G31" s="46" t="n"/>
    </row>
    <row r="32">
      <c r="B32" s="9"/>
      <c r="C32" s="9"/>
      <c r="D32" s="14" t="s">
        <v>292</v>
      </c>
      <c r="E32" s="47" t="n"/>
      <c r="F32" s="47" t="n"/>
      <c r="G32" s="47" t="n"/>
    </row>
    <row r="33">
      <c r="B33" s="9"/>
      <c r="C33" s="10"/>
      <c r="D33" s="53" t="s">
        <v>293</v>
      </c>
      <c r="E33" s="46" t="n">
        <f>SUM(E27:E32)</f>
      </c>
      <c r="F33" s="46" t="n">
        <f>SUM(F27:F32)</f>
      </c>
      <c r="G33" s="46" t="n">
        <f>SUM(G27:G32)</f>
      </c>
    </row>
    <row r="34">
      <c r="B34" s="9"/>
      <c r="C34" s="10" t="s">
        <v>294</v>
      </c>
      <c r="D34" s="8"/>
      <c r="E34" s="47" t="n"/>
      <c r="F34" s="47" t="n"/>
      <c r="G34" s="47" t="n"/>
    </row>
    <row r="35">
      <c r="B35" s="9"/>
      <c r="C35" s="37" t="s">
        <v>295</v>
      </c>
      <c r="D35" s="35"/>
      <c r="E35" s="46" t="n"/>
      <c r="F35" s="46" t="n"/>
      <c r="G35" s="46" t="n"/>
    </row>
    <row r="36">
      <c r="B36" s="9"/>
      <c r="C36" s="7" t="s">
        <v>296</v>
      </c>
      <c r="D36" s="8"/>
      <c r="E36" s="18"/>
      <c r="F36" s="18"/>
      <c r="G36" s="18"/>
    </row>
    <row r="37">
      <c r="B37" s="9"/>
      <c r="C37" s="9"/>
      <c r="D37" s="13" t="s">
        <v>297</v>
      </c>
      <c r="E37" s="46" t="n"/>
      <c r="F37" s="46" t="n"/>
      <c r="G37" s="46" t="n"/>
    </row>
    <row r="38">
      <c r="B38" s="9"/>
      <c r="C38" s="9"/>
      <c r="D38" s="14" t="s">
        <v>298</v>
      </c>
      <c r="E38" s="47" t="n"/>
      <c r="F38" s="47" t="n"/>
      <c r="G38" s="47" t="n"/>
    </row>
    <row r="39">
      <c r="B39" s="9"/>
      <c r="C39" s="9"/>
      <c r="D39" s="13" t="s">
        <v>299</v>
      </c>
      <c r="E39" s="46" t="n"/>
      <c r="F39" s="46" t="n"/>
      <c r="G39" s="46" t="n"/>
    </row>
    <row r="40">
      <c r="B40" s="9"/>
      <c r="C40" s="9"/>
      <c r="D40" s="14" t="s">
        <v>300</v>
      </c>
      <c r="E40" s="47" t="n"/>
      <c r="F40" s="47" t="n"/>
      <c r="G40" s="47" t="n"/>
    </row>
    <row r="41">
      <c r="B41" s="9"/>
      <c r="C41" s="9"/>
      <c r="D41" s="13" t="s">
        <v>301</v>
      </c>
      <c r="E41" s="46" t="n"/>
      <c r="F41" s="46" t="n"/>
      <c r="G41" s="46" t="n"/>
    </row>
    <row r="42">
      <c r="B42" s="9"/>
      <c r="C42" s="9"/>
      <c r="D42" s="14" t="s">
        <v>302</v>
      </c>
      <c r="E42" s="47" t="n"/>
      <c r="F42" s="47" t="n"/>
      <c r="G42" s="47" t="n"/>
    </row>
    <row r="43">
      <c r="B43" s="9"/>
      <c r="C43" s="9"/>
      <c r="D43" s="13" t="s">
        <v>303</v>
      </c>
      <c r="E43" s="46" t="n"/>
      <c r="F43" s="46" t="n"/>
      <c r="G43" s="46" t="n"/>
    </row>
    <row r="44">
      <c r="B44" s="9"/>
      <c r="C44" s="9"/>
      <c r="D44" s="14" t="s">
        <v>304</v>
      </c>
      <c r="E44" s="47" t="n"/>
      <c r="F44" s="47" t="n"/>
      <c r="G44" s="47" t="n"/>
    </row>
    <row r="45">
      <c r="B45" s="9"/>
      <c r="C45" s="9"/>
      <c r="D45" s="13" t="s">
        <v>305</v>
      </c>
      <c r="E45" s="46" t="n"/>
      <c r="F45" s="46" t="n"/>
      <c r="G45" s="46" t="n"/>
    </row>
    <row r="46">
      <c r="B46" s="9"/>
      <c r="C46" s="9"/>
      <c r="D46" s="14" t="s">
        <v>306</v>
      </c>
      <c r="E46" s="47" t="n"/>
      <c r="F46" s="47" t="n"/>
      <c r="G46" s="47" t="n"/>
    </row>
    <row r="47">
      <c r="B47" s="9"/>
      <c r="C47" s="9"/>
      <c r="D47" s="13" t="s">
        <v>307</v>
      </c>
      <c r="E47" s="46" t="n"/>
      <c r="F47" s="46" t="n"/>
      <c r="G47" s="46" t="n"/>
    </row>
    <row r="48">
      <c r="B48" s="9"/>
      <c r="C48" s="9"/>
      <c r="D48" s="14" t="s">
        <v>308</v>
      </c>
      <c r="E48" s="47" t="n"/>
      <c r="F48" s="47" t="n"/>
      <c r="G48" s="47" t="n"/>
    </row>
    <row r="49">
      <c r="B49" s="9"/>
      <c r="C49" s="9"/>
      <c r="D49" s="13" t="s">
        <v>309</v>
      </c>
      <c r="E49" s="46" t="n"/>
      <c r="F49" s="46" t="n"/>
      <c r="G49" s="46" t="n"/>
    </row>
    <row r="50">
      <c r="B50" s="9"/>
      <c r="C50" s="10"/>
      <c r="D50" s="14" t="s">
        <v>310</v>
      </c>
      <c r="E50" s="47" t="n">
        <f>SUM(E37:E49)</f>
      </c>
      <c r="F50" s="47" t="n">
        <f>SUM(F37:F49)</f>
      </c>
      <c r="G50" s="47" t="n">
        <f>SUM(G37:G49)</f>
      </c>
    </row>
    <row r="51">
      <c r="B51" s="9"/>
      <c r="C51" s="33" t="s">
        <v>311</v>
      </c>
      <c r="D51" s="35"/>
      <c r="E51" s="17"/>
      <c r="F51" s="17"/>
      <c r="G51" s="17"/>
    </row>
    <row r="52">
      <c r="B52" s="9"/>
      <c r="C52" s="36"/>
      <c r="D52" s="14" t="s">
        <v>312</v>
      </c>
      <c r="E52" s="47" t="n"/>
      <c r="F52" s="47" t="n"/>
      <c r="G52" s="47" t="n"/>
    </row>
    <row r="53">
      <c r="B53" s="9"/>
      <c r="C53" s="36"/>
      <c r="D53" s="13" t="s">
        <v>313</v>
      </c>
      <c r="E53" s="46" t="n"/>
      <c r="F53" s="46" t="n"/>
      <c r="G53" s="46" t="n"/>
    </row>
    <row r="54">
      <c r="B54" s="9"/>
      <c r="C54" s="36"/>
      <c r="D54" s="14" t="s">
        <v>314</v>
      </c>
      <c r="E54" s="47" t="n"/>
      <c r="F54" s="47" t="n"/>
      <c r="G54" s="47" t="n"/>
    </row>
    <row r="55">
      <c r="B55" s="9"/>
      <c r="C55" s="36"/>
      <c r="D55" s="13" t="s">
        <v>315</v>
      </c>
      <c r="E55" s="46" t="n"/>
      <c r="F55" s="46" t="n"/>
      <c r="G55" s="46" t="n"/>
    </row>
    <row r="56">
      <c r="B56" s="9"/>
      <c r="C56" s="36"/>
      <c r="D56" s="14" t="s">
        <v>316</v>
      </c>
      <c r="E56" s="47" t="n"/>
      <c r="F56" s="47" t="n"/>
      <c r="G56" s="47" t="n"/>
    </row>
    <row r="57">
      <c r="B57" s="9"/>
      <c r="C57" s="36"/>
      <c r="D57" s="13" t="s">
        <v>317</v>
      </c>
      <c r="E57" s="46" t="n"/>
      <c r="F57" s="46" t="n"/>
      <c r="G57" s="46" t="n"/>
    </row>
    <row r="58">
      <c r="B58" s="9"/>
      <c r="C58" s="36"/>
      <c r="D58" s="14" t="s">
        <v>318</v>
      </c>
      <c r="E58" s="47" t="n"/>
      <c r="F58" s="47" t="n"/>
      <c r="G58" s="47" t="n"/>
    </row>
    <row r="59">
      <c r="B59" s="9"/>
      <c r="C59" s="36"/>
      <c r="D59" s="13" t="s">
        <v>319</v>
      </c>
      <c r="E59" s="46" t="n"/>
      <c r="F59" s="46" t="n"/>
      <c r="G59" s="46" t="n"/>
    </row>
    <row r="60">
      <c r="B60" s="9"/>
      <c r="C60" s="36"/>
      <c r="D60" s="14" t="s">
        <v>320</v>
      </c>
      <c r="E60" s="47" t="n"/>
      <c r="F60" s="47" t="n"/>
      <c r="G60" s="47" t="n"/>
    </row>
    <row r="61">
      <c r="B61" s="9"/>
      <c r="C61" s="36"/>
      <c r="D61" s="13" t="s">
        <v>321</v>
      </c>
      <c r="E61" s="46" t="n"/>
      <c r="F61" s="46" t="n"/>
      <c r="G61" s="46" t="n"/>
    </row>
    <row r="62">
      <c r="B62" s="9"/>
      <c r="C62" s="36"/>
      <c r="D62" s="14" t="s">
        <v>322</v>
      </c>
      <c r="E62" s="47" t="n"/>
      <c r="F62" s="47" t="n"/>
      <c r="G62" s="47" t="n"/>
    </row>
    <row r="63">
      <c r="B63" s="9"/>
      <c r="C63" s="37"/>
      <c r="D63" s="53" t="s">
        <v>323</v>
      </c>
      <c r="E63" s="46" t="n">
        <f>SUM(E52:E62)</f>
      </c>
      <c r="F63" s="46" t="n">
        <f>SUM(F52:F62)</f>
      </c>
      <c r="G63" s="46" t="n">
        <f>SUM(G52:G62)</f>
      </c>
    </row>
    <row r="64">
      <c r="B64" s="9"/>
      <c r="C64" s="7" t="s">
        <v>324</v>
      </c>
      <c r="D64" s="8"/>
      <c r="E64" s="18"/>
      <c r="F64" s="18"/>
      <c r="G64" s="18"/>
    </row>
    <row r="65">
      <c r="B65" s="9"/>
      <c r="C65" s="9"/>
      <c r="D65" s="13" t="s">
        <v>325</v>
      </c>
      <c r="E65" s="46" t="n"/>
      <c r="F65" s="46" t="n"/>
      <c r="G65" s="46" t="n"/>
    </row>
    <row r="66">
      <c r="B66" s="9"/>
      <c r="C66" s="9"/>
      <c r="D66" s="14" t="s">
        <v>326</v>
      </c>
      <c r="E66" s="47" t="n"/>
      <c r="F66" s="47" t="n"/>
      <c r="G66" s="47" t="n"/>
    </row>
    <row r="67">
      <c r="B67" s="9"/>
      <c r="C67" s="9"/>
      <c r="D67" s="13" t="s">
        <v>327</v>
      </c>
      <c r="E67" s="46" t="n"/>
      <c r="F67" s="46" t="n"/>
      <c r="G67" s="46" t="n"/>
    </row>
    <row r="68">
      <c r="B68" s="9"/>
      <c r="C68" s="9"/>
      <c r="D68" s="14" t="s">
        <v>328</v>
      </c>
      <c r="E68" s="47" t="n"/>
      <c r="F68" s="47" t="n"/>
      <c r="G68" s="47" t="n"/>
    </row>
    <row r="69">
      <c r="B69" s="9"/>
      <c r="C69" s="9"/>
      <c r="D69" s="13" t="s">
        <v>329</v>
      </c>
      <c r="E69" s="46" t="n"/>
      <c r="F69" s="46" t="n"/>
      <c r="G69" s="46" t="n"/>
    </row>
    <row r="70">
      <c r="B70" s="9"/>
      <c r="C70" s="9"/>
      <c r="D70" s="14" t="s">
        <v>330</v>
      </c>
      <c r="E70" s="47" t="n"/>
      <c r="F70" s="47" t="n"/>
      <c r="G70" s="47" t="n"/>
    </row>
    <row r="71">
      <c r="B71" s="9"/>
      <c r="C71" s="10"/>
      <c r="D71" s="53" t="s">
        <v>331</v>
      </c>
      <c r="E71" s="46" t="n">
        <f>SUM(E65:E70)</f>
      </c>
      <c r="F71" s="46" t="n">
        <f>SUM(F65:F70)</f>
      </c>
      <c r="G71" s="46" t="n">
        <f>SUM(G65:G70)</f>
      </c>
    </row>
    <row r="72">
      <c r="B72" s="9"/>
      <c r="C72" s="10" t="s">
        <v>332</v>
      </c>
      <c r="D72" s="8"/>
      <c r="E72" s="47" t="n"/>
      <c r="F72" s="47" t="n"/>
      <c r="G72" s="47" t="n"/>
    </row>
    <row r="73">
      <c r="B73" s="9"/>
      <c r="C73" s="37" t="s">
        <v>333</v>
      </c>
      <c r="D73" s="35"/>
      <c r="E73" s="46" t="n"/>
      <c r="F73" s="46" t="n"/>
      <c r="G73" s="46" t="n"/>
    </row>
    <row r="74">
      <c r="B74" s="9"/>
      <c r="C74" s="10" t="s">
        <v>334</v>
      </c>
      <c r="D74" s="8"/>
      <c r="E74" s="47" t="n"/>
      <c r="F74" s="47" t="n"/>
      <c r="G74" s="47" t="n"/>
    </row>
    <row r="75">
      <c r="B75" s="9"/>
      <c r="C75" s="37" t="s">
        <v>335</v>
      </c>
      <c r="D75" s="35"/>
      <c r="E75" s="46" t="n"/>
      <c r="F75" s="46" t="n"/>
      <c r="G75" s="46" t="n"/>
    </row>
    <row r="76">
      <c r="B76" s="9"/>
      <c r="C76" s="10" t="s">
        <v>336</v>
      </c>
      <c r="D76" s="8"/>
      <c r="E76" s="47" t="n"/>
      <c r="F76" s="47" t="n"/>
      <c r="G76" s="47" t="n"/>
    </row>
    <row r="77">
      <c r="B77" s="9"/>
      <c r="C77" s="37" t="s">
        <v>337</v>
      </c>
      <c r="D77" s="35"/>
      <c r="E77" s="46" t="n"/>
      <c r="F77" s="46" t="n"/>
      <c r="G77" s="46" t="n"/>
    </row>
    <row r="78">
      <c r="B78" s="9"/>
      <c r="C78" s="10" t="s">
        <v>338</v>
      </c>
      <c r="D78" s="8"/>
      <c r="E78" s="47" t="n"/>
      <c r="F78" s="47" t="n"/>
      <c r="G78" s="47" t="n"/>
    </row>
    <row r="79">
      <c r="B79" s="9"/>
      <c r="C79" s="37" t="s">
        <v>339</v>
      </c>
      <c r="D79" s="35"/>
      <c r="E79" s="46" t="n"/>
      <c r="F79" s="46" t="n"/>
      <c r="G79" s="46" t="n"/>
    </row>
    <row r="80">
      <c r="B80" s="9"/>
      <c r="C80" s="10" t="s">
        <v>340</v>
      </c>
      <c r="D80" s="8"/>
      <c r="E80" s="47" t="n"/>
      <c r="F80" s="47" t="n"/>
      <c r="G80" s="47" t="n"/>
    </row>
    <row r="81">
      <c r="B81" s="9"/>
      <c r="C81" s="37" t="s">
        <v>341</v>
      </c>
      <c r="D81" s="35"/>
      <c r="E81" s="46" t="n"/>
      <c r="F81" s="46" t="n"/>
      <c r="G81" s="46" t="n"/>
    </row>
    <row r="82">
      <c r="B82" s="10"/>
      <c r="C82" s="40" t="s">
        <v>342</v>
      </c>
      <c r="D82" s="39"/>
      <c r="E82" s="52" t="n">
        <f>SUM(E13:E19)+E24+E25+SUM(E33:E35)+E50+E63+SUM(E71:E81)</f>
      </c>
      <c r="F82" s="52" t="n">
        <f>SUM(F13:F19)+F24+F25+SUM(F33:F35)+F50+F63+SUM(F71:F81)</f>
      </c>
      <c r="G82" s="52"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15.xml><?xml version="1.0" encoding="utf-8"?>
<worksheet xmlns="http://schemas.openxmlformats.org/spreadsheetml/2006/main">
  <dimension ref="B2:AI84"/>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s>
  <sheetData>
    <row r="2">
      <c r="B2" t="s" s="2">
        <v>1</v>
      </c>
    </row>
    <row r="3">
      <c r="B3" t="s" s="1">
        <v>3</v>
      </c>
      <c r="C3" t="s">
        <v>4</v>
      </c>
    </row>
    <row r="4">
      <c r="B4" s="1" t="s">
        <v>5</v>
      </c>
      <c r="C4" t="s">
        <v>6</v>
      </c>
    </row>
    <row r="5">
      <c r="B5" t="s" s="1">
        <v>7</v>
      </c>
      <c r="C5" t="s">
        <v>349</v>
      </c>
    </row>
    <row r="6">
      <c r="B6" t="s" s="1">
        <v>8</v>
      </c>
      <c r="C6" t="s">
        <v>9</v>
      </c>
    </row>
    <row r="7">
      <c r="B7" t="s" s="1">
        <v>10</v>
      </c>
      <c r="C7" t="s">
        <v>9</v>
      </c>
    </row>
    <row r="8">
      <c r="B8" t="s" s="1">
        <v>11</v>
      </c>
      <c r="C8" t="s">
        <v>12</v>
      </c>
    </row>
    <row r="10">
      <c r="E10" t="s" s="4">
        <v>30</v>
      </c>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5"/>
    </row>
    <row r="11">
      <c r="E11" t="s" s="27">
        <v>350</v>
      </c>
      <c r="F11" s="56"/>
      <c r="G11" s="56"/>
      <c r="H11" s="56"/>
      <c r="I11" s="56"/>
      <c r="J11" s="56"/>
      <c r="K11" s="56"/>
      <c r="L11" s="56"/>
      <c r="M11" s="56"/>
      <c r="N11" s="56"/>
      <c r="O11" s="56"/>
      <c r="P11" s="56"/>
      <c r="Q11" s="56"/>
      <c r="R11" s="56"/>
      <c r="S11" s="57"/>
      <c r="T11" t="s" s="4">
        <v>365</v>
      </c>
      <c r="U11" s="24"/>
      <c r="V11" s="24"/>
      <c r="W11" s="24"/>
      <c r="X11" s="24"/>
      <c r="Y11" s="24"/>
      <c r="Z11" s="24"/>
      <c r="AA11" s="24"/>
      <c r="AB11" s="24"/>
      <c r="AC11" s="24"/>
      <c r="AD11" s="24"/>
      <c r="AE11" s="25"/>
      <c r="AF11" t="s" s="5">
        <v>374</v>
      </c>
      <c r="AG11" t="s" s="28">
        <v>375</v>
      </c>
      <c r="AH11" s="60"/>
    </row>
    <row r="12">
      <c r="E12" t="s" s="4">
        <v>351</v>
      </c>
      <c r="F12" s="24"/>
      <c r="G12" s="25"/>
      <c r="H12" t="s" s="27">
        <v>354</v>
      </c>
      <c r="I12" s="56"/>
      <c r="J12" s="57"/>
      <c r="K12" t="s" s="4">
        <v>357</v>
      </c>
      <c r="L12" s="24"/>
      <c r="M12" s="25"/>
      <c r="N12" t="s" s="27">
        <v>360</v>
      </c>
      <c r="O12" s="56"/>
      <c r="P12" s="57"/>
      <c r="Q12" t="s" s="5">
        <v>363</v>
      </c>
      <c r="R12" t="s" s="28">
        <v>364</v>
      </c>
      <c r="S12" s="58"/>
      <c r="T12" t="s" s="27">
        <v>351</v>
      </c>
      <c r="U12" s="56"/>
      <c r="V12" s="57"/>
      <c r="W12" t="s" s="4">
        <v>357</v>
      </c>
      <c r="X12" s="24"/>
      <c r="Y12" s="25"/>
      <c r="Z12" t="s" s="27">
        <v>360</v>
      </c>
      <c r="AA12" s="56"/>
      <c r="AB12" s="57"/>
      <c r="AC12" t="s" s="5">
        <v>372</v>
      </c>
      <c r="AD12" t="s" s="28">
        <v>373</v>
      </c>
      <c r="AE12" s="26"/>
      <c r="AF12" s="26"/>
      <c r="AG12" s="58"/>
      <c r="AH12" s="60"/>
    </row>
    <row r="13" ht="28.0" customHeight="true">
      <c r="E13" t="s" s="29">
        <v>352</v>
      </c>
      <c r="F13" t="s" s="6">
        <v>353</v>
      </c>
      <c r="G13" s="30"/>
      <c r="H13" t="s" s="6">
        <v>355</v>
      </c>
      <c r="I13" t="s" s="29">
        <v>356</v>
      </c>
      <c r="J13" s="59"/>
      <c r="K13" t="s" s="29">
        <v>358</v>
      </c>
      <c r="L13" t="s" s="6">
        <v>359</v>
      </c>
      <c r="M13" s="30"/>
      <c r="N13" t="s" s="6">
        <v>361</v>
      </c>
      <c r="O13" t="s" s="29">
        <v>362</v>
      </c>
      <c r="P13" s="59"/>
      <c r="Q13" s="30"/>
      <c r="R13" s="59"/>
      <c r="S13" s="59"/>
      <c r="T13" t="s" s="6">
        <v>366</v>
      </c>
      <c r="U13" t="s" s="29">
        <v>367</v>
      </c>
      <c r="V13" s="59"/>
      <c r="W13" t="s" s="29">
        <v>368</v>
      </c>
      <c r="X13" t="s" s="6">
        <v>369</v>
      </c>
      <c r="Y13" s="30"/>
      <c r="Z13" t="s" s="6">
        <v>370</v>
      </c>
      <c r="AA13" t="s" s="29">
        <v>371</v>
      </c>
      <c r="AB13" s="59"/>
      <c r="AC13" s="30"/>
      <c r="AD13" s="59"/>
      <c r="AE13" s="30"/>
      <c r="AF13" s="30"/>
      <c r="AG13" s="59"/>
      <c r="AH13" s="31"/>
    </row>
    <row r="14">
      <c r="B14" s="7" t="s">
        <v>272</v>
      </c>
      <c r="C14" s="32"/>
      <c r="D14" s="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row>
    <row r="15">
      <c r="B15" s="9"/>
      <c r="C15" s="37" t="s">
        <v>273</v>
      </c>
      <c r="D15" s="35"/>
      <c r="E15" s="46" t="n"/>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c r="Z15" s="46" t="n"/>
      <c r="AA15" s="46" t="n"/>
      <c r="AB15" s="46" t="n"/>
      <c r="AC15" s="46" t="n"/>
      <c r="AD15" s="46" t="n"/>
      <c r="AE15" s="46" t="n"/>
      <c r="AF15" s="46" t="n"/>
      <c r="AG15" s="46" t="n"/>
      <c r="AH15" s="46" t="n"/>
    </row>
    <row r="16">
      <c r="B16" s="9"/>
      <c r="C16" s="10" t="s">
        <v>274</v>
      </c>
      <c r="D16" s="8"/>
      <c r="E16" s="47" t="n"/>
      <c r="F16" s="47" t="n"/>
      <c r="G16" s="47" t="n"/>
      <c r="H16" s="47" t="n"/>
      <c r="I16" s="47" t="n"/>
      <c r="J16" s="47" t="n"/>
      <c r="K16" s="47" t="n"/>
      <c r="L16" s="47" t="n"/>
      <c r="M16" s="47" t="n"/>
      <c r="N16" s="47" t="n"/>
      <c r="O16" s="47" t="n"/>
      <c r="P16" s="47" t="n"/>
      <c r="Q16" s="47" t="n"/>
      <c r="R16" s="47" t="n"/>
      <c r="S16" s="47" t="n"/>
      <c r="T16" s="47" t="n"/>
      <c r="U16" s="47" t="n"/>
      <c r="V16" s="47" t="n"/>
      <c r="W16" s="47" t="n"/>
      <c r="X16" s="47" t="n"/>
      <c r="Y16" s="47" t="n"/>
      <c r="Z16" s="47" t="n"/>
      <c r="AA16" s="47" t="n"/>
      <c r="AB16" s="47" t="n"/>
      <c r="AC16" s="47" t="n"/>
      <c r="AD16" s="47" t="n"/>
      <c r="AE16" s="47" t="n"/>
      <c r="AF16" s="47" t="n"/>
      <c r="AG16" s="47" t="n"/>
      <c r="AH16" s="47" t="n"/>
    </row>
    <row r="17">
      <c r="B17" s="9"/>
      <c r="C17" s="37" t="s">
        <v>275</v>
      </c>
      <c r="D17" s="35"/>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6" t="n"/>
      <c r="AC17" s="46" t="n"/>
      <c r="AD17" s="46" t="n"/>
      <c r="AE17" s="46" t="n"/>
      <c r="AF17" s="46" t="n"/>
      <c r="AG17" s="46" t="n"/>
      <c r="AH17" s="46" t="n"/>
    </row>
    <row r="18">
      <c r="B18" s="9"/>
      <c r="C18" s="10" t="s">
        <v>276</v>
      </c>
      <c r="D18" s="8"/>
      <c r="E18" s="47" t="n"/>
      <c r="F18" s="47" t="n"/>
      <c r="G18" s="47" t="n"/>
      <c r="H18" s="47" t="n"/>
      <c r="I18" s="47" t="n"/>
      <c r="J18" s="47" t="n"/>
      <c r="K18" s="47" t="n"/>
      <c r="L18" s="47" t="n"/>
      <c r="M18" s="47" t="n"/>
      <c r="N18" s="47" t="n"/>
      <c r="O18" s="47" t="n"/>
      <c r="P18" s="47" t="n"/>
      <c r="Q18" s="47" t="n"/>
      <c r="R18" s="47" t="n"/>
      <c r="S18" s="47" t="n"/>
      <c r="T18" s="47" t="n"/>
      <c r="U18" s="47" t="n"/>
      <c r="V18" s="47" t="n"/>
      <c r="W18" s="47" t="n"/>
      <c r="X18" s="47" t="n"/>
      <c r="Y18" s="47" t="n"/>
      <c r="Z18" s="47" t="n"/>
      <c r="AA18" s="47" t="n"/>
      <c r="AB18" s="47" t="n"/>
      <c r="AC18" s="47" t="n"/>
      <c r="AD18" s="47" t="n"/>
      <c r="AE18" s="47" t="n"/>
      <c r="AF18" s="47" t="n"/>
      <c r="AG18" s="47" t="n"/>
      <c r="AH18" s="47" t="n"/>
    </row>
    <row r="19">
      <c r="B19" s="9"/>
      <c r="C19" s="37" t="s">
        <v>277</v>
      </c>
      <c r="D19" s="35"/>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c r="AA19" s="46" t="n"/>
      <c r="AB19" s="46" t="n"/>
      <c r="AC19" s="46" t="n"/>
      <c r="AD19" s="46" t="n"/>
      <c r="AE19" s="46" t="n"/>
      <c r="AF19" s="46" t="n"/>
      <c r="AG19" s="46" t="n"/>
      <c r="AH19" s="46" t="n"/>
    </row>
    <row r="20">
      <c r="B20" s="9"/>
      <c r="C20" s="10" t="s">
        <v>278</v>
      </c>
      <c r="D20" s="8"/>
      <c r="E20" s="47" t="n"/>
      <c r="F20" s="47" t="n"/>
      <c r="G20" s="47" t="n"/>
      <c r="H20" s="47" t="n"/>
      <c r="I20" s="47" t="n"/>
      <c r="J20" s="47" t="n"/>
      <c r="K20" s="47" t="n"/>
      <c r="L20" s="47" t="n"/>
      <c r="M20" s="47" t="n"/>
      <c r="N20" s="47" t="n"/>
      <c r="O20" s="47" t="n"/>
      <c r="P20" s="47" t="n"/>
      <c r="Q20" s="47" t="n"/>
      <c r="R20" s="47" t="n"/>
      <c r="S20" s="47" t="n"/>
      <c r="T20" s="47" t="n"/>
      <c r="U20" s="47" t="n"/>
      <c r="V20" s="47" t="n"/>
      <c r="W20" s="47" t="n"/>
      <c r="X20" s="47" t="n"/>
      <c r="Y20" s="47" t="n"/>
      <c r="Z20" s="47" t="n"/>
      <c r="AA20" s="47" t="n"/>
      <c r="AB20" s="47" t="n"/>
      <c r="AC20" s="47" t="n"/>
      <c r="AD20" s="47" t="n"/>
      <c r="AE20" s="47" t="n"/>
      <c r="AF20" s="47" t="n"/>
      <c r="AG20" s="47" t="n"/>
      <c r="AH20" s="47" t="n"/>
    </row>
    <row r="21">
      <c r="B21" s="9"/>
      <c r="C21" s="37" t="s">
        <v>279</v>
      </c>
      <c r="D21" s="35"/>
      <c r="E21" s="46" t="n"/>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c r="AA21" s="46" t="n"/>
      <c r="AB21" s="46" t="n"/>
      <c r="AC21" s="46" t="n"/>
      <c r="AD21" s="46" t="n"/>
      <c r="AE21" s="46" t="n"/>
      <c r="AF21" s="46" t="n"/>
      <c r="AG21" s="46" t="n"/>
      <c r="AH21" s="46" t="n"/>
    </row>
    <row r="22">
      <c r="B22" s="9"/>
      <c r="C22" s="7" t="s">
        <v>280</v>
      </c>
      <c r="D22" s="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row>
    <row r="23">
      <c r="B23" s="9"/>
      <c r="C23" s="9"/>
      <c r="D23" s="13" t="s">
        <v>281</v>
      </c>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c r="AA23" s="46" t="n"/>
      <c r="AB23" s="46" t="n"/>
      <c r="AC23" s="46" t="n"/>
      <c r="AD23" s="46" t="n"/>
      <c r="AE23" s="46" t="n"/>
      <c r="AF23" s="46" t="n"/>
      <c r="AG23" s="46" t="n"/>
      <c r="AH23" s="46" t="n"/>
    </row>
    <row r="24">
      <c r="B24" s="9"/>
      <c r="C24" s="9"/>
      <c r="D24" s="14" t="s">
        <v>282</v>
      </c>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row>
    <row r="25">
      <c r="B25" s="9"/>
      <c r="C25" s="9"/>
      <c r="D25" s="13" t="s">
        <v>283</v>
      </c>
      <c r="E25" s="46" t="n"/>
      <c r="F25" s="46"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c r="AA25" s="46" t="n"/>
      <c r="AB25" s="46" t="n"/>
      <c r="AC25" s="46" t="n"/>
      <c r="AD25" s="46" t="n"/>
      <c r="AE25" s="46" t="n"/>
      <c r="AF25" s="46" t="n"/>
      <c r="AG25" s="46" t="n"/>
      <c r="AH25" s="46" t="n"/>
    </row>
    <row r="26">
      <c r="B26" s="9"/>
      <c r="C26" s="10"/>
      <c r="D26" s="51" t="s">
        <v>284</v>
      </c>
      <c r="E26" s="47" t="n">
        <f>SUM(E23:E25)</f>
      </c>
      <c r="F26" s="47" t="n">
        <f>SUM(F23:F25)</f>
      </c>
      <c r="G26" s="47" t="n">
        <f>SUM(G23:G25)</f>
      </c>
      <c r="H26" s="47" t="n">
        <f>SUM(H23:H25)</f>
      </c>
      <c r="I26" s="47" t="n">
        <f>SUM(I23:I25)</f>
      </c>
      <c r="J26" s="47" t="n">
        <f>SUM(J23:J25)</f>
      </c>
      <c r="K26" s="47" t="n">
        <f>SUM(K23:K25)</f>
      </c>
      <c r="L26" s="47" t="n">
        <f>SUM(L23:L25)</f>
      </c>
      <c r="M26" s="47" t="n">
        <f>SUM(M23:M25)</f>
      </c>
      <c r="N26" s="47" t="n">
        <f>SUM(N23:N25)</f>
      </c>
      <c r="O26" s="47" t="n">
        <f>SUM(O23:O25)</f>
      </c>
      <c r="P26" s="47" t="n">
        <f>SUM(P23:P25)</f>
      </c>
      <c r="Q26" s="47" t="n">
        <f>SUM(Q23:Q25)</f>
      </c>
      <c r="R26" s="47" t="n">
        <f>SUM(R23:R25)</f>
      </c>
      <c r="S26" s="47" t="n">
        <f>SUM(S23:S25)</f>
      </c>
      <c r="T26" s="47" t="n">
        <f>SUM(T23:T25)</f>
      </c>
      <c r="U26" s="47" t="n">
        <f>SUM(U23:U25)</f>
      </c>
      <c r="V26" s="47" t="n">
        <f>SUM(V23:V25)</f>
      </c>
      <c r="W26" s="47" t="n">
        <f>SUM(W23:W25)</f>
      </c>
      <c r="X26" s="47" t="n">
        <f>SUM(X23:X25)</f>
      </c>
      <c r="Y26" s="47" t="n">
        <f>SUM(Y23:Y25)</f>
      </c>
      <c r="Z26" s="47" t="n">
        <f>SUM(Z23:Z25)</f>
      </c>
      <c r="AA26" s="47" t="n">
        <f>SUM(AA23:AA25)</f>
      </c>
      <c r="AB26" s="47" t="n">
        <f>SUM(AB23:AB25)</f>
      </c>
      <c r="AC26" s="47" t="n">
        <f>SUM(AC23:AC25)</f>
      </c>
      <c r="AD26" s="47" t="n">
        <f>SUM(AD23:AD25)</f>
      </c>
      <c r="AE26" s="47" t="n">
        <f>SUM(AE23:AE25)</f>
      </c>
      <c r="AF26" s="47" t="n">
        <f>SUM(AF23:AF25)</f>
      </c>
      <c r="AG26" s="47" t="n">
        <f>SUM(AG23:AG25)</f>
      </c>
      <c r="AH26" s="47" t="n">
        <f>SUM(AH23:AH25)</f>
      </c>
    </row>
    <row r="27">
      <c r="B27" s="9"/>
      <c r="C27" s="37" t="s">
        <v>285</v>
      </c>
      <c r="D27" s="35"/>
      <c r="E27" s="46" t="n"/>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c r="AA27" s="46" t="n"/>
      <c r="AB27" s="46" t="n"/>
      <c r="AC27" s="46" t="n"/>
      <c r="AD27" s="46" t="n"/>
      <c r="AE27" s="46" t="n"/>
      <c r="AF27" s="46" t="n"/>
      <c r="AG27" s="46" t="n"/>
      <c r="AH27" s="46" t="n"/>
    </row>
    <row r="28">
      <c r="B28" s="9"/>
      <c r="C28" s="7" t="s">
        <v>286</v>
      </c>
      <c r="D28" s="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row>
    <row r="29">
      <c r="B29" s="9"/>
      <c r="C29" s="9"/>
      <c r="D29" s="13" t="s">
        <v>287</v>
      </c>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c r="AA29" s="46" t="n"/>
      <c r="AB29" s="46" t="n"/>
      <c r="AC29" s="46" t="n"/>
      <c r="AD29" s="46" t="n"/>
      <c r="AE29" s="46" t="n"/>
      <c r="AF29" s="46" t="n"/>
      <c r="AG29" s="46" t="n"/>
      <c r="AH29" s="46" t="n"/>
    </row>
    <row r="30">
      <c r="B30" s="9"/>
      <c r="C30" s="9"/>
      <c r="D30" s="14" t="s">
        <v>288</v>
      </c>
      <c r="E30" s="47" t="n"/>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c r="Z30" s="47" t="n"/>
      <c r="AA30" s="47" t="n"/>
      <c r="AB30" s="47" t="n"/>
      <c r="AC30" s="47" t="n"/>
      <c r="AD30" s="47" t="n"/>
      <c r="AE30" s="47" t="n"/>
      <c r="AF30" s="47" t="n"/>
      <c r="AG30" s="47" t="n"/>
      <c r="AH30" s="47" t="n"/>
    </row>
    <row r="31">
      <c r="B31" s="9"/>
      <c r="C31" s="9"/>
      <c r="D31" s="13" t="s">
        <v>289</v>
      </c>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c r="AA31" s="46" t="n"/>
      <c r="AB31" s="46" t="n"/>
      <c r="AC31" s="46" t="n"/>
      <c r="AD31" s="46" t="n"/>
      <c r="AE31" s="46" t="n"/>
      <c r="AF31" s="46" t="n"/>
      <c r="AG31" s="46" t="n"/>
      <c r="AH31" s="46" t="n"/>
    </row>
    <row r="32">
      <c r="B32" s="9"/>
      <c r="C32" s="9"/>
      <c r="D32" s="14" t="s">
        <v>290</v>
      </c>
      <c r="E32" s="47" t="n"/>
      <c r="F32" s="47" t="n"/>
      <c r="G32" s="47" t="n"/>
      <c r="H32" s="47" t="n"/>
      <c r="I32" s="47" t="n"/>
      <c r="J32" s="47" t="n"/>
      <c r="K32" s="47" t="n"/>
      <c r="L32" s="47" t="n"/>
      <c r="M32" s="47" t="n"/>
      <c r="N32" s="47" t="n"/>
      <c r="O32" s="47" t="n"/>
      <c r="P32" s="47" t="n"/>
      <c r="Q32" s="47" t="n"/>
      <c r="R32" s="47" t="n"/>
      <c r="S32" s="47" t="n"/>
      <c r="T32" s="47" t="n"/>
      <c r="U32" s="47" t="n"/>
      <c r="V32" s="47" t="n"/>
      <c r="W32" s="47" t="n"/>
      <c r="X32" s="47" t="n"/>
      <c r="Y32" s="47" t="n"/>
      <c r="Z32" s="47" t="n"/>
      <c r="AA32" s="47" t="n"/>
      <c r="AB32" s="47" t="n"/>
      <c r="AC32" s="47" t="n"/>
      <c r="AD32" s="47" t="n"/>
      <c r="AE32" s="47" t="n"/>
      <c r="AF32" s="47" t="n"/>
      <c r="AG32" s="47" t="n"/>
      <c r="AH32" s="47" t="n"/>
    </row>
    <row r="33">
      <c r="B33" s="9"/>
      <c r="C33" s="9"/>
      <c r="D33" s="13" t="s">
        <v>291</v>
      </c>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c r="AA33" s="46" t="n"/>
      <c r="AB33" s="46" t="n"/>
      <c r="AC33" s="46" t="n"/>
      <c r="AD33" s="46" t="n"/>
      <c r="AE33" s="46" t="n"/>
      <c r="AF33" s="46" t="n"/>
      <c r="AG33" s="46" t="n"/>
      <c r="AH33" s="46" t="n"/>
    </row>
    <row r="34">
      <c r="B34" s="9"/>
      <c r="C34" s="9"/>
      <c r="D34" s="14" t="s">
        <v>292</v>
      </c>
      <c r="E34" s="47" t="n"/>
      <c r="F34" s="47" t="n"/>
      <c r="G34" s="47" t="n"/>
      <c r="H34" s="47" t="n"/>
      <c r="I34" s="47" t="n"/>
      <c r="J34" s="47" t="n"/>
      <c r="K34" s="47" t="n"/>
      <c r="L34" s="47" t="n"/>
      <c r="M34" s="47" t="n"/>
      <c r="N34" s="47" t="n"/>
      <c r="O34" s="47" t="n"/>
      <c r="P34" s="47" t="n"/>
      <c r="Q34" s="47" t="n"/>
      <c r="R34" s="47" t="n"/>
      <c r="S34" s="47" t="n"/>
      <c r="T34" s="47" t="n"/>
      <c r="U34" s="47" t="n"/>
      <c r="V34" s="47" t="n"/>
      <c r="W34" s="47" t="n"/>
      <c r="X34" s="47" t="n"/>
      <c r="Y34" s="47" t="n"/>
      <c r="Z34" s="47" t="n"/>
      <c r="AA34" s="47" t="n"/>
      <c r="AB34" s="47" t="n"/>
      <c r="AC34" s="47" t="n"/>
      <c r="AD34" s="47" t="n"/>
      <c r="AE34" s="47" t="n"/>
      <c r="AF34" s="47" t="n"/>
      <c r="AG34" s="47" t="n"/>
      <c r="AH34" s="47" t="n"/>
    </row>
    <row r="35">
      <c r="B35" s="9"/>
      <c r="C35" s="10"/>
      <c r="D35" s="53" t="s">
        <v>293</v>
      </c>
      <c r="E35" s="46" t="n">
        <f>SUM(E29:E34)</f>
      </c>
      <c r="F35" s="46" t="n">
        <f>SUM(F29:F34)</f>
      </c>
      <c r="G35" s="46" t="n">
        <f>SUM(G29:G34)</f>
      </c>
      <c r="H35" s="46" t="n">
        <f>SUM(H29:H34)</f>
      </c>
      <c r="I35" s="46" t="n">
        <f>SUM(I29:I34)</f>
      </c>
      <c r="J35" s="46" t="n">
        <f>SUM(J29:J34)</f>
      </c>
      <c r="K35" s="46" t="n">
        <f>SUM(K29:K34)</f>
      </c>
      <c r="L35" s="46" t="n">
        <f>SUM(L29:L34)</f>
      </c>
      <c r="M35" s="46" t="n">
        <f>SUM(M29:M34)</f>
      </c>
      <c r="N35" s="46" t="n">
        <f>SUM(N29:N34)</f>
      </c>
      <c r="O35" s="46" t="n">
        <f>SUM(O29:O34)</f>
      </c>
      <c r="P35" s="46" t="n">
        <f>SUM(P29:P34)</f>
      </c>
      <c r="Q35" s="46" t="n">
        <f>SUM(Q29:Q34)</f>
      </c>
      <c r="R35" s="46" t="n">
        <f>SUM(R29:R34)</f>
      </c>
      <c r="S35" s="46" t="n">
        <f>SUM(S29:S34)</f>
      </c>
      <c r="T35" s="46" t="n">
        <f>SUM(T29:T34)</f>
      </c>
      <c r="U35" s="46" t="n">
        <f>SUM(U29:U34)</f>
      </c>
      <c r="V35" s="46" t="n">
        <f>SUM(V29:V34)</f>
      </c>
      <c r="W35" s="46" t="n">
        <f>SUM(W29:W34)</f>
      </c>
      <c r="X35" s="46" t="n">
        <f>SUM(X29:X34)</f>
      </c>
      <c r="Y35" s="46" t="n">
        <f>SUM(Y29:Y34)</f>
      </c>
      <c r="Z35" s="46" t="n">
        <f>SUM(Z29:Z34)</f>
      </c>
      <c r="AA35" s="46" t="n">
        <f>SUM(AA29:AA34)</f>
      </c>
      <c r="AB35" s="46" t="n">
        <f>SUM(AB29:AB34)</f>
      </c>
      <c r="AC35" s="46" t="n">
        <f>SUM(AC29:AC34)</f>
      </c>
      <c r="AD35" s="46" t="n">
        <f>SUM(AD29:AD34)</f>
      </c>
      <c r="AE35" s="46" t="n">
        <f>SUM(AE29:AE34)</f>
      </c>
      <c r="AF35" s="46" t="n">
        <f>SUM(AF29:AF34)</f>
      </c>
      <c r="AG35" s="46" t="n">
        <f>SUM(AG29:AG34)</f>
      </c>
      <c r="AH35" s="46" t="n">
        <f>SUM(AH29:AH34)</f>
      </c>
    </row>
    <row r="36">
      <c r="B36" s="9"/>
      <c r="C36" s="10" t="s">
        <v>294</v>
      </c>
      <c r="D36" s="8"/>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row>
    <row r="37">
      <c r="B37" s="9"/>
      <c r="C37" s="37" t="s">
        <v>295</v>
      </c>
      <c r="D37" s="35"/>
      <c r="E37" s="46" t="n"/>
      <c r="F37" s="46" t="n"/>
      <c r="G37" s="46" t="n"/>
      <c r="H37" s="46" t="n"/>
      <c r="I37" s="46" t="n"/>
      <c r="J37" s="46" t="n"/>
      <c r="K37" s="46" t="n"/>
      <c r="L37" s="46" t="n"/>
      <c r="M37" s="46" t="n"/>
      <c r="N37" s="46" t="n"/>
      <c r="O37" s="46" t="n"/>
      <c r="P37" s="46" t="n"/>
      <c r="Q37" s="46" t="n"/>
      <c r="R37" s="46" t="n"/>
      <c r="S37" s="46" t="n"/>
      <c r="T37" s="46" t="n"/>
      <c r="U37" s="46" t="n"/>
      <c r="V37" s="46" t="n"/>
      <c r="W37" s="46" t="n"/>
      <c r="X37" s="46" t="n"/>
      <c r="Y37" s="46" t="n"/>
      <c r="Z37" s="46" t="n"/>
      <c r="AA37" s="46" t="n"/>
      <c r="AB37" s="46" t="n"/>
      <c r="AC37" s="46" t="n"/>
      <c r="AD37" s="46" t="n"/>
      <c r="AE37" s="46" t="n"/>
      <c r="AF37" s="46" t="n"/>
      <c r="AG37" s="46" t="n"/>
      <c r="AH37" s="46" t="n"/>
    </row>
    <row r="38">
      <c r="B38" s="9"/>
      <c r="C38" s="7" t="s">
        <v>296</v>
      </c>
      <c r="D38" s="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row>
    <row r="39">
      <c r="B39" s="9"/>
      <c r="C39" s="9"/>
      <c r="D39" s="13" t="s">
        <v>297</v>
      </c>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c r="AA39" s="46" t="n"/>
      <c r="AB39" s="46" t="n"/>
      <c r="AC39" s="46" t="n"/>
      <c r="AD39" s="46" t="n"/>
      <c r="AE39" s="46" t="n"/>
      <c r="AF39" s="46" t="n"/>
      <c r="AG39" s="46" t="n"/>
      <c r="AH39" s="46" t="n"/>
    </row>
    <row r="40">
      <c r="B40" s="9"/>
      <c r="C40" s="9"/>
      <c r="D40" s="14" t="s">
        <v>298</v>
      </c>
      <c r="E40" s="4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c r="Z40" s="47" t="n"/>
      <c r="AA40" s="47" t="n"/>
      <c r="AB40" s="47" t="n"/>
      <c r="AC40" s="47" t="n"/>
      <c r="AD40" s="47" t="n"/>
      <c r="AE40" s="47" t="n"/>
      <c r="AF40" s="47" t="n"/>
      <c r="AG40" s="47" t="n"/>
      <c r="AH40" s="47" t="n"/>
    </row>
    <row r="41">
      <c r="B41" s="9"/>
      <c r="C41" s="9"/>
      <c r="D41" s="13" t="s">
        <v>299</v>
      </c>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c r="Z41" s="46" t="n"/>
      <c r="AA41" s="46" t="n"/>
      <c r="AB41" s="46" t="n"/>
      <c r="AC41" s="46" t="n"/>
      <c r="AD41" s="46" t="n"/>
      <c r="AE41" s="46" t="n"/>
      <c r="AF41" s="46" t="n"/>
      <c r="AG41" s="46" t="n"/>
      <c r="AH41" s="46" t="n"/>
    </row>
    <row r="42">
      <c r="B42" s="9"/>
      <c r="C42" s="9"/>
      <c r="D42" s="14" t="s">
        <v>300</v>
      </c>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c r="Y42" s="47" t="n"/>
      <c r="Z42" s="47" t="n"/>
      <c r="AA42" s="47" t="n"/>
      <c r="AB42" s="47" t="n"/>
      <c r="AC42" s="47" t="n"/>
      <c r="AD42" s="47" t="n"/>
      <c r="AE42" s="47" t="n"/>
      <c r="AF42" s="47" t="n"/>
      <c r="AG42" s="47" t="n"/>
      <c r="AH42" s="47" t="n"/>
    </row>
    <row r="43">
      <c r="B43" s="9"/>
      <c r="C43" s="9"/>
      <c r="D43" s="13" t="s">
        <v>301</v>
      </c>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c r="Z43" s="46" t="n"/>
      <c r="AA43" s="46" t="n"/>
      <c r="AB43" s="46" t="n"/>
      <c r="AC43" s="46" t="n"/>
      <c r="AD43" s="46" t="n"/>
      <c r="AE43" s="46" t="n"/>
      <c r="AF43" s="46" t="n"/>
      <c r="AG43" s="46" t="n"/>
      <c r="AH43" s="46" t="n"/>
    </row>
    <row r="44">
      <c r="B44" s="9"/>
      <c r="C44" s="9"/>
      <c r="D44" s="14" t="s">
        <v>302</v>
      </c>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c r="Y44" s="47" t="n"/>
      <c r="Z44" s="47" t="n"/>
      <c r="AA44" s="47" t="n"/>
      <c r="AB44" s="47" t="n"/>
      <c r="AC44" s="47" t="n"/>
      <c r="AD44" s="47" t="n"/>
      <c r="AE44" s="47" t="n"/>
      <c r="AF44" s="47" t="n"/>
      <c r="AG44" s="47" t="n"/>
      <c r="AH44" s="47" t="n"/>
    </row>
    <row r="45">
      <c r="B45" s="9"/>
      <c r="C45" s="9"/>
      <c r="D45" s="13" t="s">
        <v>303</v>
      </c>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c r="AA45" s="46" t="n"/>
      <c r="AB45" s="46" t="n"/>
      <c r="AC45" s="46" t="n"/>
      <c r="AD45" s="46" t="n"/>
      <c r="AE45" s="46" t="n"/>
      <c r="AF45" s="46" t="n"/>
      <c r="AG45" s="46" t="n"/>
      <c r="AH45" s="46" t="n"/>
    </row>
    <row r="46">
      <c r="B46" s="9"/>
      <c r="C46" s="9"/>
      <c r="D46" s="14" t="s">
        <v>304</v>
      </c>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c r="Z46" s="47" t="n"/>
      <c r="AA46" s="47" t="n"/>
      <c r="AB46" s="47" t="n"/>
      <c r="AC46" s="47" t="n"/>
      <c r="AD46" s="47" t="n"/>
      <c r="AE46" s="47" t="n"/>
      <c r="AF46" s="47" t="n"/>
      <c r="AG46" s="47" t="n"/>
      <c r="AH46" s="47" t="n"/>
    </row>
    <row r="47">
      <c r="B47" s="9"/>
      <c r="C47" s="9"/>
      <c r="D47" s="13" t="s">
        <v>305</v>
      </c>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c r="Z47" s="46" t="n"/>
      <c r="AA47" s="46" t="n"/>
      <c r="AB47" s="46" t="n"/>
      <c r="AC47" s="46" t="n"/>
      <c r="AD47" s="46" t="n"/>
      <c r="AE47" s="46" t="n"/>
      <c r="AF47" s="46" t="n"/>
      <c r="AG47" s="46" t="n"/>
      <c r="AH47" s="46" t="n"/>
    </row>
    <row r="48">
      <c r="B48" s="9"/>
      <c r="C48" s="9"/>
      <c r="D48" s="14" t="s">
        <v>306</v>
      </c>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c r="Y48" s="47" t="n"/>
      <c r="Z48" s="47" t="n"/>
      <c r="AA48" s="47" t="n"/>
      <c r="AB48" s="47" t="n"/>
      <c r="AC48" s="47" t="n"/>
      <c r="AD48" s="47" t="n"/>
      <c r="AE48" s="47" t="n"/>
      <c r="AF48" s="47" t="n"/>
      <c r="AG48" s="47" t="n"/>
      <c r="AH48" s="47" t="n"/>
    </row>
    <row r="49">
      <c r="B49" s="9"/>
      <c r="C49" s="9"/>
      <c r="D49" s="13" t="s">
        <v>307</v>
      </c>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c r="Z49" s="46" t="n"/>
      <c r="AA49" s="46" t="n"/>
      <c r="AB49" s="46" t="n"/>
      <c r="AC49" s="46" t="n"/>
      <c r="AD49" s="46" t="n"/>
      <c r="AE49" s="46" t="n"/>
      <c r="AF49" s="46" t="n"/>
      <c r="AG49" s="46" t="n"/>
      <c r="AH49" s="46" t="n"/>
    </row>
    <row r="50">
      <c r="B50" s="9"/>
      <c r="C50" s="9"/>
      <c r="D50" s="14" t="s">
        <v>308</v>
      </c>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c r="Z50" s="47" t="n"/>
      <c r="AA50" s="47" t="n"/>
      <c r="AB50" s="47" t="n"/>
      <c r="AC50" s="47" t="n"/>
      <c r="AD50" s="47" t="n"/>
      <c r="AE50" s="47" t="n"/>
      <c r="AF50" s="47" t="n"/>
      <c r="AG50" s="47" t="n"/>
      <c r="AH50" s="47" t="n"/>
    </row>
    <row r="51">
      <c r="B51" s="9"/>
      <c r="C51" s="9"/>
      <c r="D51" s="13" t="s">
        <v>309</v>
      </c>
      <c r="E51" s="46" t="n"/>
      <c r="F51" s="46" t="n"/>
      <c r="G51" s="46" t="n"/>
      <c r="H51" s="46" t="n"/>
      <c r="I51" s="46" t="n"/>
      <c r="J51" s="46" t="n"/>
      <c r="K51" s="46" t="n"/>
      <c r="L51" s="46" t="n"/>
      <c r="M51" s="46" t="n"/>
      <c r="N51" s="46" t="n"/>
      <c r="O51" s="46" t="n"/>
      <c r="P51" s="46" t="n"/>
      <c r="Q51" s="46" t="n"/>
      <c r="R51" s="46" t="n"/>
      <c r="S51" s="46" t="n"/>
      <c r="T51" s="46" t="n"/>
      <c r="U51" s="46" t="n"/>
      <c r="V51" s="46" t="n"/>
      <c r="W51" s="46" t="n"/>
      <c r="X51" s="46" t="n"/>
      <c r="Y51" s="46" t="n"/>
      <c r="Z51" s="46" t="n"/>
      <c r="AA51" s="46" t="n"/>
      <c r="AB51" s="46" t="n"/>
      <c r="AC51" s="46" t="n"/>
      <c r="AD51" s="46" t="n"/>
      <c r="AE51" s="46" t="n"/>
      <c r="AF51" s="46" t="n"/>
      <c r="AG51" s="46" t="n"/>
      <c r="AH51" s="46" t="n"/>
    </row>
    <row r="52">
      <c r="B52" s="9"/>
      <c r="C52" s="10"/>
      <c r="D52" s="14" t="s">
        <v>310</v>
      </c>
      <c r="E52" s="47" t="n">
        <f>SUM(E39:E51)</f>
      </c>
      <c r="F52" s="47" t="n">
        <f>SUM(F39:F51)</f>
      </c>
      <c r="G52" s="47" t="n">
        <f>SUM(G39:G51)</f>
      </c>
      <c r="H52" s="47" t="n">
        <f>SUM(H39:H51)</f>
      </c>
      <c r="I52" s="47" t="n">
        <f>SUM(I39:I51)</f>
      </c>
      <c r="J52" s="47" t="n">
        <f>SUM(J39:J51)</f>
      </c>
      <c r="K52" s="47" t="n">
        <f>SUM(K39:K51)</f>
      </c>
      <c r="L52" s="47" t="n">
        <f>SUM(L39:L51)</f>
      </c>
      <c r="M52" s="47" t="n">
        <f>SUM(M39:M51)</f>
      </c>
      <c r="N52" s="47" t="n">
        <f>SUM(N39:N51)</f>
      </c>
      <c r="O52" s="47" t="n">
        <f>SUM(O39:O51)</f>
      </c>
      <c r="P52" s="47" t="n">
        <f>SUM(P39:P51)</f>
      </c>
      <c r="Q52" s="47" t="n">
        <f>SUM(Q39:Q51)</f>
      </c>
      <c r="R52" s="47" t="n">
        <f>SUM(R39:R51)</f>
      </c>
      <c r="S52" s="47" t="n">
        <f>SUM(S39:S51)</f>
      </c>
      <c r="T52" s="47" t="n">
        <f>SUM(T39:T51)</f>
      </c>
      <c r="U52" s="47" t="n">
        <f>SUM(U39:U51)</f>
      </c>
      <c r="V52" s="47" t="n">
        <f>SUM(V39:V51)</f>
      </c>
      <c r="W52" s="47" t="n">
        <f>SUM(W39:W51)</f>
      </c>
      <c r="X52" s="47" t="n">
        <f>SUM(X39:X51)</f>
      </c>
      <c r="Y52" s="47" t="n">
        <f>SUM(Y39:Y51)</f>
      </c>
      <c r="Z52" s="47" t="n">
        <f>SUM(Z39:Z51)</f>
      </c>
      <c r="AA52" s="47" t="n">
        <f>SUM(AA39:AA51)</f>
      </c>
      <c r="AB52" s="47" t="n">
        <f>SUM(AB39:AB51)</f>
      </c>
      <c r="AC52" s="47" t="n">
        <f>SUM(AC39:AC51)</f>
      </c>
      <c r="AD52" s="47" t="n">
        <f>SUM(AD39:AD51)</f>
      </c>
      <c r="AE52" s="47" t="n">
        <f>SUM(AE39:AE51)</f>
      </c>
      <c r="AF52" s="47" t="n">
        <f>SUM(AF39:AF51)</f>
      </c>
      <c r="AG52" s="47" t="n">
        <f>SUM(AG39:AG51)</f>
      </c>
      <c r="AH52" s="47" t="n">
        <f>SUM(AH39:AH51)</f>
      </c>
    </row>
    <row r="53">
      <c r="B53" s="9"/>
      <c r="C53" s="33" t="s">
        <v>311</v>
      </c>
      <c r="D53" s="35"/>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row>
    <row r="54">
      <c r="B54" s="9"/>
      <c r="C54" s="36"/>
      <c r="D54" s="14" t="s">
        <v>312</v>
      </c>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c r="Z54" s="47" t="n"/>
      <c r="AA54" s="47" t="n"/>
      <c r="AB54" s="47" t="n"/>
      <c r="AC54" s="47" t="n"/>
      <c r="AD54" s="47" t="n"/>
      <c r="AE54" s="47" t="n"/>
      <c r="AF54" s="47" t="n"/>
      <c r="AG54" s="47" t="n"/>
      <c r="AH54" s="47" t="n"/>
    </row>
    <row r="55">
      <c r="B55" s="9"/>
      <c r="C55" s="36"/>
      <c r="D55" s="13" t="s">
        <v>313</v>
      </c>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c r="Z55" s="46" t="n"/>
      <c r="AA55" s="46" t="n"/>
      <c r="AB55" s="46" t="n"/>
      <c r="AC55" s="46" t="n"/>
      <c r="AD55" s="46" t="n"/>
      <c r="AE55" s="46" t="n"/>
      <c r="AF55" s="46" t="n"/>
      <c r="AG55" s="46" t="n"/>
      <c r="AH55" s="46" t="n"/>
    </row>
    <row r="56">
      <c r="B56" s="9"/>
      <c r="C56" s="36"/>
      <c r="D56" s="14" t="s">
        <v>314</v>
      </c>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c r="Z56" s="47" t="n"/>
      <c r="AA56" s="47" t="n"/>
      <c r="AB56" s="47" t="n"/>
      <c r="AC56" s="47" t="n"/>
      <c r="AD56" s="47" t="n"/>
      <c r="AE56" s="47" t="n"/>
      <c r="AF56" s="47" t="n"/>
      <c r="AG56" s="47" t="n"/>
      <c r="AH56" s="47" t="n"/>
    </row>
    <row r="57">
      <c r="B57" s="9"/>
      <c r="C57" s="36"/>
      <c r="D57" s="13" t="s">
        <v>315</v>
      </c>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c r="Z57" s="46" t="n"/>
      <c r="AA57" s="46" t="n"/>
      <c r="AB57" s="46" t="n"/>
      <c r="AC57" s="46" t="n"/>
      <c r="AD57" s="46" t="n"/>
      <c r="AE57" s="46" t="n"/>
      <c r="AF57" s="46" t="n"/>
      <c r="AG57" s="46" t="n"/>
      <c r="AH57" s="46" t="n"/>
    </row>
    <row r="58">
      <c r="B58" s="9"/>
      <c r="C58" s="36"/>
      <c r="D58" s="14" t="s">
        <v>316</v>
      </c>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c r="Z58" s="47" t="n"/>
      <c r="AA58" s="47" t="n"/>
      <c r="AB58" s="47" t="n"/>
      <c r="AC58" s="47" t="n"/>
      <c r="AD58" s="47" t="n"/>
      <c r="AE58" s="47" t="n"/>
      <c r="AF58" s="47" t="n"/>
      <c r="AG58" s="47" t="n"/>
      <c r="AH58" s="47" t="n"/>
    </row>
    <row r="59">
      <c r="B59" s="9"/>
      <c r="C59" s="36"/>
      <c r="D59" s="13" t="s">
        <v>317</v>
      </c>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c r="Z59" s="46" t="n"/>
      <c r="AA59" s="46" t="n"/>
      <c r="AB59" s="46" t="n"/>
      <c r="AC59" s="46" t="n"/>
      <c r="AD59" s="46" t="n"/>
      <c r="AE59" s="46" t="n"/>
      <c r="AF59" s="46" t="n"/>
      <c r="AG59" s="46" t="n"/>
      <c r="AH59" s="46" t="n"/>
    </row>
    <row r="60">
      <c r="B60" s="9"/>
      <c r="C60" s="36"/>
      <c r="D60" s="14" t="s">
        <v>318</v>
      </c>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c r="Y60" s="47" t="n"/>
      <c r="Z60" s="47" t="n"/>
      <c r="AA60" s="47" t="n"/>
      <c r="AB60" s="47" t="n"/>
      <c r="AC60" s="47" t="n"/>
      <c r="AD60" s="47" t="n"/>
      <c r="AE60" s="47" t="n"/>
      <c r="AF60" s="47" t="n"/>
      <c r="AG60" s="47" t="n"/>
      <c r="AH60" s="47" t="n"/>
    </row>
    <row r="61">
      <c r="B61" s="9"/>
      <c r="C61" s="36"/>
      <c r="D61" s="13" t="s">
        <v>319</v>
      </c>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c r="Z61" s="46" t="n"/>
      <c r="AA61" s="46" t="n"/>
      <c r="AB61" s="46" t="n"/>
      <c r="AC61" s="46" t="n"/>
      <c r="AD61" s="46" t="n"/>
      <c r="AE61" s="46" t="n"/>
      <c r="AF61" s="46" t="n"/>
      <c r="AG61" s="46" t="n"/>
      <c r="AH61" s="46" t="n"/>
    </row>
    <row r="62">
      <c r="B62" s="9"/>
      <c r="C62" s="36"/>
      <c r="D62" s="14" t="s">
        <v>320</v>
      </c>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c r="AA62" s="47" t="n"/>
      <c r="AB62" s="47" t="n"/>
      <c r="AC62" s="47" t="n"/>
      <c r="AD62" s="47" t="n"/>
      <c r="AE62" s="47" t="n"/>
      <c r="AF62" s="47" t="n"/>
      <c r="AG62" s="47" t="n"/>
      <c r="AH62" s="47" t="n"/>
    </row>
    <row r="63">
      <c r="B63" s="9"/>
      <c r="C63" s="36"/>
      <c r="D63" s="13" t="s">
        <v>321</v>
      </c>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c r="Z63" s="46" t="n"/>
      <c r="AA63" s="46" t="n"/>
      <c r="AB63" s="46" t="n"/>
      <c r="AC63" s="46" t="n"/>
      <c r="AD63" s="46" t="n"/>
      <c r="AE63" s="46" t="n"/>
      <c r="AF63" s="46" t="n"/>
      <c r="AG63" s="46" t="n"/>
      <c r="AH63" s="46" t="n"/>
    </row>
    <row r="64">
      <c r="B64" s="9"/>
      <c r="C64" s="36"/>
      <c r="D64" s="14" t="s">
        <v>322</v>
      </c>
      <c r="E64" s="47" t="n"/>
      <c r="F64" s="47" t="n"/>
      <c r="G64" s="47" t="n"/>
      <c r="H64" s="47" t="n"/>
      <c r="I64" s="47" t="n"/>
      <c r="J64" s="47" t="n"/>
      <c r="K64" s="47" t="n"/>
      <c r="L64" s="47" t="n"/>
      <c r="M64" s="47" t="n"/>
      <c r="N64" s="47" t="n"/>
      <c r="O64" s="47" t="n"/>
      <c r="P64" s="47" t="n"/>
      <c r="Q64" s="47" t="n"/>
      <c r="R64" s="47" t="n"/>
      <c r="S64" s="47" t="n"/>
      <c r="T64" s="47" t="n"/>
      <c r="U64" s="47" t="n"/>
      <c r="V64" s="47" t="n"/>
      <c r="W64" s="47" t="n"/>
      <c r="X64" s="47" t="n"/>
      <c r="Y64" s="47" t="n"/>
      <c r="Z64" s="47" t="n"/>
      <c r="AA64" s="47" t="n"/>
      <c r="AB64" s="47" t="n"/>
      <c r="AC64" s="47" t="n"/>
      <c r="AD64" s="47" t="n"/>
      <c r="AE64" s="47" t="n"/>
      <c r="AF64" s="47" t="n"/>
      <c r="AG64" s="47" t="n"/>
      <c r="AH64" s="47" t="n"/>
    </row>
    <row r="65">
      <c r="B65" s="9"/>
      <c r="C65" s="37"/>
      <c r="D65" s="53" t="s">
        <v>323</v>
      </c>
      <c r="E65" s="46" t="n">
        <f>SUM(E54:E64)</f>
      </c>
      <c r="F65" s="46" t="n">
        <f>SUM(F54:F64)</f>
      </c>
      <c r="G65" s="46" t="n">
        <f>SUM(G54:G64)</f>
      </c>
      <c r="H65" s="46" t="n">
        <f>SUM(H54:H64)</f>
      </c>
      <c r="I65" s="46" t="n">
        <f>SUM(I54:I64)</f>
      </c>
      <c r="J65" s="46" t="n">
        <f>SUM(J54:J64)</f>
      </c>
      <c r="K65" s="46" t="n">
        <f>SUM(K54:K64)</f>
      </c>
      <c r="L65" s="46" t="n">
        <f>SUM(L54:L64)</f>
      </c>
      <c r="M65" s="46" t="n">
        <f>SUM(M54:M64)</f>
      </c>
      <c r="N65" s="46" t="n">
        <f>SUM(N54:N64)</f>
      </c>
      <c r="O65" s="46" t="n">
        <f>SUM(O54:O64)</f>
      </c>
      <c r="P65" s="46" t="n">
        <f>SUM(P54:P64)</f>
      </c>
      <c r="Q65" s="46" t="n">
        <f>SUM(Q54:Q64)</f>
      </c>
      <c r="R65" s="46" t="n">
        <f>SUM(R54:R64)</f>
      </c>
      <c r="S65" s="46" t="n">
        <f>SUM(S54:S64)</f>
      </c>
      <c r="T65" s="46" t="n">
        <f>SUM(T54:T64)</f>
      </c>
      <c r="U65" s="46" t="n">
        <f>SUM(U54:U64)</f>
      </c>
      <c r="V65" s="46" t="n">
        <f>SUM(V54:V64)</f>
      </c>
      <c r="W65" s="46" t="n">
        <f>SUM(W54:W64)</f>
      </c>
      <c r="X65" s="46" t="n">
        <f>SUM(X54:X64)</f>
      </c>
      <c r="Y65" s="46" t="n">
        <f>SUM(Y54:Y64)</f>
      </c>
      <c r="Z65" s="46" t="n">
        <f>SUM(Z54:Z64)</f>
      </c>
      <c r="AA65" s="46" t="n">
        <f>SUM(AA54:AA64)</f>
      </c>
      <c r="AB65" s="46" t="n">
        <f>SUM(AB54:AB64)</f>
      </c>
      <c r="AC65" s="46" t="n">
        <f>SUM(AC54:AC64)</f>
      </c>
      <c r="AD65" s="46" t="n">
        <f>SUM(AD54:AD64)</f>
      </c>
      <c r="AE65" s="46" t="n">
        <f>SUM(AE54:AE64)</f>
      </c>
      <c r="AF65" s="46" t="n">
        <f>SUM(AF54:AF64)</f>
      </c>
      <c r="AG65" s="46" t="n">
        <f>SUM(AG54:AG64)</f>
      </c>
      <c r="AH65" s="46" t="n">
        <f>SUM(AH54:AH64)</f>
      </c>
    </row>
    <row r="66">
      <c r="B66" s="9"/>
      <c r="C66" s="7" t="s">
        <v>324</v>
      </c>
      <c r="D66" s="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row>
    <row r="67">
      <c r="B67" s="9"/>
      <c r="C67" s="9"/>
      <c r="D67" s="13" t="s">
        <v>325</v>
      </c>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c r="Z67" s="46" t="n"/>
      <c r="AA67" s="46" t="n"/>
      <c r="AB67" s="46" t="n"/>
      <c r="AC67" s="46" t="n"/>
      <c r="AD67" s="46" t="n"/>
      <c r="AE67" s="46" t="n"/>
      <c r="AF67" s="46" t="n"/>
      <c r="AG67" s="46" t="n"/>
      <c r="AH67" s="46" t="n"/>
    </row>
    <row r="68">
      <c r="B68" s="9"/>
      <c r="C68" s="9"/>
      <c r="D68" s="14" t="s">
        <v>326</v>
      </c>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c r="Z68" s="47" t="n"/>
      <c r="AA68" s="47" t="n"/>
      <c r="AB68" s="47" t="n"/>
      <c r="AC68" s="47" t="n"/>
      <c r="AD68" s="47" t="n"/>
      <c r="AE68" s="47" t="n"/>
      <c r="AF68" s="47" t="n"/>
      <c r="AG68" s="47" t="n"/>
      <c r="AH68" s="47" t="n"/>
    </row>
    <row r="69">
      <c r="B69" s="9"/>
      <c r="C69" s="9"/>
      <c r="D69" s="13" t="s">
        <v>327</v>
      </c>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c r="AA69" s="46" t="n"/>
      <c r="AB69" s="46" t="n"/>
      <c r="AC69" s="46" t="n"/>
      <c r="AD69" s="46" t="n"/>
      <c r="AE69" s="46" t="n"/>
      <c r="AF69" s="46" t="n"/>
      <c r="AG69" s="46" t="n"/>
      <c r="AH69" s="46" t="n"/>
    </row>
    <row r="70">
      <c r="B70" s="9"/>
      <c r="C70" s="9"/>
      <c r="D70" s="14" t="s">
        <v>328</v>
      </c>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c r="Z70" s="47" t="n"/>
      <c r="AA70" s="47" t="n"/>
      <c r="AB70" s="47" t="n"/>
      <c r="AC70" s="47" t="n"/>
      <c r="AD70" s="47" t="n"/>
      <c r="AE70" s="47" t="n"/>
      <c r="AF70" s="47" t="n"/>
      <c r="AG70" s="47" t="n"/>
      <c r="AH70" s="47" t="n"/>
    </row>
    <row r="71">
      <c r="B71" s="9"/>
      <c r="C71" s="9"/>
      <c r="D71" s="13" t="s">
        <v>329</v>
      </c>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c r="Z71" s="46" t="n"/>
      <c r="AA71" s="46" t="n"/>
      <c r="AB71" s="46" t="n"/>
      <c r="AC71" s="46" t="n"/>
      <c r="AD71" s="46" t="n"/>
      <c r="AE71" s="46" t="n"/>
      <c r="AF71" s="46" t="n"/>
      <c r="AG71" s="46" t="n"/>
      <c r="AH71" s="46" t="n"/>
    </row>
    <row r="72">
      <c r="B72" s="9"/>
      <c r="C72" s="9"/>
      <c r="D72" s="14" t="s">
        <v>330</v>
      </c>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c r="Y72" s="47" t="n"/>
      <c r="Z72" s="47" t="n"/>
      <c r="AA72" s="47" t="n"/>
      <c r="AB72" s="47" t="n"/>
      <c r="AC72" s="47" t="n"/>
      <c r="AD72" s="47" t="n"/>
      <c r="AE72" s="47" t="n"/>
      <c r="AF72" s="47" t="n"/>
      <c r="AG72" s="47" t="n"/>
      <c r="AH72" s="47" t="n"/>
    </row>
    <row r="73">
      <c r="B73" s="9"/>
      <c r="C73" s="10"/>
      <c r="D73" s="53" t="s">
        <v>331</v>
      </c>
      <c r="E73" s="46" t="n">
        <f>SUM(E67:E72)</f>
      </c>
      <c r="F73" s="46" t="n">
        <f>SUM(F67:F72)</f>
      </c>
      <c r="G73" s="46" t="n">
        <f>SUM(G67:G72)</f>
      </c>
      <c r="H73" s="46" t="n">
        <f>SUM(H67:H72)</f>
      </c>
      <c r="I73" s="46" t="n">
        <f>SUM(I67:I72)</f>
      </c>
      <c r="J73" s="46" t="n">
        <f>SUM(J67:J72)</f>
      </c>
      <c r="K73" s="46" t="n">
        <f>SUM(K67:K72)</f>
      </c>
      <c r="L73" s="46" t="n">
        <f>SUM(L67:L72)</f>
      </c>
      <c r="M73" s="46" t="n">
        <f>SUM(M67:M72)</f>
      </c>
      <c r="N73" s="46" t="n">
        <f>SUM(N67:N72)</f>
      </c>
      <c r="O73" s="46" t="n">
        <f>SUM(O67:O72)</f>
      </c>
      <c r="P73" s="46" t="n">
        <f>SUM(P67:P72)</f>
      </c>
      <c r="Q73" s="46" t="n">
        <f>SUM(Q67:Q72)</f>
      </c>
      <c r="R73" s="46" t="n">
        <f>SUM(R67:R72)</f>
      </c>
      <c r="S73" s="46" t="n">
        <f>SUM(S67:S72)</f>
      </c>
      <c r="T73" s="46" t="n">
        <f>SUM(T67:T72)</f>
      </c>
      <c r="U73" s="46" t="n">
        <f>SUM(U67:U72)</f>
      </c>
      <c r="V73" s="46" t="n">
        <f>SUM(V67:V72)</f>
      </c>
      <c r="W73" s="46" t="n">
        <f>SUM(W67:W72)</f>
      </c>
      <c r="X73" s="46" t="n">
        <f>SUM(X67:X72)</f>
      </c>
      <c r="Y73" s="46" t="n">
        <f>SUM(Y67:Y72)</f>
      </c>
      <c r="Z73" s="46" t="n">
        <f>SUM(Z67:Z72)</f>
      </c>
      <c r="AA73" s="46" t="n">
        <f>SUM(AA67:AA72)</f>
      </c>
      <c r="AB73" s="46" t="n">
        <f>SUM(AB67:AB72)</f>
      </c>
      <c r="AC73" s="46" t="n">
        <f>SUM(AC67:AC72)</f>
      </c>
      <c r="AD73" s="46" t="n">
        <f>SUM(AD67:AD72)</f>
      </c>
      <c r="AE73" s="46" t="n">
        <f>SUM(AE67:AE72)</f>
      </c>
      <c r="AF73" s="46" t="n">
        <f>SUM(AF67:AF72)</f>
      </c>
      <c r="AG73" s="46" t="n">
        <f>SUM(AG67:AG72)</f>
      </c>
      <c r="AH73" s="46" t="n">
        <f>SUM(AH67:AH72)</f>
      </c>
    </row>
    <row r="74">
      <c r="B74" s="9"/>
      <c r="C74" s="10" t="s">
        <v>332</v>
      </c>
      <c r="D74" s="8"/>
      <c r="E74" s="47" t="n"/>
      <c r="F74" s="47" t="n"/>
      <c r="G74" s="47" t="n"/>
      <c r="H74" s="47" t="n"/>
      <c r="I74" s="47" t="n"/>
      <c r="J74" s="47" t="n"/>
      <c r="K74" s="47" t="n"/>
      <c r="L74" s="47" t="n"/>
      <c r="M74" s="47" t="n"/>
      <c r="N74" s="47" t="n"/>
      <c r="O74" s="47" t="n"/>
      <c r="P74" s="47" t="n"/>
      <c r="Q74" s="47" t="n"/>
      <c r="R74" s="47" t="n"/>
      <c r="S74" s="47" t="n"/>
      <c r="T74" s="47" t="n"/>
      <c r="U74" s="47" t="n"/>
      <c r="V74" s="47" t="n"/>
      <c r="W74" s="47" t="n"/>
      <c r="X74" s="47" t="n"/>
      <c r="Y74" s="47" t="n"/>
      <c r="Z74" s="47" t="n"/>
      <c r="AA74" s="47" t="n"/>
      <c r="AB74" s="47" t="n"/>
      <c r="AC74" s="47" t="n"/>
      <c r="AD74" s="47" t="n"/>
      <c r="AE74" s="47" t="n"/>
      <c r="AF74" s="47" t="n"/>
      <c r="AG74" s="47" t="n"/>
      <c r="AH74" s="47" t="n"/>
    </row>
    <row r="75">
      <c r="B75" s="9"/>
      <c r="C75" s="37" t="s">
        <v>333</v>
      </c>
      <c r="D75" s="35"/>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c r="Z75" s="46" t="n"/>
      <c r="AA75" s="46" t="n"/>
      <c r="AB75" s="46" t="n"/>
      <c r="AC75" s="46" t="n"/>
      <c r="AD75" s="46" t="n"/>
      <c r="AE75" s="46" t="n"/>
      <c r="AF75" s="46" t="n"/>
      <c r="AG75" s="46" t="n"/>
      <c r="AH75" s="46" t="n"/>
    </row>
    <row r="76">
      <c r="B76" s="9"/>
      <c r="C76" s="10" t="s">
        <v>334</v>
      </c>
      <c r="D76" s="8"/>
      <c r="E76" s="4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c r="Z76" s="47" t="n"/>
      <c r="AA76" s="47" t="n"/>
      <c r="AB76" s="47" t="n"/>
      <c r="AC76" s="47" t="n"/>
      <c r="AD76" s="47" t="n"/>
      <c r="AE76" s="47" t="n"/>
      <c r="AF76" s="47" t="n"/>
      <c r="AG76" s="47" t="n"/>
      <c r="AH76" s="47" t="n"/>
    </row>
    <row r="77">
      <c r="B77" s="9"/>
      <c r="C77" s="37" t="s">
        <v>335</v>
      </c>
      <c r="D77" s="35"/>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c r="Z77" s="46" t="n"/>
      <c r="AA77" s="46" t="n"/>
      <c r="AB77" s="46" t="n"/>
      <c r="AC77" s="46" t="n"/>
      <c r="AD77" s="46" t="n"/>
      <c r="AE77" s="46" t="n"/>
      <c r="AF77" s="46" t="n"/>
      <c r="AG77" s="46" t="n"/>
      <c r="AH77" s="46" t="n"/>
    </row>
    <row r="78">
      <c r="B78" s="9"/>
      <c r="C78" s="10" t="s">
        <v>336</v>
      </c>
      <c r="D78" s="8"/>
      <c r="E78" s="4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c r="Z78" s="47" t="n"/>
      <c r="AA78" s="47" t="n"/>
      <c r="AB78" s="47" t="n"/>
      <c r="AC78" s="47" t="n"/>
      <c r="AD78" s="47" t="n"/>
      <c r="AE78" s="47" t="n"/>
      <c r="AF78" s="47" t="n"/>
      <c r="AG78" s="47" t="n"/>
      <c r="AH78" s="47" t="n"/>
    </row>
    <row r="79">
      <c r="B79" s="9"/>
      <c r="C79" s="37" t="s">
        <v>337</v>
      </c>
      <c r="D79" s="35"/>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c r="Z79" s="46" t="n"/>
      <c r="AA79" s="46" t="n"/>
      <c r="AB79" s="46" t="n"/>
      <c r="AC79" s="46" t="n"/>
      <c r="AD79" s="46" t="n"/>
      <c r="AE79" s="46" t="n"/>
      <c r="AF79" s="46" t="n"/>
      <c r="AG79" s="46" t="n"/>
      <c r="AH79" s="46" t="n"/>
    </row>
    <row r="80">
      <c r="B80" s="9"/>
      <c r="C80" s="10" t="s">
        <v>338</v>
      </c>
      <c r="D80" s="8"/>
      <c r="E80" s="4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c r="Z80" s="47" t="n"/>
      <c r="AA80" s="47" t="n"/>
      <c r="AB80" s="47" t="n"/>
      <c r="AC80" s="47" t="n"/>
      <c r="AD80" s="47" t="n"/>
      <c r="AE80" s="47" t="n"/>
      <c r="AF80" s="47" t="n"/>
      <c r="AG80" s="47" t="n"/>
      <c r="AH80" s="47" t="n"/>
    </row>
    <row r="81">
      <c r="B81" s="9"/>
      <c r="C81" s="37" t="s">
        <v>339</v>
      </c>
      <c r="D81" s="35"/>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c r="Z81" s="46" t="n"/>
      <c r="AA81" s="46" t="n"/>
      <c r="AB81" s="46" t="n"/>
      <c r="AC81" s="46" t="n"/>
      <c r="AD81" s="46" t="n"/>
      <c r="AE81" s="46" t="n"/>
      <c r="AF81" s="46" t="n"/>
      <c r="AG81" s="46" t="n"/>
      <c r="AH81" s="46" t="n"/>
    </row>
    <row r="82">
      <c r="B82" s="9"/>
      <c r="C82" s="10" t="s">
        <v>340</v>
      </c>
      <c r="D82" s="8"/>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7" t="n"/>
      <c r="AD82" s="47" t="n"/>
      <c r="AE82" s="47" t="n"/>
      <c r="AF82" s="47" t="n"/>
      <c r="AG82" s="47" t="n"/>
      <c r="AH82" s="47" t="n"/>
    </row>
    <row r="83">
      <c r="B83" s="9"/>
      <c r="C83" s="37" t="s">
        <v>341</v>
      </c>
      <c r="D83" s="35"/>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c r="Z83" s="46" t="n"/>
      <c r="AA83" s="46" t="n"/>
      <c r="AB83" s="46" t="n"/>
      <c r="AC83" s="46" t="n"/>
      <c r="AD83" s="46" t="n"/>
      <c r="AE83" s="46" t="n"/>
      <c r="AF83" s="46" t="n"/>
      <c r="AG83" s="46" t="n"/>
      <c r="AH83" s="46" t="n"/>
    </row>
    <row r="84">
      <c r="B84" s="10"/>
      <c r="C84" s="40" t="s">
        <v>342</v>
      </c>
      <c r="D84" s="39"/>
      <c r="E84" s="52" t="n">
        <f>SUM(E15:E21)+E26+E27+SUM(E35:E37)+E52+E65+SUM(E73:E83)</f>
      </c>
      <c r="F84" s="52" t="n">
        <f>SUM(F15:F21)+F26+F27+SUM(F35:F37)+F52+F65+SUM(F73:F83)</f>
      </c>
      <c r="G84" s="52" t="n">
        <f>SUM(G15:G21)+G26+G27+SUM(G35:G37)+G52+G65+SUM(G73:G83)</f>
      </c>
      <c r="H84" s="52" t="n">
        <f>SUM(H15:H21)+H26+H27+SUM(H35:H37)+H52+H65+SUM(H73:H83)</f>
      </c>
      <c r="I84" s="52" t="n">
        <f>SUM(I15:I21)+I26+I27+SUM(I35:I37)+I52+I65+SUM(I73:I83)</f>
      </c>
      <c r="J84" s="52" t="n">
        <f>SUM(J15:J21)+J26+J27+SUM(J35:J37)+J52+J65+SUM(J73:J83)</f>
      </c>
      <c r="K84" s="52" t="n">
        <f>SUM(K15:K21)+K26+K27+SUM(K35:K37)+K52+K65+SUM(K73:K83)</f>
      </c>
      <c r="L84" s="52" t="n">
        <f>SUM(L15:L21)+L26+L27+SUM(L35:L37)+L52+L65+SUM(L73:L83)</f>
      </c>
      <c r="M84" s="52" t="n">
        <f>SUM(M15:M21)+M26+M27+SUM(M35:M37)+M52+M65+SUM(M73:M83)</f>
      </c>
      <c r="N84" s="52" t="n">
        <f>SUM(N15:N21)+N26+N27+SUM(N35:N37)+N52+N65+SUM(N73:N83)</f>
      </c>
      <c r="O84" s="52" t="n">
        <f>SUM(O15:O21)+O26+O27+SUM(O35:O37)+O52+O65+SUM(O73:O83)</f>
      </c>
      <c r="P84" s="52" t="n">
        <f>SUM(P15:P21)+P26+P27+SUM(P35:P37)+P52+P65+SUM(P73:P83)</f>
      </c>
      <c r="Q84" s="52" t="n">
        <f>SUM(Q15:Q21)+Q26+Q27+SUM(Q35:Q37)+Q52+Q65+SUM(Q73:Q83)</f>
      </c>
      <c r="R84" s="52" t="n">
        <f>SUM(R15:R21)+R26+R27+SUM(R35:R37)+R52+R65+SUM(R73:R83)</f>
      </c>
      <c r="S84" s="52" t="n">
        <f>SUM(S15:S21)+S26+S27+SUM(S35:S37)+S52+S65+SUM(S73:S83)</f>
      </c>
      <c r="T84" s="52" t="n">
        <f>SUM(T15:T21)+T26+T27+SUM(T35:T37)+T52+T65+SUM(T73:T83)</f>
      </c>
      <c r="U84" s="52" t="n">
        <f>SUM(U15:U21)+U26+U27+SUM(U35:U37)+U52+U65+SUM(U73:U83)</f>
      </c>
      <c r="V84" s="52" t="n">
        <f>SUM(V15:V21)+V26+V27+SUM(V35:V37)+V52+V65+SUM(V73:V83)</f>
      </c>
      <c r="W84" s="52" t="n">
        <f>SUM(W15:W21)+W26+W27+SUM(W35:W37)+W52+W65+SUM(W73:W83)</f>
      </c>
      <c r="X84" s="52" t="n">
        <f>SUM(X15:X21)+X26+X27+SUM(X35:X37)+X52+X65+SUM(X73:X83)</f>
      </c>
      <c r="Y84" s="52" t="n">
        <f>SUM(Y15:Y21)+Y26+Y27+SUM(Y35:Y37)+Y52+Y65+SUM(Y73:Y83)</f>
      </c>
      <c r="Z84" s="52" t="n">
        <f>SUM(Z15:Z21)+Z26+Z27+SUM(Z35:Z37)+Z52+Z65+SUM(Z73:Z83)</f>
      </c>
      <c r="AA84" s="52" t="n">
        <f>SUM(AA15:AA21)+AA26+AA27+SUM(AA35:AA37)+AA52+AA65+SUM(AA73:AA83)</f>
      </c>
      <c r="AB84" s="52" t="n">
        <f>SUM(AB15:AB21)+AB26+AB27+SUM(AB35:AB37)+AB52+AB65+SUM(AB73:AB83)</f>
      </c>
      <c r="AC84" s="52" t="n">
        <f>SUM(AC15:AC21)+AC26+AC27+SUM(AC35:AC37)+AC52+AC65+SUM(AC73:AC83)</f>
      </c>
      <c r="AD84" s="52" t="n">
        <f>SUM(AD15:AD21)+AD26+AD27+SUM(AD35:AD37)+AD52+AD65+SUM(AD73:AD83)</f>
      </c>
      <c r="AE84" s="52" t="n">
        <f>SUM(AE15:AE21)+AE26+AE27+SUM(AE35:AE37)+AE52+AE65+SUM(AE73:AE83)</f>
      </c>
      <c r="AF84" s="52" t="n">
        <f>SUM(AF15:AF21)+AF26+AF27+SUM(AF35:AF37)+AF52+AF65+SUM(AF73:AF83)</f>
      </c>
      <c r="AG84" s="52" t="n">
        <f>SUM(AG15:AG21)+AG26+AG27+SUM(AG35:AG37)+AG52+AG65+SUM(AG73:AG83)</f>
      </c>
      <c r="AH84" s="52" t="n">
        <f>SUM(AH15:AH21)+AH26+AH27+SUM(AH35:AH37)+AH52+AH65+SUM(AH73:AH83)</f>
      </c>
    </row>
  </sheetData>
  <mergeCells>
    <mergeCell ref="E10:AH10"/>
    <mergeCell ref="E11:S11"/>
    <mergeCell ref="E12:G12"/>
    <mergeCell ref="H12:J12"/>
    <mergeCell ref="K12:M12"/>
    <mergeCell ref="N12:P12"/>
    <mergeCell ref="Q12:Q13"/>
    <mergeCell ref="R12:R13"/>
    <mergeCell ref="T11:AE11"/>
    <mergeCell ref="T12:V12"/>
    <mergeCell ref="W12:Y12"/>
    <mergeCell ref="Z12:AB12"/>
    <mergeCell ref="AC12:AC13"/>
    <mergeCell ref="AD12:AD13"/>
    <mergeCell ref="AF11:AF13"/>
    <mergeCell ref="AG11:AG13"/>
    <mergeCell ref="B14:D14"/>
    <mergeCell ref="C15:D15"/>
    <mergeCell ref="C16:D16"/>
    <mergeCell ref="C17:D17"/>
    <mergeCell ref="C18:D18"/>
    <mergeCell ref="C19:D19"/>
    <mergeCell ref="C20:D20"/>
    <mergeCell ref="C21:D21"/>
    <mergeCell ref="C22:D22"/>
    <mergeCell ref="C27:D27"/>
    <mergeCell ref="C28:D28"/>
    <mergeCell ref="C36:D36"/>
    <mergeCell ref="C37:D37"/>
    <mergeCell ref="C38:D38"/>
    <mergeCell ref="C53:D53"/>
    <mergeCell ref="C66:D66"/>
    <mergeCell ref="C74:D74"/>
    <mergeCell ref="C75:D75"/>
    <mergeCell ref="C76:D76"/>
    <mergeCell ref="C77:D77"/>
    <mergeCell ref="C78:D78"/>
    <mergeCell ref="C79:D79"/>
    <mergeCell ref="C80:D80"/>
    <mergeCell ref="C81:D81"/>
    <mergeCell ref="C82:D82"/>
    <mergeCell ref="C83:D83"/>
    <mergeCell ref="C84:D84"/>
  </mergeCells>
  <hyperlinks>
    <hyperlink location="'Indice'!A1" ref="B2"/>
  </hyperlinks>
  <pageMargins bottom="0.75" footer="0.3" header="0.3" left="0.7" right="0.7" top="0.75"/>
</worksheet>
</file>

<file path=xl/worksheets/sheet16.xml><?xml version="1.0" encoding="utf-8"?>
<worksheet xmlns="http://schemas.openxmlformats.org/spreadsheetml/2006/main">
  <dimension ref="B2:Z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s>
  <sheetData>
    <row r="2">
      <c r="B2" t="s" s="2">
        <v>1</v>
      </c>
    </row>
    <row r="3">
      <c r="B3" t="s" s="1">
        <v>3</v>
      </c>
      <c r="C3" t="s">
        <v>4</v>
      </c>
    </row>
    <row r="4">
      <c r="B4" s="1" t="s">
        <v>5</v>
      </c>
      <c r="C4" t="s">
        <v>6</v>
      </c>
    </row>
    <row r="5">
      <c r="B5" t="s" s="1">
        <v>7</v>
      </c>
      <c r="C5" t="s">
        <v>376</v>
      </c>
    </row>
    <row r="6">
      <c r="B6" t="s" s="1">
        <v>8</v>
      </c>
      <c r="C6" t="s">
        <v>9</v>
      </c>
    </row>
    <row r="7">
      <c r="B7" t="s" s="1">
        <v>10</v>
      </c>
      <c r="C7" t="s">
        <v>9</v>
      </c>
    </row>
    <row r="8">
      <c r="B8" t="s" s="1">
        <v>11</v>
      </c>
      <c r="C8" t="s">
        <v>12</v>
      </c>
    </row>
    <row r="10">
      <c r="E10" t="s" s="4">
        <v>31</v>
      </c>
      <c r="F10" s="24"/>
      <c r="G10" s="24"/>
      <c r="H10" s="24"/>
      <c r="I10" s="24"/>
      <c r="J10" s="24"/>
      <c r="K10" s="24"/>
      <c r="L10" s="24"/>
      <c r="M10" s="24"/>
      <c r="N10" s="24"/>
      <c r="O10" s="24"/>
      <c r="P10" s="24"/>
      <c r="Q10" s="24"/>
      <c r="R10" s="24"/>
      <c r="S10" s="24"/>
      <c r="T10" s="24"/>
      <c r="U10" s="24"/>
      <c r="V10" s="24"/>
      <c r="W10" s="24"/>
      <c r="X10" s="24"/>
      <c r="Y10" s="25"/>
    </row>
    <row r="11">
      <c r="E11" t="s" s="27">
        <v>377</v>
      </c>
      <c r="F11" s="56"/>
      <c r="G11" s="57"/>
      <c r="H11" t="s" s="4">
        <v>380</v>
      </c>
      <c r="I11" s="24"/>
      <c r="J11" s="25"/>
      <c r="K11" t="s" s="27">
        <v>357</v>
      </c>
      <c r="L11" s="56"/>
      <c r="M11" s="57"/>
      <c r="N11" t="s" s="4">
        <v>360</v>
      </c>
      <c r="O11" s="24"/>
      <c r="P11" s="25"/>
      <c r="Q11" t="s" s="27">
        <v>387</v>
      </c>
      <c r="R11" s="56"/>
      <c r="S11" s="57"/>
      <c r="T11" t="s" s="4">
        <v>390</v>
      </c>
      <c r="U11" s="24"/>
      <c r="V11" s="25"/>
      <c r="W11" t="s" s="28">
        <v>393</v>
      </c>
      <c r="X11" t="s" s="5">
        <v>394</v>
      </c>
      <c r="Y11" s="60"/>
    </row>
    <row r="12" ht="28.0" customHeight="true">
      <c r="E12" t="s" s="6">
        <v>378</v>
      </c>
      <c r="F12" t="s" s="29">
        <v>379</v>
      </c>
      <c r="G12" s="59"/>
      <c r="H12" t="s" s="29">
        <v>381</v>
      </c>
      <c r="I12" t="s" s="6">
        <v>382</v>
      </c>
      <c r="J12" s="30"/>
      <c r="K12" t="s" s="6">
        <v>383</v>
      </c>
      <c r="L12" t="s" s="29">
        <v>384</v>
      </c>
      <c r="M12" s="59"/>
      <c r="N12" t="s" s="29">
        <v>385</v>
      </c>
      <c r="O12" t="s" s="6">
        <v>386</v>
      </c>
      <c r="P12" s="30"/>
      <c r="Q12" t="s" s="6">
        <v>388</v>
      </c>
      <c r="R12" t="s" s="29">
        <v>389</v>
      </c>
      <c r="S12" s="59"/>
      <c r="T12" t="s" s="29">
        <v>391</v>
      </c>
      <c r="U12" t="s" s="6">
        <v>392</v>
      </c>
      <c r="V12" s="30"/>
      <c r="W12" s="59"/>
      <c r="X12" s="30"/>
      <c r="Y12" s="31"/>
    </row>
    <row r="13">
      <c r="B13" s="7" t="s">
        <v>272</v>
      </c>
      <c r="C13" s="32"/>
      <c r="D13" s="8"/>
      <c r="E13" s="17"/>
      <c r="F13" s="17"/>
      <c r="G13" s="17"/>
      <c r="H13" s="17"/>
      <c r="I13" s="17"/>
      <c r="J13" s="17"/>
      <c r="K13" s="17"/>
      <c r="L13" s="17"/>
      <c r="M13" s="17"/>
      <c r="N13" s="17"/>
      <c r="O13" s="17"/>
      <c r="P13" s="17"/>
      <c r="Q13" s="17"/>
      <c r="R13" s="17"/>
      <c r="S13" s="17"/>
      <c r="T13" s="17"/>
      <c r="U13" s="17"/>
      <c r="V13" s="17"/>
      <c r="W13" s="17"/>
      <c r="X13" s="17"/>
      <c r="Y13" s="17"/>
    </row>
    <row r="14">
      <c r="B14" s="9"/>
      <c r="C14" s="37" t="s">
        <v>273</v>
      </c>
      <c r="D14" s="35"/>
      <c r="E14" s="47" t="n"/>
      <c r="F14" s="47" t="n"/>
      <c r="G14" s="47" t="n"/>
      <c r="H14" s="47" t="n"/>
      <c r="I14" s="47" t="n"/>
      <c r="J14" s="47" t="n"/>
      <c r="K14" s="47" t="n"/>
      <c r="L14" s="47" t="n"/>
      <c r="M14" s="47" t="n"/>
      <c r="N14" s="47" t="n"/>
      <c r="O14" s="47" t="n"/>
      <c r="P14" s="47" t="n"/>
      <c r="Q14" s="47" t="n"/>
      <c r="R14" s="47" t="n"/>
      <c r="S14" s="47" t="n"/>
      <c r="T14" s="47" t="n"/>
      <c r="U14" s="47" t="n"/>
      <c r="V14" s="47" t="n"/>
      <c r="W14" s="47" t="n"/>
      <c r="X14" s="47" t="n"/>
      <c r="Y14" s="47" t="n"/>
    </row>
    <row r="15">
      <c r="B15" s="9"/>
      <c r="C15" s="10" t="s">
        <v>274</v>
      </c>
      <c r="D15" s="8"/>
      <c r="E15" s="46" t="n"/>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row>
    <row r="16">
      <c r="B16" s="9"/>
      <c r="C16" s="37" t="s">
        <v>275</v>
      </c>
      <c r="D16" s="35"/>
      <c r="E16" s="47" t="n"/>
      <c r="F16" s="47" t="n"/>
      <c r="G16" s="47" t="n"/>
      <c r="H16" s="47" t="n"/>
      <c r="I16" s="47" t="n"/>
      <c r="J16" s="47" t="n"/>
      <c r="K16" s="47" t="n"/>
      <c r="L16" s="47" t="n"/>
      <c r="M16" s="47" t="n"/>
      <c r="N16" s="47" t="n"/>
      <c r="O16" s="47" t="n"/>
      <c r="P16" s="47" t="n"/>
      <c r="Q16" s="47" t="n"/>
      <c r="R16" s="47" t="n"/>
      <c r="S16" s="47" t="n"/>
      <c r="T16" s="47" t="n"/>
      <c r="U16" s="47" t="n"/>
      <c r="V16" s="47" t="n"/>
      <c r="W16" s="47" t="n"/>
      <c r="X16" s="47" t="n"/>
      <c r="Y16" s="47" t="n"/>
    </row>
    <row r="17">
      <c r="B17" s="9"/>
      <c r="C17" s="10" t="s">
        <v>276</v>
      </c>
      <c r="D17" s="8"/>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row>
    <row r="18">
      <c r="B18" s="9"/>
      <c r="C18" s="37" t="s">
        <v>277</v>
      </c>
      <c r="D18" s="35"/>
      <c r="E18" s="47" t="n"/>
      <c r="F18" s="47" t="n"/>
      <c r="G18" s="47" t="n"/>
      <c r="H18" s="47" t="n"/>
      <c r="I18" s="47" t="n"/>
      <c r="J18" s="47" t="n"/>
      <c r="K18" s="47" t="n"/>
      <c r="L18" s="47" t="n"/>
      <c r="M18" s="47" t="n"/>
      <c r="N18" s="47" t="n"/>
      <c r="O18" s="47" t="n"/>
      <c r="P18" s="47" t="n"/>
      <c r="Q18" s="47" t="n"/>
      <c r="R18" s="47" t="n"/>
      <c r="S18" s="47" t="n"/>
      <c r="T18" s="47" t="n"/>
      <c r="U18" s="47" t="n"/>
      <c r="V18" s="47" t="n"/>
      <c r="W18" s="47" t="n"/>
      <c r="X18" s="47" t="n"/>
      <c r="Y18" s="47" t="n"/>
    </row>
    <row r="19">
      <c r="B19" s="9"/>
      <c r="C19" s="10" t="s">
        <v>278</v>
      </c>
      <c r="D19" s="8"/>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row>
    <row r="20">
      <c r="B20" s="9"/>
      <c r="C20" s="37" t="s">
        <v>279</v>
      </c>
      <c r="D20" s="35"/>
      <c r="E20" s="47" t="n"/>
      <c r="F20" s="47" t="n"/>
      <c r="G20" s="47" t="n"/>
      <c r="H20" s="47" t="n"/>
      <c r="I20" s="47" t="n"/>
      <c r="J20" s="47" t="n"/>
      <c r="K20" s="47" t="n"/>
      <c r="L20" s="47" t="n"/>
      <c r="M20" s="47" t="n"/>
      <c r="N20" s="47" t="n"/>
      <c r="O20" s="47" t="n"/>
      <c r="P20" s="47" t="n"/>
      <c r="Q20" s="47" t="n"/>
      <c r="R20" s="47" t="n"/>
      <c r="S20" s="47" t="n"/>
      <c r="T20" s="47" t="n"/>
      <c r="U20" s="47" t="n"/>
      <c r="V20" s="47" t="n"/>
      <c r="W20" s="47" t="n"/>
      <c r="X20" s="47" t="n"/>
      <c r="Y20" s="47" t="n"/>
    </row>
    <row r="21">
      <c r="B21" s="9"/>
      <c r="C21" s="7" t="s">
        <v>280</v>
      </c>
      <c r="D21" s="8"/>
      <c r="E21" s="17"/>
      <c r="F21" s="17"/>
      <c r="G21" s="17"/>
      <c r="H21" s="17"/>
      <c r="I21" s="17"/>
      <c r="J21" s="17"/>
      <c r="K21" s="17"/>
      <c r="L21" s="17"/>
      <c r="M21" s="17"/>
      <c r="N21" s="17"/>
      <c r="O21" s="17"/>
      <c r="P21" s="17"/>
      <c r="Q21" s="17"/>
      <c r="R21" s="17"/>
      <c r="S21" s="17"/>
      <c r="T21" s="17"/>
      <c r="U21" s="17"/>
      <c r="V21" s="17"/>
      <c r="W21" s="17"/>
      <c r="X21" s="17"/>
      <c r="Y21" s="17"/>
    </row>
    <row r="22">
      <c r="B22" s="9"/>
      <c r="C22" s="9"/>
      <c r="D22" s="13" t="s">
        <v>281</v>
      </c>
      <c r="E22" s="47" t="n"/>
      <c r="F22" s="47" t="n"/>
      <c r="G22" s="47" t="n"/>
      <c r="H22" s="47" t="n"/>
      <c r="I22" s="47" t="n"/>
      <c r="J22" s="47" t="n"/>
      <c r="K22" s="47" t="n"/>
      <c r="L22" s="47" t="n"/>
      <c r="M22" s="47" t="n"/>
      <c r="N22" s="47" t="n"/>
      <c r="O22" s="47" t="n"/>
      <c r="P22" s="47" t="n"/>
      <c r="Q22" s="47" t="n"/>
      <c r="R22" s="47" t="n"/>
      <c r="S22" s="47" t="n"/>
      <c r="T22" s="47" t="n"/>
      <c r="U22" s="47" t="n"/>
      <c r="V22" s="47" t="n"/>
      <c r="W22" s="47" t="n"/>
      <c r="X22" s="47" t="n"/>
      <c r="Y22" s="47" t="n"/>
    </row>
    <row r="23">
      <c r="B23" s="9"/>
      <c r="C23" s="9"/>
      <c r="D23" s="14" t="s">
        <v>282</v>
      </c>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row>
    <row r="24">
      <c r="B24" s="9"/>
      <c r="C24" s="9"/>
      <c r="D24" s="13" t="s">
        <v>283</v>
      </c>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row>
    <row r="25">
      <c r="B25" s="9"/>
      <c r="C25" s="10"/>
      <c r="D25" s="51" t="s">
        <v>284</v>
      </c>
      <c r="E25" s="46" t="n">
        <f>SUM(E22:E24)</f>
      </c>
      <c r="F25" s="46" t="n">
        <f>SUM(F22:F24)</f>
      </c>
      <c r="G25" s="46" t="n">
        <f>SUM(G22:G24)</f>
      </c>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c r="S25" s="46" t="n">
        <f>SUM(S22:S24)</f>
      </c>
      <c r="T25" s="46" t="n">
        <f>SUM(T22:T24)</f>
      </c>
      <c r="U25" s="46" t="n">
        <f>SUM(U22:U24)</f>
      </c>
      <c r="V25" s="46" t="n">
        <f>SUM(V22:V24)</f>
      </c>
      <c r="W25" s="46" t="n">
        <f>SUM(W22:W24)</f>
      </c>
      <c r="X25" s="46" t="n">
        <f>SUM(X22:X24)</f>
      </c>
      <c r="Y25" s="46" t="n">
        <f>SUM(Y22:Y24)</f>
      </c>
    </row>
    <row r="26">
      <c r="B26" s="9"/>
      <c r="C26" s="37" t="s">
        <v>285</v>
      </c>
      <c r="D26" s="35"/>
      <c r="E26" s="47" t="n"/>
      <c r="F26" s="47" t="n"/>
      <c r="G26" s="47" t="n"/>
      <c r="H26" s="47" t="n"/>
      <c r="I26" s="47" t="n"/>
      <c r="J26" s="47" t="n"/>
      <c r="K26" s="47" t="n"/>
      <c r="L26" s="47" t="n"/>
      <c r="M26" s="47" t="n"/>
      <c r="N26" s="47" t="n"/>
      <c r="O26" s="47" t="n"/>
      <c r="P26" s="47" t="n"/>
      <c r="Q26" s="47" t="n"/>
      <c r="R26" s="47" t="n"/>
      <c r="S26" s="47" t="n"/>
      <c r="T26" s="47" t="n"/>
      <c r="U26" s="47" t="n"/>
      <c r="V26" s="47" t="n"/>
      <c r="W26" s="47" t="n"/>
      <c r="X26" s="47" t="n"/>
      <c r="Y26" s="47" t="n"/>
    </row>
    <row r="27">
      <c r="B27" s="9"/>
      <c r="C27" s="7" t="s">
        <v>286</v>
      </c>
      <c r="D27" s="8"/>
      <c r="E27" s="17"/>
      <c r="F27" s="17"/>
      <c r="G27" s="17"/>
      <c r="H27" s="17"/>
      <c r="I27" s="17"/>
      <c r="J27" s="17"/>
      <c r="K27" s="17"/>
      <c r="L27" s="17"/>
      <c r="M27" s="17"/>
      <c r="N27" s="17"/>
      <c r="O27" s="17"/>
      <c r="P27" s="17"/>
      <c r="Q27" s="17"/>
      <c r="R27" s="17"/>
      <c r="S27" s="17"/>
      <c r="T27" s="17"/>
      <c r="U27" s="17"/>
      <c r="V27" s="17"/>
      <c r="W27" s="17"/>
      <c r="X27" s="17"/>
      <c r="Y27" s="17"/>
    </row>
    <row r="28">
      <c r="B28" s="9"/>
      <c r="C28" s="9"/>
      <c r="D28" s="13" t="s">
        <v>287</v>
      </c>
      <c r="E28" s="47" t="n"/>
      <c r="F28" s="47" t="n"/>
      <c r="G28" s="47" t="n"/>
      <c r="H28" s="47" t="n"/>
      <c r="I28" s="47" t="n"/>
      <c r="J28" s="47" t="n"/>
      <c r="K28" s="47" t="n"/>
      <c r="L28" s="47" t="n"/>
      <c r="M28" s="47" t="n"/>
      <c r="N28" s="47" t="n"/>
      <c r="O28" s="47" t="n"/>
      <c r="P28" s="47" t="n"/>
      <c r="Q28" s="47" t="n"/>
      <c r="R28" s="47" t="n"/>
      <c r="S28" s="47" t="n"/>
      <c r="T28" s="47" t="n"/>
      <c r="U28" s="47" t="n"/>
      <c r="V28" s="47" t="n"/>
      <c r="W28" s="47" t="n"/>
      <c r="X28" s="47" t="n"/>
      <c r="Y28" s="47" t="n"/>
    </row>
    <row r="29">
      <c r="B29" s="9"/>
      <c r="C29" s="9"/>
      <c r="D29" s="14" t="s">
        <v>288</v>
      </c>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row>
    <row r="30">
      <c r="B30" s="9"/>
      <c r="C30" s="9"/>
      <c r="D30" s="13" t="s">
        <v>289</v>
      </c>
      <c r="E30" s="47" t="n"/>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row>
    <row r="31">
      <c r="B31" s="9"/>
      <c r="C31" s="9"/>
      <c r="D31" s="14" t="s">
        <v>290</v>
      </c>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row>
    <row r="32">
      <c r="B32" s="9"/>
      <c r="C32" s="9"/>
      <c r="D32" s="13" t="s">
        <v>291</v>
      </c>
      <c r="E32" s="47" t="n"/>
      <c r="F32" s="47" t="n"/>
      <c r="G32" s="47" t="n"/>
      <c r="H32" s="47" t="n"/>
      <c r="I32" s="47" t="n"/>
      <c r="J32" s="47" t="n"/>
      <c r="K32" s="47" t="n"/>
      <c r="L32" s="47" t="n"/>
      <c r="M32" s="47" t="n"/>
      <c r="N32" s="47" t="n"/>
      <c r="O32" s="47" t="n"/>
      <c r="P32" s="47" t="n"/>
      <c r="Q32" s="47" t="n"/>
      <c r="R32" s="47" t="n"/>
      <c r="S32" s="47" t="n"/>
      <c r="T32" s="47" t="n"/>
      <c r="U32" s="47" t="n"/>
      <c r="V32" s="47" t="n"/>
      <c r="W32" s="47" t="n"/>
      <c r="X32" s="47" t="n"/>
      <c r="Y32" s="47" t="n"/>
    </row>
    <row r="33">
      <c r="B33" s="9"/>
      <c r="C33" s="9"/>
      <c r="D33" s="14" t="s">
        <v>292</v>
      </c>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row>
    <row r="34">
      <c r="B34" s="9"/>
      <c r="C34" s="10"/>
      <c r="D34" s="53" t="s">
        <v>293</v>
      </c>
      <c r="E34" s="47" t="n">
        <f>SUM(E28:E33)</f>
      </c>
      <c r="F34" s="47" t="n">
        <f>SUM(F28:F33)</f>
      </c>
      <c r="G34" s="47" t="n">
        <f>SUM(G28:G33)</f>
      </c>
      <c r="H34" s="47" t="n">
        <f>SUM(H28:H33)</f>
      </c>
      <c r="I34" s="47" t="n">
        <f>SUM(I28:I33)</f>
      </c>
      <c r="J34" s="47" t="n">
        <f>SUM(J28:J33)</f>
      </c>
      <c r="K34" s="47" t="n">
        <f>SUM(K28:K33)</f>
      </c>
      <c r="L34" s="47" t="n">
        <f>SUM(L28:L33)</f>
      </c>
      <c r="M34" s="47" t="n">
        <f>SUM(M28:M33)</f>
      </c>
      <c r="N34" s="47" t="n">
        <f>SUM(N28:N33)</f>
      </c>
      <c r="O34" s="47" t="n">
        <f>SUM(O28:O33)</f>
      </c>
      <c r="P34" s="47" t="n">
        <f>SUM(P28:P33)</f>
      </c>
      <c r="Q34" s="47" t="n">
        <f>SUM(Q28:Q33)</f>
      </c>
      <c r="R34" s="47" t="n">
        <f>SUM(R28:R33)</f>
      </c>
      <c r="S34" s="47" t="n">
        <f>SUM(S28:S33)</f>
      </c>
      <c r="T34" s="47" t="n">
        <f>SUM(T28:T33)</f>
      </c>
      <c r="U34" s="47" t="n">
        <f>SUM(U28:U33)</f>
      </c>
      <c r="V34" s="47" t="n">
        <f>SUM(V28:V33)</f>
      </c>
      <c r="W34" s="47" t="n">
        <f>SUM(W28:W33)</f>
      </c>
      <c r="X34" s="47" t="n">
        <f>SUM(X28:X33)</f>
      </c>
      <c r="Y34" s="47" t="n">
        <f>SUM(Y28:Y33)</f>
      </c>
    </row>
    <row r="35">
      <c r="B35" s="9"/>
      <c r="C35" s="10" t="s">
        <v>294</v>
      </c>
      <c r="D35" s="8"/>
      <c r="E35" s="46" t="n"/>
      <c r="F35" s="46" t="n"/>
      <c r="G35" s="46" t="n"/>
      <c r="H35" s="46" t="n"/>
      <c r="I35" s="46" t="n"/>
      <c r="J35" s="46" t="n"/>
      <c r="K35" s="46" t="n"/>
      <c r="L35" s="46" t="n"/>
      <c r="M35" s="46" t="n"/>
      <c r="N35" s="46" t="n"/>
      <c r="O35" s="46" t="n"/>
      <c r="P35" s="46" t="n"/>
      <c r="Q35" s="46" t="n"/>
      <c r="R35" s="46" t="n"/>
      <c r="S35" s="46" t="n"/>
      <c r="T35" s="46" t="n"/>
      <c r="U35" s="46" t="n"/>
      <c r="V35" s="46" t="n"/>
      <c r="W35" s="46" t="n"/>
      <c r="X35" s="46" t="n"/>
      <c r="Y35" s="46" t="n"/>
    </row>
    <row r="36">
      <c r="B36" s="9"/>
      <c r="C36" s="37" t="s">
        <v>295</v>
      </c>
      <c r="D36" s="35"/>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row>
    <row r="37">
      <c r="B37" s="9"/>
      <c r="C37" s="7" t="s">
        <v>296</v>
      </c>
      <c r="D37" s="8"/>
      <c r="E37" s="17"/>
      <c r="F37" s="17"/>
      <c r="G37" s="17"/>
      <c r="H37" s="17"/>
      <c r="I37" s="17"/>
      <c r="J37" s="17"/>
      <c r="K37" s="17"/>
      <c r="L37" s="17"/>
      <c r="M37" s="17"/>
      <c r="N37" s="17"/>
      <c r="O37" s="17"/>
      <c r="P37" s="17"/>
      <c r="Q37" s="17"/>
      <c r="R37" s="17"/>
      <c r="S37" s="17"/>
      <c r="T37" s="17"/>
      <c r="U37" s="17"/>
      <c r="V37" s="17"/>
      <c r="W37" s="17"/>
      <c r="X37" s="17"/>
      <c r="Y37" s="17"/>
    </row>
    <row r="38">
      <c r="B38" s="9"/>
      <c r="C38" s="9"/>
      <c r="D38" s="13" t="s">
        <v>297</v>
      </c>
      <c r="E38" s="4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row>
    <row r="39">
      <c r="B39" s="9"/>
      <c r="C39" s="9"/>
      <c r="D39" s="14" t="s">
        <v>298</v>
      </c>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row>
    <row r="40">
      <c r="B40" s="9"/>
      <c r="C40" s="9"/>
      <c r="D40" s="13" t="s">
        <v>299</v>
      </c>
      <c r="E40" s="4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row>
    <row r="41">
      <c r="B41" s="9"/>
      <c r="C41" s="9"/>
      <c r="D41" s="14" t="s">
        <v>300</v>
      </c>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row>
    <row r="42">
      <c r="B42" s="9"/>
      <c r="C42" s="9"/>
      <c r="D42" s="13" t="s">
        <v>301</v>
      </c>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c r="Y42" s="47" t="n"/>
    </row>
    <row r="43">
      <c r="B43" s="9"/>
      <c r="C43" s="9"/>
      <c r="D43" s="14" t="s">
        <v>302</v>
      </c>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row>
    <row r="44">
      <c r="B44" s="9"/>
      <c r="C44" s="9"/>
      <c r="D44" s="13" t="s">
        <v>303</v>
      </c>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c r="Y44" s="47" t="n"/>
    </row>
    <row r="45">
      <c r="B45" s="9"/>
      <c r="C45" s="9"/>
      <c r="D45" s="14" t="s">
        <v>304</v>
      </c>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row>
    <row r="46">
      <c r="B46" s="9"/>
      <c r="C46" s="9"/>
      <c r="D46" s="13" t="s">
        <v>305</v>
      </c>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row>
    <row r="47">
      <c r="B47" s="9"/>
      <c r="C47" s="9"/>
      <c r="D47" s="14" t="s">
        <v>306</v>
      </c>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row>
    <row r="48">
      <c r="B48" s="9"/>
      <c r="C48" s="9"/>
      <c r="D48" s="13" t="s">
        <v>307</v>
      </c>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c r="Y48" s="47" t="n"/>
    </row>
    <row r="49">
      <c r="B49" s="9"/>
      <c r="C49" s="9"/>
      <c r="D49" s="14" t="s">
        <v>308</v>
      </c>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row>
    <row r="50">
      <c r="B50" s="9"/>
      <c r="C50" s="9"/>
      <c r="D50" s="13" t="s">
        <v>309</v>
      </c>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row>
    <row r="51">
      <c r="B51" s="9"/>
      <c r="C51" s="10"/>
      <c r="D51" s="14" t="s">
        <v>310</v>
      </c>
      <c r="E51" s="46" t="n">
        <f>SUM(E38:E50)</f>
      </c>
      <c r="F51" s="46" t="n">
        <f>SUM(F38:F50)</f>
      </c>
      <c r="G51" s="46" t="n">
        <f>SUM(G38:G50)</f>
      </c>
      <c r="H51" s="46" t="n">
        <f>SUM(H38:H50)</f>
      </c>
      <c r="I51" s="46" t="n">
        <f>SUM(I38:I50)</f>
      </c>
      <c r="J51" s="46" t="n">
        <f>SUM(J38:J50)</f>
      </c>
      <c r="K51" s="46" t="n">
        <f>SUM(K38:K50)</f>
      </c>
      <c r="L51" s="46" t="n">
        <f>SUM(L38:L50)</f>
      </c>
      <c r="M51" s="46" t="n">
        <f>SUM(M38:M50)</f>
      </c>
      <c r="N51" s="46" t="n">
        <f>SUM(N38:N50)</f>
      </c>
      <c r="O51" s="46" t="n">
        <f>SUM(O38:O50)</f>
      </c>
      <c r="P51" s="46" t="n">
        <f>SUM(P38:P50)</f>
      </c>
      <c r="Q51" s="46" t="n">
        <f>SUM(Q38:Q50)</f>
      </c>
      <c r="R51" s="46" t="n">
        <f>SUM(R38:R50)</f>
      </c>
      <c r="S51" s="46" t="n">
        <f>SUM(S38:S50)</f>
      </c>
      <c r="T51" s="46" t="n">
        <f>SUM(T38:T50)</f>
      </c>
      <c r="U51" s="46" t="n">
        <f>SUM(U38:U50)</f>
      </c>
      <c r="V51" s="46" t="n">
        <f>SUM(V38:V50)</f>
      </c>
      <c r="W51" s="46" t="n">
        <f>SUM(W38:W50)</f>
      </c>
      <c r="X51" s="46" t="n">
        <f>SUM(X38:X50)</f>
      </c>
      <c r="Y51" s="46" t="n">
        <f>SUM(Y38:Y50)</f>
      </c>
    </row>
    <row r="52">
      <c r="B52" s="9"/>
      <c r="C52" s="33" t="s">
        <v>311</v>
      </c>
      <c r="D52" s="35"/>
      <c r="E52" s="18"/>
      <c r="F52" s="18"/>
      <c r="G52" s="18"/>
      <c r="H52" s="18"/>
      <c r="I52" s="18"/>
      <c r="J52" s="18"/>
      <c r="K52" s="18"/>
      <c r="L52" s="18"/>
      <c r="M52" s="18"/>
      <c r="N52" s="18"/>
      <c r="O52" s="18"/>
      <c r="P52" s="18"/>
      <c r="Q52" s="18"/>
      <c r="R52" s="18"/>
      <c r="S52" s="18"/>
      <c r="T52" s="18"/>
      <c r="U52" s="18"/>
      <c r="V52" s="18"/>
      <c r="W52" s="18"/>
      <c r="X52" s="18"/>
      <c r="Y52" s="18"/>
    </row>
    <row r="53">
      <c r="B53" s="9"/>
      <c r="C53" s="36"/>
      <c r="D53" s="14" t="s">
        <v>312</v>
      </c>
      <c r="E53" s="46" t="n"/>
      <c r="F53" s="46" t="n"/>
      <c r="G53" s="46" t="n"/>
      <c r="H53" s="46" t="n"/>
      <c r="I53" s="46" t="n"/>
      <c r="J53" s="46" t="n"/>
      <c r="K53" s="46" t="n"/>
      <c r="L53" s="46" t="n"/>
      <c r="M53" s="46" t="n"/>
      <c r="N53" s="46" t="n"/>
      <c r="O53" s="46" t="n"/>
      <c r="P53" s="46" t="n"/>
      <c r="Q53" s="46" t="n"/>
      <c r="R53" s="46" t="n"/>
      <c r="S53" s="46" t="n"/>
      <c r="T53" s="46" t="n"/>
      <c r="U53" s="46" t="n"/>
      <c r="V53" s="46" t="n"/>
      <c r="W53" s="46" t="n"/>
      <c r="X53" s="46" t="n"/>
      <c r="Y53" s="46" t="n"/>
    </row>
    <row r="54">
      <c r="B54" s="9"/>
      <c r="C54" s="36"/>
      <c r="D54" s="13" t="s">
        <v>313</v>
      </c>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row>
    <row r="55">
      <c r="B55" s="9"/>
      <c r="C55" s="36"/>
      <c r="D55" s="14" t="s">
        <v>314</v>
      </c>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row>
    <row r="56">
      <c r="B56" s="9"/>
      <c r="C56" s="36"/>
      <c r="D56" s="13" t="s">
        <v>315</v>
      </c>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row>
    <row r="57">
      <c r="B57" s="9"/>
      <c r="C57" s="36"/>
      <c r="D57" s="14" t="s">
        <v>316</v>
      </c>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row>
    <row r="58">
      <c r="B58" s="9"/>
      <c r="C58" s="36"/>
      <c r="D58" s="13" t="s">
        <v>317</v>
      </c>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row>
    <row r="59">
      <c r="B59" s="9"/>
      <c r="C59" s="36"/>
      <c r="D59" s="14" t="s">
        <v>318</v>
      </c>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row>
    <row r="60">
      <c r="B60" s="9"/>
      <c r="C60" s="36"/>
      <c r="D60" s="13" t="s">
        <v>319</v>
      </c>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c r="Y60" s="47" t="n"/>
    </row>
    <row r="61">
      <c r="B61" s="9"/>
      <c r="C61" s="36"/>
      <c r="D61" s="14" t="s">
        <v>320</v>
      </c>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row>
    <row r="62">
      <c r="B62" s="9"/>
      <c r="C62" s="36"/>
      <c r="D62" s="13" t="s">
        <v>321</v>
      </c>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row>
    <row r="63">
      <c r="B63" s="9"/>
      <c r="C63" s="36"/>
      <c r="D63" s="14" t="s">
        <v>322</v>
      </c>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row>
    <row r="64">
      <c r="B64" s="9"/>
      <c r="C64" s="37"/>
      <c r="D64" s="53" t="s">
        <v>323</v>
      </c>
      <c r="E64" s="47" t="n">
        <f>SUM(E53:E63)</f>
      </c>
      <c r="F64" s="47" t="n">
        <f>SUM(F53:F63)</f>
      </c>
      <c r="G64" s="47" t="n">
        <f>SUM(G53:G63)</f>
      </c>
      <c r="H64" s="47" t="n">
        <f>SUM(H53:H63)</f>
      </c>
      <c r="I64" s="47" t="n">
        <f>SUM(I53:I63)</f>
      </c>
      <c r="J64" s="47" t="n">
        <f>SUM(J53:J63)</f>
      </c>
      <c r="K64" s="47" t="n">
        <f>SUM(K53:K63)</f>
      </c>
      <c r="L64" s="47" t="n">
        <f>SUM(L53:L63)</f>
      </c>
      <c r="M64" s="47" t="n">
        <f>SUM(M53:M63)</f>
      </c>
      <c r="N64" s="47" t="n">
        <f>SUM(N53:N63)</f>
      </c>
      <c r="O64" s="47" t="n">
        <f>SUM(O53:O63)</f>
      </c>
      <c r="P64" s="47" t="n">
        <f>SUM(P53:P63)</f>
      </c>
      <c r="Q64" s="47" t="n">
        <f>SUM(Q53:Q63)</f>
      </c>
      <c r="R64" s="47" t="n">
        <f>SUM(R53:R63)</f>
      </c>
      <c r="S64" s="47" t="n">
        <f>SUM(S53:S63)</f>
      </c>
      <c r="T64" s="47" t="n">
        <f>SUM(T53:T63)</f>
      </c>
      <c r="U64" s="47" t="n">
        <f>SUM(U53:U63)</f>
      </c>
      <c r="V64" s="47" t="n">
        <f>SUM(V53:V63)</f>
      </c>
      <c r="W64" s="47" t="n">
        <f>SUM(W53:W63)</f>
      </c>
      <c r="X64" s="47" t="n">
        <f>SUM(X53:X63)</f>
      </c>
      <c r="Y64" s="47" t="n">
        <f>SUM(Y53:Y63)</f>
      </c>
    </row>
    <row r="65">
      <c r="B65" s="9"/>
      <c r="C65" s="7" t="s">
        <v>324</v>
      </c>
      <c r="D65" s="8"/>
      <c r="E65" s="17"/>
      <c r="F65" s="17"/>
      <c r="G65" s="17"/>
      <c r="H65" s="17"/>
      <c r="I65" s="17"/>
      <c r="J65" s="17"/>
      <c r="K65" s="17"/>
      <c r="L65" s="17"/>
      <c r="M65" s="17"/>
      <c r="N65" s="17"/>
      <c r="O65" s="17"/>
      <c r="P65" s="17"/>
      <c r="Q65" s="17"/>
      <c r="R65" s="17"/>
      <c r="S65" s="17"/>
      <c r="T65" s="17"/>
      <c r="U65" s="17"/>
      <c r="V65" s="17"/>
      <c r="W65" s="17"/>
      <c r="X65" s="17"/>
      <c r="Y65" s="17"/>
    </row>
    <row r="66">
      <c r="B66" s="9"/>
      <c r="C66" s="9"/>
      <c r="D66" s="13" t="s">
        <v>325</v>
      </c>
      <c r="E66" s="47" t="n"/>
      <c r="F66" s="47" t="n"/>
      <c r="G66" s="47" t="n"/>
      <c r="H66" s="47" t="n"/>
      <c r="I66" s="47" t="n"/>
      <c r="J66" s="47" t="n"/>
      <c r="K66" s="47" t="n"/>
      <c r="L66" s="47" t="n"/>
      <c r="M66" s="47" t="n"/>
      <c r="N66" s="47" t="n"/>
      <c r="O66" s="47" t="n"/>
      <c r="P66" s="47" t="n"/>
      <c r="Q66" s="47" t="n"/>
      <c r="R66" s="47" t="n"/>
      <c r="S66" s="47" t="n"/>
      <c r="T66" s="47" t="n"/>
      <c r="U66" s="47" t="n"/>
      <c r="V66" s="47" t="n"/>
      <c r="W66" s="47" t="n"/>
      <c r="X66" s="47" t="n"/>
      <c r="Y66" s="47" t="n"/>
    </row>
    <row r="67">
      <c r="B67" s="9"/>
      <c r="C67" s="9"/>
      <c r="D67" s="14" t="s">
        <v>326</v>
      </c>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row>
    <row r="68">
      <c r="B68" s="9"/>
      <c r="C68" s="9"/>
      <c r="D68" s="13" t="s">
        <v>327</v>
      </c>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row>
    <row r="69">
      <c r="B69" s="9"/>
      <c r="C69" s="9"/>
      <c r="D69" s="14" t="s">
        <v>328</v>
      </c>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row>
    <row r="70">
      <c r="B70" s="9"/>
      <c r="C70" s="9"/>
      <c r="D70" s="13" t="s">
        <v>329</v>
      </c>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row>
    <row r="71">
      <c r="B71" s="9"/>
      <c r="C71" s="9"/>
      <c r="D71" s="14" t="s">
        <v>330</v>
      </c>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row>
    <row r="72">
      <c r="B72" s="9"/>
      <c r="C72" s="10"/>
      <c r="D72" s="53" t="s">
        <v>331</v>
      </c>
      <c r="E72" s="47" t="n">
        <f>SUM(E66:E71)</f>
      </c>
      <c r="F72" s="47" t="n">
        <f>SUM(F66:F71)</f>
      </c>
      <c r="G72" s="47" t="n">
        <f>SUM(G66:G71)</f>
      </c>
      <c r="H72" s="47" t="n">
        <f>SUM(H66:H71)</f>
      </c>
      <c r="I72" s="47" t="n">
        <f>SUM(I66:I71)</f>
      </c>
      <c r="J72" s="47" t="n">
        <f>SUM(J66:J71)</f>
      </c>
      <c r="K72" s="47" t="n">
        <f>SUM(K66:K71)</f>
      </c>
      <c r="L72" s="47" t="n">
        <f>SUM(L66:L71)</f>
      </c>
      <c r="M72" s="47" t="n">
        <f>SUM(M66:M71)</f>
      </c>
      <c r="N72" s="47" t="n">
        <f>SUM(N66:N71)</f>
      </c>
      <c r="O72" s="47" t="n">
        <f>SUM(O66:O71)</f>
      </c>
      <c r="P72" s="47" t="n">
        <f>SUM(P66:P71)</f>
      </c>
      <c r="Q72" s="47" t="n">
        <f>SUM(Q66:Q71)</f>
      </c>
      <c r="R72" s="47" t="n">
        <f>SUM(R66:R71)</f>
      </c>
      <c r="S72" s="47" t="n">
        <f>SUM(S66:S71)</f>
      </c>
      <c r="T72" s="47" t="n">
        <f>SUM(T66:T71)</f>
      </c>
      <c r="U72" s="47" t="n">
        <f>SUM(U66:U71)</f>
      </c>
      <c r="V72" s="47" t="n">
        <f>SUM(V66:V71)</f>
      </c>
      <c r="W72" s="47" t="n">
        <f>SUM(W66:W71)</f>
      </c>
      <c r="X72" s="47" t="n">
        <f>SUM(X66:X71)</f>
      </c>
      <c r="Y72" s="47" t="n">
        <f>SUM(Y66:Y71)</f>
      </c>
    </row>
    <row r="73">
      <c r="B73" s="9"/>
      <c r="C73" s="10" t="s">
        <v>332</v>
      </c>
      <c r="D73" s="8"/>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row>
    <row r="74">
      <c r="B74" s="9"/>
      <c r="C74" s="37" t="s">
        <v>333</v>
      </c>
      <c r="D74" s="35"/>
      <c r="E74" s="47" t="n"/>
      <c r="F74" s="47" t="n"/>
      <c r="G74" s="47" t="n"/>
      <c r="H74" s="47" t="n"/>
      <c r="I74" s="47" t="n"/>
      <c r="J74" s="47" t="n"/>
      <c r="K74" s="47" t="n"/>
      <c r="L74" s="47" t="n"/>
      <c r="M74" s="47" t="n"/>
      <c r="N74" s="47" t="n"/>
      <c r="O74" s="47" t="n"/>
      <c r="P74" s="47" t="n"/>
      <c r="Q74" s="47" t="n"/>
      <c r="R74" s="47" t="n"/>
      <c r="S74" s="47" t="n"/>
      <c r="T74" s="47" t="n"/>
      <c r="U74" s="47" t="n"/>
      <c r="V74" s="47" t="n"/>
      <c r="W74" s="47" t="n"/>
      <c r="X74" s="47" t="n"/>
      <c r="Y74" s="47" t="n"/>
    </row>
    <row r="75">
      <c r="B75" s="9"/>
      <c r="C75" s="10" t="s">
        <v>334</v>
      </c>
      <c r="D75" s="8"/>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row>
    <row r="76">
      <c r="B76" s="9"/>
      <c r="C76" s="37" t="s">
        <v>335</v>
      </c>
      <c r="D76" s="35"/>
      <c r="E76" s="4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row>
    <row r="77">
      <c r="B77" s="9"/>
      <c r="C77" s="10" t="s">
        <v>336</v>
      </c>
      <c r="D77" s="8"/>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row>
    <row r="78">
      <c r="B78" s="9"/>
      <c r="C78" s="37" t="s">
        <v>337</v>
      </c>
      <c r="D78" s="35"/>
      <c r="E78" s="4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row>
    <row r="79">
      <c r="B79" s="9"/>
      <c r="C79" s="10" t="s">
        <v>338</v>
      </c>
      <c r="D79" s="8"/>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row>
    <row r="80">
      <c r="B80" s="9"/>
      <c r="C80" s="37" t="s">
        <v>339</v>
      </c>
      <c r="D80" s="35"/>
      <c r="E80" s="4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row>
    <row r="81">
      <c r="B81" s="9"/>
      <c r="C81" s="10" t="s">
        <v>340</v>
      </c>
      <c r="D81" s="8"/>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row>
    <row r="82">
      <c r="B82" s="9"/>
      <c r="C82" s="37" t="s">
        <v>341</v>
      </c>
      <c r="D82" s="35"/>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row>
    <row r="83">
      <c r="B83" s="10"/>
      <c r="C83" s="40" t="s">
        <v>342</v>
      </c>
      <c r="D83" s="39"/>
      <c r="E83" s="48" t="n">
        <f>SUM(E14:E20)+E25+E26+SUM(E34:E36)+E51+E64+SUM(E72:E82)</f>
      </c>
      <c r="F83" s="48" t="n">
        <f>SUM(F14:F20)+F25+F26+SUM(F34:F36)+F51+F64+SUM(F72:F82)</f>
      </c>
      <c r="G83" s="48" t="n">
        <f>SUM(G14:G20)+G25+G26+SUM(G34:G36)+G51+G64+SUM(G72:G82)</f>
      </c>
      <c r="H83" s="48" t="n">
        <f>SUM(H14:H20)+H25+H26+SUM(H34:H36)+H51+H64+SUM(H72:H82)</f>
      </c>
      <c r="I83" s="48" t="n">
        <f>SUM(I14:I20)+I25+I26+SUM(I34:I36)+I51+I64+SUM(I72:I82)</f>
      </c>
      <c r="J83" s="48" t="n">
        <f>SUM(J14:J20)+J25+J26+SUM(J34:J36)+J51+J64+SUM(J72:J82)</f>
      </c>
      <c r="K83" s="48" t="n">
        <f>SUM(K14:K20)+K25+K26+SUM(K34:K36)+K51+K64+SUM(K72:K82)</f>
      </c>
      <c r="L83" s="48" t="n">
        <f>SUM(L14:L20)+L25+L26+SUM(L34:L36)+L51+L64+SUM(L72:L82)</f>
      </c>
      <c r="M83" s="48" t="n">
        <f>SUM(M14:M20)+M25+M26+SUM(M34:M36)+M51+M64+SUM(M72:M82)</f>
      </c>
      <c r="N83" s="48" t="n">
        <f>SUM(N14:N20)+N25+N26+SUM(N34:N36)+N51+N64+SUM(N72:N82)</f>
      </c>
      <c r="O83" s="48" t="n">
        <f>SUM(O14:O20)+O25+O26+SUM(O34:O36)+O51+O64+SUM(O72:O82)</f>
      </c>
      <c r="P83" s="48" t="n">
        <f>SUM(P14:P20)+P25+P26+SUM(P34:P36)+P51+P64+SUM(P72:P82)</f>
      </c>
      <c r="Q83" s="48" t="n">
        <f>SUM(Q14:Q20)+Q25+Q26+SUM(Q34:Q36)+Q51+Q64+SUM(Q72:Q82)</f>
      </c>
      <c r="R83" s="48" t="n">
        <f>SUM(R14:R20)+R25+R26+SUM(R34:R36)+R51+R64+SUM(R72:R82)</f>
      </c>
      <c r="S83" s="48" t="n">
        <f>SUM(S14:S20)+S25+S26+SUM(S34:S36)+S51+S64+SUM(S72:S82)</f>
      </c>
      <c r="T83" s="48" t="n">
        <f>SUM(T14:T20)+T25+T26+SUM(T34:T36)+T51+T64+SUM(T72:T82)</f>
      </c>
      <c r="U83" s="48" t="n">
        <f>SUM(U14:U20)+U25+U26+SUM(U34:U36)+U51+U64+SUM(U72:U82)</f>
      </c>
      <c r="V83" s="48" t="n">
        <f>SUM(V14:V20)+V25+V26+SUM(V34:V36)+V51+V64+SUM(V72:V82)</f>
      </c>
      <c r="W83" s="48" t="n">
        <f>SUM(W14:W20)+W25+W26+SUM(W34:W36)+W51+W64+SUM(W72:W82)</f>
      </c>
      <c r="X83" s="48" t="n">
        <f>SUM(X14:X20)+X25+X26+SUM(X34:X36)+X51+X64+SUM(X72:X82)</f>
      </c>
      <c r="Y83" s="48" t="n">
        <f>SUM(Y14:Y20)+Y25+Y26+SUM(Y34:Y36)+Y51+Y64+SUM(Y72:Y82)</f>
      </c>
    </row>
  </sheetData>
  <mergeCells>
    <mergeCell ref="E10:Y10"/>
    <mergeCell ref="E11:G11"/>
    <mergeCell ref="H11:J11"/>
    <mergeCell ref="K11:M11"/>
    <mergeCell ref="N11:P11"/>
    <mergeCell ref="Q11:S11"/>
    <mergeCell ref="T11:V11"/>
    <mergeCell ref="W11:W12"/>
    <mergeCell ref="X11:X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17.xml><?xml version="1.0" encoding="utf-8"?>
<worksheet xmlns="http://schemas.openxmlformats.org/spreadsheetml/2006/main">
  <dimension ref="B2:T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395</v>
      </c>
    </row>
    <row r="6">
      <c r="B6" t="s" s="1">
        <v>8</v>
      </c>
      <c r="C6" t="s">
        <v>9</v>
      </c>
    </row>
    <row r="7">
      <c r="B7" t="s" s="1">
        <v>10</v>
      </c>
      <c r="C7" t="s">
        <v>9</v>
      </c>
    </row>
    <row r="8">
      <c r="B8" t="s" s="1">
        <v>11</v>
      </c>
      <c r="C8" t="s">
        <v>12</v>
      </c>
    </row>
    <row r="10">
      <c r="E10" t="s" s="4">
        <v>32</v>
      </c>
      <c r="F10" s="24"/>
      <c r="G10" s="24"/>
      <c r="H10" s="24"/>
      <c r="I10" s="24"/>
      <c r="J10" s="24"/>
      <c r="K10" s="24"/>
      <c r="L10" s="24"/>
      <c r="M10" s="24"/>
      <c r="N10" s="24"/>
      <c r="O10" s="24"/>
      <c r="P10" s="24"/>
      <c r="Q10" s="24"/>
      <c r="R10" s="24"/>
      <c r="S10" s="25"/>
    </row>
    <row r="11">
      <c r="E11" t="s" s="27">
        <v>396</v>
      </c>
      <c r="F11" s="56"/>
      <c r="G11" s="57"/>
      <c r="H11" t="s" s="4">
        <v>399</v>
      </c>
      <c r="I11" s="24"/>
      <c r="J11" s="25"/>
      <c r="K11" t="s" s="27">
        <v>402</v>
      </c>
      <c r="L11" s="56"/>
      <c r="M11" s="57"/>
      <c r="N11" t="s" s="4">
        <v>380</v>
      </c>
      <c r="O11" s="24"/>
      <c r="P11" s="25"/>
      <c r="Q11" t="s" s="28">
        <v>407</v>
      </c>
      <c r="R11" t="s" s="5">
        <v>408</v>
      </c>
      <c r="S11" s="60"/>
    </row>
    <row r="12">
      <c r="E12" t="s" s="6">
        <v>397</v>
      </c>
      <c r="F12" t="s" s="29">
        <v>398</v>
      </c>
      <c r="G12" s="59"/>
      <c r="H12" t="s" s="29">
        <v>400</v>
      </c>
      <c r="I12" t="s" s="6">
        <v>401</v>
      </c>
      <c r="J12" s="30"/>
      <c r="K12" t="s" s="6">
        <v>403</v>
      </c>
      <c r="L12" t="s" s="29">
        <v>404</v>
      </c>
      <c r="M12" s="59"/>
      <c r="N12" t="s" s="29">
        <v>405</v>
      </c>
      <c r="O12" t="s" s="6">
        <v>406</v>
      </c>
      <c r="P12" s="30"/>
      <c r="Q12" s="59"/>
      <c r="R12" s="30"/>
      <c r="S12" s="31"/>
    </row>
    <row r="13">
      <c r="B13" s="7" t="s">
        <v>272</v>
      </c>
      <c r="C13" s="32"/>
      <c r="D13" s="8"/>
      <c r="E13" s="17"/>
      <c r="F13" s="17"/>
      <c r="G13" s="17"/>
      <c r="H13" s="17"/>
      <c r="I13" s="17"/>
      <c r="J13" s="17"/>
      <c r="K13" s="17"/>
      <c r="L13" s="17"/>
      <c r="M13" s="17"/>
      <c r="N13" s="17"/>
      <c r="O13" s="17"/>
      <c r="P13" s="17"/>
      <c r="Q13" s="17"/>
      <c r="R13" s="17"/>
      <c r="S13" s="17"/>
    </row>
    <row r="14">
      <c r="B14" s="9"/>
      <c r="C14" s="37" t="s">
        <v>273</v>
      </c>
      <c r="D14" s="35"/>
      <c r="E14" s="47" t="n"/>
      <c r="F14" s="47" t="n"/>
      <c r="G14" s="47" t="n"/>
      <c r="H14" s="47" t="n"/>
      <c r="I14" s="47" t="n"/>
      <c r="J14" s="47" t="n"/>
      <c r="K14" s="47" t="n"/>
      <c r="L14" s="47" t="n"/>
      <c r="M14" s="47" t="n"/>
      <c r="N14" s="47" t="n"/>
      <c r="O14" s="47" t="n"/>
      <c r="P14" s="47" t="n"/>
      <c r="Q14" s="47" t="n"/>
      <c r="R14" s="47" t="n"/>
      <c r="S14" s="47" t="n"/>
    </row>
    <row r="15">
      <c r="B15" s="9"/>
      <c r="C15" s="10" t="s">
        <v>274</v>
      </c>
      <c r="D15" s="8"/>
      <c r="E15" s="46" t="n"/>
      <c r="F15" s="46" t="n"/>
      <c r="G15" s="46" t="n"/>
      <c r="H15" s="46" t="n"/>
      <c r="I15" s="46" t="n"/>
      <c r="J15" s="46" t="n"/>
      <c r="K15" s="46" t="n"/>
      <c r="L15" s="46" t="n"/>
      <c r="M15" s="46" t="n"/>
      <c r="N15" s="46" t="n"/>
      <c r="O15" s="46" t="n"/>
      <c r="P15" s="46" t="n"/>
      <c r="Q15" s="46" t="n"/>
      <c r="R15" s="46" t="n"/>
      <c r="S15" s="46" t="n"/>
    </row>
    <row r="16">
      <c r="B16" s="9"/>
      <c r="C16" s="37" t="s">
        <v>275</v>
      </c>
      <c r="D16" s="35"/>
      <c r="E16" s="47" t="n"/>
      <c r="F16" s="47" t="n"/>
      <c r="G16" s="47" t="n"/>
      <c r="H16" s="47" t="n"/>
      <c r="I16" s="47" t="n"/>
      <c r="J16" s="47" t="n"/>
      <c r="K16" s="47" t="n"/>
      <c r="L16" s="47" t="n"/>
      <c r="M16" s="47" t="n"/>
      <c r="N16" s="47" t="n"/>
      <c r="O16" s="47" t="n"/>
      <c r="P16" s="47" t="n"/>
      <c r="Q16" s="47" t="n"/>
      <c r="R16" s="47" t="n"/>
      <c r="S16" s="47" t="n"/>
    </row>
    <row r="17">
      <c r="B17" s="9"/>
      <c r="C17" s="10" t="s">
        <v>276</v>
      </c>
      <c r="D17" s="8"/>
      <c r="E17" s="46" t="n"/>
      <c r="F17" s="46" t="n"/>
      <c r="G17" s="46" t="n"/>
      <c r="H17" s="46" t="n"/>
      <c r="I17" s="46" t="n"/>
      <c r="J17" s="46" t="n"/>
      <c r="K17" s="46" t="n"/>
      <c r="L17" s="46" t="n"/>
      <c r="M17" s="46" t="n"/>
      <c r="N17" s="46" t="n"/>
      <c r="O17" s="46" t="n"/>
      <c r="P17" s="46" t="n"/>
      <c r="Q17" s="46" t="n"/>
      <c r="R17" s="46" t="n"/>
      <c r="S17" s="46" t="n"/>
    </row>
    <row r="18">
      <c r="B18" s="9"/>
      <c r="C18" s="37" t="s">
        <v>277</v>
      </c>
      <c r="D18" s="35"/>
      <c r="E18" s="47" t="n"/>
      <c r="F18" s="47" t="n"/>
      <c r="G18" s="47" t="n"/>
      <c r="H18" s="47" t="n"/>
      <c r="I18" s="47" t="n"/>
      <c r="J18" s="47" t="n"/>
      <c r="K18" s="47" t="n"/>
      <c r="L18" s="47" t="n"/>
      <c r="M18" s="47" t="n"/>
      <c r="N18" s="47" t="n"/>
      <c r="O18" s="47" t="n"/>
      <c r="P18" s="47" t="n"/>
      <c r="Q18" s="47" t="n"/>
      <c r="R18" s="47" t="n"/>
      <c r="S18" s="47" t="n"/>
    </row>
    <row r="19">
      <c r="B19" s="9"/>
      <c r="C19" s="10" t="s">
        <v>278</v>
      </c>
      <c r="D19" s="8"/>
      <c r="E19" s="46" t="n"/>
      <c r="F19" s="46" t="n"/>
      <c r="G19" s="46" t="n"/>
      <c r="H19" s="46" t="n"/>
      <c r="I19" s="46" t="n"/>
      <c r="J19" s="46" t="n"/>
      <c r="K19" s="46" t="n"/>
      <c r="L19" s="46" t="n"/>
      <c r="M19" s="46" t="n"/>
      <c r="N19" s="46" t="n"/>
      <c r="O19" s="46" t="n"/>
      <c r="P19" s="46" t="n"/>
      <c r="Q19" s="46" t="n"/>
      <c r="R19" s="46" t="n"/>
      <c r="S19" s="46" t="n"/>
    </row>
    <row r="20">
      <c r="B20" s="9"/>
      <c r="C20" s="37" t="s">
        <v>279</v>
      </c>
      <c r="D20" s="35"/>
      <c r="E20" s="47" t="n"/>
      <c r="F20" s="47" t="n"/>
      <c r="G20" s="47" t="n"/>
      <c r="H20" s="47" t="n"/>
      <c r="I20" s="47" t="n"/>
      <c r="J20" s="47" t="n"/>
      <c r="K20" s="47" t="n"/>
      <c r="L20" s="47" t="n"/>
      <c r="M20" s="47" t="n"/>
      <c r="N20" s="47" t="n"/>
      <c r="O20" s="47" t="n"/>
      <c r="P20" s="47" t="n"/>
      <c r="Q20" s="47" t="n"/>
      <c r="R20" s="47" t="n"/>
      <c r="S20" s="47" t="n"/>
    </row>
    <row r="21">
      <c r="B21" s="9"/>
      <c r="C21" s="7" t="s">
        <v>280</v>
      </c>
      <c r="D21" s="8"/>
      <c r="E21" s="17"/>
      <c r="F21" s="17"/>
      <c r="G21" s="17"/>
      <c r="H21" s="17"/>
      <c r="I21" s="17"/>
      <c r="J21" s="17"/>
      <c r="K21" s="17"/>
      <c r="L21" s="17"/>
      <c r="M21" s="17"/>
      <c r="N21" s="17"/>
      <c r="O21" s="17"/>
      <c r="P21" s="17"/>
      <c r="Q21" s="17"/>
      <c r="R21" s="17"/>
      <c r="S21" s="17"/>
    </row>
    <row r="22">
      <c r="B22" s="9"/>
      <c r="C22" s="9"/>
      <c r="D22" s="13" t="s">
        <v>281</v>
      </c>
      <c r="E22" s="47" t="n"/>
      <c r="F22" s="47" t="n"/>
      <c r="G22" s="47" t="n"/>
      <c r="H22" s="47" t="n"/>
      <c r="I22" s="47" t="n"/>
      <c r="J22" s="47" t="n"/>
      <c r="K22" s="47" t="n"/>
      <c r="L22" s="47" t="n"/>
      <c r="M22" s="47" t="n"/>
      <c r="N22" s="47" t="n"/>
      <c r="O22" s="47" t="n"/>
      <c r="P22" s="47" t="n"/>
      <c r="Q22" s="47" t="n"/>
      <c r="R22" s="47" t="n"/>
      <c r="S22" s="47" t="n"/>
    </row>
    <row r="23">
      <c r="B23" s="9"/>
      <c r="C23" s="9"/>
      <c r="D23" s="14" t="s">
        <v>282</v>
      </c>
      <c r="E23" s="46" t="n"/>
      <c r="F23" s="46" t="n"/>
      <c r="G23" s="46" t="n"/>
      <c r="H23" s="46" t="n"/>
      <c r="I23" s="46" t="n"/>
      <c r="J23" s="46" t="n"/>
      <c r="K23" s="46" t="n"/>
      <c r="L23" s="46" t="n"/>
      <c r="M23" s="46" t="n"/>
      <c r="N23" s="46" t="n"/>
      <c r="O23" s="46" t="n"/>
      <c r="P23" s="46" t="n"/>
      <c r="Q23" s="46" t="n"/>
      <c r="R23" s="46" t="n"/>
      <c r="S23" s="46" t="n"/>
    </row>
    <row r="24">
      <c r="B24" s="9"/>
      <c r="C24" s="9"/>
      <c r="D24" s="13" t="s">
        <v>283</v>
      </c>
      <c r="E24" s="47" t="n"/>
      <c r="F24" s="47" t="n"/>
      <c r="G24" s="47" t="n"/>
      <c r="H24" s="47" t="n"/>
      <c r="I24" s="47" t="n"/>
      <c r="J24" s="47" t="n"/>
      <c r="K24" s="47" t="n"/>
      <c r="L24" s="47" t="n"/>
      <c r="M24" s="47" t="n"/>
      <c r="N24" s="47" t="n"/>
      <c r="O24" s="47" t="n"/>
      <c r="P24" s="47" t="n"/>
      <c r="Q24" s="47" t="n"/>
      <c r="R24" s="47" t="n"/>
      <c r="S24" s="47" t="n"/>
    </row>
    <row r="25">
      <c r="B25" s="9"/>
      <c r="C25" s="10"/>
      <c r="D25" s="51" t="s">
        <v>284</v>
      </c>
      <c r="E25" s="46" t="n">
        <f>SUM(E22:E24)</f>
      </c>
      <c r="F25" s="46" t="n">
        <f>SUM(F22:F24)</f>
      </c>
      <c r="G25" s="46" t="n">
        <f>SUM(G22:G24)</f>
      </c>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c r="S25" s="46" t="n">
        <f>SUM(S22:S24)</f>
      </c>
    </row>
    <row r="26">
      <c r="B26" s="9"/>
      <c r="C26" s="37" t="s">
        <v>285</v>
      </c>
      <c r="D26" s="35"/>
      <c r="E26" s="47" t="n"/>
      <c r="F26" s="47" t="n"/>
      <c r="G26" s="47" t="n"/>
      <c r="H26" s="47" t="n"/>
      <c r="I26" s="47" t="n"/>
      <c r="J26" s="47" t="n"/>
      <c r="K26" s="47" t="n"/>
      <c r="L26" s="47" t="n"/>
      <c r="M26" s="47" t="n"/>
      <c r="N26" s="47" t="n"/>
      <c r="O26" s="47" t="n"/>
      <c r="P26" s="47" t="n"/>
      <c r="Q26" s="47" t="n"/>
      <c r="R26" s="47" t="n"/>
      <c r="S26" s="47" t="n"/>
    </row>
    <row r="27">
      <c r="B27" s="9"/>
      <c r="C27" s="7" t="s">
        <v>286</v>
      </c>
      <c r="D27" s="8"/>
      <c r="E27" s="17"/>
      <c r="F27" s="17"/>
      <c r="G27" s="17"/>
      <c r="H27" s="17"/>
      <c r="I27" s="17"/>
      <c r="J27" s="17"/>
      <c r="K27" s="17"/>
      <c r="L27" s="17"/>
      <c r="M27" s="17"/>
      <c r="N27" s="17"/>
      <c r="O27" s="17"/>
      <c r="P27" s="17"/>
      <c r="Q27" s="17"/>
      <c r="R27" s="17"/>
      <c r="S27" s="17"/>
    </row>
    <row r="28">
      <c r="B28" s="9"/>
      <c r="C28" s="9"/>
      <c r="D28" s="13" t="s">
        <v>287</v>
      </c>
      <c r="E28" s="47" t="n"/>
      <c r="F28" s="47" t="n"/>
      <c r="G28" s="47" t="n"/>
      <c r="H28" s="47" t="n"/>
      <c r="I28" s="47" t="n"/>
      <c r="J28" s="47" t="n"/>
      <c r="K28" s="47" t="n"/>
      <c r="L28" s="47" t="n"/>
      <c r="M28" s="47" t="n"/>
      <c r="N28" s="47" t="n"/>
      <c r="O28" s="47" t="n"/>
      <c r="P28" s="47" t="n"/>
      <c r="Q28" s="47" t="n"/>
      <c r="R28" s="47" t="n"/>
      <c r="S28" s="47" t="n"/>
    </row>
    <row r="29">
      <c r="B29" s="9"/>
      <c r="C29" s="9"/>
      <c r="D29" s="14" t="s">
        <v>288</v>
      </c>
      <c r="E29" s="46" t="n"/>
      <c r="F29" s="46" t="n"/>
      <c r="G29" s="46" t="n"/>
      <c r="H29" s="46" t="n"/>
      <c r="I29" s="46" t="n"/>
      <c r="J29" s="46" t="n"/>
      <c r="K29" s="46" t="n"/>
      <c r="L29" s="46" t="n"/>
      <c r="M29" s="46" t="n"/>
      <c r="N29" s="46" t="n"/>
      <c r="O29" s="46" t="n"/>
      <c r="P29" s="46" t="n"/>
      <c r="Q29" s="46" t="n"/>
      <c r="R29" s="46" t="n"/>
      <c r="S29" s="46" t="n"/>
    </row>
    <row r="30">
      <c r="B30" s="9"/>
      <c r="C30" s="9"/>
      <c r="D30" s="13" t="s">
        <v>289</v>
      </c>
      <c r="E30" s="47" t="n"/>
      <c r="F30" s="47" t="n"/>
      <c r="G30" s="47" t="n"/>
      <c r="H30" s="47" t="n"/>
      <c r="I30" s="47" t="n"/>
      <c r="J30" s="47" t="n"/>
      <c r="K30" s="47" t="n"/>
      <c r="L30" s="47" t="n"/>
      <c r="M30" s="47" t="n"/>
      <c r="N30" s="47" t="n"/>
      <c r="O30" s="47" t="n"/>
      <c r="P30" s="47" t="n"/>
      <c r="Q30" s="47" t="n"/>
      <c r="R30" s="47" t="n"/>
      <c r="S30" s="47" t="n"/>
    </row>
    <row r="31">
      <c r="B31" s="9"/>
      <c r="C31" s="9"/>
      <c r="D31" s="14" t="s">
        <v>290</v>
      </c>
      <c r="E31" s="46" t="n"/>
      <c r="F31" s="46" t="n"/>
      <c r="G31" s="46" t="n"/>
      <c r="H31" s="46" t="n"/>
      <c r="I31" s="46" t="n"/>
      <c r="J31" s="46" t="n"/>
      <c r="K31" s="46" t="n"/>
      <c r="L31" s="46" t="n"/>
      <c r="M31" s="46" t="n"/>
      <c r="N31" s="46" t="n"/>
      <c r="O31" s="46" t="n"/>
      <c r="P31" s="46" t="n"/>
      <c r="Q31" s="46" t="n"/>
      <c r="R31" s="46" t="n"/>
      <c r="S31" s="46" t="n"/>
    </row>
    <row r="32">
      <c r="B32" s="9"/>
      <c r="C32" s="9"/>
      <c r="D32" s="13" t="s">
        <v>291</v>
      </c>
      <c r="E32" s="47" t="n"/>
      <c r="F32" s="47" t="n"/>
      <c r="G32" s="47" t="n"/>
      <c r="H32" s="47" t="n"/>
      <c r="I32" s="47" t="n"/>
      <c r="J32" s="47" t="n"/>
      <c r="K32" s="47" t="n"/>
      <c r="L32" s="47" t="n"/>
      <c r="M32" s="47" t="n"/>
      <c r="N32" s="47" t="n"/>
      <c r="O32" s="47" t="n"/>
      <c r="P32" s="47" t="n"/>
      <c r="Q32" s="47" t="n"/>
      <c r="R32" s="47" t="n"/>
      <c r="S32" s="47" t="n"/>
    </row>
    <row r="33">
      <c r="B33" s="9"/>
      <c r="C33" s="9"/>
      <c r="D33" s="14" t="s">
        <v>292</v>
      </c>
      <c r="E33" s="46" t="n"/>
      <c r="F33" s="46" t="n"/>
      <c r="G33" s="46" t="n"/>
      <c r="H33" s="46" t="n"/>
      <c r="I33" s="46" t="n"/>
      <c r="J33" s="46" t="n"/>
      <c r="K33" s="46" t="n"/>
      <c r="L33" s="46" t="n"/>
      <c r="M33" s="46" t="n"/>
      <c r="N33" s="46" t="n"/>
      <c r="O33" s="46" t="n"/>
      <c r="P33" s="46" t="n"/>
      <c r="Q33" s="46" t="n"/>
      <c r="R33" s="46" t="n"/>
      <c r="S33" s="46" t="n"/>
    </row>
    <row r="34">
      <c r="B34" s="9"/>
      <c r="C34" s="10"/>
      <c r="D34" s="53" t="s">
        <v>293</v>
      </c>
      <c r="E34" s="47" t="n">
        <f>SUM(E28:E33)</f>
      </c>
      <c r="F34" s="47" t="n">
        <f>SUM(F28:F33)</f>
      </c>
      <c r="G34" s="47" t="n">
        <f>SUM(G28:G33)</f>
      </c>
      <c r="H34" s="47" t="n">
        <f>SUM(H28:H33)</f>
      </c>
      <c r="I34" s="47" t="n">
        <f>SUM(I28:I33)</f>
      </c>
      <c r="J34" s="47" t="n">
        <f>SUM(J28:J33)</f>
      </c>
      <c r="K34" s="47" t="n">
        <f>SUM(K28:K33)</f>
      </c>
      <c r="L34" s="47" t="n">
        <f>SUM(L28:L33)</f>
      </c>
      <c r="M34" s="47" t="n">
        <f>SUM(M28:M33)</f>
      </c>
      <c r="N34" s="47" t="n">
        <f>SUM(N28:N33)</f>
      </c>
      <c r="O34" s="47" t="n">
        <f>SUM(O28:O33)</f>
      </c>
      <c r="P34" s="47" t="n">
        <f>SUM(P28:P33)</f>
      </c>
      <c r="Q34" s="47" t="n">
        <f>SUM(Q28:Q33)</f>
      </c>
      <c r="R34" s="47" t="n">
        <f>SUM(R28:R33)</f>
      </c>
      <c r="S34" s="47" t="n">
        <f>SUM(S28:S33)</f>
      </c>
    </row>
    <row r="35">
      <c r="B35" s="9"/>
      <c r="C35" s="10" t="s">
        <v>294</v>
      </c>
      <c r="D35" s="8"/>
      <c r="E35" s="46" t="n"/>
      <c r="F35" s="46" t="n"/>
      <c r="G35" s="46" t="n"/>
      <c r="H35" s="46" t="n"/>
      <c r="I35" s="46" t="n"/>
      <c r="J35" s="46" t="n"/>
      <c r="K35" s="46" t="n"/>
      <c r="L35" s="46" t="n"/>
      <c r="M35" s="46" t="n"/>
      <c r="N35" s="46" t="n"/>
      <c r="O35" s="46" t="n"/>
      <c r="P35" s="46" t="n"/>
      <c r="Q35" s="46" t="n"/>
      <c r="R35" s="46" t="n"/>
      <c r="S35" s="46" t="n"/>
    </row>
    <row r="36">
      <c r="B36" s="9"/>
      <c r="C36" s="37" t="s">
        <v>295</v>
      </c>
      <c r="D36" s="35"/>
      <c r="E36" s="47" t="n"/>
      <c r="F36" s="47" t="n"/>
      <c r="G36" s="47" t="n"/>
      <c r="H36" s="47" t="n"/>
      <c r="I36" s="47" t="n"/>
      <c r="J36" s="47" t="n"/>
      <c r="K36" s="47" t="n"/>
      <c r="L36" s="47" t="n"/>
      <c r="M36" s="47" t="n"/>
      <c r="N36" s="47" t="n"/>
      <c r="O36" s="47" t="n"/>
      <c r="P36" s="47" t="n"/>
      <c r="Q36" s="47" t="n"/>
      <c r="R36" s="47" t="n"/>
      <c r="S36" s="47" t="n"/>
    </row>
    <row r="37">
      <c r="B37" s="9"/>
      <c r="C37" s="7" t="s">
        <v>296</v>
      </c>
      <c r="D37" s="8"/>
      <c r="E37" s="17"/>
      <c r="F37" s="17"/>
      <c r="G37" s="17"/>
      <c r="H37" s="17"/>
      <c r="I37" s="17"/>
      <c r="J37" s="17"/>
      <c r="K37" s="17"/>
      <c r="L37" s="17"/>
      <c r="M37" s="17"/>
      <c r="N37" s="17"/>
      <c r="O37" s="17"/>
      <c r="P37" s="17"/>
      <c r="Q37" s="17"/>
      <c r="R37" s="17"/>
      <c r="S37" s="17"/>
    </row>
    <row r="38">
      <c r="B38" s="9"/>
      <c r="C38" s="9"/>
      <c r="D38" s="13" t="s">
        <v>297</v>
      </c>
      <c r="E38" s="47" t="n"/>
      <c r="F38" s="47" t="n"/>
      <c r="G38" s="47" t="n"/>
      <c r="H38" s="47" t="n"/>
      <c r="I38" s="47" t="n"/>
      <c r="J38" s="47" t="n"/>
      <c r="K38" s="47" t="n"/>
      <c r="L38" s="47" t="n"/>
      <c r="M38" s="47" t="n"/>
      <c r="N38" s="47" t="n"/>
      <c r="O38" s="47" t="n"/>
      <c r="P38" s="47" t="n"/>
      <c r="Q38" s="47" t="n"/>
      <c r="R38" s="47" t="n"/>
      <c r="S38" s="47" t="n"/>
    </row>
    <row r="39">
      <c r="B39" s="9"/>
      <c r="C39" s="9"/>
      <c r="D39" s="14" t="s">
        <v>298</v>
      </c>
      <c r="E39" s="46" t="n"/>
      <c r="F39" s="46" t="n"/>
      <c r="G39" s="46" t="n"/>
      <c r="H39" s="46" t="n"/>
      <c r="I39" s="46" t="n"/>
      <c r="J39" s="46" t="n"/>
      <c r="K39" s="46" t="n"/>
      <c r="L39" s="46" t="n"/>
      <c r="M39" s="46" t="n"/>
      <c r="N39" s="46" t="n"/>
      <c r="O39" s="46" t="n"/>
      <c r="P39" s="46" t="n"/>
      <c r="Q39" s="46" t="n"/>
      <c r="R39" s="46" t="n"/>
      <c r="S39" s="46" t="n"/>
    </row>
    <row r="40">
      <c r="B40" s="9"/>
      <c r="C40" s="9"/>
      <c r="D40" s="13" t="s">
        <v>299</v>
      </c>
      <c r="E40" s="47" t="n"/>
      <c r="F40" s="47" t="n"/>
      <c r="G40" s="47" t="n"/>
      <c r="H40" s="47" t="n"/>
      <c r="I40" s="47" t="n"/>
      <c r="J40" s="47" t="n"/>
      <c r="K40" s="47" t="n"/>
      <c r="L40" s="47" t="n"/>
      <c r="M40" s="47" t="n"/>
      <c r="N40" s="47" t="n"/>
      <c r="O40" s="47" t="n"/>
      <c r="P40" s="47" t="n"/>
      <c r="Q40" s="47" t="n"/>
      <c r="R40" s="47" t="n"/>
      <c r="S40" s="47" t="n"/>
    </row>
    <row r="41">
      <c r="B41" s="9"/>
      <c r="C41" s="9"/>
      <c r="D41" s="14" t="s">
        <v>300</v>
      </c>
      <c r="E41" s="46" t="n"/>
      <c r="F41" s="46" t="n"/>
      <c r="G41" s="46" t="n"/>
      <c r="H41" s="46" t="n"/>
      <c r="I41" s="46" t="n"/>
      <c r="J41" s="46" t="n"/>
      <c r="K41" s="46" t="n"/>
      <c r="L41" s="46" t="n"/>
      <c r="M41" s="46" t="n"/>
      <c r="N41" s="46" t="n"/>
      <c r="O41" s="46" t="n"/>
      <c r="P41" s="46" t="n"/>
      <c r="Q41" s="46" t="n"/>
      <c r="R41" s="46" t="n"/>
      <c r="S41" s="46" t="n"/>
    </row>
    <row r="42">
      <c r="B42" s="9"/>
      <c r="C42" s="9"/>
      <c r="D42" s="13" t="s">
        <v>301</v>
      </c>
      <c r="E42" s="47" t="n"/>
      <c r="F42" s="47" t="n"/>
      <c r="G42" s="47" t="n"/>
      <c r="H42" s="47" t="n"/>
      <c r="I42" s="47" t="n"/>
      <c r="J42" s="47" t="n"/>
      <c r="K42" s="47" t="n"/>
      <c r="L42" s="47" t="n"/>
      <c r="M42" s="47" t="n"/>
      <c r="N42" s="47" t="n"/>
      <c r="O42" s="47" t="n"/>
      <c r="P42" s="47" t="n"/>
      <c r="Q42" s="47" t="n"/>
      <c r="R42" s="47" t="n"/>
      <c r="S42" s="47" t="n"/>
    </row>
    <row r="43">
      <c r="B43" s="9"/>
      <c r="C43" s="9"/>
      <c r="D43" s="14" t="s">
        <v>302</v>
      </c>
      <c r="E43" s="46" t="n"/>
      <c r="F43" s="46" t="n"/>
      <c r="G43" s="46" t="n"/>
      <c r="H43" s="46" t="n"/>
      <c r="I43" s="46" t="n"/>
      <c r="J43" s="46" t="n"/>
      <c r="K43" s="46" t="n"/>
      <c r="L43" s="46" t="n"/>
      <c r="M43" s="46" t="n"/>
      <c r="N43" s="46" t="n"/>
      <c r="O43" s="46" t="n"/>
      <c r="P43" s="46" t="n"/>
      <c r="Q43" s="46" t="n"/>
      <c r="R43" s="46" t="n"/>
      <c r="S43" s="46" t="n"/>
    </row>
    <row r="44">
      <c r="B44" s="9"/>
      <c r="C44" s="9"/>
      <c r="D44" s="13" t="s">
        <v>303</v>
      </c>
      <c r="E44" s="47" t="n"/>
      <c r="F44" s="47" t="n"/>
      <c r="G44" s="47" t="n"/>
      <c r="H44" s="47" t="n"/>
      <c r="I44" s="47" t="n"/>
      <c r="J44" s="47" t="n"/>
      <c r="K44" s="47" t="n"/>
      <c r="L44" s="47" t="n"/>
      <c r="M44" s="47" t="n"/>
      <c r="N44" s="47" t="n"/>
      <c r="O44" s="47" t="n"/>
      <c r="P44" s="47" t="n"/>
      <c r="Q44" s="47" t="n"/>
      <c r="R44" s="47" t="n"/>
      <c r="S44" s="47" t="n"/>
    </row>
    <row r="45">
      <c r="B45" s="9"/>
      <c r="C45" s="9"/>
      <c r="D45" s="14" t="s">
        <v>304</v>
      </c>
      <c r="E45" s="46" t="n"/>
      <c r="F45" s="46" t="n"/>
      <c r="G45" s="46" t="n"/>
      <c r="H45" s="46" t="n"/>
      <c r="I45" s="46" t="n"/>
      <c r="J45" s="46" t="n"/>
      <c r="K45" s="46" t="n"/>
      <c r="L45" s="46" t="n"/>
      <c r="M45" s="46" t="n"/>
      <c r="N45" s="46" t="n"/>
      <c r="O45" s="46" t="n"/>
      <c r="P45" s="46" t="n"/>
      <c r="Q45" s="46" t="n"/>
      <c r="R45" s="46" t="n"/>
      <c r="S45" s="46" t="n"/>
    </row>
    <row r="46">
      <c r="B46" s="9"/>
      <c r="C46" s="9"/>
      <c r="D46" s="13" t="s">
        <v>305</v>
      </c>
      <c r="E46" s="47" t="n"/>
      <c r="F46" s="47" t="n"/>
      <c r="G46" s="47" t="n"/>
      <c r="H46" s="47" t="n"/>
      <c r="I46" s="47" t="n"/>
      <c r="J46" s="47" t="n"/>
      <c r="K46" s="47" t="n"/>
      <c r="L46" s="47" t="n"/>
      <c r="M46" s="47" t="n"/>
      <c r="N46" s="47" t="n"/>
      <c r="O46" s="47" t="n"/>
      <c r="P46" s="47" t="n"/>
      <c r="Q46" s="47" t="n"/>
      <c r="R46" s="47" t="n"/>
      <c r="S46" s="47" t="n"/>
    </row>
    <row r="47">
      <c r="B47" s="9"/>
      <c r="C47" s="9"/>
      <c r="D47" s="14" t="s">
        <v>306</v>
      </c>
      <c r="E47" s="46" t="n"/>
      <c r="F47" s="46" t="n"/>
      <c r="G47" s="46" t="n"/>
      <c r="H47" s="46" t="n"/>
      <c r="I47" s="46" t="n"/>
      <c r="J47" s="46" t="n"/>
      <c r="K47" s="46" t="n"/>
      <c r="L47" s="46" t="n"/>
      <c r="M47" s="46" t="n"/>
      <c r="N47" s="46" t="n"/>
      <c r="O47" s="46" t="n"/>
      <c r="P47" s="46" t="n"/>
      <c r="Q47" s="46" t="n"/>
      <c r="R47" s="46" t="n"/>
      <c r="S47" s="46" t="n"/>
    </row>
    <row r="48">
      <c r="B48" s="9"/>
      <c r="C48" s="9"/>
      <c r="D48" s="13" t="s">
        <v>307</v>
      </c>
      <c r="E48" s="47" t="n"/>
      <c r="F48" s="47" t="n"/>
      <c r="G48" s="47" t="n"/>
      <c r="H48" s="47" t="n"/>
      <c r="I48" s="47" t="n"/>
      <c r="J48" s="47" t="n"/>
      <c r="K48" s="47" t="n"/>
      <c r="L48" s="47" t="n"/>
      <c r="M48" s="47" t="n"/>
      <c r="N48" s="47" t="n"/>
      <c r="O48" s="47" t="n"/>
      <c r="P48" s="47" t="n"/>
      <c r="Q48" s="47" t="n"/>
      <c r="R48" s="47" t="n"/>
      <c r="S48" s="47" t="n"/>
    </row>
    <row r="49">
      <c r="B49" s="9"/>
      <c r="C49" s="9"/>
      <c r="D49" s="14" t="s">
        <v>308</v>
      </c>
      <c r="E49" s="46" t="n"/>
      <c r="F49" s="46" t="n"/>
      <c r="G49" s="46" t="n"/>
      <c r="H49" s="46" t="n"/>
      <c r="I49" s="46" t="n"/>
      <c r="J49" s="46" t="n"/>
      <c r="K49" s="46" t="n"/>
      <c r="L49" s="46" t="n"/>
      <c r="M49" s="46" t="n"/>
      <c r="N49" s="46" t="n"/>
      <c r="O49" s="46" t="n"/>
      <c r="P49" s="46" t="n"/>
      <c r="Q49" s="46" t="n"/>
      <c r="R49" s="46" t="n"/>
      <c r="S49" s="46" t="n"/>
    </row>
    <row r="50">
      <c r="B50" s="9"/>
      <c r="C50" s="9"/>
      <c r="D50" s="13" t="s">
        <v>309</v>
      </c>
      <c r="E50" s="47" t="n"/>
      <c r="F50" s="47" t="n"/>
      <c r="G50" s="47" t="n"/>
      <c r="H50" s="47" t="n"/>
      <c r="I50" s="47" t="n"/>
      <c r="J50" s="47" t="n"/>
      <c r="K50" s="47" t="n"/>
      <c r="L50" s="47" t="n"/>
      <c r="M50" s="47" t="n"/>
      <c r="N50" s="47" t="n"/>
      <c r="O50" s="47" t="n"/>
      <c r="P50" s="47" t="n"/>
      <c r="Q50" s="47" t="n"/>
      <c r="R50" s="47" t="n"/>
      <c r="S50" s="47" t="n"/>
    </row>
    <row r="51">
      <c r="B51" s="9"/>
      <c r="C51" s="10"/>
      <c r="D51" s="14" t="s">
        <v>310</v>
      </c>
      <c r="E51" s="46" t="n">
        <f>SUM(E38:E50)</f>
      </c>
      <c r="F51" s="46" t="n">
        <f>SUM(F38:F50)</f>
      </c>
      <c r="G51" s="46" t="n">
        <f>SUM(G38:G50)</f>
      </c>
      <c r="H51" s="46" t="n">
        <f>SUM(H38:H50)</f>
      </c>
      <c r="I51" s="46" t="n">
        <f>SUM(I38:I50)</f>
      </c>
      <c r="J51" s="46" t="n">
        <f>SUM(J38:J50)</f>
      </c>
      <c r="K51" s="46" t="n">
        <f>SUM(K38:K50)</f>
      </c>
      <c r="L51" s="46" t="n">
        <f>SUM(L38:L50)</f>
      </c>
      <c r="M51" s="46" t="n">
        <f>SUM(M38:M50)</f>
      </c>
      <c r="N51" s="46" t="n">
        <f>SUM(N38:N50)</f>
      </c>
      <c r="O51" s="46" t="n">
        <f>SUM(O38:O50)</f>
      </c>
      <c r="P51" s="46" t="n">
        <f>SUM(P38:P50)</f>
      </c>
      <c r="Q51" s="46" t="n">
        <f>SUM(Q38:Q50)</f>
      </c>
      <c r="R51" s="46" t="n">
        <f>SUM(R38:R50)</f>
      </c>
      <c r="S51" s="46" t="n">
        <f>SUM(S38:S50)</f>
      </c>
    </row>
    <row r="52">
      <c r="B52" s="9"/>
      <c r="C52" s="33" t="s">
        <v>311</v>
      </c>
      <c r="D52" s="35"/>
      <c r="E52" s="18"/>
      <c r="F52" s="18"/>
      <c r="G52" s="18"/>
      <c r="H52" s="18"/>
      <c r="I52" s="18"/>
      <c r="J52" s="18"/>
      <c r="K52" s="18"/>
      <c r="L52" s="18"/>
      <c r="M52" s="18"/>
      <c r="N52" s="18"/>
      <c r="O52" s="18"/>
      <c r="P52" s="18"/>
      <c r="Q52" s="18"/>
      <c r="R52" s="18"/>
      <c r="S52" s="18"/>
    </row>
    <row r="53">
      <c r="B53" s="9"/>
      <c r="C53" s="36"/>
      <c r="D53" s="14" t="s">
        <v>312</v>
      </c>
      <c r="E53" s="46" t="n"/>
      <c r="F53" s="46" t="n"/>
      <c r="G53" s="46" t="n"/>
      <c r="H53" s="46" t="n"/>
      <c r="I53" s="46" t="n"/>
      <c r="J53" s="46" t="n"/>
      <c r="K53" s="46" t="n"/>
      <c r="L53" s="46" t="n"/>
      <c r="M53" s="46" t="n"/>
      <c r="N53" s="46" t="n"/>
      <c r="O53" s="46" t="n"/>
      <c r="P53" s="46" t="n"/>
      <c r="Q53" s="46" t="n"/>
      <c r="R53" s="46" t="n"/>
      <c r="S53" s="46" t="n"/>
    </row>
    <row r="54">
      <c r="B54" s="9"/>
      <c r="C54" s="36"/>
      <c r="D54" s="13" t="s">
        <v>313</v>
      </c>
      <c r="E54" s="47" t="n"/>
      <c r="F54" s="47" t="n"/>
      <c r="G54" s="47" t="n"/>
      <c r="H54" s="47" t="n"/>
      <c r="I54" s="47" t="n"/>
      <c r="J54" s="47" t="n"/>
      <c r="K54" s="47" t="n"/>
      <c r="L54" s="47" t="n"/>
      <c r="M54" s="47" t="n"/>
      <c r="N54" s="47" t="n"/>
      <c r="O54" s="47" t="n"/>
      <c r="P54" s="47" t="n"/>
      <c r="Q54" s="47" t="n"/>
      <c r="R54" s="47" t="n"/>
      <c r="S54" s="47" t="n"/>
    </row>
    <row r="55">
      <c r="B55" s="9"/>
      <c r="C55" s="36"/>
      <c r="D55" s="14" t="s">
        <v>314</v>
      </c>
      <c r="E55" s="46" t="n"/>
      <c r="F55" s="46" t="n"/>
      <c r="G55" s="46" t="n"/>
      <c r="H55" s="46" t="n"/>
      <c r="I55" s="46" t="n"/>
      <c r="J55" s="46" t="n"/>
      <c r="K55" s="46" t="n"/>
      <c r="L55" s="46" t="n"/>
      <c r="M55" s="46" t="n"/>
      <c r="N55" s="46" t="n"/>
      <c r="O55" s="46" t="n"/>
      <c r="P55" s="46" t="n"/>
      <c r="Q55" s="46" t="n"/>
      <c r="R55" s="46" t="n"/>
      <c r="S55" s="46" t="n"/>
    </row>
    <row r="56">
      <c r="B56" s="9"/>
      <c r="C56" s="36"/>
      <c r="D56" s="13" t="s">
        <v>315</v>
      </c>
      <c r="E56" s="47" t="n"/>
      <c r="F56" s="47" t="n"/>
      <c r="G56" s="47" t="n"/>
      <c r="H56" s="47" t="n"/>
      <c r="I56" s="47" t="n"/>
      <c r="J56" s="47" t="n"/>
      <c r="K56" s="47" t="n"/>
      <c r="L56" s="47" t="n"/>
      <c r="M56" s="47" t="n"/>
      <c r="N56" s="47" t="n"/>
      <c r="O56" s="47" t="n"/>
      <c r="P56" s="47" t="n"/>
      <c r="Q56" s="47" t="n"/>
      <c r="R56" s="47" t="n"/>
      <c r="S56" s="47" t="n"/>
    </row>
    <row r="57">
      <c r="B57" s="9"/>
      <c r="C57" s="36"/>
      <c r="D57" s="14" t="s">
        <v>316</v>
      </c>
      <c r="E57" s="46" t="n"/>
      <c r="F57" s="46" t="n"/>
      <c r="G57" s="46" t="n"/>
      <c r="H57" s="46" t="n"/>
      <c r="I57" s="46" t="n"/>
      <c r="J57" s="46" t="n"/>
      <c r="K57" s="46" t="n"/>
      <c r="L57" s="46" t="n"/>
      <c r="M57" s="46" t="n"/>
      <c r="N57" s="46" t="n"/>
      <c r="O57" s="46" t="n"/>
      <c r="P57" s="46" t="n"/>
      <c r="Q57" s="46" t="n"/>
      <c r="R57" s="46" t="n"/>
      <c r="S57" s="46" t="n"/>
    </row>
    <row r="58">
      <c r="B58" s="9"/>
      <c r="C58" s="36"/>
      <c r="D58" s="13" t="s">
        <v>317</v>
      </c>
      <c r="E58" s="47" t="n"/>
      <c r="F58" s="47" t="n"/>
      <c r="G58" s="47" t="n"/>
      <c r="H58" s="47" t="n"/>
      <c r="I58" s="47" t="n"/>
      <c r="J58" s="47" t="n"/>
      <c r="K58" s="47" t="n"/>
      <c r="L58" s="47" t="n"/>
      <c r="M58" s="47" t="n"/>
      <c r="N58" s="47" t="n"/>
      <c r="O58" s="47" t="n"/>
      <c r="P58" s="47" t="n"/>
      <c r="Q58" s="47" t="n"/>
      <c r="R58" s="47" t="n"/>
      <c r="S58" s="47" t="n"/>
    </row>
    <row r="59">
      <c r="B59" s="9"/>
      <c r="C59" s="36"/>
      <c r="D59" s="14" t="s">
        <v>318</v>
      </c>
      <c r="E59" s="46" t="n"/>
      <c r="F59" s="46" t="n"/>
      <c r="G59" s="46" t="n"/>
      <c r="H59" s="46" t="n"/>
      <c r="I59" s="46" t="n"/>
      <c r="J59" s="46" t="n"/>
      <c r="K59" s="46" t="n"/>
      <c r="L59" s="46" t="n"/>
      <c r="M59" s="46" t="n"/>
      <c r="N59" s="46" t="n"/>
      <c r="O59" s="46" t="n"/>
      <c r="P59" s="46" t="n"/>
      <c r="Q59" s="46" t="n"/>
      <c r="R59" s="46" t="n"/>
      <c r="S59" s="46" t="n"/>
    </row>
    <row r="60">
      <c r="B60" s="9"/>
      <c r="C60" s="36"/>
      <c r="D60" s="13" t="s">
        <v>319</v>
      </c>
      <c r="E60" s="47" t="n"/>
      <c r="F60" s="47" t="n"/>
      <c r="G60" s="47" t="n"/>
      <c r="H60" s="47" t="n"/>
      <c r="I60" s="47" t="n"/>
      <c r="J60" s="47" t="n"/>
      <c r="K60" s="47" t="n"/>
      <c r="L60" s="47" t="n"/>
      <c r="M60" s="47" t="n"/>
      <c r="N60" s="47" t="n"/>
      <c r="O60" s="47" t="n"/>
      <c r="P60" s="47" t="n"/>
      <c r="Q60" s="47" t="n"/>
      <c r="R60" s="47" t="n"/>
      <c r="S60" s="47" t="n"/>
    </row>
    <row r="61">
      <c r="B61" s="9"/>
      <c r="C61" s="36"/>
      <c r="D61" s="14" t="s">
        <v>320</v>
      </c>
      <c r="E61" s="46" t="n"/>
      <c r="F61" s="46" t="n"/>
      <c r="G61" s="46" t="n"/>
      <c r="H61" s="46" t="n"/>
      <c r="I61" s="46" t="n"/>
      <c r="J61" s="46" t="n"/>
      <c r="K61" s="46" t="n"/>
      <c r="L61" s="46" t="n"/>
      <c r="M61" s="46" t="n"/>
      <c r="N61" s="46" t="n"/>
      <c r="O61" s="46" t="n"/>
      <c r="P61" s="46" t="n"/>
      <c r="Q61" s="46" t="n"/>
      <c r="R61" s="46" t="n"/>
      <c r="S61" s="46" t="n"/>
    </row>
    <row r="62">
      <c r="B62" s="9"/>
      <c r="C62" s="36"/>
      <c r="D62" s="13" t="s">
        <v>321</v>
      </c>
      <c r="E62" s="47" t="n"/>
      <c r="F62" s="47" t="n"/>
      <c r="G62" s="47" t="n"/>
      <c r="H62" s="47" t="n"/>
      <c r="I62" s="47" t="n"/>
      <c r="J62" s="47" t="n"/>
      <c r="K62" s="47" t="n"/>
      <c r="L62" s="47" t="n"/>
      <c r="M62" s="47" t="n"/>
      <c r="N62" s="47" t="n"/>
      <c r="O62" s="47" t="n"/>
      <c r="P62" s="47" t="n"/>
      <c r="Q62" s="47" t="n"/>
      <c r="R62" s="47" t="n"/>
      <c r="S62" s="47" t="n"/>
    </row>
    <row r="63">
      <c r="B63" s="9"/>
      <c r="C63" s="36"/>
      <c r="D63" s="14" t="s">
        <v>322</v>
      </c>
      <c r="E63" s="46" t="n"/>
      <c r="F63" s="46" t="n"/>
      <c r="G63" s="46" t="n"/>
      <c r="H63" s="46" t="n"/>
      <c r="I63" s="46" t="n"/>
      <c r="J63" s="46" t="n"/>
      <c r="K63" s="46" t="n"/>
      <c r="L63" s="46" t="n"/>
      <c r="M63" s="46" t="n"/>
      <c r="N63" s="46" t="n"/>
      <c r="O63" s="46" t="n"/>
      <c r="P63" s="46" t="n"/>
      <c r="Q63" s="46" t="n"/>
      <c r="R63" s="46" t="n"/>
      <c r="S63" s="46" t="n"/>
    </row>
    <row r="64">
      <c r="B64" s="9"/>
      <c r="C64" s="37"/>
      <c r="D64" s="53" t="s">
        <v>323</v>
      </c>
      <c r="E64" s="47" t="n">
        <f>SUM(E53:E63)</f>
      </c>
      <c r="F64" s="47" t="n">
        <f>SUM(F53:F63)</f>
      </c>
      <c r="G64" s="47" t="n">
        <f>SUM(G53:G63)</f>
      </c>
      <c r="H64" s="47" t="n">
        <f>SUM(H53:H63)</f>
      </c>
      <c r="I64" s="47" t="n">
        <f>SUM(I53:I63)</f>
      </c>
      <c r="J64" s="47" t="n">
        <f>SUM(J53:J63)</f>
      </c>
      <c r="K64" s="47" t="n">
        <f>SUM(K53:K63)</f>
      </c>
      <c r="L64" s="47" t="n">
        <f>SUM(L53:L63)</f>
      </c>
      <c r="M64" s="47" t="n">
        <f>SUM(M53:M63)</f>
      </c>
      <c r="N64" s="47" t="n">
        <f>SUM(N53:N63)</f>
      </c>
      <c r="O64" s="47" t="n">
        <f>SUM(O53:O63)</f>
      </c>
      <c r="P64" s="47" t="n">
        <f>SUM(P53:P63)</f>
      </c>
      <c r="Q64" s="47" t="n">
        <f>SUM(Q53:Q63)</f>
      </c>
      <c r="R64" s="47" t="n">
        <f>SUM(R53:R63)</f>
      </c>
      <c r="S64" s="47" t="n">
        <f>SUM(S53:S63)</f>
      </c>
    </row>
    <row r="65">
      <c r="B65" s="9"/>
      <c r="C65" s="7" t="s">
        <v>324</v>
      </c>
      <c r="D65" s="8"/>
      <c r="E65" s="17"/>
      <c r="F65" s="17"/>
      <c r="G65" s="17"/>
      <c r="H65" s="17"/>
      <c r="I65" s="17"/>
      <c r="J65" s="17"/>
      <c r="K65" s="17"/>
      <c r="L65" s="17"/>
      <c r="M65" s="17"/>
      <c r="N65" s="17"/>
      <c r="O65" s="17"/>
      <c r="P65" s="17"/>
      <c r="Q65" s="17"/>
      <c r="R65" s="17"/>
      <c r="S65" s="17"/>
    </row>
    <row r="66">
      <c r="B66" s="9"/>
      <c r="C66" s="9"/>
      <c r="D66" s="13" t="s">
        <v>325</v>
      </c>
      <c r="E66" s="47" t="n"/>
      <c r="F66" s="47" t="n"/>
      <c r="G66" s="47" t="n"/>
      <c r="H66" s="47" t="n"/>
      <c r="I66" s="47" t="n"/>
      <c r="J66" s="47" t="n"/>
      <c r="K66" s="47" t="n"/>
      <c r="L66" s="47" t="n"/>
      <c r="M66" s="47" t="n"/>
      <c r="N66" s="47" t="n"/>
      <c r="O66" s="47" t="n"/>
      <c r="P66" s="47" t="n"/>
      <c r="Q66" s="47" t="n"/>
      <c r="R66" s="47" t="n"/>
      <c r="S66" s="47" t="n"/>
    </row>
    <row r="67">
      <c r="B67" s="9"/>
      <c r="C67" s="9"/>
      <c r="D67" s="14" t="s">
        <v>326</v>
      </c>
      <c r="E67" s="46" t="n"/>
      <c r="F67" s="46" t="n"/>
      <c r="G67" s="46" t="n"/>
      <c r="H67" s="46" t="n"/>
      <c r="I67" s="46" t="n"/>
      <c r="J67" s="46" t="n"/>
      <c r="K67" s="46" t="n"/>
      <c r="L67" s="46" t="n"/>
      <c r="M67" s="46" t="n"/>
      <c r="N67" s="46" t="n"/>
      <c r="O67" s="46" t="n"/>
      <c r="P67" s="46" t="n"/>
      <c r="Q67" s="46" t="n"/>
      <c r="R67" s="46" t="n"/>
      <c r="S67" s="46" t="n"/>
    </row>
    <row r="68">
      <c r="B68" s="9"/>
      <c r="C68" s="9"/>
      <c r="D68" s="13" t="s">
        <v>327</v>
      </c>
      <c r="E68" s="47" t="n"/>
      <c r="F68" s="47" t="n"/>
      <c r="G68" s="47" t="n"/>
      <c r="H68" s="47" t="n"/>
      <c r="I68" s="47" t="n"/>
      <c r="J68" s="47" t="n"/>
      <c r="K68" s="47" t="n"/>
      <c r="L68" s="47" t="n"/>
      <c r="M68" s="47" t="n"/>
      <c r="N68" s="47" t="n"/>
      <c r="O68" s="47" t="n"/>
      <c r="P68" s="47" t="n"/>
      <c r="Q68" s="47" t="n"/>
      <c r="R68" s="47" t="n"/>
      <c r="S68" s="47" t="n"/>
    </row>
    <row r="69">
      <c r="B69" s="9"/>
      <c r="C69" s="9"/>
      <c r="D69" s="14" t="s">
        <v>328</v>
      </c>
      <c r="E69" s="46" t="n"/>
      <c r="F69" s="46" t="n"/>
      <c r="G69" s="46" t="n"/>
      <c r="H69" s="46" t="n"/>
      <c r="I69" s="46" t="n"/>
      <c r="J69" s="46" t="n"/>
      <c r="K69" s="46" t="n"/>
      <c r="L69" s="46" t="n"/>
      <c r="M69" s="46" t="n"/>
      <c r="N69" s="46" t="n"/>
      <c r="O69" s="46" t="n"/>
      <c r="P69" s="46" t="n"/>
      <c r="Q69" s="46" t="n"/>
      <c r="R69" s="46" t="n"/>
      <c r="S69" s="46" t="n"/>
    </row>
    <row r="70">
      <c r="B70" s="9"/>
      <c r="C70" s="9"/>
      <c r="D70" s="13" t="s">
        <v>329</v>
      </c>
      <c r="E70" s="47" t="n"/>
      <c r="F70" s="47" t="n"/>
      <c r="G70" s="47" t="n"/>
      <c r="H70" s="47" t="n"/>
      <c r="I70" s="47" t="n"/>
      <c r="J70" s="47" t="n"/>
      <c r="K70" s="47" t="n"/>
      <c r="L70" s="47" t="n"/>
      <c r="M70" s="47" t="n"/>
      <c r="N70" s="47" t="n"/>
      <c r="O70" s="47" t="n"/>
      <c r="P70" s="47" t="n"/>
      <c r="Q70" s="47" t="n"/>
      <c r="R70" s="47" t="n"/>
      <c r="S70" s="47" t="n"/>
    </row>
    <row r="71">
      <c r="B71" s="9"/>
      <c r="C71" s="9"/>
      <c r="D71" s="14" t="s">
        <v>330</v>
      </c>
      <c r="E71" s="46" t="n"/>
      <c r="F71" s="46" t="n"/>
      <c r="G71" s="46" t="n"/>
      <c r="H71" s="46" t="n"/>
      <c r="I71" s="46" t="n"/>
      <c r="J71" s="46" t="n"/>
      <c r="K71" s="46" t="n"/>
      <c r="L71" s="46" t="n"/>
      <c r="M71" s="46" t="n"/>
      <c r="N71" s="46" t="n"/>
      <c r="O71" s="46" t="n"/>
      <c r="P71" s="46" t="n"/>
      <c r="Q71" s="46" t="n"/>
      <c r="R71" s="46" t="n"/>
      <c r="S71" s="46" t="n"/>
    </row>
    <row r="72">
      <c r="B72" s="9"/>
      <c r="C72" s="10"/>
      <c r="D72" s="53" t="s">
        <v>331</v>
      </c>
      <c r="E72" s="47" t="n">
        <f>SUM(E66:E71)</f>
      </c>
      <c r="F72" s="47" t="n">
        <f>SUM(F66:F71)</f>
      </c>
      <c r="G72" s="47" t="n">
        <f>SUM(G66:G71)</f>
      </c>
      <c r="H72" s="47" t="n">
        <f>SUM(H66:H71)</f>
      </c>
      <c r="I72" s="47" t="n">
        <f>SUM(I66:I71)</f>
      </c>
      <c r="J72" s="47" t="n">
        <f>SUM(J66:J71)</f>
      </c>
      <c r="K72" s="47" t="n">
        <f>SUM(K66:K71)</f>
      </c>
      <c r="L72" s="47" t="n">
        <f>SUM(L66:L71)</f>
      </c>
      <c r="M72" s="47" t="n">
        <f>SUM(M66:M71)</f>
      </c>
      <c r="N72" s="47" t="n">
        <f>SUM(N66:N71)</f>
      </c>
      <c r="O72" s="47" t="n">
        <f>SUM(O66:O71)</f>
      </c>
      <c r="P72" s="47" t="n">
        <f>SUM(P66:P71)</f>
      </c>
      <c r="Q72" s="47" t="n">
        <f>SUM(Q66:Q71)</f>
      </c>
      <c r="R72" s="47" t="n">
        <f>SUM(R66:R71)</f>
      </c>
      <c r="S72" s="47" t="n">
        <f>SUM(S66:S71)</f>
      </c>
    </row>
    <row r="73">
      <c r="B73" s="9"/>
      <c r="C73" s="10" t="s">
        <v>332</v>
      </c>
      <c r="D73" s="8"/>
      <c r="E73" s="46" t="n"/>
      <c r="F73" s="46" t="n"/>
      <c r="G73" s="46" t="n"/>
      <c r="H73" s="46" t="n"/>
      <c r="I73" s="46" t="n"/>
      <c r="J73" s="46" t="n"/>
      <c r="K73" s="46" t="n"/>
      <c r="L73" s="46" t="n"/>
      <c r="M73" s="46" t="n"/>
      <c r="N73" s="46" t="n"/>
      <c r="O73" s="46" t="n"/>
      <c r="P73" s="46" t="n"/>
      <c r="Q73" s="46" t="n"/>
      <c r="R73" s="46" t="n"/>
      <c r="S73" s="46" t="n"/>
    </row>
    <row r="74">
      <c r="B74" s="9"/>
      <c r="C74" s="37" t="s">
        <v>333</v>
      </c>
      <c r="D74" s="35"/>
      <c r="E74" s="47" t="n"/>
      <c r="F74" s="47" t="n"/>
      <c r="G74" s="47" t="n"/>
      <c r="H74" s="47" t="n"/>
      <c r="I74" s="47" t="n"/>
      <c r="J74" s="47" t="n"/>
      <c r="K74" s="47" t="n"/>
      <c r="L74" s="47" t="n"/>
      <c r="M74" s="47" t="n"/>
      <c r="N74" s="47" t="n"/>
      <c r="O74" s="47" t="n"/>
      <c r="P74" s="47" t="n"/>
      <c r="Q74" s="47" t="n"/>
      <c r="R74" s="47" t="n"/>
      <c r="S74" s="47" t="n"/>
    </row>
    <row r="75">
      <c r="B75" s="9"/>
      <c r="C75" s="10" t="s">
        <v>334</v>
      </c>
      <c r="D75" s="8"/>
      <c r="E75" s="46" t="n"/>
      <c r="F75" s="46" t="n"/>
      <c r="G75" s="46" t="n"/>
      <c r="H75" s="46" t="n"/>
      <c r="I75" s="46" t="n"/>
      <c r="J75" s="46" t="n"/>
      <c r="K75" s="46" t="n"/>
      <c r="L75" s="46" t="n"/>
      <c r="M75" s="46" t="n"/>
      <c r="N75" s="46" t="n"/>
      <c r="O75" s="46" t="n"/>
      <c r="P75" s="46" t="n"/>
      <c r="Q75" s="46" t="n"/>
      <c r="R75" s="46" t="n"/>
      <c r="S75" s="46" t="n"/>
    </row>
    <row r="76">
      <c r="B76" s="9"/>
      <c r="C76" s="37" t="s">
        <v>335</v>
      </c>
      <c r="D76" s="35"/>
      <c r="E76" s="47" t="n"/>
      <c r="F76" s="47" t="n"/>
      <c r="G76" s="47" t="n"/>
      <c r="H76" s="47" t="n"/>
      <c r="I76" s="47" t="n"/>
      <c r="J76" s="47" t="n"/>
      <c r="K76" s="47" t="n"/>
      <c r="L76" s="47" t="n"/>
      <c r="M76" s="47" t="n"/>
      <c r="N76" s="47" t="n"/>
      <c r="O76" s="47" t="n"/>
      <c r="P76" s="47" t="n"/>
      <c r="Q76" s="47" t="n"/>
      <c r="R76" s="47" t="n"/>
      <c r="S76" s="47" t="n"/>
    </row>
    <row r="77">
      <c r="B77" s="9"/>
      <c r="C77" s="10" t="s">
        <v>336</v>
      </c>
      <c r="D77" s="8"/>
      <c r="E77" s="46" t="n"/>
      <c r="F77" s="46" t="n"/>
      <c r="G77" s="46" t="n"/>
      <c r="H77" s="46" t="n"/>
      <c r="I77" s="46" t="n"/>
      <c r="J77" s="46" t="n"/>
      <c r="K77" s="46" t="n"/>
      <c r="L77" s="46" t="n"/>
      <c r="M77" s="46" t="n"/>
      <c r="N77" s="46" t="n"/>
      <c r="O77" s="46" t="n"/>
      <c r="P77" s="46" t="n"/>
      <c r="Q77" s="46" t="n"/>
      <c r="R77" s="46" t="n"/>
      <c r="S77" s="46" t="n"/>
    </row>
    <row r="78">
      <c r="B78" s="9"/>
      <c r="C78" s="37" t="s">
        <v>337</v>
      </c>
      <c r="D78" s="35"/>
      <c r="E78" s="47" t="n"/>
      <c r="F78" s="47" t="n"/>
      <c r="G78" s="47" t="n"/>
      <c r="H78" s="47" t="n"/>
      <c r="I78" s="47" t="n"/>
      <c r="J78" s="47" t="n"/>
      <c r="K78" s="47" t="n"/>
      <c r="L78" s="47" t="n"/>
      <c r="M78" s="47" t="n"/>
      <c r="N78" s="47" t="n"/>
      <c r="O78" s="47" t="n"/>
      <c r="P78" s="47" t="n"/>
      <c r="Q78" s="47" t="n"/>
      <c r="R78" s="47" t="n"/>
      <c r="S78" s="47" t="n"/>
    </row>
    <row r="79">
      <c r="B79" s="9"/>
      <c r="C79" s="10" t="s">
        <v>338</v>
      </c>
      <c r="D79" s="8"/>
      <c r="E79" s="46" t="n"/>
      <c r="F79" s="46" t="n"/>
      <c r="G79" s="46" t="n"/>
      <c r="H79" s="46" t="n"/>
      <c r="I79" s="46" t="n"/>
      <c r="J79" s="46" t="n"/>
      <c r="K79" s="46" t="n"/>
      <c r="L79" s="46" t="n"/>
      <c r="M79" s="46" t="n"/>
      <c r="N79" s="46" t="n"/>
      <c r="O79" s="46" t="n"/>
      <c r="P79" s="46" t="n"/>
      <c r="Q79" s="46" t="n"/>
      <c r="R79" s="46" t="n"/>
      <c r="S79" s="46" t="n"/>
    </row>
    <row r="80">
      <c r="B80" s="9"/>
      <c r="C80" s="37" t="s">
        <v>339</v>
      </c>
      <c r="D80" s="35"/>
      <c r="E80" s="47" t="n"/>
      <c r="F80" s="47" t="n"/>
      <c r="G80" s="47" t="n"/>
      <c r="H80" s="47" t="n"/>
      <c r="I80" s="47" t="n"/>
      <c r="J80" s="47" t="n"/>
      <c r="K80" s="47" t="n"/>
      <c r="L80" s="47" t="n"/>
      <c r="M80" s="47" t="n"/>
      <c r="N80" s="47" t="n"/>
      <c r="O80" s="47" t="n"/>
      <c r="P80" s="47" t="n"/>
      <c r="Q80" s="47" t="n"/>
      <c r="R80" s="47" t="n"/>
      <c r="S80" s="47" t="n"/>
    </row>
    <row r="81">
      <c r="B81" s="9"/>
      <c r="C81" s="10" t="s">
        <v>340</v>
      </c>
      <c r="D81" s="8"/>
      <c r="E81" s="46" t="n"/>
      <c r="F81" s="46" t="n"/>
      <c r="G81" s="46" t="n"/>
      <c r="H81" s="46" t="n"/>
      <c r="I81" s="46" t="n"/>
      <c r="J81" s="46" t="n"/>
      <c r="K81" s="46" t="n"/>
      <c r="L81" s="46" t="n"/>
      <c r="M81" s="46" t="n"/>
      <c r="N81" s="46" t="n"/>
      <c r="O81" s="46" t="n"/>
      <c r="P81" s="46" t="n"/>
      <c r="Q81" s="46" t="n"/>
      <c r="R81" s="46" t="n"/>
      <c r="S81" s="46" t="n"/>
    </row>
    <row r="82">
      <c r="B82" s="9"/>
      <c r="C82" s="37" t="s">
        <v>341</v>
      </c>
      <c r="D82" s="35"/>
      <c r="E82" s="47" t="n"/>
      <c r="F82" s="47" t="n"/>
      <c r="G82" s="47" t="n"/>
      <c r="H82" s="47" t="n"/>
      <c r="I82" s="47" t="n"/>
      <c r="J82" s="47" t="n"/>
      <c r="K82" s="47" t="n"/>
      <c r="L82" s="47" t="n"/>
      <c r="M82" s="47" t="n"/>
      <c r="N82" s="47" t="n"/>
      <c r="O82" s="47" t="n"/>
      <c r="P82" s="47" t="n"/>
      <c r="Q82" s="47" t="n"/>
      <c r="R82" s="47" t="n"/>
      <c r="S82" s="47" t="n"/>
    </row>
    <row r="83">
      <c r="B83" s="10"/>
      <c r="C83" s="40" t="s">
        <v>342</v>
      </c>
      <c r="D83" s="39"/>
      <c r="E83" s="48" t="n">
        <f>SUM(E14:E20)+E25+E26+SUM(E34:E36)+E51+E64+SUM(E72:E82)</f>
      </c>
      <c r="F83" s="48" t="n">
        <f>SUM(F14:F20)+F25+F26+SUM(F34:F36)+F51+F64+SUM(F72:F82)</f>
      </c>
      <c r="G83" s="48" t="n">
        <f>SUM(G14:G20)+G25+G26+SUM(G34:G36)+G51+G64+SUM(G72:G82)</f>
      </c>
      <c r="H83" s="48" t="n">
        <f>SUM(H14:H20)+H25+H26+SUM(H34:H36)+H51+H64+SUM(H72:H82)</f>
      </c>
      <c r="I83" s="48" t="n">
        <f>SUM(I14:I20)+I25+I26+SUM(I34:I36)+I51+I64+SUM(I72:I82)</f>
      </c>
      <c r="J83" s="48" t="n">
        <f>SUM(J14:J20)+J25+J26+SUM(J34:J36)+J51+J64+SUM(J72:J82)</f>
      </c>
      <c r="K83" s="48" t="n">
        <f>SUM(K14:K20)+K25+K26+SUM(K34:K36)+K51+K64+SUM(K72:K82)</f>
      </c>
      <c r="L83" s="48" t="n">
        <f>SUM(L14:L20)+L25+L26+SUM(L34:L36)+L51+L64+SUM(L72:L82)</f>
      </c>
      <c r="M83" s="48" t="n">
        <f>SUM(M14:M20)+M25+M26+SUM(M34:M36)+M51+M64+SUM(M72:M82)</f>
      </c>
      <c r="N83" s="48" t="n">
        <f>SUM(N14:N20)+N25+N26+SUM(N34:N36)+N51+N64+SUM(N72:N82)</f>
      </c>
      <c r="O83" s="48" t="n">
        <f>SUM(O14:O20)+O25+O26+SUM(O34:O36)+O51+O64+SUM(O72:O82)</f>
      </c>
      <c r="P83" s="48" t="n">
        <f>SUM(P14:P20)+P25+P26+SUM(P34:P36)+P51+P64+SUM(P72:P82)</f>
      </c>
      <c r="Q83" s="48" t="n">
        <f>SUM(Q14:Q20)+Q25+Q26+SUM(Q34:Q36)+Q51+Q64+SUM(Q72:Q82)</f>
      </c>
      <c r="R83" s="48" t="n">
        <f>SUM(R14:R20)+R25+R26+SUM(R34:R36)+R51+R64+SUM(R72:R82)</f>
      </c>
      <c r="S83" s="48" t="n">
        <f>SUM(S14:S20)+S25+S26+SUM(S34:S36)+S51+S64+SUM(S72:S82)</f>
      </c>
    </row>
  </sheetData>
  <mergeCells>
    <mergeCell ref="E10:S10"/>
    <mergeCell ref="E11:G11"/>
    <mergeCell ref="H11:J11"/>
    <mergeCell ref="K11:M11"/>
    <mergeCell ref="N11:P11"/>
    <mergeCell ref="Q11:Q12"/>
    <mergeCell ref="R11:R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18.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409</v>
      </c>
    </row>
    <row r="6">
      <c r="B6" t="s" s="1">
        <v>8</v>
      </c>
      <c r="C6" t="s">
        <v>9</v>
      </c>
    </row>
    <row r="7">
      <c r="B7" t="s" s="1">
        <v>10</v>
      </c>
      <c r="C7" t="s">
        <v>9</v>
      </c>
    </row>
    <row r="8">
      <c r="B8" t="s" s="1">
        <v>11</v>
      </c>
      <c r="C8" t="s">
        <v>12</v>
      </c>
    </row>
    <row r="10">
      <c r="E10" t="s" s="4">
        <v>410</v>
      </c>
      <c r="F10" s="24"/>
      <c r="G10" s="25"/>
    </row>
    <row r="11">
      <c r="E11" t="s" s="29">
        <v>411</v>
      </c>
      <c r="F11" t="s" s="6">
        <v>412</v>
      </c>
      <c r="G11" s="31"/>
    </row>
    <row r="12">
      <c r="B12" s="7" t="s">
        <v>272</v>
      </c>
      <c r="C12" s="32"/>
      <c r="D12" s="8"/>
      <c r="E12" s="18"/>
      <c r="F12" s="18"/>
      <c r="G12" s="18"/>
    </row>
    <row r="13">
      <c r="B13" s="9"/>
      <c r="C13" s="37" t="s">
        <v>273</v>
      </c>
      <c r="D13" s="35"/>
      <c r="E13" s="46" t="n"/>
      <c r="F13" s="46" t="n"/>
      <c r="G13" s="46" t="n"/>
    </row>
    <row r="14">
      <c r="B14" s="9"/>
      <c r="C14" s="10" t="s">
        <v>274</v>
      </c>
      <c r="D14" s="8"/>
      <c r="E14" s="47" t="n"/>
      <c r="F14" s="47" t="n"/>
      <c r="G14" s="47" t="n"/>
    </row>
    <row r="15">
      <c r="B15" s="9"/>
      <c r="C15" s="37" t="s">
        <v>275</v>
      </c>
      <c r="D15" s="35"/>
      <c r="E15" s="46" t="n"/>
      <c r="F15" s="46" t="n"/>
      <c r="G15" s="46" t="n"/>
    </row>
    <row r="16">
      <c r="B16" s="9"/>
      <c r="C16" s="10" t="s">
        <v>276</v>
      </c>
      <c r="D16" s="8"/>
      <c r="E16" s="47" t="n"/>
      <c r="F16" s="47" t="n"/>
      <c r="G16" s="47" t="n"/>
    </row>
    <row r="17">
      <c r="B17" s="9"/>
      <c r="C17" s="37" t="s">
        <v>277</v>
      </c>
      <c r="D17" s="35"/>
      <c r="E17" s="46" t="n"/>
      <c r="F17" s="46" t="n"/>
      <c r="G17" s="46" t="n"/>
    </row>
    <row r="18">
      <c r="B18" s="9"/>
      <c r="C18" s="10" t="s">
        <v>278</v>
      </c>
      <c r="D18" s="8"/>
      <c r="E18" s="47" t="n"/>
      <c r="F18" s="47" t="n"/>
      <c r="G18" s="47" t="n"/>
    </row>
    <row r="19">
      <c r="B19" s="9"/>
      <c r="C19" s="37" t="s">
        <v>279</v>
      </c>
      <c r="D19" s="35"/>
      <c r="E19" s="46" t="n"/>
      <c r="F19" s="46" t="n"/>
      <c r="G19" s="46" t="n"/>
    </row>
    <row r="20">
      <c r="B20" s="9"/>
      <c r="C20" s="7" t="s">
        <v>280</v>
      </c>
      <c r="D20" s="8"/>
      <c r="E20" s="18"/>
      <c r="F20" s="18"/>
      <c r="G20" s="18"/>
    </row>
    <row r="21">
      <c r="B21" s="9"/>
      <c r="C21" s="9"/>
      <c r="D21" s="13" t="s">
        <v>281</v>
      </c>
      <c r="E21" s="46" t="n"/>
      <c r="F21" s="46" t="n"/>
      <c r="G21" s="46" t="n"/>
    </row>
    <row r="22">
      <c r="B22" s="9"/>
      <c r="C22" s="9"/>
      <c r="D22" s="14" t="s">
        <v>282</v>
      </c>
      <c r="E22" s="47" t="n"/>
      <c r="F22" s="47" t="n"/>
      <c r="G22" s="47" t="n"/>
    </row>
    <row r="23">
      <c r="B23" s="9"/>
      <c r="C23" s="9"/>
      <c r="D23" s="13" t="s">
        <v>283</v>
      </c>
      <c r="E23" s="46" t="n"/>
      <c r="F23" s="46" t="n"/>
      <c r="G23" s="46" t="n"/>
    </row>
    <row r="24">
      <c r="B24" s="9"/>
      <c r="C24" s="10"/>
      <c r="D24" s="51" t="s">
        <v>284</v>
      </c>
      <c r="E24" s="47" t="n">
        <f>SUM(E21:E23)</f>
      </c>
      <c r="F24" s="47" t="n">
        <f>SUM(F21:F23)</f>
      </c>
      <c r="G24" s="47" t="n">
        <f>SUM(G21:G23)</f>
      </c>
    </row>
    <row r="25">
      <c r="B25" s="9"/>
      <c r="C25" s="37" t="s">
        <v>285</v>
      </c>
      <c r="D25" s="35"/>
      <c r="E25" s="46" t="n"/>
      <c r="F25" s="46" t="n"/>
      <c r="G25" s="46" t="n"/>
    </row>
    <row r="26">
      <c r="B26" s="9"/>
      <c r="C26" s="7" t="s">
        <v>286</v>
      </c>
      <c r="D26" s="8"/>
      <c r="E26" s="18"/>
      <c r="F26" s="18"/>
      <c r="G26" s="18"/>
    </row>
    <row r="27">
      <c r="B27" s="9"/>
      <c r="C27" s="9"/>
      <c r="D27" s="13" t="s">
        <v>287</v>
      </c>
      <c r="E27" s="46" t="n"/>
      <c r="F27" s="46" t="n"/>
      <c r="G27" s="46" t="n"/>
    </row>
    <row r="28">
      <c r="B28" s="9"/>
      <c r="C28" s="9"/>
      <c r="D28" s="14" t="s">
        <v>288</v>
      </c>
      <c r="E28" s="47" t="n"/>
      <c r="F28" s="47" t="n"/>
      <c r="G28" s="47" t="n"/>
    </row>
    <row r="29">
      <c r="B29" s="9"/>
      <c r="C29" s="9"/>
      <c r="D29" s="13" t="s">
        <v>289</v>
      </c>
      <c r="E29" s="46" t="n"/>
      <c r="F29" s="46" t="n"/>
      <c r="G29" s="46" t="n"/>
    </row>
    <row r="30">
      <c r="B30" s="9"/>
      <c r="C30" s="9"/>
      <c r="D30" s="14" t="s">
        <v>290</v>
      </c>
      <c r="E30" s="47" t="n"/>
      <c r="F30" s="47" t="n"/>
      <c r="G30" s="47" t="n"/>
    </row>
    <row r="31">
      <c r="B31" s="9"/>
      <c r="C31" s="9"/>
      <c r="D31" s="13" t="s">
        <v>291</v>
      </c>
      <c r="E31" s="46" t="n"/>
      <c r="F31" s="46" t="n"/>
      <c r="G31" s="46" t="n"/>
    </row>
    <row r="32">
      <c r="B32" s="9"/>
      <c r="C32" s="9"/>
      <c r="D32" s="14" t="s">
        <v>292</v>
      </c>
      <c r="E32" s="47" t="n"/>
      <c r="F32" s="47" t="n"/>
      <c r="G32" s="47" t="n"/>
    </row>
    <row r="33">
      <c r="B33" s="9"/>
      <c r="C33" s="10"/>
      <c r="D33" s="53" t="s">
        <v>293</v>
      </c>
      <c r="E33" s="46" t="n">
        <f>SUM(E27:E32)</f>
      </c>
      <c r="F33" s="46" t="n">
        <f>SUM(F27:F32)</f>
      </c>
      <c r="G33" s="46" t="n">
        <f>SUM(G27:G32)</f>
      </c>
    </row>
    <row r="34">
      <c r="B34" s="9"/>
      <c r="C34" s="10" t="s">
        <v>294</v>
      </c>
      <c r="D34" s="8"/>
      <c r="E34" s="47" t="n"/>
      <c r="F34" s="47" t="n"/>
      <c r="G34" s="47" t="n"/>
    </row>
    <row r="35">
      <c r="B35" s="9"/>
      <c r="C35" s="37" t="s">
        <v>295</v>
      </c>
      <c r="D35" s="35"/>
      <c r="E35" s="46" t="n"/>
      <c r="F35" s="46" t="n"/>
      <c r="G35" s="46" t="n"/>
    </row>
    <row r="36">
      <c r="B36" s="9"/>
      <c r="C36" s="7" t="s">
        <v>296</v>
      </c>
      <c r="D36" s="8"/>
      <c r="E36" s="18"/>
      <c r="F36" s="18"/>
      <c r="G36" s="18"/>
    </row>
    <row r="37">
      <c r="B37" s="9"/>
      <c r="C37" s="9"/>
      <c r="D37" s="13" t="s">
        <v>297</v>
      </c>
      <c r="E37" s="46" t="n"/>
      <c r="F37" s="46" t="n"/>
      <c r="G37" s="46" t="n"/>
    </row>
    <row r="38">
      <c r="B38" s="9"/>
      <c r="C38" s="9"/>
      <c r="D38" s="14" t="s">
        <v>298</v>
      </c>
      <c r="E38" s="47" t="n"/>
      <c r="F38" s="47" t="n"/>
      <c r="G38" s="47" t="n"/>
    </row>
    <row r="39">
      <c r="B39" s="9"/>
      <c r="C39" s="9"/>
      <c r="D39" s="13" t="s">
        <v>299</v>
      </c>
      <c r="E39" s="46" t="n"/>
      <c r="F39" s="46" t="n"/>
      <c r="G39" s="46" t="n"/>
    </row>
    <row r="40">
      <c r="B40" s="9"/>
      <c r="C40" s="9"/>
      <c r="D40" s="14" t="s">
        <v>300</v>
      </c>
      <c r="E40" s="47" t="n"/>
      <c r="F40" s="47" t="n"/>
      <c r="G40" s="47" t="n"/>
    </row>
    <row r="41">
      <c r="B41" s="9"/>
      <c r="C41" s="9"/>
      <c r="D41" s="13" t="s">
        <v>301</v>
      </c>
      <c r="E41" s="46" t="n"/>
      <c r="F41" s="46" t="n"/>
      <c r="G41" s="46" t="n"/>
    </row>
    <row r="42">
      <c r="B42" s="9"/>
      <c r="C42" s="9"/>
      <c r="D42" s="14" t="s">
        <v>302</v>
      </c>
      <c r="E42" s="47" t="n"/>
      <c r="F42" s="47" t="n"/>
      <c r="G42" s="47" t="n"/>
    </row>
    <row r="43">
      <c r="B43" s="9"/>
      <c r="C43" s="9"/>
      <c r="D43" s="13" t="s">
        <v>303</v>
      </c>
      <c r="E43" s="46" t="n"/>
      <c r="F43" s="46" t="n"/>
      <c r="G43" s="46" t="n"/>
    </row>
    <row r="44">
      <c r="B44" s="9"/>
      <c r="C44" s="9"/>
      <c r="D44" s="14" t="s">
        <v>304</v>
      </c>
      <c r="E44" s="47" t="n"/>
      <c r="F44" s="47" t="n"/>
      <c r="G44" s="47" t="n"/>
    </row>
    <row r="45">
      <c r="B45" s="9"/>
      <c r="C45" s="9"/>
      <c r="D45" s="13" t="s">
        <v>305</v>
      </c>
      <c r="E45" s="46" t="n"/>
      <c r="F45" s="46" t="n"/>
      <c r="G45" s="46" t="n"/>
    </row>
    <row r="46">
      <c r="B46" s="9"/>
      <c r="C46" s="9"/>
      <c r="D46" s="14" t="s">
        <v>306</v>
      </c>
      <c r="E46" s="47" t="n"/>
      <c r="F46" s="47" t="n"/>
      <c r="G46" s="47" t="n"/>
    </row>
    <row r="47">
      <c r="B47" s="9"/>
      <c r="C47" s="9"/>
      <c r="D47" s="13" t="s">
        <v>307</v>
      </c>
      <c r="E47" s="46" t="n"/>
      <c r="F47" s="46" t="n"/>
      <c r="G47" s="46" t="n"/>
    </row>
    <row r="48">
      <c r="B48" s="9"/>
      <c r="C48" s="9"/>
      <c r="D48" s="14" t="s">
        <v>308</v>
      </c>
      <c r="E48" s="47" t="n"/>
      <c r="F48" s="47" t="n"/>
      <c r="G48" s="47" t="n"/>
    </row>
    <row r="49">
      <c r="B49" s="9"/>
      <c r="C49" s="9"/>
      <c r="D49" s="13" t="s">
        <v>309</v>
      </c>
      <c r="E49" s="46" t="n"/>
      <c r="F49" s="46" t="n"/>
      <c r="G49" s="46" t="n"/>
    </row>
    <row r="50">
      <c r="B50" s="9"/>
      <c r="C50" s="10"/>
      <c r="D50" s="14" t="s">
        <v>310</v>
      </c>
      <c r="E50" s="47" t="n">
        <f>SUM(E37:E49)</f>
      </c>
      <c r="F50" s="47" t="n">
        <f>SUM(F37:F49)</f>
      </c>
      <c r="G50" s="47" t="n">
        <f>SUM(G37:G49)</f>
      </c>
    </row>
    <row r="51">
      <c r="B51" s="9"/>
      <c r="C51" s="33" t="s">
        <v>311</v>
      </c>
      <c r="D51" s="35"/>
      <c r="E51" s="17"/>
      <c r="F51" s="17"/>
      <c r="G51" s="17"/>
    </row>
    <row r="52">
      <c r="B52" s="9"/>
      <c r="C52" s="36"/>
      <c r="D52" s="14" t="s">
        <v>312</v>
      </c>
      <c r="E52" s="47" t="n"/>
      <c r="F52" s="47" t="n"/>
      <c r="G52" s="47" t="n"/>
    </row>
    <row r="53">
      <c r="B53" s="9"/>
      <c r="C53" s="36"/>
      <c r="D53" s="13" t="s">
        <v>313</v>
      </c>
      <c r="E53" s="46" t="n"/>
      <c r="F53" s="46" t="n"/>
      <c r="G53" s="46" t="n"/>
    </row>
    <row r="54">
      <c r="B54" s="9"/>
      <c r="C54" s="36"/>
      <c r="D54" s="14" t="s">
        <v>314</v>
      </c>
      <c r="E54" s="47" t="n"/>
      <c r="F54" s="47" t="n"/>
      <c r="G54" s="47" t="n"/>
    </row>
    <row r="55">
      <c r="B55" s="9"/>
      <c r="C55" s="36"/>
      <c r="D55" s="13" t="s">
        <v>315</v>
      </c>
      <c r="E55" s="46" t="n"/>
      <c r="F55" s="46" t="n"/>
      <c r="G55" s="46" t="n"/>
    </row>
    <row r="56">
      <c r="B56" s="9"/>
      <c r="C56" s="36"/>
      <c r="D56" s="14" t="s">
        <v>316</v>
      </c>
      <c r="E56" s="47" t="n"/>
      <c r="F56" s="47" t="n"/>
      <c r="G56" s="47" t="n"/>
    </row>
    <row r="57">
      <c r="B57" s="9"/>
      <c r="C57" s="36"/>
      <c r="D57" s="13" t="s">
        <v>317</v>
      </c>
      <c r="E57" s="46" t="n"/>
      <c r="F57" s="46" t="n"/>
      <c r="G57" s="46" t="n"/>
    </row>
    <row r="58">
      <c r="B58" s="9"/>
      <c r="C58" s="36"/>
      <c r="D58" s="14" t="s">
        <v>318</v>
      </c>
      <c r="E58" s="47" t="n"/>
      <c r="F58" s="47" t="n"/>
      <c r="G58" s="47" t="n"/>
    </row>
    <row r="59">
      <c r="B59" s="9"/>
      <c r="C59" s="36"/>
      <c r="D59" s="13" t="s">
        <v>319</v>
      </c>
      <c r="E59" s="46" t="n"/>
      <c r="F59" s="46" t="n"/>
      <c r="G59" s="46" t="n"/>
    </row>
    <row r="60">
      <c r="B60" s="9"/>
      <c r="C60" s="36"/>
      <c r="D60" s="14" t="s">
        <v>320</v>
      </c>
      <c r="E60" s="47" t="n"/>
      <c r="F60" s="47" t="n"/>
      <c r="G60" s="47" t="n"/>
    </row>
    <row r="61">
      <c r="B61" s="9"/>
      <c r="C61" s="36"/>
      <c r="D61" s="13" t="s">
        <v>321</v>
      </c>
      <c r="E61" s="46" t="n"/>
      <c r="F61" s="46" t="n"/>
      <c r="G61" s="46" t="n"/>
    </row>
    <row r="62">
      <c r="B62" s="9"/>
      <c r="C62" s="36"/>
      <c r="D62" s="14" t="s">
        <v>322</v>
      </c>
      <c r="E62" s="47" t="n"/>
      <c r="F62" s="47" t="n"/>
      <c r="G62" s="47" t="n"/>
    </row>
    <row r="63">
      <c r="B63" s="9"/>
      <c r="C63" s="37"/>
      <c r="D63" s="53" t="s">
        <v>323</v>
      </c>
      <c r="E63" s="46" t="n">
        <f>SUM(E52:E62)</f>
      </c>
      <c r="F63" s="46" t="n">
        <f>SUM(F52:F62)</f>
      </c>
      <c r="G63" s="46" t="n">
        <f>SUM(G52:G62)</f>
      </c>
    </row>
    <row r="64">
      <c r="B64" s="9"/>
      <c r="C64" s="7" t="s">
        <v>324</v>
      </c>
      <c r="D64" s="8"/>
      <c r="E64" s="18"/>
      <c r="F64" s="18"/>
      <c r="G64" s="18"/>
    </row>
    <row r="65">
      <c r="B65" s="9"/>
      <c r="C65" s="9"/>
      <c r="D65" s="13" t="s">
        <v>325</v>
      </c>
      <c r="E65" s="46" t="n"/>
      <c r="F65" s="46" t="n"/>
      <c r="G65" s="46" t="n"/>
    </row>
    <row r="66">
      <c r="B66" s="9"/>
      <c r="C66" s="9"/>
      <c r="D66" s="14" t="s">
        <v>326</v>
      </c>
      <c r="E66" s="47" t="n"/>
      <c r="F66" s="47" t="n"/>
      <c r="G66" s="47" t="n"/>
    </row>
    <row r="67">
      <c r="B67" s="9"/>
      <c r="C67" s="9"/>
      <c r="D67" s="13" t="s">
        <v>327</v>
      </c>
      <c r="E67" s="46" t="n"/>
      <c r="F67" s="46" t="n"/>
      <c r="G67" s="46" t="n"/>
    </row>
    <row r="68">
      <c r="B68" s="9"/>
      <c r="C68" s="9"/>
      <c r="D68" s="14" t="s">
        <v>328</v>
      </c>
      <c r="E68" s="47" t="n"/>
      <c r="F68" s="47" t="n"/>
      <c r="G68" s="47" t="n"/>
    </row>
    <row r="69">
      <c r="B69" s="9"/>
      <c r="C69" s="9"/>
      <c r="D69" s="13" t="s">
        <v>329</v>
      </c>
      <c r="E69" s="46" t="n"/>
      <c r="F69" s="46" t="n"/>
      <c r="G69" s="46" t="n"/>
    </row>
    <row r="70">
      <c r="B70" s="9"/>
      <c r="C70" s="9"/>
      <c r="D70" s="14" t="s">
        <v>330</v>
      </c>
      <c r="E70" s="47" t="n"/>
      <c r="F70" s="47" t="n"/>
      <c r="G70" s="47" t="n"/>
    </row>
    <row r="71">
      <c r="B71" s="9"/>
      <c r="C71" s="10"/>
      <c r="D71" s="53" t="s">
        <v>331</v>
      </c>
      <c r="E71" s="46" t="n">
        <f>SUM(E65:E70)</f>
      </c>
      <c r="F71" s="46" t="n">
        <f>SUM(F65:F70)</f>
      </c>
      <c r="G71" s="46" t="n">
        <f>SUM(G65:G70)</f>
      </c>
    </row>
    <row r="72">
      <c r="B72" s="9"/>
      <c r="C72" s="10" t="s">
        <v>332</v>
      </c>
      <c r="D72" s="8"/>
      <c r="E72" s="47" t="n"/>
      <c r="F72" s="47" t="n"/>
      <c r="G72" s="47" t="n"/>
    </row>
    <row r="73">
      <c r="B73" s="9"/>
      <c r="C73" s="37" t="s">
        <v>333</v>
      </c>
      <c r="D73" s="35"/>
      <c r="E73" s="46" t="n"/>
      <c r="F73" s="46" t="n"/>
      <c r="G73" s="46" t="n"/>
    </row>
    <row r="74">
      <c r="B74" s="9"/>
      <c r="C74" s="10" t="s">
        <v>334</v>
      </c>
      <c r="D74" s="8"/>
      <c r="E74" s="47" t="n"/>
      <c r="F74" s="47" t="n"/>
      <c r="G74" s="47" t="n"/>
    </row>
    <row r="75">
      <c r="B75" s="9"/>
      <c r="C75" s="37" t="s">
        <v>335</v>
      </c>
      <c r="D75" s="35"/>
      <c r="E75" s="46" t="n"/>
      <c r="F75" s="46" t="n"/>
      <c r="G75" s="46" t="n"/>
    </row>
    <row r="76">
      <c r="B76" s="9"/>
      <c r="C76" s="10" t="s">
        <v>336</v>
      </c>
      <c r="D76" s="8"/>
      <c r="E76" s="47" t="n"/>
      <c r="F76" s="47" t="n"/>
      <c r="G76" s="47" t="n"/>
    </row>
    <row r="77">
      <c r="B77" s="9"/>
      <c r="C77" s="37" t="s">
        <v>337</v>
      </c>
      <c r="D77" s="35"/>
      <c r="E77" s="46" t="n"/>
      <c r="F77" s="46" t="n"/>
      <c r="G77" s="46" t="n"/>
    </row>
    <row r="78">
      <c r="B78" s="9"/>
      <c r="C78" s="10" t="s">
        <v>338</v>
      </c>
      <c r="D78" s="8"/>
      <c r="E78" s="47" t="n"/>
      <c r="F78" s="47" t="n"/>
      <c r="G78" s="47" t="n"/>
    </row>
    <row r="79">
      <c r="B79" s="9"/>
      <c r="C79" s="37" t="s">
        <v>339</v>
      </c>
      <c r="D79" s="35"/>
      <c r="E79" s="46" t="n"/>
      <c r="F79" s="46" t="n"/>
      <c r="G79" s="46" t="n"/>
    </row>
    <row r="80">
      <c r="B80" s="9"/>
      <c r="C80" s="10" t="s">
        <v>340</v>
      </c>
      <c r="D80" s="8"/>
      <c r="E80" s="47" t="n"/>
      <c r="F80" s="47" t="n"/>
      <c r="G80" s="47" t="n"/>
    </row>
    <row r="81">
      <c r="B81" s="9"/>
      <c r="C81" s="37" t="s">
        <v>341</v>
      </c>
      <c r="D81" s="35"/>
      <c r="E81" s="46" t="n"/>
      <c r="F81" s="46" t="n"/>
      <c r="G81" s="46" t="n"/>
    </row>
    <row r="82">
      <c r="B82" s="10"/>
      <c r="C82" s="40" t="s">
        <v>342</v>
      </c>
      <c r="D82" s="39"/>
      <c r="E82" s="52" t="n">
        <f>SUM(E13:E19)+E24+E25+SUM(E33:E35)+E50+E63+SUM(E71:E81)</f>
      </c>
      <c r="F82" s="52" t="n">
        <f>SUM(F13:F19)+F24+F25+SUM(F33:F35)+F50+F63+SUM(F71:F81)</f>
      </c>
      <c r="G82" s="52"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19.xml><?xml version="1.0" encoding="utf-8"?>
<worksheet xmlns="http://schemas.openxmlformats.org/spreadsheetml/2006/main">
  <dimension ref="B2:L129"/>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2.70703125" customWidth="true"/>
    <col min="8" max="8" width="50.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413</v>
      </c>
    </row>
    <row r="6">
      <c r="B6" t="s" s="1">
        <v>8</v>
      </c>
      <c r="C6" t="s">
        <v>9</v>
      </c>
    </row>
    <row r="7">
      <c r="B7" t="s" s="1">
        <v>10</v>
      </c>
      <c r="C7" t="s">
        <v>9</v>
      </c>
    </row>
    <row r="8">
      <c r="B8" t="s" s="1">
        <v>11</v>
      </c>
      <c r="C8" t="s">
        <v>12</v>
      </c>
    </row>
    <row r="10">
      <c r="I10" t="s" s="4">
        <v>414</v>
      </c>
      <c r="J10" s="24"/>
      <c r="K10" s="25"/>
    </row>
    <row r="11">
      <c r="I11" t="s" s="29">
        <v>415</v>
      </c>
      <c r="J11" t="s" s="6">
        <v>416</v>
      </c>
      <c r="K11" s="29" t="s">
        <v>417</v>
      </c>
    </row>
    <row r="12">
      <c r="B12" s="7" t="s">
        <v>418</v>
      </c>
      <c r="C12" s="32"/>
      <c r="D12" s="32"/>
      <c r="E12" s="32"/>
      <c r="F12" s="32"/>
      <c r="G12" s="32"/>
      <c r="H12" s="8"/>
      <c r="I12" s="18"/>
      <c r="J12" s="18"/>
      <c r="K12" s="18"/>
    </row>
    <row r="13">
      <c r="B13" s="9"/>
      <c r="C13" s="33" t="s">
        <v>419</v>
      </c>
      <c r="D13" s="34"/>
      <c r="E13" s="34"/>
      <c r="F13" s="34"/>
      <c r="G13" s="34"/>
      <c r="H13" s="35"/>
      <c r="I13" s="17"/>
      <c r="J13" s="17"/>
      <c r="K13" s="17"/>
    </row>
    <row r="14">
      <c r="B14" s="9"/>
      <c r="C14" s="36"/>
      <c r="D14" s="7" t="s">
        <v>420</v>
      </c>
      <c r="E14" s="32"/>
      <c r="F14" s="32"/>
      <c r="G14" s="32"/>
      <c r="H14" s="8"/>
      <c r="I14" s="18"/>
      <c r="J14" s="18"/>
      <c r="K14" s="18"/>
    </row>
    <row r="15">
      <c r="B15" s="9"/>
      <c r="C15" s="36"/>
      <c r="D15" s="9"/>
      <c r="E15" s="37" t="s">
        <v>421</v>
      </c>
      <c r="F15" s="34"/>
      <c r="G15" s="34"/>
      <c r="H15" s="35"/>
      <c r="I15" s="46" t="n"/>
      <c r="J15" s="17"/>
      <c r="K15" s="17"/>
    </row>
    <row r="16">
      <c r="B16" s="9"/>
      <c r="C16" s="36"/>
      <c r="D16" s="9"/>
      <c r="E16" s="10" t="s">
        <v>422</v>
      </c>
      <c r="F16" s="32"/>
      <c r="G16" s="32"/>
      <c r="H16" s="8"/>
      <c r="I16" s="47" t="n"/>
      <c r="J16" s="18"/>
      <c r="K16" s="18"/>
    </row>
    <row r="17">
      <c r="B17" s="9"/>
      <c r="C17" s="36"/>
      <c r="D17" s="9"/>
      <c r="E17" s="37" t="s">
        <v>423</v>
      </c>
      <c r="F17" s="34"/>
      <c r="G17" s="34"/>
      <c r="H17" s="35"/>
      <c r="I17" s="46" t="n"/>
      <c r="J17" s="17"/>
      <c r="K17" s="17"/>
    </row>
    <row r="18">
      <c r="B18" s="9"/>
      <c r="C18" s="36"/>
      <c r="D18" s="10"/>
      <c r="E18" s="40" t="s">
        <v>424</v>
      </c>
      <c r="F18" s="45"/>
      <c r="G18" s="45"/>
      <c r="H18" s="39"/>
      <c r="I18" s="47" t="n">
        <f>SUM(I15:I17)</f>
      </c>
      <c r="J18" s="47" t="n"/>
      <c r="K18" s="47" t="n"/>
    </row>
    <row r="19">
      <c r="B19" s="9"/>
      <c r="C19" s="36"/>
      <c r="D19" s="33" t="s">
        <v>425</v>
      </c>
      <c r="E19" s="34"/>
      <c r="F19" s="34"/>
      <c r="G19" s="34"/>
      <c r="H19" s="35"/>
      <c r="I19" s="17"/>
      <c r="J19" s="17"/>
      <c r="K19" s="17"/>
    </row>
    <row r="20">
      <c r="B20" s="9"/>
      <c r="C20" s="36"/>
      <c r="D20" s="36"/>
      <c r="E20" s="10" t="s">
        <v>426</v>
      </c>
      <c r="F20" s="32"/>
      <c r="G20" s="32"/>
      <c r="H20" s="8"/>
      <c r="I20" s="47" t="n"/>
      <c r="J20" s="18"/>
      <c r="K20" s="18"/>
    </row>
    <row r="21">
      <c r="B21" s="9"/>
      <c r="C21" s="36"/>
      <c r="D21" s="36"/>
      <c r="E21" s="37" t="s">
        <v>427</v>
      </c>
      <c r="F21" s="34"/>
      <c r="G21" s="34"/>
      <c r="H21" s="35"/>
      <c r="I21" s="46" t="n"/>
      <c r="J21" s="17"/>
      <c r="K21" s="17"/>
    </row>
    <row r="22">
      <c r="B22" s="9"/>
      <c r="C22" s="36"/>
      <c r="D22" s="36"/>
      <c r="E22" s="10" t="s">
        <v>423</v>
      </c>
      <c r="F22" s="32"/>
      <c r="G22" s="32"/>
      <c r="H22" s="8"/>
      <c r="I22" s="47" t="n"/>
      <c r="J22" s="18"/>
      <c r="K22" s="18"/>
    </row>
    <row r="23">
      <c r="B23" s="9"/>
      <c r="C23" s="36"/>
      <c r="D23" s="37"/>
      <c r="E23" s="44" t="s">
        <v>428</v>
      </c>
      <c r="F23" s="42"/>
      <c r="G23" s="42"/>
      <c r="H23" s="43"/>
      <c r="I23" s="46" t="n">
        <f>SUM(I20:I22)</f>
      </c>
      <c r="J23" s="46" t="n"/>
      <c r="K23" s="46" t="n"/>
    </row>
    <row r="24">
      <c r="B24" s="9"/>
      <c r="C24" s="36"/>
      <c r="D24" s="7" t="s">
        <v>429</v>
      </c>
      <c r="E24" s="32"/>
      <c r="F24" s="32"/>
      <c r="G24" s="32"/>
      <c r="H24" s="8"/>
      <c r="I24" s="18"/>
      <c r="J24" s="18"/>
      <c r="K24" s="18"/>
    </row>
    <row r="25">
      <c r="B25" s="9"/>
      <c r="C25" s="36"/>
      <c r="D25" s="9"/>
      <c r="E25" s="37" t="s">
        <v>430</v>
      </c>
      <c r="F25" s="34"/>
      <c r="G25" s="34"/>
      <c r="H25" s="35"/>
      <c r="I25" s="46" t="n"/>
      <c r="J25" s="17"/>
      <c r="K25" s="17"/>
    </row>
    <row r="26">
      <c r="B26" s="9"/>
      <c r="C26" s="36"/>
      <c r="D26" s="9"/>
      <c r="E26" s="10" t="s">
        <v>334</v>
      </c>
      <c r="F26" s="32"/>
      <c r="G26" s="32"/>
      <c r="H26" s="8"/>
      <c r="I26" s="47" t="n"/>
      <c r="J26" s="18"/>
      <c r="K26" s="18"/>
    </row>
    <row r="27">
      <c r="B27" s="9"/>
      <c r="C27" s="36"/>
      <c r="D27" s="9"/>
      <c r="E27" s="37" t="s">
        <v>431</v>
      </c>
      <c r="F27" s="34"/>
      <c r="G27" s="34"/>
      <c r="H27" s="35"/>
      <c r="I27" s="46" t="n"/>
      <c r="J27" s="17"/>
      <c r="K27" s="17"/>
    </row>
    <row r="28">
      <c r="B28" s="9"/>
      <c r="C28" s="36"/>
      <c r="D28" s="9"/>
      <c r="E28" s="10" t="s">
        <v>423</v>
      </c>
      <c r="F28" s="32"/>
      <c r="G28" s="32"/>
      <c r="H28" s="8"/>
      <c r="I28" s="47" t="n"/>
      <c r="J28" s="18"/>
      <c r="K28" s="18"/>
    </row>
    <row r="29">
      <c r="B29" s="9"/>
      <c r="C29" s="36"/>
      <c r="D29" s="9"/>
      <c r="E29" s="37" t="s">
        <v>432</v>
      </c>
      <c r="F29" s="34"/>
      <c r="G29" s="34"/>
      <c r="H29" s="35"/>
      <c r="I29" s="46" t="n"/>
      <c r="J29" s="17"/>
      <c r="K29" s="17"/>
    </row>
    <row r="30">
      <c r="B30" s="9"/>
      <c r="C30" s="36"/>
      <c r="D30" s="9"/>
      <c r="E30" s="10" t="s">
        <v>433</v>
      </c>
      <c r="F30" s="32"/>
      <c r="G30" s="32"/>
      <c r="H30" s="8"/>
      <c r="I30" s="47" t="n"/>
      <c r="J30" s="18"/>
      <c r="K30" s="18"/>
    </row>
    <row r="31">
      <c r="B31" s="9"/>
      <c r="C31" s="36"/>
      <c r="D31" s="9"/>
      <c r="E31" s="37" t="s">
        <v>434</v>
      </c>
      <c r="F31" s="34"/>
      <c r="G31" s="34"/>
      <c r="H31" s="35"/>
      <c r="I31" s="46" t="n"/>
      <c r="J31" s="17"/>
      <c r="K31" s="17"/>
    </row>
    <row r="32">
      <c r="B32" s="9"/>
      <c r="C32" s="36"/>
      <c r="D32" s="9"/>
      <c r="E32" s="10" t="s">
        <v>435</v>
      </c>
      <c r="F32" s="32"/>
      <c r="G32" s="32"/>
      <c r="H32" s="8"/>
      <c r="I32" s="47" t="n"/>
      <c r="J32" s="18"/>
      <c r="K32" s="18"/>
    </row>
    <row r="33">
      <c r="B33" s="9"/>
      <c r="C33" s="36"/>
      <c r="D33" s="9"/>
      <c r="E33" s="37" t="s">
        <v>436</v>
      </c>
      <c r="F33" s="34"/>
      <c r="G33" s="34"/>
      <c r="H33" s="35"/>
      <c r="I33" s="46" t="n"/>
      <c r="J33" s="17"/>
      <c r="K33" s="17"/>
    </row>
    <row r="34">
      <c r="B34" s="9"/>
      <c r="C34" s="36"/>
      <c r="D34" s="9"/>
      <c r="E34" s="10" t="s">
        <v>437</v>
      </c>
      <c r="F34" s="32"/>
      <c r="G34" s="32"/>
      <c r="H34" s="8"/>
      <c r="I34" s="47" t="n"/>
      <c r="J34" s="18"/>
      <c r="K34" s="18"/>
    </row>
    <row r="35">
      <c r="B35" s="9"/>
      <c r="C35" s="36"/>
      <c r="D35" s="9"/>
      <c r="E35" s="37" t="s">
        <v>438</v>
      </c>
      <c r="F35" s="34"/>
      <c r="G35" s="34"/>
      <c r="H35" s="35"/>
      <c r="I35" s="46" t="n"/>
      <c r="J35" s="17"/>
      <c r="K35" s="17"/>
    </row>
    <row r="36">
      <c r="B36" s="9"/>
      <c r="C36" s="36"/>
      <c r="D36" s="9"/>
      <c r="E36" s="10" t="s">
        <v>439</v>
      </c>
      <c r="F36" s="32"/>
      <c r="G36" s="32"/>
      <c r="H36" s="8"/>
      <c r="I36" s="47" t="n"/>
      <c r="J36" s="18"/>
      <c r="K36" s="18"/>
    </row>
    <row r="37">
      <c r="B37" s="9"/>
      <c r="C37" s="36"/>
      <c r="D37" s="9"/>
      <c r="E37" s="37" t="s">
        <v>440</v>
      </c>
      <c r="F37" s="34"/>
      <c r="G37" s="34"/>
      <c r="H37" s="35"/>
      <c r="I37" s="46" t="n"/>
      <c r="J37" s="17"/>
      <c r="K37" s="17"/>
    </row>
    <row r="38">
      <c r="B38" s="9"/>
      <c r="C38" s="36"/>
      <c r="D38" s="9"/>
      <c r="E38" s="10" t="s">
        <v>441</v>
      </c>
      <c r="F38" s="32"/>
      <c r="G38" s="32"/>
      <c r="H38" s="8"/>
      <c r="I38" s="47" t="n"/>
      <c r="J38" s="18"/>
      <c r="K38" s="18"/>
    </row>
    <row r="39">
      <c r="B39" s="9"/>
      <c r="C39" s="36"/>
      <c r="D39" s="9"/>
      <c r="E39" s="37" t="s">
        <v>442</v>
      </c>
      <c r="F39" s="34"/>
      <c r="G39" s="34"/>
      <c r="H39" s="35"/>
      <c r="I39" s="46" t="n"/>
      <c r="J39" s="17"/>
      <c r="K39" s="17"/>
    </row>
    <row r="40">
      <c r="B40" s="9"/>
      <c r="C40" s="36"/>
      <c r="D40" s="10"/>
      <c r="E40" s="40" t="s">
        <v>443</v>
      </c>
      <c r="F40" s="45"/>
      <c r="G40" s="45"/>
      <c r="H40" s="39"/>
      <c r="I40" s="47" t="n">
        <f>SUM(I25:I39)</f>
      </c>
      <c r="J40" s="47" t="n"/>
      <c r="K40" s="47" t="n"/>
    </row>
    <row r="41">
      <c r="B41" s="9"/>
      <c r="C41" s="36"/>
      <c r="D41" s="33" t="s">
        <v>444</v>
      </c>
      <c r="E41" s="34"/>
      <c r="F41" s="34"/>
      <c r="G41" s="34"/>
      <c r="H41" s="35"/>
      <c r="I41" s="17"/>
      <c r="J41" s="17"/>
      <c r="K41" s="17"/>
    </row>
    <row r="42">
      <c r="B42" s="9"/>
      <c r="C42" s="36"/>
      <c r="D42" s="36"/>
      <c r="E42" s="7" t="s">
        <v>445</v>
      </c>
      <c r="F42" s="32"/>
      <c r="G42" s="32"/>
      <c r="H42" s="8"/>
      <c r="I42" s="18"/>
      <c r="J42" s="18"/>
      <c r="K42" s="18"/>
    </row>
    <row r="43">
      <c r="B43" s="9"/>
      <c r="C43" s="36"/>
      <c r="D43" s="36"/>
      <c r="E43" s="9"/>
      <c r="F43" s="33" t="s">
        <v>446</v>
      </c>
      <c r="G43" s="34"/>
      <c r="H43" s="35"/>
      <c r="I43" s="17"/>
      <c r="J43" s="17"/>
      <c r="K43" s="17"/>
    </row>
    <row r="44">
      <c r="B44" s="9"/>
      <c r="C44" s="36"/>
      <c r="D44" s="36"/>
      <c r="E44" s="9"/>
      <c r="F44" s="36"/>
      <c r="G44" s="10" t="s">
        <v>447</v>
      </c>
      <c r="H44" s="8"/>
      <c r="I44" s="47" t="n"/>
      <c r="J44" s="47" t="n"/>
      <c r="K44" s="47" t="n"/>
    </row>
    <row r="45">
      <c r="B45" s="9"/>
      <c r="C45" s="36"/>
      <c r="D45" s="36"/>
      <c r="E45" s="9"/>
      <c r="F45" s="36"/>
      <c r="G45" s="33" t="s">
        <v>448</v>
      </c>
      <c r="H45" s="35"/>
      <c r="I45" s="17"/>
      <c r="J45" s="17"/>
      <c r="K45" s="17"/>
    </row>
    <row r="46">
      <c r="B46" s="9"/>
      <c r="C46" s="36"/>
      <c r="D46" s="36"/>
      <c r="E46" s="9"/>
      <c r="F46" s="36"/>
      <c r="G46" s="36"/>
      <c r="H46" s="14" t="s">
        <v>449</v>
      </c>
      <c r="I46" s="47" t="n"/>
      <c r="J46" s="47" t="n"/>
      <c r="K46" s="47" t="n"/>
    </row>
    <row r="47">
      <c r="B47" s="9"/>
      <c r="C47" s="36"/>
      <c r="D47" s="36"/>
      <c r="E47" s="9"/>
      <c r="F47" s="36"/>
      <c r="G47" s="36"/>
      <c r="H47" s="13" t="s">
        <v>450</v>
      </c>
      <c r="I47" s="46" t="n"/>
      <c r="J47" s="46" t="n"/>
      <c r="K47" s="46" t="n"/>
    </row>
    <row r="48">
      <c r="B48" s="9"/>
      <c r="C48" s="36"/>
      <c r="D48" s="36"/>
      <c r="E48" s="9"/>
      <c r="F48" s="36"/>
      <c r="G48" s="36"/>
      <c r="H48" s="14" t="s">
        <v>451</v>
      </c>
      <c r="I48" s="47" t="n"/>
      <c r="J48" s="47" t="n"/>
      <c r="K48" s="47" t="n"/>
    </row>
    <row r="49">
      <c r="B49" s="9"/>
      <c r="C49" s="36"/>
      <c r="D49" s="36"/>
      <c r="E49" s="9"/>
      <c r="F49" s="36"/>
      <c r="G49" s="36"/>
      <c r="H49" s="13" t="s">
        <v>452</v>
      </c>
      <c r="I49" s="46" t="n"/>
      <c r="J49" s="46" t="n"/>
      <c r="K49" s="46" t="n"/>
    </row>
    <row r="50">
      <c r="B50" s="9"/>
      <c r="C50" s="36"/>
      <c r="D50" s="36"/>
      <c r="E50" s="9"/>
      <c r="F50" s="36"/>
      <c r="G50" s="36"/>
      <c r="H50" s="14" t="s">
        <v>453</v>
      </c>
      <c r="I50" s="47" t="n"/>
      <c r="J50" s="47" t="n"/>
      <c r="K50" s="47" t="n"/>
    </row>
    <row r="51">
      <c r="B51" s="9"/>
      <c r="C51" s="36"/>
      <c r="D51" s="36"/>
      <c r="E51" s="9"/>
      <c r="F51" s="36"/>
      <c r="G51" s="36"/>
      <c r="H51" s="13" t="s">
        <v>454</v>
      </c>
      <c r="I51" s="46" t="n"/>
      <c r="J51" s="46" t="n"/>
      <c r="K51" s="46" t="n"/>
    </row>
    <row r="52">
      <c r="B52" s="9"/>
      <c r="C52" s="36"/>
      <c r="D52" s="36"/>
      <c r="E52" s="9"/>
      <c r="F52" s="36"/>
      <c r="G52" s="37"/>
      <c r="H52" s="51" t="s">
        <v>455</v>
      </c>
      <c r="I52" s="47" t="n">
        <f>SUM(I46:I51)</f>
      </c>
      <c r="J52" s="47" t="n">
        <f>SUM(J46:J51)</f>
      </c>
      <c r="K52" s="47" t="n">
        <f>SUM(K46:K51)</f>
      </c>
    </row>
    <row r="53">
      <c r="B53" s="9"/>
      <c r="C53" s="36"/>
      <c r="D53" s="36"/>
      <c r="E53" s="9"/>
      <c r="F53" s="36"/>
      <c r="G53" s="37" t="s">
        <v>456</v>
      </c>
      <c r="H53" s="35"/>
      <c r="I53" s="46" t="n"/>
      <c r="J53" s="46" t="n"/>
      <c r="K53" s="46" t="n"/>
    </row>
    <row r="54">
      <c r="B54" s="9"/>
      <c r="C54" s="36"/>
      <c r="D54" s="36"/>
      <c r="E54" s="9"/>
      <c r="F54" s="37"/>
      <c r="G54" s="40" t="s">
        <v>457</v>
      </c>
      <c r="H54" s="39"/>
      <c r="I54" s="47" t="n">
        <f>I44+I52+I53</f>
      </c>
      <c r="J54" s="47" t="n">
        <f>J44+J52+J53</f>
      </c>
      <c r="K54" s="47" t="n">
        <f>K44+K52+K53</f>
      </c>
    </row>
    <row r="55">
      <c r="B55" s="9"/>
      <c r="C55" s="36"/>
      <c r="D55" s="36"/>
      <c r="E55" s="9"/>
      <c r="F55" s="37" t="s">
        <v>458</v>
      </c>
      <c r="G55" s="34"/>
      <c r="H55" s="35"/>
      <c r="I55" s="46" t="n"/>
      <c r="J55" s="46" t="n"/>
      <c r="K55" s="46" t="n"/>
    </row>
    <row r="56">
      <c r="B56" s="9"/>
      <c r="C56" s="36"/>
      <c r="D56" s="36"/>
      <c r="E56" s="9"/>
      <c r="F56" s="10" t="s">
        <v>422</v>
      </c>
      <c r="G56" s="32"/>
      <c r="H56" s="8"/>
      <c r="I56" s="47" t="n"/>
      <c r="J56" s="47" t="n"/>
      <c r="K56" s="47" t="n"/>
    </row>
    <row r="57">
      <c r="B57" s="9"/>
      <c r="C57" s="36"/>
      <c r="D57" s="36"/>
      <c r="E57" s="9"/>
      <c r="F57" s="33" t="s">
        <v>459</v>
      </c>
      <c r="G57" s="34"/>
      <c r="H57" s="35"/>
      <c r="I57" s="17"/>
      <c r="J57" s="17"/>
      <c r="K57" s="17"/>
    </row>
    <row r="58">
      <c r="B58" s="9"/>
      <c r="C58" s="36"/>
      <c r="D58" s="36"/>
      <c r="E58" s="9"/>
      <c r="F58" s="36"/>
      <c r="G58" s="10" t="s">
        <v>460</v>
      </c>
      <c r="H58" s="8"/>
      <c r="I58" s="47" t="n"/>
      <c r="J58" s="47" t="n"/>
      <c r="K58" s="47" t="n"/>
    </row>
    <row r="59">
      <c r="B59" s="9"/>
      <c r="C59" s="36"/>
      <c r="D59" s="36"/>
      <c r="E59" s="9"/>
      <c r="F59" s="36"/>
      <c r="G59" s="37" t="s">
        <v>461</v>
      </c>
      <c r="H59" s="35"/>
      <c r="I59" s="46" t="n"/>
      <c r="J59" s="46" t="n"/>
      <c r="K59" s="46" t="n"/>
    </row>
    <row r="60">
      <c r="B60" s="9"/>
      <c r="C60" s="36"/>
      <c r="D60" s="36"/>
      <c r="E60" s="9"/>
      <c r="F60" s="37"/>
      <c r="G60" s="40" t="s">
        <v>462</v>
      </c>
      <c r="H60" s="39"/>
      <c r="I60" s="47" t="n">
        <f>I58+I59</f>
      </c>
      <c r="J60" s="47" t="n">
        <f>J58+J59</f>
      </c>
      <c r="K60" s="47" t="n">
        <f>K58+K59</f>
      </c>
    </row>
    <row r="61">
      <c r="B61" s="9"/>
      <c r="C61" s="36"/>
      <c r="D61" s="36"/>
      <c r="E61" s="10"/>
      <c r="F61" s="44" t="s">
        <v>463</v>
      </c>
      <c r="G61" s="42"/>
      <c r="H61" s="43"/>
      <c r="I61" s="46" t="n">
        <f>SUM(I54:I56)+I60</f>
      </c>
      <c r="J61" s="46" t="n">
        <f>SUM(J54:J56)+J60</f>
      </c>
      <c r="K61" s="46" t="n">
        <f>SUM(K54:K56)+K60</f>
      </c>
    </row>
    <row r="62">
      <c r="B62" s="9"/>
      <c r="C62" s="36"/>
      <c r="D62" s="36"/>
      <c r="E62" s="7" t="s">
        <v>464</v>
      </c>
      <c r="F62" s="32"/>
      <c r="G62" s="32"/>
      <c r="H62" s="8"/>
      <c r="I62" s="18"/>
      <c r="J62" s="18"/>
      <c r="K62" s="18"/>
    </row>
    <row r="63">
      <c r="B63" s="9"/>
      <c r="C63" s="36"/>
      <c r="D63" s="36"/>
      <c r="E63" s="9"/>
      <c r="F63" s="37" t="s">
        <v>465</v>
      </c>
      <c r="G63" s="34"/>
      <c r="H63" s="35"/>
      <c r="I63" s="46" t="n"/>
      <c r="J63" s="46" t="n"/>
      <c r="K63" s="46" t="n"/>
    </row>
    <row r="64">
      <c r="B64" s="9"/>
      <c r="C64" s="36"/>
      <c r="D64" s="36"/>
      <c r="E64" s="9"/>
      <c r="F64" s="10" t="s">
        <v>422</v>
      </c>
      <c r="G64" s="32"/>
      <c r="H64" s="8"/>
      <c r="I64" s="47" t="n"/>
      <c r="J64" s="47" t="n"/>
      <c r="K64" s="47" t="n"/>
    </row>
    <row r="65">
      <c r="B65" s="9"/>
      <c r="C65" s="36"/>
      <c r="D65" s="36"/>
      <c r="E65" s="9"/>
      <c r="F65" s="37" t="s">
        <v>423</v>
      </c>
      <c r="G65" s="34"/>
      <c r="H65" s="35"/>
      <c r="I65" s="46" t="n"/>
      <c r="J65" s="46" t="n"/>
      <c r="K65" s="46" t="n"/>
    </row>
    <row r="66">
      <c r="B66" s="9"/>
      <c r="C66" s="36"/>
      <c r="D66" s="36"/>
      <c r="E66" s="10"/>
      <c r="F66" s="40" t="s">
        <v>466</v>
      </c>
      <c r="G66" s="45"/>
      <c r="H66" s="39"/>
      <c r="I66" s="47" t="n">
        <f>SUM(I63:I65)</f>
      </c>
      <c r="J66" s="47" t="n">
        <f>SUM(J63:J65)</f>
      </c>
      <c r="K66" s="47" t="n">
        <f>SUM(K63:K65)</f>
      </c>
    </row>
    <row r="67">
      <c r="B67" s="9"/>
      <c r="C67" s="36"/>
      <c r="D67" s="37"/>
      <c r="E67" s="44" t="s">
        <v>467</v>
      </c>
      <c r="F67" s="42"/>
      <c r="G67" s="42"/>
      <c r="H67" s="43"/>
      <c r="I67" s="46" t="n">
        <f>I61+I66</f>
      </c>
      <c r="J67" s="46" t="n">
        <f>J61+J66</f>
      </c>
      <c r="K67" s="46" t="n">
        <f>K61+K66</f>
      </c>
    </row>
    <row r="68">
      <c r="B68" s="9"/>
      <c r="C68" s="36"/>
      <c r="D68" s="7" t="s">
        <v>468</v>
      </c>
      <c r="E68" s="32"/>
      <c r="F68" s="32"/>
      <c r="G68" s="32"/>
      <c r="H68" s="8"/>
      <c r="I68" s="18"/>
      <c r="J68" s="18"/>
      <c r="K68" s="18"/>
    </row>
    <row r="69">
      <c r="B69" s="9"/>
      <c r="C69" s="36"/>
      <c r="D69" s="9"/>
      <c r="E69" s="33" t="s">
        <v>469</v>
      </c>
      <c r="F69" s="34"/>
      <c r="G69" s="34"/>
      <c r="H69" s="35"/>
      <c r="I69" s="17"/>
      <c r="J69" s="17"/>
      <c r="K69" s="17"/>
    </row>
    <row r="70">
      <c r="B70" s="9"/>
      <c r="C70" s="36"/>
      <c r="D70" s="9"/>
      <c r="E70" s="36"/>
      <c r="F70" s="10" t="s">
        <v>470</v>
      </c>
      <c r="G70" s="32"/>
      <c r="H70" s="8"/>
      <c r="I70" s="47" t="n"/>
      <c r="J70" s="47" t="n"/>
      <c r="K70" s="47" t="n"/>
    </row>
    <row r="71">
      <c r="B71" s="9"/>
      <c r="C71" s="36"/>
      <c r="D71" s="9"/>
      <c r="E71" s="36"/>
      <c r="F71" s="37" t="s">
        <v>471</v>
      </c>
      <c r="G71" s="34"/>
      <c r="H71" s="35"/>
      <c r="I71" s="46" t="n"/>
      <c r="J71" s="46" t="n"/>
      <c r="K71" s="46" t="n"/>
    </row>
    <row r="72">
      <c r="B72" s="9"/>
      <c r="C72" s="36"/>
      <c r="D72" s="9"/>
      <c r="E72" s="36"/>
      <c r="F72" s="10" t="s">
        <v>472</v>
      </c>
      <c r="G72" s="32"/>
      <c r="H72" s="8"/>
      <c r="I72" s="47" t="n"/>
      <c r="J72" s="47" t="n"/>
      <c r="K72" s="47" t="n"/>
    </row>
    <row r="73">
      <c r="B73" s="9"/>
      <c r="C73" s="36"/>
      <c r="D73" s="9"/>
      <c r="E73" s="36"/>
      <c r="F73" s="37" t="s">
        <v>473</v>
      </c>
      <c r="G73" s="34"/>
      <c r="H73" s="35"/>
      <c r="I73" s="46" t="n"/>
      <c r="J73" s="46" t="n"/>
      <c r="K73" s="46" t="n"/>
    </row>
    <row r="74">
      <c r="B74" s="9"/>
      <c r="C74" s="36"/>
      <c r="D74" s="9"/>
      <c r="E74" s="36"/>
      <c r="F74" s="10" t="s">
        <v>474</v>
      </c>
      <c r="G74" s="32"/>
      <c r="H74" s="8"/>
      <c r="I74" s="47" t="n"/>
      <c r="J74" s="47" t="n"/>
      <c r="K74" s="47" t="n"/>
    </row>
    <row r="75">
      <c r="B75" s="9"/>
      <c r="C75" s="36"/>
      <c r="D75" s="9"/>
      <c r="E75" s="36"/>
      <c r="F75" s="37" t="s">
        <v>475</v>
      </c>
      <c r="G75" s="34"/>
      <c r="H75" s="35"/>
      <c r="I75" s="46" t="n"/>
      <c r="J75" s="46" t="n"/>
      <c r="K75" s="46" t="n"/>
    </row>
    <row r="76">
      <c r="B76" s="9"/>
      <c r="C76" s="36"/>
      <c r="D76" s="9"/>
      <c r="E76" s="36"/>
      <c r="F76" s="10" t="s">
        <v>476</v>
      </c>
      <c r="G76" s="32"/>
      <c r="H76" s="8"/>
      <c r="I76" s="47" t="n"/>
      <c r="J76" s="47" t="n"/>
      <c r="K76" s="47" t="n"/>
    </row>
    <row r="77">
      <c r="B77" s="9"/>
      <c r="C77" s="36"/>
      <c r="D77" s="9"/>
      <c r="E77" s="36"/>
      <c r="F77" s="37" t="s">
        <v>477</v>
      </c>
      <c r="G77" s="34"/>
      <c r="H77" s="35"/>
      <c r="I77" s="46" t="n"/>
      <c r="J77" s="46" t="n"/>
      <c r="K77" s="46" t="n"/>
    </row>
    <row r="78">
      <c r="B78" s="9"/>
      <c r="C78" s="36"/>
      <c r="D78" s="9"/>
      <c r="E78" s="36"/>
      <c r="F78" s="10" t="s">
        <v>478</v>
      </c>
      <c r="G78" s="32"/>
      <c r="H78" s="8"/>
      <c r="I78" s="47" t="n"/>
      <c r="J78" s="47" t="n"/>
      <c r="K78" s="47" t="n"/>
    </row>
    <row r="79">
      <c r="B79" s="9"/>
      <c r="C79" s="36"/>
      <c r="D79" s="9"/>
      <c r="E79" s="36"/>
      <c r="F79" s="37" t="s">
        <v>479</v>
      </c>
      <c r="G79" s="34"/>
      <c r="H79" s="35"/>
      <c r="I79" s="46" t="n"/>
      <c r="J79" s="46" t="n"/>
      <c r="K79" s="46" t="n"/>
    </row>
    <row r="80">
      <c r="B80" s="9"/>
      <c r="C80" s="36"/>
      <c r="D80" s="9"/>
      <c r="E80" s="36"/>
      <c r="F80" s="10" t="s">
        <v>480</v>
      </c>
      <c r="G80" s="32"/>
      <c r="H80" s="8"/>
      <c r="I80" s="47" t="n"/>
      <c r="J80" s="47" t="n"/>
      <c r="K80" s="47" t="n"/>
    </row>
    <row r="81">
      <c r="B81" s="9"/>
      <c r="C81" s="36"/>
      <c r="D81" s="9"/>
      <c r="E81" s="37"/>
      <c r="F81" s="44" t="s">
        <v>481</v>
      </c>
      <c r="G81" s="42"/>
      <c r="H81" s="43"/>
      <c r="I81" s="46" t="n">
        <f>SUM(I70:I80)</f>
      </c>
      <c r="J81" s="46" t="n">
        <f>SUM(J70:J80)</f>
      </c>
      <c r="K81" s="46" t="n">
        <f>SUM(K70:K80)</f>
      </c>
    </row>
    <row r="82">
      <c r="B82" s="9"/>
      <c r="C82" s="36"/>
      <c r="D82" s="9"/>
      <c r="E82" s="7" t="s">
        <v>482</v>
      </c>
      <c r="F82" s="32"/>
      <c r="G82" s="32"/>
      <c r="H82" s="8"/>
      <c r="I82" s="18"/>
      <c r="J82" s="18"/>
      <c r="K82" s="18"/>
    </row>
    <row r="83">
      <c r="B83" s="9"/>
      <c r="C83" s="36"/>
      <c r="D83" s="9"/>
      <c r="E83" s="9"/>
      <c r="F83" s="37" t="s">
        <v>483</v>
      </c>
      <c r="G83" s="34"/>
      <c r="H83" s="35"/>
      <c r="I83" s="46" t="n"/>
      <c r="J83" s="46" t="n"/>
      <c r="K83" s="46" t="n"/>
    </row>
    <row r="84">
      <c r="B84" s="9"/>
      <c r="C84" s="36"/>
      <c r="D84" s="9"/>
      <c r="E84" s="9"/>
      <c r="F84" s="10" t="s">
        <v>484</v>
      </c>
      <c r="G84" s="32"/>
      <c r="H84" s="8"/>
      <c r="I84" s="47" t="n"/>
      <c r="J84" s="47" t="n"/>
      <c r="K84" s="47" t="n"/>
    </row>
    <row r="85">
      <c r="B85" s="9"/>
      <c r="C85" s="36"/>
      <c r="D85" s="9"/>
      <c r="E85" s="9"/>
      <c r="F85" s="37" t="s">
        <v>485</v>
      </c>
      <c r="G85" s="34"/>
      <c r="H85" s="35"/>
      <c r="I85" s="46" t="n"/>
      <c r="J85" s="46" t="n"/>
      <c r="K85" s="46" t="n"/>
    </row>
    <row r="86">
      <c r="B86" s="9"/>
      <c r="C86" s="36"/>
      <c r="D86" s="9"/>
      <c r="E86" s="9"/>
      <c r="F86" s="10" t="s">
        <v>486</v>
      </c>
      <c r="G86" s="32"/>
      <c r="H86" s="8"/>
      <c r="I86" s="47" t="n"/>
      <c r="J86" s="47" t="n"/>
      <c r="K86" s="47" t="n"/>
    </row>
    <row r="87">
      <c r="B87" s="9"/>
      <c r="C87" s="36"/>
      <c r="D87" s="9"/>
      <c r="E87" s="9"/>
      <c r="F87" s="37" t="s">
        <v>487</v>
      </c>
      <c r="G87" s="34"/>
      <c r="H87" s="35"/>
      <c r="I87" s="46" t="n"/>
      <c r="J87" s="46" t="n"/>
      <c r="K87" s="46" t="n"/>
    </row>
    <row r="88">
      <c r="B88" s="9"/>
      <c r="C88" s="36"/>
      <c r="D88" s="9"/>
      <c r="E88" s="9"/>
      <c r="F88" s="10" t="s">
        <v>480</v>
      </c>
      <c r="G88" s="32"/>
      <c r="H88" s="8"/>
      <c r="I88" s="47" t="n"/>
      <c r="J88" s="47" t="n"/>
      <c r="K88" s="47" t="n"/>
    </row>
    <row r="89">
      <c r="B89" s="9"/>
      <c r="C89" s="36"/>
      <c r="D89" s="9"/>
      <c r="E89" s="10"/>
      <c r="F89" s="44" t="s">
        <v>488</v>
      </c>
      <c r="G89" s="42"/>
      <c r="H89" s="43"/>
      <c r="I89" s="46" t="n">
        <f>SUM(I83:I88)</f>
      </c>
      <c r="J89" s="46" t="n">
        <f>SUM(J83:J88)</f>
      </c>
      <c r="K89" s="46" t="n">
        <f>SUM(K83:K88)</f>
      </c>
    </row>
    <row r="90">
      <c r="B90" s="9"/>
      <c r="C90" s="36"/>
      <c r="D90" s="9"/>
      <c r="E90" s="7" t="s">
        <v>489</v>
      </c>
      <c r="F90" s="32"/>
      <c r="G90" s="32"/>
      <c r="H90" s="8"/>
      <c r="I90" s="18"/>
      <c r="J90" s="18"/>
      <c r="K90" s="18"/>
    </row>
    <row r="91">
      <c r="B91" s="9"/>
      <c r="C91" s="36"/>
      <c r="D91" s="9"/>
      <c r="E91" s="9"/>
      <c r="F91" s="37" t="s">
        <v>490</v>
      </c>
      <c r="G91" s="34"/>
      <c r="H91" s="35"/>
      <c r="I91" s="46" t="n"/>
      <c r="J91" s="46" t="n"/>
      <c r="K91" s="46" t="n"/>
    </row>
    <row r="92">
      <c r="B92" s="9"/>
      <c r="C92" s="36"/>
      <c r="D92" s="9"/>
      <c r="E92" s="9"/>
      <c r="F92" s="10" t="s">
        <v>491</v>
      </c>
      <c r="G92" s="32"/>
      <c r="H92" s="8"/>
      <c r="I92" s="47" t="n"/>
      <c r="J92" s="47" t="n"/>
      <c r="K92" s="47" t="n"/>
    </row>
    <row r="93">
      <c r="B93" s="9"/>
      <c r="C93" s="36"/>
      <c r="D93" s="9"/>
      <c r="E93" s="9"/>
      <c r="F93" s="37" t="s">
        <v>492</v>
      </c>
      <c r="G93" s="34"/>
      <c r="H93" s="35"/>
      <c r="I93" s="46" t="n"/>
      <c r="J93" s="46" t="n"/>
      <c r="K93" s="46" t="n"/>
    </row>
    <row r="94">
      <c r="B94" s="9"/>
      <c r="C94" s="36"/>
      <c r="D94" s="9"/>
      <c r="E94" s="10"/>
      <c r="F94" s="40" t="s">
        <v>493</v>
      </c>
      <c r="G94" s="45"/>
      <c r="H94" s="39"/>
      <c r="I94" s="47" t="n">
        <f>SUM(I91:I93)</f>
      </c>
      <c r="J94" s="47" t="n">
        <f>SUM(J91:J93)</f>
      </c>
      <c r="K94" s="47" t="n">
        <f>SUM(K91:K93)</f>
      </c>
    </row>
    <row r="95">
      <c r="B95" s="9"/>
      <c r="C95" s="36"/>
      <c r="D95" s="9"/>
      <c r="E95" s="33" t="s">
        <v>459</v>
      </c>
      <c r="F95" s="34"/>
      <c r="G95" s="34"/>
      <c r="H95" s="35"/>
      <c r="I95" s="17"/>
      <c r="J95" s="17"/>
      <c r="K95" s="17"/>
    </row>
    <row r="96">
      <c r="B96" s="9"/>
      <c r="C96" s="36"/>
      <c r="D96" s="9"/>
      <c r="E96" s="36"/>
      <c r="F96" s="10" t="s">
        <v>494</v>
      </c>
      <c r="G96" s="32"/>
      <c r="H96" s="8"/>
      <c r="I96" s="47" t="n"/>
      <c r="J96" s="47" t="n"/>
      <c r="K96" s="47" t="n"/>
    </row>
    <row r="97">
      <c r="B97" s="9"/>
      <c r="C97" s="36"/>
      <c r="D97" s="9"/>
      <c r="E97" s="36"/>
      <c r="F97" s="37" t="s">
        <v>495</v>
      </c>
      <c r="G97" s="34"/>
      <c r="H97" s="35"/>
      <c r="I97" s="46" t="n"/>
      <c r="J97" s="46" t="n"/>
      <c r="K97" s="46" t="n"/>
    </row>
    <row r="98">
      <c r="B98" s="9"/>
      <c r="C98" s="36"/>
      <c r="D98" s="9"/>
      <c r="E98" s="36"/>
      <c r="F98" s="10" t="s">
        <v>471</v>
      </c>
      <c r="G98" s="32"/>
      <c r="H98" s="8"/>
      <c r="I98" s="47" t="n"/>
      <c r="J98" s="47" t="n"/>
      <c r="K98" s="47" t="n"/>
    </row>
    <row r="99">
      <c r="B99" s="9"/>
      <c r="C99" s="36"/>
      <c r="D99" s="9"/>
      <c r="E99" s="36"/>
      <c r="F99" s="37" t="s">
        <v>477</v>
      </c>
      <c r="G99" s="34"/>
      <c r="H99" s="35"/>
      <c r="I99" s="46" t="n"/>
      <c r="J99" s="46" t="n"/>
      <c r="K99" s="46" t="n"/>
    </row>
    <row r="100">
      <c r="B100" s="9"/>
      <c r="C100" s="36"/>
      <c r="D100" s="9"/>
      <c r="E100" s="36"/>
      <c r="F100" s="10" t="s">
        <v>484</v>
      </c>
      <c r="G100" s="32"/>
      <c r="H100" s="8"/>
      <c r="I100" s="47" t="n"/>
      <c r="J100" s="47" t="n"/>
      <c r="K100" s="47" t="n"/>
    </row>
    <row r="101">
      <c r="B101" s="9"/>
      <c r="C101" s="36"/>
      <c r="D101" s="9"/>
      <c r="E101" s="36"/>
      <c r="F101" s="37" t="s">
        <v>476</v>
      </c>
      <c r="G101" s="34"/>
      <c r="H101" s="35"/>
      <c r="I101" s="46" t="n"/>
      <c r="J101" s="46" t="n"/>
      <c r="K101" s="46" t="n"/>
    </row>
    <row r="102">
      <c r="B102" s="9"/>
      <c r="C102" s="36"/>
      <c r="D102" s="9"/>
      <c r="E102" s="36"/>
      <c r="F102" s="10" t="s">
        <v>485</v>
      </c>
      <c r="G102" s="32"/>
      <c r="H102" s="8"/>
      <c r="I102" s="47" t="n"/>
      <c r="J102" s="47" t="n"/>
      <c r="K102" s="47" t="n"/>
    </row>
    <row r="103">
      <c r="B103" s="9"/>
      <c r="C103" s="36"/>
      <c r="D103" s="9"/>
      <c r="E103" s="36"/>
      <c r="F103" s="37" t="s">
        <v>478</v>
      </c>
      <c r="G103" s="34"/>
      <c r="H103" s="35"/>
      <c r="I103" s="46" t="n"/>
      <c r="J103" s="46" t="n"/>
      <c r="K103" s="46" t="n"/>
    </row>
    <row r="104">
      <c r="B104" s="9"/>
      <c r="C104" s="36"/>
      <c r="D104" s="9"/>
      <c r="E104" s="36"/>
      <c r="F104" s="10" t="s">
        <v>480</v>
      </c>
      <c r="G104" s="32"/>
      <c r="H104" s="8"/>
      <c r="I104" s="47" t="n"/>
      <c r="J104" s="47" t="n"/>
      <c r="K104" s="47" t="n"/>
    </row>
    <row r="105">
      <c r="B105" s="9"/>
      <c r="C105" s="36"/>
      <c r="D105" s="9"/>
      <c r="E105" s="37"/>
      <c r="F105" s="44" t="s">
        <v>462</v>
      </c>
      <c r="G105" s="42"/>
      <c r="H105" s="43"/>
      <c r="I105" s="46" t="n">
        <f>SUM(I96:I104)</f>
      </c>
      <c r="J105" s="46" t="n">
        <f>SUM(J96:J104)</f>
      </c>
      <c r="K105" s="46" t="n">
        <f>SUM(K96:K104)</f>
      </c>
    </row>
    <row r="106">
      <c r="B106" s="9"/>
      <c r="C106" s="36"/>
      <c r="D106" s="9"/>
      <c r="E106" s="7" t="s">
        <v>496</v>
      </c>
      <c r="F106" s="32"/>
      <c r="G106" s="32"/>
      <c r="H106" s="8"/>
      <c r="I106" s="18"/>
      <c r="J106" s="18"/>
      <c r="K106" s="18"/>
    </row>
    <row r="107">
      <c r="B107" s="9"/>
      <c r="C107" s="36"/>
      <c r="D107" s="9"/>
      <c r="E107" s="9"/>
      <c r="F107" s="37" t="s">
        <v>497</v>
      </c>
      <c r="G107" s="34"/>
      <c r="H107" s="35"/>
      <c r="I107" s="46" t="n"/>
      <c r="J107" s="46" t="n"/>
      <c r="K107" s="46" t="n"/>
    </row>
    <row r="108">
      <c r="B108" s="9"/>
      <c r="C108" s="36"/>
      <c r="D108" s="9"/>
      <c r="E108" s="9"/>
      <c r="F108" s="10" t="s">
        <v>480</v>
      </c>
      <c r="G108" s="32"/>
      <c r="H108" s="8"/>
      <c r="I108" s="47" t="n"/>
      <c r="J108" s="47" t="n"/>
      <c r="K108" s="47" t="n"/>
    </row>
    <row r="109">
      <c r="B109" s="9"/>
      <c r="C109" s="36"/>
      <c r="D109" s="9"/>
      <c r="E109" s="10"/>
      <c r="F109" s="44" t="s">
        <v>498</v>
      </c>
      <c r="G109" s="42"/>
      <c r="H109" s="43"/>
      <c r="I109" s="46" t="n">
        <f>I107+I108</f>
      </c>
      <c r="J109" s="46" t="n">
        <f>J107+J108</f>
      </c>
      <c r="K109" s="46" t="n">
        <f>K107+K108</f>
      </c>
    </row>
    <row r="110">
      <c r="B110" s="9"/>
      <c r="C110" s="36"/>
      <c r="D110" s="9"/>
      <c r="E110" s="7" t="s">
        <v>499</v>
      </c>
      <c r="F110" s="32"/>
      <c r="G110" s="32"/>
      <c r="H110" s="8"/>
      <c r="I110" s="18"/>
      <c r="J110" s="18"/>
      <c r="K110" s="18"/>
    </row>
    <row r="111">
      <c r="B111" s="9"/>
      <c r="C111" s="36"/>
      <c r="D111" s="9"/>
      <c r="E111" s="9"/>
      <c r="F111" s="37" t="s">
        <v>500</v>
      </c>
      <c r="G111" s="34"/>
      <c r="H111" s="35"/>
      <c r="I111" s="46" t="n"/>
      <c r="J111" s="46" t="n"/>
      <c r="K111" s="46" t="n"/>
    </row>
    <row r="112">
      <c r="B112" s="9"/>
      <c r="C112" s="36"/>
      <c r="D112" s="9"/>
      <c r="E112" s="9"/>
      <c r="F112" s="10" t="s">
        <v>501</v>
      </c>
      <c r="G112" s="32"/>
      <c r="H112" s="8"/>
      <c r="I112" s="47" t="n"/>
      <c r="J112" s="47" t="n"/>
      <c r="K112" s="47" t="n"/>
    </row>
    <row r="113">
      <c r="B113" s="9"/>
      <c r="C113" s="36"/>
      <c r="D113" s="9"/>
      <c r="E113" s="10"/>
      <c r="F113" s="44" t="s">
        <v>502</v>
      </c>
      <c r="G113" s="42"/>
      <c r="H113" s="43"/>
      <c r="I113" s="46" t="n">
        <f>I111+I112</f>
      </c>
      <c r="J113" s="46" t="n">
        <f>J111+J112</f>
      </c>
      <c r="K113" s="46" t="n">
        <f>K111+K112</f>
      </c>
    </row>
    <row r="114">
      <c r="B114" s="9"/>
      <c r="C114" s="36"/>
      <c r="D114" s="10"/>
      <c r="E114" s="40" t="s">
        <v>503</v>
      </c>
      <c r="F114" s="45"/>
      <c r="G114" s="45"/>
      <c r="H114" s="39"/>
      <c r="I114" s="47" t="n">
        <f>I105+I109+I94+I113+I89+I81</f>
      </c>
      <c r="J114" s="47" t="n">
        <f>J105+J109+J94+J113+J89+J81</f>
      </c>
      <c r="K114" s="47" t="n">
        <f>K105+K109+K94+K113+K89+K81</f>
      </c>
    </row>
    <row r="115">
      <c r="B115" s="9"/>
      <c r="C115" s="36"/>
      <c r="D115" s="33" t="s">
        <v>504</v>
      </c>
      <c r="E115" s="34"/>
      <c r="F115" s="34"/>
      <c r="G115" s="34"/>
      <c r="H115" s="35"/>
      <c r="I115" s="17"/>
      <c r="J115" s="17"/>
      <c r="K115" s="17"/>
    </row>
    <row r="116">
      <c r="B116" s="9"/>
      <c r="C116" s="36"/>
      <c r="D116" s="36"/>
      <c r="E116" s="7" t="s">
        <v>505</v>
      </c>
      <c r="F116" s="32"/>
      <c r="G116" s="32"/>
      <c r="H116" s="8"/>
      <c r="I116" s="18"/>
      <c r="J116" s="18"/>
      <c r="K116" s="18"/>
    </row>
    <row r="117">
      <c r="B117" s="9"/>
      <c r="C117" s="36"/>
      <c r="D117" s="36"/>
      <c r="E117" s="9"/>
      <c r="F117" s="37" t="s">
        <v>506</v>
      </c>
      <c r="G117" s="34"/>
      <c r="H117" s="35"/>
      <c r="I117" s="46" t="n"/>
      <c r="J117" s="46" t="n"/>
      <c r="K117" s="46" t="n"/>
    </row>
    <row r="118">
      <c r="B118" s="9"/>
      <c r="C118" s="36"/>
      <c r="D118" s="36"/>
      <c r="E118" s="9"/>
      <c r="F118" s="10" t="s">
        <v>507</v>
      </c>
      <c r="G118" s="32"/>
      <c r="H118" s="8"/>
      <c r="I118" s="47" t="n"/>
      <c r="J118" s="47" t="n"/>
      <c r="K118" s="47" t="n"/>
    </row>
    <row r="119">
      <c r="B119" s="9"/>
      <c r="C119" s="36"/>
      <c r="D119" s="36"/>
      <c r="E119" s="10"/>
      <c r="F119" s="44" t="s">
        <v>508</v>
      </c>
      <c r="G119" s="42"/>
      <c r="H119" s="43"/>
      <c r="I119" s="46" t="n">
        <f>I117+I118</f>
      </c>
      <c r="J119" s="46" t="n">
        <f>J117+J118</f>
      </c>
      <c r="K119" s="46" t="n">
        <f>K117+K118</f>
      </c>
    </row>
    <row r="120">
      <c r="B120" s="9"/>
      <c r="C120" s="36"/>
      <c r="D120" s="36"/>
      <c r="E120" s="10" t="s">
        <v>422</v>
      </c>
      <c r="F120" s="32"/>
      <c r="G120" s="32"/>
      <c r="H120" s="8"/>
      <c r="I120" s="47" t="n"/>
      <c r="J120" s="47" t="n"/>
      <c r="K120" s="47" t="n"/>
    </row>
    <row r="121">
      <c r="B121" s="9"/>
      <c r="C121" s="36"/>
      <c r="D121" s="36"/>
      <c r="E121" s="37" t="s">
        <v>509</v>
      </c>
      <c r="F121" s="34"/>
      <c r="G121" s="34"/>
      <c r="H121" s="35"/>
      <c r="I121" s="46" t="n"/>
      <c r="J121" s="46" t="n"/>
      <c r="K121" s="46" t="n"/>
    </row>
    <row r="122">
      <c r="B122" s="9"/>
      <c r="C122" s="36"/>
      <c r="D122" s="36"/>
      <c r="E122" s="7" t="s">
        <v>482</v>
      </c>
      <c r="F122" s="32"/>
      <c r="G122" s="32"/>
      <c r="H122" s="8"/>
      <c r="I122" s="18"/>
      <c r="J122" s="18"/>
      <c r="K122" s="18"/>
    </row>
    <row r="123">
      <c r="B123" s="9"/>
      <c r="C123" s="36"/>
      <c r="D123" s="36"/>
      <c r="E123" s="9"/>
      <c r="F123" s="37" t="s">
        <v>510</v>
      </c>
      <c r="G123" s="34"/>
      <c r="H123" s="35"/>
      <c r="I123" s="46" t="n"/>
      <c r="J123" s="46" t="n"/>
      <c r="K123" s="46" t="n"/>
    </row>
    <row r="124">
      <c r="B124" s="9"/>
      <c r="C124" s="36"/>
      <c r="D124" s="36"/>
      <c r="E124" s="9"/>
      <c r="F124" s="10" t="s">
        <v>511</v>
      </c>
      <c r="G124" s="32"/>
      <c r="H124" s="8"/>
      <c r="I124" s="47" t="n"/>
      <c r="J124" s="47" t="n"/>
      <c r="K124" s="47" t="n"/>
    </row>
    <row r="125">
      <c r="B125" s="9"/>
      <c r="C125" s="36"/>
      <c r="D125" s="36"/>
      <c r="E125" s="9"/>
      <c r="F125" s="37" t="s">
        <v>512</v>
      </c>
      <c r="G125" s="34"/>
      <c r="H125" s="35"/>
      <c r="I125" s="46" t="n"/>
      <c r="J125" s="46" t="n"/>
      <c r="K125" s="46" t="n"/>
    </row>
    <row r="126">
      <c r="B126" s="9"/>
      <c r="C126" s="36"/>
      <c r="D126" s="36"/>
      <c r="E126" s="10"/>
      <c r="F126" s="40" t="s">
        <v>488</v>
      </c>
      <c r="G126" s="45"/>
      <c r="H126" s="39"/>
      <c r="I126" s="47" t="n">
        <f>SUM(I123:I125)</f>
      </c>
      <c r="J126" s="47" t="n">
        <f>SUM(J123:J125)</f>
      </c>
      <c r="K126" s="47" t="n">
        <f>SUM(K123:K125)</f>
      </c>
    </row>
    <row r="127">
      <c r="B127" s="9"/>
      <c r="C127" s="36"/>
      <c r="D127" s="37"/>
      <c r="E127" s="44" t="s">
        <v>513</v>
      </c>
      <c r="F127" s="42"/>
      <c r="G127" s="42"/>
      <c r="H127" s="43"/>
      <c r="I127" s="46" t="n">
        <f>SUM(I119:I121)+I126</f>
      </c>
      <c r="J127" s="46" t="n">
        <f>SUM(J119:J121)+J126</f>
      </c>
      <c r="K127" s="46" t="n">
        <f>SUM(K119:K121)+K126</f>
      </c>
    </row>
    <row r="128">
      <c r="B128" s="9"/>
      <c r="C128" s="36"/>
      <c r="D128" s="40" t="s">
        <v>514</v>
      </c>
      <c r="E128" s="45"/>
      <c r="F128" s="45"/>
      <c r="G128" s="45"/>
      <c r="H128" s="39"/>
      <c r="I128" s="47" t="n">
        <f>I40+I127+I18+I67+I23+I114</f>
      </c>
      <c r="J128" s="47" t="n">
        <f>J40+J127+J18+J67+J23+J114</f>
      </c>
      <c r="K128" s="47" t="n">
        <f>K40+K127+K18+K67+K23+K114</f>
      </c>
    </row>
    <row r="129">
      <c r="B129" s="10"/>
      <c r="C129" s="37"/>
      <c r="D129" s="44" t="s">
        <v>515</v>
      </c>
      <c r="E129" s="42"/>
      <c r="F129" s="42"/>
      <c r="G129" s="42"/>
      <c r="H129" s="43"/>
      <c r="I129" s="48" t="n">
        <f>I128</f>
      </c>
      <c r="J129" s="48" t="n">
        <f>J128</f>
      </c>
      <c r="K129" s="48" t="n">
        <f>K128</f>
      </c>
    </row>
  </sheetData>
  <mergeCells>
    <mergeCell ref="I10:K10"/>
    <mergeCell ref="B12:H12"/>
    <mergeCell ref="C13:H13"/>
    <mergeCell ref="D14:H14"/>
    <mergeCell ref="E15:H15"/>
    <mergeCell ref="E16:H16"/>
    <mergeCell ref="E17:H17"/>
    <mergeCell ref="E18:H18"/>
    <mergeCell ref="D19:H19"/>
    <mergeCell ref="E20:H20"/>
    <mergeCell ref="E21:H21"/>
    <mergeCell ref="E22:H22"/>
    <mergeCell ref="E23:H23"/>
    <mergeCell ref="D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D41:H41"/>
    <mergeCell ref="E42:H42"/>
    <mergeCell ref="F43:H43"/>
    <mergeCell ref="G44:H44"/>
    <mergeCell ref="G45:H45"/>
    <mergeCell ref="G53:H53"/>
    <mergeCell ref="G54:H54"/>
    <mergeCell ref="F55:H55"/>
    <mergeCell ref="F56:H56"/>
    <mergeCell ref="F57:H57"/>
    <mergeCell ref="G58:H58"/>
    <mergeCell ref="G59:H59"/>
    <mergeCell ref="G60:H60"/>
    <mergeCell ref="F61:H61"/>
    <mergeCell ref="E62:H62"/>
    <mergeCell ref="F63:H63"/>
    <mergeCell ref="F64:H64"/>
    <mergeCell ref="F65:H65"/>
    <mergeCell ref="F66:H66"/>
    <mergeCell ref="E67:H67"/>
    <mergeCell ref="D68:H68"/>
    <mergeCell ref="E69:H69"/>
    <mergeCell ref="F70:H70"/>
    <mergeCell ref="F71:H71"/>
    <mergeCell ref="F72:H72"/>
    <mergeCell ref="F73:H73"/>
    <mergeCell ref="F74:H74"/>
    <mergeCell ref="F75:H75"/>
    <mergeCell ref="F76:H76"/>
    <mergeCell ref="F77:H77"/>
    <mergeCell ref="F78:H78"/>
    <mergeCell ref="F79:H79"/>
    <mergeCell ref="F80:H80"/>
    <mergeCell ref="F81:H81"/>
    <mergeCell ref="E82:H82"/>
    <mergeCell ref="F83:H83"/>
    <mergeCell ref="F84:H84"/>
    <mergeCell ref="F85:H85"/>
    <mergeCell ref="F86:H86"/>
    <mergeCell ref="F87:H87"/>
    <mergeCell ref="F88:H88"/>
    <mergeCell ref="F89:H89"/>
    <mergeCell ref="E90:H90"/>
    <mergeCell ref="F91:H91"/>
    <mergeCell ref="F92:H92"/>
    <mergeCell ref="F93:H93"/>
    <mergeCell ref="F94:H94"/>
    <mergeCell ref="E95:H95"/>
    <mergeCell ref="F96:H96"/>
    <mergeCell ref="F97:H97"/>
    <mergeCell ref="F98:H98"/>
    <mergeCell ref="F99:H99"/>
    <mergeCell ref="F100:H100"/>
    <mergeCell ref="F101:H101"/>
    <mergeCell ref="F102:H102"/>
    <mergeCell ref="F103:H103"/>
    <mergeCell ref="F104:H104"/>
    <mergeCell ref="F105:H105"/>
    <mergeCell ref="E106:H106"/>
    <mergeCell ref="F107:H107"/>
    <mergeCell ref="F108:H108"/>
    <mergeCell ref="F109:H109"/>
    <mergeCell ref="E110:H110"/>
    <mergeCell ref="F111:H111"/>
    <mergeCell ref="F112:H112"/>
    <mergeCell ref="F113:H113"/>
    <mergeCell ref="E114:H114"/>
    <mergeCell ref="D115:H115"/>
    <mergeCell ref="E116:H116"/>
    <mergeCell ref="F117:H117"/>
    <mergeCell ref="F118:H118"/>
    <mergeCell ref="F119:H119"/>
    <mergeCell ref="E120:H120"/>
    <mergeCell ref="E121:H121"/>
    <mergeCell ref="E122:H122"/>
    <mergeCell ref="F123:H123"/>
    <mergeCell ref="F124:H124"/>
    <mergeCell ref="F125:H125"/>
    <mergeCell ref="F126:H126"/>
    <mergeCell ref="E127:H127"/>
    <mergeCell ref="D128:H128"/>
    <mergeCell ref="D129:H129"/>
  </mergeCells>
  <hyperlinks>
    <hyperlink location="'Indice'!A1" ref="B2"/>
  </hyperlinks>
  <pageMargins bottom="0.75" footer="0.3" header="0.3" left="0.7" right="0.7" top="0.75"/>
</worksheet>
</file>

<file path=xl/worksheets/sheet20.xml><?xml version="1.0" encoding="utf-8"?>
<worksheet xmlns="http://schemas.openxmlformats.org/spreadsheetml/2006/main">
  <dimension ref="B2:Q20"/>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2">
      <c r="B2" t="s" s="2">
        <v>1</v>
      </c>
    </row>
    <row r="3">
      <c r="B3" t="s" s="1">
        <v>3</v>
      </c>
      <c r="C3" t="s">
        <v>4</v>
      </c>
    </row>
    <row r="4">
      <c r="B4" s="1" t="s">
        <v>5</v>
      </c>
      <c r="C4" t="s">
        <v>6</v>
      </c>
    </row>
    <row r="5">
      <c r="B5" t="s" s="1">
        <v>7</v>
      </c>
      <c r="C5" t="s">
        <v>516</v>
      </c>
    </row>
    <row r="6">
      <c r="B6" t="s" s="1">
        <v>8</v>
      </c>
      <c r="C6" t="s">
        <v>9</v>
      </c>
    </row>
    <row r="7">
      <c r="B7" t="s" s="1">
        <v>10</v>
      </c>
      <c r="C7" t="s">
        <v>9</v>
      </c>
    </row>
    <row r="8">
      <c r="B8" t="s" s="1">
        <v>11</v>
      </c>
      <c r="C8" t="s">
        <v>12</v>
      </c>
    </row>
    <row r="10">
      <c r="D10" t="s" s="4">
        <v>517</v>
      </c>
      <c r="E10" s="24"/>
      <c r="F10" s="24"/>
      <c r="G10" s="24"/>
      <c r="H10" s="24"/>
      <c r="I10" s="24"/>
      <c r="J10" s="24"/>
      <c r="K10" s="24"/>
      <c r="L10" s="24"/>
      <c r="M10" s="24"/>
      <c r="N10" s="24"/>
      <c r="O10" s="24"/>
      <c r="P10" s="25"/>
    </row>
    <row r="11">
      <c r="D11" t="s" s="27">
        <v>518</v>
      </c>
      <c r="E11" s="56"/>
      <c r="F11" s="57"/>
      <c r="G11" t="s" s="4">
        <v>521</v>
      </c>
      <c r="H11" s="24"/>
      <c r="I11" s="24"/>
      <c r="J11" s="24"/>
      <c r="K11" s="24"/>
      <c r="L11" s="24"/>
      <c r="M11" s="24"/>
      <c r="N11" s="24"/>
      <c r="O11" s="24"/>
      <c r="P11" s="25"/>
    </row>
    <row r="12">
      <c r="D12" t="s" s="6">
        <v>519</v>
      </c>
      <c r="E12" t="s" s="29">
        <v>520</v>
      </c>
      <c r="F12" s="59"/>
      <c r="G12" t="s" s="29">
        <v>522</v>
      </c>
      <c r="H12" t="s" s="6">
        <v>523</v>
      </c>
      <c r="I12" t="s" s="29">
        <v>524</v>
      </c>
      <c r="J12" t="s" s="6">
        <v>525</v>
      </c>
      <c r="K12" t="s" s="29">
        <v>526</v>
      </c>
      <c r="L12" t="s" s="6">
        <v>527</v>
      </c>
      <c r="M12" t="s" s="29">
        <v>528</v>
      </c>
      <c r="N12" t="s" s="6">
        <v>529</v>
      </c>
      <c r="O12" t="s" s="29">
        <v>530</v>
      </c>
      <c r="P12" s="31"/>
    </row>
    <row r="13">
      <c r="B13" s="7" t="s">
        <v>531</v>
      </c>
      <c r="C13" s="8"/>
      <c r="D13" s="17"/>
      <c r="E13" s="17"/>
      <c r="F13" s="17"/>
      <c r="G13" s="17"/>
      <c r="H13" s="17"/>
      <c r="I13" s="17"/>
      <c r="J13" s="17"/>
      <c r="K13" s="17"/>
      <c r="L13" s="17"/>
      <c r="M13" s="17"/>
      <c r="N13" s="17"/>
      <c r="O13" s="17"/>
      <c r="P13" s="17"/>
    </row>
    <row r="14">
      <c r="B14" s="9"/>
      <c r="C14" s="13" t="s">
        <v>532</v>
      </c>
      <c r="D14" s="47" t="n"/>
      <c r="E14" s="47" t="n"/>
      <c r="F14" s="47" t="n"/>
      <c r="G14" s="47" t="n"/>
      <c r="H14" s="47" t="n"/>
      <c r="I14" s="47" t="n"/>
      <c r="J14" s="47" t="n"/>
      <c r="K14" s="47" t="n"/>
      <c r="L14" s="47" t="n"/>
      <c r="M14" s="47" t="n"/>
      <c r="N14" s="47" t="n"/>
      <c r="O14" s="47" t="n"/>
      <c r="P14" s="47" t="n"/>
    </row>
    <row r="15">
      <c r="B15" s="9"/>
      <c r="C15" s="14" t="s">
        <v>533</v>
      </c>
      <c r="D15" s="46" t="n"/>
      <c r="E15" s="46" t="n"/>
      <c r="F15" s="46" t="n"/>
      <c r="G15" s="46" t="n"/>
      <c r="H15" s="46" t="n"/>
      <c r="I15" s="46" t="n"/>
      <c r="J15" s="46" t="n"/>
      <c r="K15" s="46" t="n"/>
      <c r="L15" s="46" t="n"/>
      <c r="M15" s="46" t="n"/>
      <c r="N15" s="46" t="n"/>
      <c r="O15" s="46" t="n"/>
      <c r="P15" s="46" t="n"/>
    </row>
    <row r="16">
      <c r="B16" s="9"/>
      <c r="C16" s="13" t="s">
        <v>534</v>
      </c>
      <c r="D16" s="47" t="n"/>
      <c r="E16" s="47" t="n"/>
      <c r="F16" s="47" t="n"/>
      <c r="G16" s="47" t="n"/>
      <c r="H16" s="47" t="n"/>
      <c r="I16" s="47" t="n"/>
      <c r="J16" s="47" t="n"/>
      <c r="K16" s="47" t="n"/>
      <c r="L16" s="47" t="n"/>
      <c r="M16" s="47" t="n"/>
      <c r="N16" s="47" t="n"/>
      <c r="O16" s="47" t="n"/>
      <c r="P16" s="47" t="n"/>
    </row>
    <row r="17">
      <c r="B17" s="9"/>
      <c r="C17" s="14" t="s">
        <v>535</v>
      </c>
      <c r="D17" s="46" t="n"/>
      <c r="E17" s="46" t="n"/>
      <c r="F17" s="46" t="n"/>
      <c r="G17" s="46" t="n"/>
      <c r="H17" s="46" t="n"/>
      <c r="I17" s="46" t="n"/>
      <c r="J17" s="46" t="n"/>
      <c r="K17" s="46" t="n"/>
      <c r="L17" s="46" t="n"/>
      <c r="M17" s="46" t="n"/>
      <c r="N17" s="46" t="n"/>
      <c r="O17" s="46" t="n"/>
      <c r="P17" s="46" t="n"/>
    </row>
    <row r="18">
      <c r="B18" s="9"/>
      <c r="C18" s="13" t="s">
        <v>536</v>
      </c>
      <c r="D18" s="47" t="n"/>
      <c r="E18" s="47" t="n"/>
      <c r="F18" s="47" t="n"/>
      <c r="G18" s="47" t="n"/>
      <c r="H18" s="47" t="n"/>
      <c r="I18" s="47" t="n"/>
      <c r="J18" s="47" t="n"/>
      <c r="K18" s="47" t="n"/>
      <c r="L18" s="47" t="n"/>
      <c r="M18" s="47" t="n"/>
      <c r="N18" s="47" t="n"/>
      <c r="O18" s="47" t="n"/>
      <c r="P18" s="47" t="n"/>
    </row>
    <row r="19">
      <c r="B19" s="9"/>
      <c r="C19" s="14" t="s">
        <v>537</v>
      </c>
      <c r="D19" s="46" t="n"/>
      <c r="E19" s="46" t="n"/>
      <c r="F19" s="46" t="n"/>
      <c r="G19" s="46" t="n"/>
      <c r="H19" s="46" t="n"/>
      <c r="I19" s="46" t="n"/>
      <c r="J19" s="46" t="n"/>
      <c r="K19" s="46" t="n"/>
      <c r="L19" s="46" t="n"/>
      <c r="M19" s="46" t="n"/>
      <c r="N19" s="46" t="n"/>
      <c r="O19" s="46" t="n"/>
      <c r="P19" s="46" t="n"/>
    </row>
    <row r="20">
      <c r="B20" s="10"/>
      <c r="C20" s="13" t="s">
        <v>538</v>
      </c>
      <c r="D20" s="52" t="n">
        <f>SUM(D14:D19)</f>
      </c>
      <c r="E20" s="52" t="n">
        <f>SUM(E14:E19)</f>
      </c>
      <c r="F20" s="52" t="n">
        <f>SUM(F14:F19)</f>
      </c>
      <c r="G20" s="52" t="n">
        <f>SUM(G14:G19)</f>
      </c>
      <c r="H20" s="52" t="n">
        <f>SUM(H14:H19)</f>
      </c>
      <c r="I20" s="52" t="n">
        <f>SUM(I14:I19)</f>
      </c>
      <c r="J20" s="52" t="n">
        <f>SUM(J14:J19)</f>
      </c>
      <c r="K20" s="52" t="n">
        <f>SUM(K14:K19)</f>
      </c>
      <c r="L20" s="52" t="n">
        <f>SUM(L14:L19)</f>
      </c>
      <c r="M20" s="52" t="n">
        <f>SUM(M14:M19)</f>
      </c>
      <c r="N20" s="52" t="n">
        <f>SUM(N14:N19)</f>
      </c>
      <c r="O20" s="52" t="n">
        <f>SUM(O14:O19)</f>
      </c>
      <c r="P20" s="52" t="n">
        <f>SUM(P14:P19)</f>
      </c>
    </row>
  </sheetData>
  <mergeCells>
    <mergeCell ref="D10:P10"/>
    <mergeCell ref="D11:F11"/>
    <mergeCell ref="G11:P11"/>
    <mergeCell ref="B13:C13"/>
  </mergeCells>
  <hyperlinks>
    <hyperlink location="'Indice'!A1" ref="B2"/>
  </hyperlinks>
  <pageMargins bottom="0.75" footer="0.3" header="0.3" left="0.7" right="0.7" top="0.75"/>
</worksheet>
</file>

<file path=xl/worksheets/sheet21.xml><?xml version="1.0" encoding="utf-8"?>
<worksheet xmlns="http://schemas.openxmlformats.org/spreadsheetml/2006/main">
  <dimension ref="B2:L31"/>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539</v>
      </c>
    </row>
    <row r="6">
      <c r="B6" t="s" s="1">
        <v>8</v>
      </c>
      <c r="C6" t="s">
        <v>9</v>
      </c>
    </row>
    <row r="7">
      <c r="B7" t="s" s="1">
        <v>10</v>
      </c>
      <c r="C7" t="s">
        <v>9</v>
      </c>
    </row>
    <row r="8">
      <c r="B8" t="s" s="1">
        <v>11</v>
      </c>
      <c r="C8" t="s">
        <v>12</v>
      </c>
    </row>
    <row r="10">
      <c r="E10" t="s" s="4">
        <v>540</v>
      </c>
      <c r="F10" s="24"/>
      <c r="G10" s="24"/>
      <c r="H10" s="24"/>
      <c r="I10" s="24"/>
      <c r="J10" s="24"/>
      <c r="K10" s="25"/>
    </row>
    <row r="11">
      <c r="E11" t="s" s="29">
        <v>27</v>
      </c>
      <c r="F11" t="s" s="6">
        <v>28</v>
      </c>
      <c r="G11" t="s" s="29">
        <v>29</v>
      </c>
      <c r="H11" t="s" s="6">
        <v>30</v>
      </c>
      <c r="I11" t="s" s="29">
        <v>31</v>
      </c>
      <c r="J11" t="s" s="6">
        <v>32</v>
      </c>
      <c r="K11" s="31"/>
    </row>
    <row r="12">
      <c r="B12" s="7" t="s">
        <v>541</v>
      </c>
      <c r="C12" s="32"/>
      <c r="D12" s="8"/>
      <c r="E12" s="18"/>
      <c r="F12" s="18"/>
      <c r="G12" s="18"/>
      <c r="H12" s="18"/>
      <c r="I12" s="18"/>
      <c r="J12" s="18"/>
      <c r="K12" s="18"/>
    </row>
    <row r="13">
      <c r="B13" s="9"/>
      <c r="C13" s="33" t="s">
        <v>542</v>
      </c>
      <c r="D13" s="35"/>
      <c r="E13" s="17"/>
      <c r="F13" s="17"/>
      <c r="G13" s="17"/>
      <c r="H13" s="17"/>
      <c r="I13" s="17"/>
      <c r="J13" s="17"/>
      <c r="K13" s="17"/>
    </row>
    <row r="14">
      <c r="B14" s="9"/>
      <c r="C14" s="36"/>
      <c r="D14" s="14" t="s">
        <v>543</v>
      </c>
      <c r="E14" s="47" t="n"/>
      <c r="F14" s="47" t="n"/>
      <c r="G14" s="47" t="n"/>
      <c r="H14" s="47" t="n"/>
      <c r="I14" s="47" t="n"/>
      <c r="J14" s="47" t="n"/>
      <c r="K14" s="47" t="n"/>
    </row>
    <row r="15">
      <c r="B15" s="9"/>
      <c r="C15" s="36"/>
      <c r="D15" s="13" t="s">
        <v>544</v>
      </c>
      <c r="E15" s="46" t="n"/>
      <c r="F15" s="46" t="n"/>
      <c r="G15" s="46" t="n"/>
      <c r="H15" s="46" t="n"/>
      <c r="I15" s="46" t="n"/>
      <c r="J15" s="46" t="n"/>
      <c r="K15" s="46" t="n"/>
    </row>
    <row r="16">
      <c r="B16" s="9"/>
      <c r="C16" s="36"/>
      <c r="D16" s="14" t="s">
        <v>545</v>
      </c>
      <c r="E16" s="47" t="n"/>
      <c r="F16" s="47" t="n"/>
      <c r="G16" s="47" t="n"/>
      <c r="H16" s="47" t="n"/>
      <c r="I16" s="47" t="n"/>
      <c r="J16" s="47" t="n"/>
      <c r="K16" s="47" t="n"/>
    </row>
    <row r="17">
      <c r="B17" s="9"/>
      <c r="C17" s="37"/>
      <c r="D17" s="13" t="s">
        <v>546</v>
      </c>
      <c r="E17" s="46" t="n">
        <f>SUM(E14:E16)</f>
      </c>
      <c r="F17" s="46" t="n">
        <f>SUM(F14:F16)</f>
      </c>
      <c r="G17" s="46" t="n">
        <f>SUM(G14:G16)</f>
      </c>
      <c r="H17" s="46" t="n">
        <f>SUM(H14:H16)</f>
      </c>
      <c r="I17" s="46" t="n">
        <f>SUM(I14:I16)</f>
      </c>
      <c r="J17" s="46" t="n">
        <f>SUM(J14:J16)</f>
      </c>
      <c r="K17" s="46" t="n">
        <f>SUM(K14:K16)</f>
      </c>
    </row>
    <row r="18">
      <c r="B18" s="9"/>
      <c r="C18" s="7" t="s">
        <v>547</v>
      </c>
      <c r="D18" s="8"/>
      <c r="E18" s="18"/>
      <c r="F18" s="18"/>
      <c r="G18" s="18"/>
      <c r="H18" s="18"/>
      <c r="I18" s="18"/>
      <c r="J18" s="18"/>
      <c r="K18" s="18"/>
    </row>
    <row r="19">
      <c r="B19" s="9"/>
      <c r="C19" s="9"/>
      <c r="D19" s="13" t="s">
        <v>548</v>
      </c>
      <c r="E19" s="46" t="n"/>
      <c r="F19" s="46" t="n"/>
      <c r="G19" s="46" t="n"/>
      <c r="H19" s="46" t="n"/>
      <c r="I19" s="46" t="n"/>
      <c r="J19" s="46" t="n"/>
      <c r="K19" s="46" t="n"/>
    </row>
    <row r="20">
      <c r="B20" s="9"/>
      <c r="C20" s="9"/>
      <c r="D20" s="14" t="s">
        <v>549</v>
      </c>
      <c r="E20" s="47" t="n"/>
      <c r="F20" s="47" t="n"/>
      <c r="G20" s="47" t="n"/>
      <c r="H20" s="47" t="n"/>
      <c r="I20" s="47" t="n"/>
      <c r="J20" s="47" t="n"/>
      <c r="K20" s="47" t="n"/>
    </row>
    <row r="21">
      <c r="B21" s="9"/>
      <c r="C21" s="9"/>
      <c r="D21" s="13" t="s">
        <v>550</v>
      </c>
      <c r="E21" s="46" t="n"/>
      <c r="F21" s="46" t="n"/>
      <c r="G21" s="46" t="n"/>
      <c r="H21" s="46" t="n"/>
      <c r="I21" s="46" t="n"/>
      <c r="J21" s="46" t="n"/>
      <c r="K21" s="46" t="n"/>
    </row>
    <row r="22">
      <c r="B22" s="9"/>
      <c r="C22" s="9"/>
      <c r="D22" s="14" t="s">
        <v>551</v>
      </c>
      <c r="E22" s="47" t="n"/>
      <c r="F22" s="47" t="n"/>
      <c r="G22" s="47" t="n"/>
      <c r="H22" s="47" t="n"/>
      <c r="I22" s="47" t="n"/>
      <c r="J22" s="47" t="n"/>
      <c r="K22" s="47" t="n"/>
    </row>
    <row r="23">
      <c r="B23" s="9"/>
      <c r="C23" s="9"/>
      <c r="D23" s="13" t="s">
        <v>552</v>
      </c>
      <c r="E23" s="46" t="n">
        <f>SUM(E19:E22)</f>
      </c>
      <c r="F23" s="46" t="n">
        <f>SUM(F19:F22)</f>
      </c>
      <c r="G23" s="46" t="n">
        <f>SUM(G19:G22)</f>
      </c>
      <c r="H23" s="46" t="n">
        <f>SUM(H19:H22)</f>
      </c>
      <c r="I23" s="46" t="n">
        <f>SUM(I19:I22)</f>
      </c>
      <c r="J23" s="46" t="n">
        <f>SUM(J19:J22)</f>
      </c>
      <c r="K23" s="46" t="n">
        <f>SUM(K19:K22)</f>
      </c>
    </row>
    <row r="24">
      <c r="B24" s="9"/>
      <c r="C24" s="10"/>
      <c r="D24" s="14" t="s">
        <v>553</v>
      </c>
      <c r="E24" s="47" t="n">
        <f>-E23+E17</f>
      </c>
      <c r="F24" s="47" t="n">
        <f>-F23+F17</f>
      </c>
      <c r="G24" s="47" t="n">
        <f>-G23+G17</f>
      </c>
      <c r="H24" s="47" t="n">
        <f>-H23+H17</f>
      </c>
      <c r="I24" s="47" t="n">
        <f>-I23+I17</f>
      </c>
      <c r="J24" s="47" t="n">
        <f>-J23+J17</f>
      </c>
      <c r="K24" s="47" t="n">
        <f>-K23+K17</f>
      </c>
    </row>
    <row r="25">
      <c r="B25" s="9"/>
      <c r="C25" s="37" t="s">
        <v>554</v>
      </c>
      <c r="D25" s="35"/>
      <c r="E25" s="46" t="n"/>
      <c r="F25" s="46" t="n"/>
      <c r="G25" s="46" t="n"/>
      <c r="H25" s="46" t="n"/>
      <c r="I25" s="46" t="n"/>
      <c r="J25" s="46" t="n"/>
      <c r="K25" s="46" t="n"/>
    </row>
    <row r="26">
      <c r="B26" s="9"/>
      <c r="C26" s="10" t="s">
        <v>555</v>
      </c>
      <c r="D26" s="8"/>
      <c r="E26" s="18"/>
      <c r="F26" s="18"/>
      <c r="G26" s="18"/>
      <c r="H26" s="47" t="n"/>
      <c r="I26" s="18"/>
      <c r="J26" s="18"/>
      <c r="K26" s="47" t="n"/>
    </row>
    <row r="27">
      <c r="B27" s="9"/>
      <c r="C27" s="37" t="s">
        <v>556</v>
      </c>
      <c r="D27" s="35"/>
      <c r="E27" s="17"/>
      <c r="F27" s="17"/>
      <c r="G27" s="17"/>
      <c r="H27" s="46" t="n"/>
      <c r="I27" s="17"/>
      <c r="J27" s="17"/>
      <c r="K27" s="46" t="n"/>
    </row>
    <row r="28">
      <c r="B28" s="9"/>
      <c r="C28" s="10" t="s">
        <v>557</v>
      </c>
      <c r="D28" s="8"/>
      <c r="E28" s="18"/>
      <c r="F28" s="18"/>
      <c r="G28" s="18"/>
      <c r="H28" s="47" t="n"/>
      <c r="I28" s="18"/>
      <c r="J28" s="18"/>
      <c r="K28" s="47" t="n"/>
    </row>
    <row r="29">
      <c r="B29" s="9"/>
      <c r="C29" s="37" t="s">
        <v>558</v>
      </c>
      <c r="D29" s="35"/>
      <c r="E29" s="17"/>
      <c r="F29" s="17"/>
      <c r="G29" s="17"/>
      <c r="H29" s="46" t="n"/>
      <c r="I29" s="17"/>
      <c r="J29" s="17"/>
      <c r="K29" s="46" t="n"/>
    </row>
    <row r="30">
      <c r="B30" s="9"/>
      <c r="C30" s="10" t="s">
        <v>559</v>
      </c>
      <c r="D30" s="8"/>
      <c r="E30" s="18"/>
      <c r="F30" s="18"/>
      <c r="G30" s="18"/>
      <c r="H30" s="18"/>
      <c r="I30" s="47" t="n"/>
      <c r="J30" s="18"/>
      <c r="K30" s="47" t="n"/>
    </row>
    <row r="31">
      <c r="B31" s="10"/>
      <c r="C31" s="37" t="s">
        <v>560</v>
      </c>
      <c r="D31" s="35"/>
      <c r="E31" s="55"/>
      <c r="F31" s="55"/>
      <c r="G31" s="55"/>
      <c r="H31" s="55"/>
      <c r="I31" s="55"/>
      <c r="J31" s="48" t="n"/>
      <c r="K31" s="48" t="n"/>
    </row>
  </sheetData>
  <mergeCells>
    <mergeCell ref="E10:K10"/>
    <mergeCell ref="B12:D12"/>
    <mergeCell ref="C13:D13"/>
    <mergeCell ref="C18:D18"/>
    <mergeCell ref="C25:D25"/>
    <mergeCell ref="C26:D26"/>
    <mergeCell ref="C27:D27"/>
    <mergeCell ref="C28:D28"/>
    <mergeCell ref="C29:D29"/>
    <mergeCell ref="C30:D30"/>
    <mergeCell ref="C31:D31"/>
  </mergeCells>
  <hyperlinks>
    <hyperlink location="'Indice'!A1" ref="B2"/>
  </hyperlinks>
  <pageMargins bottom="0.75" footer="0.3" header="0.3" left="0.7" right="0.7" top="0.75"/>
</worksheet>
</file>

<file path=xl/worksheets/sheet22.xml><?xml version="1.0" encoding="utf-8"?>
<worksheet xmlns="http://schemas.openxmlformats.org/spreadsheetml/2006/main">
  <dimension ref="B2:Q22"/>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2">
      <c r="B2" t="s" s="2">
        <v>1</v>
      </c>
    </row>
    <row r="3">
      <c r="B3" t="s" s="1">
        <v>3</v>
      </c>
      <c r="C3" t="s">
        <v>4</v>
      </c>
    </row>
    <row r="4">
      <c r="B4" s="1" t="s">
        <v>5</v>
      </c>
      <c r="C4" t="s">
        <v>6</v>
      </c>
    </row>
    <row r="5">
      <c r="B5" t="s" s="1">
        <v>7</v>
      </c>
      <c r="C5" t="s">
        <v>561</v>
      </c>
    </row>
    <row r="6">
      <c r="B6" t="s" s="1">
        <v>8</v>
      </c>
      <c r="C6" t="s">
        <v>9</v>
      </c>
    </row>
    <row r="7">
      <c r="B7" t="s" s="1">
        <v>10</v>
      </c>
      <c r="C7" t="s">
        <v>9</v>
      </c>
    </row>
    <row r="8">
      <c r="B8" t="s" s="1">
        <v>11</v>
      </c>
      <c r="C8" t="s">
        <v>12</v>
      </c>
    </row>
    <row r="10">
      <c r="D10" t="s" s="4">
        <v>562</v>
      </c>
      <c r="E10" s="24"/>
      <c r="F10" s="24"/>
      <c r="G10" s="24"/>
      <c r="H10" s="24"/>
      <c r="I10" s="24"/>
      <c r="J10" s="24"/>
      <c r="K10" s="24"/>
      <c r="L10" s="24"/>
      <c r="M10" s="24"/>
      <c r="N10" s="24"/>
      <c r="O10" s="24"/>
      <c r="P10" s="25"/>
    </row>
    <row r="11">
      <c r="D11" t="s" s="61">
        <v>563</v>
      </c>
      <c r="E11" s="62"/>
      <c r="F11" s="63"/>
      <c r="G11" t="s" s="65">
        <v>566</v>
      </c>
      <c r="H11" s="66"/>
      <c r="I11" s="66"/>
      <c r="J11" s="66"/>
      <c r="K11" s="66"/>
      <c r="L11" s="66"/>
      <c r="M11" s="66"/>
      <c r="N11" s="66"/>
      <c r="O11" s="67"/>
      <c r="P11" s="28" t="s">
        <v>575</v>
      </c>
    </row>
    <row r="12">
      <c r="D12" t="s" s="5">
        <v>564</v>
      </c>
      <c r="F12" s="28" t="s">
        <v>565</v>
      </c>
      <c r="G12" t="s" s="28">
        <v>567</v>
      </c>
      <c r="I12" t="s" s="65">
        <v>568</v>
      </c>
      <c r="J12" s="66"/>
      <c r="K12" s="66"/>
      <c r="L12" s="66"/>
      <c r="M12" s="66"/>
      <c r="N12" s="66"/>
      <c r="O12" s="67"/>
      <c r="P12" s="70"/>
    </row>
    <row r="13" ht="28.0" customHeight="true">
      <c r="D13" s="30"/>
      <c r="E13" s="69"/>
      <c r="F13" s="59"/>
      <c r="G13" s="59"/>
      <c r="H13" s="69"/>
      <c r="I13" t="s" s="29">
        <v>569</v>
      </c>
      <c r="J13" s="69"/>
      <c r="K13" t="s" s="6">
        <v>570</v>
      </c>
      <c r="L13" t="s" s="29">
        <v>571</v>
      </c>
      <c r="M13" t="s" s="6">
        <v>572</v>
      </c>
      <c r="N13" t="s" s="29">
        <v>573</v>
      </c>
      <c r="O13" s="6" t="s">
        <v>574</v>
      </c>
      <c r="P13" s="71"/>
    </row>
    <row r="14">
      <c r="B14" s="7" t="s">
        <v>576</v>
      </c>
      <c r="C14" s="8"/>
      <c r="D14" s="18"/>
      <c r="E14" s="18"/>
      <c r="F14" s="18"/>
      <c r="G14" s="18"/>
      <c r="H14" s="18"/>
      <c r="I14" s="18"/>
      <c r="J14" s="18"/>
      <c r="K14" s="18"/>
      <c r="L14" s="18"/>
      <c r="M14" s="18"/>
      <c r="N14" s="18"/>
      <c r="O14" s="18"/>
      <c r="P14" s="18"/>
    </row>
    <row r="15">
      <c r="B15" s="9"/>
      <c r="C15" s="13" t="s">
        <v>577</v>
      </c>
      <c r="D15" s="46" t="n"/>
      <c r="E15" s="46" t="n"/>
      <c r="F15" s="46" t="n"/>
      <c r="G15" s="46" t="n"/>
      <c r="H15" s="46" t="n"/>
      <c r="I15" s="46" t="n"/>
      <c r="J15" s="46" t="n"/>
      <c r="K15" s="46" t="n"/>
      <c r="L15" s="46" t="n"/>
      <c r="M15" s="46" t="n"/>
      <c r="N15" s="46" t="n"/>
      <c r="O15" s="46" t="n"/>
      <c r="P15" s="16"/>
    </row>
    <row r="16">
      <c r="B16" s="9"/>
      <c r="C16" s="14" t="s">
        <v>578</v>
      </c>
      <c r="D16" s="47" t="n"/>
      <c r="E16" s="47" t="n"/>
      <c r="F16" s="47" t="n"/>
      <c r="G16" s="47" t="n"/>
      <c r="H16" s="47" t="n"/>
      <c r="I16" s="47" t="n"/>
      <c r="J16" s="47" t="n"/>
      <c r="K16" s="47" t="n"/>
      <c r="L16" s="47" t="n"/>
      <c r="M16" s="47" t="n"/>
      <c r="N16" s="47" t="n"/>
      <c r="O16" s="47" t="n"/>
      <c r="P16" s="15"/>
    </row>
    <row r="17">
      <c r="B17" s="9"/>
      <c r="C17" s="13" t="s">
        <v>579</v>
      </c>
      <c r="D17" s="46" t="n"/>
      <c r="E17" s="46" t="n"/>
      <c r="F17" s="46" t="n"/>
      <c r="G17" s="46" t="n"/>
      <c r="H17" s="46" t="n"/>
      <c r="I17" s="46" t="n"/>
      <c r="J17" s="46" t="n"/>
      <c r="K17" s="46" t="n"/>
      <c r="L17" s="46" t="n"/>
      <c r="M17" s="46" t="n"/>
      <c r="N17" s="46" t="n"/>
      <c r="O17" s="46" t="n"/>
      <c r="P17" s="16"/>
    </row>
    <row r="18">
      <c r="B18" s="9"/>
      <c r="C18" s="14" t="s">
        <v>580</v>
      </c>
      <c r="D18" s="47" t="n"/>
      <c r="E18" s="47" t="n"/>
      <c r="F18" s="47" t="n"/>
      <c r="G18" s="47" t="n"/>
      <c r="H18" s="47" t="n"/>
      <c r="I18" s="47" t="n"/>
      <c r="J18" s="47" t="n"/>
      <c r="K18" s="47" t="n"/>
      <c r="L18" s="47" t="n"/>
      <c r="M18" s="47" t="n"/>
      <c r="N18" s="47" t="n"/>
      <c r="O18" s="47" t="n"/>
      <c r="P18" s="15"/>
    </row>
    <row r="19">
      <c r="B19" s="9"/>
      <c r="C19" s="13" t="s">
        <v>581</v>
      </c>
      <c r="D19" s="46" t="n"/>
      <c r="E19" s="46" t="n"/>
      <c r="F19" s="46" t="n"/>
      <c r="G19" s="46" t="n"/>
      <c r="H19" s="46" t="n"/>
      <c r="I19" s="46" t="n"/>
      <c r="J19" s="46" t="n"/>
      <c r="K19" s="46" t="n"/>
      <c r="L19" s="46" t="n"/>
      <c r="M19" s="46" t="n"/>
      <c r="N19" s="46" t="n"/>
      <c r="O19" s="46" t="n"/>
      <c r="P19" s="16"/>
    </row>
    <row r="20">
      <c r="B20" s="9"/>
      <c r="C20" s="14" t="s">
        <v>582</v>
      </c>
      <c r="D20" s="47" t="n"/>
      <c r="E20" s="47" t="n"/>
      <c r="F20" s="47" t="n"/>
      <c r="G20" s="47" t="n"/>
      <c r="H20" s="47" t="n"/>
      <c r="I20" s="47" t="n"/>
      <c r="J20" s="47" t="n"/>
      <c r="K20" s="47" t="n"/>
      <c r="L20" s="47" t="n"/>
      <c r="M20" s="47" t="n"/>
      <c r="N20" s="47" t="n"/>
      <c r="O20" s="47" t="n"/>
      <c r="P20" s="15"/>
    </row>
    <row r="21">
      <c r="B21" s="9"/>
      <c r="C21" s="13" t="s">
        <v>583</v>
      </c>
      <c r="D21" s="46" t="n"/>
      <c r="E21" s="46" t="n"/>
      <c r="F21" s="46" t="n"/>
      <c r="G21" s="46" t="n"/>
      <c r="H21" s="46" t="n"/>
      <c r="I21" s="46" t="n"/>
      <c r="J21" s="46" t="n"/>
      <c r="K21" s="46" t="n"/>
      <c r="L21" s="46" t="n"/>
      <c r="M21" s="46" t="n"/>
      <c r="N21" s="46" t="n"/>
      <c r="O21" s="46" t="n"/>
      <c r="P21" s="16"/>
    </row>
    <row r="22">
      <c r="B22" s="10"/>
      <c r="C22" s="14" t="s">
        <v>584</v>
      </c>
      <c r="D22" s="52" t="n"/>
      <c r="E22" s="52" t="n"/>
      <c r="F22" s="52" t="n"/>
      <c r="G22" s="52" t="n"/>
      <c r="H22" s="52" t="n"/>
      <c r="I22" s="52" t="n"/>
      <c r="J22" s="52" t="n"/>
      <c r="K22" s="52" t="n"/>
      <c r="L22" s="52" t="n"/>
      <c r="M22" s="52" t="n"/>
      <c r="N22" s="52" t="n"/>
      <c r="O22" s="52" t="n"/>
      <c r="P22" s="55"/>
    </row>
  </sheetData>
  <mergeCells>
    <mergeCell ref="D10:P10"/>
    <mergeCell ref="D11:F11"/>
    <mergeCell ref="D12:D13"/>
    <mergeCell ref="F12:F13"/>
    <mergeCell ref="G11:O11"/>
    <mergeCell ref="G12:G13"/>
    <mergeCell ref="I12:O12"/>
    <mergeCell ref="P11:P13"/>
    <mergeCell ref="B14:C14"/>
  </mergeCells>
  <hyperlinks>
    <hyperlink location="'Indice'!A1" ref="B2"/>
  </hyperlinks>
  <pageMargins bottom="0.75" footer="0.3" header="0.3" left="0.7" right="0.7" top="0.75"/>
</worksheet>
</file>

<file path=xl/worksheets/sheet23.xml><?xml version="1.0" encoding="utf-8"?>
<worksheet xmlns="http://schemas.openxmlformats.org/spreadsheetml/2006/main">
  <dimension ref="B2:H15"/>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585</v>
      </c>
    </row>
    <row r="6">
      <c r="B6" t="s" s="1">
        <v>8</v>
      </c>
      <c r="C6" t="s">
        <v>9</v>
      </c>
    </row>
    <row r="7">
      <c r="B7" t="s" s="1">
        <v>10</v>
      </c>
      <c r="C7" t="s">
        <v>9</v>
      </c>
    </row>
    <row r="8">
      <c r="B8" t="s" s="1">
        <v>11</v>
      </c>
      <c r="C8" t="s">
        <v>12</v>
      </c>
    </row>
    <row r="10">
      <c r="D10" t="s" s="4">
        <v>586</v>
      </c>
      <c r="E10" s="24"/>
      <c r="F10" s="24"/>
      <c r="G10" s="25"/>
    </row>
    <row r="11">
      <c r="D11" t="s" s="29">
        <v>587</v>
      </c>
      <c r="E11" t="s" s="6">
        <v>588</v>
      </c>
      <c r="F11" t="s" s="29">
        <v>589</v>
      </c>
      <c r="G11" s="6" t="s">
        <v>590</v>
      </c>
    </row>
    <row r="12" ht="28.0" customHeight="true">
      <c r="B12" s="7" t="s">
        <v>591</v>
      </c>
      <c r="C12" s="8"/>
      <c r="D12" s="18"/>
      <c r="E12" s="18"/>
      <c r="F12" s="18"/>
      <c r="G12" s="18"/>
    </row>
    <row r="13">
      <c r="B13" s="9"/>
      <c r="C13" s="13" t="s">
        <v>592</v>
      </c>
      <c r="D13" s="46" t="n"/>
      <c r="E13" s="46" t="n"/>
      <c r="F13" s="46" t="n"/>
      <c r="G13" s="46" t="n"/>
    </row>
    <row r="14">
      <c r="B14" s="9"/>
      <c r="C14" s="14" t="s">
        <v>593</v>
      </c>
      <c r="D14" s="47" t="n"/>
      <c r="E14" s="47" t="n"/>
      <c r="F14" s="47" t="n"/>
      <c r="G14" s="47" t="n"/>
    </row>
    <row r="15">
      <c r="B15" s="10"/>
      <c r="C15" s="13" t="s">
        <v>594</v>
      </c>
      <c r="D15" s="48" t="n"/>
      <c r="E15" s="48" t="n"/>
      <c r="F15" s="48" t="n"/>
      <c r="G15" s="48" t="n"/>
    </row>
  </sheetData>
  <mergeCells>
    <mergeCell ref="D10:G10"/>
    <mergeCell ref="B12:C12"/>
  </mergeCells>
  <hyperlinks>
    <hyperlink location="'Indice'!A1" ref="B2"/>
  </hyperlinks>
  <pageMargins bottom="0.75" footer="0.3" header="0.3" left="0.7" right="0.7" top="0.75"/>
</worksheet>
</file>

<file path=xl/worksheets/sheet24.xml><?xml version="1.0" encoding="utf-8"?>
<worksheet xmlns="http://schemas.openxmlformats.org/spreadsheetml/2006/main">
  <dimension ref="B2:M59"/>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595</v>
      </c>
    </row>
    <row r="6">
      <c r="B6" t="s" s="1">
        <v>8</v>
      </c>
      <c r="C6" t="s">
        <v>9</v>
      </c>
    </row>
    <row r="7">
      <c r="B7" t="s" s="1">
        <v>10</v>
      </c>
      <c r="C7" t="s">
        <v>9</v>
      </c>
    </row>
    <row r="8">
      <c r="B8" t="s" s="1">
        <v>11</v>
      </c>
      <c r="C8" t="s">
        <v>12</v>
      </c>
    </row>
    <row r="10" ht="28.0" customHeight="true">
      <c r="G10" t="s" s="4">
        <v>596</v>
      </c>
      <c r="H10" s="24"/>
      <c r="I10" s="24"/>
      <c r="J10" s="24"/>
      <c r="K10" s="24"/>
      <c r="L10" s="25"/>
    </row>
    <row r="11">
      <c r="G11" t="s" s="27">
        <v>597</v>
      </c>
      <c r="H11" s="56"/>
      <c r="I11" s="56"/>
      <c r="J11" s="56"/>
      <c r="K11" s="56"/>
      <c r="L11" s="57"/>
    </row>
    <row r="12">
      <c r="G12" t="s" s="6">
        <v>27</v>
      </c>
      <c r="H12" t="s" s="29">
        <v>28</v>
      </c>
      <c r="I12" t="s" s="6">
        <v>29</v>
      </c>
      <c r="J12" t="s" s="29">
        <v>30</v>
      </c>
      <c r="K12" t="s" s="6">
        <v>31</v>
      </c>
      <c r="L12" s="29" t="s">
        <v>32</v>
      </c>
    </row>
    <row r="13">
      <c r="B13" s="7" t="s">
        <v>598</v>
      </c>
      <c r="C13" s="32"/>
      <c r="D13" s="32"/>
      <c r="E13" s="32"/>
      <c r="F13" s="8"/>
      <c r="G13" s="17"/>
      <c r="H13" s="17"/>
      <c r="I13" s="17"/>
      <c r="J13" s="17"/>
      <c r="K13" s="17"/>
      <c r="L13" s="17"/>
    </row>
    <row r="14">
      <c r="B14" s="9"/>
      <c r="C14" s="33" t="s">
        <v>599</v>
      </c>
      <c r="D14" s="34"/>
      <c r="E14" s="34"/>
      <c r="F14" s="35"/>
      <c r="G14" s="18"/>
      <c r="H14" s="18"/>
      <c r="I14" s="18"/>
      <c r="J14" s="18"/>
      <c r="K14" s="18"/>
      <c r="L14" s="18"/>
    </row>
    <row r="15" ht="28.0" customHeight="true">
      <c r="B15" s="9"/>
      <c r="C15" s="36"/>
      <c r="D15" s="7" t="s">
        <v>600</v>
      </c>
      <c r="E15" s="32"/>
      <c r="F15" s="8"/>
      <c r="G15" s="17"/>
      <c r="H15" s="17"/>
      <c r="I15" s="17"/>
      <c r="J15" s="17"/>
      <c r="K15" s="17"/>
      <c r="L15" s="17"/>
    </row>
    <row r="16" ht="28.0" customHeight="true">
      <c r="B16" s="9"/>
      <c r="C16" s="36"/>
      <c r="D16" s="9"/>
      <c r="E16" s="37" t="s">
        <v>601</v>
      </c>
      <c r="F16" s="35"/>
      <c r="G16" s="47" t="n"/>
      <c r="H16" s="47" t="n"/>
      <c r="I16" s="47" t="n"/>
      <c r="J16" s="47" t="n"/>
      <c r="K16" s="47" t="n"/>
      <c r="L16" s="47" t="n"/>
    </row>
    <row r="17" ht="28.0" customHeight="true">
      <c r="B17" s="9"/>
      <c r="C17" s="36"/>
      <c r="D17" s="9"/>
      <c r="E17" s="10" t="s">
        <v>602</v>
      </c>
      <c r="F17" s="8"/>
      <c r="G17" s="46" t="n"/>
      <c r="H17" s="46" t="n"/>
      <c r="I17" s="46" t="n"/>
      <c r="J17" s="46" t="n"/>
      <c r="K17" s="46" t="n"/>
      <c r="L17" s="46" t="n"/>
    </row>
    <row r="18" ht="28.0" customHeight="true">
      <c r="B18" s="9"/>
      <c r="C18" s="36"/>
      <c r="D18" s="9"/>
      <c r="E18" s="37" t="s">
        <v>603</v>
      </c>
      <c r="F18" s="35"/>
      <c r="G18" s="47" t="n"/>
      <c r="H18" s="47" t="n"/>
      <c r="I18" s="47" t="n"/>
      <c r="J18" s="47" t="n"/>
      <c r="K18" s="47" t="n"/>
      <c r="L18" s="47" t="n"/>
    </row>
    <row r="19" ht="28.0" customHeight="true">
      <c r="B19" s="9"/>
      <c r="C19" s="36"/>
      <c r="D19" s="9"/>
      <c r="E19" s="10" t="s">
        <v>604</v>
      </c>
      <c r="F19" s="8"/>
      <c r="G19" s="46" t="n"/>
      <c r="H19" s="46" t="n"/>
      <c r="I19" s="46" t="n"/>
      <c r="J19" s="46" t="n"/>
      <c r="K19" s="46" t="n"/>
      <c r="L19" s="46" t="n"/>
    </row>
    <row r="20">
      <c r="B20" s="9"/>
      <c r="C20" s="36"/>
      <c r="D20" s="9"/>
      <c r="E20" s="37" t="s">
        <v>605</v>
      </c>
      <c r="F20" s="35"/>
      <c r="G20" s="47" t="n"/>
      <c r="H20" s="47" t="n"/>
      <c r="I20" s="47" t="n"/>
      <c r="J20" s="47" t="n"/>
      <c r="K20" s="47" t="n"/>
      <c r="L20" s="47" t="n"/>
    </row>
    <row r="21">
      <c r="B21" s="9"/>
      <c r="C21" s="36"/>
      <c r="D21" s="9"/>
      <c r="E21" s="10" t="s">
        <v>606</v>
      </c>
      <c r="F21" s="8"/>
      <c r="G21" s="46" t="n"/>
      <c r="H21" s="46" t="n"/>
      <c r="I21" s="46" t="n"/>
      <c r="J21" s="46" t="n"/>
      <c r="K21" s="46" t="n"/>
      <c r="L21" s="46" t="n"/>
    </row>
    <row r="22" ht="28.0" customHeight="true">
      <c r="B22" s="9"/>
      <c r="C22" s="36"/>
      <c r="D22" s="9"/>
      <c r="E22" s="33" t="s">
        <v>607</v>
      </c>
      <c r="F22" s="35"/>
      <c r="G22" s="47" t="n"/>
      <c r="H22" s="47" t="n"/>
      <c r="I22" s="47" t="n"/>
      <c r="J22" s="47" t="n"/>
      <c r="K22" s="47" t="n"/>
      <c r="L22" s="47" t="n"/>
    </row>
    <row r="23">
      <c r="B23" s="9"/>
      <c r="C23" s="36"/>
      <c r="D23" s="9"/>
      <c r="E23" s="37"/>
      <c r="F23" s="14" t="s">
        <v>608</v>
      </c>
      <c r="G23" s="16"/>
      <c r="H23" s="16"/>
      <c r="I23" s="16"/>
      <c r="J23" s="16"/>
      <c r="K23" s="16"/>
      <c r="L23" s="16"/>
    </row>
    <row r="24">
      <c r="B24" s="9"/>
      <c r="C24" s="36"/>
      <c r="D24" s="10"/>
      <c r="E24" s="44" t="s">
        <v>609</v>
      </c>
      <c r="F24" s="43"/>
      <c r="G24" s="47" t="n">
        <f>SUM(G16:G22)</f>
      </c>
      <c r="H24" s="47" t="n">
        <f>SUM(H16:H22)</f>
      </c>
      <c r="I24" s="47" t="n">
        <f>SUM(I16:I22)</f>
      </c>
      <c r="J24" s="47" t="n">
        <f>SUM(J16:J22)</f>
      </c>
      <c r="K24" s="47" t="n">
        <f>SUM(K16:K22)</f>
      </c>
      <c r="L24" s="47" t="n">
        <f>SUM(L16:L22)</f>
      </c>
    </row>
    <row r="25" ht="28.0" customHeight="true">
      <c r="B25" s="9"/>
      <c r="C25" s="36"/>
      <c r="D25" s="7" t="s">
        <v>610</v>
      </c>
      <c r="E25" s="32"/>
      <c r="F25" s="8"/>
      <c r="G25" s="17"/>
      <c r="H25" s="17"/>
      <c r="I25" s="17"/>
      <c r="J25" s="17"/>
      <c r="K25" s="17"/>
      <c r="L25" s="17"/>
    </row>
    <row r="26" ht="28.0" customHeight="true">
      <c r="B26" s="9"/>
      <c r="C26" s="36"/>
      <c r="D26" s="9"/>
      <c r="E26" s="37" t="s">
        <v>611</v>
      </c>
      <c r="F26" s="35"/>
      <c r="G26" s="47" t="n"/>
      <c r="H26" s="47" t="n"/>
      <c r="I26" s="47" t="n"/>
      <c r="J26" s="47" t="n"/>
      <c r="K26" s="47" t="n"/>
      <c r="L26" s="47" t="n"/>
    </row>
    <row r="27" ht="28.0" customHeight="true">
      <c r="B27" s="9"/>
      <c r="C27" s="36"/>
      <c r="D27" s="9"/>
      <c r="E27" s="10" t="s">
        <v>612</v>
      </c>
      <c r="F27" s="8"/>
      <c r="G27" s="46" t="n"/>
      <c r="H27" s="46" t="n"/>
      <c r="I27" s="46" t="n"/>
      <c r="J27" s="46" t="n"/>
      <c r="K27" s="46" t="n"/>
      <c r="L27" s="46" t="n"/>
    </row>
    <row r="28" ht="28.0" customHeight="true">
      <c r="B28" s="9"/>
      <c r="C28" s="36"/>
      <c r="D28" s="9"/>
      <c r="E28" s="37" t="s">
        <v>613</v>
      </c>
      <c r="F28" s="35"/>
      <c r="G28" s="47" t="n"/>
      <c r="H28" s="47" t="n"/>
      <c r="I28" s="47" t="n"/>
      <c r="J28" s="47" t="n"/>
      <c r="K28" s="47" t="n"/>
      <c r="L28" s="47" t="n"/>
    </row>
    <row r="29" ht="28.0" customHeight="true">
      <c r="B29" s="9"/>
      <c r="C29" s="36"/>
      <c r="D29" s="9"/>
      <c r="E29" s="10" t="s">
        <v>614</v>
      </c>
      <c r="F29" s="8"/>
      <c r="G29" s="46" t="n"/>
      <c r="H29" s="46" t="n"/>
      <c r="I29" s="46" t="n"/>
      <c r="J29" s="46" t="n"/>
      <c r="K29" s="46" t="n"/>
      <c r="L29" s="46" t="n"/>
    </row>
    <row r="30" ht="28.0" customHeight="true">
      <c r="B30" s="9"/>
      <c r="C30" s="36"/>
      <c r="D30" s="9"/>
      <c r="E30" s="37" t="s">
        <v>615</v>
      </c>
      <c r="F30" s="35"/>
      <c r="G30" s="47" t="n"/>
      <c r="H30" s="47" t="n"/>
      <c r="I30" s="47" t="n"/>
      <c r="J30" s="47" t="n"/>
      <c r="K30" s="47" t="n"/>
      <c r="L30" s="47" t="n"/>
    </row>
    <row r="31">
      <c r="B31" s="9"/>
      <c r="C31" s="36"/>
      <c r="D31" s="9"/>
      <c r="E31" s="10" t="s">
        <v>616</v>
      </c>
      <c r="F31" s="8"/>
      <c r="G31" s="46" t="n"/>
      <c r="H31" s="46" t="n"/>
      <c r="I31" s="46" t="n"/>
      <c r="J31" s="46" t="n"/>
      <c r="K31" s="46" t="n"/>
      <c r="L31" s="46" t="n"/>
    </row>
    <row r="32" ht="28.0" customHeight="true">
      <c r="B32" s="9"/>
      <c r="C32" s="36"/>
      <c r="D32" s="9"/>
      <c r="E32" s="37" t="s">
        <v>617</v>
      </c>
      <c r="F32" s="35"/>
      <c r="G32" s="47" t="n"/>
      <c r="H32" s="47" t="n"/>
      <c r="I32" s="47" t="n"/>
      <c r="J32" s="47" t="n"/>
      <c r="K32" s="47" t="n"/>
      <c r="L32" s="47" t="n"/>
    </row>
    <row r="33">
      <c r="B33" s="9"/>
      <c r="C33" s="36"/>
      <c r="D33" s="9"/>
      <c r="E33" s="10" t="s">
        <v>618</v>
      </c>
      <c r="F33" s="8"/>
      <c r="G33" s="46" t="n"/>
      <c r="H33" s="46" t="n"/>
      <c r="I33" s="46" t="n"/>
      <c r="J33" s="46" t="n"/>
      <c r="K33" s="46" t="n"/>
      <c r="L33" s="46" t="n"/>
    </row>
    <row r="34">
      <c r="B34" s="9"/>
      <c r="C34" s="36"/>
      <c r="D34" s="9"/>
      <c r="E34" s="37" t="s">
        <v>619</v>
      </c>
      <c r="F34" s="35"/>
      <c r="G34" s="47" t="n"/>
      <c r="H34" s="47" t="n"/>
      <c r="I34" s="47" t="n"/>
      <c r="J34" s="47" t="n"/>
      <c r="K34" s="47" t="n"/>
      <c r="L34" s="47" t="n"/>
    </row>
    <row r="35" ht="28.0" customHeight="true">
      <c r="B35" s="9"/>
      <c r="C35" s="36"/>
      <c r="D35" s="9"/>
      <c r="E35" s="10" t="s">
        <v>620</v>
      </c>
      <c r="F35" s="8"/>
      <c r="G35" s="46" t="n"/>
      <c r="H35" s="46" t="n"/>
      <c r="I35" s="46" t="n"/>
      <c r="J35" s="46" t="n"/>
      <c r="K35" s="46" t="n"/>
      <c r="L35" s="46" t="n"/>
    </row>
    <row r="36" ht="28.0" customHeight="true">
      <c r="B36" s="9"/>
      <c r="C36" s="36"/>
      <c r="D36" s="9"/>
      <c r="E36" s="37" t="s">
        <v>621</v>
      </c>
      <c r="F36" s="35"/>
      <c r="G36" s="47" t="n"/>
      <c r="H36" s="47" t="n"/>
      <c r="I36" s="47" t="n"/>
      <c r="J36" s="47" t="n"/>
      <c r="K36" s="47" t="n"/>
      <c r="L36" s="47" t="n"/>
    </row>
    <row r="37">
      <c r="B37" s="9"/>
      <c r="C37" s="36"/>
      <c r="D37" s="9"/>
      <c r="E37" s="10" t="s">
        <v>622</v>
      </c>
      <c r="F37" s="8"/>
      <c r="G37" s="46" t="n"/>
      <c r="H37" s="46" t="n"/>
      <c r="I37" s="46" t="n"/>
      <c r="J37" s="46" t="n"/>
      <c r="K37" s="46" t="n"/>
      <c r="L37" s="46" t="n"/>
    </row>
    <row r="38" ht="28.0" customHeight="true">
      <c r="B38" s="9"/>
      <c r="C38" s="36"/>
      <c r="D38" s="9"/>
      <c r="E38" s="37" t="s">
        <v>623</v>
      </c>
      <c r="F38" s="35"/>
      <c r="G38" s="47" t="n"/>
      <c r="H38" s="47" t="n"/>
      <c r="I38" s="47" t="n"/>
      <c r="J38" s="47" t="n"/>
      <c r="K38" s="47" t="n"/>
      <c r="L38" s="47" t="n"/>
    </row>
    <row r="39">
      <c r="B39" s="9"/>
      <c r="C39" s="36"/>
      <c r="D39" s="9"/>
      <c r="E39" s="10" t="s">
        <v>624</v>
      </c>
      <c r="F39" s="8"/>
      <c r="G39" s="46" t="n"/>
      <c r="H39" s="46" t="n"/>
      <c r="I39" s="46" t="n"/>
      <c r="J39" s="46" t="n"/>
      <c r="K39" s="46" t="n"/>
      <c r="L39" s="46" t="n"/>
    </row>
    <row r="40">
      <c r="B40" s="9"/>
      <c r="C40" s="36"/>
      <c r="D40" s="9"/>
      <c r="E40" s="37" t="s">
        <v>625</v>
      </c>
      <c r="F40" s="35"/>
      <c r="G40" s="47" t="n"/>
      <c r="H40" s="47" t="n"/>
      <c r="I40" s="47" t="n"/>
      <c r="J40" s="47" t="n"/>
      <c r="K40" s="47" t="n"/>
      <c r="L40" s="47" t="n"/>
    </row>
    <row r="41" ht="28.0" customHeight="true">
      <c r="B41" s="9"/>
      <c r="C41" s="36"/>
      <c r="D41" s="9"/>
      <c r="E41" s="7" t="s">
        <v>626</v>
      </c>
      <c r="F41" s="8"/>
      <c r="G41" s="46" t="n"/>
      <c r="H41" s="46" t="n"/>
      <c r="I41" s="46" t="n"/>
      <c r="J41" s="46" t="n"/>
      <c r="K41" s="46" t="n"/>
      <c r="L41" s="46" t="n"/>
    </row>
    <row r="42">
      <c r="B42" s="9"/>
      <c r="C42" s="36"/>
      <c r="D42" s="9"/>
      <c r="E42" s="10"/>
      <c r="F42" s="13" t="s">
        <v>627</v>
      </c>
      <c r="G42" s="15"/>
      <c r="H42" s="15"/>
      <c r="I42" s="15"/>
      <c r="J42" s="15"/>
      <c r="K42" s="15"/>
      <c r="L42" s="15"/>
    </row>
    <row r="43" ht="28.0" customHeight="true">
      <c r="B43" s="9"/>
      <c r="C43" s="36"/>
      <c r="D43" s="10"/>
      <c r="E43" s="40" t="s">
        <v>628</v>
      </c>
      <c r="F43" s="39"/>
      <c r="G43" s="46" t="n">
        <f>SUM(G26:G41)</f>
      </c>
      <c r="H43" s="46" t="n">
        <f>SUM(H26:H41)</f>
      </c>
      <c r="I43" s="46" t="n">
        <f>SUM(I26:I41)</f>
      </c>
      <c r="J43" s="46" t="n">
        <f>SUM(J26:J41)</f>
      </c>
      <c r="K43" s="46" t="n">
        <f>SUM(K26:K41)</f>
      </c>
      <c r="L43" s="46" t="n">
        <f>SUM(L26:L41)</f>
      </c>
    </row>
    <row r="44">
      <c r="B44" s="9"/>
      <c r="C44" s="36"/>
      <c r="D44" s="33" t="s">
        <v>629</v>
      </c>
      <c r="E44" s="34"/>
      <c r="F44" s="35"/>
      <c r="G44" s="18"/>
      <c r="H44" s="18"/>
      <c r="I44" s="18"/>
      <c r="J44" s="18"/>
      <c r="K44" s="18"/>
      <c r="L44" s="18"/>
    </row>
    <row r="45">
      <c r="B45" s="9"/>
      <c r="C45" s="36"/>
      <c r="D45" s="36"/>
      <c r="E45" s="10" t="s">
        <v>630</v>
      </c>
      <c r="F45" s="8"/>
      <c r="G45" s="46" t="n"/>
      <c r="H45" s="46" t="n"/>
      <c r="I45" s="46" t="n"/>
      <c r="J45" s="46" t="n"/>
      <c r="K45" s="46" t="n"/>
      <c r="L45" s="46" t="n"/>
    </row>
    <row r="46">
      <c r="B46" s="9"/>
      <c r="C46" s="36"/>
      <c r="D46" s="36"/>
      <c r="E46" s="37" t="s">
        <v>631</v>
      </c>
      <c r="F46" s="35"/>
      <c r="G46" s="47" t="n"/>
      <c r="H46" s="47" t="n"/>
      <c r="I46" s="47" t="n"/>
      <c r="J46" s="47" t="n"/>
      <c r="K46" s="47" t="n"/>
      <c r="L46" s="47" t="n"/>
    </row>
    <row r="47">
      <c r="B47" s="9"/>
      <c r="C47" s="36"/>
      <c r="D47" s="37"/>
      <c r="E47" s="40" t="s">
        <v>632</v>
      </c>
      <c r="F47" s="39"/>
      <c r="G47" s="46" t="n">
        <f>G45+G46</f>
      </c>
      <c r="H47" s="46" t="n">
        <f>H45+H46</f>
      </c>
      <c r="I47" s="46" t="n">
        <f>I45+I46</f>
      </c>
      <c r="J47" s="46" t="n">
        <f>J45+J46</f>
      </c>
      <c r="K47" s="46" t="n">
        <f>K45+K46</f>
      </c>
      <c r="L47" s="46" t="n">
        <f>L45+L46</f>
      </c>
    </row>
    <row r="48">
      <c r="B48" s="9"/>
      <c r="C48" s="36"/>
      <c r="D48" s="37" t="s">
        <v>633</v>
      </c>
      <c r="E48" s="34"/>
      <c r="F48" s="35"/>
      <c r="G48" s="47" t="n"/>
      <c r="H48" s="47" t="n"/>
      <c r="I48" s="47" t="n"/>
      <c r="J48" s="47" t="n"/>
      <c r="K48" s="47" t="n"/>
      <c r="L48" s="47" t="n"/>
    </row>
    <row r="49" ht="42.0" customHeight="true">
      <c r="B49" s="9"/>
      <c r="C49" s="36"/>
      <c r="D49" s="10" t="s">
        <v>634</v>
      </c>
      <c r="E49" s="32"/>
      <c r="F49" s="8"/>
      <c r="G49" s="46" t="n"/>
      <c r="H49" s="46" t="n"/>
      <c r="I49" s="46" t="n"/>
      <c r="J49" s="46" t="n"/>
      <c r="K49" s="46" t="n"/>
      <c r="L49" s="46" t="n"/>
    </row>
    <row r="50">
      <c r="B50" s="9"/>
      <c r="C50" s="36"/>
      <c r="D50" s="37" t="s">
        <v>635</v>
      </c>
      <c r="E50" s="34"/>
      <c r="F50" s="35"/>
      <c r="G50" s="47" t="n"/>
      <c r="H50" s="47" t="n"/>
      <c r="I50" s="47" t="n"/>
      <c r="J50" s="47" t="n"/>
      <c r="K50" s="47" t="n"/>
      <c r="L50" s="47" t="n"/>
    </row>
    <row r="51">
      <c r="B51" s="9"/>
      <c r="C51" s="36"/>
      <c r="D51" s="10" t="s">
        <v>636</v>
      </c>
      <c r="E51" s="32"/>
      <c r="F51" s="8"/>
      <c r="G51" s="46" t="n"/>
      <c r="H51" s="46" t="n"/>
      <c r="I51" s="46" t="n"/>
      <c r="J51" s="46" t="n"/>
      <c r="K51" s="46" t="n"/>
      <c r="L51" s="46" t="n"/>
    </row>
    <row r="52">
      <c r="B52" s="9"/>
      <c r="C52" s="36"/>
      <c r="D52" s="37" t="s">
        <v>637</v>
      </c>
      <c r="E52" s="34"/>
      <c r="F52" s="35"/>
      <c r="G52" s="47" t="n"/>
      <c r="H52" s="47" t="n"/>
      <c r="I52" s="47" t="n"/>
      <c r="J52" s="47" t="n"/>
      <c r="K52" s="47" t="n"/>
      <c r="L52" s="47" t="n"/>
    </row>
    <row r="53">
      <c r="B53" s="9"/>
      <c r="C53" s="36"/>
      <c r="D53" s="10" t="s">
        <v>638</v>
      </c>
      <c r="E53" s="32"/>
      <c r="F53" s="8"/>
      <c r="G53" s="46" t="n"/>
      <c r="H53" s="46" t="n"/>
      <c r="I53" s="46" t="n"/>
      <c r="J53" s="46" t="n"/>
      <c r="K53" s="46" t="n"/>
      <c r="L53" s="46" t="n"/>
    </row>
    <row r="54">
      <c r="B54" s="9"/>
      <c r="C54" s="36"/>
      <c r="D54" s="33" t="s">
        <v>639</v>
      </c>
      <c r="E54" s="34"/>
      <c r="F54" s="35"/>
      <c r="G54" s="47" t="n"/>
      <c r="H54" s="47" t="n"/>
      <c r="I54" s="47" t="n"/>
      <c r="J54" s="47" t="n"/>
      <c r="K54" s="47" t="n"/>
      <c r="L54" s="47" t="n"/>
    </row>
    <row r="55" ht="28.0" customHeight="true">
      <c r="B55" s="9"/>
      <c r="C55" s="36"/>
      <c r="D55" s="37"/>
      <c r="E55" s="10" t="s">
        <v>640</v>
      </c>
      <c r="F55" s="8"/>
      <c r="G55" s="16"/>
      <c r="H55" s="16"/>
      <c r="I55" s="16"/>
      <c r="J55" s="16"/>
      <c r="K55" s="16"/>
      <c r="L55" s="16"/>
    </row>
    <row r="56">
      <c r="B56" s="9"/>
      <c r="C56" s="37"/>
      <c r="D56" s="44" t="s">
        <v>641</v>
      </c>
      <c r="E56" s="42"/>
      <c r="F56" s="43"/>
      <c r="G56" s="47" t="n">
        <f>G24+G43+SUM(G47:G54)</f>
      </c>
      <c r="H56" s="47" t="n">
        <f>H24+H43+SUM(H47:H54)</f>
      </c>
      <c r="I56" s="47" t="n">
        <f>I24+I43+SUM(I47:I54)</f>
      </c>
      <c r="J56" s="47" t="n">
        <f>J24+J43+SUM(J47:J54)</f>
      </c>
      <c r="K56" s="47" t="n">
        <f>K24+K43+SUM(K47:K54)</f>
      </c>
      <c r="L56" s="47" t="n">
        <f>L24+L43+SUM(L47:L54)</f>
      </c>
    </row>
    <row r="57">
      <c r="B57" s="9"/>
      <c r="C57" s="7" t="s">
        <v>642</v>
      </c>
      <c r="D57" s="32"/>
      <c r="E57" s="32"/>
      <c r="F57" s="8"/>
      <c r="G57" s="17"/>
      <c r="H57" s="17"/>
      <c r="I57" s="17"/>
      <c r="J57" s="17"/>
      <c r="K57" s="17"/>
      <c r="L57" s="17"/>
    </row>
    <row r="58">
      <c r="B58" s="9"/>
      <c r="C58" s="10"/>
      <c r="D58" s="37" t="s">
        <v>643</v>
      </c>
      <c r="E58" s="34"/>
      <c r="F58" s="35"/>
      <c r="G58" s="47" t="n"/>
      <c r="H58" s="47" t="n"/>
      <c r="I58" s="47" t="n"/>
      <c r="J58" s="47" t="n"/>
      <c r="K58" s="47" t="n"/>
      <c r="L58" s="47" t="n"/>
    </row>
    <row r="59">
      <c r="B59" s="10"/>
      <c r="C59" s="40" t="s">
        <v>515</v>
      </c>
      <c r="D59" s="45"/>
      <c r="E59" s="45"/>
      <c r="F59" s="39"/>
      <c r="G59" s="48" t="n">
        <f>G58+G56</f>
      </c>
      <c r="H59" s="48" t="n">
        <f>H58+H56</f>
      </c>
      <c r="I59" s="48" t="n">
        <f>I58+I56</f>
      </c>
      <c r="J59" s="48" t="n">
        <f>J58+J56</f>
      </c>
      <c r="K59" s="48" t="n">
        <f>K58+K56</f>
      </c>
      <c r="L59" s="48" t="n">
        <f>L58+L56</f>
      </c>
    </row>
  </sheetData>
  <mergeCells>
    <mergeCell ref="G10:L10"/>
    <mergeCell ref="G11:L11"/>
    <mergeCell ref="B13:F13"/>
    <mergeCell ref="C14:F14"/>
    <mergeCell ref="D15:F15"/>
    <mergeCell ref="E16:F16"/>
    <mergeCell ref="E17:F17"/>
    <mergeCell ref="E18:F18"/>
    <mergeCell ref="E19:F19"/>
    <mergeCell ref="E20:F20"/>
    <mergeCell ref="E21:F21"/>
    <mergeCell ref="E22:F22"/>
    <mergeCell ref="E24:F24"/>
    <mergeCell ref="D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3:F43"/>
    <mergeCell ref="D44:F44"/>
    <mergeCell ref="E45:F45"/>
    <mergeCell ref="E46:F46"/>
    <mergeCell ref="E47:F47"/>
    <mergeCell ref="D48:F48"/>
    <mergeCell ref="D49:F49"/>
    <mergeCell ref="D50:F50"/>
    <mergeCell ref="D51:F51"/>
    <mergeCell ref="D52:F52"/>
    <mergeCell ref="D53:F53"/>
    <mergeCell ref="D54:F54"/>
    <mergeCell ref="E55:F55"/>
    <mergeCell ref="D56:F56"/>
    <mergeCell ref="C57:F57"/>
    <mergeCell ref="D58:F58"/>
    <mergeCell ref="C59:F59"/>
  </mergeCells>
  <hyperlinks>
    <hyperlink location="'Indice'!A1" ref="B2"/>
  </hyperlinks>
  <pageMargins bottom="0.75" footer="0.3" header="0.3" left="0.7" right="0.7" top="0.75"/>
</worksheet>
</file>

<file path=xl/worksheets/sheet25.xml><?xml version="1.0" encoding="utf-8"?>
<worksheet xmlns="http://schemas.openxmlformats.org/spreadsheetml/2006/main">
  <dimension ref="B2:L86"/>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644</v>
      </c>
    </row>
    <row r="6">
      <c r="B6" t="s" s="1">
        <v>8</v>
      </c>
      <c r="C6" t="s">
        <v>9</v>
      </c>
    </row>
    <row r="7">
      <c r="B7" t="s" s="1">
        <v>10</v>
      </c>
      <c r="C7" t="s">
        <v>9</v>
      </c>
    </row>
    <row r="8">
      <c r="B8" t="s" s="1">
        <v>11</v>
      </c>
      <c r="C8" t="s">
        <v>12</v>
      </c>
    </row>
    <row r="10" ht="28.0" customHeight="true">
      <c r="F10" t="s" s="4">
        <v>645</v>
      </c>
      <c r="G10" s="24"/>
      <c r="H10" s="24"/>
      <c r="I10" s="24"/>
      <c r="J10" s="24"/>
      <c r="K10" s="25"/>
    </row>
    <row r="11">
      <c r="F11" t="s" s="27">
        <v>597</v>
      </c>
      <c r="G11" s="56"/>
      <c r="H11" s="56"/>
      <c r="I11" s="56"/>
      <c r="J11" s="56"/>
      <c r="K11" s="57"/>
    </row>
    <row r="12">
      <c r="F12" t="s" s="6">
        <v>27</v>
      </c>
      <c r="G12" t="s" s="29">
        <v>28</v>
      </c>
      <c r="H12" t="s" s="6">
        <v>29</v>
      </c>
      <c r="I12" t="s" s="29">
        <v>30</v>
      </c>
      <c r="J12" t="s" s="6">
        <v>31</v>
      </c>
      <c r="K12" s="29" t="s">
        <v>32</v>
      </c>
    </row>
    <row r="13">
      <c r="B13" s="7" t="s">
        <v>646</v>
      </c>
      <c r="C13" s="32"/>
      <c r="D13" s="32"/>
      <c r="E13" s="8"/>
      <c r="F13" s="17"/>
      <c r="G13" s="17"/>
      <c r="H13" s="17"/>
      <c r="I13" s="17"/>
      <c r="J13" s="17"/>
      <c r="K13" s="17"/>
    </row>
    <row r="14">
      <c r="B14" s="9"/>
      <c r="C14" s="33" t="s">
        <v>647</v>
      </c>
      <c r="D14" s="34"/>
      <c r="E14" s="35"/>
      <c r="F14" s="18"/>
      <c r="G14" s="18"/>
      <c r="H14" s="18"/>
      <c r="I14" s="18"/>
      <c r="J14" s="18"/>
      <c r="K14" s="18"/>
    </row>
    <row r="15">
      <c r="B15" s="9"/>
      <c r="C15" s="37"/>
      <c r="D15" s="10" t="s">
        <v>119</v>
      </c>
      <c r="E15" s="8"/>
      <c r="F15" s="46" t="n"/>
      <c r="G15" s="46" t="n"/>
      <c r="H15" s="46" t="n"/>
      <c r="I15" s="46" t="n"/>
      <c r="J15" s="46" t="n"/>
      <c r="K15" s="46" t="n"/>
    </row>
    <row r="16">
      <c r="B16" s="9"/>
      <c r="C16" s="33" t="s">
        <v>272</v>
      </c>
      <c r="D16" s="34"/>
      <c r="E16" s="35"/>
      <c r="F16" s="18"/>
      <c r="G16" s="18"/>
      <c r="H16" s="18"/>
      <c r="I16" s="18"/>
      <c r="J16" s="18"/>
      <c r="K16" s="18"/>
    </row>
    <row r="17">
      <c r="B17" s="9"/>
      <c r="C17" s="36"/>
      <c r="D17" s="10" t="s">
        <v>273</v>
      </c>
      <c r="E17" s="8"/>
      <c r="F17" s="46" t="n"/>
      <c r="G17" s="46" t="n"/>
      <c r="H17" s="46" t="n"/>
      <c r="I17" s="46" t="n"/>
      <c r="J17" s="46" t="n"/>
      <c r="K17" s="46" t="n"/>
    </row>
    <row r="18">
      <c r="B18" s="9"/>
      <c r="C18" s="36"/>
      <c r="D18" s="37" t="s">
        <v>274</v>
      </c>
      <c r="E18" s="35"/>
      <c r="F18" s="47" t="n"/>
      <c r="G18" s="47" t="n"/>
      <c r="H18" s="47" t="n"/>
      <c r="I18" s="47" t="n"/>
      <c r="J18" s="47" t="n"/>
      <c r="K18" s="47" t="n"/>
    </row>
    <row r="19">
      <c r="B19" s="9"/>
      <c r="C19" s="36"/>
      <c r="D19" s="10" t="s">
        <v>275</v>
      </c>
      <c r="E19" s="8"/>
      <c r="F19" s="46" t="n"/>
      <c r="G19" s="46" t="n"/>
      <c r="H19" s="46" t="n"/>
      <c r="I19" s="46" t="n"/>
      <c r="J19" s="46" t="n"/>
      <c r="K19" s="46" t="n"/>
    </row>
    <row r="20">
      <c r="B20" s="9"/>
      <c r="C20" s="36"/>
      <c r="D20" s="37" t="s">
        <v>276</v>
      </c>
      <c r="E20" s="35"/>
      <c r="F20" s="47" t="n"/>
      <c r="G20" s="47" t="n"/>
      <c r="H20" s="47" t="n"/>
      <c r="I20" s="47" t="n"/>
      <c r="J20" s="47" t="n"/>
      <c r="K20" s="47" t="n"/>
    </row>
    <row r="21">
      <c r="B21" s="9"/>
      <c r="C21" s="36"/>
      <c r="D21" s="10" t="s">
        <v>277</v>
      </c>
      <c r="E21" s="8"/>
      <c r="F21" s="46" t="n"/>
      <c r="G21" s="46" t="n"/>
      <c r="H21" s="46" t="n"/>
      <c r="I21" s="46" t="n"/>
      <c r="J21" s="46" t="n"/>
      <c r="K21" s="46" t="n"/>
    </row>
    <row r="22">
      <c r="B22" s="9"/>
      <c r="C22" s="36"/>
      <c r="D22" s="37" t="s">
        <v>278</v>
      </c>
      <c r="E22" s="35"/>
      <c r="F22" s="47" t="n"/>
      <c r="G22" s="47" t="n"/>
      <c r="H22" s="47" t="n"/>
      <c r="I22" s="47" t="n"/>
      <c r="J22" s="47" t="n"/>
      <c r="K22" s="47" t="n"/>
    </row>
    <row r="23">
      <c r="B23" s="9"/>
      <c r="C23" s="36"/>
      <c r="D23" s="10" t="s">
        <v>279</v>
      </c>
      <c r="E23" s="8"/>
      <c r="F23" s="46" t="n"/>
      <c r="G23" s="46" t="n"/>
      <c r="H23" s="46" t="n"/>
      <c r="I23" s="46" t="n"/>
      <c r="J23" s="46" t="n"/>
      <c r="K23" s="46" t="n"/>
    </row>
    <row r="24">
      <c r="B24" s="9"/>
      <c r="C24" s="36"/>
      <c r="D24" s="33" t="s">
        <v>280</v>
      </c>
      <c r="E24" s="35"/>
      <c r="F24" s="18"/>
      <c r="G24" s="18"/>
      <c r="H24" s="18"/>
      <c r="I24" s="18"/>
      <c r="J24" s="18"/>
      <c r="K24" s="18"/>
    </row>
    <row r="25">
      <c r="B25" s="9"/>
      <c r="C25" s="36"/>
      <c r="D25" s="36"/>
      <c r="E25" s="14" t="s">
        <v>281</v>
      </c>
      <c r="F25" s="46" t="n"/>
      <c r="G25" s="46" t="n"/>
      <c r="H25" s="46" t="n"/>
      <c r="I25" s="46" t="n"/>
      <c r="J25" s="46" t="n"/>
      <c r="K25" s="46" t="n"/>
    </row>
    <row r="26">
      <c r="B26" s="9"/>
      <c r="C26" s="36"/>
      <c r="D26" s="36"/>
      <c r="E26" s="13" t="s">
        <v>282</v>
      </c>
      <c r="F26" s="47" t="n"/>
      <c r="G26" s="47" t="n"/>
      <c r="H26" s="47" t="n"/>
      <c r="I26" s="47" t="n"/>
      <c r="J26" s="47" t="n"/>
      <c r="K26" s="47" t="n"/>
    </row>
    <row r="27">
      <c r="B27" s="9"/>
      <c r="C27" s="36"/>
      <c r="D27" s="36"/>
      <c r="E27" s="14" t="s">
        <v>283</v>
      </c>
      <c r="F27" s="46" t="n"/>
      <c r="G27" s="46" t="n"/>
      <c r="H27" s="46" t="n"/>
      <c r="I27" s="46" t="n"/>
      <c r="J27" s="46" t="n"/>
      <c r="K27" s="46" t="n"/>
    </row>
    <row r="28">
      <c r="B28" s="9"/>
      <c r="C28" s="36"/>
      <c r="D28" s="37"/>
      <c r="E28" s="53" t="s">
        <v>284</v>
      </c>
      <c r="F28" s="47" t="n">
        <f>SUM(F25:F27)</f>
      </c>
      <c r="G28" s="47" t="n">
        <f>SUM(G25:G27)</f>
      </c>
      <c r="H28" s="47" t="n">
        <f>SUM(H25:H27)</f>
      </c>
      <c r="I28" s="47" t="n">
        <f>SUM(I25:I27)</f>
      </c>
      <c r="J28" s="47" t="n">
        <f>SUM(J25:J27)</f>
      </c>
      <c r="K28" s="47" t="n">
        <f>SUM(K25:K27)</f>
      </c>
    </row>
    <row r="29">
      <c r="B29" s="9"/>
      <c r="C29" s="36"/>
      <c r="D29" s="10" t="s">
        <v>285</v>
      </c>
      <c r="E29" s="8"/>
      <c r="F29" s="46" t="n"/>
      <c r="G29" s="46" t="n"/>
      <c r="H29" s="46" t="n"/>
      <c r="I29" s="46" t="n"/>
      <c r="J29" s="46" t="n"/>
      <c r="K29" s="46" t="n"/>
    </row>
    <row r="30">
      <c r="B30" s="9"/>
      <c r="C30" s="36"/>
      <c r="D30" s="33" t="s">
        <v>286</v>
      </c>
      <c r="E30" s="35"/>
      <c r="F30" s="18"/>
      <c r="G30" s="18"/>
      <c r="H30" s="18"/>
      <c r="I30" s="18"/>
      <c r="J30" s="18"/>
      <c r="K30" s="18"/>
    </row>
    <row r="31">
      <c r="B31" s="9"/>
      <c r="C31" s="36"/>
      <c r="D31" s="36"/>
      <c r="E31" s="14" t="s">
        <v>287</v>
      </c>
      <c r="F31" s="46" t="n"/>
      <c r="G31" s="46" t="n"/>
      <c r="H31" s="46" t="n"/>
      <c r="I31" s="46" t="n"/>
      <c r="J31" s="46" t="n"/>
      <c r="K31" s="46" t="n"/>
    </row>
    <row r="32">
      <c r="B32" s="9"/>
      <c r="C32" s="36"/>
      <c r="D32" s="36"/>
      <c r="E32" s="13" t="s">
        <v>288</v>
      </c>
      <c r="F32" s="47" t="n"/>
      <c r="G32" s="47" t="n"/>
      <c r="H32" s="47" t="n"/>
      <c r="I32" s="47" t="n"/>
      <c r="J32" s="47" t="n"/>
      <c r="K32" s="47" t="n"/>
    </row>
    <row r="33">
      <c r="B33" s="9"/>
      <c r="C33" s="36"/>
      <c r="D33" s="36"/>
      <c r="E33" s="14" t="s">
        <v>289</v>
      </c>
      <c r="F33" s="46" t="n"/>
      <c r="G33" s="46" t="n"/>
      <c r="H33" s="46" t="n"/>
      <c r="I33" s="46" t="n"/>
      <c r="J33" s="46" t="n"/>
      <c r="K33" s="46" t="n"/>
    </row>
    <row r="34">
      <c r="B34" s="9"/>
      <c r="C34" s="36"/>
      <c r="D34" s="36"/>
      <c r="E34" s="13" t="s">
        <v>290</v>
      </c>
      <c r="F34" s="47" t="n"/>
      <c r="G34" s="47" t="n"/>
      <c r="H34" s="47" t="n"/>
      <c r="I34" s="47" t="n"/>
      <c r="J34" s="47" t="n"/>
      <c r="K34" s="47" t="n"/>
    </row>
    <row r="35">
      <c r="B35" s="9"/>
      <c r="C35" s="36"/>
      <c r="D35" s="36"/>
      <c r="E35" s="14" t="s">
        <v>291</v>
      </c>
      <c r="F35" s="46" t="n"/>
      <c r="G35" s="46" t="n"/>
      <c r="H35" s="46" t="n"/>
      <c r="I35" s="46" t="n"/>
      <c r="J35" s="46" t="n"/>
      <c r="K35" s="46" t="n"/>
    </row>
    <row r="36">
      <c r="B36" s="9"/>
      <c r="C36" s="36"/>
      <c r="D36" s="36"/>
      <c r="E36" s="13" t="s">
        <v>292</v>
      </c>
      <c r="F36" s="47" t="n"/>
      <c r="G36" s="47" t="n"/>
      <c r="H36" s="47" t="n"/>
      <c r="I36" s="47" t="n"/>
      <c r="J36" s="47" t="n"/>
      <c r="K36" s="47" t="n"/>
    </row>
    <row r="37">
      <c r="B37" s="9"/>
      <c r="C37" s="36"/>
      <c r="D37" s="37"/>
      <c r="E37" s="51" t="s">
        <v>293</v>
      </c>
      <c r="F37" s="46" t="n">
        <f>SUM(F31:F36)</f>
      </c>
      <c r="G37" s="46" t="n">
        <f>SUM(G31:G36)</f>
      </c>
      <c r="H37" s="46" t="n">
        <f>SUM(H31:H36)</f>
      </c>
      <c r="I37" s="46" t="n">
        <f>SUM(I31:I36)</f>
      </c>
      <c r="J37" s="46" t="n">
        <f>SUM(J31:J36)</f>
      </c>
      <c r="K37" s="46" t="n">
        <f>SUM(K31:K36)</f>
      </c>
    </row>
    <row r="38">
      <c r="B38" s="9"/>
      <c r="C38" s="36"/>
      <c r="D38" s="37" t="s">
        <v>294</v>
      </c>
      <c r="E38" s="35"/>
      <c r="F38" s="47" t="n"/>
      <c r="G38" s="47" t="n"/>
      <c r="H38" s="47" t="n"/>
      <c r="I38" s="47" t="n"/>
      <c r="J38" s="47" t="n"/>
      <c r="K38" s="47" t="n"/>
    </row>
    <row r="39">
      <c r="B39" s="9"/>
      <c r="C39" s="36"/>
      <c r="D39" s="10" t="s">
        <v>295</v>
      </c>
      <c r="E39" s="8"/>
      <c r="F39" s="46" t="n"/>
      <c r="G39" s="46" t="n"/>
      <c r="H39" s="46" t="n"/>
      <c r="I39" s="46" t="n"/>
      <c r="J39" s="46" t="n"/>
      <c r="K39" s="46" t="n"/>
    </row>
    <row r="40">
      <c r="B40" s="9"/>
      <c r="C40" s="36"/>
      <c r="D40" s="33" t="s">
        <v>296</v>
      </c>
      <c r="E40" s="35"/>
      <c r="F40" s="18"/>
      <c r="G40" s="18"/>
      <c r="H40" s="18"/>
      <c r="I40" s="18"/>
      <c r="J40" s="18"/>
      <c r="K40" s="18"/>
    </row>
    <row r="41">
      <c r="B41" s="9"/>
      <c r="C41" s="36"/>
      <c r="D41" s="36"/>
      <c r="E41" s="14" t="s">
        <v>297</v>
      </c>
      <c r="F41" s="46" t="n"/>
      <c r="G41" s="46" t="n"/>
      <c r="H41" s="46" t="n"/>
      <c r="I41" s="46" t="n"/>
      <c r="J41" s="46" t="n"/>
      <c r="K41" s="46" t="n"/>
    </row>
    <row r="42">
      <c r="B42" s="9"/>
      <c r="C42" s="36"/>
      <c r="D42" s="36"/>
      <c r="E42" s="13" t="s">
        <v>298</v>
      </c>
      <c r="F42" s="47" t="n"/>
      <c r="G42" s="47" t="n"/>
      <c r="H42" s="47" t="n"/>
      <c r="I42" s="47" t="n"/>
      <c r="J42" s="47" t="n"/>
      <c r="K42" s="47" t="n"/>
    </row>
    <row r="43">
      <c r="B43" s="9"/>
      <c r="C43" s="36"/>
      <c r="D43" s="36"/>
      <c r="E43" s="14" t="s">
        <v>299</v>
      </c>
      <c r="F43" s="46" t="n"/>
      <c r="G43" s="46" t="n"/>
      <c r="H43" s="46" t="n"/>
      <c r="I43" s="46" t="n"/>
      <c r="J43" s="46" t="n"/>
      <c r="K43" s="46" t="n"/>
    </row>
    <row r="44">
      <c r="B44" s="9"/>
      <c r="C44" s="36"/>
      <c r="D44" s="36"/>
      <c r="E44" s="13" t="s">
        <v>300</v>
      </c>
      <c r="F44" s="47" t="n"/>
      <c r="G44" s="47" t="n"/>
      <c r="H44" s="47" t="n"/>
      <c r="I44" s="47" t="n"/>
      <c r="J44" s="47" t="n"/>
      <c r="K44" s="47" t="n"/>
    </row>
    <row r="45">
      <c r="B45" s="9"/>
      <c r="C45" s="36"/>
      <c r="D45" s="36"/>
      <c r="E45" s="14" t="s">
        <v>301</v>
      </c>
      <c r="F45" s="46" t="n"/>
      <c r="G45" s="46" t="n"/>
      <c r="H45" s="46" t="n"/>
      <c r="I45" s="46" t="n"/>
      <c r="J45" s="46" t="n"/>
      <c r="K45" s="46" t="n"/>
    </row>
    <row r="46">
      <c r="B46" s="9"/>
      <c r="C46" s="36"/>
      <c r="D46" s="36"/>
      <c r="E46" s="13" t="s">
        <v>302</v>
      </c>
      <c r="F46" s="47" t="n"/>
      <c r="G46" s="47" t="n"/>
      <c r="H46" s="47" t="n"/>
      <c r="I46" s="47" t="n"/>
      <c r="J46" s="47" t="n"/>
      <c r="K46" s="47" t="n"/>
    </row>
    <row r="47">
      <c r="B47" s="9"/>
      <c r="C47" s="36"/>
      <c r="D47" s="36"/>
      <c r="E47" s="14" t="s">
        <v>303</v>
      </c>
      <c r="F47" s="46" t="n"/>
      <c r="G47" s="46" t="n"/>
      <c r="H47" s="46" t="n"/>
      <c r="I47" s="46" t="n"/>
      <c r="J47" s="46" t="n"/>
      <c r="K47" s="46" t="n"/>
    </row>
    <row r="48">
      <c r="B48" s="9"/>
      <c r="C48" s="36"/>
      <c r="D48" s="36"/>
      <c r="E48" s="13" t="s">
        <v>304</v>
      </c>
      <c r="F48" s="47" t="n"/>
      <c r="G48" s="47" t="n"/>
      <c r="H48" s="47" t="n"/>
      <c r="I48" s="47" t="n"/>
      <c r="J48" s="47" t="n"/>
      <c r="K48" s="47" t="n"/>
    </row>
    <row r="49">
      <c r="B49" s="9"/>
      <c r="C49" s="36"/>
      <c r="D49" s="36"/>
      <c r="E49" s="14" t="s">
        <v>305</v>
      </c>
      <c r="F49" s="46" t="n"/>
      <c r="G49" s="46" t="n"/>
      <c r="H49" s="46" t="n"/>
      <c r="I49" s="46" t="n"/>
      <c r="J49" s="46" t="n"/>
      <c r="K49" s="46" t="n"/>
    </row>
    <row r="50">
      <c r="B50" s="9"/>
      <c r="C50" s="36"/>
      <c r="D50" s="36"/>
      <c r="E50" s="13" t="s">
        <v>306</v>
      </c>
      <c r="F50" s="47" t="n"/>
      <c r="G50" s="47" t="n"/>
      <c r="H50" s="47" t="n"/>
      <c r="I50" s="47" t="n"/>
      <c r="J50" s="47" t="n"/>
      <c r="K50" s="47" t="n"/>
    </row>
    <row r="51">
      <c r="B51" s="9"/>
      <c r="C51" s="36"/>
      <c r="D51" s="36"/>
      <c r="E51" s="14" t="s">
        <v>307</v>
      </c>
      <c r="F51" s="46" t="n"/>
      <c r="G51" s="46" t="n"/>
      <c r="H51" s="46" t="n"/>
      <c r="I51" s="46" t="n"/>
      <c r="J51" s="46" t="n"/>
      <c r="K51" s="46" t="n"/>
    </row>
    <row r="52">
      <c r="B52" s="9"/>
      <c r="C52" s="36"/>
      <c r="D52" s="36"/>
      <c r="E52" s="13" t="s">
        <v>308</v>
      </c>
      <c r="F52" s="47" t="n"/>
      <c r="G52" s="47" t="n"/>
      <c r="H52" s="47" t="n"/>
      <c r="I52" s="47" t="n"/>
      <c r="J52" s="47" t="n"/>
      <c r="K52" s="47" t="n"/>
    </row>
    <row r="53">
      <c r="B53" s="9"/>
      <c r="C53" s="36"/>
      <c r="D53" s="36"/>
      <c r="E53" s="14" t="s">
        <v>309</v>
      </c>
      <c r="F53" s="46" t="n"/>
      <c r="G53" s="46" t="n"/>
      <c r="H53" s="46" t="n"/>
      <c r="I53" s="46" t="n"/>
      <c r="J53" s="46" t="n"/>
      <c r="K53" s="46" t="n"/>
    </row>
    <row r="54">
      <c r="B54" s="9"/>
      <c r="C54" s="36"/>
      <c r="D54" s="37"/>
      <c r="E54" s="13" t="s">
        <v>310</v>
      </c>
      <c r="F54" s="47" t="n">
        <f>SUM(F41:F53)</f>
      </c>
      <c r="G54" s="47" t="n">
        <f>SUM(G41:G53)</f>
      </c>
      <c r="H54" s="47" t="n">
        <f>SUM(H41:H53)</f>
      </c>
      <c r="I54" s="47" t="n">
        <f>SUM(I41:I53)</f>
      </c>
      <c r="J54" s="47" t="n">
        <f>SUM(J41:J53)</f>
      </c>
      <c r="K54" s="47" t="n">
        <f>SUM(K41:K53)</f>
      </c>
    </row>
    <row r="55">
      <c r="B55" s="9"/>
      <c r="C55" s="36"/>
      <c r="D55" s="7" t="s">
        <v>311</v>
      </c>
      <c r="E55" s="8"/>
      <c r="F55" s="17"/>
      <c r="G55" s="17"/>
      <c r="H55" s="17"/>
      <c r="I55" s="17"/>
      <c r="J55" s="17"/>
      <c r="K55" s="17"/>
    </row>
    <row r="56">
      <c r="B56" s="9"/>
      <c r="C56" s="36"/>
      <c r="D56" s="9"/>
      <c r="E56" s="13" t="s">
        <v>312</v>
      </c>
      <c r="F56" s="47" t="n"/>
      <c r="G56" s="47" t="n"/>
      <c r="H56" s="47" t="n"/>
      <c r="I56" s="47" t="n"/>
      <c r="J56" s="47" t="n"/>
      <c r="K56" s="47" t="n"/>
    </row>
    <row r="57">
      <c r="B57" s="9"/>
      <c r="C57" s="36"/>
      <c r="D57" s="9"/>
      <c r="E57" s="14" t="s">
        <v>313</v>
      </c>
      <c r="F57" s="46" t="n"/>
      <c r="G57" s="46" t="n"/>
      <c r="H57" s="46" t="n"/>
      <c r="I57" s="46" t="n"/>
      <c r="J57" s="46" t="n"/>
      <c r="K57" s="46" t="n"/>
    </row>
    <row r="58">
      <c r="B58" s="9"/>
      <c r="C58" s="36"/>
      <c r="D58" s="9"/>
      <c r="E58" s="13" t="s">
        <v>314</v>
      </c>
      <c r="F58" s="47" t="n"/>
      <c r="G58" s="47" t="n"/>
      <c r="H58" s="47" t="n"/>
      <c r="I58" s="47" t="n"/>
      <c r="J58" s="47" t="n"/>
      <c r="K58" s="47" t="n"/>
    </row>
    <row r="59">
      <c r="B59" s="9"/>
      <c r="C59" s="36"/>
      <c r="D59" s="9"/>
      <c r="E59" s="14" t="s">
        <v>315</v>
      </c>
      <c r="F59" s="46" t="n"/>
      <c r="G59" s="46" t="n"/>
      <c r="H59" s="46" t="n"/>
      <c r="I59" s="46" t="n"/>
      <c r="J59" s="46" t="n"/>
      <c r="K59" s="46" t="n"/>
    </row>
    <row r="60">
      <c r="B60" s="9"/>
      <c r="C60" s="36"/>
      <c r="D60" s="9"/>
      <c r="E60" s="13" t="s">
        <v>316</v>
      </c>
      <c r="F60" s="47" t="n"/>
      <c r="G60" s="47" t="n"/>
      <c r="H60" s="47" t="n"/>
      <c r="I60" s="47" t="n"/>
      <c r="J60" s="47" t="n"/>
      <c r="K60" s="47" t="n"/>
    </row>
    <row r="61">
      <c r="B61" s="9"/>
      <c r="C61" s="36"/>
      <c r="D61" s="9"/>
      <c r="E61" s="14" t="s">
        <v>317</v>
      </c>
      <c r="F61" s="46" t="n"/>
      <c r="G61" s="46" t="n"/>
      <c r="H61" s="46" t="n"/>
      <c r="I61" s="46" t="n"/>
      <c r="J61" s="46" t="n"/>
      <c r="K61" s="46" t="n"/>
    </row>
    <row r="62">
      <c r="B62" s="9"/>
      <c r="C62" s="36"/>
      <c r="D62" s="9"/>
      <c r="E62" s="13" t="s">
        <v>318</v>
      </c>
      <c r="F62" s="47" t="n"/>
      <c r="G62" s="47" t="n"/>
      <c r="H62" s="47" t="n"/>
      <c r="I62" s="47" t="n"/>
      <c r="J62" s="47" t="n"/>
      <c r="K62" s="47" t="n"/>
    </row>
    <row r="63">
      <c r="B63" s="9"/>
      <c r="C63" s="36"/>
      <c r="D63" s="9"/>
      <c r="E63" s="14" t="s">
        <v>319</v>
      </c>
      <c r="F63" s="46" t="n"/>
      <c r="G63" s="46" t="n"/>
      <c r="H63" s="46" t="n"/>
      <c r="I63" s="46" t="n"/>
      <c r="J63" s="46" t="n"/>
      <c r="K63" s="46" t="n"/>
    </row>
    <row r="64">
      <c r="B64" s="9"/>
      <c r="C64" s="36"/>
      <c r="D64" s="9"/>
      <c r="E64" s="13" t="s">
        <v>320</v>
      </c>
      <c r="F64" s="47" t="n"/>
      <c r="G64" s="47" t="n"/>
      <c r="H64" s="47" t="n"/>
      <c r="I64" s="47" t="n"/>
      <c r="J64" s="47" t="n"/>
      <c r="K64" s="47" t="n"/>
    </row>
    <row r="65">
      <c r="B65" s="9"/>
      <c r="C65" s="36"/>
      <c r="D65" s="9"/>
      <c r="E65" s="14" t="s">
        <v>321</v>
      </c>
      <c r="F65" s="46" t="n"/>
      <c r="G65" s="46" t="n"/>
      <c r="H65" s="46" t="n"/>
      <c r="I65" s="46" t="n"/>
      <c r="J65" s="46" t="n"/>
      <c r="K65" s="46" t="n"/>
    </row>
    <row r="66">
      <c r="B66" s="9"/>
      <c r="C66" s="36"/>
      <c r="D66" s="9"/>
      <c r="E66" s="13" t="s">
        <v>322</v>
      </c>
      <c r="F66" s="47" t="n"/>
      <c r="G66" s="47" t="n"/>
      <c r="H66" s="47" t="n"/>
      <c r="I66" s="47" t="n"/>
      <c r="J66" s="47" t="n"/>
      <c r="K66" s="47" t="n"/>
    </row>
    <row r="67">
      <c r="B67" s="9"/>
      <c r="C67" s="36"/>
      <c r="D67" s="10"/>
      <c r="E67" s="51" t="s">
        <v>323</v>
      </c>
      <c r="F67" s="46" t="n">
        <f>SUM(F56:F66)</f>
      </c>
      <c r="G67" s="46" t="n">
        <f>SUM(G56:G66)</f>
      </c>
      <c r="H67" s="46" t="n">
        <f>SUM(H56:H66)</f>
      </c>
      <c r="I67" s="46" t="n">
        <f>SUM(I56:I66)</f>
      </c>
      <c r="J67" s="46" t="n">
        <f>SUM(J56:J66)</f>
      </c>
      <c r="K67" s="46" t="n">
        <f>SUM(K56:K66)</f>
      </c>
    </row>
    <row r="68">
      <c r="B68" s="9"/>
      <c r="C68" s="36"/>
      <c r="D68" s="33" t="s">
        <v>324</v>
      </c>
      <c r="E68" s="35"/>
      <c r="F68" s="18"/>
      <c r="G68" s="18"/>
      <c r="H68" s="18"/>
      <c r="I68" s="18"/>
      <c r="J68" s="18"/>
      <c r="K68" s="18"/>
    </row>
    <row r="69">
      <c r="B69" s="9"/>
      <c r="C69" s="36"/>
      <c r="D69" s="36"/>
      <c r="E69" s="14" t="s">
        <v>325</v>
      </c>
      <c r="F69" s="46" t="n"/>
      <c r="G69" s="46" t="n"/>
      <c r="H69" s="46" t="n"/>
      <c r="I69" s="46" t="n"/>
      <c r="J69" s="46" t="n"/>
      <c r="K69" s="46" t="n"/>
    </row>
    <row r="70">
      <c r="B70" s="9"/>
      <c r="C70" s="36"/>
      <c r="D70" s="36"/>
      <c r="E70" s="13" t="s">
        <v>326</v>
      </c>
      <c r="F70" s="47" t="n"/>
      <c r="G70" s="47" t="n"/>
      <c r="H70" s="47" t="n"/>
      <c r="I70" s="47" t="n"/>
      <c r="J70" s="47" t="n"/>
      <c r="K70" s="47" t="n"/>
    </row>
    <row r="71">
      <c r="B71" s="9"/>
      <c r="C71" s="36"/>
      <c r="D71" s="36"/>
      <c r="E71" s="14" t="s">
        <v>327</v>
      </c>
      <c r="F71" s="46" t="n"/>
      <c r="G71" s="46" t="n"/>
      <c r="H71" s="46" t="n"/>
      <c r="I71" s="46" t="n"/>
      <c r="J71" s="46" t="n"/>
      <c r="K71" s="46" t="n"/>
    </row>
    <row r="72">
      <c r="B72" s="9"/>
      <c r="C72" s="36"/>
      <c r="D72" s="36"/>
      <c r="E72" s="13" t="s">
        <v>328</v>
      </c>
      <c r="F72" s="47" t="n"/>
      <c r="G72" s="47" t="n"/>
      <c r="H72" s="47" t="n"/>
      <c r="I72" s="47" t="n"/>
      <c r="J72" s="47" t="n"/>
      <c r="K72" s="47" t="n"/>
    </row>
    <row r="73">
      <c r="B73" s="9"/>
      <c r="C73" s="36"/>
      <c r="D73" s="36"/>
      <c r="E73" s="14" t="s">
        <v>329</v>
      </c>
      <c r="F73" s="46" t="n"/>
      <c r="G73" s="46" t="n"/>
      <c r="H73" s="46" t="n"/>
      <c r="I73" s="46" t="n"/>
      <c r="J73" s="46" t="n"/>
      <c r="K73" s="46" t="n"/>
    </row>
    <row r="74">
      <c r="B74" s="9"/>
      <c r="C74" s="36"/>
      <c r="D74" s="36"/>
      <c r="E74" s="13" t="s">
        <v>330</v>
      </c>
      <c r="F74" s="47" t="n"/>
      <c r="G74" s="47" t="n"/>
      <c r="H74" s="47" t="n"/>
      <c r="I74" s="47" t="n"/>
      <c r="J74" s="47" t="n"/>
      <c r="K74" s="47" t="n"/>
    </row>
    <row r="75">
      <c r="B75" s="9"/>
      <c r="C75" s="36"/>
      <c r="D75" s="37"/>
      <c r="E75" s="51" t="s">
        <v>331</v>
      </c>
      <c r="F75" s="46" t="n">
        <f>SUM(F69:F74)</f>
      </c>
      <c r="G75" s="46" t="n">
        <f>SUM(G69:G74)</f>
      </c>
      <c r="H75" s="46" t="n">
        <f>SUM(H69:H74)</f>
      </c>
      <c r="I75" s="46" t="n">
        <f>SUM(I69:I74)</f>
      </c>
      <c r="J75" s="46" t="n">
        <f>SUM(J69:J74)</f>
      </c>
      <c r="K75" s="46" t="n">
        <f>SUM(K69:K74)</f>
      </c>
    </row>
    <row r="76">
      <c r="B76" s="9"/>
      <c r="C76" s="36"/>
      <c r="D76" s="37" t="s">
        <v>332</v>
      </c>
      <c r="E76" s="35"/>
      <c r="F76" s="47" t="n"/>
      <c r="G76" s="47" t="n"/>
      <c r="H76" s="47" t="n"/>
      <c r="I76" s="47" t="n"/>
      <c r="J76" s="47" t="n"/>
      <c r="K76" s="47" t="n"/>
    </row>
    <row r="77">
      <c r="B77" s="9"/>
      <c r="C77" s="36"/>
      <c r="D77" s="10" t="s">
        <v>333</v>
      </c>
      <c r="E77" s="8"/>
      <c r="F77" s="46" t="n"/>
      <c r="G77" s="46" t="n"/>
      <c r="H77" s="46" t="n"/>
      <c r="I77" s="46" t="n"/>
      <c r="J77" s="46" t="n"/>
      <c r="K77" s="46" t="n"/>
    </row>
    <row r="78">
      <c r="B78" s="9"/>
      <c r="C78" s="36"/>
      <c r="D78" s="37" t="s">
        <v>334</v>
      </c>
      <c r="E78" s="35"/>
      <c r="F78" s="47" t="n"/>
      <c r="G78" s="47" t="n"/>
      <c r="H78" s="47" t="n"/>
      <c r="I78" s="47" t="n"/>
      <c r="J78" s="47" t="n"/>
      <c r="K78" s="47" t="n"/>
    </row>
    <row r="79">
      <c r="B79" s="9"/>
      <c r="C79" s="36"/>
      <c r="D79" s="10" t="s">
        <v>335</v>
      </c>
      <c r="E79" s="8"/>
      <c r="F79" s="46" t="n"/>
      <c r="G79" s="46" t="n"/>
      <c r="H79" s="46" t="n"/>
      <c r="I79" s="46" t="n"/>
      <c r="J79" s="46" t="n"/>
      <c r="K79" s="46" t="n"/>
    </row>
    <row r="80">
      <c r="B80" s="9"/>
      <c r="C80" s="36"/>
      <c r="D80" s="37" t="s">
        <v>336</v>
      </c>
      <c r="E80" s="35"/>
      <c r="F80" s="47" t="n"/>
      <c r="G80" s="47" t="n"/>
      <c r="H80" s="47" t="n"/>
      <c r="I80" s="47" t="n"/>
      <c r="J80" s="47" t="n"/>
      <c r="K80" s="47" t="n"/>
    </row>
    <row r="81">
      <c r="B81" s="9"/>
      <c r="C81" s="36"/>
      <c r="D81" s="10" t="s">
        <v>337</v>
      </c>
      <c r="E81" s="8"/>
      <c r="F81" s="46" t="n"/>
      <c r="G81" s="46" t="n"/>
      <c r="H81" s="46" t="n"/>
      <c r="I81" s="46" t="n"/>
      <c r="J81" s="46" t="n"/>
      <c r="K81" s="46" t="n"/>
    </row>
    <row r="82">
      <c r="B82" s="9"/>
      <c r="C82" s="36"/>
      <c r="D82" s="37" t="s">
        <v>338</v>
      </c>
      <c r="E82" s="35"/>
      <c r="F82" s="47" t="n"/>
      <c r="G82" s="47" t="n"/>
      <c r="H82" s="47" t="n"/>
      <c r="I82" s="47" t="n"/>
      <c r="J82" s="47" t="n"/>
      <c r="K82" s="47" t="n"/>
    </row>
    <row r="83">
      <c r="B83" s="9"/>
      <c r="C83" s="36"/>
      <c r="D83" s="10" t="s">
        <v>339</v>
      </c>
      <c r="E83" s="8"/>
      <c r="F83" s="46" t="n"/>
      <c r="G83" s="46" t="n"/>
      <c r="H83" s="46" t="n"/>
      <c r="I83" s="46" t="n"/>
      <c r="J83" s="46" t="n"/>
      <c r="K83" s="46" t="n"/>
    </row>
    <row r="84">
      <c r="B84" s="9"/>
      <c r="C84" s="36"/>
      <c r="D84" s="37" t="s">
        <v>340</v>
      </c>
      <c r="E84" s="35"/>
      <c r="F84" s="47" t="n"/>
      <c r="G84" s="47" t="n"/>
      <c r="H84" s="47" t="n"/>
      <c r="I84" s="47" t="n"/>
      <c r="J84" s="47" t="n"/>
      <c r="K84" s="47" t="n"/>
    </row>
    <row r="85">
      <c r="B85" s="9"/>
      <c r="C85" s="36"/>
      <c r="D85" s="10" t="s">
        <v>341</v>
      </c>
      <c r="E85" s="8"/>
      <c r="F85" s="46" t="n"/>
      <c r="G85" s="46" t="n"/>
      <c r="H85" s="46" t="n"/>
      <c r="I85" s="46" t="n"/>
      <c r="J85" s="46" t="n"/>
      <c r="K85" s="46" t="n"/>
    </row>
    <row r="86">
      <c r="B86" s="10"/>
      <c r="C86" s="37"/>
      <c r="D86" s="44" t="s">
        <v>342</v>
      </c>
      <c r="E86" s="43"/>
      <c r="F86" s="52" t="n">
        <f>SUM(F17:F23)+F28+F29+SUM(F37:F39)+F54+F67+SUM(F75:F85)</f>
      </c>
      <c r="G86" s="52" t="n">
        <f>SUM(G17:G23)+G28+G29+SUM(G37:G39)+G54+G67+SUM(G75:G85)</f>
      </c>
      <c r="H86" s="52" t="n">
        <f>SUM(H17:H23)+H28+H29+SUM(H37:H39)+H54+H67+SUM(H75:H85)</f>
      </c>
      <c r="I86" s="52" t="n">
        <f>SUM(I17:I23)+I28+I29+SUM(I37:I39)+I54+I67+SUM(I75:I85)</f>
      </c>
      <c r="J86" s="52" t="n">
        <f>SUM(J17:J23)+J28+J29+SUM(J37:J39)+J54+J67+SUM(J75:J85)</f>
      </c>
      <c r="K86" s="52" t="n">
        <f>SUM(K17:K23)+K28+K29+SUM(K37:K39)+K54+K67+SUM(K75:K85)</f>
      </c>
    </row>
  </sheetData>
  <mergeCells>
    <mergeCell ref="F10:K10"/>
    <mergeCell ref="F11:K11"/>
    <mergeCell ref="B13:E13"/>
    <mergeCell ref="C14:E14"/>
    <mergeCell ref="D15:E15"/>
    <mergeCell ref="C16:E16"/>
    <mergeCell ref="D17:E17"/>
    <mergeCell ref="D18:E18"/>
    <mergeCell ref="D19:E19"/>
    <mergeCell ref="D20:E20"/>
    <mergeCell ref="D21:E21"/>
    <mergeCell ref="D22:E22"/>
    <mergeCell ref="D23:E23"/>
    <mergeCell ref="D24:E24"/>
    <mergeCell ref="D29:E29"/>
    <mergeCell ref="D30:E30"/>
    <mergeCell ref="D38:E38"/>
    <mergeCell ref="D39:E39"/>
    <mergeCell ref="D40:E40"/>
    <mergeCell ref="D55:E55"/>
    <mergeCell ref="D68:E68"/>
    <mergeCell ref="D76:E76"/>
    <mergeCell ref="D77:E77"/>
    <mergeCell ref="D78:E78"/>
    <mergeCell ref="D79:E79"/>
    <mergeCell ref="D80:E80"/>
    <mergeCell ref="D81:E81"/>
    <mergeCell ref="D82:E82"/>
    <mergeCell ref="D83:E83"/>
    <mergeCell ref="D84:E84"/>
    <mergeCell ref="D85:E85"/>
    <mergeCell ref="D86:E86"/>
  </mergeCells>
  <hyperlinks>
    <hyperlink location="'Indice'!A1" ref="B2"/>
  </hyperlinks>
  <pageMargins bottom="0.75" footer="0.3" header="0.3" left="0.7" right="0.7" top="0.75"/>
</worksheet>
</file>

<file path=xl/worksheets/sheet26.xml><?xml version="1.0" encoding="utf-8"?>
<worksheet xmlns="http://schemas.openxmlformats.org/spreadsheetml/2006/main">
  <dimension ref="B2:I27"/>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s>
  <sheetData>
    <row r="2">
      <c r="B2" t="s" s="2">
        <v>1</v>
      </c>
    </row>
    <row r="3">
      <c r="B3" t="s" s="1">
        <v>3</v>
      </c>
      <c r="C3" t="s">
        <v>4</v>
      </c>
    </row>
    <row r="4">
      <c r="B4" s="1" t="s">
        <v>5</v>
      </c>
      <c r="C4" t="s">
        <v>6</v>
      </c>
    </row>
    <row r="5">
      <c r="B5" t="s" s="1">
        <v>7</v>
      </c>
      <c r="C5" t="s">
        <v>648</v>
      </c>
    </row>
    <row r="6">
      <c r="B6" t="s" s="1">
        <v>8</v>
      </c>
      <c r="C6" t="s">
        <v>9</v>
      </c>
    </row>
    <row r="7">
      <c r="B7" t="s" s="1">
        <v>10</v>
      </c>
      <c r="C7" t="s">
        <v>9</v>
      </c>
    </row>
    <row r="8">
      <c r="B8" t="s" s="1">
        <v>11</v>
      </c>
      <c r="C8" t="s">
        <v>12</v>
      </c>
    </row>
    <row r="10" ht="42.0" customHeight="true">
      <c r="E10" t="s" s="4">
        <v>649</v>
      </c>
      <c r="F10" s="24"/>
      <c r="G10" s="24"/>
      <c r="H10" s="25"/>
    </row>
    <row r="11">
      <c r="E11" t="s" s="27">
        <v>597</v>
      </c>
      <c r="F11" s="56"/>
      <c r="G11" s="57"/>
      <c r="H11" s="28" t="s">
        <v>651</v>
      </c>
    </row>
    <row r="12">
      <c r="E12" t="s" s="6">
        <v>27</v>
      </c>
      <c r="F12" t="s" s="29">
        <v>28</v>
      </c>
      <c r="G12" s="6" t="s">
        <v>650</v>
      </c>
      <c r="H12" s="71"/>
    </row>
    <row r="13">
      <c r="B13" s="7" t="s">
        <v>652</v>
      </c>
      <c r="C13" s="32"/>
      <c r="D13" s="8"/>
      <c r="E13" s="17"/>
      <c r="F13" s="17"/>
      <c r="G13" s="17"/>
      <c r="H13" s="17"/>
    </row>
    <row r="14">
      <c r="B14" s="9"/>
      <c r="C14" s="33" t="s">
        <v>653</v>
      </c>
      <c r="D14" s="35"/>
      <c r="E14" s="18"/>
      <c r="F14" s="18"/>
      <c r="G14" s="18"/>
      <c r="H14" s="18"/>
    </row>
    <row r="15">
      <c r="B15" s="9"/>
      <c r="C15" s="36"/>
      <c r="D15" s="14" t="s">
        <v>654</v>
      </c>
      <c r="E15" s="17"/>
      <c r="F15" s="17"/>
      <c r="G15" s="17"/>
      <c r="H15" s="16"/>
    </row>
    <row r="16">
      <c r="B16" s="9"/>
      <c r="C16" s="37"/>
      <c r="D16" s="13" t="s">
        <v>655</v>
      </c>
      <c r="E16" s="18"/>
      <c r="F16" s="18"/>
      <c r="G16" s="18"/>
      <c r="H16" s="15"/>
    </row>
    <row r="17">
      <c r="B17" s="9"/>
      <c r="C17" s="7" t="s">
        <v>656</v>
      </c>
      <c r="D17" s="8"/>
      <c r="E17" s="17"/>
      <c r="F17" s="17"/>
      <c r="G17" s="17"/>
      <c r="H17" s="17"/>
    </row>
    <row r="18">
      <c r="B18" s="9"/>
      <c r="C18" s="9"/>
      <c r="D18" s="13" t="s">
        <v>657</v>
      </c>
      <c r="E18" s="47" t="n"/>
      <c r="F18" s="47" t="n"/>
      <c r="G18" s="18"/>
      <c r="H18" s="18"/>
    </row>
    <row r="19">
      <c r="B19" s="9"/>
      <c r="C19" s="9"/>
      <c r="D19" s="14" t="s">
        <v>658</v>
      </c>
      <c r="E19" s="46" t="n"/>
      <c r="F19" s="46" t="n"/>
      <c r="G19" s="17"/>
      <c r="H19" s="17"/>
    </row>
    <row r="20">
      <c r="B20" s="9"/>
      <c r="C20" s="9"/>
      <c r="D20" s="13" t="s">
        <v>659</v>
      </c>
      <c r="E20" s="47" t="n"/>
      <c r="F20" s="47" t="n"/>
      <c r="G20" s="18"/>
      <c r="H20" s="18"/>
    </row>
    <row r="21">
      <c r="B21" s="9"/>
      <c r="C21" s="9"/>
      <c r="D21" s="14" t="s">
        <v>660</v>
      </c>
      <c r="E21" s="46" t="n"/>
      <c r="F21" s="46" t="n"/>
      <c r="G21" s="17"/>
      <c r="H21" s="17"/>
    </row>
    <row r="22">
      <c r="B22" s="9"/>
      <c r="C22" s="9"/>
      <c r="D22" s="13" t="s">
        <v>661</v>
      </c>
      <c r="E22" s="47" t="n"/>
      <c r="F22" s="47" t="n"/>
      <c r="G22" s="18"/>
      <c r="H22" s="18"/>
    </row>
    <row r="23">
      <c r="B23" s="9"/>
      <c r="C23" s="9"/>
      <c r="D23" s="14" t="s">
        <v>662</v>
      </c>
      <c r="E23" s="46" t="n"/>
      <c r="F23" s="46" t="n"/>
      <c r="G23" s="17"/>
      <c r="H23" s="17"/>
    </row>
    <row r="24">
      <c r="B24" s="9"/>
      <c r="C24" s="9"/>
      <c r="D24" s="13" t="s">
        <v>663</v>
      </c>
      <c r="E24" s="47" t="n"/>
      <c r="F24" s="18"/>
      <c r="G24" s="18"/>
      <c r="H24" s="18"/>
    </row>
    <row r="25">
      <c r="B25" s="9"/>
      <c r="C25" s="9"/>
      <c r="D25" s="14" t="s">
        <v>664</v>
      </c>
      <c r="E25" s="17"/>
      <c r="F25" s="46" t="n"/>
      <c r="G25" s="17"/>
      <c r="H25" s="17"/>
    </row>
    <row r="26">
      <c r="B26" s="9"/>
      <c r="C26" s="9"/>
      <c r="D26" s="13" t="s">
        <v>665</v>
      </c>
      <c r="E26" s="47" t="n"/>
      <c r="F26" s="47" t="n"/>
      <c r="G26" s="18"/>
      <c r="H26" s="18"/>
    </row>
    <row r="27">
      <c r="B27" s="10"/>
      <c r="C27" s="10"/>
      <c r="D27" s="14" t="s">
        <v>666</v>
      </c>
      <c r="E27" s="48" t="n"/>
      <c r="F27" s="48" t="n"/>
      <c r="G27" s="55"/>
      <c r="H27" s="55"/>
    </row>
  </sheetData>
  <mergeCells>
    <mergeCell ref="E10:H10"/>
    <mergeCell ref="E11:G11"/>
    <mergeCell ref="H11:H12"/>
    <mergeCell ref="B13:D13"/>
    <mergeCell ref="C14:D14"/>
    <mergeCell ref="C17:D17"/>
  </mergeCells>
  <dataValidations count="2">
    <dataValidation type="list" sqref="H15" allowBlank="true" errorStyle="stop" showErrorMessage="true" showDropDown="false">
      <formula1>sspdtipos_TipoClasificacionEmpresarialSegunResolucionCRA906Del2019</formula1>
    </dataValidation>
    <dataValidation type="list" sqref="H16" allowBlank="true" errorStyle="stop" showErrorMessage="true" showDropDown="false">
      <formula1>sspdtipos_TipoSiNo</formula1>
    </dataValidation>
  </dataValidations>
  <hyperlinks>
    <hyperlink location="'Indice'!A1" ref="B2"/>
  </hyperlinks>
  <pageMargins bottom="0.75" footer="0.3" header="0.3" left="0.7" right="0.7" top="0.75"/>
</worksheet>
</file>

<file path=xl/worksheets/sheet27.xml><?xml version="1.0" encoding="utf-8"?>
<worksheet xmlns="http://schemas.openxmlformats.org/spreadsheetml/2006/main">
  <dimension ref="B2:F25"/>
  <sheetViews>
    <sheetView workbookViewId="0" showGridLines="false"/>
  </sheetViews>
  <sheetFormatPr defaultRowHeight="15.0"/>
  <cols>
    <col min="2" max="2" width="2.70703125" customWidth="true"/>
    <col min="3" max="3" width="50.0" customWidth="true"/>
    <col min="4" max="4" width="15.0" customWidth="true"/>
    <col min="5" max="5" width="15.0" customWidth="true"/>
  </cols>
  <sheetData>
    <row r="2">
      <c r="B2" t="s" s="2">
        <v>1</v>
      </c>
    </row>
    <row r="3">
      <c r="B3" t="s" s="1">
        <v>3</v>
      </c>
      <c r="C3" t="s">
        <v>4</v>
      </c>
    </row>
    <row r="4">
      <c r="B4" s="1" t="s">
        <v>5</v>
      </c>
      <c r="C4" t="s">
        <v>6</v>
      </c>
    </row>
    <row r="5">
      <c r="B5" t="s" s="1">
        <v>7</v>
      </c>
      <c r="C5" t="s">
        <v>671</v>
      </c>
    </row>
    <row r="6">
      <c r="B6" t="s" s="1">
        <v>8</v>
      </c>
      <c r="C6" t="s">
        <v>9</v>
      </c>
    </row>
    <row r="7">
      <c r="B7" t="s" s="1">
        <v>10</v>
      </c>
      <c r="C7" t="s">
        <v>9</v>
      </c>
    </row>
    <row r="8">
      <c r="B8" t="s" s="1">
        <v>11</v>
      </c>
      <c r="C8" t="s">
        <v>12</v>
      </c>
    </row>
    <row r="10" ht="42.0" customHeight="true">
      <c r="D10" t="s" s="4">
        <v>672</v>
      </c>
      <c r="E10" s="25"/>
    </row>
    <row r="11">
      <c r="D11" t="s" s="27">
        <v>673</v>
      </c>
      <c r="E11" s="57"/>
    </row>
    <row r="12">
      <c r="D12" t="s" s="6">
        <v>674</v>
      </c>
      <c r="E12" s="29" t="s">
        <v>675</v>
      </c>
    </row>
    <row r="13">
      <c r="B13" s="7" t="s">
        <v>676</v>
      </c>
      <c r="C13" s="8"/>
      <c r="D13" s="17"/>
      <c r="E13" s="17"/>
    </row>
    <row r="14">
      <c r="B14" s="9"/>
      <c r="C14" s="13" t="s">
        <v>677</v>
      </c>
      <c r="D14" s="47" t="n"/>
      <c r="E14" s="47" t="n"/>
    </row>
    <row r="15">
      <c r="B15" s="9"/>
      <c r="C15" s="14" t="s">
        <v>678</v>
      </c>
      <c r="D15" s="46" t="n"/>
      <c r="E15" s="46" t="n"/>
    </row>
    <row r="16">
      <c r="B16" s="9"/>
      <c r="C16" s="13" t="s">
        <v>679</v>
      </c>
      <c r="D16" s="47" t="n"/>
      <c r="E16" s="47" t="n"/>
    </row>
    <row r="17">
      <c r="B17" s="9"/>
      <c r="C17" s="14" t="s">
        <v>680</v>
      </c>
      <c r="D17" s="46" t="n"/>
      <c r="E17" s="46" t="n"/>
    </row>
    <row r="18">
      <c r="B18" s="9"/>
      <c r="C18" s="13" t="s">
        <v>681</v>
      </c>
      <c r="D18" s="47" t="n"/>
      <c r="E18" s="47" t="n"/>
    </row>
    <row r="19">
      <c r="B19" s="9"/>
      <c r="C19" s="14" t="s">
        <v>682</v>
      </c>
      <c r="D19" s="46" t="n"/>
      <c r="E19" s="46" t="n"/>
    </row>
    <row r="20">
      <c r="B20" s="9"/>
      <c r="C20" s="13" t="s">
        <v>683</v>
      </c>
      <c r="D20" s="47" t="n"/>
      <c r="E20" s="47" t="n"/>
    </row>
    <row r="21">
      <c r="B21" s="9"/>
      <c r="C21" s="14" t="s">
        <v>684</v>
      </c>
      <c r="D21" s="46" t="n"/>
      <c r="E21" s="46" t="n"/>
    </row>
    <row r="22">
      <c r="B22" s="9"/>
      <c r="C22" s="13" t="s">
        <v>685</v>
      </c>
      <c r="D22" s="47" t="n"/>
      <c r="E22" s="47" t="n"/>
    </row>
    <row r="23">
      <c r="B23" s="9"/>
      <c r="C23" s="14" t="s">
        <v>686</v>
      </c>
      <c r="D23" s="46" t="n"/>
      <c r="E23" s="46" t="n"/>
    </row>
    <row r="24">
      <c r="B24" s="9"/>
      <c r="C24" s="13" t="s">
        <v>687</v>
      </c>
      <c r="D24" s="47" t="n"/>
      <c r="E24" s="47" t="n"/>
    </row>
    <row r="25">
      <c r="B25" s="10"/>
      <c r="C25" s="14" t="s">
        <v>688</v>
      </c>
      <c r="D25" s="48" t="n"/>
      <c r="E25" s="48" t="n"/>
    </row>
  </sheetData>
  <mergeCells>
    <mergeCell ref="D10:E10"/>
    <mergeCell ref="D11:E11"/>
    <mergeCell ref="B13:C13"/>
  </mergeCells>
  <hyperlinks>
    <hyperlink location="'Indice'!A1" ref="B2"/>
  </hyperlinks>
  <pageMargins bottom="0.75" footer="0.3" header="0.3" left="0.7" right="0.7" top="0.75"/>
</worksheet>
</file>

<file path=xl/worksheets/sheet28.xml><?xml version="1.0" encoding="utf-8"?>
<worksheet xmlns="http://schemas.openxmlformats.org/spreadsheetml/2006/main">
  <dimension ref="B2:E25"/>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689</v>
      </c>
    </row>
    <row r="6">
      <c r="B6" t="s" s="1">
        <v>8</v>
      </c>
      <c r="C6" t="s">
        <v>9</v>
      </c>
    </row>
    <row r="7">
      <c r="B7" t="s" s="1">
        <v>10</v>
      </c>
      <c r="C7" t="s">
        <v>9</v>
      </c>
    </row>
    <row r="8">
      <c r="B8" t="s" s="1">
        <v>11</v>
      </c>
      <c r="C8" t="s">
        <v>12</v>
      </c>
    </row>
    <row r="10">
      <c r="D10" t="s" s="5">
        <v>672</v>
      </c>
    </row>
    <row r="11">
      <c r="D11" s="28" t="s">
        <v>673</v>
      </c>
    </row>
    <row r="12">
      <c r="D12" s="6" t="s">
        <v>690</v>
      </c>
    </row>
    <row r="13" ht="28.0" customHeight="true">
      <c r="B13" s="7" t="s">
        <v>691</v>
      </c>
      <c r="C13" s="8"/>
      <c r="D13" s="17"/>
    </row>
    <row r="14">
      <c r="B14" s="9"/>
      <c r="C14" s="13" t="s">
        <v>677</v>
      </c>
      <c r="D14" s="47" t="n"/>
    </row>
    <row r="15">
      <c r="B15" s="9"/>
      <c r="C15" s="14" t="s">
        <v>678</v>
      </c>
      <c r="D15" s="46" t="n"/>
    </row>
    <row r="16">
      <c r="B16" s="9"/>
      <c r="C16" s="13" t="s">
        <v>679</v>
      </c>
      <c r="D16" s="47" t="n"/>
    </row>
    <row r="17">
      <c r="B17" s="9"/>
      <c r="C17" s="14" t="s">
        <v>680</v>
      </c>
      <c r="D17" s="46" t="n"/>
    </row>
    <row r="18">
      <c r="B18" s="9"/>
      <c r="C18" s="13" t="s">
        <v>681</v>
      </c>
      <c r="D18" s="47" t="n"/>
    </row>
    <row r="19">
      <c r="B19" s="9"/>
      <c r="C19" s="14" t="s">
        <v>682</v>
      </c>
      <c r="D19" s="46" t="n"/>
    </row>
    <row r="20">
      <c r="B20" s="9"/>
      <c r="C20" s="13" t="s">
        <v>683</v>
      </c>
      <c r="D20" s="47" t="n"/>
    </row>
    <row r="21">
      <c r="B21" s="9"/>
      <c r="C21" s="14" t="s">
        <v>684</v>
      </c>
      <c r="D21" s="46" t="n"/>
    </row>
    <row r="22">
      <c r="B22" s="9"/>
      <c r="C22" s="13" t="s">
        <v>685</v>
      </c>
      <c r="D22" s="47" t="n"/>
    </row>
    <row r="23">
      <c r="B23" s="9"/>
      <c r="C23" s="14" t="s">
        <v>686</v>
      </c>
      <c r="D23" s="46" t="n"/>
    </row>
    <row r="24">
      <c r="B24" s="9"/>
      <c r="C24" s="13" t="s">
        <v>687</v>
      </c>
      <c r="D24" s="47" t="n"/>
    </row>
    <row r="25">
      <c r="B25" s="10"/>
      <c r="C25" s="14" t="s">
        <v>688</v>
      </c>
      <c r="D25" s="48" t="n"/>
    </row>
  </sheetData>
  <mergeCells>
    <mergeCell ref="B13:C13"/>
  </mergeCells>
  <hyperlinks>
    <hyperlink location="'Indice'!A1" ref="B2"/>
  </hyperlinks>
  <pageMargins bottom="0.75" footer="0.3" header="0.3" left="0.7" right="0.7" top="0.75"/>
</worksheet>
</file>

<file path=xl/worksheets/sheet29.xml><?xml version="1.0" encoding="utf-8"?>
<worksheet xmlns="http://schemas.openxmlformats.org/spreadsheetml/2006/main">
  <dimension ref="B2:R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s>
  <sheetData>
    <row r="2">
      <c r="B2" t="s" s="2">
        <v>1</v>
      </c>
    </row>
    <row r="3">
      <c r="B3" t="s" s="1">
        <v>3</v>
      </c>
      <c r="C3" t="s">
        <v>4</v>
      </c>
    </row>
    <row r="4">
      <c r="B4" s="1" t="s">
        <v>5</v>
      </c>
      <c r="C4" t="s">
        <v>6</v>
      </c>
    </row>
    <row r="5">
      <c r="B5" t="s" s="1">
        <v>7</v>
      </c>
      <c r="C5" t="s">
        <v>692</v>
      </c>
    </row>
    <row r="6">
      <c r="B6" t="s" s="1">
        <v>8</v>
      </c>
      <c r="C6" t="s">
        <v>9</v>
      </c>
    </row>
    <row r="7">
      <c r="B7" t="s" s="1">
        <v>10</v>
      </c>
      <c r="C7" t="s">
        <v>9</v>
      </c>
    </row>
    <row r="8">
      <c r="B8" t="s" s="1">
        <v>11</v>
      </c>
      <c r="C8" t="s">
        <v>12</v>
      </c>
    </row>
    <row r="10">
      <c r="C10" t="s" s="4">
        <v>693</v>
      </c>
      <c r="D10" s="24"/>
      <c r="E10" s="24"/>
      <c r="F10" s="24"/>
      <c r="G10" s="24"/>
      <c r="H10" s="24"/>
      <c r="I10" s="24"/>
      <c r="J10" s="24"/>
      <c r="K10" s="24"/>
      <c r="L10" s="24"/>
      <c r="M10" s="24"/>
      <c r="N10" s="24"/>
      <c r="O10" s="24"/>
      <c r="P10" s="24"/>
      <c r="Q10" s="25"/>
    </row>
    <row r="11">
      <c r="C11" t="s" s="29">
        <v>694</v>
      </c>
      <c r="D11" t="s" s="6">
        <v>695</v>
      </c>
      <c r="E11" t="s" s="29">
        <v>696</v>
      </c>
      <c r="F11" t="s" s="6">
        <v>677</v>
      </c>
      <c r="G11" t="s" s="29">
        <v>678</v>
      </c>
      <c r="H11" t="s" s="6">
        <v>679</v>
      </c>
      <c r="I11" t="s" s="29">
        <v>680</v>
      </c>
      <c r="J11" t="s" s="6">
        <v>681</v>
      </c>
      <c r="K11" t="s" s="29">
        <v>682</v>
      </c>
      <c r="L11" t="s" s="6">
        <v>683</v>
      </c>
      <c r="M11" t="s" s="29">
        <v>684</v>
      </c>
      <c r="N11" t="s" s="6">
        <v>685</v>
      </c>
      <c r="O11" t="s" s="29">
        <v>686</v>
      </c>
      <c r="P11" t="s" s="6">
        <v>687</v>
      </c>
      <c r="Q11" s="29" t="s">
        <v>688</v>
      </c>
    </row>
    <row r="12">
      <c r="B12" s="14" t="s">
        <v>697</v>
      </c>
      <c r="C12" s="55"/>
      <c r="D12" s="55"/>
      <c r="E12" s="55"/>
      <c r="F12" s="55"/>
      <c r="G12" s="55"/>
      <c r="H12" s="55"/>
      <c r="I12" s="55"/>
      <c r="J12" s="55"/>
      <c r="K12" s="55"/>
      <c r="L12" s="55"/>
      <c r="M12" s="55"/>
      <c r="N12" s="55"/>
      <c r="O12" s="55"/>
      <c r="P12" s="55"/>
      <c r="Q12" s="55"/>
    </row>
  </sheetData>
  <mergeCells>
    <mergeCell ref="C10:Q10"/>
  </mergeCells>
  <hyperlinks>
    <hyperlink location="'Indice'!A1" ref="B2"/>
  </hyperlinks>
  <pageMargins bottom="0.75" footer="0.3" header="0.3" left="0.7" right="0.7" top="0.75"/>
</worksheet>
</file>

<file path=xl/worksheets/sheet30.xml><?xml version="1.0" encoding="utf-8"?>
<worksheet xmlns="http://schemas.openxmlformats.org/spreadsheetml/2006/main">
  <dimension ref="B2:G16"/>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s>
  <sheetData>
    <row r="2">
      <c r="B2" t="s" s="2">
        <v>1</v>
      </c>
    </row>
    <row r="3">
      <c r="B3" t="s" s="1">
        <v>3</v>
      </c>
      <c r="C3" t="s">
        <v>4</v>
      </c>
    </row>
    <row r="4">
      <c r="B4" s="1" t="s">
        <v>5</v>
      </c>
      <c r="C4" t="s">
        <v>6</v>
      </c>
    </row>
    <row r="5">
      <c r="B5" t="s" s="1">
        <v>7</v>
      </c>
      <c r="C5" t="s">
        <v>698</v>
      </c>
    </row>
    <row r="6">
      <c r="B6" t="s" s="1">
        <v>8</v>
      </c>
      <c r="C6" t="s">
        <v>9</v>
      </c>
    </row>
    <row r="7">
      <c r="B7" t="s" s="1">
        <v>10</v>
      </c>
      <c r="C7" t="s">
        <v>9</v>
      </c>
    </row>
    <row r="8">
      <c r="B8" t="s" s="1">
        <v>11</v>
      </c>
      <c r="C8" t="s">
        <v>12</v>
      </c>
    </row>
    <row r="10" ht="28.0" customHeight="true">
      <c r="D10" t="s" s="4">
        <v>699</v>
      </c>
      <c r="E10" s="24"/>
      <c r="F10" s="25"/>
    </row>
    <row r="11">
      <c r="D11" t="s" s="29">
        <v>700</v>
      </c>
      <c r="E11" t="s" s="6">
        <v>701</v>
      </c>
      <c r="F11" s="29" t="s">
        <v>702</v>
      </c>
    </row>
    <row r="12">
      <c r="B12" s="7" t="s">
        <v>703</v>
      </c>
      <c r="C12" s="8"/>
      <c r="D12" s="18"/>
      <c r="E12" s="18"/>
      <c r="F12" s="18"/>
    </row>
    <row r="13">
      <c r="B13" s="9"/>
      <c r="C13" s="13" t="s">
        <v>704</v>
      </c>
      <c r="D13" s="16"/>
      <c r="E13" s="46" t="n"/>
      <c r="F13" s="46" t="n"/>
    </row>
    <row r="14">
      <c r="B14" s="9"/>
      <c r="C14" s="14" t="s">
        <v>705</v>
      </c>
      <c r="D14" s="15"/>
      <c r="E14" s="47" t="n"/>
      <c r="F14" s="47" t="n"/>
    </row>
    <row r="15">
      <c r="B15" s="9"/>
      <c r="C15" s="13" t="s">
        <v>706</v>
      </c>
      <c r="D15" s="16"/>
      <c r="E15" s="46" t="n"/>
      <c r="F15" s="46" t="n"/>
    </row>
    <row r="16">
      <c r="B16" s="10"/>
      <c r="C16" s="14" t="s">
        <v>707</v>
      </c>
      <c r="D16" s="23"/>
      <c r="E16" s="52" t="n"/>
      <c r="F16" s="52" t="n"/>
    </row>
  </sheetData>
  <mergeCells>
    <mergeCell ref="D10:F10"/>
    <mergeCell ref="B12:C12"/>
  </mergeCells>
  <dataValidations count="4">
    <dataValidation type="list" sqref="D13" allowBlank="true" errorStyle="stop" showErrorMessage="true" showDropDown="false">
      <formula1>sspdtipos_TipoPeriodoFaseDeProgresividad</formula1>
    </dataValidation>
    <dataValidation type="list" sqref="D14" allowBlank="true" errorStyle="stop" showErrorMessage="true" showDropDown="false">
      <formula1>sspdtipos_TipoPeriodoFaseDeProgresividad</formula1>
    </dataValidation>
    <dataValidation type="list" sqref="D15" allowBlank="true" errorStyle="stop" showErrorMessage="true" showDropDown="false">
      <formula1>sspdtipos_TipoPeriodoFaseDeProgresividad</formula1>
    </dataValidation>
    <dataValidation type="list" sqref="D16" allowBlank="true" errorStyle="stop" showErrorMessage="true" showDropDown="false">
      <formula1>sspdtipos_TipoPeriodoFaseDeProgresividad</formula1>
    </dataValidation>
  </dataValidations>
  <hyperlinks>
    <hyperlink location="'Indice'!A1" ref="B2"/>
  </hyperlinks>
  <pageMargins bottom="0.75" footer="0.3" header="0.3" left="0.7" right="0.7" top="0.75"/>
</worksheet>
</file>

<file path=docProps/app.xml><?xml version="1.0" encoding="utf-8"?>
<Properties xmlns="http://schemas.openxmlformats.org/officeDocument/2006/extended-properties">
  <Application>XBRL Editor Express - Editor rápido de informes XBRL</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2025-11-21T23:02:12Z</dcterms:created>
  <dc:creator>20037 miembro de 20037</dc:creator>
  <dc:subject>Reporting Standard S.L. - Exportación a Excel de XBRL</dc:subject>
</cp:coreProperties>
</file>