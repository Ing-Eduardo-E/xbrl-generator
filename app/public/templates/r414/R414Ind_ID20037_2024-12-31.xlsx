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ice" r:id="rId3" sheetId="1"/>
    <sheet name="Hoja1" r:id="rId4" sheetId="2"/>
    <sheet name="Lists" r:id="rId5" sheetId="3" state="hidden"/>
    <sheet name="Hoja2" r:id="rId6" sheetId="4"/>
    <sheet name="Hoja3" r:id="rId7" sheetId="5"/>
    <sheet name="Hoja4" r:id="rId8" sheetId="6"/>
    <sheet name="Hoja5" r:id="rId9" sheetId="7"/>
    <sheet name="Hoja6" r:id="rId10" sheetId="8"/>
    <sheet name="Hoja7" r:id="rId11" sheetId="9"/>
    <sheet name="Hoja8" r:id="rId12" sheetId="10"/>
    <sheet name="Hoja9" r:id="rId13" sheetId="11"/>
    <sheet name="Hoja10" r:id="rId14" sheetId="12"/>
    <sheet name="Hoja11" r:id="rId15" sheetId="13"/>
    <sheet name="Hoja12" r:id="rId16" sheetId="14"/>
    <sheet name="Hoja13" r:id="rId17" sheetId="15"/>
    <sheet name="Hoja14" r:id="rId18" sheetId="16"/>
    <sheet name="Hoja15" r:id="rId19" sheetId="17"/>
    <sheet name="Hoja16" r:id="rId20" sheetId="18"/>
    <sheet name="Hoja17" r:id="rId21" sheetId="19"/>
    <sheet name="Hoja18" r:id="rId22" sheetId="20"/>
    <sheet name="Hoja19" r:id="rId23" sheetId="21"/>
    <sheet name="Hoja20" r:id="rId24" sheetId="22"/>
    <sheet name="Hoja21" r:id="rId25" sheetId="23"/>
    <sheet name="Hoja22" r:id="rId26" sheetId="24"/>
    <sheet name="Hoja23" r:id="rId27" sheetId="25"/>
    <sheet name="Hoja24" r:id="rId28" sheetId="26"/>
    <sheet name="Hoja25" r:id="rId29" sheetId="27"/>
    <sheet name="Hoja26" r:id="rId30" sheetId="28"/>
    <sheet name="Hoja27" r:id="rId31" sheetId="29"/>
    <sheet name="Hoja28" r:id="rId32" sheetId="30"/>
    <sheet name="Hoja29" r:id="rId33" sheetId="31"/>
    <sheet name="Hoja30" r:id="rId34" sheetId="32"/>
    <sheet name="Hoja31" r:id="rId35" sheetId="33"/>
    <sheet name="Hoja32" r:id="rId36" sheetId="34"/>
    <sheet name="Hoja33" r:id="rId37" sheetId="35"/>
    <sheet name="Hoja34" r:id="rId38" sheetId="36"/>
    <sheet name="Hoja35" r:id="rId39" sheetId="37"/>
    <sheet name="Hoja36" r:id="rId40" sheetId="38"/>
    <sheet name="Hoja37" r:id="rId41" sheetId="39"/>
    <sheet name="Hoja38" r:id="rId42" sheetId="40"/>
    <sheet name="Hoja39" r:id="rId43" sheetId="41"/>
    <sheet name="Hoja40" r:id="rId44" sheetId="42"/>
    <sheet name="Hoja41" r:id="rId45" sheetId="43"/>
  </sheets>
  <definedNames>
    <definedName name="sspdtipos_TipoNaturalezaEEFF414IndSep">Lists!$B$3:$B$4</definedName>
    <definedName name="sspdtipos_TipoGradoRedondeo">Lists!$D$3:$D$6</definedName>
    <definedName name="sspdtipos_TipoSiNo">Lists!$F$3:$F$4</definedName>
    <definedName name="sspdtipos_TipoPeriodoDeReexpresion">Lists!$H$3:$H$5</definedName>
    <definedName name="sspdtipos_TipoIdentificacionResponsablesInformacion">Lists!$J$3:$J$5</definedName>
    <definedName name="sspdtipos_TipoDeDictamenDeAuditoria">Lists!$L$3:$L$10</definedName>
    <definedName name="sspdtipos_TipoClasificacionEmpresarialSegunResolucionCRA906Del2019">Lists!$N$3:$N$6</definedName>
    <definedName name="sspdtipos_TipoPeriodoFaseDeProgresividad">Lists!$P$3:$P$15</definedName>
  </definedNames>
</workbook>
</file>

<file path=xl/sharedStrings.xml><?xml version="1.0" encoding="utf-8"?>
<sst xmlns="http://schemas.openxmlformats.org/spreadsheetml/2006/main" count="2874" uniqueCount="1197">
  <si>
    <t>Tabla de contenidos</t>
  </si>
  <si>
    <t>Indice</t>
  </si>
  <si>
    <t>[110000] Información general sobre estados financieros</t>
  </si>
  <si>
    <t>Archivo:</t>
  </si>
  <si>
    <t>I:\Proyectos2025\proyecto_niif\_backup_legacy\R414\R414Ind_ID20037_2024-12-31.xbrl</t>
  </si>
  <si>
    <t>Empresa:</t>
  </si>
  <si>
    <t>20037</t>
  </si>
  <si>
    <t>Vista:</t>
  </si>
  <si>
    <t>Eje X:</t>
  </si>
  <si>
    <t>N/A</t>
  </si>
  <si>
    <t>Eje Y:</t>
  </si>
  <si>
    <t>Eje Z:</t>
  </si>
  <si>
    <t>Periodo Actual</t>
  </si>
  <si>
    <t>Información a revelar sobre información general sobre los estados financieros [bloque de texto]</t>
  </si>
  <si>
    <t>Nombre de la entidad que informa u otras formas de identificación</t>
  </si>
  <si>
    <t>Identificación de la Empresa (ID RUPS)</t>
  </si>
  <si>
    <t>NIT</t>
  </si>
  <si>
    <t>Descripción de la naturaleza de los estados financieros</t>
  </si>
  <si>
    <t>Información a revelar sobre la naturaleza del negocio</t>
  </si>
  <si>
    <t>Fecha de inicio de operaciones (o fecha de constitución si no ha iniciado la prestación de servicios)</t>
  </si>
  <si>
    <t>Fecha de cierre del periodo sobre el que se informa</t>
  </si>
  <si>
    <t>Grado de redondeo utilizado en los estados financieros</t>
  </si>
  <si>
    <t>Detalle sobre este Informe</t>
  </si>
  <si>
    <t>¿Estos estados financieros presentan información reexpresada?</t>
  </si>
  <si>
    <t>Periodo para el cual se presenta información reexpresada</t>
  </si>
  <si>
    <t>1. Individual</t>
  </si>
  <si>
    <t>2. Separado</t>
  </si>
  <si>
    <t>1 - Pesos</t>
  </si>
  <si>
    <t>2 - Miles de pesos</t>
  </si>
  <si>
    <t>3 - Millones de pesos</t>
  </si>
  <si>
    <t>4 - Pesos redondeada a miles</t>
  </si>
  <si>
    <t>1. Si</t>
  </si>
  <si>
    <t>2. No</t>
  </si>
  <si>
    <t>1. Reexpresión del patrimonio al inicio del periodo actual (Del patrimonio del periodo anterior)</t>
  </si>
  <si>
    <t>2. Reexpresión del patrimonio al inicio del periodo anterior (Del patrimonio de dos periodos atrás)</t>
  </si>
  <si>
    <t>3. Reexpresión del patrimonio al inicio de los periodos actual y anterior (Del patrimonio del periodo anterior y de dos periodos atrás)</t>
  </si>
  <si>
    <t>[210000] Estado de situación financiera</t>
  </si>
  <si>
    <t>Total ESF por servicios</t>
  </si>
  <si>
    <t>Acueducto [miembro]</t>
  </si>
  <si>
    <t>Alcantarillado [miembro]</t>
  </si>
  <si>
    <t>Aseo [miembro]</t>
  </si>
  <si>
    <t>Energía Eléctrica [miembro]</t>
  </si>
  <si>
    <t>Gas combustible por redes [miembro]</t>
  </si>
  <si>
    <t>Gas Licuado de Petróleo [miembro]</t>
  </si>
  <si>
    <t>Otras actividades no vigiladas por la SSPD [miembro]</t>
  </si>
  <si>
    <t>Estado de situación financiera por servicio [partidas]</t>
  </si>
  <si>
    <t>Activos [resumen]</t>
  </si>
  <si>
    <t>Activos corrientes [resumen]</t>
  </si>
  <si>
    <t>Efectivo y equivalentes al efectivo</t>
  </si>
  <si>
    <t>Efectivo y equivalentes al efectivo de uso restringido corriente</t>
  </si>
  <si>
    <t>Cuentas comerciales por cobrar y otras cuentas por cobrar corrientes [Resumen]</t>
  </si>
  <si>
    <t>Cuentas comerciales por cobrar por prestación de servicios públicos corrientes [Resumen]</t>
  </si>
  <si>
    <t>Cuentas comerciales por cobrar corrientes por prestación de servicios públicos corrientes (Sin incluir subsidios ni actividades de aprovechamiento)</t>
  </si>
  <si>
    <t>Cuentas comerciales por cobrar por subsidios corrientes</t>
  </si>
  <si>
    <t>Cuentas comerciales por cobrar corrientes del servicio público al Ministerio de Minas por concepto de subsidios</t>
  </si>
  <si>
    <t>Cuentas comerciales por cobrar por actividad de aprovechamiento corrientes</t>
  </si>
  <si>
    <t>Total cuentas comerciales por cobrar por prestación de servicios públicos corrientes</t>
  </si>
  <si>
    <t>Cuentas comerciales por cobrar por venta de bienes corrientes</t>
  </si>
  <si>
    <t>Cuentas por cobrar corrientes a partes relacionadas</t>
  </si>
  <si>
    <t>Otras cuentas por cobrar corrientes</t>
  </si>
  <si>
    <t>Total cuentas comerciales por cobrar y otras cuentas por cobrar corrientes</t>
  </si>
  <si>
    <t>Inventarios corrientes</t>
  </si>
  <si>
    <t>Activo por impuesto a las ganancias corriente</t>
  </si>
  <si>
    <t>Otros activos financieros corrientes</t>
  </si>
  <si>
    <t>Otros activos no financieros corrientes</t>
  </si>
  <si>
    <t>Activos corrientes totales</t>
  </si>
  <si>
    <t>Activos no corrientes [resumen]</t>
  </si>
  <si>
    <t>Propiedades, planta y equipo</t>
  </si>
  <si>
    <t>Efectivo y equivalentes al efectivo - Efectivo de uso restringido</t>
  </si>
  <si>
    <t>Inversiones en controladas, negocios conjuntos y asociadas [resumen]</t>
  </si>
  <si>
    <t>Inversiones en asociadas</t>
  </si>
  <si>
    <t>Inversiones en negocios conjuntos</t>
  </si>
  <si>
    <t>Inversiones en controladas</t>
  </si>
  <si>
    <t>Total de Inversiones en controladas, negocios conjuntos y asociadas</t>
  </si>
  <si>
    <t>Cuentas comerciales por cobrar y otras cuentas por cobrar no corrientes [Resumen]</t>
  </si>
  <si>
    <t>Cuentas comerciales por cobrar por prestación de servicios públicos no corrientes [Resumen]</t>
  </si>
  <si>
    <t>Cuentas comerciales por cobrar no corrientes por prestación de servicios públicos corrientes (Sin incluir subsidios ni actividades de aprovechamiento)</t>
  </si>
  <si>
    <t>Cuentas comerciales por cobrar por subsidios no corrientes</t>
  </si>
  <si>
    <t>Cuentas comerciales por cobrar no corrientes del servicio público al Ministerio de Minas por concepto de subsidios</t>
  </si>
  <si>
    <t>Cuentas comerciales por cobrar por actividad de aprovechamiento no corrientes</t>
  </si>
  <si>
    <t>Total cuentas comerciales por cobrar por prestación de servicios públicos no corrientes</t>
  </si>
  <si>
    <t>Cuentas comerciales por cobrar por venta de bienes no corrientes</t>
  </si>
  <si>
    <t>Cuentas por cobrar no corrientes debidas por partes relacionadas</t>
  </si>
  <si>
    <t>Otras cuentas comerciales por cobrar no corrientes</t>
  </si>
  <si>
    <t>Total cuentas comerciales por cobrar y otras cuentas por cobrar no corrientes</t>
  </si>
  <si>
    <t>Inventarios no corrientes</t>
  </si>
  <si>
    <t>Activos por impuestos diferidos</t>
  </si>
  <si>
    <t>Detalle Otros activos no corrientes [resumen]</t>
  </si>
  <si>
    <t>Planes de activos</t>
  </si>
  <si>
    <t>Bienes y servicios pagados por anticipado</t>
  </si>
  <si>
    <t>Propiedad de inversión</t>
  </si>
  <si>
    <t>Bienes de arte y cultura</t>
  </si>
  <si>
    <t>Activos intangibles</t>
  </si>
  <si>
    <t>Activos biológicos no corrientes</t>
  </si>
  <si>
    <t>Otros activos</t>
  </si>
  <si>
    <t>Total Otros activos no corrientes</t>
  </si>
  <si>
    <t>Total de activos no corrientes</t>
  </si>
  <si>
    <t>Total de activos</t>
  </si>
  <si>
    <t>Patrimonio y pasivos [resumen]</t>
  </si>
  <si>
    <t>Pasivos [resumen]</t>
  </si>
  <si>
    <t>Pasivos corrientes [resumen]</t>
  </si>
  <si>
    <t>Disposiciones actuales [resumen]</t>
  </si>
  <si>
    <t>Provisiones corrientes por beneficios a los empleados</t>
  </si>
  <si>
    <t>Otras provisiones corrientes</t>
  </si>
  <si>
    <t>Total provisiones corrientes</t>
  </si>
  <si>
    <t>Cuentas por pagar comerciales y otras cuentas por pagar corrientes [Resumen]</t>
  </si>
  <si>
    <t>Cuentas comerciales por pagar por adquisición de servicios orrientes</t>
  </si>
  <si>
    <t>Cuentas comerciales por pagar por adquisición de bienes corrientes</t>
  </si>
  <si>
    <t>Cuentas por pagar corrientes a partes relacionadas</t>
  </si>
  <si>
    <t>Otras cuentas comerciales por pagar corrientes</t>
  </si>
  <si>
    <t>Total cuentas comerciales por pagar y otras cuentas por pagar corrientes</t>
  </si>
  <si>
    <t>Emisión y colocación de títulos de deuda corrientes</t>
  </si>
  <si>
    <t>Préstamos por pagar</t>
  </si>
  <si>
    <t>Pasivo por impuesto a las ganancias corriente</t>
  </si>
  <si>
    <t>Detalle Otros pasivos corrientes [resumen]</t>
  </si>
  <si>
    <t>Ingresos recibidos por anticipado corrientes</t>
  </si>
  <si>
    <t>Pasivos por impuestos diferidos corrientes</t>
  </si>
  <si>
    <t>Otros pasivos diferidos corrientes</t>
  </si>
  <si>
    <t>Total Otros pasivos corrientes</t>
  </si>
  <si>
    <t>Otros pasivos financieros corrientes</t>
  </si>
  <si>
    <t>Otros pasivos no financieros corrientes</t>
  </si>
  <si>
    <t>Pasivos corrientes totales</t>
  </si>
  <si>
    <t>Pasivos no corrientes [resumen]</t>
  </si>
  <si>
    <t>Provisiones no corrientes [resumen]</t>
  </si>
  <si>
    <t>Provisiones no corrientes por beneficios a los empleados</t>
  </si>
  <si>
    <t>Otras provisiones no corrientes</t>
  </si>
  <si>
    <t>Total provisiones no corrientes</t>
  </si>
  <si>
    <t>Cuentas por pagar comerciales y otras cuentas por pagar no corrientes [Resumen]</t>
  </si>
  <si>
    <t>Cuentas comerciales por pagar por adquisición de bienes no corrientes</t>
  </si>
  <si>
    <t>Cuentas comerciales por pagar por adquisición de servicios no corrientes</t>
  </si>
  <si>
    <t>Cuentas por pagar partes relacionadas no corrientes</t>
  </si>
  <si>
    <t>Otras cuentas comerciales por pagar no corrientes</t>
  </si>
  <si>
    <t>Total cuentas comerciales por pagar y otras cuentas por pagar no corrientes</t>
  </si>
  <si>
    <t>Emisión y colocación de títulos de deuda no corrientes</t>
  </si>
  <si>
    <t>Pasivos por préstamos por pagar</t>
  </si>
  <si>
    <t>Pasivo por impuestos corriente, no corriente</t>
  </si>
  <si>
    <t>Pasivo por impuestos diferidos no corrientes</t>
  </si>
  <si>
    <t>Detalle Otros pasivos no corrientes</t>
  </si>
  <si>
    <t>Ingresos recibidos por anticipado no corrientes</t>
  </si>
  <si>
    <t>Otros pasivos diferidos no corrientes</t>
  </si>
  <si>
    <t>Total otros pasivos no corrientes</t>
  </si>
  <si>
    <t>Otros pasivos financieros no corrientes</t>
  </si>
  <si>
    <t>Otros pasivos no financieros no corrientes</t>
  </si>
  <si>
    <t>Total de pasivos no corrientes</t>
  </si>
  <si>
    <t>Total pasivos</t>
  </si>
  <si>
    <t>Patrimonio [resumen]</t>
  </si>
  <si>
    <t>Aportes sociales</t>
  </si>
  <si>
    <t>Capital suscrito y pagado</t>
  </si>
  <si>
    <t>Capital Fiscal</t>
  </si>
  <si>
    <t>Prima en colocacion de acciones cuotas o partes de interés social</t>
  </si>
  <si>
    <t>Reserva Legal</t>
  </si>
  <si>
    <t>Otras Reservas</t>
  </si>
  <si>
    <t>Dividendos y participaciones decretadas en especie</t>
  </si>
  <si>
    <t>Ganancias acumuladas</t>
  </si>
  <si>
    <t>Impactos por la transición al nuevo marco de regulación</t>
  </si>
  <si>
    <t>Otras partidas patrimoniales (ORI) [resumen]</t>
  </si>
  <si>
    <t>Ganancias o pérdidas en inversiones de administracion de liquidez a valor razonable con cambios en el otro resultado integral</t>
  </si>
  <si>
    <t>Ganancias o pérdidas por coberturas de flujos de efectivo</t>
  </si>
  <si>
    <t>Ganancias o pérdidas por cobertura de una inversión neta de un negocio en el extranjero</t>
  </si>
  <si>
    <t>Ganancias o pérdidas por la aplicación del método de participación patrimonial de inversiones en controladas</t>
  </si>
  <si>
    <t>Ganancias o pérdidas por la aplicación del método de participación patrimonial de inversiones en asociadas</t>
  </si>
  <si>
    <t>Ganancias o pérdidas por la aplicación del método de participación patrimonial de inversiones en negocios conjuntos</t>
  </si>
  <si>
    <t>Ganancias o pérdidas por planes de beneficios a empleados</t>
  </si>
  <si>
    <t>Ganancias o pérdidas por conversión de estados financieros</t>
  </si>
  <si>
    <t>Total de otras partidas patrimoniales (ORI)</t>
  </si>
  <si>
    <t>Patrimonio total</t>
  </si>
  <si>
    <t>Total de patrimonio y pasivos</t>
  </si>
  <si>
    <t>Periodo Anterior</t>
  </si>
  <si>
    <t>[310000] Estado de resultados</t>
  </si>
  <si>
    <t>Total ER por servicios</t>
  </si>
  <si>
    <t>Estado de resultados por servicio [partidas]</t>
  </si>
  <si>
    <t>Ganancia (pérdida) [resumen]</t>
  </si>
  <si>
    <t>Ingresos de actividades ordinarias</t>
  </si>
  <si>
    <t>Costo de ventas</t>
  </si>
  <si>
    <t>Ganancia bruta</t>
  </si>
  <si>
    <t>Otros ingresos</t>
  </si>
  <si>
    <t>Gastos de administración, operación y ventas</t>
  </si>
  <si>
    <t>Ingresos financieros</t>
  </si>
  <si>
    <t>Costos financieros</t>
  </si>
  <si>
    <t>Perdida por aplicación del método de participación patrimonial</t>
  </si>
  <si>
    <t>Otros gastos</t>
  </si>
  <si>
    <t>Otras ganancias (pérdidas)</t>
  </si>
  <si>
    <t>Ganancia (pérdida), antes de impuestos</t>
  </si>
  <si>
    <t>Gasto / Ingreso impuesto a las ganancias corriente</t>
  </si>
  <si>
    <t>Gasto / Ingreso impuesto a las ganancias diferido</t>
  </si>
  <si>
    <t>Ganancia (pérdida)</t>
  </si>
  <si>
    <t>[420000] Estado del resultado Integral, Componentes otro resultado integral, Antes de impuestos, individual</t>
  </si>
  <si>
    <t>Resultado de periodo [resumen]</t>
  </si>
  <si>
    <t>Otro resultado integral [resumen]</t>
  </si>
  <si>
    <t>Otro Resultado Integral</t>
  </si>
  <si>
    <t>Ganancias o pérdidas actuariales y el rendimiento de los activos del plan de beneficios</t>
  </si>
  <si>
    <t>Total otro resultado integral que no se reclasificará al resultado del periodo, antes de impuestos</t>
  </si>
  <si>
    <t>Componentes de otro resultado integral que se reclasificarán al resultado del periodo, antes de impuestos [resumen]</t>
  </si>
  <si>
    <t>Ganancias o pérdidas en inversiones de administracion de liquidez a valor razonable con cambios en el otro resultado integral acumuladas</t>
  </si>
  <si>
    <t>Ganancias o pérdidas por coberturas de flujos de efectivo acumuladas</t>
  </si>
  <si>
    <t>Ganancias o pérdidas por cobertura de una inversión neta de un negocio en el extranjero acumuladas</t>
  </si>
  <si>
    <t>Ganancias o pérdidas por conversión de estados financieros acumuladas</t>
  </si>
  <si>
    <t>Total otro resultado integral que se reclasificará al resultado del periodo, antes de impuestos</t>
  </si>
  <si>
    <t>Ganancias o pérdidas por la aplicación del método de participación patrimonial de inversiones en controladas acumuladas</t>
  </si>
  <si>
    <t>Ganancias o pérdidas por la aplicación del método de participación patrimonial de inversiones en asociadas acumuladas</t>
  </si>
  <si>
    <t>Ganancias o pérdidas por la aplicación del método de participación patrimonial de inversiones en negocios conjuntos acumuladas</t>
  </si>
  <si>
    <t>Resultado integral total, antes de impuestos</t>
  </si>
  <si>
    <t>Impuestos a las ganancias relativos a componentes de otro resultado integral que no se reclasificará al resultado del periodo [resumen]</t>
  </si>
  <si>
    <t>Impuestos a las ganancias relativos a ganancias (pérdidas) actuariales y el rendimiento de los activos del plan de beneficios</t>
  </si>
  <si>
    <t>Total impuestos a las ganancias relativos a componentes de otro resultado integral que no se reclasificará al resultado del periodo</t>
  </si>
  <si>
    <t>Impuestos a las ganancias relativos a componentes de otro resultado integral que se reclasificará al resultado del periodo [resumen]</t>
  </si>
  <si>
    <t>Impuestos a las ganancias relativos a Ganancias o pérdidas en inversiones de administracion de liquidez a valor razonable con cambios en el otro resultado integral acumuladas</t>
  </si>
  <si>
    <t>Impuestos a las ganancias relativos a Ganancias o pérdidas por coberturas de flujos de efectivo acumuladas</t>
  </si>
  <si>
    <t>Ganancias o pérdidas por cobertura de una inversión neta de un negocio Impuestos a las ganancias relativos a en el extranjero acumuladas</t>
  </si>
  <si>
    <t>Impuestos a las ganancias relativos a Ganancias o pérdidas por conversión de estados financieros acumuladas</t>
  </si>
  <si>
    <t>Total impuestos a las ganancias relativos a componentes de otro resultado integral que se reclasificará al resultado del periodo</t>
  </si>
  <si>
    <t>Impuestos a las ganancias relativo a Ganancias o pérdidas por la aplicación del método de participación patrimonial de inversiones en controladas acumuladas</t>
  </si>
  <si>
    <t>Impuestos a las ganancias relativo a Ganancias o pérdidas por la aplicación del método de participación patrimonial de inversiones en asociadas acumuladas</t>
  </si>
  <si>
    <t>Total impuestos</t>
  </si>
  <si>
    <t>Resultado integral total</t>
  </si>
  <si>
    <t>[510000] Estado de flujos de efectivo, método directo, individual</t>
  </si>
  <si>
    <t>Total EFE</t>
  </si>
  <si>
    <t>Estado de Flujo de Efectivo por Servicio [partidas]</t>
  </si>
  <si>
    <t>Flujos de efectivo procedentes de (utilizados en) actividades de operación [resumen]</t>
  </si>
  <si>
    <t>Clases de cobros por actividades de operación [resumen]</t>
  </si>
  <si>
    <t>Cobros procedentes de las ventas de bienes y prestación de servicios</t>
  </si>
  <si>
    <t>Cobros procedentes de regalías, cuotas, comisiones y otros ingresos de actividades ordinarias</t>
  </si>
  <si>
    <t>Cobros derivados de contratos mantenidos para intermediación o para negociar con ellos</t>
  </si>
  <si>
    <t>Cobros procedentes de primas y prestaciones, anualidades y otros beneficios de pólizas suscritas</t>
  </si>
  <si>
    <t>Cobros por rentas y ventas posteriores de activos mantenidos para arrendar a terceros y posteriormente mantenidos para la venta</t>
  </si>
  <si>
    <t>Otros cobros por actividades de operación</t>
  </si>
  <si>
    <t>Clases de pagos en efectivo procedentes de actividades de operación [resumen]</t>
  </si>
  <si>
    <t>Pagos a proveedores por el suministro de bienes y servicios</t>
  </si>
  <si>
    <t>Pagos procedentes de contratos mantenidos para intermediación o para negociar</t>
  </si>
  <si>
    <t>Pagos a y por cuenta de los empleados</t>
  </si>
  <si>
    <t>Pagos por primas y prestaciones, anualidades y otras obligaciones derivadas de las pólizas suscritas</t>
  </si>
  <si>
    <t>Pagos por producir o adquirir activos mantenidos para arrendar a terceros y posteriormente mantenidos para la venta</t>
  </si>
  <si>
    <t>Pagos y devoluciones de impuestos sobre las ganancias (a menos que puedan clasificarse específicamente dentro de las actividades de inversión o financiación)</t>
  </si>
  <si>
    <t>Otros pagos por actividades de operación</t>
  </si>
  <si>
    <t>Flujos de efectivo netos procedentes (utilizados en) operaciones.</t>
  </si>
  <si>
    <t>Otros dividendos pagados</t>
  </si>
  <si>
    <t>Dividendos recibidos (solo para empresas financieras)</t>
  </si>
  <si>
    <t>Intereses pagados (solo para empresas financieras)</t>
  </si>
  <si>
    <t>Intereses recibidos (solo para empresas financieras)</t>
  </si>
  <si>
    <t>Impuestos a las ganancias reembolsados (pagados)</t>
  </si>
  <si>
    <t>Otras entradas (salidas) de efectivo, actividades de operación</t>
  </si>
  <si>
    <t>Flujos de efectivo netos procedentes de (utilizados en) actividades de operación</t>
  </si>
  <si>
    <t>Flujos de efectivo procedentes de (utilizados en) actividades de inversión [resumen]</t>
  </si>
  <si>
    <t>Flujos de efectivo procedentes de la pérdida de control de subsidiarias u otros negocios</t>
  </si>
  <si>
    <t>Flujos de efectivo utilizados para obtener el control de subsidiarias u otros negocios</t>
  </si>
  <si>
    <t>Otros cobros por la venta y reembolsos de patrimonio o instrumentos de deuda de otras entidades</t>
  </si>
  <si>
    <t>Pagos por la adquisición de instrumentos de pasivo o patrimonio, emitidos por otras entidades</t>
  </si>
  <si>
    <t>Otros cobros por la venta de participaciones en negocios conjuntos</t>
  </si>
  <si>
    <t>Otros pagos para adquirir participaciones en negocios conjuntos</t>
  </si>
  <si>
    <t>Cobros por ventas de propiedades, planta y equipo y de otros activos a largo plazo</t>
  </si>
  <si>
    <t>Pagos por la adquisición de propiedades, planta y equipo</t>
  </si>
  <si>
    <t>Pagos por la adquisición de activos intangibles y de otros activos a largo plazo, incluidos aquellos relacionados con los costos de desarrollo capitalizados y la propiedades, planta y equipo construídas por la empresa para sí misma)</t>
  </si>
  <si>
    <t>Importes procedentes de ventas de activos intangibles</t>
  </si>
  <si>
    <t>Recursos por ventas de otros activos a largo plazo</t>
  </si>
  <si>
    <t>Importes procedentes de subvenciones del gobierno</t>
  </si>
  <si>
    <t>Anticipos de efectivo y préstamos concedidos a terceros (distintos de las operaciones de este tipo hechos por entidades financieras)</t>
  </si>
  <si>
    <t>Cobros procedentes del reembolso de anticipos y préstamos concedidos a terceros (distintos de las operaciones de este tipo hechos por entidades financieras)</t>
  </si>
  <si>
    <t>Pagos derivados de contratos de futuro, a término, de opciones y de permuta financiera excepto cuando dichos contratos se mantienen por motivos de intermediación u otros acuerdos comerciales habituales, o bien cuando los anteriores pagos se clasifican como actividades de financiación</t>
  </si>
  <si>
    <t>Cobros procedentes de contratos de futuro, a término, de opciones y de permuta financiera excepto cuando dichos contratos se mantienen por motivos de intermediación u otros acuerdos comerciales habituales, o bien cuando los anteriores pagos se clasifican como actividades de financiación</t>
  </si>
  <si>
    <t>Dividendos Recibidos (Solo para empresas no financieras)</t>
  </si>
  <si>
    <t>Otros intereses pagados</t>
  </si>
  <si>
    <t>Intereses recibidos (solo para empresas no financieras)</t>
  </si>
  <si>
    <t>Otras entradas (salidas) de efectivo en inversión</t>
  </si>
  <si>
    <t>Flujos de efectivo netos procedentes de (utilizados en) actividades de inversión</t>
  </si>
  <si>
    <t>Flujos de efectivo procedentes de (utilizados en) actividades de financiación [resumen]</t>
  </si>
  <si>
    <t>Recursos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</si>
  <si>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</si>
  <si>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</si>
  <si>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patrimonio</t>
  </si>
  <si>
    <t>Pagos por adquirir o rescatar las acciones de la entidad</t>
  </si>
  <si>
    <t>Pagos por otras participaciones en el patrimonio</t>
  </si>
  <si>
    <t>Importes procedentes de préstamos, emisión de obligaciones sin garantía, bonos y otros fondos tomados en préstamo, ya sea a corto o largo plazo</t>
  </si>
  <si>
    <t>Reembolsos de los fondos tomados en préstamos</t>
  </si>
  <si>
    <t>Pagos realizados por el arrendatario para reducir la deuda pendiente procedente de un arrendamiento financiero</t>
  </si>
  <si>
    <t>Otros intereses recibidos</t>
  </si>
  <si>
    <t>Intereses pagados (solo para empresas no financieras)</t>
  </si>
  <si>
    <t>Otros dividendos recibidos</t>
  </si>
  <si>
    <t>Dividendos pagados</t>
  </si>
  <si>
    <t>Otras entradas (salidas) de efectivo por actividades de financiación</t>
  </si>
  <si>
    <t>Flujos de efectivo netos procedentes de (utilizados en) actividades de financiación</t>
  </si>
  <si>
    <t>Incremento (disminución) neto de efectivo y equivalentes al efectivo, antes del efecto de los cambios en la tasa de cambio</t>
  </si>
  <si>
    <t>Efectos de la variación en la tasa de cambio sobre el efectivo y equivalentes al efectivo [resumen]</t>
  </si>
  <si>
    <t>Efectos de la variación en la tasa de cambio sobre el efectivo y equivalentes al efectivo</t>
  </si>
  <si>
    <t>Incremento (disminución) neto de efectivo y equivalentes al efectivo</t>
  </si>
  <si>
    <t>Efectivo y equivalentes al efectivo al comienzo del periodo</t>
  </si>
  <si>
    <t>Efectivo y equivalentes al efectivo al final del periodo</t>
  </si>
  <si>
    <t>[610000] Estado de cambios en el patrimonio</t>
  </si>
  <si>
    <t>Patrimonio [miembro]</t>
  </si>
  <si>
    <t>Aportes sociales [miembro]</t>
  </si>
  <si>
    <t>Capital suscrito y pagado [miembro]</t>
  </si>
  <si>
    <t>Capital fiscal [miembro]</t>
  </si>
  <si>
    <t>Prima en colocación de acciones cuotas o partes de interés social [miembro]</t>
  </si>
  <si>
    <t>Reserva Legal [miembro]</t>
  </si>
  <si>
    <t>Otras reservas [miembro]</t>
  </si>
  <si>
    <t>Dividendos y participaciones decretadas en especie [miembro]</t>
  </si>
  <si>
    <t>Ganancias acumuladas[miembro]</t>
  </si>
  <si>
    <t>Impactos por la transición al nuevo marco de regulación [miembro]</t>
  </si>
  <si>
    <t>Otras partidas patrimoniales (ORI) [miembro]</t>
  </si>
  <si>
    <t>Reservas actuariales y el rendimiento de los activos del plan de beneficios  [miembro]</t>
  </si>
  <si>
    <t>Reserva de inversiones de administracion de liquidez a valor razonable con cambios en el otro resultado integral [miembro]</t>
  </si>
  <si>
    <t>Reserva por coberturas de flujos de efectivo [miembro]</t>
  </si>
  <si>
    <t>Reserva por cobertura de una inversión neta de un negocio en el extranjero en el extranjero [miembro]</t>
  </si>
  <si>
    <t>Reserva por conversión de estados financieros [miembro]</t>
  </si>
  <si>
    <t>Reserva por la aplicación del método de participación patrimonial de inversiones en controladas [miembro]</t>
  </si>
  <si>
    <t>Reserva por la aplicación del método de participación patrimonial de inversiones en asociadas [miembro]</t>
  </si>
  <si>
    <t>Reserva por la aplicación del método de participación patrimonial de inversiones en negocios conjuntos [miembro]</t>
  </si>
  <si>
    <t>Estado de cambios en el patrimonio [partidas]</t>
  </si>
  <si>
    <t>Patrimonio al comienzo del periodo</t>
  </si>
  <si>
    <t>Incremento (disminución) por cambios en políticas contables</t>
  </si>
  <si>
    <t>Incremento (disminución) por correcciones de errores</t>
  </si>
  <si>
    <t>Patrimonio al comienzo del periodo incluyendo reexpresión. (Si la hubo)</t>
  </si>
  <si>
    <t>Cambios en el patrimonio [resumen]</t>
  </si>
  <si>
    <t>Resultado del ejercicio [resumen]</t>
  </si>
  <si>
    <t>Emisión de patrimonio</t>
  </si>
  <si>
    <t>Dividendos reconocidos como distribuciones a los propietarios</t>
  </si>
  <si>
    <t>Incrementos (disminuciones) por otros cambios, patrimonio</t>
  </si>
  <si>
    <t>Total incremento (disminución) en el patrimonio</t>
  </si>
  <si>
    <t>Patrimonio al final del periodo</t>
  </si>
  <si>
    <t>[800100] Notas - Subclasificaciones de activos, pasivos y patrimonios</t>
  </si>
  <si>
    <t>Subclasificaciones de activos, pasivos y patrimonios [resumen]</t>
  </si>
  <si>
    <t>Propiedades, planta y equipo [sinopsis]</t>
  </si>
  <si>
    <t>Terrenos y construcciones [sinopsis]</t>
  </si>
  <si>
    <t>Terrenos</t>
  </si>
  <si>
    <t>Edificios</t>
  </si>
  <si>
    <t>Total terrenos y edificios</t>
  </si>
  <si>
    <t>Maquinaria</t>
  </si>
  <si>
    <t>Vehículos</t>
  </si>
  <si>
    <t>Enseres y accesorios</t>
  </si>
  <si>
    <t>Equipo de oficina</t>
  </si>
  <si>
    <t>Construcciones en proceso</t>
  </si>
  <si>
    <t>Propiedades, planta y equipo, información especial [sinopsis]</t>
  </si>
  <si>
    <t>Vías</t>
  </si>
  <si>
    <t>Ductos</t>
  </si>
  <si>
    <t>Plantas</t>
  </si>
  <si>
    <t>Redes y cables</t>
  </si>
  <si>
    <t>Relleno sanitario</t>
  </si>
  <si>
    <t>Activos para generación de energía</t>
  </si>
  <si>
    <t>Total propiedades, planta y equipo, información especial</t>
  </si>
  <si>
    <t>Otras propiedades, planta y equipo</t>
  </si>
  <si>
    <t>Total propiedades, planta y equipo, importe en libros en términos brutos</t>
  </si>
  <si>
    <t>Depreciación acumulada propiedades, planta y equipo</t>
  </si>
  <si>
    <t>Deterioro de valor acumulado propiedades, planta y equipo</t>
  </si>
  <si>
    <t>Total de propiedades, planta y equipo</t>
  </si>
  <si>
    <t>Activos intangibles y plusvalía [resumen]</t>
  </si>
  <si>
    <t>Activos intangibles distintos de la plusvalía [sinopsis]</t>
  </si>
  <si>
    <t>Marcas comerciales</t>
  </si>
  <si>
    <t>activos intangibles para exploración y evaluación</t>
  </si>
  <si>
    <t>Programas de computador</t>
  </si>
  <si>
    <t>Licencias y franquicias</t>
  </si>
  <si>
    <t>Derechos de propiedad intelectual, patentes y otros derechos de propiedad industrial, servicio y derechos de explotación</t>
  </si>
  <si>
    <t>Activos intangibles en desarrollo</t>
  </si>
  <si>
    <t>Otros activos intangibles</t>
  </si>
  <si>
    <t>Total de activos intangibles distintos de la plusvalía</t>
  </si>
  <si>
    <t>Plusvalía</t>
  </si>
  <si>
    <t>Amortización acumulada activos  intangibles y plusvalía</t>
  </si>
  <si>
    <t>Deterioro de valor acumulado activos intangibles y plusvalía</t>
  </si>
  <si>
    <t>Total activos intangibles y plusvalía</t>
  </si>
  <si>
    <t>Efectivo y equivalentes al efectivo [sinopsis]</t>
  </si>
  <si>
    <t>Efectivo [sinopsis]</t>
  </si>
  <si>
    <t>Efectivo en caja</t>
  </si>
  <si>
    <t>Saldos en bancos</t>
  </si>
  <si>
    <t>Total efectivo</t>
  </si>
  <si>
    <t>Equivalentes al efectivo [sinopsis]</t>
  </si>
  <si>
    <t>Depósitos a corto plazo, clasificados como equivalentes al efectivo</t>
  </si>
  <si>
    <t>Inversiones a corto plazo, clasificados como equivalentes al efectivo</t>
  </si>
  <si>
    <t>Otros acuerdos bancarios, clasificados como equivalentes al efectivo</t>
  </si>
  <si>
    <t>Total equivalentes al efectivo</t>
  </si>
  <si>
    <t>Otro efectivo y equivalentes al efectivo</t>
  </si>
  <si>
    <t>Total efectivo y equivalentes al efectivo</t>
  </si>
  <si>
    <t>Clases de otras provisiones [resumen]</t>
  </si>
  <si>
    <t>Provisiones por litigios y demandas [resumen]</t>
  </si>
  <si>
    <t>Provisiones por litigios y demandas no corriente</t>
  </si>
  <si>
    <t>Provisiones por litigios y demandas corriente</t>
  </si>
  <si>
    <t>Total de Provisiones por litigios y demandas</t>
  </si>
  <si>
    <t>Provisiones por contratos onerosos [resumen]</t>
  </si>
  <si>
    <t>Provisión por contratos onerosos no corriente</t>
  </si>
  <si>
    <t>Provisión corriente por contratos onerosos</t>
  </si>
  <si>
    <t>Total de provisiones por contratos onerosos</t>
  </si>
  <si>
    <t>Provisiones por costos de dejar fuera de servicio, restauración y rehabilitación [resumen]</t>
  </si>
  <si>
    <t>Provisión no corriente para costos de desmantelamiento, restauración y rehabilitación</t>
  </si>
  <si>
    <t>Provisión corriente para costos de desmantelamiento, restauración y rehabilitación</t>
  </si>
  <si>
    <t>Total de provisiones por costos de dejar fuera de servicio, restauración y rehabilitación</t>
  </si>
  <si>
    <t>Otras provisiones [resumen]</t>
  </si>
  <si>
    <t>Total otras provisiones</t>
  </si>
  <si>
    <t>Beneficios a Empleados [resumen]</t>
  </si>
  <si>
    <t>Beneficios a Empleados a corto plazo</t>
  </si>
  <si>
    <t>Beneficios a Empleados a largo plazo</t>
  </si>
  <si>
    <t>Beneficios por terminación del vínculo laboral o contractual</t>
  </si>
  <si>
    <t>Beneficios posempleo</t>
  </si>
  <si>
    <t>Total Beneficios a empleados</t>
  </si>
  <si>
    <t>[800200] Notas - Análisis de ingresos y gastos</t>
  </si>
  <si>
    <t>Clases de gasto de beneficios a los empleados</t>
  </si>
  <si>
    <t>Beneficios a corto plazo</t>
  </si>
  <si>
    <t>Sueldos y salarios</t>
  </si>
  <si>
    <t>Beneficios a largo plazo</t>
  </si>
  <si>
    <t>Premios o bonificaciones por largo tiempo de servicio</t>
  </si>
  <si>
    <t>Beneficios por terminación del vínculo laboral o contractual.</t>
  </si>
  <si>
    <t>Beneficios de Ley</t>
  </si>
  <si>
    <t>Obligaciones implícitas</t>
  </si>
  <si>
    <t>Finalización anticipada de contrato</t>
  </si>
  <si>
    <t>Oferta de beneficios por terminación anticipada</t>
  </si>
  <si>
    <t>Beneficios posempleo.</t>
  </si>
  <si>
    <t>Pensiones a cargo de la empresa</t>
  </si>
  <si>
    <t>Seguros de vida, asistencia médica, cobertura educativa</t>
  </si>
  <si>
    <t>Total de gastos por beneficios a los empleados</t>
  </si>
  <si>
    <t>[800500] Notas - Lista de Notas</t>
  </si>
  <si>
    <t>Información a revelar sobre notas y otra información explicativa [bloque de texto]</t>
  </si>
  <si>
    <t>Información a revelar sobre juicios y estimaciones contables [bloque de texto]</t>
  </si>
  <si>
    <t>Información a revelar sobre remuneración de los auditores [bloque de texto]</t>
  </si>
  <si>
    <t>Información a revelar sobre la autorización de los estados financieros [bloque de texto]</t>
  </si>
  <si>
    <t>Información a revelar sobre efectivo y equivalentes al efectivo [bloque de texto]</t>
  </si>
  <si>
    <t>Información a revelar sobre el estado de flujos de efectivo [bloque de texto]</t>
  </si>
  <si>
    <t>Información a revelar sobre activos contingentes [bloque de texto]</t>
  </si>
  <si>
    <t>Información a revelar sobre compromisos y pasivos contingentes [bloque de texto]</t>
  </si>
  <si>
    <t>Información a revelar sobre gastos por depreciación y amortización [bloque de texto]</t>
  </si>
  <si>
    <t>Información a revelar sobre instrumentos financieros derivados [bloque de texto]</t>
  </si>
  <si>
    <t>Información a revelar sobre el efecto de las variaciones en las tasas de cambio de la moneda extranjera [bloque de texto]</t>
  </si>
  <si>
    <t>Información a revelar sobre beneficios a los empleados [bloque de texto]</t>
  </si>
  <si>
    <t>Información a revelar sobre hechos ocurridos después del periodo sobre el que se informa [bloque de texto]</t>
  </si>
  <si>
    <t>Información a revelar sobre gastos [bloque de texto]</t>
  </si>
  <si>
    <t>Información a revelar sobre ingresos (costos) financieros [bloque de texto]</t>
  </si>
  <si>
    <t>Información a revelar sobre instrumentos financieros [bloque de texto]</t>
  </si>
  <si>
    <t>Información a revelar sobre gestión del riesgo financiero [bloque de texto]</t>
  </si>
  <si>
    <t>Información a revelar sobre la adopción por primera vez del marco normativo [bloque de texto]</t>
  </si>
  <si>
    <t>Información a revelar sobre la plusvalía [bloque de texto]</t>
  </si>
  <si>
    <t>Información a revelar sobre subvenciones del gobierno [bloque de texto]</t>
  </si>
  <si>
    <t>Descripción de la naturaleza y cuantía de las subvenciones reconocidas</t>
  </si>
  <si>
    <t>Descripción de las condiciones cumplidas, por cumplir y otras contingencias relacionadas con las subvenciones condicionadas que no se hayan reconocido en resultados</t>
  </si>
  <si>
    <t>Periodos que cubre las subvención, así como los montos amortizados y por amortizar</t>
  </si>
  <si>
    <t>Descrición de las subvenciones a las que no se les haya podido asignar un valor</t>
  </si>
  <si>
    <t>Descripción de otro de tipo de ayudas gubernamentales de las cuales se haya beneficiado directamente la empresa</t>
  </si>
  <si>
    <t>Información a revelar sobre deterioro de valor de activos [bloque de texto]</t>
  </si>
  <si>
    <t>Información a revelar sobre impuestos a las ganancias [bloque de texto]</t>
  </si>
  <si>
    <t>Información a revelar sobre empleados [bloque de texto]</t>
  </si>
  <si>
    <t>Información a revelar sobre personal clave de la gerencia [bloque de texto]</t>
  </si>
  <si>
    <t>Información a revelar sobre activos intangibles [bloque de texto]</t>
  </si>
  <si>
    <t>Información a revelar sobre gastos por intereses [bloque de texto]</t>
  </si>
  <si>
    <t>Información a revelar sobre ingresos por intereses [bloque de texto]</t>
  </si>
  <si>
    <t>Información a revelar sobre inventarios [bloque de texto]</t>
  </si>
  <si>
    <t>Información a revelar sobre propiedades de inversión [bloque de texto]</t>
  </si>
  <si>
    <t>Información a revelar sobre inversiones contabilizadas utilizando el método de la participación [bloque de texto]</t>
  </si>
  <si>
    <t>Información a revelar sobre inversiones distintas de las contabilizadas utilizando el método de la participación [bloque de texto]</t>
  </si>
  <si>
    <t>Información a revelar sobre arrendamientos [bloque de texto]</t>
  </si>
  <si>
    <t>Información a revelar sobre préstamos y anticipos a bancos [bloque de texto]</t>
  </si>
  <si>
    <t>Información a revelar sobre préstamos y anticipos a clientes [bloque de texto]</t>
  </si>
  <si>
    <t>Información a revelar sobre objetivos, políticas y procesos para la gestión del capital [bloque de texto]</t>
  </si>
  <si>
    <t>Información a revelar sobre otros activos corrientes [bloque de texto]</t>
  </si>
  <si>
    <t>Información a revelar sobre otros pasivos corrientes [bloque de texto]</t>
  </si>
  <si>
    <t>Información a revelar sobre otros activos no corrientes [bloque de texto]</t>
  </si>
  <si>
    <t>Información a revelar sobre otros pasivos no corrientes [bloque de texto]</t>
  </si>
  <si>
    <t>Información a revelar sobre otros ingresos (gastos) de operación [bloque de texto]</t>
  </si>
  <si>
    <t>Información a revelar sobre anticipos y otros activos [bloque de texto]</t>
  </si>
  <si>
    <t>Información a revelar sobre ganancias (pérdidas) por actividades de operación [bloque de texto]</t>
  </si>
  <si>
    <t>Información a revelar sobre propiedades, planta y equipo [bloque de texto]</t>
  </si>
  <si>
    <t>Información a revelar sobre provisiones [bloque de texto]</t>
  </si>
  <si>
    <t>Información a revelar sobre gastos de investigación y desarrollo [bloque de texto]</t>
  </si>
  <si>
    <t>Información a revelar sobre reservas dentro de patrimonio [bloque de texto]</t>
  </si>
  <si>
    <t>Información a revelar sobre efectivo y equivalentes al efectivo restringidos [bloque de texto]</t>
  </si>
  <si>
    <t>Información a revelar sobre ingresos de actividades ordinarias [bloque de texto]</t>
  </si>
  <si>
    <t>Información a revelar sobre cuentas por cobrar y por pagar por impuestos [bloque de texto]</t>
  </si>
  <si>
    <t>Información a revelar sobre acreedores comerciales y otras cuentas por pagar [bloque de texto]</t>
  </si>
  <si>
    <t>Información a revelar sobre deudores comerciales y otras cuentas por cobrar [bloque de texto]</t>
  </si>
  <si>
    <t>[800600] Notas - Lista de Políticas</t>
  </si>
  <si>
    <t>Información a revelar sobre un resumen de las políticas contables significativas [bloque de texto]</t>
  </si>
  <si>
    <t>Descripción de la política contable de activos financieros disponibles para la venta [bloque de texto]</t>
  </si>
  <si>
    <t>Descripción de la política contable para costos de financiación [bloque de texto]</t>
  </si>
  <si>
    <t>Descripción de la política contable para préstamos por pagar [bloque de texto]</t>
  </si>
  <si>
    <t>Descripción de la política contable para instrumentos financieros derivados [bloque de texto]</t>
  </si>
  <si>
    <t>Descripción de la política contable para beneficios a los empleados [bloque de texto]</t>
  </si>
  <si>
    <t>Descripción de la política contable para gastos [bloque de texto]</t>
  </si>
  <si>
    <t>Descripción de la política contable para conversión de moneda extranjera [bloque de texto]</t>
  </si>
  <si>
    <t>Descripción de la política contable para la moneda funcional [bloque de texto]</t>
  </si>
  <si>
    <t>Descripción de la política contable para la plusvalía [bloque de texto]</t>
  </si>
  <si>
    <t>Descripción de las políticas contables para subvenciones gubernamentales [bloque de texto]</t>
  </si>
  <si>
    <t>Descripción de la política contable para deterioro del valor de activos [bloque de texto]</t>
  </si>
  <si>
    <t>Descripción de la política contable para impuestos a las ganancias [bloque de texto]</t>
  </si>
  <si>
    <t>Descripción de la política contable para activos intangibles [bloque de texto]</t>
  </si>
  <si>
    <t>Descripción de las políticas contables para inversiones en asociadas [bloque de texto]</t>
  </si>
  <si>
    <t>Descripción de la política contable para inversiones en negocios conjuntos [bloque de texto]</t>
  </si>
  <si>
    <t>Descripción de la política contable para propiedades de inversión [bloque de texto]</t>
  </si>
  <si>
    <t>Descripción de la política contable para el capital emitido [bloque de texto]</t>
  </si>
  <si>
    <t>Descripción de la política contable para arrendamientos [bloque de texto]</t>
  </si>
  <si>
    <t>Descripción de la política contable para préstamos y cuentas por cobrar [bloque de texto]</t>
  </si>
  <si>
    <t>Descripción de las políticas contables para la medición de inventarios [bloque de texto]</t>
  </si>
  <si>
    <t>Descripción de la política contable para activos de petróleo y gas [bloque de texto]</t>
  </si>
  <si>
    <t>Descripción de la política contable para propiedades, planta y equipo [bloque de texto]</t>
  </si>
  <si>
    <t>Descripción de la política contable para provisiones [bloque de texto]</t>
  </si>
  <si>
    <t>Descripción de las políticas contables para el reconocimiento de ingresos de actividades ordinarias [bloque de texto]</t>
  </si>
  <si>
    <t>Descripción de la política contable para gastos de investigación y desarrollo [bloque de texto]</t>
  </si>
  <si>
    <t>Descripción de la política contable para el efectivo y equivalentes al efectivo restringido [bloque de texto]</t>
  </si>
  <si>
    <t>Descripción de la política contable para acreedores comerciales y otras cuentas por pagar [bloque de texto]</t>
  </si>
  <si>
    <t>Descripción de la política contable para transacciones con partes relacionadas [bloque de texto]</t>
  </si>
  <si>
    <t>Descripción de otras políticas contables relevantes para comprender los estados financieros [bloque de texto]</t>
  </si>
  <si>
    <t>Descripción de la política contable de inversiones de administración de liquidez [bloque de texto]</t>
  </si>
  <si>
    <t>Descripción de la política contable para préstamos por cobrar [bloque de texto]</t>
  </si>
  <si>
    <t>Descripción de la política contable para el reconocimiento de ingresos por contratos de construcción [bloque de texto]</t>
  </si>
  <si>
    <t>[810000] Notas - Información de la entidad y declaración de cumplimiento con el marco normativo</t>
  </si>
  <si>
    <t>Nombre de la controladora última del grupo</t>
  </si>
  <si>
    <t>Ciudad donde se encuentra ubicada la sede administrativa</t>
  </si>
  <si>
    <t>Dirección de la sede administrativa de la entidad</t>
  </si>
  <si>
    <t>Email institucional</t>
  </si>
  <si>
    <t>Declaración explícita y sin reservas de cumplimiento del Marco Normativo para Entidades de Gobierno Resolución 414 CGN, el cual hace parte del Régimen de Contabilidad Pública [bloque de texto]</t>
  </si>
  <si>
    <t>Información a revelar sobre incertidumbres o cambios ordenados que comprometen su continuidad como supresión, fusión, escisión o liquidación</t>
  </si>
  <si>
    <t>Explicación de porqué no se presume que la actividad se llevara a cabo por tiempo indefinido</t>
  </si>
  <si>
    <t>Información a revelar sobre finalización de la prestación de los servicios inscritos en RUPS. [Resumen]</t>
  </si>
  <si>
    <t>Información a revelar sobre incertidumbres sobre la capacidad de dar continuidad a la prestación de uno o más servicios inscritos en RUPS</t>
  </si>
  <si>
    <t>¿Durante el periodo sobre el que se informa se finalizó la prestación de uno o más servicios inscritos en RUPS?</t>
  </si>
  <si>
    <t>Detalle sobre la finalización de la prestación de los servicios inscritos en RUPS. (indicar servicio y fecha de finalización del servicio)</t>
  </si>
  <si>
    <t>Explicación de los criterios de medición utilizados para preparar los estados financieros [bloque de texto]</t>
  </si>
  <si>
    <t>Explicación de supuestos realizados acerca del futuro y otras causas de incertidumbre en las estimaciones realizadas al final del periodo contable, que tengan un riesgo significativo de ocasionar ajustes importantes en el valor en libros de los activos o pasivos dentro del periodo contable siguiente.</t>
  </si>
  <si>
    <t>Información relacionada con Objetivos de Desarrollo Sostenible impulsadas por la Organización de Naciones Unidas [Abstracto]</t>
  </si>
  <si>
    <t>La entidad ha implementado programas, prácticas o políticas relacionados con objetivos de desarrollo sostenible?</t>
  </si>
  <si>
    <t>La entidad prepara reportes de sostenibilidad?</t>
  </si>
  <si>
    <t>Si lo presenta como reporte a una entidad de supervisión específica, a cuál?</t>
  </si>
  <si>
    <t>La entidad cuenta con objetivos de desarrollo sostenible para el eje económico?</t>
  </si>
  <si>
    <t>Mencione que indicadores calcula. Explique los elementos que componen cada indicador.</t>
  </si>
  <si>
    <t>[811001] Notas - Políticas contables, cambios en las estimaciones contables y errores</t>
  </si>
  <si>
    <t>Detalle de los cambios en políticas contables, estimaciones contables y errores [Resumen]</t>
  </si>
  <si>
    <t>Tipo de Cambio por politica, estimación o error</t>
  </si>
  <si>
    <t>Descripción del cambio en política, estimación o error</t>
  </si>
  <si>
    <t>Impacto en el activo por cambio por política, estimación o error</t>
  </si>
  <si>
    <t>Impacto en el pasivo por cambio por política, estimación o error</t>
  </si>
  <si>
    <t>Impacto en el patrimonio por cambio por política, estimación o error</t>
  </si>
  <si>
    <t>Impacto en el resultado por cambio por política, estimación o error</t>
  </si>
  <si>
    <t># Fila de cambio por política, estimación o error</t>
  </si>
  <si>
    <t>[825701] Notas - Información a revelar detallada sobre partes relacionadas</t>
  </si>
  <si>
    <t>Detalle de la parte relacionada [Resumen]</t>
  </si>
  <si>
    <t>Tipo de parte relacionada</t>
  </si>
  <si>
    <t>Nombre de la parte relacionada</t>
  </si>
  <si>
    <t>NIT de la parte relacionada</t>
  </si>
  <si>
    <t>ID de Prestador de la parte relacionada (Si está vigilado por la Superservicios)</t>
  </si>
  <si>
    <t>Ciudad de domicilio de la parte relacionada</t>
  </si>
  <si>
    <t>País donde está constituida la parte relacionada</t>
  </si>
  <si>
    <t>Porcentaje de participación en la parte relacionada</t>
  </si>
  <si>
    <t>Si es asociada y su participación y/o derechos de voto son menores del 20% explique porque hay influencia significativa; si es mayor al 20% y no hay influencia significativa, explique porqué</t>
  </si>
  <si>
    <t>Valor en libros de la Inversión  en parte relacionada</t>
  </si>
  <si>
    <t>Inversiones contabilizadas utilizando el método de la participación de la parte relacionada</t>
  </si>
  <si>
    <t>Riesgo asociado con su participación en la parte relacionada</t>
  </si>
  <si>
    <t>Nombre Controladora última del Grupo</t>
  </si>
  <si>
    <t>ID Controladora última del Grupo</t>
  </si>
  <si>
    <t>Nombre Controladora que emite Estados Financieros Consolidados disponible para uso público</t>
  </si>
  <si>
    <t>Importe de las Cuentas por Cobrar con la parte relacionada</t>
  </si>
  <si>
    <t>Importe de las Cuentas por Pagar con la parte relacionada</t>
  </si>
  <si>
    <t>Importe de los Ingresos con la parte relacionada</t>
  </si>
  <si>
    <t>Importe de los Costos y Gastos con la parte relacionada</t>
  </si>
  <si>
    <t>Información a revelar sobre esta parte relacionada</t>
  </si>
  <si>
    <t># Fila de parte relacionada</t>
  </si>
  <si>
    <t>[835110] Notas - Impuestos a las ganancias</t>
  </si>
  <si>
    <t>Principales componentes del gasto (ingreso) por impuestos [resumen]</t>
  </si>
  <si>
    <t>Gasto (ingreso) por impuestos corriente y ajustes por impuestos corrientes de periodos anteriores [resumen]</t>
  </si>
  <si>
    <t>Gasto (ingreso) por impuesto corriente</t>
  </si>
  <si>
    <t>Ajustes por impuestos corrientes de periodos anteriores</t>
  </si>
  <si>
    <t>Total gastos (ingresos) por impuestos corrientes y ajustes a impuestos corrientes de periodos anteriores</t>
  </si>
  <si>
    <t>Gasto (ingreso) por impuestos diferidos relacionado con el origen y reversión de diferencias temporarias</t>
  </si>
  <si>
    <t>Gasto (ingreso) por impuestos diferidos relacionado con cambios en las tasas fiscales o con la imposición de nuevos impuestos</t>
  </si>
  <si>
    <t>Gasto (ingreso) sobre el gasto por impuesto diferido originado por variaciones derivadas de una revisión de las autoridades fiscales</t>
  </si>
  <si>
    <t>Ajustes sobre el gasto por impuestos diferidos derivados de un cambio en la situación fiscal de la empresa</t>
  </si>
  <si>
    <t>Otros ajustes realizados, durante el periodo contable, a los activos por impuestos diferidos</t>
  </si>
  <si>
    <t>Gasto por impuestos relacionado con aplicación retroactiva por efecto de un cambio en política contable y con la reexpresión retroactiva por efecto de una corrección de errores  de periodos anteriores</t>
  </si>
  <si>
    <t>Total de gasto (ingreso) por impuestos</t>
  </si>
  <si>
    <t>[900010] Notas - Información a revelar sobre los responsables de la información financiera e información del AEGR</t>
  </si>
  <si>
    <t>Detalle [resumen]</t>
  </si>
  <si>
    <t>Nombres</t>
  </si>
  <si>
    <t>Apellidos</t>
  </si>
  <si>
    <t>Tipo de documento</t>
  </si>
  <si>
    <t>Número de documento</t>
  </si>
  <si>
    <t>Email</t>
  </si>
  <si>
    <t>Tarjeta profesional</t>
  </si>
  <si>
    <t>Si la persona natural actua como miembro de una persona jurídica, indique la razón social</t>
  </si>
  <si>
    <t>Si la persona natural actua como miembro de una persona jurídica, indique el NIT</t>
  </si>
  <si>
    <t>Tipo de norma de auditoría aplicada y tipo de dictamen</t>
  </si>
  <si>
    <t>Relación [miembro]</t>
  </si>
  <si>
    <t>Representante legal [miembro]</t>
  </si>
  <si>
    <t>Contador [miembro]</t>
  </si>
  <si>
    <t>Jefe de la oficina de control interno [miembro]</t>
  </si>
  <si>
    <t>Revisor fiscal [miembro]</t>
  </si>
  <si>
    <t>AEGR [miembro]</t>
  </si>
  <si>
    <t>01 - CÉDULA DE CIUDADANÍA</t>
  </si>
  <si>
    <t>02 - CÉDULA DE EXTRANJERÍA</t>
  </si>
  <si>
    <t>03 - PASAPORTE</t>
  </si>
  <si>
    <t>NAGAS - 1. Limpio</t>
  </si>
  <si>
    <t>NAGAS - 2. Con salvedad</t>
  </si>
  <si>
    <t>NAGAS - 3. Negativo</t>
  </si>
  <si>
    <t>NAGAS - 4. Abstención de opinión</t>
  </si>
  <si>
    <t>NIAS - 1. No modificada</t>
  </si>
  <si>
    <t>NIAS - 2. Modificada; opinión con salvedades</t>
  </si>
  <si>
    <t>NIAS - 3. Modificada; opinión desfavorable o adversa</t>
  </si>
  <si>
    <t>NIAS - 4. Modificada; denegación o abstención de opinión</t>
  </si>
  <si>
    <t>[900017a] FC01-1 - Gastos de servicios públicos - Acueducto</t>
  </si>
  <si>
    <t>Gasto administrativo - Acueducto [miembro]</t>
  </si>
  <si>
    <t>Gasto operativo - Acueducto [miembro]</t>
  </si>
  <si>
    <t>Gastos [resumen]</t>
  </si>
  <si>
    <t>Beneficios a empleados</t>
  </si>
  <si>
    <t>Honorarios</t>
  </si>
  <si>
    <t>Impuestos, Tasas y Contribuciones (No incluye impuesto de renta)</t>
  </si>
  <si>
    <t>Generales</t>
  </si>
  <si>
    <t>Deterioro</t>
  </si>
  <si>
    <t>Depreciación</t>
  </si>
  <si>
    <t>Amortización</t>
  </si>
  <si>
    <t>Provisiones [resumen]</t>
  </si>
  <si>
    <t>Litigios y demandas</t>
  </si>
  <si>
    <t>Garantías</t>
  </si>
  <si>
    <t>Diversas</t>
  </si>
  <si>
    <t>Total gastos de provisiones</t>
  </si>
  <si>
    <t>Arrendamientos</t>
  </si>
  <si>
    <t>Otros Gastos [resumen]</t>
  </si>
  <si>
    <t>Comisiones</t>
  </si>
  <si>
    <t>Ajuste por diferencia en cambio</t>
  </si>
  <si>
    <t>Financieros</t>
  </si>
  <si>
    <t>Pérdidas por aplicación del método de participación patrimonial</t>
  </si>
  <si>
    <t>Gastos diversos</t>
  </si>
  <si>
    <t>Donaciones</t>
  </si>
  <si>
    <t>Total otros gastos</t>
  </si>
  <si>
    <t>Impuesto a las ganancias corrientes</t>
  </si>
  <si>
    <t>Impuesto a las ganancias diferido</t>
  </si>
  <si>
    <t>Bienes y servicios públicos para la venta [resumen]</t>
  </si>
  <si>
    <t>Compras en bloque y/o a largo plazo</t>
  </si>
  <si>
    <t>Compras en bolsa y/o a corto plazo</t>
  </si>
  <si>
    <t>Gastos por suministro de agua potable (agua en bloque)</t>
  </si>
  <si>
    <t>Gastos de conexión</t>
  </si>
  <si>
    <t>Uso de Líneas, redes y ductos</t>
  </si>
  <si>
    <t>Gastos de distribución y/o comercialización de gas combustible por redes</t>
  </si>
  <si>
    <t>Manejo comercial y financiero del servicio</t>
  </si>
  <si>
    <t>Gastos de distribución y/o comercialización de gas licuado de petróleo – GLP</t>
  </si>
  <si>
    <t>Contrato de explotación</t>
  </si>
  <si>
    <t>Gastos asociados a las transacciones en el mercado mayorista</t>
  </si>
  <si>
    <t>Contrato de concesión</t>
  </si>
  <si>
    <t>Otros gastos bienes y servicios públicos para la venta</t>
  </si>
  <si>
    <t>Gastos asociados a las transacciones en el mercado minorista</t>
  </si>
  <si>
    <t>Total de bienes y servicios públicos para la venta</t>
  </si>
  <si>
    <t>Licencias, contribuciones y regalías [resumen]</t>
  </si>
  <si>
    <t>Secretaría Distrital del Medio Ambiente</t>
  </si>
  <si>
    <t>Ley 56 de 1981</t>
  </si>
  <si>
    <t>Medio Ambiente – Ley 99 de 1993</t>
  </si>
  <si>
    <t>Regalías</t>
  </si>
  <si>
    <t>Licencia De Operación Del Servicio</t>
  </si>
  <si>
    <t>FAZNI</t>
  </si>
  <si>
    <t>FAER</t>
  </si>
  <si>
    <t>Cuota de Fomento de gas</t>
  </si>
  <si>
    <t>Comité De Estratificación –Ley 505 De 1999</t>
  </si>
  <si>
    <t>Art 25 - Ley 142 - Concesiones, y permisos ambientales y sanitarios</t>
  </si>
  <si>
    <t>Otras licencias Ley 142 de 1994</t>
  </si>
  <si>
    <t>Total licencias, contribuciones y regalías</t>
  </si>
  <si>
    <t>Consumo de Insumos Directos [resumen]</t>
  </si>
  <si>
    <t>Productos Químicos</t>
  </si>
  <si>
    <t>Gas Combustible</t>
  </si>
  <si>
    <t>Carbón Mineral</t>
  </si>
  <si>
    <t>Energía</t>
  </si>
  <si>
    <t>ACPM, Fuel Oil</t>
  </si>
  <si>
    <t>Otros Elementos de Consumo de Insumos Directos</t>
  </si>
  <si>
    <t>Total consumo de insumos directos</t>
  </si>
  <si>
    <t>Ordenes y contratos de mantenimiento y reparaciones</t>
  </si>
  <si>
    <t>Peajes terrestres</t>
  </si>
  <si>
    <t>Disposición final</t>
  </si>
  <si>
    <t>Peajes por interconexión de acueductos</t>
  </si>
  <si>
    <t>Peajes por interconexión de alcantarillado</t>
  </si>
  <si>
    <t>Servicios públicos</t>
  </si>
  <si>
    <t>Materiales y otros gastos de operación</t>
  </si>
  <si>
    <t>Pérdidas en prestación del servicio de acueducto</t>
  </si>
  <si>
    <t>Seguros</t>
  </si>
  <si>
    <t>Órdenes y contratos por otros servicios</t>
  </si>
  <si>
    <t>Total gastos</t>
  </si>
  <si>
    <t>[900017b] FC01-2 - Gastos de servicios públicos - Alcantarillado</t>
  </si>
  <si>
    <t>Gasto administrativo - Alcantarillado [miembro]</t>
  </si>
  <si>
    <t>Gasto operativo - Alcantarillado [miembro]</t>
  </si>
  <si>
    <t>[900017c] FC01-3 - Gastos de servicios públicos - Aseo</t>
  </si>
  <si>
    <t>Gasto administrativo - Aseo [miembro]</t>
  </si>
  <si>
    <t>Gasto operativo - Aseo [miembro]</t>
  </si>
  <si>
    <t>[900017d] FC01-4 - Gastos de servicios públicos - Energía</t>
  </si>
  <si>
    <t>ENERGIA - SIN [miembro]</t>
  </si>
  <si>
    <t>Generación [miembro]</t>
  </si>
  <si>
    <t>Gasto administrativo - Energía Eléctrica SIN - Generación [miembro]</t>
  </si>
  <si>
    <t>Gasto operativo - Energía Eléctrica SIN - Generación [miembro]</t>
  </si>
  <si>
    <t>Transmisión [miembro]</t>
  </si>
  <si>
    <t>Gasto administrativo - Energía Eléctrica SIN - Transmisión [miembro]</t>
  </si>
  <si>
    <t>Gasto operativo - Energía Eléctrica SIN - Transmisión [miembro]</t>
  </si>
  <si>
    <t>Distribución [miembro]</t>
  </si>
  <si>
    <t>Gasto administrativo - Energía Eléctrica SIN - Distribución [miembro]</t>
  </si>
  <si>
    <t>Gasto operativo - Energía Eléctrica SIN - Distribución [miembro]</t>
  </si>
  <si>
    <t>Comercialización [miembro]</t>
  </si>
  <si>
    <t>Gasto administrativo - Energía Eléctrica SIN - Comercialización [miembro]</t>
  </si>
  <si>
    <t>Gasto operativo - Energía Eléctrica SIN - Comercialización [miembro]</t>
  </si>
  <si>
    <t>Gasto administrativo - Energía Eléctrica SIN [miembro]</t>
  </si>
  <si>
    <t>Gasto operativo - Energía Eléctrica SIN [miembro]</t>
  </si>
  <si>
    <t>ENERGIA - ZNI [miembro]</t>
  </si>
  <si>
    <t>Gasto administrativo - Energía Eléctrica ZNI - Generación [miembro]</t>
  </si>
  <si>
    <t>Gasto operativo - Energía Eléctrica ZNI - Generación [miembro]</t>
  </si>
  <si>
    <t>Gasto administrativo - Energía Eléctrica ZNI - Distribución [miembro]</t>
  </si>
  <si>
    <t>Gasto operativo - Energía Eléctrica ZNI - Distribución [miembro]</t>
  </si>
  <si>
    <t>Gasto administrativo - Energía Eléctrica ZNI - Comercialización [miembro]</t>
  </si>
  <si>
    <t>Gasto operativo - Energía Eléctrica ZNI - Comercialización [miembro]</t>
  </si>
  <si>
    <t>Gasto administrativo - Energía Eléctrica ZNI [miembro]</t>
  </si>
  <si>
    <t>Gasto operativo - Energía Eléctrica ZNI [miembro]</t>
  </si>
  <si>
    <t>Gasto administrativo - Energía eléctrica [miembro]</t>
  </si>
  <si>
    <t>Gasto operativo - Energía Eléctrica [miembro]</t>
  </si>
  <si>
    <t>[900017e] FC01-5 - Gastos de servicios públicos - Gas combustible por redes</t>
  </si>
  <si>
    <t>Producción [miembro]</t>
  </si>
  <si>
    <t>Gasto administrativo - Gas Combustible por redes - Producción [miembro]</t>
  </si>
  <si>
    <t>Gasto operativo - Gas Combustible por redes - Producción [miembro]</t>
  </si>
  <si>
    <t>Transporte [miembro]</t>
  </si>
  <si>
    <t>Gasto administrativo - Gas Combustible por redes - Transporte [miembro]</t>
  </si>
  <si>
    <t>Gasto operativo - Gas Combustible por redes - Transporte [miembro]</t>
  </si>
  <si>
    <t>Gasto administrativo - Gas Combustible por redes - Distribución [miembro]</t>
  </si>
  <si>
    <t>Gasto operativo - Gas Combustible por redes - Distribución [miembro]</t>
  </si>
  <si>
    <t>Gasto administrativo - Gas Combustible por redes - Comercialización [miembro]</t>
  </si>
  <si>
    <t>Gasto operativo - Gas Combustible por redes - Comercialización [miembro]</t>
  </si>
  <si>
    <t>Comercialización de gas importado [miembro]</t>
  </si>
  <si>
    <t>Gasto administrativo - Gas Combustible por redes - Comercialización de gas importado [miembro]</t>
  </si>
  <si>
    <t>Gasto operativo - Gas Combustible por redes - Comercialización de gas importado[miembro]</t>
  </si>
  <si>
    <t>Regasificación [miembro]</t>
  </si>
  <si>
    <t>Gasto administrativo - Gas Combustible por redes - Regasificación [miembro]</t>
  </si>
  <si>
    <t>Gasto operativo - Gas Combustible por redes - Regasificación [miembro]</t>
  </si>
  <si>
    <t>Gasto administrativo - Gas Combustible por redes [miembro]</t>
  </si>
  <si>
    <t>Gasto operativo - Gas Combustible por redes [miembro]</t>
  </si>
  <si>
    <t>[900017f] FC01-6 - Gastos de servicios públicos - Gas licuado del petroleo</t>
  </si>
  <si>
    <t>Comercialización Mayorista [miembro]</t>
  </si>
  <si>
    <t>Gasto administrativo - GLP - Comercialización mayorista [miembro]</t>
  </si>
  <si>
    <t>Gasto operativo - GLP - Comercialización mayorista [miembro]</t>
  </si>
  <si>
    <t>Distribución Inversionista [miembro]</t>
  </si>
  <si>
    <t>Gasto administrativo - GLP - Distribución inversionista [miembro]</t>
  </si>
  <si>
    <t>Gasto operativo - GLP - Distribución inversionista [miembro]</t>
  </si>
  <si>
    <t>Comercialización Minorista [miembro]</t>
  </si>
  <si>
    <t>Gasto administrativo - GLP - Comercialización minorista [miembro]</t>
  </si>
  <si>
    <t>Gasto operativo - GLP - Comercialización minorista [miembro]</t>
  </si>
  <si>
    <t>Gasto administrativo - GLP - Transporte [miembro]</t>
  </si>
  <si>
    <t>Gasto operativo - GLP - Transporte [miembro]</t>
  </si>
  <si>
    <t>Gasto administrativo - GLP [miembro]</t>
  </si>
  <si>
    <t>Gasto operativo - GLP [miembro]</t>
  </si>
  <si>
    <t>[900017g] FC01-7 - Gastos de servicios públicos - Total servicios públicos</t>
  </si>
  <si>
    <t>Total Periodo [miembro]</t>
  </si>
  <si>
    <t>Total prestación servicios públicos nacionales [miembro]</t>
  </si>
  <si>
    <t>Gasto administrativo - Total de servicios públicos [miembro]</t>
  </si>
  <si>
    <t>Gasto operativo - Total de servicios públicos [miembro]</t>
  </si>
  <si>
    <t>Gasto administrativo - Otras actividades no vigiladas [miembro]</t>
  </si>
  <si>
    <t>Gasto operativo - Otras actividades no vigiladas [miembro]</t>
  </si>
  <si>
    <t>Gasto administrativo - Total del periodo [miembro]</t>
  </si>
  <si>
    <t>Gasto operativo - Total del periodo [miembro]</t>
  </si>
  <si>
    <t>[900019] FC02 - Complementario ingresos</t>
  </si>
  <si>
    <t>Ingresos, devoluciones, rebajas y descuentos [miembro]</t>
  </si>
  <si>
    <t>Ingresos brutos [miembro]</t>
  </si>
  <si>
    <t>Devoluciones, rebajas y descuentos [miembro]</t>
  </si>
  <si>
    <t>Ingresos netos [miembro]</t>
  </si>
  <si>
    <t>Información a revelar sobre ingresos y devoluciones [resumen]</t>
  </si>
  <si>
    <t>Información a revelar sobre ingresos [resumen]</t>
  </si>
  <si>
    <t>Acueducto [resumen]</t>
  </si>
  <si>
    <t>Abastecimiento</t>
  </si>
  <si>
    <t>Distribución</t>
  </si>
  <si>
    <t>Comercialización</t>
  </si>
  <si>
    <t>Subtotal Ingresos Acueducto</t>
  </si>
  <si>
    <t>Alcantarillado [resumen]</t>
  </si>
  <si>
    <t>Recolección y transporte</t>
  </si>
  <si>
    <t>Tratamiento de aguas residuales</t>
  </si>
  <si>
    <t>Subtotal Ingresos Alcantarillado</t>
  </si>
  <si>
    <t>Aseo [resumen]</t>
  </si>
  <si>
    <t>Recolección y transporte de residuos no aprovechables</t>
  </si>
  <si>
    <t>Tratamiento de lixiviados</t>
  </si>
  <si>
    <t>Corte de césped</t>
  </si>
  <si>
    <t>Poda de arboles</t>
  </si>
  <si>
    <t>Limpieza y lavado de áreas públicas</t>
  </si>
  <si>
    <t>Limpieza de playa costeras y rivereñas</t>
  </si>
  <si>
    <t>Suministro e Instalación de cestas en vías y áreas públicas</t>
  </si>
  <si>
    <t>Mantenimiento de cestas en vías y áreas públicas</t>
  </si>
  <si>
    <t>Barrido y Limpieza</t>
  </si>
  <si>
    <t>Transferencia</t>
  </si>
  <si>
    <t>Aprovechamiento</t>
  </si>
  <si>
    <t>Manejo de residuos especiales</t>
  </si>
  <si>
    <t>Otros ingresos servicio aseo</t>
  </si>
  <si>
    <t>Subtotal Ingresos Aseo</t>
  </si>
  <si>
    <t>Energía Eléctrica [resumen]</t>
  </si>
  <si>
    <t>ENERGIA - SIN [resumen]</t>
  </si>
  <si>
    <t>Generación [resumen]</t>
  </si>
  <si>
    <t>Ventas de contratos bilaterales</t>
  </si>
  <si>
    <t>Transacciones de energía en bolsa [resumen]</t>
  </si>
  <si>
    <t>Arranques y paradas</t>
  </si>
  <si>
    <t>Desviaciones positivas</t>
  </si>
  <si>
    <t>Cargo por confiabilidad</t>
  </si>
  <si>
    <t>Servicio AGC</t>
  </si>
  <si>
    <t>Restricciones</t>
  </si>
  <si>
    <t>Ventas en bolsa</t>
  </si>
  <si>
    <t>Subtotal Transacciones de energía en bolsa</t>
  </si>
  <si>
    <t>Otros ingresos de generación</t>
  </si>
  <si>
    <t>Subtotal Ingresos Generación</t>
  </si>
  <si>
    <t>Transmisión</t>
  </si>
  <si>
    <t>Comercialización [resumen]</t>
  </si>
  <si>
    <t>Ventas contratos bilaterales</t>
  </si>
  <si>
    <t>Ventas energía en bolsa</t>
  </si>
  <si>
    <t>Subtotal Comercialización</t>
  </si>
  <si>
    <t>Subtotal Energia - SIN</t>
  </si>
  <si>
    <t>ENERGIA - ZNI [resumen]</t>
  </si>
  <si>
    <t>Generación</t>
  </si>
  <si>
    <t>Subtotal Energia - ZNI</t>
  </si>
  <si>
    <t>Subtotal Energia Eléctrica</t>
  </si>
  <si>
    <t>Gas combustible por redes [resumen]</t>
  </si>
  <si>
    <t>Producción, comercialización [resumen]</t>
  </si>
  <si>
    <t>Contrato de Suministro en Firme</t>
  </si>
  <si>
    <t>Contrato de Suministro con Firmeza condicionada</t>
  </si>
  <si>
    <t>Contrato de Suministro en Firme al 95% - CF95</t>
  </si>
  <si>
    <t>Contrato de Suministro C1</t>
  </si>
  <si>
    <t>Contrato de Suministro C2</t>
  </si>
  <si>
    <t>Contrato de Opción de Compra de Gas</t>
  </si>
  <si>
    <t>Contrato de Suministro de Contingencia</t>
  </si>
  <si>
    <t>Contrato de Opción de Compra de Gas contra exportaciones</t>
  </si>
  <si>
    <t>Contrato con Interrupciones</t>
  </si>
  <si>
    <t>Contrato de condiciones uniformes</t>
  </si>
  <si>
    <t>Otros</t>
  </si>
  <si>
    <t>Subtotal Producción, comercialización</t>
  </si>
  <si>
    <t>Transporte [resumen]</t>
  </si>
  <si>
    <t>Contrato de Transporte Firme</t>
  </si>
  <si>
    <t>Contrato de Opción de Compra de Transporte</t>
  </si>
  <si>
    <t>Contrato de Transporte de Contingencia</t>
  </si>
  <si>
    <t>Contrato de Transporte con Firmeza Condicionada</t>
  </si>
  <si>
    <t>Parqueo Rodante</t>
  </si>
  <si>
    <t>Subtotal Transporte</t>
  </si>
  <si>
    <t>Distribución [resumen]</t>
  </si>
  <si>
    <t>Ingresos por Distribución de Gas Natural</t>
  </si>
  <si>
    <t>Ingresos por Distribución de GLP por Redes</t>
  </si>
  <si>
    <t>Ingresos por Distribución de Aire Propanado</t>
  </si>
  <si>
    <t>Subtotal Distribución</t>
  </si>
  <si>
    <t>Contrato Firme que garantiza Firmeza de Suministro</t>
  </si>
  <si>
    <t>Contrato Firme que garantiza Firmeza de Transporte</t>
  </si>
  <si>
    <t>Comercialización de Gas Importado [resumen]</t>
  </si>
  <si>
    <t>Ingresos por Contratos de representación</t>
  </si>
  <si>
    <t>Subtotal Comercialización de Gas Importado</t>
  </si>
  <si>
    <t>Regasificación [resumen]</t>
  </si>
  <si>
    <t>Ingresos por servicio puro de regasificación</t>
  </si>
  <si>
    <t>Ingresos por disponibilidad de la planta</t>
  </si>
  <si>
    <t>Subtotal Regasificación</t>
  </si>
  <si>
    <t>Subtotal Gas Combustible por Redes</t>
  </si>
  <si>
    <t>Gas Licuado de Petróleo [resumen]</t>
  </si>
  <si>
    <t>Comercialización Mayorista [resumen]</t>
  </si>
  <si>
    <t>Remuneración por Producción</t>
  </si>
  <si>
    <t>Ingreso por Comercialización Mayorista</t>
  </si>
  <si>
    <t>Subtotal Comercialización Mayorista</t>
  </si>
  <si>
    <t>Comercialización Minorista</t>
  </si>
  <si>
    <t>Remuneración por Transporte por Ductos</t>
  </si>
  <si>
    <t>Remuneración por Transporte Marítimo</t>
  </si>
  <si>
    <t>Cargo por Estampilla</t>
  </si>
  <si>
    <t>Subtotal Gas Licuado de Petróleo</t>
  </si>
  <si>
    <t>Ingresos por actividades de servicios públicos</t>
  </si>
  <si>
    <t>Ingresos actividades no vigiladas</t>
  </si>
  <si>
    <t>Total Ingresos</t>
  </si>
  <si>
    <t>[900021] FC03-1 - CXC - Acueducto (Detallado por estrato)</t>
  </si>
  <si>
    <t>Formato Complementario - Cuentas por cobrar (Acueducto - Detallado por estrato)</t>
  </si>
  <si>
    <t>Corriente / No corriente [miembro]</t>
  </si>
  <si>
    <t>Corriente [miembro]</t>
  </si>
  <si>
    <t>No Corriente [miembro]</t>
  </si>
  <si>
    <t>Total [miembro]</t>
  </si>
  <si>
    <t>No vencida [miembro]</t>
  </si>
  <si>
    <t>Vencida 1 a 30 días [miembro]</t>
  </si>
  <si>
    <t>Vencida 31 a 60 días [miembro]</t>
  </si>
  <si>
    <t>Vencida 61 a 90 días [miembro]</t>
  </si>
  <si>
    <t>Vencida 91 a 120 días [miembro]</t>
  </si>
  <si>
    <t>Vencida 121 a 150 días [miembro]</t>
  </si>
  <si>
    <t>Vencida 151 a 180 días [miembro]</t>
  </si>
  <si>
    <t>Vencida 181 a 360 días [miembro]</t>
  </si>
  <si>
    <t>Vencida mayor de 360 días [miembro]</t>
  </si>
  <si>
    <t>Formato Complementario - Cuentas por cobrar (Acueducto - Detallado por estrato) [partidas]</t>
  </si>
  <si>
    <t>Detalle Cuentas por cobrar Servicio de Acueducto</t>
  </si>
  <si>
    <t>Servicio de acueducto [partidas]</t>
  </si>
  <si>
    <t>Otros Servicios</t>
  </si>
  <si>
    <t>Residencial Estrato 1</t>
  </si>
  <si>
    <t>Residencial Estrato 2</t>
  </si>
  <si>
    <t>Residencial Estrato 3</t>
  </si>
  <si>
    <t>Residencial Estrato 4</t>
  </si>
  <si>
    <t>Residencial Estrato 5</t>
  </si>
  <si>
    <t>Residencial Estrato 6</t>
  </si>
  <si>
    <t>No residencial industrial</t>
  </si>
  <si>
    <t>No residencial comercial</t>
  </si>
  <si>
    <t>No residencial oficial</t>
  </si>
  <si>
    <t>No residencial especial</t>
  </si>
  <si>
    <t>Total Comercialización</t>
  </si>
  <si>
    <t>Cuentas por Cobrar brutas servicio de Acueducto</t>
  </si>
  <si>
    <t>Detalle Deterioro cuentas por cobrar Servicio de Acueducto</t>
  </si>
  <si>
    <t>Deterioro de cuentas por cobrar [partidas]</t>
  </si>
  <si>
    <t>No Residencial Industrial</t>
  </si>
  <si>
    <t>No Residencial Comercial</t>
  </si>
  <si>
    <t>No Residencial Oficial</t>
  </si>
  <si>
    <t>No Residencial Especial</t>
  </si>
  <si>
    <t>Total deterioro cuentas por cobrar Servicio Acueducto</t>
  </si>
  <si>
    <t>Cuentas por cobrar netas Servicio Acueducto</t>
  </si>
  <si>
    <t>[900022] FC03-2 - CXC - Alcantarillado (Detallado por estrato)</t>
  </si>
  <si>
    <t>Formato Complementario - Cuentas por cobrar (Alcantarillado - Detallado por estrato)</t>
  </si>
  <si>
    <t>Formato Complementario - Cuentas por cobrar (Alcantarillado - Detallado por estrato) [partidas]</t>
  </si>
  <si>
    <t>Detalle Cuentas por cobrar Servicio de Alcantarillado</t>
  </si>
  <si>
    <t>Servicio de alcantarillado [resumen]</t>
  </si>
  <si>
    <t>Recolección</t>
  </si>
  <si>
    <t>Tratamiento y disposición final</t>
  </si>
  <si>
    <t>Cuentas por Cobrar brutas servicio de Alcantarillado</t>
  </si>
  <si>
    <t>Detalle Deterioro cuentas por cobrar Servicio de Alcantarillado</t>
  </si>
  <si>
    <t>Total deterioro cuentas por cobrar Servicio Alcantarillado</t>
  </si>
  <si>
    <t>Cuentas por cobrar netas Servicio Alcantarillado</t>
  </si>
  <si>
    <t>[900023] FC03-3 - CXC - Aseo (Detallado por estrato)</t>
  </si>
  <si>
    <t>Formato Complementario - Cuentas por cobrar (Aseo - Detallado por estrato)</t>
  </si>
  <si>
    <t>Formato Complementario - Cuentas por cobrar (Aseo - Detallado por estrato) [partidas]</t>
  </si>
  <si>
    <t>Detalle Cuentas por cobrar Servicio de Aseo</t>
  </si>
  <si>
    <t>Cuentas por Cobrar brutas servicio de Aseo</t>
  </si>
  <si>
    <t>Detalle Deterioro cuentas por cobrar Servicio de Aseo</t>
  </si>
  <si>
    <t>Total deterioro cuentas por cobrar Servicio Aseo</t>
  </si>
  <si>
    <t>Cuentas por cobrar netas Servicio Aseo</t>
  </si>
  <si>
    <t>[900024] FC03-4 - CXC - Energía (Detallado por estrato)</t>
  </si>
  <si>
    <t>Formato Complementario - Cuentas por cobrar (Energía Eléctrica - Detallado por estrato)</t>
  </si>
  <si>
    <t>Formato Complementario - Cuentas por cobrar (Energía Eléctrica - Detallado por estrato) [partidas]</t>
  </si>
  <si>
    <t>Detalle Cuentas por cobrar Servicio de Energía</t>
  </si>
  <si>
    <t>Servicio de Energía Eléctrica [resumen]</t>
  </si>
  <si>
    <t>Contratos bilaterales empresas del sector</t>
  </si>
  <si>
    <t>Contratos bilaterales usuarios no regulados</t>
  </si>
  <si>
    <t>Bolsa de energía</t>
  </si>
  <si>
    <t>Total Generación</t>
  </si>
  <si>
    <t>Transmisión [resumen]</t>
  </si>
  <si>
    <t>Ingreso regulado</t>
  </si>
  <si>
    <t>Cargos por conexión</t>
  </si>
  <si>
    <t>Total Transmisión</t>
  </si>
  <si>
    <t>Operador de red [resumen]</t>
  </si>
  <si>
    <t>Cargos por uso de usuarios regulados</t>
  </si>
  <si>
    <t>Cargos por uso de usuarios no regulados</t>
  </si>
  <si>
    <t>Total Operador de red</t>
  </si>
  <si>
    <t>Comercial</t>
  </si>
  <si>
    <t>Industrial</t>
  </si>
  <si>
    <t>Oficial</t>
  </si>
  <si>
    <t>Alumbrado público</t>
  </si>
  <si>
    <t>Empresas del sector</t>
  </si>
  <si>
    <t>Usuarios no regulados</t>
  </si>
  <si>
    <t>Total Cuentas por cobrar Servicio de Energía Eléctrica</t>
  </si>
  <si>
    <t>Detalle Deterioro cuentas por cobrar Servicio de Energía</t>
  </si>
  <si>
    <t>Total Deterioro Cuentas por Cobrar Servicio de energía eléctrica</t>
  </si>
  <si>
    <t>Cuentas por cobrar netas Servicio Energía</t>
  </si>
  <si>
    <t>[900025] FC03-5 - CXC - Gas combustible por redes  (Detallado por estrato)</t>
  </si>
  <si>
    <t>Formato Complementario - Cuentas por cobrar (Gas combustible por redes - Detallado por estrato)</t>
  </si>
  <si>
    <t>Formato Complementario - Cuentas por cobrar Gas combustible por redes - Detallado por estrato [partidas]</t>
  </si>
  <si>
    <t>Detalle Cuentas por cobrar Servicio de Gas Combustible Por Redes</t>
  </si>
  <si>
    <t>Servicio de Gas combustible por redes [resumen]</t>
  </si>
  <si>
    <t>Negocio transporte de gas combustible [resumen]</t>
  </si>
  <si>
    <t>Grandes consumidores</t>
  </si>
  <si>
    <t>Total Transporte de gas combustible</t>
  </si>
  <si>
    <t>Negocio distribución de gas combustible [resumen]</t>
  </si>
  <si>
    <t>Total Distribución de gas combustible</t>
  </si>
  <si>
    <t>Negocio comercializacion de gas combustible [resumen]</t>
  </si>
  <si>
    <t>Hogares sustitutos</t>
  </si>
  <si>
    <t>Otros residencial estrato 1</t>
  </si>
  <si>
    <t>Especial Asistencial</t>
  </si>
  <si>
    <t>Especial Educativo</t>
  </si>
  <si>
    <t>Total Comercialización de gas combustible</t>
  </si>
  <si>
    <t>Cuentas por Cobrar brutas servicio de Gas Combustible Por Redes</t>
  </si>
  <si>
    <t>Detalle Deterioro cuentas por cobrar Servicio de Gas Combustible Por Redes</t>
  </si>
  <si>
    <t>Deterioro de cuentas por cobrar [resumen]</t>
  </si>
  <si>
    <t>Residencial estrato 1</t>
  </si>
  <si>
    <t>Total deterioro cuentas por cobrar Servicio Gas Combustible Por Redes</t>
  </si>
  <si>
    <t>Cuentas por cobrar netas Servicio Gas Combustible Por Redes</t>
  </si>
  <si>
    <t>[900026] FC03-6 - CXC - Gas Licuado del Petróleo (Detallado por estrato)</t>
  </si>
  <si>
    <t>Formato Complementario - Cuentas por cobrar (Gas Licuado del Petróleo - Detallado por estrato)</t>
  </si>
  <si>
    <t>Formato Complementario - Cuentas por cobrar (Gas Licuado del Petróleo - Detallado por estrato) [partidas]</t>
  </si>
  <si>
    <t>Detalle Cuentas por cobrar Servicio de GLP</t>
  </si>
  <si>
    <t>Servicio de gas licuado del petróleo [resumen]</t>
  </si>
  <si>
    <t>Negocio transporte de GLP [resumen]</t>
  </si>
  <si>
    <t>Usuarios No Regulados</t>
  </si>
  <si>
    <t>Total Transporte de GLP</t>
  </si>
  <si>
    <t>Negocio comercializacion Mayorista de GLP [resumen]</t>
  </si>
  <si>
    <t>Distribuidores Inversionistas</t>
  </si>
  <si>
    <t>Comercializadores Mayoristas</t>
  </si>
  <si>
    <t>Total Comercializacion Mayorista de GLP</t>
  </si>
  <si>
    <t>Negocio distribución de GLP [resumen]</t>
  </si>
  <si>
    <t>Comercializadores minoristas</t>
  </si>
  <si>
    <t>Tanques Estacionarios</t>
  </si>
  <si>
    <t>Puntos de Venta</t>
  </si>
  <si>
    <t>Estrato 1 Subsidiado</t>
  </si>
  <si>
    <t>Estrato 2 Subsidiado</t>
  </si>
  <si>
    <t>Total distribución de GLP</t>
  </si>
  <si>
    <t>Negocio comercialización Minorista GLP [resumen]</t>
  </si>
  <si>
    <t>Usuario Final</t>
  </si>
  <si>
    <t>Total comercialización minorista de GLP</t>
  </si>
  <si>
    <t>Cuentas por Cobrar brutas servicio de GLP</t>
  </si>
  <si>
    <t>Detalle Deterioro cuentas por cobrar Servicio de GLP</t>
  </si>
  <si>
    <t>Comercializadores mayoristas</t>
  </si>
  <si>
    <t>Negocio comercializacion Minorista GLP [resumen]</t>
  </si>
  <si>
    <t>Total deterioro cuentas por cobrar Servicio GLP</t>
  </si>
  <si>
    <t>Cuentas por cobrar netas Servicio GLP</t>
  </si>
  <si>
    <t>[900027] FC04 - Información Subsidios y Contribuciones</t>
  </si>
  <si>
    <t>Formato Complementario - Subsidios y Contribuciones [partidas]</t>
  </si>
  <si>
    <t>Subsidios</t>
  </si>
  <si>
    <t>Estrato 1</t>
  </si>
  <si>
    <t>Estrato 2</t>
  </si>
  <si>
    <t>Estrato 3</t>
  </si>
  <si>
    <t>Total Subsidios</t>
  </si>
  <si>
    <t>Contribuciones</t>
  </si>
  <si>
    <t>Estrato 5</t>
  </si>
  <si>
    <t>Estrato 6</t>
  </si>
  <si>
    <t>Total Contribución</t>
  </si>
  <si>
    <t>Valor Neto Subsidios vs. Contribuciones</t>
  </si>
  <si>
    <t>Detalle deterioro cartera de municipios</t>
  </si>
  <si>
    <t>Subsidio FOES</t>
  </si>
  <si>
    <t>Subsidio FAER</t>
  </si>
  <si>
    <t>Subsidio FAZNI</t>
  </si>
  <si>
    <t>Subsidio PRONE</t>
  </si>
  <si>
    <t>Subsidio Gas combustible por redes</t>
  </si>
  <si>
    <t>Subsidio GLP</t>
  </si>
  <si>
    <t>[900027a] FC04a - Detalle de los subsidios por cobrar</t>
  </si>
  <si>
    <t>Detalle de los subsidios por cobrar</t>
  </si>
  <si>
    <t>Periodo</t>
  </si>
  <si>
    <t>Año</t>
  </si>
  <si>
    <t>Mes</t>
  </si>
  <si>
    <t>Total Corriente / No corriente</t>
  </si>
  <si>
    <t>Corriente</t>
  </si>
  <si>
    <t>No corriente</t>
  </si>
  <si>
    <t>Total Subsidios por cobrar</t>
  </si>
  <si>
    <t>Subsidios por cobrar no vencidos</t>
  </si>
  <si>
    <t>Vencidos hasta 30 Días</t>
  </si>
  <si>
    <t>Vencidos hasta 60 Días</t>
  </si>
  <si>
    <t>Vencidos hasta 90 Días</t>
  </si>
  <si>
    <t>Vencidos hasta 120 Días</t>
  </si>
  <si>
    <t>Vencidos hasta 150 Días</t>
  </si>
  <si>
    <t>Vencidos hasta 180 Días</t>
  </si>
  <si>
    <t>Vencidos hasta 360 Días</t>
  </si>
  <si>
    <t>Vencidos mayores a 360 Días</t>
  </si>
  <si>
    <t>Fecha de cobro</t>
  </si>
  <si>
    <t>Justificacion desautorización</t>
  </si>
  <si>
    <t>Gestiones realizadas para lograr el recaudo</t>
  </si>
  <si>
    <t>Fila Subsidios</t>
  </si>
  <si>
    <t>Total Subsidio</t>
  </si>
  <si>
    <t>[900028b] FC05b - Clase de pasivo por edades de vencimiento - Revelaciones</t>
  </si>
  <si>
    <t>Formato Complementario - Detalle de Pasivos [partidas]</t>
  </si>
  <si>
    <t>Total pasivos por bandas de tiempo</t>
  </si>
  <si>
    <t>Pasivos no vencidos</t>
  </si>
  <si>
    <t>Total pasivos vencidos</t>
  </si>
  <si>
    <t>Incluya las revelaciones asociadas a las edades de los pasivos por cada clase</t>
  </si>
  <si>
    <t>Formato Complementario - Detalle de pasivos [miembro]</t>
  </si>
  <si>
    <t>Nómina por pagar</t>
  </si>
  <si>
    <t>Prestaciones sociales por pagar</t>
  </si>
  <si>
    <t>Cuentas comerciales por pagar por adquisición de bienes y servicios</t>
  </si>
  <si>
    <t>Impuestos por pagar</t>
  </si>
  <si>
    <t>Cuentas por pagar a partes relacionadas y asociadas</t>
  </si>
  <si>
    <t>Obligaciones financieras por pagar</t>
  </si>
  <si>
    <t>Ingresos recibidos por anticipado e ingresos diferidos</t>
  </si>
  <si>
    <t>Pasivos por impuestos diferidos</t>
  </si>
  <si>
    <t>Provisiones</t>
  </si>
  <si>
    <t>Tasas ambientales y tasas de uso por pagar</t>
  </si>
  <si>
    <t>Otras tasas y contribuciones por pagar</t>
  </si>
  <si>
    <t>Pasivos pretoma (Solo intervenidas)</t>
  </si>
  <si>
    <t>Recursos recibidos en administración</t>
  </si>
  <si>
    <t>Recursos recibidos a favor de terceros</t>
  </si>
  <si>
    <t>Otros pasivos</t>
  </si>
  <si>
    <t>TOTAL</t>
  </si>
  <si>
    <t>[900029] FC06 - Depósitos en Garantía de GLP - Distribuidores Inversionistas</t>
  </si>
  <si>
    <t>Trimestres [miembro]</t>
  </si>
  <si>
    <t>Trimestre Enero - Marzo [miembro]</t>
  </si>
  <si>
    <t>Trimestre Abril - Junio [miembro]</t>
  </si>
  <si>
    <t>Trimestre Julio - Septiembre [miembro]</t>
  </si>
  <si>
    <t>Trimestre Octubre - Diciembre [miembro]</t>
  </si>
  <si>
    <t>Formato Complementario - Depósitos en Garantía de GLP - Distribuidores Inversionistas [partidas]</t>
  </si>
  <si>
    <t>Valor de la Fiducia</t>
  </si>
  <si>
    <t>Valor Depósitos en Garantía</t>
  </si>
  <si>
    <t>PORCENTAJE</t>
  </si>
  <si>
    <t>[900030] FC07 - Información sobre el cálculo actuarial</t>
  </si>
  <si>
    <t>Formato Complementario 07 – Información sobre el cálculo actuarial</t>
  </si>
  <si>
    <t>Solicitud cálculo actuarial</t>
  </si>
  <si>
    <t>Representante legal</t>
  </si>
  <si>
    <t>Domicilio</t>
  </si>
  <si>
    <t>Dirección</t>
  </si>
  <si>
    <t>Administración regional de impuestos que le corresponde</t>
  </si>
  <si>
    <t>Grandes contribuyentes (SI o NO)</t>
  </si>
  <si>
    <t>Nota técnica</t>
  </si>
  <si>
    <t>Nombre del actuario</t>
  </si>
  <si>
    <t>Identificacion</t>
  </si>
  <si>
    <t>Profesion</t>
  </si>
  <si>
    <t>Matrícula profesional de la persona natural o jurídica que elaboró el cálculo actuarial, matriculado como actuario</t>
  </si>
  <si>
    <t>Si pertenece a una persona Jurídica indique la Razón Social</t>
  </si>
  <si>
    <t>Si pertenece a una persona Jurídica indique el NIT</t>
  </si>
  <si>
    <t>Certificación</t>
  </si>
  <si>
    <t>Valor del cálculo actuarial</t>
  </si>
  <si>
    <t>Metodologia</t>
  </si>
  <si>
    <t>Procedimiento empleado</t>
  </si>
  <si>
    <t>Incremento del porcentaje acumulado de amortización respecto del año anterior</t>
  </si>
  <si>
    <t>Incremento del porcentaje anual de amortización respecto del año anterior</t>
  </si>
  <si>
    <t>[900031] FC08 - Conciliación de ingresos</t>
  </si>
  <si>
    <t>Diligenciar en este formulario, en los conceptos que el PSPD considere, los valores que a su criterio conforman los ingresos de actividades ordinarias en desarrollo de su objeto social.</t>
  </si>
  <si>
    <t>Servicios [miembro]</t>
  </si>
  <si>
    <t>Conciliación de ingresos [partidas]</t>
  </si>
  <si>
    <t>Ingresos de actividades ordinarias [sinopsis]</t>
  </si>
  <si>
    <t>Ingresos de actividades ordinarias procedentes de la venta de bienes [resumen]</t>
  </si>
  <si>
    <t>Ingresos de actividades ordinarias por venta de energía, gas natural, gas licuado de petróleo, agua</t>
  </si>
  <si>
    <t>Ingresos de actividades ordinarias por venta de aire propanado, combustibles, hidrocarburos, derivados de petróleo</t>
  </si>
  <si>
    <t>Ingresos de actividades ordinarias por venta de equipos de medición de servicios públicos domiciliarios</t>
  </si>
  <si>
    <t>Ingresos de actividades ordinarias por venta de redes internas o partes de ellas</t>
  </si>
  <si>
    <t>Ingresos de actividades ordinarias por venta de electrodomésticos</t>
  </si>
  <si>
    <t>Ingresos de actividades ordinarias por venta de equipos y materiales</t>
  </si>
  <si>
    <t>Ingresos de actividades ordinarias por venta de bienes diferentes a los descritos anteriormente</t>
  </si>
  <si>
    <t>Si reporta ingresos de actividades ordinarias por venta de otros bienes indique cuales [bloque de texto]</t>
  </si>
  <si>
    <t>Total ingresos de actividades ordinarias por venta de bienes</t>
  </si>
  <si>
    <t>Ingresos de actividades ordinarias procedentes de la prestación de servicios [resumen]</t>
  </si>
  <si>
    <t>Ingresos de actividades ordinarias por prestación de servicios públicos domiciliarios</t>
  </si>
  <si>
    <t>Ingresos de actividades ordinarias por prestación de servicios de instalación de redes internas</t>
  </si>
  <si>
    <t>Ingresos de actividades ordinarias por prestación de servicios de mantenimiento de redes internas</t>
  </si>
  <si>
    <t>Ingresos de actividades ordinarias por prestación de servicios de asistencia técnica en servicios públicos domiciliarios</t>
  </si>
  <si>
    <t>Ingresos de actividades ordinarias por prestación de servicios de obras civiles relacionados con servicios públicos domiciliarios</t>
  </si>
  <si>
    <t>Ingresos de actividades ordinarias por cargo de conexión</t>
  </si>
  <si>
    <t>Ingresos de actividades ordinarias por honorarios, asesorías o comisiones por franquicias</t>
  </si>
  <si>
    <t>Ingresos de actividades ordinarias por cargo de confiabilidad</t>
  </si>
  <si>
    <t>Ingresos de actividades ordinarias por reconexiones</t>
  </si>
  <si>
    <t>Ingresos por almacenamiento relacionados con servicios públicos domiciliarios</t>
  </si>
  <si>
    <t>Ingresos de actividades ordinarias por arrendamientos relacionados con servicios públicos domiciliarios</t>
  </si>
  <si>
    <t>Ingresos de actividades ordinarias por reinstalaciones</t>
  </si>
  <si>
    <t>Ingresos de actividades ordinarias procedentes de contratos de construcción</t>
  </si>
  <si>
    <t>Ingresos de actividades ordinarias por revisiones técnicas</t>
  </si>
  <si>
    <t>Ingresos por servicios de facturación, recaudo, manejo comercial</t>
  </si>
  <si>
    <t>Ingresos de actividades ordinarias por prestación de servicios diferentes a los descritos anteriormente</t>
  </si>
  <si>
    <t>Si reporta ingresos de actividades ordinarias por prestación de otros servicios indique cuales [bloque de texto]</t>
  </si>
  <si>
    <t>Total ingresos de actividades ordinarias por prestación de servicios</t>
  </si>
  <si>
    <t>Ingresos de actividades ordinarias por intereses [resumen]</t>
  </si>
  <si>
    <t>Ingresos de actividades ordinarias por intereses de financiación</t>
  </si>
  <si>
    <t>Ingresos de actividades ordinarias por intereses de mora</t>
  </si>
  <si>
    <t>Total de ingresos de actividades ordinarias por intereses</t>
  </si>
  <si>
    <t>Ingresos de actividades ordinarias por dividendos</t>
  </si>
  <si>
    <t>Utilidad de actividades ordinarias en venta de propiedad, planta y equipo (Redes, cables, plantas, y otros directamente relacionados con el servicio público domiciliario)</t>
  </si>
  <si>
    <t>Ingresos de actividades ordinarias por contratos de operación</t>
  </si>
  <si>
    <t>Ingresos de actividades ordinarias por contratos de concesión</t>
  </si>
  <si>
    <t>Ingresos de actividades ordinarias por contratos de cuentas en participación</t>
  </si>
  <si>
    <t>Ingresos de actividades ordinarias por publicidad</t>
  </si>
  <si>
    <t>Otros ingresos de actividades ordinarias</t>
  </si>
  <si>
    <t>Si reporta otros ingresos de actividades ordinarias indique cuáles [bloque de texto]</t>
  </si>
  <si>
    <t>Total de ingresos de actividades ordinarias</t>
  </si>
  <si>
    <t>Ingresos que no son considerados de actividades ordinarias [sinopsis]</t>
  </si>
  <si>
    <t>Ingresos que no son considerados de actividades ordinarias</t>
  </si>
  <si>
    <t>[900032] FC09 - Detalle de costo de ventas</t>
  </si>
  <si>
    <t>Diligencie en este formulario la composición del Costo de Ventas, solo sì el detalle del gasto operativo del formulario FC01 es diferente del costo de ventas en el estado de resultados.</t>
  </si>
  <si>
    <t>Conciliación entre gastos por función y por naturaleza [partidas]</t>
  </si>
  <si>
    <t>Gastos por función [resumen]</t>
  </si>
  <si>
    <t>[900040] FC15 - Información sobre el cálculo del IUS</t>
  </si>
  <si>
    <t>La información contenida en el presente formato es en cumplimiento de lo establecido en la Resolución CRA 906 de 2019 para el cálculo del IUS, para los prestadores de acueducto y/o alcantarillado</t>
  </si>
  <si>
    <t>Total Empresa [miembro]</t>
  </si>
  <si>
    <t>Información adicional [miembro]</t>
  </si>
  <si>
    <t>Información sobre el cálculo del IUS</t>
  </si>
  <si>
    <t>Caracterización</t>
  </si>
  <si>
    <t>Clasifique su empresa de acuerdo al segmento establecido en la resolución CRA 906 de 2019</t>
  </si>
  <si>
    <t>¿Tiene calificación crediticia con grado de inversión AAA a largo plazo, emitida por una calificadora de riesgo para el periodo de reporte? Seleccione de la lista, Sí o No.</t>
  </si>
  <si>
    <t>Variables</t>
  </si>
  <si>
    <t>RI: Recaudo en el periodo de evaluación</t>
  </si>
  <si>
    <t>If: Ingresos facturados en el periodo de evaluación</t>
  </si>
  <si>
    <t>CGGS: Costos y gastos totales destinados a la gestión social</t>
  </si>
  <si>
    <t>ICMI: Ingreso causado por concepto de Costo Medio de Inversión - CMI derivados del POIR para el servicio público</t>
  </si>
  <si>
    <t>ICMO: Ingreso causado por concepto de Costo Medio de Operación - CMO: por APS, durante el periodo de evaluación, para el servicio público</t>
  </si>
  <si>
    <t>ICMA: Ingreso causado por concepto de Costo Medio de Administración - CMA: por APS, durante el periodo de evaluación, para el servicio público</t>
  </si>
  <si>
    <t>TUR_AC: Gasto por concepto de Tasa de uso de agua</t>
  </si>
  <si>
    <t>TUR_AL: Gasto por concepto de Tasa retributiva</t>
  </si>
  <si>
    <t>COA: Costos operativos y gastos de administración</t>
  </si>
  <si>
    <t>SDNC: Servicio de deuda no corriente</t>
  </si>
  <si>
    <t>1 - Grandes Prestadores</t>
  </si>
  <si>
    <t>2 - Pequeños Prestadores</t>
  </si>
  <si>
    <t>3 - Prestadores Rurales</t>
  </si>
  <si>
    <t>4 - Esquema Diferencial</t>
  </si>
  <si>
    <t>[900080] FC30 - Ingreso por tarifa y comercialización de aprovechamiento</t>
  </si>
  <si>
    <t>La información contenida en el presente formato debe ser diligenciada de acuerdo a la información reportada mes a mes</t>
  </si>
  <si>
    <t>Aprovechamiento [miembro]</t>
  </si>
  <si>
    <t>Ingreso por tarifa [miembro]</t>
  </si>
  <si>
    <t>Ingreso por comercialización de material [miembro]</t>
  </si>
  <si>
    <t>Información detallada por tarifa y comercialización de aprovechamiento</t>
  </si>
  <si>
    <t>Del 1 al 31 de Enero</t>
  </si>
  <si>
    <t>Del 1 al 28 de Febrero</t>
  </si>
  <si>
    <t>Del 1 al 31 de Marzo</t>
  </si>
  <si>
    <t>Del 1 al 30 de Abril</t>
  </si>
  <si>
    <t>Del 1 al 31 de Mayo</t>
  </si>
  <si>
    <t>Del 1 al 30 de Junio</t>
  </si>
  <si>
    <t>Del 1 al 31 de Julio</t>
  </si>
  <si>
    <t>Del 1 al 31 de Agosto</t>
  </si>
  <si>
    <t>Del 1 al 30 de Septiembre</t>
  </si>
  <si>
    <t>Del 1 al 31 de Octubre</t>
  </si>
  <si>
    <t>Del 1 al 30 de Noviembre</t>
  </si>
  <si>
    <t>Del 1 al 31 de Diciembre</t>
  </si>
  <si>
    <t>[900090] FC40 - Pagos tarifa de aprovechamiento a recicladores</t>
  </si>
  <si>
    <t>Pago mensual a recicladores [miembro]</t>
  </si>
  <si>
    <t>Información detallada de pagos a recicladores por tarifa de aprovechamiento</t>
  </si>
  <si>
    <t>[900100] FC50 - Detalle de ventas a comercializadores de materiales aprovechables</t>
  </si>
  <si>
    <t>Detalle de ventas a comercializadores de materiales de aprovechamiento [Resumen]</t>
  </si>
  <si>
    <t>Tipo de identificación del comercializador</t>
  </si>
  <si>
    <t>Nit del comercializador</t>
  </si>
  <si>
    <t>Nombre o Razón social del comercializador</t>
  </si>
  <si>
    <t># Fila comercializador de materiales</t>
  </si>
  <si>
    <t>[900110] FC60 - Porcentaje de provisión de la tarifa de aprovechamiento</t>
  </si>
  <si>
    <t>Información detallada del porcentaje de provisión por tarifa de aprovechamiento</t>
  </si>
  <si>
    <t>Porcentaje de provisión que aplicó con respecto al valor de la tarifa de aprovechamiento (%)</t>
  </si>
  <si>
    <t>Valor en pesos de la provisión que aplicó</t>
  </si>
  <si>
    <t>Fase de progresividad:</t>
  </si>
  <si>
    <t>Fase de progresividad cinco: 5</t>
  </si>
  <si>
    <t>Fase de progresividad seis: 6</t>
  </si>
  <si>
    <t>Fase de progresividad siete: 7</t>
  </si>
  <si>
    <t>Fase de progresividad ocho: 8</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</si>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</sst>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numFmts count="1">
    <numFmt numFmtId="164" formatCode="[$-0409]yyyy-MM-dd;@"/>
  </numFmts>
  <fonts count="7">
    <font>
      <sz val="11.0"/>
      <color indexed="8"/>
      <name val="Calibri"/>
      <family val="2"/>
      <scheme val="minor"/>
    </font>
    <font>
      <name val="Microsoft Sans Serif"/>
      <sz val="11.0"/>
      <u val="single"/>
      <color indexed="12"/>
    </font>
    <font>
      <name val="Microsoft Sans Serif"/>
      <sz val="11.0"/>
      <u val="single"/>
      <color indexed="12"/>
    </font>
    <font>
      <name val="Microsoft Sans Serif"/>
      <sz val="9.0"/>
    </font>
    <font>
      <name val="Calibri"/>
      <sz val="11.0"/>
      <color rgb="0000FF"/>
      <u val="single"/>
    </font>
    <font>
      <name val="Microsoft Sans Serif"/>
      <sz val="9.0"/>
      <b val="true"/>
    </font>
    <font>
      <name val="Microsoft Sans Serif"/>
      <sz val="9.0"/>
      <color indexed="10"/>
    </font>
  </fonts>
  <fills count="10">
    <fill>
      <patternFill patternType="none"/>
    </fill>
    <fill>
      <patternFill patternType="darkGray"/>
    </fill>
    <fill>
      <patternFill patternType="none">
        <fgColor rgb="CCCCCC"/>
      </patternFill>
    </fill>
    <fill>
      <patternFill patternType="solid">
        <fgColor rgb="CCCCCC"/>
      </patternFill>
    </fill>
    <fill>
      <patternFill patternType="none">
        <fgColor rgb="FFFFCC"/>
      </patternFill>
    </fill>
    <fill>
      <patternFill patternType="solid">
        <fgColor rgb="FFFFCC"/>
      </patternFill>
    </fill>
    <fill>
      <patternFill patternType="solid"/>
    </fill>
    <fill>
      <patternFill patternType="solid">
        <fgColor rgb="F2F2F2"/>
      </patternFill>
    </fill>
    <fill>
      <patternFill patternType="none">
        <fgColor rgb="000000"/>
      </patternFill>
    </fill>
    <fill>
      <patternFill patternType="darkDown">
        <fgColor rgb="000000"/>
      </patternFill>
    </fill>
  </fills>
  <borders count="14">
    <border>
      <left/>
      <right/>
      <top/>
      <bottom/>
      <diagonal/>
    </border>
    <border>
      <top style="thin"/>
    </border>
    <border>
      <left style="thin"/>
      <top style="thin"/>
    </border>
    <border>
      <left style="thin"/>
      <right style="thin"/>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border>
    <border>
      <left style="thin"/>
      <right style="thin"/>
    </border>
    <border>
      <bottom style="thin"/>
    </border>
    <border>
      <left style="thin"/>
      <bottom style="thin"/>
    </border>
    <border>
      <left style="thin"/>
      <right style="thin"/>
      <bottom style="thin"/>
    </border>
    <border>
      <right style="thin"/>
      <top style="thin"/>
    </border>
  </borders>
  <cellStyleXfs count="1">
    <xf numFmtId="0" fontId="0" fillId="0" borderId="0"/>
  </cellStyleXfs>
  <cellXfs count="72">
    <xf numFmtId="0" fontId="0" fillId="0" borderId="0" xfId="0"/>
    <xf numFmtId="0" fontId="0" fillId="0" borderId="0" xfId="0">
      <alignment horizontal="right"/>
    </xf>
    <xf numFmtId="0" fontId="1" fillId="0" borderId="0" xfId="0" applyFont="true"/>
    <xf numFmtId="0" fontId="2" fillId="0" borderId="0" xfId="0" applyFont="true">
      <alignment indent="1"/>
    </xf>
    <xf numFmtId="0" fontId="3" fillId="3" borderId="2" xfId="0" applyFill="true" applyFont="true" applyBorder="true">
      <alignment horizontal="center" vertical="center" wrapText="true"/>
    </xf>
    <xf numFmtId="0" fontId="3" fillId="3" borderId="3" xfId="0" applyFill="true" applyFont="true" applyBorder="true">
      <alignment horizontal="center" vertical="center" wrapText="true"/>
    </xf>
    <xf numFmtId="0" fontId="3" fillId="3" borderId="6" xfId="0" applyFill="true" applyFont="true" applyBorder="true">
      <alignment horizontal="center" vertical="center" wrapText="true"/>
    </xf>
    <xf numFmtId="0" fontId="3" fillId="3" borderId="2" xfId="0" applyFill="true" applyFont="true" applyBorder="true">
      <alignment horizontal="left" vertical="center" wrapText="true"/>
    </xf>
    <xf numFmtId="0" fontId="3" fillId="3" borderId="4" xfId="0" applyFill="true" applyFont="true" applyBorder="true">
      <alignment horizontal="left" vertical="center" wrapText="true"/>
    </xf>
    <xf numFmtId="0" fontId="3" fillId="3" borderId="7" xfId="0" applyFill="true" applyFont="true" applyBorder="true">
      <alignment horizontal="left" vertical="center" wrapText="true"/>
    </xf>
    <xf numFmtId="0" fontId="3" fillId="3" borderId="9" xfId="0" applyFill="true" applyFont="true" applyBorder="true">
      <alignment horizontal="left" vertical="center" wrapText="true"/>
    </xf>
    <xf numFmtId="0" fontId="3" fillId="3" borderId="12" xfId="0" applyFill="true" applyFont="true" applyBorder="true">
      <alignment horizontal="left" vertical="center" wrapText="true"/>
    </xf>
    <xf numFmtId="0" fontId="3" fillId="5" borderId="5" xfId="0" applyFill="true" applyFont="true" applyBorder="true">
      <alignment horizontal="left" vertical="center" wrapText="true"/>
    </xf>
    <xf numFmtId="0" fontId="3" fillId="5" borderId="7" xfId="0" applyFill="true" applyFont="true" applyBorder="true">
      <alignment horizontal="left" vertical="center" wrapText="true"/>
    </xf>
    <xf numFmtId="0" fontId="3" fillId="5" borderId="12" xfId="0" applyFill="true" applyFont="true" applyBorder="true">
      <alignment horizontal="left" vertical="center" wrapText="true"/>
    </xf>
    <xf numFmtId="0" fontId="3" fillId="3" borderId="5" xfId="0" applyFill="true" applyFont="true" applyBorder="true">
      <alignment horizontal="left" vertical="center" wrapText="true"/>
    </xf>
    <xf numFmtId="0" fontId="3" fillId="5" borderId="2" xfId="0" applyFill="true" applyFont="true" applyBorder="true">
      <alignment horizontal="left" vertical="center" wrapText="true"/>
    </xf>
    <xf numFmtId="0" fontId="3" fillId="5" borderId="9" xfId="0" applyFill="true" applyFont="true" applyBorder="true">
      <alignment horizontal="left" vertical="center" wrapText="true"/>
    </xf>
    <xf numFmtId="0" fontId="3" fillId="3" borderId="6" xfId="0" applyFill="true" applyFont="true" applyBorder="true">
      <alignment horizontal="left" vertical="center" wrapText="true"/>
    </xf>
    <xf numFmtId="0" fontId="3" fillId="5" borderId="6" xfId="0" applyFill="true" applyFont="true" applyBorder="true">
      <alignment horizontal="left" vertical="center" wrapText="true"/>
    </xf>
    <xf numFmtId="0" fontId="0" fillId="7" borderId="9" xfId="0" applyFill="true" applyBorder="true">
      <alignment vertical="center"/>
    </xf>
    <xf numFmtId="0" fontId="0" fillId="0" borderId="9" xfId="0" applyBorder="true">
      <alignment vertical="center"/>
    </xf>
    <xf numFmtId="0" fontId="0" fillId="9" borderId="6" xfId="0" applyBorder="true" applyFill="true">
      <alignment vertical="center"/>
    </xf>
    <xf numFmtId="0" fontId="0" fillId="9" borderId="6" xfId="0" applyBorder="true" applyFill="true">
      <alignment vertical="center"/>
    </xf>
    <xf numFmtId="0" fontId="0" fillId="7" borderId="9" xfId="0" applyBorder="true" applyFill="true">
      <alignment horizontal="center"/>
    </xf>
    <xf numFmtId="0" fontId="0" fillId="0" borderId="9" xfId="0" applyBorder="true">
      <alignment horizontal="center"/>
    </xf>
    <xf numFmtId="164" fontId="0" fillId="0" borderId="9" xfId="0" applyBorder="true" applyNumberFormat="true">
      <alignment vertical="center"/>
    </xf>
    <xf numFmtId="164" fontId="0" fillId="7" borderId="9" xfId="0" applyFill="true" applyBorder="true" applyNumberFormat="true">
      <alignment vertical="center"/>
    </xf>
    <xf numFmtId="0" fontId="0" fillId="7" borderId="12" xfId="0" applyFill="true" applyBorder="true">
      <alignment vertical="center"/>
    </xf>
    <xf numFmtId="0" fontId="3" fillId="3" borderId="1" xfId="0" applyFill="true" applyFont="true" applyBorder="true">
      <alignment horizontal="center" vertical="center" wrapText="true"/>
    </xf>
    <xf numFmtId="0" fontId="3" fillId="3" borderId="13" xfId="0" applyFill="true" applyFont="true" applyBorder="true">
      <alignment horizontal="center" vertical="center" wrapText="true"/>
    </xf>
    <xf numFmtId="0" fontId="3" fillId="3" borderId="8" xfId="0" applyFill="true" applyFont="true" applyBorder="true">
      <alignment horizontal="center" vertical="center" wrapText="true"/>
    </xf>
    <xf numFmtId="0" fontId="3" fillId="5" borderId="2" xfId="0" applyFill="true" applyFont="true" applyBorder="true">
      <alignment horizontal="center" vertical="center" wrapText="true"/>
    </xf>
    <xf numFmtId="0" fontId="3" fillId="5" borderId="3" xfId="0" applyFill="true" applyFont="true" applyBorder="true">
      <alignment horizontal="center" vertical="center" wrapText="true"/>
    </xf>
    <xf numFmtId="0" fontId="3" fillId="5" borderId="6" xfId="0" applyFill="true" applyFont="true" applyBorder="true">
      <alignment horizontal="center" vertical="center" wrapText="true"/>
    </xf>
    <xf numFmtId="0" fontId="3" fillId="3" borderId="11" xfId="0" applyFill="true" applyFont="true" applyBorder="true">
      <alignment horizontal="center" vertical="center" wrapText="true"/>
    </xf>
    <xf numFmtId="0" fontId="3" fillId="3" borderId="12" xfId="0" applyFill="true" applyFont="true" applyBorder="true">
      <alignment horizontal="center" vertical="center" wrapText="true"/>
    </xf>
    <xf numFmtId="0" fontId="3" fillId="5" borderId="4" xfId="0" applyFill="true" applyFont="true" applyBorder="true">
      <alignment horizontal="left" vertical="center" wrapText="true"/>
    </xf>
    <xf numFmtId="0" fontId="5" fillId="5" borderId="5" xfId="0" applyFill="true" applyFont="true" applyBorder="true">
      <alignment horizontal="left" vertical="center" wrapText="true"/>
    </xf>
    <xf numFmtId="0" fontId="5" fillId="5" borderId="7" xfId="0" applyFill="true" applyFont="true" applyBorder="true">
      <alignment horizontal="left" vertical="center" wrapText="true"/>
    </xf>
    <xf numFmtId="0" fontId="5" fillId="5" borderId="12" xfId="0" applyFill="true" applyFont="true" applyBorder="true">
      <alignment horizontal="left" vertical="center" wrapText="true"/>
    </xf>
    <xf numFmtId="0" fontId="5" fillId="5" borderId="4" xfId="0" applyFill="true" applyFont="true" applyBorder="true">
      <alignment horizontal="left" vertical="center" wrapText="true"/>
    </xf>
    <xf numFmtId="0" fontId="5" fillId="3" borderId="5" xfId="0" applyFill="true" applyFont="true" applyBorder="true">
      <alignment horizontal="left" vertical="center" wrapText="true"/>
    </xf>
    <xf numFmtId="0" fontId="5" fillId="3" borderId="4" xfId="0" applyFill="true" applyFont="true" applyBorder="true">
      <alignment horizontal="left" vertical="center" wrapText="true"/>
    </xf>
    <xf numFmtId="0" fontId="5" fillId="3" borderId="7" xfId="0" applyFill="true" applyFont="true" applyBorder="true">
      <alignment horizontal="left" vertical="center" wrapText="true"/>
    </xf>
    <xf numFmtId="0" fontId="5" fillId="3" borderId="12" xfId="0" applyFill="true" applyFont="true" applyBorder="true">
      <alignment horizontal="left" vertical="center" wrapText="true"/>
    </xf>
    <xf numFmtId="4" fontId="0" fillId="0" borderId="9" xfId="0" applyBorder="true" applyNumberFormat="true">
      <alignment vertical="center"/>
    </xf>
    <xf numFmtId="4" fontId="0" fillId="7" borderId="9" xfId="0" applyFill="true" applyBorder="true" applyNumberFormat="true">
      <alignment vertical="center"/>
    </xf>
    <xf numFmtId="4" fontId="0" fillId="0" borderId="12" xfId="0" applyBorder="true" applyNumberFormat="true">
      <alignment vertical="center"/>
    </xf>
    <xf numFmtId="0" fontId="6" fillId="5" borderId="5" xfId="0" applyFill="true" applyFont="true" applyBorder="true">
      <alignment horizontal="left" vertical="center" wrapText="true"/>
    </xf>
    <xf numFmtId="0" fontId="6" fillId="3" borderId="5" xfId="0" applyFill="true" applyFont="true" applyBorder="true">
      <alignment horizontal="left" vertical="center" wrapText="true"/>
    </xf>
    <xf numFmtId="0" fontId="5" fillId="3" borderId="6" xfId="0" applyFill="true" applyFont="true" applyBorder="true">
      <alignment horizontal="left" vertical="center" wrapText="true"/>
    </xf>
    <xf numFmtId="0" fontId="5" fillId="5" borderId="6" xfId="0" applyFill="true" applyFont="true" applyBorder="true">
      <alignment horizontal="left" vertical="center" wrapText="true"/>
    </xf>
    <xf numFmtId="4" fontId="0" fillId="7" borderId="12" xfId="0" applyFill="true" applyBorder="true" applyNumberFormat="true">
      <alignment vertical="center"/>
    </xf>
    <xf numFmtId="0" fontId="3" fillId="5" borderId="8" xfId="0" applyFill="true" applyFont="true" applyBorder="true">
      <alignment horizontal="center" vertical="center" wrapText="true"/>
    </xf>
    <xf numFmtId="0" fontId="3" fillId="5" borderId="11" xfId="0" applyFill="true" applyFont="true" applyBorder="true">
      <alignment horizontal="center" vertical="center" wrapText="true"/>
    </xf>
    <xf numFmtId="0" fontId="3" fillId="3" borderId="9" xfId="0" applyFill="true" applyFont="true" applyBorder="true">
      <alignment horizontal="center" vertical="center" wrapText="true"/>
    </xf>
    <xf numFmtId="0" fontId="0" fillId="0" borderId="12" xfId="0" applyBorder="true">
      <alignment vertical="center"/>
    </xf>
    <xf numFmtId="0" fontId="0" fillId="9" borderId="6" xfId="0" applyBorder="true" applyFill="true">
      <alignment vertical="center"/>
    </xf>
    <xf numFmtId="0" fontId="3" fillId="5" borderId="1" xfId="0" applyFill="true" applyFont="true" applyBorder="true">
      <alignment horizontal="center" vertical="center" wrapText="true"/>
    </xf>
    <xf numFmtId="0" fontId="3" fillId="5" borderId="13" xfId="0" applyFill="true" applyFont="true" applyBorder="true">
      <alignment horizontal="center" vertical="center" wrapText="true"/>
    </xf>
    <xf numFmtId="0" fontId="5" fillId="3" borderId="2" xfId="0" applyFill="true" applyFont="true" applyBorder="true">
      <alignment horizontal="center" vertical="center" wrapText="true"/>
    </xf>
    <xf numFmtId="0" fontId="5" fillId="3" borderId="1" xfId="0" applyFill="true" applyFont="true" applyBorder="true">
      <alignment horizontal="center" vertical="center" wrapText="true"/>
    </xf>
    <xf numFmtId="0" fontId="5" fillId="3" borderId="13" xfId="0" applyFill="true" applyFont="true" applyBorder="true">
      <alignment horizontal="center" vertical="center" wrapText="true"/>
    </xf>
    <xf numFmtId="0" fontId="5" fillId="3" borderId="8" xfId="0" applyFill="true" applyFont="true" applyBorder="true">
      <alignment horizontal="center" vertical="center" wrapText="true"/>
    </xf>
    <xf numFmtId="0" fontId="5" fillId="5" borderId="2" xfId="0" applyFill="true" applyFont="true" applyBorder="true">
      <alignment horizontal="center" vertical="center" wrapText="true"/>
    </xf>
    <xf numFmtId="0" fontId="5" fillId="5" borderId="1" xfId="0" applyFill="true" applyFont="true" applyBorder="true">
      <alignment horizontal="center" vertical="center" wrapText="true"/>
    </xf>
    <xf numFmtId="0" fontId="5" fillId="5" borderId="13" xfId="0" applyFill="true" applyFont="true" applyBorder="true">
      <alignment horizontal="center" vertical="center" wrapText="true"/>
    </xf>
    <xf numFmtId="0" fontId="5" fillId="5" borderId="8" xfId="0" applyFill="true" applyFont="true" applyBorder="true">
      <alignment horizontal="center" vertical="center" wrapText="true"/>
    </xf>
    <xf numFmtId="0" fontId="3" fillId="3" borderId="10" xfId="0" applyFill="true" applyFont="true" applyBorder="true">
      <alignment horizontal="left" vertical="center" wrapText="true"/>
    </xf>
    <xf numFmtId="0" fontId="3" fillId="5" borderId="12" xfId="0" applyFill="true" applyFont="true" applyBorder="true">
      <alignment horizontal="center" vertical="center" wrapText="true"/>
    </xf>
    <xf numFmtId="0" fontId="3" fillId="5" borderId="9" xfId="0" applyFill="true" applyFont="true" applyBorder="true">
      <alignment horizontal="center"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B2:C43"/>
  <sheetViews>
    <sheetView workbookViewId="0" tabSelected="true"/>
  </sheetViews>
  <sheetFormatPr defaultRowHeight="15.0"/>
  <sheetData>
    <row r="2">
      <c r="B2" t="s">
        <v>0</v>
      </c>
    </row>
    <row r="3">
      <c r="B3" t="s" s="3">
        <v>2</v>
      </c>
    </row>
    <row r="4">
      <c r="B4" t="s" s="3">
        <v>36</v>
      </c>
    </row>
    <row r="5">
      <c r="B5" t="s" s="3">
        <v>168</v>
      </c>
    </row>
    <row r="6">
      <c r="B6" t="s" s="3">
        <v>186</v>
      </c>
    </row>
    <row r="7">
      <c r="B7" t="s" s="3">
        <v>215</v>
      </c>
    </row>
    <row r="8">
      <c r="B8" t="s" s="3">
        <v>286</v>
      </c>
    </row>
    <row r="9">
      <c r="B9" t="s" s="3">
        <v>318</v>
      </c>
    </row>
    <row r="10">
      <c r="B10" t="s" s="3">
        <v>390</v>
      </c>
    </row>
    <row r="11">
      <c r="B11" t="s" s="3">
        <v>405</v>
      </c>
    </row>
    <row r="12">
      <c r="B12" t="s" s="3">
        <v>462</v>
      </c>
    </row>
    <row r="13">
      <c r="B13" t="s" s="3">
        <v>496</v>
      </c>
    </row>
    <row r="14">
      <c r="B14" t="s" s="3">
        <v>516</v>
      </c>
    </row>
    <row r="15">
      <c r="B15" t="s" s="3">
        <v>525</v>
      </c>
    </row>
    <row r="16">
      <c r="B16" t="s" s="3">
        <v>547</v>
      </c>
    </row>
    <row r="17">
      <c r="B17" t="s" s="3">
        <v>560</v>
      </c>
    </row>
    <row r="18">
      <c r="B18" t="s" s="3">
        <v>588</v>
      </c>
    </row>
    <row r="19">
      <c r="B19" t="s" s="3">
        <v>662</v>
      </c>
    </row>
    <row r="20">
      <c r="B20" t="s" s="3">
        <v>665</v>
      </c>
    </row>
    <row r="21">
      <c r="B21" t="s" s="3">
        <v>668</v>
      </c>
    </row>
    <row r="22">
      <c r="B22" t="s" s="3">
        <v>695</v>
      </c>
    </row>
    <row r="23">
      <c r="B23" t="s" s="3">
        <v>714</v>
      </c>
    </row>
    <row r="24">
      <c r="B24" t="s" s="3">
        <v>728</v>
      </c>
    </row>
    <row r="25">
      <c r="B25" t="s" s="3">
        <v>737</v>
      </c>
    </row>
    <row r="26">
      <c r="B26" t="s" s="3">
        <v>841</v>
      </c>
    </row>
    <row r="27">
      <c r="B27" t="s" s="3">
        <v>880</v>
      </c>
    </row>
    <row r="28">
      <c r="B28" t="s" s="3">
        <v>891</v>
      </c>
    </row>
    <row r="29">
      <c r="B29" t="s" s="3">
        <v>899</v>
      </c>
    </row>
    <row r="30">
      <c r="B30" t="s" s="3">
        <v>926</v>
      </c>
    </row>
    <row r="31">
      <c r="B31" t="s" s="3">
        <v>948</v>
      </c>
    </row>
    <row r="32">
      <c r="B32" t="s" s="3">
        <v>976</v>
      </c>
    </row>
    <row r="33">
      <c r="B33" t="s" s="3">
        <v>995</v>
      </c>
    </row>
    <row r="34">
      <c r="B34" t="s" s="3">
        <v>1018</v>
      </c>
    </row>
    <row r="35">
      <c r="B35" t="s" s="3">
        <v>1041</v>
      </c>
    </row>
    <row r="36">
      <c r="B36" t="s" s="3">
        <v>1051</v>
      </c>
    </row>
    <row r="37">
      <c r="B37" t="s" s="3">
        <v>1072</v>
      </c>
    </row>
    <row r="38">
      <c r="B38" t="s" s="3">
        <v>1121</v>
      </c>
    </row>
    <row r="39">
      <c r="B39" t="s" s="3">
        <v>1125</v>
      </c>
    </row>
    <row r="40">
      <c r="B40" t="s" s="3">
        <v>1148</v>
      </c>
    </row>
    <row r="41">
      <c r="B41" t="s" s="3">
        <v>1166</v>
      </c>
    </row>
    <row r="42">
      <c r="B42" t="s" s="3">
        <v>1169</v>
      </c>
    </row>
    <row r="43">
      <c r="B43" t="s" s="3">
        <v>1175</v>
      </c>
    </row>
  </sheetData>
  <hyperlinks>
    <hyperlink location="Hoja1!B2" ref="B3"/>
    <hyperlink location="Hoja2!B2" ref="B4"/>
    <hyperlink location="Hoja3!B2" ref="B5"/>
    <hyperlink location="Hoja4!B2" ref="B6"/>
    <hyperlink location="Hoja5!B2" ref="B7"/>
    <hyperlink location="Hoja6!B2" ref="B8"/>
    <hyperlink location="Hoja7!B2" ref="B9"/>
    <hyperlink location="Hoja8!B2" ref="B10"/>
    <hyperlink location="Hoja9!B2" ref="B11"/>
    <hyperlink location="Hoja10!B2" ref="B12"/>
    <hyperlink location="Hoja11!B2" ref="B13"/>
    <hyperlink location="Hoja12!B2" ref="B14"/>
    <hyperlink location="Hoja13!B2" ref="B15"/>
    <hyperlink location="Hoja14!B2" ref="B16"/>
    <hyperlink location="Hoja15!B2" ref="B17"/>
    <hyperlink location="Hoja16!B2" ref="B18"/>
    <hyperlink location="Hoja17!B2" ref="B19"/>
    <hyperlink location="Hoja18!B2" ref="B20"/>
    <hyperlink location="Hoja19!B2" ref="B21"/>
    <hyperlink location="Hoja20!B2" ref="B22"/>
    <hyperlink location="Hoja21!B2" ref="B23"/>
    <hyperlink location="Hoja22!B2" ref="B24"/>
    <hyperlink location="Hoja23!B2" ref="B25"/>
    <hyperlink location="Hoja24!B2" ref="B26"/>
    <hyperlink location="Hoja25!B2" ref="B27"/>
    <hyperlink location="Hoja26!B2" ref="B28"/>
    <hyperlink location="Hoja27!B2" ref="B29"/>
    <hyperlink location="Hoja28!B2" ref="B30"/>
    <hyperlink location="Hoja29!B2" ref="B31"/>
    <hyperlink location="Hoja30!B2" ref="B32"/>
    <hyperlink location="Hoja31!B2" ref="B33"/>
    <hyperlink location="Hoja32!B2" ref="B34"/>
    <hyperlink location="Hoja33!B2" ref="B35"/>
    <hyperlink location="Hoja34!B2" ref="B36"/>
    <hyperlink location="Hoja35!B2" ref="B37"/>
    <hyperlink location="Hoja36!B2" ref="B38"/>
    <hyperlink location="Hoja37!B2" ref="B39"/>
    <hyperlink location="Hoja38!B2" ref="B40"/>
    <hyperlink location="Hoja39!B2" ref="B41"/>
    <hyperlink location="Hoja40!B2" ref="B42"/>
    <hyperlink location="Hoja41!B2" ref="B43"/>
  </hyperlinks>
  <pageMargins bottom="0.75" footer="0.3" header="0.3" left="0.7" right="0.7" top="0.75"/>
</worksheet>
</file>

<file path=xl/worksheets/sheet2.xml><?xml version="1.0" encoding="utf-8"?>
<worksheet xmlns="http://schemas.openxmlformats.org/spreadsheetml/2006/main">
  <dimension ref="B2:F22"/>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2</v>
      </c>
    </row>
    <row r="6">
      <c r="B6" t="s" s="1">
        <v>8</v>
      </c>
      <c r="C6" t="s">
        <v>9</v>
      </c>
    </row>
    <row r="7">
      <c r="B7" t="s" s="1">
        <v>10</v>
      </c>
      <c r="C7" t="s">
        <v>9</v>
      </c>
    </row>
    <row r="8">
      <c r="B8" t="s" s="1">
        <v>11</v>
      </c>
      <c r="C8" t="s">
        <v>9</v>
      </c>
    </row>
    <row r="10">
      <c r="E10" t="s" s="6">
        <v>12</v>
      </c>
    </row>
    <row r="11" ht="28.0" customHeight="true">
      <c r="B11" s="7" t="s">
        <v>13</v>
      </c>
      <c r="C11" s="8"/>
      <c r="D11" s="9"/>
      <c r="E11" s="21"/>
    </row>
    <row r="12">
      <c r="B12" s="10"/>
      <c r="C12" s="14" t="s">
        <v>14</v>
      </c>
      <c r="D12" s="13"/>
      <c r="E12" s="20"/>
    </row>
    <row r="13">
      <c r="B13" s="10"/>
      <c r="C13" s="11" t="s">
        <v>15</v>
      </c>
      <c r="D13" s="9"/>
      <c r="E13" s="21"/>
    </row>
    <row r="14">
      <c r="B14" s="10"/>
      <c r="C14" s="14" t="s">
        <v>16</v>
      </c>
      <c r="D14" s="13"/>
      <c r="E14" s="20"/>
    </row>
    <row r="15">
      <c r="B15" s="10"/>
      <c r="C15" s="11" t="s">
        <v>17</v>
      </c>
      <c r="D15" s="9"/>
      <c r="E15" s="21"/>
    </row>
    <row r="16">
      <c r="B16" s="10"/>
      <c r="C16" s="14" t="s">
        <v>18</v>
      </c>
      <c r="D16" s="13"/>
      <c r="E16" s="20"/>
    </row>
    <row r="17" ht="28.0" customHeight="true">
      <c r="B17" s="10"/>
      <c r="C17" s="11" t="s">
        <v>19</v>
      </c>
      <c r="D17" s="9"/>
      <c r="E17" s="26" t="n"/>
    </row>
    <row r="18">
      <c r="B18" s="10"/>
      <c r="C18" s="14" t="s">
        <v>20</v>
      </c>
      <c r="D18" s="13"/>
      <c r="E18" s="27" t="n"/>
    </row>
    <row r="19">
      <c r="B19" s="10"/>
      <c r="C19" s="11" t="s">
        <v>21</v>
      </c>
      <c r="D19" s="9"/>
      <c r="E19" s="21"/>
    </row>
    <row r="20">
      <c r="B20" s="10"/>
      <c r="C20" s="16" t="s">
        <v>22</v>
      </c>
      <c r="D20" s="13"/>
      <c r="E20" s="23"/>
    </row>
    <row r="21">
      <c r="B21" s="10"/>
      <c r="C21" s="17"/>
      <c r="D21" s="18" t="s">
        <v>23</v>
      </c>
      <c r="E21" s="21"/>
    </row>
    <row r="22">
      <c r="B22" s="11"/>
      <c r="C22" s="14"/>
      <c r="D22" s="19" t="s">
        <v>24</v>
      </c>
      <c r="E22" s="28"/>
    </row>
  </sheetData>
  <mergeCells>
    <mergeCell ref="B11:D11"/>
    <mergeCell ref="C12:D12"/>
    <mergeCell ref="C13:D13"/>
    <mergeCell ref="C14:D14"/>
    <mergeCell ref="C15:D15"/>
    <mergeCell ref="C16:D16"/>
    <mergeCell ref="C17:D17"/>
    <mergeCell ref="C18:D18"/>
    <mergeCell ref="C19:D19"/>
    <mergeCell ref="C20:D20"/>
  </mergeCells>
  <dataValidations count="4">
    <dataValidation type="list" sqref="E15" allowBlank="true" errorStyle="stop" showErrorMessage="true" showDropDown="false">
      <formula1>sspdtipos_TipoNaturalezaEEFF414IndSep</formula1>
    </dataValidation>
    <dataValidation type="list" sqref="E19" allowBlank="true" errorStyle="stop" showErrorMessage="true" showDropDown="false">
      <formula1>sspdtipos_TipoGradoRedondeo</formula1>
    </dataValidation>
    <dataValidation type="list" sqref="E21" allowBlank="true" errorStyle="stop" showErrorMessage="true" showDropDown="false">
      <formula1>sspdtipos_TipoSiNo</formula1>
    </dataValidation>
    <dataValidation type="list" sqref="E22" allowBlank="true" errorStyle="stop" showErrorMessage="true" showDropDown="false">
      <formula1>sspdtipos_TipoPeriodoDeReexpresion</formula1>
    </dataValidation>
  </dataValidations>
  <hyperlinks>
    <hyperlink location="'Indice'!A1" ref="B2"/>
  </hyperlinks>
  <pageMargins bottom="0.75" footer="0.3" header="0.3" left="0.7" right="0.7" top="0.75"/>
</worksheet>
</file>

<file path=xl/worksheets/sheet3.xml><?xml version="1.0" encoding="utf-8"?>
<worksheet xmlns="http://schemas.openxmlformats.org/spreadsheetml/2006/main">
  <dimension ref="B3:Q15"/>
  <sheetViews>
    <sheetView workbookViewId="0"/>
  </sheetViews>
  <sheetFormatPr defaultRowHeight="15.0"/>
  <sheetData>
    <row r="3">
      <c r="B3" t="s">
        <v>25</v>
      </c>
      <c r="D3" t="s">
        <v>27</v>
      </c>
      <c r="F3" t="s">
        <v>31</v>
      </c>
      <c r="H3" t="s">
        <v>33</v>
      </c>
      <c r="J3" t="s">
        <v>577</v>
      </c>
      <c r="L3" t="s">
        <v>580</v>
      </c>
      <c r="N3" t="s">
        <v>1144</v>
      </c>
      <c r="P3" t="s">
        <v>1184</v>
      </c>
    </row>
    <row r="4">
      <c r="B4" t="s">
        <v>26</v>
      </c>
      <c r="D4" t="s">
        <v>28</v>
      </c>
      <c r="F4" t="s">
        <v>32</v>
      </c>
      <c r="H4" t="s">
        <v>34</v>
      </c>
      <c r="J4" t="s">
        <v>578</v>
      </c>
      <c r="L4" t="s">
        <v>581</v>
      </c>
      <c r="N4" t="s">
        <v>1145</v>
      </c>
      <c r="P4" t="s">
        <v>1185</v>
      </c>
    </row>
    <row r="5">
      <c r="D5" t="s">
        <v>29</v>
      </c>
      <c r="H5" t="s">
        <v>35</v>
      </c>
      <c r="J5" t="s">
        <v>579</v>
      </c>
      <c r="L5" t="s">
        <v>582</v>
      </c>
      <c r="N5" t="s">
        <v>1146</v>
      </c>
      <c r="P5" t="s">
        <v>1186</v>
      </c>
    </row>
    <row r="6">
      <c r="D6" t="s">
        <v>30</v>
      </c>
      <c r="L6" t="s">
        <v>583</v>
      </c>
      <c r="N6" t="s">
        <v>1147</v>
      </c>
      <c r="P6" t="s">
        <v>1187</v>
      </c>
    </row>
    <row r="7">
      <c r="L7" t="s">
        <v>584</v>
      </c>
      <c r="P7" t="s">
        <v>1188</v>
      </c>
    </row>
    <row r="8">
      <c r="L8" t="s">
        <v>585</v>
      </c>
      <c r="P8" t="s">
        <v>1189</v>
      </c>
    </row>
    <row r="9">
      <c r="L9" t="s">
        <v>586</v>
      </c>
      <c r="P9" t="s">
        <v>1190</v>
      </c>
    </row>
    <row r="10">
      <c r="L10" t="s">
        <v>587</v>
      </c>
      <c r="P10" t="s">
        <v>1191</v>
      </c>
    </row>
    <row r="11">
      <c r="P11" t="s">
        <v>1192</v>
      </c>
    </row>
    <row r="12">
      <c r="P12" t="s">
        <v>1193</v>
      </c>
    </row>
    <row r="13">
      <c r="P13" t="s">
        <v>1194</v>
      </c>
    </row>
    <row r="14">
      <c r="P14" t="s">
        <v>1195</v>
      </c>
    </row>
    <row r="15">
      <c r="P15" t="s">
        <v>1196</v>
      </c>
    </row>
  </sheetData>
  <pageMargins bottom="0.75" footer="0.3" header="0.3" left="0.7" right="0.7" top="0.75"/>
</worksheet>
</file>

<file path=xl/worksheets/sheet4.xml><?xml version="1.0" encoding="utf-8"?>
<worksheet xmlns="http://schemas.openxmlformats.org/spreadsheetml/2006/main">
  <dimension ref="B2:Q25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36</v>
      </c>
    </row>
    <row r="6">
      <c r="B6" t="s" s="1">
        <v>8</v>
      </c>
      <c r="C6" t="s">
        <v>9</v>
      </c>
    </row>
    <row r="7">
      <c r="B7" t="s" s="1">
        <v>10</v>
      </c>
      <c r="C7" t="s">
        <v>9</v>
      </c>
    </row>
    <row r="9">
      <c r="B9" t="s" s="1">
        <v>11</v>
      </c>
      <c r="C9" t="s">
        <v>12</v>
      </c>
    </row>
    <row r="10">
      <c r="I10" t="s" s="4">
        <v>37</v>
      </c>
      <c r="J10" s="29"/>
      <c r="K10" s="29"/>
      <c r="L10" s="29"/>
      <c r="M10" s="29"/>
      <c r="N10" s="29"/>
      <c r="O10" s="29"/>
      <c r="P10" s="30"/>
    </row>
    <row r="11">
      <c r="I11" t="s" s="34">
        <v>38</v>
      </c>
      <c r="J11" t="s" s="6">
        <v>39</v>
      </c>
      <c r="K11" t="s" s="34">
        <v>40</v>
      </c>
      <c r="L11" t="s" s="6">
        <v>41</v>
      </c>
      <c r="M11" t="s" s="34">
        <v>42</v>
      </c>
      <c r="N11" t="s" s="6">
        <v>43</v>
      </c>
      <c r="O11" t="s" s="34">
        <v>44</v>
      </c>
      <c r="P11" s="36"/>
    </row>
    <row r="12">
      <c r="B12" s="7" t="s">
        <v>45</v>
      </c>
      <c r="C12" s="8"/>
      <c r="D12" s="8"/>
      <c r="E12" s="8"/>
      <c r="F12" s="8"/>
      <c r="G12" s="8"/>
      <c r="H12" s="9"/>
      <c r="I12" s="23"/>
      <c r="J12" s="23"/>
      <c r="K12" s="23"/>
      <c r="L12" s="23"/>
      <c r="M12" s="23"/>
      <c r="N12" s="23"/>
      <c r="O12" s="23"/>
      <c r="P12" s="23"/>
    </row>
    <row r="13">
      <c r="B13" s="10"/>
      <c r="C13" s="16" t="s">
        <v>46</v>
      </c>
      <c r="D13" s="37"/>
      <c r="E13" s="37"/>
      <c r="F13" s="37"/>
      <c r="G13" s="37"/>
      <c r="H13" s="13"/>
      <c r="I13" s="22"/>
      <c r="J13" s="22"/>
      <c r="K13" s="22"/>
      <c r="L13" s="22"/>
      <c r="M13" s="22"/>
      <c r="N13" s="22"/>
      <c r="O13" s="22"/>
      <c r="P13" s="22"/>
    </row>
    <row r="14">
      <c r="B14" s="10"/>
      <c r="C14" s="17"/>
      <c r="D14" s="7" t="s">
        <v>47</v>
      </c>
      <c r="E14" s="8"/>
      <c r="F14" s="8"/>
      <c r="G14" s="8"/>
      <c r="H14" s="9"/>
      <c r="I14" s="23"/>
      <c r="J14" s="23"/>
      <c r="K14" s="23"/>
      <c r="L14" s="23"/>
      <c r="M14" s="23"/>
      <c r="N14" s="23"/>
      <c r="O14" s="23"/>
      <c r="P14" s="23"/>
    </row>
    <row r="15">
      <c r="B15" s="10"/>
      <c r="C15" s="17"/>
      <c r="D15" s="10"/>
      <c r="E15" s="16" t="s">
        <v>48</v>
      </c>
      <c r="F15" s="37"/>
      <c r="G15" s="37"/>
      <c r="H15" s="13"/>
      <c r="I15" s="46" t="n"/>
      <c r="J15" s="46" t="n"/>
      <c r="K15" s="46" t="n"/>
      <c r="L15" s="46" t="n"/>
      <c r="M15" s="46" t="n"/>
      <c r="N15" s="46" t="n"/>
      <c r="O15" s="46" t="n"/>
      <c r="P15" s="46" t="n">
        <f>Hoja7!F53+Hoja7!F58+Hoja7!F59</f>
      </c>
    </row>
    <row r="16">
      <c r="B16" s="10"/>
      <c r="C16" s="17"/>
      <c r="D16" s="10"/>
      <c r="E16" s="14"/>
      <c r="F16" s="11" t="s">
        <v>49</v>
      </c>
      <c r="G16" s="8"/>
      <c r="H16" s="9"/>
      <c r="I16" s="47" t="n"/>
      <c r="J16" s="47" t="n"/>
      <c r="K16" s="47" t="n"/>
      <c r="L16" s="47" t="n"/>
      <c r="M16" s="47" t="n"/>
      <c r="N16" s="47" t="n"/>
      <c r="O16" s="47" t="n"/>
      <c r="P16" s="47" t="n"/>
    </row>
    <row r="17" ht="28.0" customHeight="true">
      <c r="B17" s="10"/>
      <c r="C17" s="17"/>
      <c r="D17" s="10"/>
      <c r="E17" s="16" t="s">
        <v>50</v>
      </c>
      <c r="F17" s="37"/>
      <c r="G17" s="37"/>
      <c r="H17" s="13"/>
      <c r="I17" s="22"/>
      <c r="J17" s="22"/>
      <c r="K17" s="22"/>
      <c r="L17" s="22"/>
      <c r="M17" s="22"/>
      <c r="N17" s="22"/>
      <c r="O17" s="22"/>
      <c r="P17" s="22"/>
    </row>
    <row r="18" ht="28.0" customHeight="true">
      <c r="B18" s="10"/>
      <c r="C18" s="17"/>
      <c r="D18" s="10"/>
      <c r="E18" s="17"/>
      <c r="F18" s="7" t="s">
        <v>51</v>
      </c>
      <c r="G18" s="8"/>
      <c r="H18" s="9"/>
      <c r="I18" s="23"/>
      <c r="J18" s="23"/>
      <c r="K18" s="23"/>
      <c r="L18" s="23"/>
      <c r="M18" s="23"/>
      <c r="N18" s="23"/>
      <c r="O18" s="23"/>
      <c r="P18" s="23"/>
    </row>
    <row r="19" ht="42.0" customHeight="true">
      <c r="B19" s="10"/>
      <c r="C19" s="17"/>
      <c r="D19" s="10"/>
      <c r="E19" s="17"/>
      <c r="F19" s="10"/>
      <c r="G19" s="14" t="s">
        <v>52</v>
      </c>
      <c r="H19" s="13"/>
      <c r="I19" s="46" t="n"/>
      <c r="J19" s="46" t="n"/>
      <c r="K19" s="46" t="n"/>
      <c r="L19" s="46" t="n"/>
      <c r="M19" s="46" t="n"/>
      <c r="N19" s="46" t="n"/>
      <c r="O19" s="22"/>
      <c r="P19" s="46" t="n"/>
    </row>
    <row r="20">
      <c r="B20" s="10"/>
      <c r="C20" s="17"/>
      <c r="D20" s="10"/>
      <c r="E20" s="17"/>
      <c r="F20" s="10"/>
      <c r="G20" s="7" t="s">
        <v>53</v>
      </c>
      <c r="H20" s="9"/>
      <c r="I20" s="47" t="n"/>
      <c r="J20" s="47" t="n"/>
      <c r="K20" s="47" t="n"/>
      <c r="L20" s="47" t="n"/>
      <c r="M20" s="47" t="n"/>
      <c r="N20" s="47" t="n"/>
      <c r="O20" s="23"/>
      <c r="P20" s="47" t="n"/>
    </row>
    <row r="21">
      <c r="B21" s="10"/>
      <c r="C21" s="17"/>
      <c r="D21" s="10"/>
      <c r="E21" s="17"/>
      <c r="F21" s="10"/>
      <c r="G21" s="11"/>
      <c r="H21" s="19" t="s">
        <v>54</v>
      </c>
      <c r="I21" s="22"/>
      <c r="J21" s="22"/>
      <c r="K21" s="22"/>
      <c r="L21" s="46" t="n"/>
      <c r="M21" s="46" t="n"/>
      <c r="N21" s="46" t="n"/>
      <c r="O21" s="22"/>
      <c r="P21" s="46" t="n"/>
    </row>
    <row r="22" ht="28.0" customHeight="true">
      <c r="B22" s="10"/>
      <c r="C22" s="17"/>
      <c r="D22" s="10"/>
      <c r="E22" s="17"/>
      <c r="F22" s="10"/>
      <c r="G22" s="11" t="s">
        <v>55</v>
      </c>
      <c r="H22" s="9"/>
      <c r="I22" s="23"/>
      <c r="J22" s="23"/>
      <c r="K22" s="47" t="n"/>
      <c r="L22" s="23"/>
      <c r="M22" s="23"/>
      <c r="N22" s="23"/>
      <c r="O22" s="23"/>
      <c r="P22" s="47" t="n"/>
    </row>
    <row r="23" ht="28.0" customHeight="true">
      <c r="B23" s="10"/>
      <c r="C23" s="17"/>
      <c r="D23" s="10"/>
      <c r="E23" s="17"/>
      <c r="F23" s="11"/>
      <c r="G23" s="40" t="s">
        <v>56</v>
      </c>
      <c r="H23" s="39"/>
      <c r="I23" s="46" t="n">
        <f>I19+I20</f>
      </c>
      <c r="J23" s="46" t="n">
        <f>J19+J20</f>
      </c>
      <c r="K23" s="46" t="n">
        <f>K19+K20+K22</f>
      </c>
      <c r="L23" s="46" t="n">
        <f>L19+L20</f>
      </c>
      <c r="M23" s="46" t="n">
        <f>M19+M20</f>
      </c>
      <c r="N23" s="46" t="n">
        <f>N19+N20</f>
      </c>
      <c r="O23" s="46" t="n"/>
      <c r="P23" s="46" t="n">
        <f>P19+P20+P22</f>
      </c>
    </row>
    <row r="24">
      <c r="B24" s="10"/>
      <c r="C24" s="17"/>
      <c r="D24" s="10"/>
      <c r="E24" s="17"/>
      <c r="F24" s="11" t="s">
        <v>57</v>
      </c>
      <c r="G24" s="8"/>
      <c r="H24" s="9"/>
      <c r="I24" s="47" t="n"/>
      <c r="J24" s="47" t="n"/>
      <c r="K24" s="47" t="n"/>
      <c r="L24" s="47" t="n"/>
      <c r="M24" s="47" t="n"/>
      <c r="N24" s="47" t="n"/>
      <c r="O24" s="47" t="n"/>
      <c r="P24" s="47" t="n"/>
    </row>
    <row r="25">
      <c r="B25" s="10"/>
      <c r="C25" s="17"/>
      <c r="D25" s="10"/>
      <c r="E25" s="17"/>
      <c r="F25" s="14" t="s">
        <v>58</v>
      </c>
      <c r="G25" s="37"/>
      <c r="H25" s="13"/>
      <c r="I25" s="46" t="n"/>
      <c r="J25" s="46" t="n"/>
      <c r="K25" s="46" t="n"/>
      <c r="L25" s="46" t="n"/>
      <c r="M25" s="46" t="n"/>
      <c r="N25" s="46" t="n"/>
      <c r="O25" s="46" t="n"/>
      <c r="P25" s="46" t="n"/>
    </row>
    <row r="26">
      <c r="B26" s="10"/>
      <c r="C26" s="17"/>
      <c r="D26" s="10"/>
      <c r="E26" s="17"/>
      <c r="F26" s="11" t="s">
        <v>59</v>
      </c>
      <c r="G26" s="8"/>
      <c r="H26" s="9"/>
      <c r="I26" s="47" t="n"/>
      <c r="J26" s="47" t="n"/>
      <c r="K26" s="47" t="n"/>
      <c r="L26" s="47" t="n"/>
      <c r="M26" s="47" t="n"/>
      <c r="N26" s="47" t="n"/>
      <c r="O26" s="47" t="n"/>
      <c r="P26" s="47" t="n"/>
    </row>
    <row r="27" ht="28.0" customHeight="true">
      <c r="B27" s="10"/>
      <c r="C27" s="17"/>
      <c r="D27" s="10"/>
      <c r="E27" s="14"/>
      <c r="F27" s="40" t="s">
        <v>60</v>
      </c>
      <c r="G27" s="41"/>
      <c r="H27" s="39"/>
      <c r="I27" s="46" t="n">
        <f>SUM(I23:I26)</f>
      </c>
      <c r="J27" s="46" t="n">
        <f>SUM(J23:J26)</f>
      </c>
      <c r="K27" s="46" t="n">
        <f>SUM(K23:K26)</f>
      </c>
      <c r="L27" s="46" t="n">
        <f>SUM(L23:L26)</f>
      </c>
      <c r="M27" s="46" t="n">
        <f>SUM(M23:M26)</f>
      </c>
      <c r="N27" s="46" t="n">
        <f>SUM(N23:N26)</f>
      </c>
      <c r="O27" s="46" t="n">
        <f>SUM(O23:O26)</f>
      </c>
      <c r="P27" s="46" t="n">
        <f>SUM(P23:P26)</f>
      </c>
    </row>
    <row r="28">
      <c r="B28" s="10"/>
      <c r="C28" s="17"/>
      <c r="D28" s="10"/>
      <c r="E28" s="11" t="s">
        <v>61</v>
      </c>
      <c r="F28" s="8"/>
      <c r="G28" s="8"/>
      <c r="H28" s="9"/>
      <c r="I28" s="47" t="n"/>
      <c r="J28" s="47" t="n"/>
      <c r="K28" s="47" t="n"/>
      <c r="L28" s="47" t="n"/>
      <c r="M28" s="47" t="n"/>
      <c r="N28" s="47" t="n"/>
      <c r="O28" s="47" t="n"/>
      <c r="P28" s="47" t="n"/>
    </row>
    <row r="29">
      <c r="B29" s="10"/>
      <c r="C29" s="17"/>
      <c r="D29" s="10"/>
      <c r="E29" s="14" t="s">
        <v>62</v>
      </c>
      <c r="F29" s="37"/>
      <c r="G29" s="37"/>
      <c r="H29" s="13"/>
      <c r="I29" s="46" t="n"/>
      <c r="J29" s="46" t="n"/>
      <c r="K29" s="46" t="n"/>
      <c r="L29" s="46" t="n"/>
      <c r="M29" s="46" t="n"/>
      <c r="N29" s="46" t="n"/>
      <c r="O29" s="46" t="n"/>
      <c r="P29" s="46" t="n"/>
    </row>
    <row r="30">
      <c r="B30" s="10"/>
      <c r="C30" s="17"/>
      <c r="D30" s="10"/>
      <c r="E30" s="11" t="s">
        <v>63</v>
      </c>
      <c r="F30" s="8"/>
      <c r="G30" s="8"/>
      <c r="H30" s="9"/>
      <c r="I30" s="47" t="n"/>
      <c r="J30" s="47" t="n"/>
      <c r="K30" s="47" t="n"/>
      <c r="L30" s="47" t="n"/>
      <c r="M30" s="47" t="n"/>
      <c r="N30" s="47" t="n"/>
      <c r="O30" s="47" t="n"/>
      <c r="P30" s="47" t="n"/>
    </row>
    <row r="31">
      <c r="B31" s="10"/>
      <c r="C31" s="17"/>
      <c r="D31" s="10"/>
      <c r="E31" s="14" t="s">
        <v>64</v>
      </c>
      <c r="F31" s="37"/>
      <c r="G31" s="37"/>
      <c r="H31" s="13"/>
      <c r="I31" s="46" t="n"/>
      <c r="J31" s="46" t="n"/>
      <c r="K31" s="46" t="n"/>
      <c r="L31" s="46" t="n"/>
      <c r="M31" s="46" t="n"/>
      <c r="N31" s="46" t="n"/>
      <c r="O31" s="46" t="n"/>
      <c r="P31" s="46" t="n"/>
    </row>
    <row r="32">
      <c r="B32" s="10"/>
      <c r="C32" s="17"/>
      <c r="D32" s="11"/>
      <c r="E32" s="45" t="s">
        <v>65</v>
      </c>
      <c r="F32" s="43"/>
      <c r="G32" s="43"/>
      <c r="H32" s="44"/>
      <c r="I32" s="47" t="n">
        <f>I15+SUM(I27:I31)</f>
      </c>
      <c r="J32" s="47" t="n">
        <f>J15+SUM(J27:J31)</f>
      </c>
      <c r="K32" s="47" t="n">
        <f>K15+SUM(K27:K31)</f>
      </c>
      <c r="L32" s="47" t="n">
        <f>L15+SUM(L27:L31)</f>
      </c>
      <c r="M32" s="47" t="n">
        <f>M15+SUM(M27:M31)</f>
      </c>
      <c r="N32" s="47" t="n">
        <f>N15+SUM(N27:N31)</f>
      </c>
      <c r="O32" s="47" t="n">
        <f>O15+SUM(O27:O31)</f>
      </c>
      <c r="P32" s="47" t="n">
        <f>P15+SUM(P27:P31)</f>
      </c>
    </row>
    <row r="33">
      <c r="B33" s="10"/>
      <c r="C33" s="17"/>
      <c r="D33" s="16" t="s">
        <v>66</v>
      </c>
      <c r="E33" s="37"/>
      <c r="F33" s="37"/>
      <c r="G33" s="37"/>
      <c r="H33" s="13"/>
      <c r="I33" s="22"/>
      <c r="J33" s="22"/>
      <c r="K33" s="22"/>
      <c r="L33" s="22"/>
      <c r="M33" s="22"/>
      <c r="N33" s="22"/>
      <c r="O33" s="22"/>
      <c r="P33" s="22"/>
    </row>
    <row r="34">
      <c r="B34" s="10"/>
      <c r="C34" s="17"/>
      <c r="D34" s="17"/>
      <c r="E34" s="11" t="s">
        <v>67</v>
      </c>
      <c r="F34" s="8"/>
      <c r="G34" s="8"/>
      <c r="H34" s="9"/>
      <c r="I34" s="47" t="n"/>
      <c r="J34" s="47" t="n"/>
      <c r="K34" s="47" t="n"/>
      <c r="L34" s="47" t="n"/>
      <c r="M34" s="47" t="n"/>
      <c r="N34" s="47" t="n"/>
      <c r="O34" s="47" t="n"/>
      <c r="P34" s="47" t="n">
        <f>Hoja7!F31-Hoja7!F32-Hoja7!F33</f>
      </c>
    </row>
    <row r="35">
      <c r="B35" s="10"/>
      <c r="C35" s="17"/>
      <c r="D35" s="17"/>
      <c r="E35" s="14" t="s">
        <v>68</v>
      </c>
      <c r="F35" s="37"/>
      <c r="G35" s="37"/>
      <c r="H35" s="13"/>
      <c r="I35" s="46" t="n"/>
      <c r="J35" s="46" t="n"/>
      <c r="K35" s="46" t="n"/>
      <c r="L35" s="46" t="n"/>
      <c r="M35" s="46" t="n"/>
      <c r="N35" s="46" t="n"/>
      <c r="O35" s="46" t="n"/>
      <c r="P35" s="46" t="n"/>
    </row>
    <row r="36">
      <c r="B36" s="10"/>
      <c r="C36" s="17"/>
      <c r="D36" s="17"/>
      <c r="E36" s="7" t="s">
        <v>69</v>
      </c>
      <c r="F36" s="8"/>
      <c r="G36" s="8"/>
      <c r="H36" s="9"/>
      <c r="I36" s="23"/>
      <c r="J36" s="23"/>
      <c r="K36" s="23"/>
      <c r="L36" s="23"/>
      <c r="M36" s="23"/>
      <c r="N36" s="23"/>
      <c r="O36" s="23"/>
      <c r="P36" s="23"/>
    </row>
    <row r="37">
      <c r="B37" s="10"/>
      <c r="C37" s="17"/>
      <c r="D37" s="17"/>
      <c r="E37" s="10"/>
      <c r="F37" s="14" t="s">
        <v>70</v>
      </c>
      <c r="G37" s="37"/>
      <c r="H37" s="13"/>
      <c r="I37" s="46" t="n"/>
      <c r="J37" s="46" t="n"/>
      <c r="K37" s="46" t="n"/>
      <c r="L37" s="46" t="n"/>
      <c r="M37" s="46" t="n"/>
      <c r="N37" s="46" t="n"/>
      <c r="O37" s="46" t="n"/>
      <c r="P37" s="46" t="n"/>
    </row>
    <row r="38">
      <c r="B38" s="10"/>
      <c r="C38" s="17"/>
      <c r="D38" s="17"/>
      <c r="E38" s="10"/>
      <c r="F38" s="11" t="s">
        <v>71</v>
      </c>
      <c r="G38" s="8"/>
      <c r="H38" s="9"/>
      <c r="I38" s="47" t="n"/>
      <c r="J38" s="47" t="n"/>
      <c r="K38" s="47" t="n"/>
      <c r="L38" s="47" t="n"/>
      <c r="M38" s="47" t="n"/>
      <c r="N38" s="47" t="n"/>
      <c r="O38" s="47" t="n"/>
      <c r="P38" s="47" t="n"/>
    </row>
    <row r="39">
      <c r="B39" s="10"/>
      <c r="C39" s="17"/>
      <c r="D39" s="17"/>
      <c r="E39" s="10"/>
      <c r="F39" s="14" t="s">
        <v>72</v>
      </c>
      <c r="G39" s="37"/>
      <c r="H39" s="13"/>
      <c r="I39" s="46" t="n"/>
      <c r="J39" s="46" t="n"/>
      <c r="K39" s="46" t="n"/>
      <c r="L39" s="46" t="n"/>
      <c r="M39" s="46" t="n"/>
      <c r="N39" s="46" t="n"/>
      <c r="O39" s="46" t="n"/>
      <c r="P39" s="46" t="n"/>
    </row>
    <row r="40" ht="28.0" customHeight="true">
      <c r="B40" s="10"/>
      <c r="C40" s="17"/>
      <c r="D40" s="17"/>
      <c r="E40" s="11"/>
      <c r="F40" s="45" t="s">
        <v>73</v>
      </c>
      <c r="G40" s="43"/>
      <c r="H40" s="44"/>
      <c r="I40" s="47" t="n">
        <f>SUM(I37:I39)</f>
      </c>
      <c r="J40" s="47" t="n">
        <f>SUM(J37:J39)</f>
      </c>
      <c r="K40" s="47" t="n">
        <f>SUM(K37:K39)</f>
      </c>
      <c r="L40" s="47" t="n">
        <f>SUM(L37:L39)</f>
      </c>
      <c r="M40" s="47" t="n">
        <f>SUM(M37:M39)</f>
      </c>
      <c r="N40" s="47" t="n">
        <f>SUM(N37:N39)</f>
      </c>
      <c r="O40" s="47" t="n">
        <f>SUM(O37:O39)</f>
      </c>
      <c r="P40" s="47" t="n">
        <f>SUM(P37:P39)</f>
      </c>
    </row>
    <row r="41" ht="28.0" customHeight="true">
      <c r="B41" s="10"/>
      <c r="C41" s="17"/>
      <c r="D41" s="17"/>
      <c r="E41" s="16" t="s">
        <v>74</v>
      </c>
      <c r="F41" s="37"/>
      <c r="G41" s="37"/>
      <c r="H41" s="13"/>
      <c r="I41" s="22"/>
      <c r="J41" s="22"/>
      <c r="K41" s="22"/>
      <c r="L41" s="22"/>
      <c r="M41" s="22"/>
      <c r="N41" s="22"/>
      <c r="O41" s="22"/>
      <c r="P41" s="22"/>
    </row>
    <row r="42" ht="28.0" customHeight="true">
      <c r="B42" s="10"/>
      <c r="C42" s="17"/>
      <c r="D42" s="17"/>
      <c r="E42" s="17"/>
      <c r="F42" s="7" t="s">
        <v>75</v>
      </c>
      <c r="G42" s="8"/>
      <c r="H42" s="9"/>
      <c r="I42" s="23"/>
      <c r="J42" s="23"/>
      <c r="K42" s="23"/>
      <c r="L42" s="23"/>
      <c r="M42" s="23"/>
      <c r="N42" s="23"/>
      <c r="O42" s="23"/>
      <c r="P42" s="23"/>
    </row>
    <row r="43" ht="42.0" customHeight="true">
      <c r="B43" s="10"/>
      <c r="C43" s="17"/>
      <c r="D43" s="17"/>
      <c r="E43" s="17"/>
      <c r="F43" s="10"/>
      <c r="G43" s="14" t="s">
        <v>76</v>
      </c>
      <c r="H43" s="13"/>
      <c r="I43" s="46" t="n"/>
      <c r="J43" s="46" t="n"/>
      <c r="K43" s="46" t="n"/>
      <c r="L43" s="46" t="n"/>
      <c r="M43" s="46" t="n"/>
      <c r="N43" s="46" t="n"/>
      <c r="O43" s="22"/>
      <c r="P43" s="46" t="n"/>
    </row>
    <row r="44">
      <c r="B44" s="10"/>
      <c r="C44" s="17"/>
      <c r="D44" s="17"/>
      <c r="E44" s="17"/>
      <c r="F44" s="10"/>
      <c r="G44" s="7" t="s">
        <v>77</v>
      </c>
      <c r="H44" s="9"/>
      <c r="I44" s="47" t="n"/>
      <c r="J44" s="47" t="n"/>
      <c r="K44" s="47" t="n"/>
      <c r="L44" s="47" t="n"/>
      <c r="M44" s="47" t="n"/>
      <c r="N44" s="47" t="n"/>
      <c r="O44" s="23"/>
      <c r="P44" s="47" t="n"/>
    </row>
    <row r="45">
      <c r="B45" s="10"/>
      <c r="C45" s="17"/>
      <c r="D45" s="17"/>
      <c r="E45" s="17"/>
      <c r="F45" s="10"/>
      <c r="G45" s="11"/>
      <c r="H45" s="19" t="s">
        <v>78</v>
      </c>
      <c r="I45" s="22"/>
      <c r="J45" s="22"/>
      <c r="K45" s="22"/>
      <c r="L45" s="46" t="n"/>
      <c r="M45" s="46" t="n"/>
      <c r="N45" s="46" t="n"/>
      <c r="O45" s="22"/>
      <c r="P45" s="46" t="n"/>
    </row>
    <row r="46" ht="28.0" customHeight="true">
      <c r="B46" s="10"/>
      <c r="C46" s="17"/>
      <c r="D46" s="17"/>
      <c r="E46" s="17"/>
      <c r="F46" s="10"/>
      <c r="G46" s="11" t="s">
        <v>79</v>
      </c>
      <c r="H46" s="9"/>
      <c r="I46" s="23"/>
      <c r="J46" s="23"/>
      <c r="K46" s="47" t="n"/>
      <c r="L46" s="23"/>
      <c r="M46" s="23"/>
      <c r="N46" s="23"/>
      <c r="O46" s="23"/>
      <c r="P46" s="47" t="n"/>
    </row>
    <row r="47" ht="28.0" customHeight="true">
      <c r="B47" s="10"/>
      <c r="C47" s="17"/>
      <c r="D47" s="17"/>
      <c r="E47" s="17"/>
      <c r="F47" s="11"/>
      <c r="G47" s="40" t="s">
        <v>80</v>
      </c>
      <c r="H47" s="39"/>
      <c r="I47" s="46" t="n">
        <f>I43+I44</f>
      </c>
      <c r="J47" s="46" t="n">
        <f>J43+J44</f>
      </c>
      <c r="K47" s="46" t="n">
        <f>K43+K44+K46</f>
      </c>
      <c r="L47" s="46" t="n">
        <f>L43+L44</f>
      </c>
      <c r="M47" s="46" t="n">
        <f>M43+M44</f>
      </c>
      <c r="N47" s="46" t="n">
        <f>N43+N44</f>
      </c>
      <c r="O47" s="46" t="n"/>
      <c r="P47" s="46" t="n">
        <f>P43+P44+P46</f>
      </c>
    </row>
    <row r="48">
      <c r="B48" s="10"/>
      <c r="C48" s="17"/>
      <c r="D48" s="17"/>
      <c r="E48" s="17"/>
      <c r="F48" s="11" t="s">
        <v>81</v>
      </c>
      <c r="G48" s="8"/>
      <c r="H48" s="9"/>
      <c r="I48" s="47" t="n"/>
      <c r="J48" s="47" t="n"/>
      <c r="K48" s="47" t="n"/>
      <c r="L48" s="47" t="n"/>
      <c r="M48" s="47" t="n"/>
      <c r="N48" s="47" t="n"/>
      <c r="O48" s="47" t="n"/>
      <c r="P48" s="47" t="n"/>
    </row>
    <row r="49">
      <c r="B49" s="10"/>
      <c r="C49" s="17"/>
      <c r="D49" s="17"/>
      <c r="E49" s="17"/>
      <c r="F49" s="14" t="s">
        <v>82</v>
      </c>
      <c r="G49" s="37"/>
      <c r="H49" s="13"/>
      <c r="I49" s="46" t="n"/>
      <c r="J49" s="46" t="n"/>
      <c r="K49" s="46" t="n"/>
      <c r="L49" s="46" t="n"/>
      <c r="M49" s="46" t="n"/>
      <c r="N49" s="46" t="n"/>
      <c r="O49" s="46" t="n"/>
      <c r="P49" s="46" t="n"/>
    </row>
    <row r="50">
      <c r="B50" s="10"/>
      <c r="C50" s="17"/>
      <c r="D50" s="17"/>
      <c r="E50" s="17"/>
      <c r="F50" s="11" t="s">
        <v>83</v>
      </c>
      <c r="G50" s="8"/>
      <c r="H50" s="9"/>
      <c r="I50" s="47" t="n"/>
      <c r="J50" s="47" t="n"/>
      <c r="K50" s="47" t="n"/>
      <c r="L50" s="47" t="n"/>
      <c r="M50" s="47" t="n"/>
      <c r="N50" s="47" t="n"/>
      <c r="O50" s="47" t="n"/>
      <c r="P50" s="47" t="n"/>
    </row>
    <row r="51" ht="28.0" customHeight="true">
      <c r="B51" s="10"/>
      <c r="C51" s="17"/>
      <c r="D51" s="17"/>
      <c r="E51" s="14"/>
      <c r="F51" s="40" t="s">
        <v>84</v>
      </c>
      <c r="G51" s="41"/>
      <c r="H51" s="39"/>
      <c r="I51" s="46" t="n">
        <f>SUM(I47:I50)</f>
      </c>
      <c r="J51" s="46" t="n">
        <f>SUM(J47:J50)</f>
      </c>
      <c r="K51" s="46" t="n">
        <f>SUM(K47:K50)</f>
      </c>
      <c r="L51" s="46" t="n">
        <f>SUM(L47:L50)</f>
      </c>
      <c r="M51" s="46" t="n">
        <f>SUM(M47:M50)</f>
      </c>
      <c r="N51" s="46" t="n">
        <f>SUM(N47:N50)</f>
      </c>
      <c r="O51" s="46" t="n">
        <f>SUM(O47:O50)</f>
      </c>
      <c r="P51" s="46" t="n">
        <f>SUM(P47:P50)</f>
      </c>
    </row>
    <row r="52">
      <c r="B52" s="10"/>
      <c r="C52" s="17"/>
      <c r="D52" s="17"/>
      <c r="E52" s="11" t="s">
        <v>85</v>
      </c>
      <c r="F52" s="8"/>
      <c r="G52" s="8"/>
      <c r="H52" s="9"/>
      <c r="I52" s="47" t="n"/>
      <c r="J52" s="47" t="n"/>
      <c r="K52" s="47" t="n"/>
      <c r="L52" s="47" t="n"/>
      <c r="M52" s="47" t="n"/>
      <c r="N52" s="47" t="n"/>
      <c r="O52" s="47" t="n"/>
      <c r="P52" s="47" t="n"/>
    </row>
    <row r="53">
      <c r="B53" s="10"/>
      <c r="C53" s="17"/>
      <c r="D53" s="17"/>
      <c r="E53" s="14" t="s">
        <v>86</v>
      </c>
      <c r="F53" s="37"/>
      <c r="G53" s="37"/>
      <c r="H53" s="13"/>
      <c r="I53" s="46" t="n"/>
      <c r="J53" s="46" t="n"/>
      <c r="K53" s="46" t="n"/>
      <c r="L53" s="46" t="n"/>
      <c r="M53" s="46" t="n"/>
      <c r="N53" s="46" t="n"/>
      <c r="O53" s="46" t="n"/>
      <c r="P53" s="46" t="n"/>
    </row>
    <row r="54">
      <c r="B54" s="10"/>
      <c r="C54" s="17"/>
      <c r="D54" s="17"/>
      <c r="E54" s="7" t="s">
        <v>87</v>
      </c>
      <c r="F54" s="8"/>
      <c r="G54" s="8"/>
      <c r="H54" s="9"/>
      <c r="I54" s="23"/>
      <c r="J54" s="23"/>
      <c r="K54" s="23"/>
      <c r="L54" s="23"/>
      <c r="M54" s="23"/>
      <c r="N54" s="23"/>
      <c r="O54" s="23"/>
      <c r="P54" s="23"/>
    </row>
    <row r="55">
      <c r="B55" s="10"/>
      <c r="C55" s="17"/>
      <c r="D55" s="17"/>
      <c r="E55" s="10"/>
      <c r="F55" s="14" t="s">
        <v>88</v>
      </c>
      <c r="G55" s="37"/>
      <c r="H55" s="13"/>
      <c r="I55" s="46" t="n"/>
      <c r="J55" s="46" t="n"/>
      <c r="K55" s="46" t="n"/>
      <c r="L55" s="46" t="n"/>
      <c r="M55" s="46" t="n"/>
      <c r="N55" s="46" t="n"/>
      <c r="O55" s="46" t="n"/>
      <c r="P55" s="46" t="n"/>
    </row>
    <row r="56">
      <c r="B56" s="10"/>
      <c r="C56" s="17"/>
      <c r="D56" s="17"/>
      <c r="E56" s="10"/>
      <c r="F56" s="11" t="s">
        <v>89</v>
      </c>
      <c r="G56" s="8"/>
      <c r="H56" s="9"/>
      <c r="I56" s="47" t="n"/>
      <c r="J56" s="47" t="n"/>
      <c r="K56" s="47" t="n"/>
      <c r="L56" s="47" t="n"/>
      <c r="M56" s="47" t="n"/>
      <c r="N56" s="47" t="n"/>
      <c r="O56" s="47" t="n"/>
      <c r="P56" s="47" t="n"/>
    </row>
    <row r="57">
      <c r="B57" s="10"/>
      <c r="C57" s="17"/>
      <c r="D57" s="17"/>
      <c r="E57" s="10"/>
      <c r="F57" s="14" t="s">
        <v>90</v>
      </c>
      <c r="G57" s="37"/>
      <c r="H57" s="13"/>
      <c r="I57" s="46" t="n"/>
      <c r="J57" s="46" t="n"/>
      <c r="K57" s="46" t="n"/>
      <c r="L57" s="46" t="n"/>
      <c r="M57" s="46" t="n"/>
      <c r="N57" s="46" t="n"/>
      <c r="O57" s="46" t="n"/>
      <c r="P57" s="46" t="n"/>
    </row>
    <row r="58">
      <c r="B58" s="10"/>
      <c r="C58" s="17"/>
      <c r="D58" s="17"/>
      <c r="E58" s="10"/>
      <c r="F58" s="11" t="s">
        <v>91</v>
      </c>
      <c r="G58" s="8"/>
      <c r="H58" s="9"/>
      <c r="I58" s="47" t="n"/>
      <c r="J58" s="47" t="n"/>
      <c r="K58" s="47" t="n"/>
      <c r="L58" s="47" t="n"/>
      <c r="M58" s="47" t="n"/>
      <c r="N58" s="47" t="n"/>
      <c r="O58" s="47" t="n"/>
      <c r="P58" s="47" t="n"/>
    </row>
    <row r="59">
      <c r="B59" s="10"/>
      <c r="C59" s="17"/>
      <c r="D59" s="17"/>
      <c r="E59" s="10"/>
      <c r="F59" s="14" t="s">
        <v>92</v>
      </c>
      <c r="G59" s="37"/>
      <c r="H59" s="13"/>
      <c r="I59" s="46" t="n"/>
      <c r="J59" s="46" t="n"/>
      <c r="K59" s="46" t="n"/>
      <c r="L59" s="46" t="n"/>
      <c r="M59" s="46" t="n"/>
      <c r="N59" s="46" t="n"/>
      <c r="O59" s="46" t="n"/>
      <c r="P59" s="46" t="n"/>
    </row>
    <row r="60">
      <c r="B60" s="10"/>
      <c r="C60" s="17"/>
      <c r="D60" s="17"/>
      <c r="E60" s="10"/>
      <c r="F60" s="11" t="s">
        <v>93</v>
      </c>
      <c r="G60" s="8"/>
      <c r="H60" s="9"/>
      <c r="I60" s="47" t="n"/>
      <c r="J60" s="47" t="n"/>
      <c r="K60" s="47" t="n"/>
      <c r="L60" s="47" t="n"/>
      <c r="M60" s="47" t="n"/>
      <c r="N60" s="47" t="n"/>
      <c r="O60" s="47" t="n"/>
      <c r="P60" s="47" t="n"/>
    </row>
    <row r="61">
      <c r="B61" s="10"/>
      <c r="C61" s="17"/>
      <c r="D61" s="17"/>
      <c r="E61" s="10"/>
      <c r="F61" s="14" t="s">
        <v>94</v>
      </c>
      <c r="G61" s="37"/>
      <c r="H61" s="13"/>
      <c r="I61" s="46" t="n"/>
      <c r="J61" s="46" t="n"/>
      <c r="K61" s="46" t="n"/>
      <c r="L61" s="46" t="n"/>
      <c r="M61" s="46" t="n"/>
      <c r="N61" s="46" t="n"/>
      <c r="O61" s="46" t="n"/>
      <c r="P61" s="46" t="n"/>
    </row>
    <row r="62">
      <c r="B62" s="10"/>
      <c r="C62" s="17"/>
      <c r="D62" s="17"/>
      <c r="E62" s="11"/>
      <c r="F62" s="45" t="s">
        <v>95</v>
      </c>
      <c r="G62" s="43"/>
      <c r="H62" s="44"/>
      <c r="I62" s="47" t="n">
        <f>SUM(I55:I61)</f>
      </c>
      <c r="J62" s="47" t="n">
        <f>SUM(J55:J61)</f>
      </c>
      <c r="K62" s="47" t="n">
        <f>SUM(K55:K61)</f>
      </c>
      <c r="L62" s="47" t="n">
        <f>SUM(L55:L61)</f>
      </c>
      <c r="M62" s="47" t="n">
        <f>SUM(M55:M61)</f>
      </c>
      <c r="N62" s="47" t="n">
        <f>SUM(N55:N61)</f>
      </c>
      <c r="O62" s="47" t="n">
        <f>SUM(O55:O61)</f>
      </c>
      <c r="P62" s="47" t="n">
        <f>SUM(P55:P61)</f>
      </c>
    </row>
    <row r="63">
      <c r="B63" s="10"/>
      <c r="C63" s="17"/>
      <c r="D63" s="14"/>
      <c r="E63" s="40" t="s">
        <v>96</v>
      </c>
      <c r="F63" s="41"/>
      <c r="G63" s="41"/>
      <c r="H63" s="39"/>
      <c r="I63" s="46" t="n">
        <f>I34+I35+I40+SUM(I51:I53)+I62</f>
      </c>
      <c r="J63" s="46" t="n">
        <f>J34+J35+J40+SUM(J51:J53)+J62</f>
      </c>
      <c r="K63" s="46" t="n">
        <f>K34+K35+K40+SUM(K51:K53)+K62</f>
      </c>
      <c r="L63" s="46" t="n">
        <f>L34+L35+L40+SUM(L51:L53)+L62</f>
      </c>
      <c r="M63" s="46" t="n">
        <f>M34+M35+M40+SUM(M51:M53)+M62</f>
      </c>
      <c r="N63" s="46" t="n">
        <f>N34+N35+N40+SUM(N51:N53)+N62</f>
      </c>
      <c r="O63" s="46" t="n">
        <f>O34+O35+O40+SUM(O51:O53)+O62</f>
      </c>
      <c r="P63" s="46" t="n">
        <f>P34+P35+P40+SUM(P51:P53)+P62</f>
      </c>
    </row>
    <row r="64">
      <c r="B64" s="10"/>
      <c r="C64" s="14"/>
      <c r="D64" s="45" t="s">
        <v>97</v>
      </c>
      <c r="E64" s="43"/>
      <c r="F64" s="43"/>
      <c r="G64" s="43"/>
      <c r="H64" s="44"/>
      <c r="I64" s="47" t="n">
        <f>I63+I32</f>
      </c>
      <c r="J64" s="47" t="n">
        <f>J63+J32</f>
      </c>
      <c r="K64" s="47" t="n">
        <f>K63+K32</f>
      </c>
      <c r="L64" s="47" t="n">
        <f>L63+L32</f>
      </c>
      <c r="M64" s="47" t="n">
        <f>M63+M32</f>
      </c>
      <c r="N64" s="47" t="n">
        <f>N63+N32</f>
      </c>
      <c r="O64" s="47" t="n">
        <f>O63+O32</f>
      </c>
      <c r="P64" s="47" t="n">
        <f>P63+P32</f>
      </c>
    </row>
    <row r="65">
      <c r="B65" s="10"/>
      <c r="C65" s="16" t="s">
        <v>98</v>
      </c>
      <c r="D65" s="37"/>
      <c r="E65" s="37"/>
      <c r="F65" s="37"/>
      <c r="G65" s="37"/>
      <c r="H65" s="13"/>
      <c r="I65" s="22"/>
      <c r="J65" s="22"/>
      <c r="K65" s="22"/>
      <c r="L65" s="22"/>
      <c r="M65" s="22"/>
      <c r="N65" s="22"/>
      <c r="O65" s="22"/>
      <c r="P65" s="22"/>
    </row>
    <row r="66">
      <c r="B66" s="10"/>
      <c r="C66" s="17"/>
      <c r="D66" s="7" t="s">
        <v>99</v>
      </c>
      <c r="E66" s="8"/>
      <c r="F66" s="8"/>
      <c r="G66" s="8"/>
      <c r="H66" s="9"/>
      <c r="I66" s="23"/>
      <c r="J66" s="23"/>
      <c r="K66" s="23"/>
      <c r="L66" s="23"/>
      <c r="M66" s="23"/>
      <c r="N66" s="23"/>
      <c r="O66" s="23"/>
      <c r="P66" s="23"/>
    </row>
    <row r="67">
      <c r="B67" s="10"/>
      <c r="C67" s="17"/>
      <c r="D67" s="10"/>
      <c r="E67" s="16" t="s">
        <v>100</v>
      </c>
      <c r="F67" s="37"/>
      <c r="G67" s="37"/>
      <c r="H67" s="13"/>
      <c r="I67" s="22"/>
      <c r="J67" s="22"/>
      <c r="K67" s="22"/>
      <c r="L67" s="22"/>
      <c r="M67" s="22"/>
      <c r="N67" s="22"/>
      <c r="O67" s="22"/>
      <c r="P67" s="22"/>
    </row>
    <row r="68">
      <c r="B68" s="10"/>
      <c r="C68" s="17"/>
      <c r="D68" s="10"/>
      <c r="E68" s="17"/>
      <c r="F68" s="7" t="s">
        <v>101</v>
      </c>
      <c r="G68" s="8"/>
      <c r="H68" s="9"/>
      <c r="I68" s="23"/>
      <c r="J68" s="23"/>
      <c r="K68" s="23"/>
      <c r="L68" s="23"/>
      <c r="M68" s="23"/>
      <c r="N68" s="23"/>
      <c r="O68" s="23"/>
      <c r="P68" s="23"/>
    </row>
    <row r="69">
      <c r="B69" s="10"/>
      <c r="C69" s="17"/>
      <c r="D69" s="10"/>
      <c r="E69" s="17"/>
      <c r="F69" s="10"/>
      <c r="G69" s="14" t="s">
        <v>102</v>
      </c>
      <c r="H69" s="13"/>
      <c r="I69" s="46" t="n"/>
      <c r="J69" s="46" t="n"/>
      <c r="K69" s="46" t="n"/>
      <c r="L69" s="46" t="n"/>
      <c r="M69" s="46" t="n"/>
      <c r="N69" s="46" t="n"/>
      <c r="O69" s="46" t="n"/>
      <c r="P69" s="46" t="n"/>
    </row>
    <row r="70">
      <c r="B70" s="10"/>
      <c r="C70" s="17"/>
      <c r="D70" s="10"/>
      <c r="E70" s="17"/>
      <c r="F70" s="10"/>
      <c r="G70" s="11" t="s">
        <v>103</v>
      </c>
      <c r="H70" s="9"/>
      <c r="I70" s="47" t="n"/>
      <c r="J70" s="47" t="n"/>
      <c r="K70" s="47" t="n"/>
      <c r="L70" s="47" t="n"/>
      <c r="M70" s="47" t="n"/>
      <c r="N70" s="47" t="n"/>
      <c r="O70" s="47" t="n"/>
      <c r="P70" s="47" t="n"/>
    </row>
    <row r="71">
      <c r="B71" s="10"/>
      <c r="C71" s="17"/>
      <c r="D71" s="10"/>
      <c r="E71" s="17"/>
      <c r="F71" s="11"/>
      <c r="G71" s="40" t="s">
        <v>104</v>
      </c>
      <c r="H71" s="39"/>
      <c r="I71" s="46" t="n">
        <f>I69+I70</f>
      </c>
      <c r="J71" s="46" t="n">
        <f>J69+J70</f>
      </c>
      <c r="K71" s="46" t="n">
        <f>K69+K70</f>
      </c>
      <c r="L71" s="46" t="n">
        <f>L69+L70</f>
      </c>
      <c r="M71" s="46" t="n">
        <f>M69+M70</f>
      </c>
      <c r="N71" s="46" t="n">
        <f>N69+N70</f>
      </c>
      <c r="O71" s="46" t="n">
        <f>O69+O70</f>
      </c>
      <c r="P71" s="46" t="n">
        <f>P69+P70</f>
      </c>
    </row>
    <row r="72" ht="28.0" customHeight="true">
      <c r="B72" s="10"/>
      <c r="C72" s="17"/>
      <c r="D72" s="10"/>
      <c r="E72" s="17"/>
      <c r="F72" s="7" t="s">
        <v>105</v>
      </c>
      <c r="G72" s="8"/>
      <c r="H72" s="9"/>
      <c r="I72" s="23"/>
      <c r="J72" s="23"/>
      <c r="K72" s="23"/>
      <c r="L72" s="23"/>
      <c r="M72" s="23"/>
      <c r="N72" s="23"/>
      <c r="O72" s="23"/>
      <c r="P72" s="23"/>
    </row>
    <row r="73">
      <c r="B73" s="10"/>
      <c r="C73" s="17"/>
      <c r="D73" s="10"/>
      <c r="E73" s="17"/>
      <c r="F73" s="10"/>
      <c r="G73" s="14" t="s">
        <v>106</v>
      </c>
      <c r="H73" s="13"/>
      <c r="I73" s="46" t="n"/>
      <c r="J73" s="46" t="n"/>
      <c r="K73" s="46" t="n"/>
      <c r="L73" s="46" t="n"/>
      <c r="M73" s="46" t="n"/>
      <c r="N73" s="46" t="n"/>
      <c r="O73" s="46" t="n"/>
      <c r="P73" s="46" t="n"/>
    </row>
    <row r="74">
      <c r="B74" s="10"/>
      <c r="C74" s="17"/>
      <c r="D74" s="10"/>
      <c r="E74" s="17"/>
      <c r="F74" s="10"/>
      <c r="G74" s="11" t="s">
        <v>107</v>
      </c>
      <c r="H74" s="9"/>
      <c r="I74" s="47" t="n"/>
      <c r="J74" s="47" t="n"/>
      <c r="K74" s="47" t="n"/>
      <c r="L74" s="47" t="n"/>
      <c r="M74" s="47" t="n"/>
      <c r="N74" s="47" t="n"/>
      <c r="O74" s="47" t="n"/>
      <c r="P74" s="47" t="n"/>
    </row>
    <row r="75">
      <c r="B75" s="10"/>
      <c r="C75" s="17"/>
      <c r="D75" s="10"/>
      <c r="E75" s="17"/>
      <c r="F75" s="10"/>
      <c r="G75" s="14" t="s">
        <v>108</v>
      </c>
      <c r="H75" s="13"/>
      <c r="I75" s="46" t="n"/>
      <c r="J75" s="46" t="n"/>
      <c r="K75" s="46" t="n"/>
      <c r="L75" s="46" t="n"/>
      <c r="M75" s="46" t="n"/>
      <c r="N75" s="46" t="n"/>
      <c r="O75" s="46" t="n"/>
      <c r="P75" s="46" t="n"/>
    </row>
    <row r="76">
      <c r="B76" s="10"/>
      <c r="C76" s="17"/>
      <c r="D76" s="10"/>
      <c r="E76" s="17"/>
      <c r="F76" s="10"/>
      <c r="G76" s="11" t="s">
        <v>109</v>
      </c>
      <c r="H76" s="9"/>
      <c r="I76" s="47" t="n"/>
      <c r="J76" s="47" t="n"/>
      <c r="K76" s="47" t="n"/>
      <c r="L76" s="47" t="n"/>
      <c r="M76" s="47" t="n"/>
      <c r="N76" s="47" t="n"/>
      <c r="O76" s="47" t="n"/>
      <c r="P76" s="47" t="n"/>
    </row>
    <row r="77" ht="28.0" customHeight="true">
      <c r="B77" s="10"/>
      <c r="C77" s="17"/>
      <c r="D77" s="10"/>
      <c r="E77" s="17"/>
      <c r="F77" s="11"/>
      <c r="G77" s="40" t="s">
        <v>110</v>
      </c>
      <c r="H77" s="39"/>
      <c r="I77" s="46" t="n">
        <f>SUM(I73:I76)</f>
      </c>
      <c r="J77" s="46" t="n">
        <f>SUM(J73:J76)</f>
      </c>
      <c r="K77" s="46" t="n">
        <f>SUM(K73:K76)</f>
      </c>
      <c r="L77" s="46" t="n">
        <f>SUM(L73:L76)</f>
      </c>
      <c r="M77" s="46" t="n">
        <f>SUM(M73:M76)</f>
      </c>
      <c r="N77" s="46" t="n">
        <f>SUM(N73:N76)</f>
      </c>
      <c r="O77" s="46" t="n">
        <f>SUM(O73:O76)</f>
      </c>
      <c r="P77" s="46" t="n">
        <f>SUM(P73:P76)</f>
      </c>
    </row>
    <row r="78">
      <c r="B78" s="10"/>
      <c r="C78" s="17"/>
      <c r="D78" s="10"/>
      <c r="E78" s="17"/>
      <c r="F78" s="11" t="s">
        <v>111</v>
      </c>
      <c r="G78" s="8"/>
      <c r="H78" s="9"/>
      <c r="I78" s="47" t="n"/>
      <c r="J78" s="47" t="n"/>
      <c r="K78" s="47" t="n"/>
      <c r="L78" s="47" t="n"/>
      <c r="M78" s="47" t="n"/>
      <c r="N78" s="47" t="n"/>
      <c r="O78" s="47" t="n"/>
      <c r="P78" s="47" t="n"/>
    </row>
    <row r="79">
      <c r="B79" s="10"/>
      <c r="C79" s="17"/>
      <c r="D79" s="10"/>
      <c r="E79" s="17"/>
      <c r="F79" s="14" t="s">
        <v>112</v>
      </c>
      <c r="G79" s="37"/>
      <c r="H79" s="13"/>
      <c r="I79" s="46" t="n"/>
      <c r="J79" s="46" t="n"/>
      <c r="K79" s="46" t="n"/>
      <c r="L79" s="46" t="n"/>
      <c r="M79" s="46" t="n"/>
      <c r="N79" s="46" t="n"/>
      <c r="O79" s="46" t="n"/>
      <c r="P79" s="46" t="n"/>
    </row>
    <row r="80">
      <c r="B80" s="10"/>
      <c r="C80" s="17"/>
      <c r="D80" s="10"/>
      <c r="E80" s="17"/>
      <c r="F80" s="11" t="s">
        <v>113</v>
      </c>
      <c r="G80" s="8"/>
      <c r="H80" s="9"/>
      <c r="I80" s="47" t="n"/>
      <c r="J80" s="47" t="n"/>
      <c r="K80" s="47" t="n"/>
      <c r="L80" s="47" t="n"/>
      <c r="M80" s="47" t="n"/>
      <c r="N80" s="47" t="n"/>
      <c r="O80" s="47" t="n"/>
      <c r="P80" s="47" t="n"/>
    </row>
    <row r="81">
      <c r="B81" s="10"/>
      <c r="C81" s="17"/>
      <c r="D81" s="10"/>
      <c r="E81" s="17"/>
      <c r="F81" s="16" t="s">
        <v>114</v>
      </c>
      <c r="G81" s="37"/>
      <c r="H81" s="13"/>
      <c r="I81" s="22"/>
      <c r="J81" s="22"/>
      <c r="K81" s="22"/>
      <c r="L81" s="22"/>
      <c r="M81" s="22"/>
      <c r="N81" s="22"/>
      <c r="O81" s="22"/>
      <c r="P81" s="22"/>
    </row>
    <row r="82">
      <c r="B82" s="10"/>
      <c r="C82" s="17"/>
      <c r="D82" s="10"/>
      <c r="E82" s="17"/>
      <c r="F82" s="17"/>
      <c r="G82" s="11" t="s">
        <v>115</v>
      </c>
      <c r="H82" s="9"/>
      <c r="I82" s="47" t="n"/>
      <c r="J82" s="47" t="n"/>
      <c r="K82" s="47" t="n"/>
      <c r="L82" s="47" t="n"/>
      <c r="M82" s="47" t="n"/>
      <c r="N82" s="47" t="n"/>
      <c r="O82" s="47" t="n"/>
      <c r="P82" s="47" t="n"/>
    </row>
    <row r="83">
      <c r="B83" s="10"/>
      <c r="C83" s="17"/>
      <c r="D83" s="10"/>
      <c r="E83" s="17"/>
      <c r="F83" s="17"/>
      <c r="G83" s="14" t="s">
        <v>116</v>
      </c>
      <c r="H83" s="13"/>
      <c r="I83" s="46" t="n"/>
      <c r="J83" s="46" t="n"/>
      <c r="K83" s="46" t="n"/>
      <c r="L83" s="46" t="n"/>
      <c r="M83" s="46" t="n"/>
      <c r="N83" s="46" t="n"/>
      <c r="O83" s="46" t="n"/>
      <c r="P83" s="46" t="n"/>
    </row>
    <row r="84">
      <c r="B84" s="10"/>
      <c r="C84" s="17"/>
      <c r="D84" s="10"/>
      <c r="E84" s="17"/>
      <c r="F84" s="17"/>
      <c r="G84" s="11" t="s">
        <v>117</v>
      </c>
      <c r="H84" s="9"/>
      <c r="I84" s="47" t="n"/>
      <c r="J84" s="47" t="n"/>
      <c r="K84" s="47" t="n"/>
      <c r="L84" s="47" t="n"/>
      <c r="M84" s="47" t="n"/>
      <c r="N84" s="47" t="n"/>
      <c r="O84" s="47" t="n"/>
      <c r="P84" s="47" t="n"/>
    </row>
    <row r="85">
      <c r="B85" s="10"/>
      <c r="C85" s="17"/>
      <c r="D85" s="10"/>
      <c r="E85" s="17"/>
      <c r="F85" s="14"/>
      <c r="G85" s="40" t="s">
        <v>118</v>
      </c>
      <c r="H85" s="39"/>
      <c r="I85" s="46" t="n">
        <f>SUM(I82:I84)</f>
      </c>
      <c r="J85" s="46" t="n">
        <f>SUM(J82:J84)</f>
      </c>
      <c r="K85" s="46" t="n">
        <f>SUM(K82:K84)</f>
      </c>
      <c r="L85" s="46" t="n">
        <f>SUM(L82:L84)</f>
      </c>
      <c r="M85" s="46" t="n">
        <f>SUM(M82:M84)</f>
      </c>
      <c r="N85" s="46" t="n">
        <f>SUM(N82:N84)</f>
      </c>
      <c r="O85" s="46" t="n">
        <f>SUM(O82:O84)</f>
      </c>
      <c r="P85" s="46" t="n">
        <f>SUM(P82:P84)</f>
      </c>
    </row>
    <row r="86">
      <c r="B86" s="10"/>
      <c r="C86" s="17"/>
      <c r="D86" s="10"/>
      <c r="E86" s="17"/>
      <c r="F86" s="11" t="s">
        <v>119</v>
      </c>
      <c r="G86" s="8"/>
      <c r="H86" s="9"/>
      <c r="I86" s="47" t="n"/>
      <c r="J86" s="47" t="n"/>
      <c r="K86" s="47" t="n"/>
      <c r="L86" s="47" t="n"/>
      <c r="M86" s="47" t="n"/>
      <c r="N86" s="47" t="n"/>
      <c r="O86" s="47" t="n"/>
      <c r="P86" s="47" t="n"/>
    </row>
    <row r="87">
      <c r="B87" s="10"/>
      <c r="C87" s="17"/>
      <c r="D87" s="10"/>
      <c r="E87" s="17"/>
      <c r="F87" s="14" t="s">
        <v>120</v>
      </c>
      <c r="G87" s="37"/>
      <c r="H87" s="13"/>
      <c r="I87" s="46" t="n"/>
      <c r="J87" s="46" t="n"/>
      <c r="K87" s="46" t="n"/>
      <c r="L87" s="46" t="n"/>
      <c r="M87" s="46" t="n"/>
      <c r="N87" s="46" t="n"/>
      <c r="O87" s="46" t="n"/>
      <c r="P87" s="46" t="n"/>
    </row>
    <row r="88">
      <c r="B88" s="10"/>
      <c r="C88" s="17"/>
      <c r="D88" s="10"/>
      <c r="E88" s="14"/>
      <c r="F88" s="45" t="s">
        <v>121</v>
      </c>
      <c r="G88" s="43"/>
      <c r="H88" s="44"/>
      <c r="I88" s="47" t="n">
        <f>I71+SUM(I77:I80)+SUM(I85:I87)</f>
      </c>
      <c r="J88" s="47" t="n">
        <f>J71+SUM(J77:J80)+SUM(J85:J87)</f>
      </c>
      <c r="K88" s="47" t="n">
        <f>K71+SUM(K77:K80)+SUM(K85:K87)</f>
      </c>
      <c r="L88" s="47" t="n">
        <f>L71+SUM(L77:L80)+SUM(L85:L87)</f>
      </c>
      <c r="M88" s="47" t="n">
        <f>M71+SUM(M77:M80)+SUM(M85:M87)</f>
      </c>
      <c r="N88" s="47" t="n">
        <f>N71+SUM(N77:N80)+SUM(N85:N87)</f>
      </c>
      <c r="O88" s="47" t="n">
        <f>O71+SUM(O77:O80)+SUM(O85:O87)</f>
      </c>
      <c r="P88" s="47" t="n">
        <f>P71+SUM(P77:P80)+SUM(P85:P87)</f>
      </c>
    </row>
    <row r="89">
      <c r="B89" s="10"/>
      <c r="C89" s="17"/>
      <c r="D89" s="10"/>
      <c r="E89" s="16" t="s">
        <v>122</v>
      </c>
      <c r="F89" s="37"/>
      <c r="G89" s="37"/>
      <c r="H89" s="13"/>
      <c r="I89" s="22"/>
      <c r="J89" s="22"/>
      <c r="K89" s="22"/>
      <c r="L89" s="22"/>
      <c r="M89" s="22"/>
      <c r="N89" s="22"/>
      <c r="O89" s="22"/>
      <c r="P89" s="22"/>
    </row>
    <row r="90">
      <c r="B90" s="10"/>
      <c r="C90" s="17"/>
      <c r="D90" s="10"/>
      <c r="E90" s="17"/>
      <c r="F90" s="7" t="s">
        <v>123</v>
      </c>
      <c r="G90" s="8"/>
      <c r="H90" s="9"/>
      <c r="I90" s="23"/>
      <c r="J90" s="23"/>
      <c r="K90" s="23"/>
      <c r="L90" s="23"/>
      <c r="M90" s="23"/>
      <c r="N90" s="23"/>
      <c r="O90" s="23"/>
      <c r="P90" s="23"/>
    </row>
    <row r="91">
      <c r="B91" s="10"/>
      <c r="C91" s="17"/>
      <c r="D91" s="10"/>
      <c r="E91" s="17"/>
      <c r="F91" s="10"/>
      <c r="G91" s="14" t="s">
        <v>124</v>
      </c>
      <c r="H91" s="13"/>
      <c r="I91" s="46" t="n"/>
      <c r="J91" s="46" t="n"/>
      <c r="K91" s="46" t="n"/>
      <c r="L91" s="46" t="n"/>
      <c r="M91" s="46" t="n"/>
      <c r="N91" s="46" t="n"/>
      <c r="O91" s="46" t="n"/>
      <c r="P91" s="46" t="n"/>
    </row>
    <row r="92">
      <c r="B92" s="10"/>
      <c r="C92" s="17"/>
      <c r="D92" s="10"/>
      <c r="E92" s="17"/>
      <c r="F92" s="10"/>
      <c r="G92" s="11" t="s">
        <v>125</v>
      </c>
      <c r="H92" s="9"/>
      <c r="I92" s="47" t="n"/>
      <c r="J92" s="47" t="n"/>
      <c r="K92" s="47" t="n"/>
      <c r="L92" s="47" t="n"/>
      <c r="M92" s="47" t="n"/>
      <c r="N92" s="47" t="n"/>
      <c r="O92" s="47" t="n"/>
      <c r="P92" s="47" t="n"/>
    </row>
    <row r="93">
      <c r="B93" s="10"/>
      <c r="C93" s="17"/>
      <c r="D93" s="10"/>
      <c r="E93" s="17"/>
      <c r="F93" s="11"/>
      <c r="G93" s="40" t="s">
        <v>126</v>
      </c>
      <c r="H93" s="39"/>
      <c r="I93" s="46" t="n">
        <f>I91+I92</f>
      </c>
      <c r="J93" s="46" t="n">
        <f>J91+J92</f>
      </c>
      <c r="K93" s="46" t="n">
        <f>K91+K92</f>
      </c>
      <c r="L93" s="46" t="n">
        <f>L91+L92</f>
      </c>
      <c r="M93" s="46" t="n">
        <f>M91+M92</f>
      </c>
      <c r="N93" s="46" t="n">
        <f>N91+N92</f>
      </c>
      <c r="O93" s="46" t="n">
        <f>O91+O92</f>
      </c>
      <c r="P93" s="46" t="n">
        <f>P91+P92</f>
      </c>
    </row>
    <row r="94" ht="28.0" customHeight="true">
      <c r="B94" s="10"/>
      <c r="C94" s="17"/>
      <c r="D94" s="10"/>
      <c r="E94" s="17"/>
      <c r="F94" s="7" t="s">
        <v>127</v>
      </c>
      <c r="G94" s="8"/>
      <c r="H94" s="9"/>
      <c r="I94" s="23"/>
      <c r="J94" s="23"/>
      <c r="K94" s="23"/>
      <c r="L94" s="23"/>
      <c r="M94" s="23"/>
      <c r="N94" s="23"/>
      <c r="O94" s="23"/>
      <c r="P94" s="23"/>
    </row>
    <row r="95">
      <c r="B95" s="10"/>
      <c r="C95" s="17"/>
      <c r="D95" s="10"/>
      <c r="E95" s="17"/>
      <c r="F95" s="10"/>
      <c r="G95" s="14" t="s">
        <v>128</v>
      </c>
      <c r="H95" s="13"/>
      <c r="I95" s="46" t="n"/>
      <c r="J95" s="46" t="n"/>
      <c r="K95" s="46" t="n"/>
      <c r="L95" s="46" t="n"/>
      <c r="M95" s="46" t="n"/>
      <c r="N95" s="46" t="n"/>
      <c r="O95" s="46" t="n"/>
      <c r="P95" s="46" t="n"/>
    </row>
    <row r="96" ht="28.0" customHeight="true">
      <c r="B96" s="10"/>
      <c r="C96" s="17"/>
      <c r="D96" s="10"/>
      <c r="E96" s="17"/>
      <c r="F96" s="10"/>
      <c r="G96" s="11" t="s">
        <v>129</v>
      </c>
      <c r="H96" s="9"/>
      <c r="I96" s="47" t="n"/>
      <c r="J96" s="47" t="n"/>
      <c r="K96" s="47" t="n"/>
      <c r="L96" s="47" t="n"/>
      <c r="M96" s="47" t="n"/>
      <c r="N96" s="47" t="n"/>
      <c r="O96" s="47" t="n"/>
      <c r="P96" s="47" t="n"/>
    </row>
    <row r="97">
      <c r="B97" s="10"/>
      <c r="C97" s="17"/>
      <c r="D97" s="10"/>
      <c r="E97" s="17"/>
      <c r="F97" s="10"/>
      <c r="G97" s="14" t="s">
        <v>130</v>
      </c>
      <c r="H97" s="13"/>
      <c r="I97" s="46" t="n"/>
      <c r="J97" s="46" t="n"/>
      <c r="K97" s="46" t="n"/>
      <c r="L97" s="46" t="n"/>
      <c r="M97" s="46" t="n"/>
      <c r="N97" s="46" t="n"/>
      <c r="O97" s="46" t="n"/>
      <c r="P97" s="46" t="n"/>
    </row>
    <row r="98">
      <c r="B98" s="10"/>
      <c r="C98" s="17"/>
      <c r="D98" s="10"/>
      <c r="E98" s="17"/>
      <c r="F98" s="10"/>
      <c r="G98" s="11" t="s">
        <v>131</v>
      </c>
      <c r="H98" s="9"/>
      <c r="I98" s="47" t="n"/>
      <c r="J98" s="47" t="n"/>
      <c r="K98" s="47" t="n"/>
      <c r="L98" s="47" t="n"/>
      <c r="M98" s="47" t="n"/>
      <c r="N98" s="47" t="n"/>
      <c r="O98" s="47" t="n"/>
      <c r="P98" s="47" t="n"/>
    </row>
    <row r="99" ht="28.0" customHeight="true">
      <c r="B99" s="10"/>
      <c r="C99" s="17"/>
      <c r="D99" s="10"/>
      <c r="E99" s="17"/>
      <c r="F99" s="11"/>
      <c r="G99" s="40" t="s">
        <v>132</v>
      </c>
      <c r="H99" s="39"/>
      <c r="I99" s="46" t="n">
        <f>SUM(I95:I98)</f>
      </c>
      <c r="J99" s="46" t="n">
        <f>SUM(J95:J98)</f>
      </c>
      <c r="K99" s="46" t="n">
        <f>SUM(K95:K98)</f>
      </c>
      <c r="L99" s="46" t="n">
        <f>SUM(L95:L98)</f>
      </c>
      <c r="M99" s="46" t="n">
        <f>SUM(M95:M98)</f>
      </c>
      <c r="N99" s="46" t="n">
        <f>SUM(N95:N98)</f>
      </c>
      <c r="O99" s="46" t="n">
        <f>SUM(O95:O98)</f>
      </c>
      <c r="P99" s="46" t="n">
        <f>SUM(P95:P98)</f>
      </c>
    </row>
    <row r="100">
      <c r="B100" s="10"/>
      <c r="C100" s="17"/>
      <c r="D100" s="10"/>
      <c r="E100" s="17"/>
      <c r="F100" s="11" t="s">
        <v>133</v>
      </c>
      <c r="G100" s="8"/>
      <c r="H100" s="9"/>
      <c r="I100" s="47" t="n"/>
      <c r="J100" s="47" t="n"/>
      <c r="K100" s="47" t="n"/>
      <c r="L100" s="47" t="n"/>
      <c r="M100" s="47" t="n"/>
      <c r="N100" s="47" t="n"/>
      <c r="O100" s="47" t="n"/>
      <c r="P100" s="47" t="n"/>
    </row>
    <row r="101">
      <c r="B101" s="10"/>
      <c r="C101" s="17"/>
      <c r="D101" s="10"/>
      <c r="E101" s="17"/>
      <c r="F101" s="14" t="s">
        <v>134</v>
      </c>
      <c r="G101" s="37"/>
      <c r="H101" s="13"/>
      <c r="I101" s="46" t="n"/>
      <c r="J101" s="46" t="n"/>
      <c r="K101" s="46" t="n"/>
      <c r="L101" s="46" t="n"/>
      <c r="M101" s="46" t="n"/>
      <c r="N101" s="46" t="n"/>
      <c r="O101" s="46" t="n"/>
      <c r="P101" s="46" t="n"/>
    </row>
    <row r="102">
      <c r="B102" s="10"/>
      <c r="C102" s="17"/>
      <c r="D102" s="10"/>
      <c r="E102" s="17"/>
      <c r="F102" s="11" t="s">
        <v>135</v>
      </c>
      <c r="G102" s="8"/>
      <c r="H102" s="9"/>
      <c r="I102" s="47" t="n"/>
      <c r="J102" s="47" t="n"/>
      <c r="K102" s="47" t="n"/>
      <c r="L102" s="47" t="n"/>
      <c r="M102" s="47" t="n"/>
      <c r="N102" s="47" t="n"/>
      <c r="O102" s="47" t="n"/>
      <c r="P102" s="47" t="n"/>
    </row>
    <row r="103">
      <c r="B103" s="10"/>
      <c r="C103" s="17"/>
      <c r="D103" s="10"/>
      <c r="E103" s="17"/>
      <c r="F103" s="14" t="s">
        <v>136</v>
      </c>
      <c r="G103" s="37"/>
      <c r="H103" s="13"/>
      <c r="I103" s="46" t="n"/>
      <c r="J103" s="46" t="n"/>
      <c r="K103" s="46" t="n"/>
      <c r="L103" s="46" t="n"/>
      <c r="M103" s="46" t="n"/>
      <c r="N103" s="46" t="n"/>
      <c r="O103" s="46" t="n"/>
      <c r="P103" s="46" t="n"/>
    </row>
    <row r="104">
      <c r="B104" s="10"/>
      <c r="C104" s="17"/>
      <c r="D104" s="10"/>
      <c r="E104" s="17"/>
      <c r="F104" s="7" t="s">
        <v>137</v>
      </c>
      <c r="G104" s="8"/>
      <c r="H104" s="9"/>
      <c r="I104" s="23"/>
      <c r="J104" s="23"/>
      <c r="K104" s="23"/>
      <c r="L104" s="23"/>
      <c r="M104" s="23"/>
      <c r="N104" s="23"/>
      <c r="O104" s="23"/>
      <c r="P104" s="23"/>
    </row>
    <row r="105">
      <c r="B105" s="10"/>
      <c r="C105" s="17"/>
      <c r="D105" s="10"/>
      <c r="E105" s="17"/>
      <c r="F105" s="10"/>
      <c r="G105" s="14" t="s">
        <v>138</v>
      </c>
      <c r="H105" s="13"/>
      <c r="I105" s="46" t="n"/>
      <c r="J105" s="46" t="n"/>
      <c r="K105" s="46" t="n"/>
      <c r="L105" s="46" t="n"/>
      <c r="M105" s="46" t="n"/>
      <c r="N105" s="46" t="n"/>
      <c r="O105" s="46" t="n"/>
      <c r="P105" s="46" t="n"/>
    </row>
    <row r="106">
      <c r="B106" s="10"/>
      <c r="C106" s="17"/>
      <c r="D106" s="10"/>
      <c r="E106" s="17"/>
      <c r="F106" s="10"/>
      <c r="G106" s="11" t="s">
        <v>139</v>
      </c>
      <c r="H106" s="9"/>
      <c r="I106" s="47" t="n"/>
      <c r="J106" s="47" t="n"/>
      <c r="K106" s="47" t="n"/>
      <c r="L106" s="47" t="n"/>
      <c r="M106" s="47" t="n"/>
      <c r="N106" s="47" t="n"/>
      <c r="O106" s="47" t="n"/>
      <c r="P106" s="47" t="n"/>
    </row>
    <row r="107">
      <c r="B107" s="10"/>
      <c r="C107" s="17"/>
      <c r="D107" s="10"/>
      <c r="E107" s="17"/>
      <c r="F107" s="11"/>
      <c r="G107" s="40" t="s">
        <v>140</v>
      </c>
      <c r="H107" s="39"/>
      <c r="I107" s="46" t="n">
        <f>I105+I106</f>
      </c>
      <c r="J107" s="46" t="n">
        <f>J105+J106</f>
      </c>
      <c r="K107" s="46" t="n">
        <f>K105+K106</f>
      </c>
      <c r="L107" s="46" t="n">
        <f>L105+L106</f>
      </c>
      <c r="M107" s="46" t="n">
        <f>M105+M106</f>
      </c>
      <c r="N107" s="46" t="n">
        <f>N105+N106</f>
      </c>
      <c r="O107" s="46" t="n">
        <f>O105+O106</f>
      </c>
      <c r="P107" s="46" t="n">
        <f>P105+P106</f>
      </c>
    </row>
    <row r="108">
      <c r="B108" s="10"/>
      <c r="C108" s="17"/>
      <c r="D108" s="10"/>
      <c r="E108" s="17"/>
      <c r="F108" s="11" t="s">
        <v>141</v>
      </c>
      <c r="G108" s="8"/>
      <c r="H108" s="9"/>
      <c r="I108" s="47" t="n"/>
      <c r="J108" s="47" t="n"/>
      <c r="K108" s="47" t="n"/>
      <c r="L108" s="47" t="n"/>
      <c r="M108" s="47" t="n"/>
      <c r="N108" s="47" t="n"/>
      <c r="O108" s="47" t="n"/>
      <c r="P108" s="47" t="n"/>
    </row>
    <row r="109">
      <c r="B109" s="10"/>
      <c r="C109" s="17"/>
      <c r="D109" s="10"/>
      <c r="E109" s="17"/>
      <c r="F109" s="14" t="s">
        <v>142</v>
      </c>
      <c r="G109" s="37"/>
      <c r="H109" s="13"/>
      <c r="I109" s="46" t="n"/>
      <c r="J109" s="46" t="n"/>
      <c r="K109" s="46" t="n"/>
      <c r="L109" s="46" t="n"/>
      <c r="M109" s="46" t="n"/>
      <c r="N109" s="46" t="n"/>
      <c r="O109" s="46" t="n"/>
      <c r="P109" s="46" t="n"/>
    </row>
    <row r="110">
      <c r="B110" s="10"/>
      <c r="C110" s="17"/>
      <c r="D110" s="10"/>
      <c r="E110" s="14"/>
      <c r="F110" s="45" t="s">
        <v>143</v>
      </c>
      <c r="G110" s="43"/>
      <c r="H110" s="44"/>
      <c r="I110" s="47" t="n">
        <f>I93+SUM(I99:I103)+SUM(I107:I109)</f>
      </c>
      <c r="J110" s="47" t="n">
        <f>J93+SUM(J99:J103)+SUM(J107:J109)</f>
      </c>
      <c r="K110" s="47" t="n">
        <f>K93+SUM(K99:K103)+SUM(K107:K109)</f>
      </c>
      <c r="L110" s="47" t="n">
        <f>L93+SUM(L99:L103)+SUM(L107:L109)</f>
      </c>
      <c r="M110" s="47" t="n">
        <f>M93+SUM(M99:M103)+SUM(M107:M109)</f>
      </c>
      <c r="N110" s="47" t="n">
        <f>N93+SUM(N99:N103)+SUM(N107:N109)</f>
      </c>
      <c r="O110" s="47" t="n">
        <f>O93+SUM(O99:O103)+SUM(O107:O109)</f>
      </c>
      <c r="P110" s="47" t="n">
        <f>P93+SUM(P99:P103)+SUM(P107:P109)</f>
      </c>
    </row>
    <row r="111">
      <c r="B111" s="10"/>
      <c r="C111" s="17"/>
      <c r="D111" s="11"/>
      <c r="E111" s="40" t="s">
        <v>144</v>
      </c>
      <c r="F111" s="41"/>
      <c r="G111" s="41"/>
      <c r="H111" s="39"/>
      <c r="I111" s="46" t="n">
        <f>I88+I110</f>
      </c>
      <c r="J111" s="46" t="n">
        <f>J88+J110</f>
      </c>
      <c r="K111" s="46" t="n">
        <f>K88+K110</f>
      </c>
      <c r="L111" s="46" t="n">
        <f>L88+L110</f>
      </c>
      <c r="M111" s="46" t="n">
        <f>M88+M110</f>
      </c>
      <c r="N111" s="46" t="n">
        <f>N88+N110</f>
      </c>
      <c r="O111" s="46" t="n">
        <f>O88+O110</f>
      </c>
      <c r="P111" s="46" t="n">
        <f>P88+P110</f>
      </c>
    </row>
    <row r="112">
      <c r="B112" s="10"/>
      <c r="C112" s="17"/>
      <c r="D112" s="7" t="s">
        <v>145</v>
      </c>
      <c r="E112" s="8"/>
      <c r="F112" s="8"/>
      <c r="G112" s="8"/>
      <c r="H112" s="9"/>
      <c r="I112" s="23"/>
      <c r="J112" s="23"/>
      <c r="K112" s="23"/>
      <c r="L112" s="23"/>
      <c r="M112" s="23"/>
      <c r="N112" s="23"/>
      <c r="O112" s="23"/>
      <c r="P112" s="23"/>
    </row>
    <row r="113">
      <c r="B113" s="10"/>
      <c r="C113" s="17"/>
      <c r="D113" s="10"/>
      <c r="E113" s="14" t="s">
        <v>146</v>
      </c>
      <c r="F113" s="37"/>
      <c r="G113" s="37"/>
      <c r="H113" s="13"/>
      <c r="I113" s="46" t="n"/>
      <c r="J113" s="46" t="n"/>
      <c r="K113" s="46" t="n"/>
      <c r="L113" s="46" t="n"/>
      <c r="M113" s="46" t="n"/>
      <c r="N113" s="46" t="n"/>
      <c r="O113" s="46" t="n"/>
      <c r="P113" s="46" t="n"/>
    </row>
    <row r="114">
      <c r="B114" s="10"/>
      <c r="C114" s="17"/>
      <c r="D114" s="10"/>
      <c r="E114" s="11" t="s">
        <v>147</v>
      </c>
      <c r="F114" s="8"/>
      <c r="G114" s="8"/>
      <c r="H114" s="9"/>
      <c r="I114" s="47" t="n"/>
      <c r="J114" s="47" t="n"/>
      <c r="K114" s="47" t="n"/>
      <c r="L114" s="47" t="n"/>
      <c r="M114" s="47" t="n"/>
      <c r="N114" s="47" t="n"/>
      <c r="O114" s="47" t="n"/>
      <c r="P114" s="47" t="n"/>
    </row>
    <row r="115">
      <c r="B115" s="10"/>
      <c r="C115" s="17"/>
      <c r="D115" s="10"/>
      <c r="E115" s="14" t="s">
        <v>148</v>
      </c>
      <c r="F115" s="37"/>
      <c r="G115" s="37"/>
      <c r="H115" s="13"/>
      <c r="I115" s="46" t="n"/>
      <c r="J115" s="46" t="n"/>
      <c r="K115" s="46" t="n"/>
      <c r="L115" s="46" t="n"/>
      <c r="M115" s="46" t="n"/>
      <c r="N115" s="46" t="n"/>
      <c r="O115" s="46" t="n"/>
      <c r="P115" s="46" t="n"/>
    </row>
    <row r="116">
      <c r="B116" s="10"/>
      <c r="C116" s="17"/>
      <c r="D116" s="10"/>
      <c r="E116" s="11" t="s">
        <v>149</v>
      </c>
      <c r="F116" s="8"/>
      <c r="G116" s="8"/>
      <c r="H116" s="9"/>
      <c r="I116" s="47" t="n"/>
      <c r="J116" s="47" t="n"/>
      <c r="K116" s="47" t="n"/>
      <c r="L116" s="47" t="n"/>
      <c r="M116" s="47" t="n"/>
      <c r="N116" s="47" t="n"/>
      <c r="O116" s="47" t="n"/>
      <c r="P116" s="47" t="n"/>
    </row>
    <row r="117">
      <c r="B117" s="10"/>
      <c r="C117" s="17"/>
      <c r="D117" s="10"/>
      <c r="E117" s="14" t="s">
        <v>150</v>
      </c>
      <c r="F117" s="37"/>
      <c r="G117" s="37"/>
      <c r="H117" s="13"/>
      <c r="I117" s="46" t="n"/>
      <c r="J117" s="46" t="n"/>
      <c r="K117" s="46" t="n"/>
      <c r="L117" s="46" t="n"/>
      <c r="M117" s="46" t="n"/>
      <c r="N117" s="46" t="n"/>
      <c r="O117" s="46" t="n"/>
      <c r="P117" s="46" t="n"/>
    </row>
    <row r="118">
      <c r="B118" s="10"/>
      <c r="C118" s="17"/>
      <c r="D118" s="10"/>
      <c r="E118" s="11" t="s">
        <v>151</v>
      </c>
      <c r="F118" s="8"/>
      <c r="G118" s="8"/>
      <c r="H118" s="9"/>
      <c r="I118" s="47" t="n"/>
      <c r="J118" s="47" t="n"/>
      <c r="K118" s="47" t="n"/>
      <c r="L118" s="47" t="n"/>
      <c r="M118" s="47" t="n"/>
      <c r="N118" s="47" t="n"/>
      <c r="O118" s="47" t="n"/>
      <c r="P118" s="47" t="n"/>
    </row>
    <row r="119">
      <c r="B119" s="10"/>
      <c r="C119" s="17"/>
      <c r="D119" s="10"/>
      <c r="E119" s="14" t="s">
        <v>152</v>
      </c>
      <c r="F119" s="37"/>
      <c r="G119" s="37"/>
      <c r="H119" s="13"/>
      <c r="I119" s="46" t="n"/>
      <c r="J119" s="46" t="n"/>
      <c r="K119" s="46" t="n"/>
      <c r="L119" s="46" t="n"/>
      <c r="M119" s="46" t="n"/>
      <c r="N119" s="46" t="n"/>
      <c r="O119" s="46" t="n"/>
      <c r="P119" s="46" t="n"/>
    </row>
    <row r="120">
      <c r="B120" s="10"/>
      <c r="C120" s="17"/>
      <c r="D120" s="10"/>
      <c r="E120" s="11" t="s">
        <v>153</v>
      </c>
      <c r="F120" s="8"/>
      <c r="G120" s="8"/>
      <c r="H120" s="9"/>
      <c r="I120" s="47" t="n"/>
      <c r="J120" s="47" t="n"/>
      <c r="K120" s="47" t="n"/>
      <c r="L120" s="47" t="n"/>
      <c r="M120" s="47" t="n"/>
      <c r="N120" s="47" t="n"/>
      <c r="O120" s="47" t="n"/>
      <c r="P120" s="47" t="n"/>
    </row>
    <row r="121">
      <c r="B121" s="10"/>
      <c r="C121" s="17"/>
      <c r="D121" s="10"/>
      <c r="E121" s="14" t="s">
        <v>154</v>
      </c>
      <c r="F121" s="37"/>
      <c r="G121" s="37"/>
      <c r="H121" s="13"/>
      <c r="I121" s="46" t="n"/>
      <c r="J121" s="46" t="n"/>
      <c r="K121" s="46" t="n"/>
      <c r="L121" s="46" t="n"/>
      <c r="M121" s="46" t="n"/>
      <c r="N121" s="46" t="n"/>
      <c r="O121" s="46" t="n"/>
      <c r="P121" s="46" t="n"/>
    </row>
    <row r="122">
      <c r="B122" s="10"/>
      <c r="C122" s="17"/>
      <c r="D122" s="10"/>
      <c r="E122" s="7" t="s">
        <v>155</v>
      </c>
      <c r="F122" s="8"/>
      <c r="G122" s="8"/>
      <c r="H122" s="9"/>
      <c r="I122" s="23"/>
      <c r="J122" s="23"/>
      <c r="K122" s="23"/>
      <c r="L122" s="23"/>
      <c r="M122" s="23"/>
      <c r="N122" s="23"/>
      <c r="O122" s="23"/>
      <c r="P122" s="23"/>
    </row>
    <row r="123" ht="28.0" customHeight="true">
      <c r="B123" s="10"/>
      <c r="C123" s="17"/>
      <c r="D123" s="10"/>
      <c r="E123" s="10"/>
      <c r="F123" s="14" t="s">
        <v>156</v>
      </c>
      <c r="G123" s="37"/>
      <c r="H123" s="13"/>
      <c r="I123" s="46" t="n"/>
      <c r="J123" s="46" t="n"/>
      <c r="K123" s="46" t="n"/>
      <c r="L123" s="46" t="n"/>
      <c r="M123" s="46" t="n"/>
      <c r="N123" s="46" t="n"/>
      <c r="O123" s="46" t="n"/>
      <c r="P123" s="46" t="n"/>
    </row>
    <row r="124">
      <c r="B124" s="10"/>
      <c r="C124" s="17"/>
      <c r="D124" s="10"/>
      <c r="E124" s="10"/>
      <c r="F124" s="11" t="s">
        <v>157</v>
      </c>
      <c r="G124" s="8"/>
      <c r="H124" s="9"/>
      <c r="I124" s="47" t="n"/>
      <c r="J124" s="47" t="n"/>
      <c r="K124" s="47" t="n"/>
      <c r="L124" s="47" t="n"/>
      <c r="M124" s="47" t="n"/>
      <c r="N124" s="47" t="n"/>
      <c r="O124" s="47" t="n"/>
      <c r="P124" s="47" t="n"/>
    </row>
    <row r="125" ht="28.0" customHeight="true">
      <c r="B125" s="10"/>
      <c r="C125" s="17"/>
      <c r="D125" s="10"/>
      <c r="E125" s="10"/>
      <c r="F125" s="14" t="s">
        <v>158</v>
      </c>
      <c r="G125" s="37"/>
      <c r="H125" s="13"/>
      <c r="I125" s="46" t="n"/>
      <c r="J125" s="46" t="n"/>
      <c r="K125" s="46" t="n"/>
      <c r="L125" s="46" t="n"/>
      <c r="M125" s="46" t="n"/>
      <c r="N125" s="46" t="n"/>
      <c r="O125" s="46" t="n"/>
      <c r="P125" s="46" t="n"/>
    </row>
    <row r="126" ht="28.0" customHeight="true">
      <c r="B126" s="10"/>
      <c r="C126" s="17"/>
      <c r="D126" s="10"/>
      <c r="E126" s="10"/>
      <c r="F126" s="11" t="s">
        <v>159</v>
      </c>
      <c r="G126" s="8"/>
      <c r="H126" s="9"/>
      <c r="I126" s="47" t="n"/>
      <c r="J126" s="47" t="n"/>
      <c r="K126" s="47" t="n"/>
      <c r="L126" s="47" t="n"/>
      <c r="M126" s="47" t="n"/>
      <c r="N126" s="47" t="n"/>
      <c r="O126" s="47" t="n"/>
      <c r="P126" s="47" t="n"/>
    </row>
    <row r="127" ht="28.0" customHeight="true">
      <c r="B127" s="10"/>
      <c r="C127" s="17"/>
      <c r="D127" s="10"/>
      <c r="E127" s="10"/>
      <c r="F127" s="14" t="s">
        <v>160</v>
      </c>
      <c r="G127" s="37"/>
      <c r="H127" s="13"/>
      <c r="I127" s="46" t="n"/>
      <c r="J127" s="46" t="n"/>
      <c r="K127" s="46" t="n"/>
      <c r="L127" s="46" t="n"/>
      <c r="M127" s="46" t="n"/>
      <c r="N127" s="46" t="n"/>
      <c r="O127" s="46" t="n"/>
      <c r="P127" s="46" t="n"/>
    </row>
    <row r="128" ht="28.0" customHeight="true">
      <c r="B128" s="10"/>
      <c r="C128" s="17"/>
      <c r="D128" s="10"/>
      <c r="E128" s="10"/>
      <c r="F128" s="11" t="s">
        <v>161</v>
      </c>
      <c r="G128" s="8"/>
      <c r="H128" s="9"/>
      <c r="I128" s="47" t="n"/>
      <c r="J128" s="47" t="n"/>
      <c r="K128" s="47" t="n"/>
      <c r="L128" s="47" t="n"/>
      <c r="M128" s="47" t="n"/>
      <c r="N128" s="47" t="n"/>
      <c r="O128" s="47" t="n"/>
      <c r="P128" s="47" t="n"/>
    </row>
    <row r="129">
      <c r="B129" s="10"/>
      <c r="C129" s="17"/>
      <c r="D129" s="10"/>
      <c r="E129" s="10"/>
      <c r="F129" s="14" t="s">
        <v>162</v>
      </c>
      <c r="G129" s="37"/>
      <c r="H129" s="13"/>
      <c r="I129" s="46" t="n"/>
      <c r="J129" s="46" t="n"/>
      <c r="K129" s="46" t="n"/>
      <c r="L129" s="46" t="n"/>
      <c r="M129" s="46" t="n"/>
      <c r="N129" s="46" t="n"/>
      <c r="O129" s="46" t="n"/>
      <c r="P129" s="46" t="n"/>
    </row>
    <row r="130">
      <c r="B130" s="10"/>
      <c r="C130" s="17"/>
      <c r="D130" s="10"/>
      <c r="E130" s="10"/>
      <c r="F130" s="11" t="s">
        <v>163</v>
      </c>
      <c r="G130" s="8"/>
      <c r="H130" s="9"/>
      <c r="I130" s="47" t="n"/>
      <c r="J130" s="47" t="n"/>
      <c r="K130" s="47" t="n"/>
      <c r="L130" s="47" t="n"/>
      <c r="M130" s="47" t="n"/>
      <c r="N130" s="47" t="n"/>
      <c r="O130" s="47" t="n"/>
      <c r="P130" s="47" t="n"/>
    </row>
    <row r="131">
      <c r="B131" s="10"/>
      <c r="C131" s="17"/>
      <c r="D131" s="10"/>
      <c r="E131" s="11"/>
      <c r="F131" s="40" t="s">
        <v>164</v>
      </c>
      <c r="G131" s="41"/>
      <c r="H131" s="39"/>
      <c r="I131" s="46" t="n">
        <f>SUM(I123:I130)</f>
      </c>
      <c r="J131" s="46" t="n">
        <f>SUM(J123:J130)</f>
      </c>
      <c r="K131" s="46" t="n">
        <f>SUM(K123:K130)</f>
      </c>
      <c r="L131" s="46" t="n">
        <f>SUM(L123:L130)</f>
      </c>
      <c r="M131" s="46" t="n">
        <f>SUM(M123:M130)</f>
      </c>
      <c r="N131" s="46" t="n">
        <f>SUM(N123:N130)</f>
      </c>
      <c r="O131" s="46" t="n">
        <f>SUM(O123:O130)</f>
      </c>
      <c r="P131" s="46" t="n">
        <f>SUM(P123:P130)</f>
      </c>
    </row>
    <row r="132">
      <c r="B132" s="10"/>
      <c r="C132" s="17"/>
      <c r="D132" s="11"/>
      <c r="E132" s="45" t="s">
        <v>165</v>
      </c>
      <c r="F132" s="43"/>
      <c r="G132" s="43"/>
      <c r="H132" s="44"/>
      <c r="I132" s="47" t="n">
        <f>SUM(I113:I121)+I131</f>
      </c>
      <c r="J132" s="47" t="n">
        <f>SUM(J113:J121)+J131</f>
      </c>
      <c r="K132" s="47" t="n">
        <f>SUM(K113:K121)+K131</f>
      </c>
      <c r="L132" s="47" t="n">
        <f>SUM(L113:L121)+L131</f>
      </c>
      <c r="M132" s="47" t="n">
        <f>SUM(M113:M121)+M131</f>
      </c>
      <c r="N132" s="47" t="n">
        <f>SUM(N113:N121)+N131</f>
      </c>
      <c r="O132" s="47" t="n">
        <f>SUM(O113:O121)+O131</f>
      </c>
      <c r="P132" s="47" t="n">
        <f>SUM(P113:P121)+P131</f>
      </c>
    </row>
    <row r="133">
      <c r="B133" s="11"/>
      <c r="C133" s="14"/>
      <c r="D133" s="40" t="s">
        <v>166</v>
      </c>
      <c r="E133" s="41"/>
      <c r="F133" s="41"/>
      <c r="G133" s="41"/>
      <c r="H133" s="39"/>
      <c r="I133" s="48" t="n">
        <f>I132+I111</f>
      </c>
      <c r="J133" s="48" t="n">
        <f>J132+J111</f>
      </c>
      <c r="K133" s="48" t="n">
        <f>K132+K111</f>
      </c>
      <c r="L133" s="48" t="n">
        <f>L132+L111</f>
      </c>
      <c r="M133" s="48" t="n">
        <f>M132+M111</f>
      </c>
      <c r="N133" s="48" t="n">
        <f>N132+N111</f>
      </c>
      <c r="O133" s="48" t="n">
        <f>O132+O111</f>
      </c>
      <c r="P133" s="48" t="n">
        <f>P132+P111</f>
      </c>
    </row>
    <row r="135">
      <c r="B135" t="s" s="1">
        <v>11</v>
      </c>
      <c r="C135" t="s">
        <v>167</v>
      </c>
    </row>
    <row r="136">
      <c r="I136" t="s" s="4">
        <v>37</v>
      </c>
      <c r="J136" s="29"/>
      <c r="K136" s="29"/>
      <c r="L136" s="29"/>
      <c r="M136" s="29"/>
      <c r="N136" s="29"/>
      <c r="O136" s="29"/>
      <c r="P136" s="30"/>
    </row>
    <row r="137">
      <c r="I137" t="s" s="34">
        <v>38</v>
      </c>
      <c r="J137" t="s" s="6">
        <v>39</v>
      </c>
      <c r="K137" t="s" s="34">
        <v>40</v>
      </c>
      <c r="L137" t="s" s="6">
        <v>41</v>
      </c>
      <c r="M137" t="s" s="34">
        <v>42</v>
      </c>
      <c r="N137" t="s" s="6">
        <v>43</v>
      </c>
      <c r="O137" t="s" s="34">
        <v>44</v>
      </c>
      <c r="P137" s="36"/>
    </row>
    <row r="138">
      <c r="B138" s="7" t="s">
        <v>45</v>
      </c>
      <c r="C138" s="8"/>
      <c r="D138" s="8"/>
      <c r="E138" s="8"/>
      <c r="F138" s="8"/>
      <c r="G138" s="8"/>
      <c r="H138" s="9"/>
      <c r="I138" s="23"/>
      <c r="J138" s="23"/>
      <c r="K138" s="23"/>
      <c r="L138" s="23"/>
      <c r="M138" s="23"/>
      <c r="N138" s="23"/>
      <c r="O138" s="23"/>
      <c r="P138" s="23"/>
    </row>
    <row r="139">
      <c r="B139" s="10"/>
      <c r="C139" s="16" t="s">
        <v>46</v>
      </c>
      <c r="D139" s="37"/>
      <c r="E139" s="37"/>
      <c r="F139" s="37"/>
      <c r="G139" s="37"/>
      <c r="H139" s="13"/>
      <c r="I139" s="22"/>
      <c r="J139" s="22"/>
      <c r="K139" s="22"/>
      <c r="L139" s="22"/>
      <c r="M139" s="22"/>
      <c r="N139" s="22"/>
      <c r="O139" s="22"/>
      <c r="P139" s="22"/>
    </row>
    <row r="140">
      <c r="B140" s="10"/>
      <c r="C140" s="17"/>
      <c r="D140" s="7" t="s">
        <v>47</v>
      </c>
      <c r="E140" s="8"/>
      <c r="F140" s="8"/>
      <c r="G140" s="8"/>
      <c r="H140" s="9"/>
      <c r="I140" s="23"/>
      <c r="J140" s="23"/>
      <c r="K140" s="23"/>
      <c r="L140" s="23"/>
      <c r="M140" s="23"/>
      <c r="N140" s="23"/>
      <c r="O140" s="23"/>
      <c r="P140" s="23"/>
    </row>
    <row r="141">
      <c r="B141" s="10"/>
      <c r="C141" s="17"/>
      <c r="D141" s="10"/>
      <c r="E141" s="16" t="s">
        <v>48</v>
      </c>
      <c r="F141" s="37"/>
      <c r="G141" s="37"/>
      <c r="H141" s="13"/>
      <c r="I141" s="46" t="n"/>
      <c r="J141" s="46" t="n"/>
      <c r="K141" s="46" t="n"/>
      <c r="L141" s="46" t="n"/>
      <c r="M141" s="46" t="n"/>
      <c r="N141" s="46" t="n"/>
      <c r="O141" s="46" t="n"/>
      <c r="P141" s="46" t="n"/>
    </row>
    <row r="142">
      <c r="B142" s="10"/>
      <c r="C142" s="17"/>
      <c r="D142" s="10"/>
      <c r="E142" s="14"/>
      <c r="F142" s="11" t="s">
        <v>49</v>
      </c>
      <c r="G142" s="8"/>
      <c r="H142" s="9"/>
      <c r="I142" s="47" t="n"/>
      <c r="J142" s="47" t="n"/>
      <c r="K142" s="47" t="n"/>
      <c r="L142" s="47" t="n"/>
      <c r="M142" s="47" t="n"/>
      <c r="N142" s="47" t="n"/>
      <c r="O142" s="47" t="n"/>
      <c r="P142" s="47" t="n"/>
    </row>
    <row r="143" ht="28.0" customHeight="true">
      <c r="B143" s="10"/>
      <c r="C143" s="17"/>
      <c r="D143" s="10"/>
      <c r="E143" s="16" t="s">
        <v>50</v>
      </c>
      <c r="F143" s="37"/>
      <c r="G143" s="37"/>
      <c r="H143" s="13"/>
      <c r="I143" s="22"/>
      <c r="J143" s="22"/>
      <c r="K143" s="22"/>
      <c r="L143" s="22"/>
      <c r="M143" s="22"/>
      <c r="N143" s="22"/>
      <c r="O143" s="22"/>
      <c r="P143" s="22"/>
    </row>
    <row r="144" ht="28.0" customHeight="true">
      <c r="B144" s="10"/>
      <c r="C144" s="17"/>
      <c r="D144" s="10"/>
      <c r="E144" s="17"/>
      <c r="F144" s="7" t="s">
        <v>51</v>
      </c>
      <c r="G144" s="8"/>
      <c r="H144" s="9"/>
      <c r="I144" s="23"/>
      <c r="J144" s="23"/>
      <c r="K144" s="23"/>
      <c r="L144" s="23"/>
      <c r="M144" s="23"/>
      <c r="N144" s="23"/>
      <c r="O144" s="23"/>
      <c r="P144" s="23"/>
    </row>
    <row r="145" ht="42.0" customHeight="true">
      <c r="B145" s="10"/>
      <c r="C145" s="17"/>
      <c r="D145" s="10"/>
      <c r="E145" s="17"/>
      <c r="F145" s="10"/>
      <c r="G145" s="14" t="s">
        <v>52</v>
      </c>
      <c r="H145" s="13"/>
      <c r="I145" s="46" t="n"/>
      <c r="J145" s="46" t="n"/>
      <c r="K145" s="46" t="n"/>
      <c r="L145" s="46" t="n"/>
      <c r="M145" s="46" t="n"/>
      <c r="N145" s="46" t="n"/>
      <c r="O145" s="22"/>
      <c r="P145" s="46" t="n"/>
    </row>
    <row r="146">
      <c r="B146" s="10"/>
      <c r="C146" s="17"/>
      <c r="D146" s="10"/>
      <c r="E146" s="17"/>
      <c r="F146" s="10"/>
      <c r="G146" s="7" t="s">
        <v>53</v>
      </c>
      <c r="H146" s="9"/>
      <c r="I146" s="47" t="n"/>
      <c r="J146" s="47" t="n"/>
      <c r="K146" s="47" t="n"/>
      <c r="L146" s="47" t="n"/>
      <c r="M146" s="47" t="n"/>
      <c r="N146" s="47" t="n"/>
      <c r="O146" s="23"/>
      <c r="P146" s="47" t="n"/>
    </row>
    <row r="147">
      <c r="B147" s="10"/>
      <c r="C147" s="17"/>
      <c r="D147" s="10"/>
      <c r="E147" s="17"/>
      <c r="F147" s="10"/>
      <c r="G147" s="11"/>
      <c r="H147" s="19" t="s">
        <v>54</v>
      </c>
      <c r="I147" s="22"/>
      <c r="J147" s="22"/>
      <c r="K147" s="22"/>
      <c r="L147" s="46" t="n"/>
      <c r="M147" s="46" t="n"/>
      <c r="N147" s="46" t="n"/>
      <c r="O147" s="22"/>
      <c r="P147" s="46" t="n"/>
    </row>
    <row r="148" ht="28.0" customHeight="true">
      <c r="B148" s="10"/>
      <c r="C148" s="17"/>
      <c r="D148" s="10"/>
      <c r="E148" s="17"/>
      <c r="F148" s="10"/>
      <c r="G148" s="11" t="s">
        <v>55</v>
      </c>
      <c r="H148" s="9"/>
      <c r="I148" s="23"/>
      <c r="J148" s="23"/>
      <c r="K148" s="47" t="n"/>
      <c r="L148" s="23"/>
      <c r="M148" s="23"/>
      <c r="N148" s="23"/>
      <c r="O148" s="23"/>
      <c r="P148" s="47" t="n"/>
    </row>
    <row r="149" ht="28.0" customHeight="true">
      <c r="B149" s="10"/>
      <c r="C149" s="17"/>
      <c r="D149" s="10"/>
      <c r="E149" s="17"/>
      <c r="F149" s="11"/>
      <c r="G149" s="40" t="s">
        <v>56</v>
      </c>
      <c r="H149" s="39"/>
      <c r="I149" s="46" t="n">
        <f>I145+I146</f>
      </c>
      <c r="J149" s="46" t="n">
        <f>J145+J146</f>
      </c>
      <c r="K149" s="46" t="n">
        <f>K145+K146+K148</f>
      </c>
      <c r="L149" s="46" t="n">
        <f>L145+L146</f>
      </c>
      <c r="M149" s="46" t="n">
        <f>M145+M146</f>
      </c>
      <c r="N149" s="46" t="n">
        <f>N145+N146</f>
      </c>
      <c r="O149" s="46" t="n"/>
      <c r="P149" s="46" t="n">
        <f>P145+P146+P148</f>
      </c>
    </row>
    <row r="150">
      <c r="B150" s="10"/>
      <c r="C150" s="17"/>
      <c r="D150" s="10"/>
      <c r="E150" s="17"/>
      <c r="F150" s="11" t="s">
        <v>57</v>
      </c>
      <c r="G150" s="8"/>
      <c r="H150" s="9"/>
      <c r="I150" s="47" t="n"/>
      <c r="J150" s="47" t="n"/>
      <c r="K150" s="47" t="n"/>
      <c r="L150" s="47" t="n"/>
      <c r="M150" s="47" t="n"/>
      <c r="N150" s="47" t="n"/>
      <c r="O150" s="47" t="n"/>
      <c r="P150" s="47" t="n"/>
    </row>
    <row r="151">
      <c r="B151" s="10"/>
      <c r="C151" s="17"/>
      <c r="D151" s="10"/>
      <c r="E151" s="17"/>
      <c r="F151" s="14" t="s">
        <v>58</v>
      </c>
      <c r="G151" s="37"/>
      <c r="H151" s="13"/>
      <c r="I151" s="46" t="n"/>
      <c r="J151" s="46" t="n"/>
      <c r="K151" s="46" t="n"/>
      <c r="L151" s="46" t="n"/>
      <c r="M151" s="46" t="n"/>
      <c r="N151" s="46" t="n"/>
      <c r="O151" s="46" t="n"/>
      <c r="P151" s="46" t="n"/>
    </row>
    <row r="152">
      <c r="B152" s="10"/>
      <c r="C152" s="17"/>
      <c r="D152" s="10"/>
      <c r="E152" s="17"/>
      <c r="F152" s="11" t="s">
        <v>59</v>
      </c>
      <c r="G152" s="8"/>
      <c r="H152" s="9"/>
      <c r="I152" s="47" t="n"/>
      <c r="J152" s="47" t="n"/>
      <c r="K152" s="47" t="n"/>
      <c r="L152" s="47" t="n"/>
      <c r="M152" s="47" t="n"/>
      <c r="N152" s="47" t="n"/>
      <c r="O152" s="47" t="n"/>
      <c r="P152" s="47" t="n"/>
    </row>
    <row r="153" ht="28.0" customHeight="true">
      <c r="B153" s="10"/>
      <c r="C153" s="17"/>
      <c r="D153" s="10"/>
      <c r="E153" s="14"/>
      <c r="F153" s="40" t="s">
        <v>60</v>
      </c>
      <c r="G153" s="41"/>
      <c r="H153" s="39"/>
      <c r="I153" s="46" t="n">
        <f>SUM(I149:I152)</f>
      </c>
      <c r="J153" s="46" t="n">
        <f>SUM(J149:J152)</f>
      </c>
      <c r="K153" s="46" t="n">
        <f>SUM(K149:K152)</f>
      </c>
      <c r="L153" s="46" t="n">
        <f>SUM(L149:L152)</f>
      </c>
      <c r="M153" s="46" t="n">
        <f>SUM(M149:M152)</f>
      </c>
      <c r="N153" s="46" t="n">
        <f>SUM(N149:N152)</f>
      </c>
      <c r="O153" s="46" t="n">
        <f>SUM(O149:O152)</f>
      </c>
      <c r="P153" s="46" t="n">
        <f>SUM(P149:P152)</f>
      </c>
    </row>
    <row r="154">
      <c r="B154" s="10"/>
      <c r="C154" s="17"/>
      <c r="D154" s="10"/>
      <c r="E154" s="11" t="s">
        <v>61</v>
      </c>
      <c r="F154" s="8"/>
      <c r="G154" s="8"/>
      <c r="H154" s="9"/>
      <c r="I154" s="47" t="n"/>
      <c r="J154" s="47" t="n"/>
      <c r="K154" s="47" t="n"/>
      <c r="L154" s="47" t="n"/>
      <c r="M154" s="47" t="n"/>
      <c r="N154" s="47" t="n"/>
      <c r="O154" s="47" t="n"/>
      <c r="P154" s="47" t="n"/>
    </row>
    <row r="155">
      <c r="B155" s="10"/>
      <c r="C155" s="17"/>
      <c r="D155" s="10"/>
      <c r="E155" s="14" t="s">
        <v>62</v>
      </c>
      <c r="F155" s="37"/>
      <c r="G155" s="37"/>
      <c r="H155" s="13"/>
      <c r="I155" s="46" t="n"/>
      <c r="J155" s="46" t="n"/>
      <c r="K155" s="46" t="n"/>
      <c r="L155" s="46" t="n"/>
      <c r="M155" s="46" t="n"/>
      <c r="N155" s="46" t="n"/>
      <c r="O155" s="46" t="n"/>
      <c r="P155" s="46" t="n"/>
    </row>
    <row r="156">
      <c r="B156" s="10"/>
      <c r="C156" s="17"/>
      <c r="D156" s="10"/>
      <c r="E156" s="11" t="s">
        <v>63</v>
      </c>
      <c r="F156" s="8"/>
      <c r="G156" s="8"/>
      <c r="H156" s="9"/>
      <c r="I156" s="47" t="n"/>
      <c r="J156" s="47" t="n"/>
      <c r="K156" s="47" t="n"/>
      <c r="L156" s="47" t="n"/>
      <c r="M156" s="47" t="n"/>
      <c r="N156" s="47" t="n"/>
      <c r="O156" s="47" t="n"/>
      <c r="P156" s="47" t="n"/>
    </row>
    <row r="157">
      <c r="B157" s="10"/>
      <c r="C157" s="17"/>
      <c r="D157" s="10"/>
      <c r="E157" s="14" t="s">
        <v>64</v>
      </c>
      <c r="F157" s="37"/>
      <c r="G157" s="37"/>
      <c r="H157" s="13"/>
      <c r="I157" s="46" t="n"/>
      <c r="J157" s="46" t="n"/>
      <c r="K157" s="46" t="n"/>
      <c r="L157" s="46" t="n"/>
      <c r="M157" s="46" t="n"/>
      <c r="N157" s="46" t="n"/>
      <c r="O157" s="46" t="n"/>
      <c r="P157" s="46" t="n"/>
    </row>
    <row r="158">
      <c r="B158" s="10"/>
      <c r="C158" s="17"/>
      <c r="D158" s="11"/>
      <c r="E158" s="45" t="s">
        <v>65</v>
      </c>
      <c r="F158" s="43"/>
      <c r="G158" s="43"/>
      <c r="H158" s="44"/>
      <c r="I158" s="47" t="n">
        <f>I141+SUM(I153:I157)</f>
      </c>
      <c r="J158" s="47" t="n">
        <f>J141+SUM(J153:J157)</f>
      </c>
      <c r="K158" s="47" t="n">
        <f>K141+SUM(K153:K157)</f>
      </c>
      <c r="L158" s="47" t="n">
        <f>L141+SUM(L153:L157)</f>
      </c>
      <c r="M158" s="47" t="n">
        <f>M141+SUM(M153:M157)</f>
      </c>
      <c r="N158" s="47" t="n">
        <f>N141+SUM(N153:N157)</f>
      </c>
      <c r="O158" s="47" t="n">
        <f>O141+SUM(O153:O157)</f>
      </c>
      <c r="P158" s="47" t="n">
        <f>P141+SUM(P153:P157)</f>
      </c>
    </row>
    <row r="159">
      <c r="B159" s="10"/>
      <c r="C159" s="17"/>
      <c r="D159" s="16" t="s">
        <v>66</v>
      </c>
      <c r="E159" s="37"/>
      <c r="F159" s="37"/>
      <c r="G159" s="37"/>
      <c r="H159" s="13"/>
      <c r="I159" s="22"/>
      <c r="J159" s="22"/>
      <c r="K159" s="22"/>
      <c r="L159" s="22"/>
      <c r="M159" s="22"/>
      <c r="N159" s="22"/>
      <c r="O159" s="22"/>
      <c r="P159" s="22"/>
    </row>
    <row r="160">
      <c r="B160" s="10"/>
      <c r="C160" s="17"/>
      <c r="D160" s="17"/>
      <c r="E160" s="11" t="s">
        <v>67</v>
      </c>
      <c r="F160" s="8"/>
      <c r="G160" s="8"/>
      <c r="H160" s="9"/>
      <c r="I160" s="47" t="n"/>
      <c r="J160" s="47" t="n"/>
      <c r="K160" s="47" t="n"/>
      <c r="L160" s="47" t="n"/>
      <c r="M160" s="47" t="n"/>
      <c r="N160" s="47" t="n"/>
      <c r="O160" s="47" t="n"/>
      <c r="P160" s="47" t="n"/>
    </row>
    <row r="161">
      <c r="B161" s="10"/>
      <c r="C161" s="17"/>
      <c r="D161" s="17"/>
      <c r="E161" s="14" t="s">
        <v>68</v>
      </c>
      <c r="F161" s="37"/>
      <c r="G161" s="37"/>
      <c r="H161" s="13"/>
      <c r="I161" s="46" t="n"/>
      <c r="J161" s="46" t="n"/>
      <c r="K161" s="46" t="n"/>
      <c r="L161" s="46" t="n"/>
      <c r="M161" s="46" t="n"/>
      <c r="N161" s="46" t="n"/>
      <c r="O161" s="46" t="n"/>
      <c r="P161" s="46" t="n"/>
    </row>
    <row r="162">
      <c r="B162" s="10"/>
      <c r="C162" s="17"/>
      <c r="D162" s="17"/>
      <c r="E162" s="7" t="s">
        <v>69</v>
      </c>
      <c r="F162" s="8"/>
      <c r="G162" s="8"/>
      <c r="H162" s="9"/>
      <c r="I162" s="23"/>
      <c r="J162" s="23"/>
      <c r="K162" s="23"/>
      <c r="L162" s="23"/>
      <c r="M162" s="23"/>
      <c r="N162" s="23"/>
      <c r="O162" s="23"/>
      <c r="P162" s="23"/>
    </row>
    <row r="163">
      <c r="B163" s="10"/>
      <c r="C163" s="17"/>
      <c r="D163" s="17"/>
      <c r="E163" s="10"/>
      <c r="F163" s="14" t="s">
        <v>70</v>
      </c>
      <c r="G163" s="37"/>
      <c r="H163" s="13"/>
      <c r="I163" s="46" t="n"/>
      <c r="J163" s="46" t="n"/>
      <c r="K163" s="46" t="n"/>
      <c r="L163" s="46" t="n"/>
      <c r="M163" s="46" t="n"/>
      <c r="N163" s="46" t="n"/>
      <c r="O163" s="46" t="n"/>
      <c r="P163" s="46" t="n"/>
    </row>
    <row r="164">
      <c r="B164" s="10"/>
      <c r="C164" s="17"/>
      <c r="D164" s="17"/>
      <c r="E164" s="10"/>
      <c r="F164" s="11" t="s">
        <v>71</v>
      </c>
      <c r="G164" s="8"/>
      <c r="H164" s="9"/>
      <c r="I164" s="47" t="n"/>
      <c r="J164" s="47" t="n"/>
      <c r="K164" s="47" t="n"/>
      <c r="L164" s="47" t="n"/>
      <c r="M164" s="47" t="n"/>
      <c r="N164" s="47" t="n"/>
      <c r="O164" s="47" t="n"/>
      <c r="P164" s="47" t="n"/>
    </row>
    <row r="165">
      <c r="B165" s="10"/>
      <c r="C165" s="17"/>
      <c r="D165" s="17"/>
      <c r="E165" s="10"/>
      <c r="F165" s="14" t="s">
        <v>72</v>
      </c>
      <c r="G165" s="37"/>
      <c r="H165" s="13"/>
      <c r="I165" s="46" t="n"/>
      <c r="J165" s="46" t="n"/>
      <c r="K165" s="46" t="n"/>
      <c r="L165" s="46" t="n"/>
      <c r="M165" s="46" t="n"/>
      <c r="N165" s="46" t="n"/>
      <c r="O165" s="46" t="n"/>
      <c r="P165" s="46" t="n"/>
    </row>
    <row r="166" ht="28.0" customHeight="true">
      <c r="B166" s="10"/>
      <c r="C166" s="17"/>
      <c r="D166" s="17"/>
      <c r="E166" s="11"/>
      <c r="F166" s="45" t="s">
        <v>73</v>
      </c>
      <c r="G166" s="43"/>
      <c r="H166" s="44"/>
      <c r="I166" s="47" t="n">
        <f>SUM(I163:I165)</f>
      </c>
      <c r="J166" s="47" t="n">
        <f>SUM(J163:J165)</f>
      </c>
      <c r="K166" s="47" t="n">
        <f>SUM(K163:K165)</f>
      </c>
      <c r="L166" s="47" t="n">
        <f>SUM(L163:L165)</f>
      </c>
      <c r="M166" s="47" t="n">
        <f>SUM(M163:M165)</f>
      </c>
      <c r="N166" s="47" t="n">
        <f>SUM(N163:N165)</f>
      </c>
      <c r="O166" s="47" t="n">
        <f>SUM(O163:O165)</f>
      </c>
      <c r="P166" s="47" t="n">
        <f>SUM(P163:P165)</f>
      </c>
    </row>
    <row r="167" ht="28.0" customHeight="true">
      <c r="B167" s="10"/>
      <c r="C167" s="17"/>
      <c r="D167" s="17"/>
      <c r="E167" s="16" t="s">
        <v>74</v>
      </c>
      <c r="F167" s="37"/>
      <c r="G167" s="37"/>
      <c r="H167" s="13"/>
      <c r="I167" s="22"/>
      <c r="J167" s="22"/>
      <c r="K167" s="22"/>
      <c r="L167" s="22"/>
      <c r="M167" s="22"/>
      <c r="N167" s="22"/>
      <c r="O167" s="22"/>
      <c r="P167" s="22"/>
    </row>
    <row r="168" ht="28.0" customHeight="true">
      <c r="B168" s="10"/>
      <c r="C168" s="17"/>
      <c r="D168" s="17"/>
      <c r="E168" s="17"/>
      <c r="F168" s="7" t="s">
        <v>75</v>
      </c>
      <c r="G168" s="8"/>
      <c r="H168" s="9"/>
      <c r="I168" s="23"/>
      <c r="J168" s="23"/>
      <c r="K168" s="23"/>
      <c r="L168" s="23"/>
      <c r="M168" s="23"/>
      <c r="N168" s="23"/>
      <c r="O168" s="23"/>
      <c r="P168" s="23"/>
    </row>
    <row r="169" ht="42.0" customHeight="true">
      <c r="B169" s="10"/>
      <c r="C169" s="17"/>
      <c r="D169" s="17"/>
      <c r="E169" s="17"/>
      <c r="F169" s="10"/>
      <c r="G169" s="14" t="s">
        <v>76</v>
      </c>
      <c r="H169" s="13"/>
      <c r="I169" s="46" t="n"/>
      <c r="J169" s="46" t="n"/>
      <c r="K169" s="46" t="n"/>
      <c r="L169" s="46" t="n"/>
      <c r="M169" s="46" t="n"/>
      <c r="N169" s="46" t="n"/>
      <c r="O169" s="22"/>
      <c r="P169" s="46" t="n"/>
    </row>
    <row r="170">
      <c r="B170" s="10"/>
      <c r="C170" s="17"/>
      <c r="D170" s="17"/>
      <c r="E170" s="17"/>
      <c r="F170" s="10"/>
      <c r="G170" s="7" t="s">
        <v>77</v>
      </c>
      <c r="H170" s="9"/>
      <c r="I170" s="47" t="n"/>
      <c r="J170" s="47" t="n"/>
      <c r="K170" s="47" t="n"/>
      <c r="L170" s="47" t="n"/>
      <c r="M170" s="47" t="n"/>
      <c r="N170" s="47" t="n"/>
      <c r="O170" s="23"/>
      <c r="P170" s="47" t="n"/>
    </row>
    <row r="171">
      <c r="B171" s="10"/>
      <c r="C171" s="17"/>
      <c r="D171" s="17"/>
      <c r="E171" s="17"/>
      <c r="F171" s="10"/>
      <c r="G171" s="11"/>
      <c r="H171" s="19" t="s">
        <v>78</v>
      </c>
      <c r="I171" s="22"/>
      <c r="J171" s="22"/>
      <c r="K171" s="22"/>
      <c r="L171" s="46" t="n"/>
      <c r="M171" s="46" t="n"/>
      <c r="N171" s="46" t="n"/>
      <c r="O171" s="22"/>
      <c r="P171" s="46" t="n"/>
    </row>
    <row r="172" ht="28.0" customHeight="true">
      <c r="B172" s="10"/>
      <c r="C172" s="17"/>
      <c r="D172" s="17"/>
      <c r="E172" s="17"/>
      <c r="F172" s="10"/>
      <c r="G172" s="11" t="s">
        <v>79</v>
      </c>
      <c r="H172" s="9"/>
      <c r="I172" s="23"/>
      <c r="J172" s="23"/>
      <c r="K172" s="47" t="n"/>
      <c r="L172" s="23"/>
      <c r="M172" s="23"/>
      <c r="N172" s="23"/>
      <c r="O172" s="23"/>
      <c r="P172" s="47" t="n"/>
    </row>
    <row r="173" ht="28.0" customHeight="true">
      <c r="B173" s="10"/>
      <c r="C173" s="17"/>
      <c r="D173" s="17"/>
      <c r="E173" s="17"/>
      <c r="F173" s="11"/>
      <c r="G173" s="40" t="s">
        <v>80</v>
      </c>
      <c r="H173" s="39"/>
      <c r="I173" s="46" t="n">
        <f>I169+I170</f>
      </c>
      <c r="J173" s="46" t="n">
        <f>J169+J170</f>
      </c>
      <c r="K173" s="46" t="n">
        <f>K169+K170+K172</f>
      </c>
      <c r="L173" s="46" t="n">
        <f>L169+L170</f>
      </c>
      <c r="M173" s="46" t="n">
        <f>M169+M170</f>
      </c>
      <c r="N173" s="46" t="n">
        <f>N169+N170</f>
      </c>
      <c r="O173" s="46" t="n"/>
      <c r="P173" s="46" t="n">
        <f>P169+P170+P172</f>
      </c>
    </row>
    <row r="174">
      <c r="B174" s="10"/>
      <c r="C174" s="17"/>
      <c r="D174" s="17"/>
      <c r="E174" s="17"/>
      <c r="F174" s="11" t="s">
        <v>81</v>
      </c>
      <c r="G174" s="8"/>
      <c r="H174" s="9"/>
      <c r="I174" s="47" t="n"/>
      <c r="J174" s="47" t="n"/>
      <c r="K174" s="47" t="n"/>
      <c r="L174" s="47" t="n"/>
      <c r="M174" s="47" t="n"/>
      <c r="N174" s="47" t="n"/>
      <c r="O174" s="47" t="n"/>
      <c r="P174" s="47" t="n"/>
    </row>
    <row r="175">
      <c r="B175" s="10"/>
      <c r="C175" s="17"/>
      <c r="D175" s="17"/>
      <c r="E175" s="17"/>
      <c r="F175" s="14" t="s">
        <v>82</v>
      </c>
      <c r="G175" s="37"/>
      <c r="H175" s="13"/>
      <c r="I175" s="46" t="n"/>
      <c r="J175" s="46" t="n"/>
      <c r="K175" s="46" t="n"/>
      <c r="L175" s="46" t="n"/>
      <c r="M175" s="46" t="n"/>
      <c r="N175" s="46" t="n"/>
      <c r="O175" s="46" t="n"/>
      <c r="P175" s="46" t="n"/>
    </row>
    <row r="176">
      <c r="B176" s="10"/>
      <c r="C176" s="17"/>
      <c r="D176" s="17"/>
      <c r="E176" s="17"/>
      <c r="F176" s="11" t="s">
        <v>83</v>
      </c>
      <c r="G176" s="8"/>
      <c r="H176" s="9"/>
      <c r="I176" s="47" t="n"/>
      <c r="J176" s="47" t="n"/>
      <c r="K176" s="47" t="n"/>
      <c r="L176" s="47" t="n"/>
      <c r="M176" s="47" t="n"/>
      <c r="N176" s="47" t="n"/>
      <c r="O176" s="47" t="n"/>
      <c r="P176" s="47" t="n"/>
    </row>
    <row r="177" ht="28.0" customHeight="true">
      <c r="B177" s="10"/>
      <c r="C177" s="17"/>
      <c r="D177" s="17"/>
      <c r="E177" s="14"/>
      <c r="F177" s="40" t="s">
        <v>84</v>
      </c>
      <c r="G177" s="41"/>
      <c r="H177" s="39"/>
      <c r="I177" s="46" t="n">
        <f>SUM(I173:I176)</f>
      </c>
      <c r="J177" s="46" t="n">
        <f>SUM(J173:J176)</f>
      </c>
      <c r="K177" s="46" t="n">
        <f>SUM(K173:K176)</f>
      </c>
      <c r="L177" s="46" t="n">
        <f>SUM(L173:L176)</f>
      </c>
      <c r="M177" s="46" t="n">
        <f>SUM(M173:M176)</f>
      </c>
      <c r="N177" s="46" t="n">
        <f>SUM(N173:N176)</f>
      </c>
      <c r="O177" s="46" t="n">
        <f>SUM(O173:O176)</f>
      </c>
      <c r="P177" s="46" t="n">
        <f>SUM(P173:P176)</f>
      </c>
    </row>
    <row r="178">
      <c r="B178" s="10"/>
      <c r="C178" s="17"/>
      <c r="D178" s="17"/>
      <c r="E178" s="11" t="s">
        <v>85</v>
      </c>
      <c r="F178" s="8"/>
      <c r="G178" s="8"/>
      <c r="H178" s="9"/>
      <c r="I178" s="47" t="n"/>
      <c r="J178" s="47" t="n"/>
      <c r="K178" s="47" t="n"/>
      <c r="L178" s="47" t="n"/>
      <c r="M178" s="47" t="n"/>
      <c r="N178" s="47" t="n"/>
      <c r="O178" s="47" t="n"/>
      <c r="P178" s="47" t="n"/>
    </row>
    <row r="179">
      <c r="B179" s="10"/>
      <c r="C179" s="17"/>
      <c r="D179" s="17"/>
      <c r="E179" s="14" t="s">
        <v>86</v>
      </c>
      <c r="F179" s="37"/>
      <c r="G179" s="37"/>
      <c r="H179" s="13"/>
      <c r="I179" s="46" t="n"/>
      <c r="J179" s="46" t="n"/>
      <c r="K179" s="46" t="n"/>
      <c r="L179" s="46" t="n"/>
      <c r="M179" s="46" t="n"/>
      <c r="N179" s="46" t="n"/>
      <c r="O179" s="46" t="n"/>
      <c r="P179" s="46" t="n"/>
    </row>
    <row r="180">
      <c r="B180" s="10"/>
      <c r="C180" s="17"/>
      <c r="D180" s="17"/>
      <c r="E180" s="7" t="s">
        <v>87</v>
      </c>
      <c r="F180" s="8"/>
      <c r="G180" s="8"/>
      <c r="H180" s="9"/>
      <c r="I180" s="23"/>
      <c r="J180" s="23"/>
      <c r="K180" s="23"/>
      <c r="L180" s="23"/>
      <c r="M180" s="23"/>
      <c r="N180" s="23"/>
      <c r="O180" s="23"/>
      <c r="P180" s="23"/>
    </row>
    <row r="181">
      <c r="B181" s="10"/>
      <c r="C181" s="17"/>
      <c r="D181" s="17"/>
      <c r="E181" s="10"/>
      <c r="F181" s="14" t="s">
        <v>88</v>
      </c>
      <c r="G181" s="37"/>
      <c r="H181" s="13"/>
      <c r="I181" s="46" t="n"/>
      <c r="J181" s="46" t="n"/>
      <c r="K181" s="46" t="n"/>
      <c r="L181" s="46" t="n"/>
      <c r="M181" s="46" t="n"/>
      <c r="N181" s="46" t="n"/>
      <c r="O181" s="46" t="n"/>
      <c r="P181" s="46" t="n"/>
    </row>
    <row r="182">
      <c r="B182" s="10"/>
      <c r="C182" s="17"/>
      <c r="D182" s="17"/>
      <c r="E182" s="10"/>
      <c r="F182" s="11" t="s">
        <v>89</v>
      </c>
      <c r="G182" s="8"/>
      <c r="H182" s="9"/>
      <c r="I182" s="47" t="n"/>
      <c r="J182" s="47" t="n"/>
      <c r="K182" s="47" t="n"/>
      <c r="L182" s="47" t="n"/>
      <c r="M182" s="47" t="n"/>
      <c r="N182" s="47" t="n"/>
      <c r="O182" s="47" t="n"/>
      <c r="P182" s="47" t="n"/>
    </row>
    <row r="183">
      <c r="B183" s="10"/>
      <c r="C183" s="17"/>
      <c r="D183" s="17"/>
      <c r="E183" s="10"/>
      <c r="F183" s="14" t="s">
        <v>90</v>
      </c>
      <c r="G183" s="37"/>
      <c r="H183" s="13"/>
      <c r="I183" s="46" t="n"/>
      <c r="J183" s="46" t="n"/>
      <c r="K183" s="46" t="n"/>
      <c r="L183" s="46" t="n"/>
      <c r="M183" s="46" t="n"/>
      <c r="N183" s="46" t="n"/>
      <c r="O183" s="46" t="n"/>
      <c r="P183" s="46" t="n"/>
    </row>
    <row r="184">
      <c r="B184" s="10"/>
      <c r="C184" s="17"/>
      <c r="D184" s="17"/>
      <c r="E184" s="10"/>
      <c r="F184" s="11" t="s">
        <v>91</v>
      </c>
      <c r="G184" s="8"/>
      <c r="H184" s="9"/>
      <c r="I184" s="47" t="n"/>
      <c r="J184" s="47" t="n"/>
      <c r="K184" s="47" t="n"/>
      <c r="L184" s="47" t="n"/>
      <c r="M184" s="47" t="n"/>
      <c r="N184" s="47" t="n"/>
      <c r="O184" s="47" t="n"/>
      <c r="P184" s="47" t="n"/>
    </row>
    <row r="185">
      <c r="B185" s="10"/>
      <c r="C185" s="17"/>
      <c r="D185" s="17"/>
      <c r="E185" s="10"/>
      <c r="F185" s="14" t="s">
        <v>92</v>
      </c>
      <c r="G185" s="37"/>
      <c r="H185" s="13"/>
      <c r="I185" s="46" t="n"/>
      <c r="J185" s="46" t="n"/>
      <c r="K185" s="46" t="n"/>
      <c r="L185" s="46" t="n"/>
      <c r="M185" s="46" t="n"/>
      <c r="N185" s="46" t="n"/>
      <c r="O185" s="46" t="n"/>
      <c r="P185" s="46" t="n"/>
    </row>
    <row r="186">
      <c r="B186" s="10"/>
      <c r="C186" s="17"/>
      <c r="D186" s="17"/>
      <c r="E186" s="10"/>
      <c r="F186" s="11" t="s">
        <v>93</v>
      </c>
      <c r="G186" s="8"/>
      <c r="H186" s="9"/>
      <c r="I186" s="47" t="n"/>
      <c r="J186" s="47" t="n"/>
      <c r="K186" s="47" t="n"/>
      <c r="L186" s="47" t="n"/>
      <c r="M186" s="47" t="n"/>
      <c r="N186" s="47" t="n"/>
      <c r="O186" s="47" t="n"/>
      <c r="P186" s="47" t="n"/>
    </row>
    <row r="187">
      <c r="B187" s="10"/>
      <c r="C187" s="17"/>
      <c r="D187" s="17"/>
      <c r="E187" s="10"/>
      <c r="F187" s="14" t="s">
        <v>94</v>
      </c>
      <c r="G187" s="37"/>
      <c r="H187" s="13"/>
      <c r="I187" s="46" t="n"/>
      <c r="J187" s="46" t="n"/>
      <c r="K187" s="46" t="n"/>
      <c r="L187" s="46" t="n"/>
      <c r="M187" s="46" t="n"/>
      <c r="N187" s="46" t="n"/>
      <c r="O187" s="46" t="n"/>
      <c r="P187" s="46" t="n"/>
    </row>
    <row r="188">
      <c r="B188" s="10"/>
      <c r="C188" s="17"/>
      <c r="D188" s="17"/>
      <c r="E188" s="11"/>
      <c r="F188" s="45" t="s">
        <v>95</v>
      </c>
      <c r="G188" s="43"/>
      <c r="H188" s="44"/>
      <c r="I188" s="47" t="n">
        <f>SUM(I181:I187)</f>
      </c>
      <c r="J188" s="47" t="n">
        <f>SUM(J181:J187)</f>
      </c>
      <c r="K188" s="47" t="n">
        <f>SUM(K181:K187)</f>
      </c>
      <c r="L188" s="47" t="n">
        <f>SUM(L181:L187)</f>
      </c>
      <c r="M188" s="47" t="n">
        <f>SUM(M181:M187)</f>
      </c>
      <c r="N188" s="47" t="n">
        <f>SUM(N181:N187)</f>
      </c>
      <c r="O188" s="47" t="n">
        <f>SUM(O181:O187)</f>
      </c>
      <c r="P188" s="47" t="n">
        <f>SUM(P181:P187)</f>
      </c>
    </row>
    <row r="189">
      <c r="B189" s="10"/>
      <c r="C189" s="17"/>
      <c r="D189" s="14"/>
      <c r="E189" s="40" t="s">
        <v>96</v>
      </c>
      <c r="F189" s="41"/>
      <c r="G189" s="41"/>
      <c r="H189" s="39"/>
      <c r="I189" s="46" t="n">
        <f>I160+I161+I166+SUM(I177:I179)+I188</f>
      </c>
      <c r="J189" s="46" t="n">
        <f>J160+J161+J166+SUM(J177:J179)+J188</f>
      </c>
      <c r="K189" s="46" t="n">
        <f>K160+K161+K166+SUM(K177:K179)+K188</f>
      </c>
      <c r="L189" s="46" t="n">
        <f>L160+L161+L166+SUM(L177:L179)+L188</f>
      </c>
      <c r="M189" s="46" t="n">
        <f>M160+M161+M166+SUM(M177:M179)+M188</f>
      </c>
      <c r="N189" s="46" t="n">
        <f>N160+N161+N166+SUM(N177:N179)+N188</f>
      </c>
      <c r="O189" s="46" t="n">
        <f>O160+O161+O166+SUM(O177:O179)+O188</f>
      </c>
      <c r="P189" s="46" t="n">
        <f>P160+P161+P166+SUM(P177:P179)+P188</f>
      </c>
    </row>
    <row r="190">
      <c r="B190" s="10"/>
      <c r="C190" s="14"/>
      <c r="D190" s="45" t="s">
        <v>97</v>
      </c>
      <c r="E190" s="43"/>
      <c r="F190" s="43"/>
      <c r="G190" s="43"/>
      <c r="H190" s="44"/>
      <c r="I190" s="47" t="n">
        <f>I189+I158</f>
      </c>
      <c r="J190" s="47" t="n">
        <f>J189+J158</f>
      </c>
      <c r="K190" s="47" t="n">
        <f>K189+K158</f>
      </c>
      <c r="L190" s="47" t="n">
        <f>L189+L158</f>
      </c>
      <c r="M190" s="47" t="n">
        <f>M189+M158</f>
      </c>
      <c r="N190" s="47" t="n">
        <f>N189+N158</f>
      </c>
      <c r="O190" s="47" t="n">
        <f>O189+O158</f>
      </c>
      <c r="P190" s="47" t="n">
        <f>P189+P158</f>
      </c>
    </row>
    <row r="191">
      <c r="B191" s="10"/>
      <c r="C191" s="16" t="s">
        <v>98</v>
      </c>
      <c r="D191" s="37"/>
      <c r="E191" s="37"/>
      <c r="F191" s="37"/>
      <c r="G191" s="37"/>
      <c r="H191" s="13"/>
      <c r="I191" s="22"/>
      <c r="J191" s="22"/>
      <c r="K191" s="22"/>
      <c r="L191" s="22"/>
      <c r="M191" s="22"/>
      <c r="N191" s="22"/>
      <c r="O191" s="22"/>
      <c r="P191" s="22"/>
    </row>
    <row r="192">
      <c r="B192" s="10"/>
      <c r="C192" s="17"/>
      <c r="D192" s="7" t="s">
        <v>99</v>
      </c>
      <c r="E192" s="8"/>
      <c r="F192" s="8"/>
      <c r="G192" s="8"/>
      <c r="H192" s="9"/>
      <c r="I192" s="23"/>
      <c r="J192" s="23"/>
      <c r="K192" s="23"/>
      <c r="L192" s="23"/>
      <c r="M192" s="23"/>
      <c r="N192" s="23"/>
      <c r="O192" s="23"/>
      <c r="P192" s="23"/>
    </row>
    <row r="193">
      <c r="B193" s="10"/>
      <c r="C193" s="17"/>
      <c r="D193" s="10"/>
      <c r="E193" s="16" t="s">
        <v>100</v>
      </c>
      <c r="F193" s="37"/>
      <c r="G193" s="37"/>
      <c r="H193" s="13"/>
      <c r="I193" s="22"/>
      <c r="J193" s="22"/>
      <c r="K193" s="22"/>
      <c r="L193" s="22"/>
      <c r="M193" s="22"/>
      <c r="N193" s="22"/>
      <c r="O193" s="22"/>
      <c r="P193" s="22"/>
    </row>
    <row r="194">
      <c r="B194" s="10"/>
      <c r="C194" s="17"/>
      <c r="D194" s="10"/>
      <c r="E194" s="17"/>
      <c r="F194" s="7" t="s">
        <v>101</v>
      </c>
      <c r="G194" s="8"/>
      <c r="H194" s="9"/>
      <c r="I194" s="23"/>
      <c r="J194" s="23"/>
      <c r="K194" s="23"/>
      <c r="L194" s="23"/>
      <c r="M194" s="23"/>
      <c r="N194" s="23"/>
      <c r="O194" s="23"/>
      <c r="P194" s="23"/>
    </row>
    <row r="195">
      <c r="B195" s="10"/>
      <c r="C195" s="17"/>
      <c r="D195" s="10"/>
      <c r="E195" s="17"/>
      <c r="F195" s="10"/>
      <c r="G195" s="14" t="s">
        <v>102</v>
      </c>
      <c r="H195" s="13"/>
      <c r="I195" s="46" t="n"/>
      <c r="J195" s="46" t="n"/>
      <c r="K195" s="46" t="n"/>
      <c r="L195" s="46" t="n"/>
      <c r="M195" s="46" t="n"/>
      <c r="N195" s="46" t="n"/>
      <c r="O195" s="46" t="n"/>
      <c r="P195" s="46" t="n"/>
    </row>
    <row r="196">
      <c r="B196" s="10"/>
      <c r="C196" s="17"/>
      <c r="D196" s="10"/>
      <c r="E196" s="17"/>
      <c r="F196" s="10"/>
      <c r="G196" s="11" t="s">
        <v>103</v>
      </c>
      <c r="H196" s="9"/>
      <c r="I196" s="47" t="n"/>
      <c r="J196" s="47" t="n"/>
      <c r="K196" s="47" t="n"/>
      <c r="L196" s="47" t="n"/>
      <c r="M196" s="47" t="n"/>
      <c r="N196" s="47" t="n"/>
      <c r="O196" s="47" t="n"/>
      <c r="P196" s="47" t="n"/>
    </row>
    <row r="197">
      <c r="B197" s="10"/>
      <c r="C197" s="17"/>
      <c r="D197" s="10"/>
      <c r="E197" s="17"/>
      <c r="F197" s="11"/>
      <c r="G197" s="40" t="s">
        <v>104</v>
      </c>
      <c r="H197" s="39"/>
      <c r="I197" s="46" t="n">
        <f>I195+I196</f>
      </c>
      <c r="J197" s="46" t="n">
        <f>J195+J196</f>
      </c>
      <c r="K197" s="46" t="n">
        <f>K195+K196</f>
      </c>
      <c r="L197" s="46" t="n">
        <f>L195+L196</f>
      </c>
      <c r="M197" s="46" t="n">
        <f>M195+M196</f>
      </c>
      <c r="N197" s="46" t="n">
        <f>N195+N196</f>
      </c>
      <c r="O197" s="46" t="n">
        <f>O195+O196</f>
      </c>
      <c r="P197" s="46" t="n">
        <f>P195+P196</f>
      </c>
    </row>
    <row r="198" ht="28.0" customHeight="true">
      <c r="B198" s="10"/>
      <c r="C198" s="17"/>
      <c r="D198" s="10"/>
      <c r="E198" s="17"/>
      <c r="F198" s="7" t="s">
        <v>105</v>
      </c>
      <c r="G198" s="8"/>
      <c r="H198" s="9"/>
      <c r="I198" s="23"/>
      <c r="J198" s="23"/>
      <c r="K198" s="23"/>
      <c r="L198" s="23"/>
      <c r="M198" s="23"/>
      <c r="N198" s="23"/>
      <c r="O198" s="23"/>
      <c r="P198" s="23"/>
    </row>
    <row r="199">
      <c r="B199" s="10"/>
      <c r="C199" s="17"/>
      <c r="D199" s="10"/>
      <c r="E199" s="17"/>
      <c r="F199" s="10"/>
      <c r="G199" s="14" t="s">
        <v>106</v>
      </c>
      <c r="H199" s="13"/>
      <c r="I199" s="46" t="n"/>
      <c r="J199" s="46" t="n"/>
      <c r="K199" s="46" t="n"/>
      <c r="L199" s="46" t="n"/>
      <c r="M199" s="46" t="n"/>
      <c r="N199" s="46" t="n"/>
      <c r="O199" s="46" t="n"/>
      <c r="P199" s="46" t="n"/>
    </row>
    <row r="200">
      <c r="B200" s="10"/>
      <c r="C200" s="17"/>
      <c r="D200" s="10"/>
      <c r="E200" s="17"/>
      <c r="F200" s="10"/>
      <c r="G200" s="11" t="s">
        <v>107</v>
      </c>
      <c r="H200" s="9"/>
      <c r="I200" s="47" t="n"/>
      <c r="J200" s="47" t="n"/>
      <c r="K200" s="47" t="n"/>
      <c r="L200" s="47" t="n"/>
      <c r="M200" s="47" t="n"/>
      <c r="N200" s="47" t="n"/>
      <c r="O200" s="47" t="n"/>
      <c r="P200" s="47" t="n"/>
    </row>
    <row r="201">
      <c r="B201" s="10"/>
      <c r="C201" s="17"/>
      <c r="D201" s="10"/>
      <c r="E201" s="17"/>
      <c r="F201" s="10"/>
      <c r="G201" s="14" t="s">
        <v>108</v>
      </c>
      <c r="H201" s="13"/>
      <c r="I201" s="46" t="n"/>
      <c r="J201" s="46" t="n"/>
      <c r="K201" s="46" t="n"/>
      <c r="L201" s="46" t="n"/>
      <c r="M201" s="46" t="n"/>
      <c r="N201" s="46" t="n"/>
      <c r="O201" s="46" t="n"/>
      <c r="P201" s="46" t="n"/>
    </row>
    <row r="202">
      <c r="B202" s="10"/>
      <c r="C202" s="17"/>
      <c r="D202" s="10"/>
      <c r="E202" s="17"/>
      <c r="F202" s="10"/>
      <c r="G202" s="11" t="s">
        <v>109</v>
      </c>
      <c r="H202" s="9"/>
      <c r="I202" s="47" t="n"/>
      <c r="J202" s="47" t="n"/>
      <c r="K202" s="47" t="n"/>
      <c r="L202" s="47" t="n"/>
      <c r="M202" s="47" t="n"/>
      <c r="N202" s="47" t="n"/>
      <c r="O202" s="47" t="n"/>
      <c r="P202" s="47" t="n"/>
    </row>
    <row r="203" ht="28.0" customHeight="true">
      <c r="B203" s="10"/>
      <c r="C203" s="17"/>
      <c r="D203" s="10"/>
      <c r="E203" s="17"/>
      <c r="F203" s="11"/>
      <c r="G203" s="40" t="s">
        <v>110</v>
      </c>
      <c r="H203" s="39"/>
      <c r="I203" s="46" t="n">
        <f>SUM(I199:I202)</f>
      </c>
      <c r="J203" s="46" t="n">
        <f>SUM(J199:J202)</f>
      </c>
      <c r="K203" s="46" t="n">
        <f>SUM(K199:K202)</f>
      </c>
      <c r="L203" s="46" t="n">
        <f>SUM(L199:L202)</f>
      </c>
      <c r="M203" s="46" t="n">
        <f>SUM(M199:M202)</f>
      </c>
      <c r="N203" s="46" t="n">
        <f>SUM(N199:N202)</f>
      </c>
      <c r="O203" s="46" t="n">
        <f>SUM(O199:O202)</f>
      </c>
      <c r="P203" s="46" t="n">
        <f>SUM(P199:P202)</f>
      </c>
    </row>
    <row r="204">
      <c r="B204" s="10"/>
      <c r="C204" s="17"/>
      <c r="D204" s="10"/>
      <c r="E204" s="17"/>
      <c r="F204" s="11" t="s">
        <v>111</v>
      </c>
      <c r="G204" s="8"/>
      <c r="H204" s="9"/>
      <c r="I204" s="47" t="n"/>
      <c r="J204" s="47" t="n"/>
      <c r="K204" s="47" t="n"/>
      <c r="L204" s="47" t="n"/>
      <c r="M204" s="47" t="n"/>
      <c r="N204" s="47" t="n"/>
      <c r="O204" s="47" t="n"/>
      <c r="P204" s="47" t="n"/>
    </row>
    <row r="205">
      <c r="B205" s="10"/>
      <c r="C205" s="17"/>
      <c r="D205" s="10"/>
      <c r="E205" s="17"/>
      <c r="F205" s="14" t="s">
        <v>112</v>
      </c>
      <c r="G205" s="37"/>
      <c r="H205" s="13"/>
      <c r="I205" s="46" t="n"/>
      <c r="J205" s="46" t="n"/>
      <c r="K205" s="46" t="n"/>
      <c r="L205" s="46" t="n"/>
      <c r="M205" s="46" t="n"/>
      <c r="N205" s="46" t="n"/>
      <c r="O205" s="46" t="n"/>
      <c r="P205" s="46" t="n"/>
    </row>
    <row r="206">
      <c r="B206" s="10"/>
      <c r="C206" s="17"/>
      <c r="D206" s="10"/>
      <c r="E206" s="17"/>
      <c r="F206" s="11" t="s">
        <v>113</v>
      </c>
      <c r="G206" s="8"/>
      <c r="H206" s="9"/>
      <c r="I206" s="47" t="n"/>
      <c r="J206" s="47" t="n"/>
      <c r="K206" s="47" t="n"/>
      <c r="L206" s="47" t="n"/>
      <c r="M206" s="47" t="n"/>
      <c r="N206" s="47" t="n"/>
      <c r="O206" s="47" t="n"/>
      <c r="P206" s="47" t="n"/>
    </row>
    <row r="207">
      <c r="B207" s="10"/>
      <c r="C207" s="17"/>
      <c r="D207" s="10"/>
      <c r="E207" s="17"/>
      <c r="F207" s="16" t="s">
        <v>114</v>
      </c>
      <c r="G207" s="37"/>
      <c r="H207" s="13"/>
      <c r="I207" s="22"/>
      <c r="J207" s="22"/>
      <c r="K207" s="22"/>
      <c r="L207" s="22"/>
      <c r="M207" s="22"/>
      <c r="N207" s="22"/>
      <c r="O207" s="22"/>
      <c r="P207" s="22"/>
    </row>
    <row r="208">
      <c r="B208" s="10"/>
      <c r="C208" s="17"/>
      <c r="D208" s="10"/>
      <c r="E208" s="17"/>
      <c r="F208" s="17"/>
      <c r="G208" s="11" t="s">
        <v>115</v>
      </c>
      <c r="H208" s="9"/>
      <c r="I208" s="47" t="n"/>
      <c r="J208" s="47" t="n"/>
      <c r="K208" s="47" t="n"/>
      <c r="L208" s="47" t="n"/>
      <c r="M208" s="47" t="n"/>
      <c r="N208" s="47" t="n"/>
      <c r="O208" s="47" t="n"/>
      <c r="P208" s="47" t="n"/>
    </row>
    <row r="209">
      <c r="B209" s="10"/>
      <c r="C209" s="17"/>
      <c r="D209" s="10"/>
      <c r="E209" s="17"/>
      <c r="F209" s="17"/>
      <c r="G209" s="14" t="s">
        <v>116</v>
      </c>
      <c r="H209" s="13"/>
      <c r="I209" s="46" t="n"/>
      <c r="J209" s="46" t="n"/>
      <c r="K209" s="46" t="n"/>
      <c r="L209" s="46" t="n"/>
      <c r="M209" s="46" t="n"/>
      <c r="N209" s="46" t="n"/>
      <c r="O209" s="46" t="n"/>
      <c r="P209" s="46" t="n"/>
    </row>
    <row r="210">
      <c r="B210" s="10"/>
      <c r="C210" s="17"/>
      <c r="D210" s="10"/>
      <c r="E210" s="17"/>
      <c r="F210" s="17"/>
      <c r="G210" s="11" t="s">
        <v>117</v>
      </c>
      <c r="H210" s="9"/>
      <c r="I210" s="47" t="n"/>
      <c r="J210" s="47" t="n"/>
      <c r="K210" s="47" t="n"/>
      <c r="L210" s="47" t="n"/>
      <c r="M210" s="47" t="n"/>
      <c r="N210" s="47" t="n"/>
      <c r="O210" s="47" t="n"/>
      <c r="P210" s="47" t="n"/>
    </row>
    <row r="211">
      <c r="B211" s="10"/>
      <c r="C211" s="17"/>
      <c r="D211" s="10"/>
      <c r="E211" s="17"/>
      <c r="F211" s="14"/>
      <c r="G211" s="40" t="s">
        <v>118</v>
      </c>
      <c r="H211" s="39"/>
      <c r="I211" s="46" t="n">
        <f>SUM(I208:I210)</f>
      </c>
      <c r="J211" s="46" t="n">
        <f>SUM(J208:J210)</f>
      </c>
      <c r="K211" s="46" t="n">
        <f>SUM(K208:K210)</f>
      </c>
      <c r="L211" s="46" t="n">
        <f>SUM(L208:L210)</f>
      </c>
      <c r="M211" s="46" t="n">
        <f>SUM(M208:M210)</f>
      </c>
      <c r="N211" s="46" t="n">
        <f>SUM(N208:N210)</f>
      </c>
      <c r="O211" s="46" t="n">
        <f>SUM(O208:O210)</f>
      </c>
      <c r="P211" s="46" t="n">
        <f>SUM(P208:P210)</f>
      </c>
    </row>
    <row r="212">
      <c r="B212" s="10"/>
      <c r="C212" s="17"/>
      <c r="D212" s="10"/>
      <c r="E212" s="17"/>
      <c r="F212" s="11" t="s">
        <v>119</v>
      </c>
      <c r="G212" s="8"/>
      <c r="H212" s="9"/>
      <c r="I212" s="47" t="n"/>
      <c r="J212" s="47" t="n"/>
      <c r="K212" s="47" t="n"/>
      <c r="L212" s="47" t="n"/>
      <c r="M212" s="47" t="n"/>
      <c r="N212" s="47" t="n"/>
      <c r="O212" s="47" t="n"/>
      <c r="P212" s="47" t="n"/>
    </row>
    <row r="213">
      <c r="B213" s="10"/>
      <c r="C213" s="17"/>
      <c r="D213" s="10"/>
      <c r="E213" s="17"/>
      <c r="F213" s="14" t="s">
        <v>120</v>
      </c>
      <c r="G213" s="37"/>
      <c r="H213" s="13"/>
      <c r="I213" s="46" t="n"/>
      <c r="J213" s="46" t="n"/>
      <c r="K213" s="46" t="n"/>
      <c r="L213" s="46" t="n"/>
      <c r="M213" s="46" t="n"/>
      <c r="N213" s="46" t="n"/>
      <c r="O213" s="46" t="n"/>
      <c r="P213" s="46" t="n"/>
    </row>
    <row r="214">
      <c r="B214" s="10"/>
      <c r="C214" s="17"/>
      <c r="D214" s="10"/>
      <c r="E214" s="14"/>
      <c r="F214" s="45" t="s">
        <v>121</v>
      </c>
      <c r="G214" s="43"/>
      <c r="H214" s="44"/>
      <c r="I214" s="47" t="n">
        <f>I197+SUM(I203:I206)+SUM(I211:I213)</f>
      </c>
      <c r="J214" s="47" t="n">
        <f>J197+SUM(J203:J206)+SUM(J211:J213)</f>
      </c>
      <c r="K214" s="47" t="n">
        <f>K197+SUM(K203:K206)+SUM(K211:K213)</f>
      </c>
      <c r="L214" s="47" t="n">
        <f>L197+SUM(L203:L206)+SUM(L211:L213)</f>
      </c>
      <c r="M214" s="47" t="n">
        <f>M197+SUM(M203:M206)+SUM(M211:M213)</f>
      </c>
      <c r="N214" s="47" t="n">
        <f>N197+SUM(N203:N206)+SUM(N211:N213)</f>
      </c>
      <c r="O214" s="47" t="n">
        <f>O197+SUM(O203:O206)+SUM(O211:O213)</f>
      </c>
      <c r="P214" s="47" t="n">
        <f>P197+SUM(P203:P206)+SUM(P211:P213)</f>
      </c>
    </row>
    <row r="215">
      <c r="B215" s="10"/>
      <c r="C215" s="17"/>
      <c r="D215" s="10"/>
      <c r="E215" s="16" t="s">
        <v>122</v>
      </c>
      <c r="F215" s="37"/>
      <c r="G215" s="37"/>
      <c r="H215" s="13"/>
      <c r="I215" s="22"/>
      <c r="J215" s="22"/>
      <c r="K215" s="22"/>
      <c r="L215" s="22"/>
      <c r="M215" s="22"/>
      <c r="N215" s="22"/>
      <c r="O215" s="22"/>
      <c r="P215" s="22"/>
    </row>
    <row r="216">
      <c r="B216" s="10"/>
      <c r="C216" s="17"/>
      <c r="D216" s="10"/>
      <c r="E216" s="17"/>
      <c r="F216" s="7" t="s">
        <v>123</v>
      </c>
      <c r="G216" s="8"/>
      <c r="H216" s="9"/>
      <c r="I216" s="23"/>
      <c r="J216" s="23"/>
      <c r="K216" s="23"/>
      <c r="L216" s="23"/>
      <c r="M216" s="23"/>
      <c r="N216" s="23"/>
      <c r="O216" s="23"/>
      <c r="P216" s="23"/>
    </row>
    <row r="217">
      <c r="B217" s="10"/>
      <c r="C217" s="17"/>
      <c r="D217" s="10"/>
      <c r="E217" s="17"/>
      <c r="F217" s="10"/>
      <c r="G217" s="14" t="s">
        <v>124</v>
      </c>
      <c r="H217" s="13"/>
      <c r="I217" s="46" t="n"/>
      <c r="J217" s="46" t="n"/>
      <c r="K217" s="46" t="n"/>
      <c r="L217" s="46" t="n"/>
      <c r="M217" s="46" t="n"/>
      <c r="N217" s="46" t="n"/>
      <c r="O217" s="46" t="n"/>
      <c r="P217" s="46" t="n"/>
    </row>
    <row r="218">
      <c r="B218" s="10"/>
      <c r="C218" s="17"/>
      <c r="D218" s="10"/>
      <c r="E218" s="17"/>
      <c r="F218" s="10"/>
      <c r="G218" s="11" t="s">
        <v>125</v>
      </c>
      <c r="H218" s="9"/>
      <c r="I218" s="47" t="n"/>
      <c r="J218" s="47" t="n"/>
      <c r="K218" s="47" t="n"/>
      <c r="L218" s="47" t="n"/>
      <c r="M218" s="47" t="n"/>
      <c r="N218" s="47" t="n"/>
      <c r="O218" s="47" t="n"/>
      <c r="P218" s="47" t="n"/>
    </row>
    <row r="219">
      <c r="B219" s="10"/>
      <c r="C219" s="17"/>
      <c r="D219" s="10"/>
      <c r="E219" s="17"/>
      <c r="F219" s="11"/>
      <c r="G219" s="40" t="s">
        <v>126</v>
      </c>
      <c r="H219" s="39"/>
      <c r="I219" s="46" t="n">
        <f>I217+I218</f>
      </c>
      <c r="J219" s="46" t="n">
        <f>J217+J218</f>
      </c>
      <c r="K219" s="46" t="n">
        <f>K217+K218</f>
      </c>
      <c r="L219" s="46" t="n">
        <f>L217+L218</f>
      </c>
      <c r="M219" s="46" t="n">
        <f>M217+M218</f>
      </c>
      <c r="N219" s="46" t="n">
        <f>N217+N218</f>
      </c>
      <c r="O219" s="46" t="n">
        <f>O217+O218</f>
      </c>
      <c r="P219" s="46" t="n">
        <f>P217+P218</f>
      </c>
    </row>
    <row r="220" ht="28.0" customHeight="true">
      <c r="B220" s="10"/>
      <c r="C220" s="17"/>
      <c r="D220" s="10"/>
      <c r="E220" s="17"/>
      <c r="F220" s="7" t="s">
        <v>127</v>
      </c>
      <c r="G220" s="8"/>
      <c r="H220" s="9"/>
      <c r="I220" s="23"/>
      <c r="J220" s="23"/>
      <c r="K220" s="23"/>
      <c r="L220" s="23"/>
      <c r="M220" s="23"/>
      <c r="N220" s="23"/>
      <c r="O220" s="23"/>
      <c r="P220" s="23"/>
    </row>
    <row r="221">
      <c r="B221" s="10"/>
      <c r="C221" s="17"/>
      <c r="D221" s="10"/>
      <c r="E221" s="17"/>
      <c r="F221" s="10"/>
      <c r="G221" s="14" t="s">
        <v>128</v>
      </c>
      <c r="H221" s="13"/>
      <c r="I221" s="46" t="n"/>
      <c r="J221" s="46" t="n"/>
      <c r="K221" s="46" t="n"/>
      <c r="L221" s="46" t="n"/>
      <c r="M221" s="46" t="n"/>
      <c r="N221" s="46" t="n"/>
      <c r="O221" s="46" t="n"/>
      <c r="P221" s="46" t="n"/>
    </row>
    <row r="222" ht="28.0" customHeight="true">
      <c r="B222" s="10"/>
      <c r="C222" s="17"/>
      <c r="D222" s="10"/>
      <c r="E222" s="17"/>
      <c r="F222" s="10"/>
      <c r="G222" s="11" t="s">
        <v>129</v>
      </c>
      <c r="H222" s="9"/>
      <c r="I222" s="47" t="n"/>
      <c r="J222" s="47" t="n"/>
      <c r="K222" s="47" t="n"/>
      <c r="L222" s="47" t="n"/>
      <c r="M222" s="47" t="n"/>
      <c r="N222" s="47" t="n"/>
      <c r="O222" s="47" t="n"/>
      <c r="P222" s="47" t="n"/>
    </row>
    <row r="223">
      <c r="B223" s="10"/>
      <c r="C223" s="17"/>
      <c r="D223" s="10"/>
      <c r="E223" s="17"/>
      <c r="F223" s="10"/>
      <c r="G223" s="14" t="s">
        <v>130</v>
      </c>
      <c r="H223" s="13"/>
      <c r="I223" s="46" t="n"/>
      <c r="J223" s="46" t="n"/>
      <c r="K223" s="46" t="n"/>
      <c r="L223" s="46" t="n"/>
      <c r="M223" s="46" t="n"/>
      <c r="N223" s="46" t="n"/>
      <c r="O223" s="46" t="n"/>
      <c r="P223" s="46" t="n"/>
    </row>
    <row r="224">
      <c r="B224" s="10"/>
      <c r="C224" s="17"/>
      <c r="D224" s="10"/>
      <c r="E224" s="17"/>
      <c r="F224" s="10"/>
      <c r="G224" s="11" t="s">
        <v>131</v>
      </c>
      <c r="H224" s="9"/>
      <c r="I224" s="47" t="n"/>
      <c r="J224" s="47" t="n"/>
      <c r="K224" s="47" t="n"/>
      <c r="L224" s="47" t="n"/>
      <c r="M224" s="47" t="n"/>
      <c r="N224" s="47" t="n"/>
      <c r="O224" s="47" t="n"/>
      <c r="P224" s="47" t="n"/>
    </row>
    <row r="225" ht="28.0" customHeight="true">
      <c r="B225" s="10"/>
      <c r="C225" s="17"/>
      <c r="D225" s="10"/>
      <c r="E225" s="17"/>
      <c r="F225" s="11"/>
      <c r="G225" s="40" t="s">
        <v>132</v>
      </c>
      <c r="H225" s="39"/>
      <c r="I225" s="46" t="n">
        <f>SUM(I221:I224)</f>
      </c>
      <c r="J225" s="46" t="n">
        <f>SUM(J221:J224)</f>
      </c>
      <c r="K225" s="46" t="n">
        <f>SUM(K221:K224)</f>
      </c>
      <c r="L225" s="46" t="n">
        <f>SUM(L221:L224)</f>
      </c>
      <c r="M225" s="46" t="n">
        <f>SUM(M221:M224)</f>
      </c>
      <c r="N225" s="46" t="n">
        <f>SUM(N221:N224)</f>
      </c>
      <c r="O225" s="46" t="n">
        <f>SUM(O221:O224)</f>
      </c>
      <c r="P225" s="46" t="n">
        <f>SUM(P221:P224)</f>
      </c>
    </row>
    <row r="226">
      <c r="B226" s="10"/>
      <c r="C226" s="17"/>
      <c r="D226" s="10"/>
      <c r="E226" s="17"/>
      <c r="F226" s="11" t="s">
        <v>133</v>
      </c>
      <c r="G226" s="8"/>
      <c r="H226" s="9"/>
      <c r="I226" s="47" t="n"/>
      <c r="J226" s="47" t="n"/>
      <c r="K226" s="47" t="n"/>
      <c r="L226" s="47" t="n"/>
      <c r="M226" s="47" t="n"/>
      <c r="N226" s="47" t="n"/>
      <c r="O226" s="47" t="n"/>
      <c r="P226" s="47" t="n"/>
    </row>
    <row r="227">
      <c r="B227" s="10"/>
      <c r="C227" s="17"/>
      <c r="D227" s="10"/>
      <c r="E227" s="17"/>
      <c r="F227" s="14" t="s">
        <v>134</v>
      </c>
      <c r="G227" s="37"/>
      <c r="H227" s="13"/>
      <c r="I227" s="46" t="n"/>
      <c r="J227" s="46" t="n"/>
      <c r="K227" s="46" t="n"/>
      <c r="L227" s="46" t="n"/>
      <c r="M227" s="46" t="n"/>
      <c r="N227" s="46" t="n"/>
      <c r="O227" s="46" t="n"/>
      <c r="P227" s="46" t="n"/>
    </row>
    <row r="228">
      <c r="B228" s="10"/>
      <c r="C228" s="17"/>
      <c r="D228" s="10"/>
      <c r="E228" s="17"/>
      <c r="F228" s="11" t="s">
        <v>135</v>
      </c>
      <c r="G228" s="8"/>
      <c r="H228" s="9"/>
      <c r="I228" s="47" t="n"/>
      <c r="J228" s="47" t="n"/>
      <c r="K228" s="47" t="n"/>
      <c r="L228" s="47" t="n"/>
      <c r="M228" s="47" t="n"/>
      <c r="N228" s="47" t="n"/>
      <c r="O228" s="47" t="n"/>
      <c r="P228" s="47" t="n"/>
    </row>
    <row r="229">
      <c r="B229" s="10"/>
      <c r="C229" s="17"/>
      <c r="D229" s="10"/>
      <c r="E229" s="17"/>
      <c r="F229" s="14" t="s">
        <v>136</v>
      </c>
      <c r="G229" s="37"/>
      <c r="H229" s="13"/>
      <c r="I229" s="46" t="n"/>
      <c r="J229" s="46" t="n"/>
      <c r="K229" s="46" t="n"/>
      <c r="L229" s="46" t="n"/>
      <c r="M229" s="46" t="n"/>
      <c r="N229" s="46" t="n"/>
      <c r="O229" s="46" t="n"/>
      <c r="P229" s="46" t="n"/>
    </row>
    <row r="230">
      <c r="B230" s="10"/>
      <c r="C230" s="17"/>
      <c r="D230" s="10"/>
      <c r="E230" s="17"/>
      <c r="F230" s="7" t="s">
        <v>137</v>
      </c>
      <c r="G230" s="8"/>
      <c r="H230" s="9"/>
      <c r="I230" s="23"/>
      <c r="J230" s="23"/>
      <c r="K230" s="23"/>
      <c r="L230" s="23"/>
      <c r="M230" s="23"/>
      <c r="N230" s="23"/>
      <c r="O230" s="23"/>
      <c r="P230" s="23"/>
    </row>
    <row r="231">
      <c r="B231" s="10"/>
      <c r="C231" s="17"/>
      <c r="D231" s="10"/>
      <c r="E231" s="17"/>
      <c r="F231" s="10"/>
      <c r="G231" s="14" t="s">
        <v>138</v>
      </c>
      <c r="H231" s="13"/>
      <c r="I231" s="46" t="n"/>
      <c r="J231" s="46" t="n"/>
      <c r="K231" s="46" t="n"/>
      <c r="L231" s="46" t="n"/>
      <c r="M231" s="46" t="n"/>
      <c r="N231" s="46" t="n"/>
      <c r="O231" s="46" t="n"/>
      <c r="P231" s="46" t="n"/>
    </row>
    <row r="232">
      <c r="B232" s="10"/>
      <c r="C232" s="17"/>
      <c r="D232" s="10"/>
      <c r="E232" s="17"/>
      <c r="F232" s="10"/>
      <c r="G232" s="11" t="s">
        <v>139</v>
      </c>
      <c r="H232" s="9"/>
      <c r="I232" s="47" t="n"/>
      <c r="J232" s="47" t="n"/>
      <c r="K232" s="47" t="n"/>
      <c r="L232" s="47" t="n"/>
      <c r="M232" s="47" t="n"/>
      <c r="N232" s="47" t="n"/>
      <c r="O232" s="47" t="n"/>
      <c r="P232" s="47" t="n"/>
    </row>
    <row r="233">
      <c r="B233" s="10"/>
      <c r="C233" s="17"/>
      <c r="D233" s="10"/>
      <c r="E233" s="17"/>
      <c r="F233" s="11"/>
      <c r="G233" s="40" t="s">
        <v>140</v>
      </c>
      <c r="H233" s="39"/>
      <c r="I233" s="46" t="n">
        <f>I231+I232</f>
      </c>
      <c r="J233" s="46" t="n">
        <f>J231+J232</f>
      </c>
      <c r="K233" s="46" t="n">
        <f>K231+K232</f>
      </c>
      <c r="L233" s="46" t="n">
        <f>L231+L232</f>
      </c>
      <c r="M233" s="46" t="n">
        <f>M231+M232</f>
      </c>
      <c r="N233" s="46" t="n">
        <f>N231+N232</f>
      </c>
      <c r="O233" s="46" t="n">
        <f>O231+O232</f>
      </c>
      <c r="P233" s="46" t="n">
        <f>P231+P232</f>
      </c>
    </row>
    <row r="234">
      <c r="B234" s="10"/>
      <c r="C234" s="17"/>
      <c r="D234" s="10"/>
      <c r="E234" s="17"/>
      <c r="F234" s="11" t="s">
        <v>141</v>
      </c>
      <c r="G234" s="8"/>
      <c r="H234" s="9"/>
      <c r="I234" s="47" t="n"/>
      <c r="J234" s="47" t="n"/>
      <c r="K234" s="47" t="n"/>
      <c r="L234" s="47" t="n"/>
      <c r="M234" s="47" t="n"/>
      <c r="N234" s="47" t="n"/>
      <c r="O234" s="47" t="n"/>
      <c r="P234" s="47" t="n"/>
    </row>
    <row r="235">
      <c r="B235" s="10"/>
      <c r="C235" s="17"/>
      <c r="D235" s="10"/>
      <c r="E235" s="17"/>
      <c r="F235" s="14" t="s">
        <v>142</v>
      </c>
      <c r="G235" s="37"/>
      <c r="H235" s="13"/>
      <c r="I235" s="46" t="n"/>
      <c r="J235" s="46" t="n"/>
      <c r="K235" s="46" t="n"/>
      <c r="L235" s="46" t="n"/>
      <c r="M235" s="46" t="n"/>
      <c r="N235" s="46" t="n"/>
      <c r="O235" s="46" t="n"/>
      <c r="P235" s="46" t="n"/>
    </row>
    <row r="236">
      <c r="B236" s="10"/>
      <c r="C236" s="17"/>
      <c r="D236" s="10"/>
      <c r="E236" s="14"/>
      <c r="F236" s="45" t="s">
        <v>143</v>
      </c>
      <c r="G236" s="43"/>
      <c r="H236" s="44"/>
      <c r="I236" s="47" t="n">
        <f>I219+SUM(I225:I229)+SUM(I233:I235)</f>
      </c>
      <c r="J236" s="47" t="n">
        <f>J219+SUM(J225:J229)+SUM(J233:J235)</f>
      </c>
      <c r="K236" s="47" t="n">
        <f>K219+SUM(K225:K229)+SUM(K233:K235)</f>
      </c>
      <c r="L236" s="47" t="n">
        <f>L219+SUM(L225:L229)+SUM(L233:L235)</f>
      </c>
      <c r="M236" s="47" t="n">
        <f>M219+SUM(M225:M229)+SUM(M233:M235)</f>
      </c>
      <c r="N236" s="47" t="n">
        <f>N219+SUM(N225:N229)+SUM(N233:N235)</f>
      </c>
      <c r="O236" s="47" t="n">
        <f>O219+SUM(O225:O229)+SUM(O233:O235)</f>
      </c>
      <c r="P236" s="47" t="n">
        <f>P219+SUM(P225:P229)+SUM(P233:P235)</f>
      </c>
    </row>
    <row r="237">
      <c r="B237" s="10"/>
      <c r="C237" s="17"/>
      <c r="D237" s="11"/>
      <c r="E237" s="40" t="s">
        <v>144</v>
      </c>
      <c r="F237" s="41"/>
      <c r="G237" s="41"/>
      <c r="H237" s="39"/>
      <c r="I237" s="46" t="n">
        <f>I214+I236</f>
      </c>
      <c r="J237" s="46" t="n">
        <f>J214+J236</f>
      </c>
      <c r="K237" s="46" t="n">
        <f>K214+K236</f>
      </c>
      <c r="L237" s="46" t="n">
        <f>L214+L236</f>
      </c>
      <c r="M237" s="46" t="n">
        <f>M214+M236</f>
      </c>
      <c r="N237" s="46" t="n">
        <f>N214+N236</f>
      </c>
      <c r="O237" s="46" t="n">
        <f>O214+O236</f>
      </c>
      <c r="P237" s="46" t="n">
        <f>P214+P236</f>
      </c>
    </row>
    <row r="238">
      <c r="B238" s="10"/>
      <c r="C238" s="17"/>
      <c r="D238" s="7" t="s">
        <v>145</v>
      </c>
      <c r="E238" s="8"/>
      <c r="F238" s="8"/>
      <c r="G238" s="8"/>
      <c r="H238" s="9"/>
      <c r="I238" s="23"/>
      <c r="J238" s="23"/>
      <c r="K238" s="23"/>
      <c r="L238" s="23"/>
      <c r="M238" s="23"/>
      <c r="N238" s="23"/>
      <c r="O238" s="23"/>
      <c r="P238" s="23"/>
    </row>
    <row r="239">
      <c r="B239" s="10"/>
      <c r="C239" s="17"/>
      <c r="D239" s="10"/>
      <c r="E239" s="14" t="s">
        <v>146</v>
      </c>
      <c r="F239" s="37"/>
      <c r="G239" s="37"/>
      <c r="H239" s="13"/>
      <c r="I239" s="46" t="n"/>
      <c r="J239" s="46" t="n"/>
      <c r="K239" s="46" t="n"/>
      <c r="L239" s="46" t="n"/>
      <c r="M239" s="46" t="n"/>
      <c r="N239" s="46" t="n"/>
      <c r="O239" s="46" t="n"/>
      <c r="P239" s="46" t="n"/>
    </row>
    <row r="240">
      <c r="B240" s="10"/>
      <c r="C240" s="17"/>
      <c r="D240" s="10"/>
      <c r="E240" s="11" t="s">
        <v>147</v>
      </c>
      <c r="F240" s="8"/>
      <c r="G240" s="8"/>
      <c r="H240" s="9"/>
      <c r="I240" s="47" t="n"/>
      <c r="J240" s="47" t="n"/>
      <c r="K240" s="47" t="n"/>
      <c r="L240" s="47" t="n"/>
      <c r="M240" s="47" t="n"/>
      <c r="N240" s="47" t="n"/>
      <c r="O240" s="47" t="n"/>
      <c r="P240" s="47" t="n"/>
    </row>
    <row r="241">
      <c r="B241" s="10"/>
      <c r="C241" s="17"/>
      <c r="D241" s="10"/>
      <c r="E241" s="14" t="s">
        <v>148</v>
      </c>
      <c r="F241" s="37"/>
      <c r="G241" s="37"/>
      <c r="H241" s="13"/>
      <c r="I241" s="46" t="n"/>
      <c r="J241" s="46" t="n"/>
      <c r="K241" s="46" t="n"/>
      <c r="L241" s="46" t="n"/>
      <c r="M241" s="46" t="n"/>
      <c r="N241" s="46" t="n"/>
      <c r="O241" s="46" t="n"/>
      <c r="P241" s="46" t="n"/>
    </row>
    <row r="242">
      <c r="B242" s="10"/>
      <c r="C242" s="17"/>
      <c r="D242" s="10"/>
      <c r="E242" s="11" t="s">
        <v>149</v>
      </c>
      <c r="F242" s="8"/>
      <c r="G242" s="8"/>
      <c r="H242" s="9"/>
      <c r="I242" s="47" t="n"/>
      <c r="J242" s="47" t="n"/>
      <c r="K242" s="47" t="n"/>
      <c r="L242" s="47" t="n"/>
      <c r="M242" s="47" t="n"/>
      <c r="N242" s="47" t="n"/>
      <c r="O242" s="47" t="n"/>
      <c r="P242" s="47" t="n"/>
    </row>
    <row r="243">
      <c r="B243" s="10"/>
      <c r="C243" s="17"/>
      <c r="D243" s="10"/>
      <c r="E243" s="14" t="s">
        <v>150</v>
      </c>
      <c r="F243" s="37"/>
      <c r="G243" s="37"/>
      <c r="H243" s="13"/>
      <c r="I243" s="46" t="n"/>
      <c r="J243" s="46" t="n"/>
      <c r="K243" s="46" t="n"/>
      <c r="L243" s="46" t="n"/>
      <c r="M243" s="46" t="n"/>
      <c r="N243" s="46" t="n"/>
      <c r="O243" s="46" t="n"/>
      <c r="P243" s="46" t="n"/>
    </row>
    <row r="244">
      <c r="B244" s="10"/>
      <c r="C244" s="17"/>
      <c r="D244" s="10"/>
      <c r="E244" s="11" t="s">
        <v>151</v>
      </c>
      <c r="F244" s="8"/>
      <c r="G244" s="8"/>
      <c r="H244" s="9"/>
      <c r="I244" s="47" t="n"/>
      <c r="J244" s="47" t="n"/>
      <c r="K244" s="47" t="n"/>
      <c r="L244" s="47" t="n"/>
      <c r="M244" s="47" t="n"/>
      <c r="N244" s="47" t="n"/>
      <c r="O244" s="47" t="n"/>
      <c r="P244" s="47" t="n"/>
    </row>
    <row r="245">
      <c r="B245" s="10"/>
      <c r="C245" s="17"/>
      <c r="D245" s="10"/>
      <c r="E245" s="14" t="s">
        <v>152</v>
      </c>
      <c r="F245" s="37"/>
      <c r="G245" s="37"/>
      <c r="H245" s="13"/>
      <c r="I245" s="46" t="n"/>
      <c r="J245" s="46" t="n"/>
      <c r="K245" s="46" t="n"/>
      <c r="L245" s="46" t="n"/>
      <c r="M245" s="46" t="n"/>
      <c r="N245" s="46" t="n"/>
      <c r="O245" s="46" t="n"/>
      <c r="P245" s="46" t="n"/>
    </row>
    <row r="246">
      <c r="B246" s="10"/>
      <c r="C246" s="17"/>
      <c r="D246" s="10"/>
      <c r="E246" s="11" t="s">
        <v>153</v>
      </c>
      <c r="F246" s="8"/>
      <c r="G246" s="8"/>
      <c r="H246" s="9"/>
      <c r="I246" s="47" t="n"/>
      <c r="J246" s="47" t="n"/>
      <c r="K246" s="47" t="n"/>
      <c r="L246" s="47" t="n"/>
      <c r="M246" s="47" t="n"/>
      <c r="N246" s="47" t="n"/>
      <c r="O246" s="47" t="n"/>
      <c r="P246" s="47" t="n"/>
    </row>
    <row r="247">
      <c r="B247" s="10"/>
      <c r="C247" s="17"/>
      <c r="D247" s="10"/>
      <c r="E247" s="14" t="s">
        <v>154</v>
      </c>
      <c r="F247" s="37"/>
      <c r="G247" s="37"/>
      <c r="H247" s="13"/>
      <c r="I247" s="46" t="n"/>
      <c r="J247" s="46" t="n"/>
      <c r="K247" s="46" t="n"/>
      <c r="L247" s="46" t="n"/>
      <c r="M247" s="46" t="n"/>
      <c r="N247" s="46" t="n"/>
      <c r="O247" s="46" t="n"/>
      <c r="P247" s="46" t="n"/>
    </row>
    <row r="248">
      <c r="B248" s="10"/>
      <c r="C248" s="17"/>
      <c r="D248" s="10"/>
      <c r="E248" s="7" t="s">
        <v>155</v>
      </c>
      <c r="F248" s="8"/>
      <c r="G248" s="8"/>
      <c r="H248" s="9"/>
      <c r="I248" s="23"/>
      <c r="J248" s="23"/>
      <c r="K248" s="23"/>
      <c r="L248" s="23"/>
      <c r="M248" s="23"/>
      <c r="N248" s="23"/>
      <c r="O248" s="23"/>
      <c r="P248" s="23"/>
    </row>
    <row r="249" ht="28.0" customHeight="true">
      <c r="B249" s="10"/>
      <c r="C249" s="17"/>
      <c r="D249" s="10"/>
      <c r="E249" s="10"/>
      <c r="F249" s="14" t="s">
        <v>156</v>
      </c>
      <c r="G249" s="37"/>
      <c r="H249" s="13"/>
      <c r="I249" s="46" t="n"/>
      <c r="J249" s="46" t="n"/>
      <c r="K249" s="46" t="n"/>
      <c r="L249" s="46" t="n"/>
      <c r="M249" s="46" t="n"/>
      <c r="N249" s="46" t="n"/>
      <c r="O249" s="46" t="n"/>
      <c r="P249" s="46" t="n"/>
    </row>
    <row r="250">
      <c r="B250" s="10"/>
      <c r="C250" s="17"/>
      <c r="D250" s="10"/>
      <c r="E250" s="10"/>
      <c r="F250" s="11" t="s">
        <v>157</v>
      </c>
      <c r="G250" s="8"/>
      <c r="H250" s="9"/>
      <c r="I250" s="47" t="n"/>
      <c r="J250" s="47" t="n"/>
      <c r="K250" s="47" t="n"/>
      <c r="L250" s="47" t="n"/>
      <c r="M250" s="47" t="n"/>
      <c r="N250" s="47" t="n"/>
      <c r="O250" s="47" t="n"/>
      <c r="P250" s="47" t="n"/>
    </row>
    <row r="251" ht="28.0" customHeight="true">
      <c r="B251" s="10"/>
      <c r="C251" s="17"/>
      <c r="D251" s="10"/>
      <c r="E251" s="10"/>
      <c r="F251" s="14" t="s">
        <v>158</v>
      </c>
      <c r="G251" s="37"/>
      <c r="H251" s="13"/>
      <c r="I251" s="46" t="n"/>
      <c r="J251" s="46" t="n"/>
      <c r="K251" s="46" t="n"/>
      <c r="L251" s="46" t="n"/>
      <c r="M251" s="46" t="n"/>
      <c r="N251" s="46" t="n"/>
      <c r="O251" s="46" t="n"/>
      <c r="P251" s="46" t="n"/>
    </row>
    <row r="252" ht="28.0" customHeight="true">
      <c r="B252" s="10"/>
      <c r="C252" s="17"/>
      <c r="D252" s="10"/>
      <c r="E252" s="10"/>
      <c r="F252" s="11" t="s">
        <v>159</v>
      </c>
      <c r="G252" s="8"/>
      <c r="H252" s="9"/>
      <c r="I252" s="47" t="n"/>
      <c r="J252" s="47" t="n"/>
      <c r="K252" s="47" t="n"/>
      <c r="L252" s="47" t="n"/>
      <c r="M252" s="47" t="n"/>
      <c r="N252" s="47" t="n"/>
      <c r="O252" s="47" t="n"/>
      <c r="P252" s="47" t="n"/>
    </row>
    <row r="253" ht="28.0" customHeight="true">
      <c r="B253" s="10"/>
      <c r="C253" s="17"/>
      <c r="D253" s="10"/>
      <c r="E253" s="10"/>
      <c r="F253" s="14" t="s">
        <v>160</v>
      </c>
      <c r="G253" s="37"/>
      <c r="H253" s="13"/>
      <c r="I253" s="46" t="n"/>
      <c r="J253" s="46" t="n"/>
      <c r="K253" s="46" t="n"/>
      <c r="L253" s="46" t="n"/>
      <c r="M253" s="46" t="n"/>
      <c r="N253" s="46" t="n"/>
      <c r="O253" s="46" t="n"/>
      <c r="P253" s="46" t="n"/>
    </row>
    <row r="254" ht="28.0" customHeight="true">
      <c r="B254" s="10"/>
      <c r="C254" s="17"/>
      <c r="D254" s="10"/>
      <c r="E254" s="10"/>
      <c r="F254" s="11" t="s">
        <v>161</v>
      </c>
      <c r="G254" s="8"/>
      <c r="H254" s="9"/>
      <c r="I254" s="47" t="n"/>
      <c r="J254" s="47" t="n"/>
      <c r="K254" s="47" t="n"/>
      <c r="L254" s="47" t="n"/>
      <c r="M254" s="47" t="n"/>
      <c r="N254" s="47" t="n"/>
      <c r="O254" s="47" t="n"/>
      <c r="P254" s="47" t="n"/>
    </row>
    <row r="255">
      <c r="B255" s="10"/>
      <c r="C255" s="17"/>
      <c r="D255" s="10"/>
      <c r="E255" s="10"/>
      <c r="F255" s="14" t="s">
        <v>162</v>
      </c>
      <c r="G255" s="37"/>
      <c r="H255" s="13"/>
      <c r="I255" s="46" t="n"/>
      <c r="J255" s="46" t="n"/>
      <c r="K255" s="46" t="n"/>
      <c r="L255" s="46" t="n"/>
      <c r="M255" s="46" t="n"/>
      <c r="N255" s="46" t="n"/>
      <c r="O255" s="46" t="n"/>
      <c r="P255" s="46" t="n"/>
    </row>
    <row r="256">
      <c r="B256" s="10"/>
      <c r="C256" s="17"/>
      <c r="D256" s="10"/>
      <c r="E256" s="10"/>
      <c r="F256" s="11" t="s">
        <v>163</v>
      </c>
      <c r="G256" s="8"/>
      <c r="H256" s="9"/>
      <c r="I256" s="47" t="n"/>
      <c r="J256" s="47" t="n"/>
      <c r="K256" s="47" t="n"/>
      <c r="L256" s="47" t="n"/>
      <c r="M256" s="47" t="n"/>
      <c r="N256" s="47" t="n"/>
      <c r="O256" s="47" t="n"/>
      <c r="P256" s="47" t="n"/>
    </row>
    <row r="257">
      <c r="B257" s="10"/>
      <c r="C257" s="17"/>
      <c r="D257" s="10"/>
      <c r="E257" s="11"/>
      <c r="F257" s="40" t="s">
        <v>164</v>
      </c>
      <c r="G257" s="41"/>
      <c r="H257" s="39"/>
      <c r="I257" s="46" t="n">
        <f>SUM(I249:I256)</f>
      </c>
      <c r="J257" s="46" t="n">
        <f>SUM(J249:J256)</f>
      </c>
      <c r="K257" s="46" t="n">
        <f>SUM(K249:K256)</f>
      </c>
      <c r="L257" s="46" t="n">
        <f>SUM(L249:L256)</f>
      </c>
      <c r="M257" s="46" t="n">
        <f>SUM(M249:M256)</f>
      </c>
      <c r="N257" s="46" t="n">
        <f>SUM(N249:N256)</f>
      </c>
      <c r="O257" s="46" t="n">
        <f>SUM(O249:O256)</f>
      </c>
      <c r="P257" s="46" t="n">
        <f>SUM(P249:P256)</f>
      </c>
    </row>
    <row r="258">
      <c r="B258" s="10"/>
      <c r="C258" s="17"/>
      <c r="D258" s="11"/>
      <c r="E258" s="45" t="s">
        <v>165</v>
      </c>
      <c r="F258" s="43"/>
      <c r="G258" s="43"/>
      <c r="H258" s="44"/>
      <c r="I258" s="47" t="n">
        <f>SUM(I239:I247)+I257</f>
      </c>
      <c r="J258" s="47" t="n">
        <f>SUM(J239:J247)+J257</f>
      </c>
      <c r="K258" s="47" t="n">
        <f>SUM(K239:K247)+K257</f>
      </c>
      <c r="L258" s="47" t="n">
        <f>SUM(L239:L247)+L257</f>
      </c>
      <c r="M258" s="47" t="n">
        <f>SUM(M239:M247)+M257</f>
      </c>
      <c r="N258" s="47" t="n">
        <f>SUM(N239:N247)+N257</f>
      </c>
      <c r="O258" s="47" t="n">
        <f>SUM(O239:O247)+O257</f>
      </c>
      <c r="P258" s="47" t="n">
        <f>SUM(P239:P247)+P257</f>
      </c>
    </row>
    <row r="259">
      <c r="B259" s="11"/>
      <c r="C259" s="14"/>
      <c r="D259" s="40" t="s">
        <v>166</v>
      </c>
      <c r="E259" s="41"/>
      <c r="F259" s="41"/>
      <c r="G259" s="41"/>
      <c r="H259" s="39"/>
      <c r="I259" s="48" t="n">
        <f>I258+I237</f>
      </c>
      <c r="J259" s="48" t="n">
        <f>J258+J237</f>
      </c>
      <c r="K259" s="48" t="n">
        <f>K258+K237</f>
      </c>
      <c r="L259" s="48" t="n">
        <f>L258+L237</f>
      </c>
      <c r="M259" s="48" t="n">
        <f>M258+M237</f>
      </c>
      <c r="N259" s="48" t="n">
        <f>N258+N237</f>
      </c>
      <c r="O259" s="48" t="n">
        <f>O258+O237</f>
      </c>
      <c r="P259" s="48" t="n">
        <f>P258+P237</f>
      </c>
    </row>
  </sheetData>
  <mergeCells>
    <mergeCell ref="I10:P10"/>
    <mergeCell ref="B12:H12"/>
    <mergeCell ref="C13:H13"/>
    <mergeCell ref="D14:H14"/>
    <mergeCell ref="E15:H15"/>
    <mergeCell ref="F16:H16"/>
    <mergeCell ref="E17:H17"/>
    <mergeCell ref="F18:H18"/>
    <mergeCell ref="G19:H19"/>
    <mergeCell ref="G20:H20"/>
    <mergeCell ref="G22:H22"/>
    <mergeCell ref="G23:H23"/>
    <mergeCell ref="F24:H24"/>
    <mergeCell ref="F25:H25"/>
    <mergeCell ref="F26:H26"/>
    <mergeCell ref="F27:H27"/>
    <mergeCell ref="E28:H28"/>
    <mergeCell ref="E29:H29"/>
    <mergeCell ref="E30:H30"/>
    <mergeCell ref="E31:H31"/>
    <mergeCell ref="E32:H32"/>
    <mergeCell ref="D33:H33"/>
    <mergeCell ref="E34:H34"/>
    <mergeCell ref="E35:H35"/>
    <mergeCell ref="E36:H36"/>
    <mergeCell ref="F37:H37"/>
    <mergeCell ref="F38:H38"/>
    <mergeCell ref="F39:H39"/>
    <mergeCell ref="F40:H40"/>
    <mergeCell ref="E41:H41"/>
    <mergeCell ref="F42:H42"/>
    <mergeCell ref="G43:H43"/>
    <mergeCell ref="G44:H44"/>
    <mergeCell ref="G46:H46"/>
    <mergeCell ref="G47:H47"/>
    <mergeCell ref="F48:H48"/>
    <mergeCell ref="F49:H49"/>
    <mergeCell ref="F50:H50"/>
    <mergeCell ref="F51:H51"/>
    <mergeCell ref="E52:H52"/>
    <mergeCell ref="E53:H53"/>
    <mergeCell ref="E54:H54"/>
    <mergeCell ref="F55:H55"/>
    <mergeCell ref="F56:H56"/>
    <mergeCell ref="F57:H57"/>
    <mergeCell ref="F58:H58"/>
    <mergeCell ref="F59:H59"/>
    <mergeCell ref="F60:H60"/>
    <mergeCell ref="F61:H61"/>
    <mergeCell ref="F62:H62"/>
    <mergeCell ref="E63:H63"/>
    <mergeCell ref="D64:H64"/>
    <mergeCell ref="C65:H65"/>
    <mergeCell ref="D66:H66"/>
    <mergeCell ref="E67:H67"/>
    <mergeCell ref="F68:H68"/>
    <mergeCell ref="G69:H69"/>
    <mergeCell ref="G70:H70"/>
    <mergeCell ref="G71:H71"/>
    <mergeCell ref="F72:H72"/>
    <mergeCell ref="G73:H73"/>
    <mergeCell ref="G74:H74"/>
    <mergeCell ref="G75:H75"/>
    <mergeCell ref="G76:H76"/>
    <mergeCell ref="G77:H77"/>
    <mergeCell ref="F78:H78"/>
    <mergeCell ref="F79:H79"/>
    <mergeCell ref="F80:H80"/>
    <mergeCell ref="F81:H81"/>
    <mergeCell ref="G82:H82"/>
    <mergeCell ref="G83:H83"/>
    <mergeCell ref="G84:H84"/>
    <mergeCell ref="G85:H85"/>
    <mergeCell ref="F86:H86"/>
    <mergeCell ref="F87:H87"/>
    <mergeCell ref="F88:H88"/>
    <mergeCell ref="E89:H89"/>
    <mergeCell ref="F90:H90"/>
    <mergeCell ref="G91:H91"/>
    <mergeCell ref="G92:H92"/>
    <mergeCell ref="G93:H93"/>
    <mergeCell ref="F94:H94"/>
    <mergeCell ref="G95:H95"/>
    <mergeCell ref="G96:H96"/>
    <mergeCell ref="G97:H97"/>
    <mergeCell ref="G98:H98"/>
    <mergeCell ref="G99:H99"/>
    <mergeCell ref="F100:H100"/>
    <mergeCell ref="F101:H101"/>
    <mergeCell ref="F102:H102"/>
    <mergeCell ref="F103:H103"/>
    <mergeCell ref="F104:H104"/>
    <mergeCell ref="G105:H105"/>
    <mergeCell ref="G106:H106"/>
    <mergeCell ref="G107:H107"/>
    <mergeCell ref="F108:H108"/>
    <mergeCell ref="F109:H109"/>
    <mergeCell ref="F110:H110"/>
    <mergeCell ref="E111:H111"/>
    <mergeCell ref="D112:H112"/>
    <mergeCell ref="E113:H113"/>
    <mergeCell ref="E114:H114"/>
    <mergeCell ref="E115:H115"/>
    <mergeCell ref="E116:H116"/>
    <mergeCell ref="E117:H117"/>
    <mergeCell ref="E118:H118"/>
    <mergeCell ref="E119:H119"/>
    <mergeCell ref="E120:H120"/>
    <mergeCell ref="E121:H121"/>
    <mergeCell ref="E122:H122"/>
    <mergeCell ref="F123:H123"/>
    <mergeCell ref="F124:H124"/>
    <mergeCell ref="F125:H125"/>
    <mergeCell ref="F126:H126"/>
    <mergeCell ref="F127:H127"/>
    <mergeCell ref="F128:H128"/>
    <mergeCell ref="F129:H129"/>
    <mergeCell ref="F130:H130"/>
    <mergeCell ref="F131:H131"/>
    <mergeCell ref="E132:H132"/>
    <mergeCell ref="D133:H133"/>
    <mergeCell ref="I136:P136"/>
    <mergeCell ref="B138:H138"/>
    <mergeCell ref="C139:H139"/>
    <mergeCell ref="D140:H140"/>
    <mergeCell ref="E141:H141"/>
    <mergeCell ref="F142:H142"/>
    <mergeCell ref="E143:H143"/>
    <mergeCell ref="F144:H144"/>
    <mergeCell ref="G145:H145"/>
    <mergeCell ref="G146:H146"/>
    <mergeCell ref="G148:H148"/>
    <mergeCell ref="G149:H149"/>
    <mergeCell ref="F150:H150"/>
    <mergeCell ref="F151:H151"/>
    <mergeCell ref="F152:H152"/>
    <mergeCell ref="F153:H153"/>
    <mergeCell ref="E154:H154"/>
    <mergeCell ref="E155:H155"/>
    <mergeCell ref="E156:H156"/>
    <mergeCell ref="E157:H157"/>
    <mergeCell ref="E158:H158"/>
    <mergeCell ref="D159:H159"/>
    <mergeCell ref="E160:H160"/>
    <mergeCell ref="E161:H161"/>
    <mergeCell ref="E162:H162"/>
    <mergeCell ref="F163:H163"/>
    <mergeCell ref="F164:H164"/>
    <mergeCell ref="F165:H165"/>
    <mergeCell ref="F166:H166"/>
    <mergeCell ref="E167:H167"/>
    <mergeCell ref="F168:H168"/>
    <mergeCell ref="G169:H169"/>
    <mergeCell ref="G170:H170"/>
    <mergeCell ref="G172:H172"/>
    <mergeCell ref="G173:H173"/>
    <mergeCell ref="F174:H174"/>
    <mergeCell ref="F175:H175"/>
    <mergeCell ref="F176:H176"/>
    <mergeCell ref="F177:H177"/>
    <mergeCell ref="E178:H178"/>
    <mergeCell ref="E179:H179"/>
    <mergeCell ref="E180:H180"/>
    <mergeCell ref="F181:H181"/>
    <mergeCell ref="F182:H182"/>
    <mergeCell ref="F183:H183"/>
    <mergeCell ref="F184:H184"/>
    <mergeCell ref="F185:H185"/>
    <mergeCell ref="F186:H186"/>
    <mergeCell ref="F187:H187"/>
    <mergeCell ref="F188:H188"/>
    <mergeCell ref="E189:H189"/>
    <mergeCell ref="D190:H190"/>
    <mergeCell ref="C191:H191"/>
    <mergeCell ref="D192:H192"/>
    <mergeCell ref="E193:H193"/>
    <mergeCell ref="F194:H194"/>
    <mergeCell ref="G195:H195"/>
    <mergeCell ref="G196:H196"/>
    <mergeCell ref="G197:H197"/>
    <mergeCell ref="F198:H198"/>
    <mergeCell ref="G199:H199"/>
    <mergeCell ref="G200:H200"/>
    <mergeCell ref="G201:H201"/>
    <mergeCell ref="G202:H202"/>
    <mergeCell ref="G203:H203"/>
    <mergeCell ref="F204:H204"/>
    <mergeCell ref="F205:H205"/>
    <mergeCell ref="F206:H206"/>
    <mergeCell ref="F207:H207"/>
    <mergeCell ref="G208:H208"/>
    <mergeCell ref="G209:H209"/>
    <mergeCell ref="G210:H210"/>
    <mergeCell ref="G211:H211"/>
    <mergeCell ref="F212:H212"/>
    <mergeCell ref="F213:H213"/>
    <mergeCell ref="F214:H214"/>
    <mergeCell ref="E215:H215"/>
    <mergeCell ref="F216:H216"/>
    <mergeCell ref="G217:H217"/>
    <mergeCell ref="G218:H218"/>
    <mergeCell ref="G219:H219"/>
    <mergeCell ref="F220:H220"/>
    <mergeCell ref="G221:H221"/>
    <mergeCell ref="G222:H222"/>
    <mergeCell ref="G223:H223"/>
    <mergeCell ref="G224:H224"/>
    <mergeCell ref="G225:H225"/>
    <mergeCell ref="F226:H226"/>
    <mergeCell ref="F227:H227"/>
    <mergeCell ref="F228:H228"/>
    <mergeCell ref="F229:H229"/>
    <mergeCell ref="F230:H230"/>
    <mergeCell ref="G231:H231"/>
    <mergeCell ref="G232:H232"/>
    <mergeCell ref="G233:H233"/>
    <mergeCell ref="F234:H234"/>
    <mergeCell ref="F235:H235"/>
    <mergeCell ref="F236:H236"/>
    <mergeCell ref="E237:H237"/>
    <mergeCell ref="D238:H238"/>
    <mergeCell ref="E239:H239"/>
    <mergeCell ref="E240:H240"/>
    <mergeCell ref="E241:H241"/>
    <mergeCell ref="E242:H242"/>
    <mergeCell ref="E243:H243"/>
    <mergeCell ref="E244:H244"/>
    <mergeCell ref="E245:H245"/>
    <mergeCell ref="E246:H246"/>
    <mergeCell ref="E247:H247"/>
    <mergeCell ref="E248:H248"/>
    <mergeCell ref="F249:H249"/>
    <mergeCell ref="F250:H250"/>
    <mergeCell ref="F251:H251"/>
    <mergeCell ref="F252:H252"/>
    <mergeCell ref="F253:H253"/>
    <mergeCell ref="F254:H254"/>
    <mergeCell ref="F255:H255"/>
    <mergeCell ref="F256:H256"/>
    <mergeCell ref="F257:H257"/>
    <mergeCell ref="E258:H258"/>
    <mergeCell ref="D259:H259"/>
  </mergeCells>
  <hyperlinks>
    <hyperlink location="'Indice'!A1" ref="B2"/>
  </hyperlinks>
  <pageMargins bottom="0.75" footer="0.3" header="0.3" left="0.7" right="0.7" top="0.75"/>
</worksheet>
</file>

<file path=xl/worksheets/sheet5.xml><?xml version="1.0" encoding="utf-8"?>
<worksheet xmlns="http://schemas.openxmlformats.org/spreadsheetml/2006/main">
  <dimension ref="B2:M4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168</v>
      </c>
    </row>
    <row r="6">
      <c r="B6" t="s" s="1">
        <v>8</v>
      </c>
      <c r="C6" t="s">
        <v>9</v>
      </c>
    </row>
    <row r="7">
      <c r="B7" t="s" s="1">
        <v>10</v>
      </c>
      <c r="C7" t="s">
        <v>9</v>
      </c>
    </row>
    <row r="9">
      <c r="B9" t="s" s="1">
        <v>11</v>
      </c>
      <c r="C9" t="s">
        <v>12</v>
      </c>
    </row>
    <row r="10">
      <c r="E10" t="s" s="4">
        <v>169</v>
      </c>
      <c r="F10" s="29"/>
      <c r="G10" s="29"/>
      <c r="H10" s="29"/>
      <c r="I10" s="29"/>
      <c r="J10" s="29"/>
      <c r="K10" s="29"/>
      <c r="L10" s="30"/>
    </row>
    <row r="11">
      <c r="E11" t="s" s="34">
        <v>38</v>
      </c>
      <c r="F11" t="s" s="6">
        <v>39</v>
      </c>
      <c r="G11" t="s" s="34">
        <v>40</v>
      </c>
      <c r="H11" t="s" s="6">
        <v>41</v>
      </c>
      <c r="I11" t="s" s="34">
        <v>42</v>
      </c>
      <c r="J11" t="s" s="6">
        <v>43</v>
      </c>
      <c r="K11" t="s" s="34">
        <v>44</v>
      </c>
      <c r="L11" s="36"/>
    </row>
    <row r="12">
      <c r="B12" s="7" t="s">
        <v>170</v>
      </c>
      <c r="C12" s="8"/>
      <c r="D12" s="9"/>
      <c r="E12" s="23"/>
      <c r="F12" s="23"/>
      <c r="G12" s="23"/>
      <c r="H12" s="23"/>
      <c r="I12" s="23"/>
      <c r="J12" s="23"/>
      <c r="K12" s="23"/>
      <c r="L12" s="23"/>
    </row>
    <row r="13">
      <c r="B13" s="10"/>
      <c r="C13" s="16" t="s">
        <v>171</v>
      </c>
      <c r="D13" s="13"/>
      <c r="E13" s="22"/>
      <c r="F13" s="22"/>
      <c r="G13" s="22"/>
      <c r="H13" s="22"/>
      <c r="I13" s="22"/>
      <c r="J13" s="22"/>
      <c r="K13" s="22"/>
      <c r="L13" s="22"/>
    </row>
    <row r="14">
      <c r="B14" s="10"/>
      <c r="C14" s="17"/>
      <c r="D14" s="18" t="s">
        <v>172</v>
      </c>
      <c r="E14" s="47" t="n"/>
      <c r="F14" s="47" t="n"/>
      <c r="G14" s="47" t="n"/>
      <c r="H14" s="47" t="n"/>
      <c r="I14" s="47" t="n"/>
      <c r="J14" s="47" t="n"/>
      <c r="K14" s="47" t="n"/>
      <c r="L14" s="47" t="n"/>
    </row>
    <row r="15">
      <c r="B15" s="10"/>
      <c r="C15" s="17"/>
      <c r="D15" s="19" t="s">
        <v>173</v>
      </c>
      <c r="E15" s="46" t="n"/>
      <c r="F15" s="46" t="n"/>
      <c r="G15" s="46" t="n"/>
      <c r="H15" s="46" t="n"/>
      <c r="I15" s="46" t="n"/>
      <c r="J15" s="46" t="n"/>
      <c r="K15" s="46" t="n"/>
      <c r="L15" s="46" t="n"/>
    </row>
    <row r="16">
      <c r="B16" s="10"/>
      <c r="C16" s="17"/>
      <c r="D16" s="51" t="s">
        <v>174</v>
      </c>
      <c r="E16" s="47" t="n">
        <f>-E15+E14</f>
      </c>
      <c r="F16" s="47" t="n">
        <f>-F15+F14</f>
      </c>
      <c r="G16" s="47" t="n">
        <f>-G15+G14</f>
      </c>
      <c r="H16" s="47" t="n">
        <f>-H15+H14</f>
      </c>
      <c r="I16" s="47" t="n">
        <f>-I15+I14</f>
      </c>
      <c r="J16" s="47" t="n">
        <f>-J15+J14</f>
      </c>
      <c r="K16" s="47" t="n">
        <f>-K15+K14</f>
      </c>
      <c r="L16" s="47" t="n">
        <f>-L15+L14</f>
      </c>
    </row>
    <row r="17">
      <c r="B17" s="10"/>
      <c r="C17" s="17"/>
      <c r="D17" s="19" t="s">
        <v>175</v>
      </c>
      <c r="E17" s="46" t="n"/>
      <c r="F17" s="46" t="n"/>
      <c r="G17" s="46" t="n"/>
      <c r="H17" s="46" t="n"/>
      <c r="I17" s="46" t="n"/>
      <c r="J17" s="46" t="n"/>
      <c r="K17" s="46" t="n"/>
      <c r="L17" s="46" t="n"/>
    </row>
    <row r="18">
      <c r="B18" s="10"/>
      <c r="C18" s="17"/>
      <c r="D18" s="18" t="s">
        <v>176</v>
      </c>
      <c r="E18" s="47" t="n"/>
      <c r="F18" s="47" t="n"/>
      <c r="G18" s="47" t="n"/>
      <c r="H18" s="47" t="n"/>
      <c r="I18" s="47" t="n"/>
      <c r="J18" s="47" t="n"/>
      <c r="K18" s="47" t="n"/>
      <c r="L18" s="47" t="n"/>
    </row>
    <row r="19">
      <c r="B19" s="10"/>
      <c r="C19" s="17"/>
      <c r="D19" s="19" t="s">
        <v>177</v>
      </c>
      <c r="E19" s="46" t="n"/>
      <c r="F19" s="46" t="n"/>
      <c r="G19" s="46" t="n"/>
      <c r="H19" s="46" t="n"/>
      <c r="I19" s="46" t="n"/>
      <c r="J19" s="46" t="n"/>
      <c r="K19" s="46" t="n"/>
      <c r="L19" s="46" t="n"/>
    </row>
    <row r="20">
      <c r="B20" s="10"/>
      <c r="C20" s="17"/>
      <c r="D20" s="18" t="s">
        <v>178</v>
      </c>
      <c r="E20" s="47" t="n"/>
      <c r="F20" s="47" t="n"/>
      <c r="G20" s="47" t="n"/>
      <c r="H20" s="47" t="n"/>
      <c r="I20" s="47" t="n"/>
      <c r="J20" s="47" t="n"/>
      <c r="K20" s="47" t="n"/>
      <c r="L20" s="47" t="n"/>
    </row>
    <row r="21">
      <c r="B21" s="10"/>
      <c r="C21" s="17"/>
      <c r="D21" s="19" t="s">
        <v>179</v>
      </c>
      <c r="E21" s="46" t="n"/>
      <c r="F21" s="46" t="n"/>
      <c r="G21" s="46" t="n"/>
      <c r="H21" s="46" t="n"/>
      <c r="I21" s="46" t="n"/>
      <c r="J21" s="46" t="n"/>
      <c r="K21" s="46" t="n"/>
      <c r="L21" s="46" t="n"/>
    </row>
    <row r="22">
      <c r="B22" s="10"/>
      <c r="C22" s="17"/>
      <c r="D22" s="18" t="s">
        <v>180</v>
      </c>
      <c r="E22" s="47" t="n"/>
      <c r="F22" s="47" t="n"/>
      <c r="G22" s="47" t="n"/>
      <c r="H22" s="47" t="n"/>
      <c r="I22" s="47" t="n"/>
      <c r="J22" s="47" t="n"/>
      <c r="K22" s="47" t="n"/>
      <c r="L22" s="47" t="n"/>
    </row>
    <row r="23">
      <c r="B23" s="10"/>
      <c r="C23" s="17"/>
      <c r="D23" s="19" t="s">
        <v>181</v>
      </c>
      <c r="E23" s="46" t="n"/>
      <c r="F23" s="46" t="n"/>
      <c r="G23" s="46" t="n"/>
      <c r="H23" s="46" t="n"/>
      <c r="I23" s="46" t="n"/>
      <c r="J23" s="46" t="n"/>
      <c r="K23" s="46" t="n"/>
      <c r="L23" s="46" t="n"/>
    </row>
    <row r="24">
      <c r="B24" s="10"/>
      <c r="C24" s="17"/>
      <c r="D24" s="51" t="s">
        <v>182</v>
      </c>
      <c r="E24" s="47" t="n">
        <f>E16+E17-E18+E19-SUM(E20:E22)+E23</f>
      </c>
      <c r="F24" s="47" t="n">
        <f>F16+F17-F18+F19-SUM(F20:F22)+F23</f>
      </c>
      <c r="G24" s="47" t="n">
        <f>G16+G17-G18+G19-SUM(G20:G22)+G23</f>
      </c>
      <c r="H24" s="47" t="n">
        <f>H16+H17-H18+H19-SUM(H20:H22)+H23</f>
      </c>
      <c r="I24" s="47" t="n">
        <f>I16+I17-I18+I19-SUM(I20:I22)+I23</f>
      </c>
      <c r="J24" s="47" t="n">
        <f>J16+J17-J18+J19-SUM(J20:J22)+J23</f>
      </c>
      <c r="K24" s="47" t="n">
        <f>K16+K17-K18+K19-SUM(K20:K22)+K23</f>
      </c>
      <c r="L24" s="47" t="n">
        <f>L16+L17-L18+L19-SUM(L20:L22)+L23</f>
      </c>
    </row>
    <row r="25">
      <c r="B25" s="10"/>
      <c r="C25" s="17"/>
      <c r="D25" s="19" t="s">
        <v>183</v>
      </c>
      <c r="E25" s="46" t="n"/>
      <c r="F25" s="46" t="n"/>
      <c r="G25" s="46" t="n"/>
      <c r="H25" s="46" t="n"/>
      <c r="I25" s="46" t="n"/>
      <c r="J25" s="46" t="n"/>
      <c r="K25" s="46" t="n"/>
      <c r="L25" s="46" t="n"/>
    </row>
    <row r="26">
      <c r="B26" s="10"/>
      <c r="C26" s="17"/>
      <c r="D26" s="18" t="s">
        <v>184</v>
      </c>
      <c r="E26" s="47" t="n"/>
      <c r="F26" s="47" t="n"/>
      <c r="G26" s="47" t="n"/>
      <c r="H26" s="47" t="n"/>
      <c r="I26" s="47" t="n"/>
      <c r="J26" s="47" t="n"/>
      <c r="K26" s="47" t="n"/>
      <c r="L26" s="47" t="n"/>
    </row>
    <row r="27">
      <c r="B27" s="11"/>
      <c r="C27" s="14"/>
      <c r="D27" s="52" t="s">
        <v>185</v>
      </c>
      <c r="E27" s="48" t="n">
        <f>E24-E25-E26</f>
      </c>
      <c r="F27" s="48" t="n">
        <f>F24-F25-F26</f>
      </c>
      <c r="G27" s="48" t="n">
        <f>G24-G25-G26</f>
      </c>
      <c r="H27" s="48" t="n">
        <f>H24-H25-H26</f>
      </c>
      <c r="I27" s="48" t="n">
        <f>I24-I25-I26</f>
      </c>
      <c r="J27" s="48" t="n">
        <f>J24-J25-J26</f>
      </c>
      <c r="K27" s="48" t="n">
        <f>K24-K25-K26</f>
      </c>
      <c r="L27" s="48" t="n">
        <f>L24-L25-L26</f>
      </c>
    </row>
    <row r="29">
      <c r="B29" t="s" s="1">
        <v>11</v>
      </c>
      <c r="C29" t="s">
        <v>167</v>
      </c>
    </row>
    <row r="30">
      <c r="E30" t="s" s="4">
        <v>169</v>
      </c>
      <c r="F30" s="29"/>
      <c r="G30" s="29"/>
      <c r="H30" s="29"/>
      <c r="I30" s="29"/>
      <c r="J30" s="29"/>
      <c r="K30" s="29"/>
      <c r="L30" s="30"/>
    </row>
    <row r="31">
      <c r="E31" t="s" s="34">
        <v>38</v>
      </c>
      <c r="F31" t="s" s="6">
        <v>39</v>
      </c>
      <c r="G31" t="s" s="34">
        <v>40</v>
      </c>
      <c r="H31" t="s" s="6">
        <v>41</v>
      </c>
      <c r="I31" t="s" s="34">
        <v>42</v>
      </c>
      <c r="J31" t="s" s="6">
        <v>43</v>
      </c>
      <c r="K31" t="s" s="34">
        <v>44</v>
      </c>
      <c r="L31" s="36"/>
    </row>
    <row r="32">
      <c r="B32" s="7" t="s">
        <v>170</v>
      </c>
      <c r="C32" s="8"/>
      <c r="D32" s="9"/>
      <c r="E32" s="23"/>
      <c r="F32" s="23"/>
      <c r="G32" s="23"/>
      <c r="H32" s="23"/>
      <c r="I32" s="23"/>
      <c r="J32" s="23"/>
      <c r="K32" s="23"/>
      <c r="L32" s="23"/>
    </row>
    <row r="33">
      <c r="B33" s="10"/>
      <c r="C33" s="16" t="s">
        <v>171</v>
      </c>
      <c r="D33" s="13"/>
      <c r="E33" s="22"/>
      <c r="F33" s="22"/>
      <c r="G33" s="22"/>
      <c r="H33" s="22"/>
      <c r="I33" s="22"/>
      <c r="J33" s="22"/>
      <c r="K33" s="22"/>
      <c r="L33" s="22"/>
    </row>
    <row r="34">
      <c r="B34" s="10"/>
      <c r="C34" s="17"/>
      <c r="D34" s="18" t="s">
        <v>172</v>
      </c>
      <c r="E34" s="47" t="n"/>
      <c r="F34" s="47" t="n"/>
      <c r="G34" s="47" t="n"/>
      <c r="H34" s="47" t="n"/>
      <c r="I34" s="47" t="n"/>
      <c r="J34" s="47" t="n"/>
      <c r="K34" s="47" t="n"/>
      <c r="L34" s="47" t="n"/>
    </row>
    <row r="35">
      <c r="B35" s="10"/>
      <c r="C35" s="17"/>
      <c r="D35" s="19" t="s">
        <v>173</v>
      </c>
      <c r="E35" s="46" t="n"/>
      <c r="F35" s="46" t="n"/>
      <c r="G35" s="46" t="n"/>
      <c r="H35" s="46" t="n"/>
      <c r="I35" s="46" t="n"/>
      <c r="J35" s="46" t="n"/>
      <c r="K35" s="46" t="n"/>
      <c r="L35" s="46" t="n"/>
    </row>
    <row r="36">
      <c r="B36" s="10"/>
      <c r="C36" s="17"/>
      <c r="D36" s="51" t="s">
        <v>174</v>
      </c>
      <c r="E36" s="47" t="n">
        <f>-E35+E34</f>
      </c>
      <c r="F36" s="47" t="n">
        <f>-F35+F34</f>
      </c>
      <c r="G36" s="47" t="n">
        <f>-G35+G34</f>
      </c>
      <c r="H36" s="47" t="n">
        <f>-H35+H34</f>
      </c>
      <c r="I36" s="47" t="n">
        <f>-I35+I34</f>
      </c>
      <c r="J36" s="47" t="n">
        <f>-J35+J34</f>
      </c>
      <c r="K36" s="47" t="n">
        <f>-K35+K34</f>
      </c>
      <c r="L36" s="47" t="n">
        <f>-L35+L34</f>
      </c>
    </row>
    <row r="37">
      <c r="B37" s="10"/>
      <c r="C37" s="17"/>
      <c r="D37" s="19" t="s">
        <v>175</v>
      </c>
      <c r="E37" s="46" t="n"/>
      <c r="F37" s="46" t="n"/>
      <c r="G37" s="46" t="n"/>
      <c r="H37" s="46" t="n"/>
      <c r="I37" s="46" t="n"/>
      <c r="J37" s="46" t="n"/>
      <c r="K37" s="46" t="n"/>
      <c r="L37" s="46" t="n"/>
    </row>
    <row r="38">
      <c r="B38" s="10"/>
      <c r="C38" s="17"/>
      <c r="D38" s="18" t="s">
        <v>176</v>
      </c>
      <c r="E38" s="47" t="n"/>
      <c r="F38" s="47" t="n"/>
      <c r="G38" s="47" t="n"/>
      <c r="H38" s="47" t="n"/>
      <c r="I38" s="47" t="n"/>
      <c r="J38" s="47" t="n"/>
      <c r="K38" s="47" t="n"/>
      <c r="L38" s="47" t="n"/>
    </row>
    <row r="39">
      <c r="B39" s="10"/>
      <c r="C39" s="17"/>
      <c r="D39" s="19" t="s">
        <v>177</v>
      </c>
      <c r="E39" s="46" t="n"/>
      <c r="F39" s="46" t="n"/>
      <c r="G39" s="46" t="n"/>
      <c r="H39" s="46" t="n"/>
      <c r="I39" s="46" t="n"/>
      <c r="J39" s="46" t="n"/>
      <c r="K39" s="46" t="n"/>
      <c r="L39" s="46" t="n"/>
    </row>
    <row r="40">
      <c r="B40" s="10"/>
      <c r="C40" s="17"/>
      <c r="D40" s="18" t="s">
        <v>178</v>
      </c>
      <c r="E40" s="47" t="n"/>
      <c r="F40" s="47" t="n"/>
      <c r="G40" s="47" t="n"/>
      <c r="H40" s="47" t="n"/>
      <c r="I40" s="47" t="n"/>
      <c r="J40" s="47" t="n"/>
      <c r="K40" s="47" t="n"/>
      <c r="L40" s="47" t="n"/>
    </row>
    <row r="41">
      <c r="B41" s="10"/>
      <c r="C41" s="17"/>
      <c r="D41" s="19" t="s">
        <v>179</v>
      </c>
      <c r="E41" s="46" t="n"/>
      <c r="F41" s="46" t="n"/>
      <c r="G41" s="46" t="n"/>
      <c r="H41" s="46" t="n"/>
      <c r="I41" s="46" t="n"/>
      <c r="J41" s="46" t="n"/>
      <c r="K41" s="46" t="n"/>
      <c r="L41" s="46" t="n"/>
    </row>
    <row r="42">
      <c r="B42" s="10"/>
      <c r="C42" s="17"/>
      <c r="D42" s="18" t="s">
        <v>180</v>
      </c>
      <c r="E42" s="47" t="n"/>
      <c r="F42" s="47" t="n"/>
      <c r="G42" s="47" t="n"/>
      <c r="H42" s="47" t="n"/>
      <c r="I42" s="47" t="n"/>
      <c r="J42" s="47" t="n"/>
      <c r="K42" s="47" t="n"/>
      <c r="L42" s="47" t="n"/>
    </row>
    <row r="43">
      <c r="B43" s="10"/>
      <c r="C43" s="17"/>
      <c r="D43" s="19" t="s">
        <v>181</v>
      </c>
      <c r="E43" s="46" t="n"/>
      <c r="F43" s="46" t="n"/>
      <c r="G43" s="46" t="n"/>
      <c r="H43" s="46" t="n"/>
      <c r="I43" s="46" t="n"/>
      <c r="J43" s="46" t="n"/>
      <c r="K43" s="46" t="n"/>
      <c r="L43" s="46" t="n"/>
    </row>
    <row r="44">
      <c r="B44" s="10"/>
      <c r="C44" s="17"/>
      <c r="D44" s="51" t="s">
        <v>182</v>
      </c>
      <c r="E44" s="47" t="n">
        <f>E36+E37-E38+E39-SUM(E40:E42)+E43</f>
      </c>
      <c r="F44" s="47" t="n">
        <f>F36+F37-F38+F39-SUM(F40:F42)+F43</f>
      </c>
      <c r="G44" s="47" t="n">
        <f>G36+G37-G38+G39-SUM(G40:G42)+G43</f>
      </c>
      <c r="H44" s="47" t="n">
        <f>H36+H37-H38+H39-SUM(H40:H42)+H43</f>
      </c>
      <c r="I44" s="47" t="n">
        <f>I36+I37-I38+I39-SUM(I40:I42)+I43</f>
      </c>
      <c r="J44" s="47" t="n">
        <f>J36+J37-J38+J39-SUM(J40:J42)+J43</f>
      </c>
      <c r="K44" s="47" t="n">
        <f>K36+K37-K38+K39-SUM(K40:K42)+K43</f>
      </c>
      <c r="L44" s="47" t="n">
        <f>L36+L37-L38+L39-SUM(L40:L42)+L43</f>
      </c>
    </row>
    <row r="45">
      <c r="B45" s="10"/>
      <c r="C45" s="17"/>
      <c r="D45" s="19" t="s">
        <v>183</v>
      </c>
      <c r="E45" s="46" t="n"/>
      <c r="F45" s="46" t="n"/>
      <c r="G45" s="46" t="n"/>
      <c r="H45" s="46" t="n"/>
      <c r="I45" s="46" t="n"/>
      <c r="J45" s="46" t="n"/>
      <c r="K45" s="46" t="n"/>
      <c r="L45" s="46" t="n"/>
    </row>
    <row r="46">
      <c r="B46" s="10"/>
      <c r="C46" s="17"/>
      <c r="D46" s="18" t="s">
        <v>184</v>
      </c>
      <c r="E46" s="47" t="n"/>
      <c r="F46" s="47" t="n"/>
      <c r="G46" s="47" t="n"/>
      <c r="H46" s="47" t="n"/>
      <c r="I46" s="47" t="n"/>
      <c r="J46" s="47" t="n"/>
      <c r="K46" s="47" t="n"/>
      <c r="L46" s="47" t="n"/>
    </row>
    <row r="47">
      <c r="B47" s="11"/>
      <c r="C47" s="14"/>
      <c r="D47" s="52" t="s">
        <v>185</v>
      </c>
      <c r="E47" s="48" t="n">
        <f>E44-E45-E46</f>
      </c>
      <c r="F47" s="48" t="n">
        <f>F44-F45-F46</f>
      </c>
      <c r="G47" s="48" t="n">
        <f>G44-G45-G46</f>
      </c>
      <c r="H47" s="48" t="n">
        <f>H44-H45-H46</f>
      </c>
      <c r="I47" s="48" t="n">
        <f>I44-I45-I46</f>
      </c>
      <c r="J47" s="48" t="n">
        <f>J44-J45-J46</f>
      </c>
      <c r="K47" s="48" t="n">
        <f>K44-K45-K46</f>
      </c>
      <c r="L47" s="48" t="n">
        <f>L44-L45-L46</f>
      </c>
    </row>
  </sheetData>
  <mergeCells>
    <mergeCell ref="E10:L10"/>
    <mergeCell ref="B12:D12"/>
    <mergeCell ref="C13:D13"/>
    <mergeCell ref="E30:L30"/>
    <mergeCell ref="B32:D32"/>
    <mergeCell ref="C33:D33"/>
  </mergeCells>
  <hyperlinks>
    <hyperlink location="'Indice'!A1" ref="B2"/>
  </hyperlinks>
  <pageMargins bottom="0.75" footer="0.3" header="0.3" left="0.7" right="0.7" top="0.75"/>
</worksheet>
</file>

<file path=xl/worksheets/sheet6.xml><?xml version="1.0" encoding="utf-8"?>
<worksheet xmlns="http://schemas.openxmlformats.org/spreadsheetml/2006/main">
  <dimension ref="B2:I4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s>
  <sheetData>
    <row r="2">
      <c r="B2" t="s" s="2">
        <v>1</v>
      </c>
    </row>
    <row r="3">
      <c r="B3" t="s" s="1">
        <v>3</v>
      </c>
      <c r="C3" t="s">
        <v>4</v>
      </c>
    </row>
    <row r="4">
      <c r="B4" s="1" t="s">
        <v>5</v>
      </c>
      <c r="C4" t="s">
        <v>6</v>
      </c>
    </row>
    <row r="5">
      <c r="B5" t="s" s="1">
        <v>7</v>
      </c>
      <c r="C5" t="s">
        <v>186</v>
      </c>
    </row>
    <row r="6">
      <c r="B6" t="s" s="1">
        <v>8</v>
      </c>
      <c r="C6" t="s">
        <v>9</v>
      </c>
    </row>
    <row r="7">
      <c r="B7" t="s" s="1">
        <v>10</v>
      </c>
      <c r="C7" t="s">
        <v>9</v>
      </c>
    </row>
    <row r="8">
      <c r="B8" t="s" s="1">
        <v>11</v>
      </c>
      <c r="C8" t="s">
        <v>9</v>
      </c>
    </row>
    <row r="10">
      <c r="G10" t="s" s="6">
        <v>12</v>
      </c>
      <c r="H10" t="s" s="34">
        <v>167</v>
      </c>
    </row>
    <row r="11">
      <c r="B11" s="7" t="s">
        <v>187</v>
      </c>
      <c r="C11" s="8"/>
      <c r="D11" s="8"/>
      <c r="E11" s="8"/>
      <c r="F11" s="9"/>
      <c r="G11" s="22"/>
      <c r="H11" s="22"/>
    </row>
    <row r="12">
      <c r="B12" s="10"/>
      <c r="C12" s="16" t="s">
        <v>185</v>
      </c>
      <c r="D12" s="37"/>
      <c r="E12" s="37"/>
      <c r="F12" s="13"/>
      <c r="G12" s="47" t="n">
        <f>Hoja3!L24-Hoja3!L25-Hoja3!L26</f>
      </c>
      <c r="H12" s="47" t="n">
        <f>Hoja3!L44-Hoja3!L45-Hoja3!L46</f>
      </c>
    </row>
    <row r="13">
      <c r="B13" s="10"/>
      <c r="C13" s="17"/>
      <c r="D13" s="7" t="s">
        <v>188</v>
      </c>
      <c r="E13" s="8"/>
      <c r="F13" s="9"/>
      <c r="G13" s="22"/>
      <c r="H13" s="22"/>
    </row>
    <row r="14">
      <c r="B14" s="10"/>
      <c r="C14" s="17"/>
      <c r="D14" s="10"/>
      <c r="E14" s="16" t="s">
        <v>189</v>
      </c>
      <c r="F14" s="13"/>
      <c r="G14" s="47" t="n">
        <f>G38+G26</f>
      </c>
      <c r="H14" s="47" t="n">
        <f>H38+H26</f>
      </c>
    </row>
    <row r="15">
      <c r="B15" s="10"/>
      <c r="C15" s="17"/>
      <c r="D15" s="10"/>
      <c r="E15" s="17"/>
      <c r="F15" s="18" t="s">
        <v>190</v>
      </c>
      <c r="G15" s="46" t="n"/>
      <c r="H15" s="46" t="n"/>
    </row>
    <row r="16">
      <c r="B16" s="10"/>
      <c r="C16" s="17"/>
      <c r="D16" s="10"/>
      <c r="E16" s="14"/>
      <c r="F16" s="52" t="s">
        <v>191</v>
      </c>
      <c r="G16" s="47" t="n">
        <f>G15</f>
      </c>
      <c r="H16" s="47" t="n">
        <f>H15</f>
      </c>
    </row>
    <row r="17" ht="28.0" customHeight="true">
      <c r="B17" s="10"/>
      <c r="C17" s="17"/>
      <c r="D17" s="10"/>
      <c r="E17" s="7" t="s">
        <v>192</v>
      </c>
      <c r="F17" s="9"/>
      <c r="G17" s="22"/>
      <c r="H17" s="22"/>
    </row>
    <row r="18">
      <c r="B18" s="10"/>
      <c r="C18" s="17"/>
      <c r="D18" s="10"/>
      <c r="E18" s="10"/>
      <c r="F18" s="19" t="s">
        <v>193</v>
      </c>
      <c r="G18" s="47" t="n"/>
      <c r="H18" s="47" t="n"/>
    </row>
    <row r="19">
      <c r="B19" s="10"/>
      <c r="C19" s="17"/>
      <c r="D19" s="10"/>
      <c r="E19" s="10"/>
      <c r="F19" s="18" t="s">
        <v>194</v>
      </c>
      <c r="G19" s="46" t="n"/>
      <c r="H19" s="46" t="n"/>
    </row>
    <row r="20">
      <c r="B20" s="10"/>
      <c r="C20" s="17"/>
      <c r="D20" s="10"/>
      <c r="E20" s="10"/>
      <c r="F20" s="19" t="s">
        <v>195</v>
      </c>
      <c r="G20" s="47" t="n"/>
      <c r="H20" s="47" t="n"/>
    </row>
    <row r="21">
      <c r="B21" s="10"/>
      <c r="C21" s="17"/>
      <c r="D21" s="10"/>
      <c r="E21" s="10"/>
      <c r="F21" s="18" t="s">
        <v>196</v>
      </c>
      <c r="G21" s="46" t="n"/>
      <c r="H21" s="46" t="n"/>
    </row>
    <row r="22">
      <c r="B22" s="10"/>
      <c r="C22" s="17"/>
      <c r="D22" s="10"/>
      <c r="E22" s="11"/>
      <c r="F22" s="52" t="s">
        <v>197</v>
      </c>
      <c r="G22" s="47" t="n">
        <f>SUM(G18:G21)</f>
      </c>
      <c r="H22" s="47" t="n">
        <f>SUM(H18:H21)</f>
      </c>
    </row>
    <row r="23" ht="28.0" customHeight="true">
      <c r="B23" s="10"/>
      <c r="C23" s="17"/>
      <c r="D23" s="10"/>
      <c r="E23" s="11" t="s">
        <v>198</v>
      </c>
      <c r="F23" s="9"/>
      <c r="G23" s="46" t="n"/>
      <c r="H23" s="46" t="n"/>
    </row>
    <row r="24" ht="28.0" customHeight="true">
      <c r="B24" s="10"/>
      <c r="C24" s="17"/>
      <c r="D24" s="10"/>
      <c r="E24" s="14" t="s">
        <v>199</v>
      </c>
      <c r="F24" s="13"/>
      <c r="G24" s="47" t="n"/>
      <c r="H24" s="47" t="n"/>
    </row>
    <row r="25" ht="28.0" customHeight="true">
      <c r="B25" s="10"/>
      <c r="C25" s="17"/>
      <c r="D25" s="11"/>
      <c r="E25" s="11" t="s">
        <v>200</v>
      </c>
      <c r="F25" s="9"/>
      <c r="G25" s="46" t="n"/>
      <c r="H25" s="46" t="n"/>
    </row>
    <row r="26">
      <c r="B26" s="10"/>
      <c r="C26" s="17"/>
      <c r="D26" s="16" t="s">
        <v>201</v>
      </c>
      <c r="E26" s="37"/>
      <c r="F26" s="13"/>
      <c r="G26" s="47" t="n">
        <f>G16+SUM(G22:G25)</f>
      </c>
      <c r="H26" s="47" t="n">
        <f>H16+SUM(H22:H25)</f>
      </c>
    </row>
    <row r="27" ht="28.0" customHeight="true">
      <c r="B27" s="10"/>
      <c r="C27" s="17"/>
      <c r="D27" s="17"/>
      <c r="E27" s="7" t="s">
        <v>202</v>
      </c>
      <c r="F27" s="9"/>
      <c r="G27" s="22"/>
      <c r="H27" s="22"/>
    </row>
    <row r="28">
      <c r="B28" s="10"/>
      <c r="C28" s="17"/>
      <c r="D28" s="17"/>
      <c r="E28" s="10"/>
      <c r="F28" s="19" t="s">
        <v>203</v>
      </c>
      <c r="G28" s="47" t="n"/>
      <c r="H28" s="47" t="n"/>
    </row>
    <row r="29">
      <c r="B29" s="10"/>
      <c r="C29" s="17"/>
      <c r="D29" s="14"/>
      <c r="E29" s="11"/>
      <c r="F29" s="51" t="s">
        <v>204</v>
      </c>
      <c r="G29" s="46" t="n">
        <f>G28</f>
      </c>
      <c r="H29" s="46" t="n">
        <f>H28</f>
      </c>
    </row>
    <row r="30" ht="28.0" customHeight="true">
      <c r="B30" s="10"/>
      <c r="C30" s="17"/>
      <c r="D30" s="16" t="s">
        <v>205</v>
      </c>
      <c r="E30" s="37"/>
      <c r="F30" s="13"/>
      <c r="G30" s="23"/>
      <c r="H30" s="23"/>
    </row>
    <row r="31" ht="42.0" customHeight="true">
      <c r="B31" s="10"/>
      <c r="C31" s="17"/>
      <c r="D31" s="17"/>
      <c r="E31" s="11" t="s">
        <v>206</v>
      </c>
      <c r="F31" s="9"/>
      <c r="G31" s="46" t="n"/>
      <c r="H31" s="46" t="n"/>
    </row>
    <row r="32" ht="28.0" customHeight="true">
      <c r="B32" s="10"/>
      <c r="C32" s="17"/>
      <c r="D32" s="17"/>
      <c r="E32" s="14" t="s">
        <v>207</v>
      </c>
      <c r="F32" s="13"/>
      <c r="G32" s="47" t="n"/>
      <c r="H32" s="47" t="n"/>
    </row>
    <row r="33" ht="28.0" customHeight="true">
      <c r="B33" s="10"/>
      <c r="C33" s="17"/>
      <c r="D33" s="17"/>
      <c r="E33" s="11" t="s">
        <v>208</v>
      </c>
      <c r="F33" s="9"/>
      <c r="G33" s="46" t="n"/>
      <c r="H33" s="46" t="n"/>
    </row>
    <row r="34" ht="28.0" customHeight="true">
      <c r="B34" s="10"/>
      <c r="C34" s="17"/>
      <c r="D34" s="17"/>
      <c r="E34" s="14" t="s">
        <v>209</v>
      </c>
      <c r="F34" s="13"/>
      <c r="G34" s="47" t="n"/>
      <c r="H34" s="47" t="n"/>
    </row>
    <row r="35" ht="28.0" customHeight="true">
      <c r="B35" s="10"/>
      <c r="C35" s="17"/>
      <c r="D35" s="14"/>
      <c r="E35" s="45" t="s">
        <v>210</v>
      </c>
      <c r="F35" s="44"/>
      <c r="G35" s="46" t="n">
        <f>SUM(G31:G34)</f>
      </c>
      <c r="H35" s="46" t="n">
        <f>SUM(H31:H34)</f>
      </c>
    </row>
    <row r="36" ht="42.0" customHeight="true">
      <c r="B36" s="10"/>
      <c r="C36" s="17"/>
      <c r="D36" s="14" t="s">
        <v>211</v>
      </c>
      <c r="E36" s="37"/>
      <c r="F36" s="13"/>
      <c r="G36" s="47" t="n"/>
      <c r="H36" s="47" t="n"/>
    </row>
    <row r="37" ht="42.0" customHeight="true">
      <c r="B37" s="10"/>
      <c r="C37" s="17"/>
      <c r="D37" s="11" t="s">
        <v>212</v>
      </c>
      <c r="E37" s="8"/>
      <c r="F37" s="9"/>
      <c r="G37" s="46" t="n"/>
      <c r="H37" s="46" t="n"/>
    </row>
    <row r="38">
      <c r="B38" s="10"/>
      <c r="C38" s="17"/>
      <c r="D38" s="40" t="s">
        <v>213</v>
      </c>
      <c r="E38" s="41"/>
      <c r="F38" s="39"/>
      <c r="G38" s="47" t="n">
        <f>G29+SUM(G35:G37)</f>
      </c>
      <c r="H38" s="47" t="n">
        <f>H29+SUM(H35:H37)</f>
      </c>
    </row>
    <row r="39">
      <c r="B39" s="10"/>
      <c r="C39" s="14"/>
      <c r="D39" s="11" t="s">
        <v>189</v>
      </c>
      <c r="E39" s="8"/>
      <c r="F39" s="9"/>
      <c r="G39" s="46" t="n">
        <f>G38+G26</f>
      </c>
      <c r="H39" s="46" t="n">
        <f>H38+H26</f>
      </c>
    </row>
    <row r="40">
      <c r="B40" s="11"/>
      <c r="C40" s="14" t="s">
        <v>214</v>
      </c>
      <c r="D40" s="37"/>
      <c r="E40" s="37"/>
      <c r="F40" s="13"/>
      <c r="G40" s="53" t="n">
        <f>G14+G12</f>
      </c>
      <c r="H40" s="53" t="n">
        <f>H14+H12</f>
      </c>
    </row>
  </sheetData>
  <mergeCells>
    <mergeCell ref="B11:F11"/>
    <mergeCell ref="C12:F12"/>
    <mergeCell ref="D13:F13"/>
    <mergeCell ref="E14:F14"/>
    <mergeCell ref="E17:F17"/>
    <mergeCell ref="E23:F23"/>
    <mergeCell ref="E24:F24"/>
    <mergeCell ref="E25:F25"/>
    <mergeCell ref="D26:F26"/>
    <mergeCell ref="E27:F27"/>
    <mergeCell ref="D30:F30"/>
    <mergeCell ref="E31:F31"/>
    <mergeCell ref="E32:F32"/>
    <mergeCell ref="E33:F33"/>
    <mergeCell ref="E34:F34"/>
    <mergeCell ref="E35:F35"/>
    <mergeCell ref="D36:F36"/>
    <mergeCell ref="D37:F37"/>
    <mergeCell ref="D38:F38"/>
    <mergeCell ref="D39:F39"/>
    <mergeCell ref="C40:F40"/>
  </mergeCells>
  <hyperlinks>
    <hyperlink location="'Indice'!A1" ref="B2"/>
  </hyperlinks>
  <pageMargins bottom="0.75" footer="0.3" header="0.3" left="0.7" right="0.7" top="0.75"/>
</worksheet>
</file>

<file path=xl/worksheets/sheet7.xml><?xml version="1.0" encoding="utf-8"?>
<worksheet xmlns="http://schemas.openxmlformats.org/spreadsheetml/2006/main">
  <dimension ref="B2:N159"/>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215</v>
      </c>
    </row>
    <row r="6">
      <c r="B6" t="s" s="1">
        <v>8</v>
      </c>
      <c r="C6" t="s">
        <v>9</v>
      </c>
    </row>
    <row r="7">
      <c r="B7" t="s" s="1">
        <v>10</v>
      </c>
      <c r="C7" t="s">
        <v>9</v>
      </c>
    </row>
    <row r="9">
      <c r="B9" t="s" s="1">
        <v>11</v>
      </c>
      <c r="C9" t="s">
        <v>12</v>
      </c>
    </row>
    <row r="10">
      <c r="F10" t="s" s="4">
        <v>216</v>
      </c>
      <c r="G10" s="29"/>
      <c r="H10" s="29"/>
      <c r="I10" s="29"/>
      <c r="J10" s="29"/>
      <c r="K10" s="29"/>
      <c r="L10" s="29"/>
      <c r="M10" s="30"/>
    </row>
    <row r="11">
      <c r="F11" t="s" s="34">
        <v>38</v>
      </c>
      <c r="G11" t="s" s="6">
        <v>39</v>
      </c>
      <c r="H11" t="s" s="34">
        <v>40</v>
      </c>
      <c r="I11" t="s" s="6">
        <v>41</v>
      </c>
      <c r="J11" t="s" s="34">
        <v>42</v>
      </c>
      <c r="K11" t="s" s="6">
        <v>43</v>
      </c>
      <c r="L11" t="s" s="34">
        <v>44</v>
      </c>
      <c r="M11" s="36"/>
    </row>
    <row r="12">
      <c r="B12" s="7" t="s">
        <v>217</v>
      </c>
      <c r="C12" s="8"/>
      <c r="D12" s="8"/>
      <c r="E12" s="9"/>
      <c r="F12" s="23"/>
      <c r="G12" s="23"/>
      <c r="H12" s="23"/>
      <c r="I12" s="23"/>
      <c r="J12" s="23"/>
      <c r="K12" s="23"/>
      <c r="L12" s="23"/>
      <c r="M12" s="23"/>
    </row>
    <row r="13" ht="28.0" customHeight="true">
      <c r="B13" s="10"/>
      <c r="C13" s="16" t="s">
        <v>218</v>
      </c>
      <c r="D13" s="37"/>
      <c r="E13" s="13"/>
      <c r="F13" s="22"/>
      <c r="G13" s="22"/>
      <c r="H13" s="22"/>
      <c r="I13" s="22"/>
      <c r="J13" s="22"/>
      <c r="K13" s="22"/>
      <c r="L13" s="22"/>
      <c r="M13" s="22"/>
    </row>
    <row r="14">
      <c r="B14" s="10"/>
      <c r="C14" s="17"/>
      <c r="D14" s="7" t="s">
        <v>219</v>
      </c>
      <c r="E14" s="9"/>
      <c r="F14" s="23"/>
      <c r="G14" s="23"/>
      <c r="H14" s="23"/>
      <c r="I14" s="23"/>
      <c r="J14" s="23"/>
      <c r="K14" s="23"/>
      <c r="L14" s="23"/>
      <c r="M14" s="23"/>
    </row>
    <row r="15">
      <c r="B15" s="10"/>
      <c r="C15" s="17"/>
      <c r="D15" s="10"/>
      <c r="E15" s="19" t="s">
        <v>220</v>
      </c>
      <c r="F15" s="46" t="n"/>
      <c r="G15" s="46" t="n"/>
      <c r="H15" s="46" t="n"/>
      <c r="I15" s="46" t="n"/>
      <c r="J15" s="46" t="n"/>
      <c r="K15" s="46" t="n"/>
      <c r="L15" s="46" t="n"/>
      <c r="M15" s="46" t="n"/>
    </row>
    <row r="16">
      <c r="B16" s="10"/>
      <c r="C16" s="17"/>
      <c r="D16" s="10"/>
      <c r="E16" s="18" t="s">
        <v>221</v>
      </c>
      <c r="F16" s="47" t="n"/>
      <c r="G16" s="47" t="n"/>
      <c r="H16" s="47" t="n"/>
      <c r="I16" s="47" t="n"/>
      <c r="J16" s="47" t="n"/>
      <c r="K16" s="47" t="n"/>
      <c r="L16" s="47" t="n"/>
      <c r="M16" s="47" t="n"/>
    </row>
    <row r="17">
      <c r="B17" s="10"/>
      <c r="C17" s="17"/>
      <c r="D17" s="10"/>
      <c r="E17" s="19" t="s">
        <v>222</v>
      </c>
      <c r="F17" s="46" t="n"/>
      <c r="G17" s="46" t="n"/>
      <c r="H17" s="46" t="n"/>
      <c r="I17" s="46" t="n"/>
      <c r="J17" s="46" t="n"/>
      <c r="K17" s="46" t="n"/>
      <c r="L17" s="46" t="n"/>
      <c r="M17" s="46" t="n"/>
    </row>
    <row r="18">
      <c r="B18" s="10"/>
      <c r="C18" s="17"/>
      <c r="D18" s="10"/>
      <c r="E18" s="18" t="s">
        <v>223</v>
      </c>
      <c r="F18" s="47" t="n"/>
      <c r="G18" s="47" t="n"/>
      <c r="H18" s="47" t="n"/>
      <c r="I18" s="47" t="n"/>
      <c r="J18" s="47" t="n"/>
      <c r="K18" s="47" t="n"/>
      <c r="L18" s="47" t="n"/>
      <c r="M18" s="47" t="n"/>
    </row>
    <row r="19">
      <c r="B19" s="10"/>
      <c r="C19" s="17"/>
      <c r="D19" s="10"/>
      <c r="E19" s="19" t="s">
        <v>224</v>
      </c>
      <c r="F19" s="46" t="n"/>
      <c r="G19" s="46" t="n"/>
      <c r="H19" s="46" t="n"/>
      <c r="I19" s="46" t="n"/>
      <c r="J19" s="46" t="n"/>
      <c r="K19" s="46" t="n"/>
      <c r="L19" s="46" t="n"/>
      <c r="M19" s="46" t="n"/>
    </row>
    <row r="20">
      <c r="B20" s="10"/>
      <c r="C20" s="17"/>
      <c r="D20" s="11"/>
      <c r="E20" s="18" t="s">
        <v>225</v>
      </c>
      <c r="F20" s="47" t="n"/>
      <c r="G20" s="47" t="n"/>
      <c r="H20" s="47" t="n"/>
      <c r="I20" s="47" t="n"/>
      <c r="J20" s="47" t="n"/>
      <c r="K20" s="47" t="n"/>
      <c r="L20" s="47" t="n"/>
      <c r="M20" s="47" t="n"/>
    </row>
    <row r="21" ht="28.0" customHeight="true">
      <c r="B21" s="10"/>
      <c r="C21" s="17"/>
      <c r="D21" s="16" t="s">
        <v>226</v>
      </c>
      <c r="E21" s="13"/>
      <c r="F21" s="22"/>
      <c r="G21" s="22"/>
      <c r="H21" s="22"/>
      <c r="I21" s="22"/>
      <c r="J21" s="22"/>
      <c r="K21" s="22"/>
      <c r="L21" s="22"/>
      <c r="M21" s="22"/>
    </row>
    <row r="22">
      <c r="B22" s="10"/>
      <c r="C22" s="17"/>
      <c r="D22" s="17"/>
      <c r="E22" s="18" t="s">
        <v>227</v>
      </c>
      <c r="F22" s="47" t="n"/>
      <c r="G22" s="47" t="n"/>
      <c r="H22" s="47" t="n"/>
      <c r="I22" s="47" t="n"/>
      <c r="J22" s="47" t="n"/>
      <c r="K22" s="47" t="n"/>
      <c r="L22" s="47" t="n"/>
      <c r="M22" s="47" t="n"/>
    </row>
    <row r="23">
      <c r="B23" s="10"/>
      <c r="C23" s="17"/>
      <c r="D23" s="17"/>
      <c r="E23" s="19" t="s">
        <v>228</v>
      </c>
      <c r="F23" s="46" t="n"/>
      <c r="G23" s="46" t="n"/>
      <c r="H23" s="46" t="n"/>
      <c r="I23" s="46" t="n"/>
      <c r="J23" s="46" t="n"/>
      <c r="K23" s="46" t="n"/>
      <c r="L23" s="46" t="n"/>
      <c r="M23" s="46" t="n"/>
    </row>
    <row r="24">
      <c r="B24" s="10"/>
      <c r="C24" s="17"/>
      <c r="D24" s="17"/>
      <c r="E24" s="18" t="s">
        <v>229</v>
      </c>
      <c r="F24" s="47" t="n"/>
      <c r="G24" s="47" t="n"/>
      <c r="H24" s="47" t="n"/>
      <c r="I24" s="47" t="n"/>
      <c r="J24" s="47" t="n"/>
      <c r="K24" s="47" t="n"/>
      <c r="L24" s="47" t="n"/>
      <c r="M24" s="47" t="n"/>
    </row>
    <row r="25">
      <c r="B25" s="10"/>
      <c r="C25" s="17"/>
      <c r="D25" s="17"/>
      <c r="E25" s="19" t="s">
        <v>230</v>
      </c>
      <c r="F25" s="46" t="n"/>
      <c r="G25" s="46" t="n"/>
      <c r="H25" s="46" t="n"/>
      <c r="I25" s="46" t="n"/>
      <c r="J25" s="46" t="n"/>
      <c r="K25" s="46" t="n"/>
      <c r="L25" s="46" t="n"/>
      <c r="M25" s="46" t="n"/>
    </row>
    <row r="26">
      <c r="B26" s="10"/>
      <c r="C26" s="17"/>
      <c r="D26" s="17"/>
      <c r="E26" s="18" t="s">
        <v>231</v>
      </c>
      <c r="F26" s="47" t="n"/>
      <c r="G26" s="47" t="n"/>
      <c r="H26" s="47" t="n"/>
      <c r="I26" s="47" t="n"/>
      <c r="J26" s="47" t="n"/>
      <c r="K26" s="47" t="n"/>
      <c r="L26" s="47" t="n"/>
      <c r="M26" s="47" t="n"/>
    </row>
    <row r="27">
      <c r="B27" s="10"/>
      <c r="C27" s="17"/>
      <c r="D27" s="17"/>
      <c r="E27" s="19" t="s">
        <v>232</v>
      </c>
      <c r="F27" s="46" t="n"/>
      <c r="G27" s="46" t="n"/>
      <c r="H27" s="46" t="n"/>
      <c r="I27" s="46" t="n"/>
      <c r="J27" s="46" t="n"/>
      <c r="K27" s="46" t="n"/>
      <c r="L27" s="46" t="n"/>
      <c r="M27" s="46" t="n"/>
    </row>
    <row r="28">
      <c r="B28" s="10"/>
      <c r="C28" s="17"/>
      <c r="D28" s="14"/>
      <c r="E28" s="18" t="s">
        <v>233</v>
      </c>
      <c r="F28" s="47" t="n"/>
      <c r="G28" s="47" t="n"/>
      <c r="H28" s="47" t="n"/>
      <c r="I28" s="47" t="n"/>
      <c r="J28" s="47" t="n"/>
      <c r="K28" s="47" t="n"/>
      <c r="L28" s="47" t="n"/>
      <c r="M28" s="47" t="n"/>
    </row>
    <row r="29">
      <c r="B29" s="10"/>
      <c r="C29" s="17"/>
      <c r="D29" s="14" t="s">
        <v>234</v>
      </c>
      <c r="E29" s="13"/>
      <c r="F29" s="46" t="n">
        <f>SUM(F15:F20)-SUM(F22:F28)</f>
      </c>
      <c r="G29" s="46" t="n">
        <f>SUM(G15:G20)-SUM(G22:G28)</f>
      </c>
      <c r="H29" s="46" t="n">
        <f>SUM(H15:H20)-SUM(H22:H28)</f>
      </c>
      <c r="I29" s="46" t="n">
        <f>SUM(I15:I20)-SUM(I22:I28)</f>
      </c>
      <c r="J29" s="46" t="n">
        <f>SUM(J15:J20)-SUM(J22:J28)</f>
      </c>
      <c r="K29" s="46" t="n">
        <f>SUM(K15:K20)-SUM(K22:K28)</f>
      </c>
      <c r="L29" s="46" t="n">
        <f>SUM(L15:L20)-SUM(L22:L28)</f>
      </c>
      <c r="M29" s="46" t="n">
        <f>SUM(M15:M20)-SUM(M22:M28)</f>
      </c>
    </row>
    <row r="30">
      <c r="B30" s="10"/>
      <c r="C30" s="17"/>
      <c r="D30" s="11" t="s">
        <v>235</v>
      </c>
      <c r="E30" s="9"/>
      <c r="F30" s="47" t="n"/>
      <c r="G30" s="47" t="n"/>
      <c r="H30" s="47" t="n"/>
      <c r="I30" s="47" t="n"/>
      <c r="J30" s="47" t="n"/>
      <c r="K30" s="47" t="n"/>
      <c r="L30" s="47" t="n"/>
      <c r="M30" s="47" t="n"/>
    </row>
    <row r="31">
      <c r="B31" s="10"/>
      <c r="C31" s="17"/>
      <c r="D31" s="14" t="s">
        <v>236</v>
      </c>
      <c r="E31" s="13"/>
      <c r="F31" s="46" t="n"/>
      <c r="G31" s="46" t="n"/>
      <c r="H31" s="46" t="n"/>
      <c r="I31" s="46" t="n"/>
      <c r="J31" s="46" t="n"/>
      <c r="K31" s="46" t="n"/>
      <c r="L31" s="46" t="n"/>
      <c r="M31" s="46" t="n"/>
    </row>
    <row r="32">
      <c r="B32" s="10"/>
      <c r="C32" s="17"/>
      <c r="D32" s="11" t="s">
        <v>237</v>
      </c>
      <c r="E32" s="9"/>
      <c r="F32" s="47" t="n"/>
      <c r="G32" s="47" t="n"/>
      <c r="H32" s="47" t="n"/>
      <c r="I32" s="47" t="n"/>
      <c r="J32" s="47" t="n"/>
      <c r="K32" s="47" t="n"/>
      <c r="L32" s="47" t="n"/>
      <c r="M32" s="47" t="n"/>
    </row>
    <row r="33">
      <c r="B33" s="10"/>
      <c r="C33" s="17"/>
      <c r="D33" s="14" t="s">
        <v>238</v>
      </c>
      <c r="E33" s="13"/>
      <c r="F33" s="46" t="n"/>
      <c r="G33" s="46" t="n"/>
      <c r="H33" s="46" t="n"/>
      <c r="I33" s="46" t="n"/>
      <c r="J33" s="46" t="n"/>
      <c r="K33" s="46" t="n"/>
      <c r="L33" s="46" t="n"/>
      <c r="M33" s="46" t="n"/>
    </row>
    <row r="34">
      <c r="B34" s="10"/>
      <c r="C34" s="17"/>
      <c r="D34" s="11" t="s">
        <v>239</v>
      </c>
      <c r="E34" s="9"/>
      <c r="F34" s="47" t="n"/>
      <c r="G34" s="47" t="n"/>
      <c r="H34" s="47" t="n"/>
      <c r="I34" s="47" t="n"/>
      <c r="J34" s="47" t="n"/>
      <c r="K34" s="47" t="n"/>
      <c r="L34" s="47" t="n"/>
      <c r="M34" s="47" t="n"/>
    </row>
    <row r="35">
      <c r="B35" s="10"/>
      <c r="C35" s="17"/>
      <c r="D35" s="14" t="s">
        <v>240</v>
      </c>
      <c r="E35" s="13"/>
      <c r="F35" s="46" t="n"/>
      <c r="G35" s="46" t="n"/>
      <c r="H35" s="46" t="n"/>
      <c r="I35" s="46" t="n"/>
      <c r="J35" s="46" t="n"/>
      <c r="K35" s="46" t="n"/>
      <c r="L35" s="46" t="n"/>
      <c r="M35" s="46" t="n"/>
    </row>
    <row r="36" ht="28.0" customHeight="true">
      <c r="B36" s="10"/>
      <c r="C36" s="14"/>
      <c r="D36" s="45" t="s">
        <v>241</v>
      </c>
      <c r="E36" s="44"/>
      <c r="F36" s="47" t="n">
        <f>-F32+F29-F34-F30+F33+F31+F35</f>
      </c>
      <c r="G36" s="47" t="n">
        <f>-G32+G29-G34-G30+G33+G31+G35</f>
      </c>
      <c r="H36" s="47" t="n">
        <f>-H32+H29-H34-H30+H33+H31+H35</f>
      </c>
      <c r="I36" s="47" t="n">
        <f>-I32+I29-I34-I30+I33+I31+I35</f>
      </c>
      <c r="J36" s="47" t="n">
        <f>-J32+J29-J34-J30+J33+J31+J35</f>
      </c>
      <c r="K36" s="47" t="n">
        <f>-K32+K29-K34-K30+K33+K31+K35</f>
      </c>
      <c r="L36" s="47" t="n">
        <f>-L32+L29-L34-L30+L33+L31+L35</f>
      </c>
      <c r="M36" s="47" t="n">
        <f>-M32+M29-M34-M30+M33+M31+M35</f>
      </c>
    </row>
    <row r="37" ht="28.0" customHeight="true">
      <c r="B37" s="10"/>
      <c r="C37" s="16" t="s">
        <v>242</v>
      </c>
      <c r="D37" s="37"/>
      <c r="E37" s="13"/>
      <c r="F37" s="22"/>
      <c r="G37" s="22"/>
      <c r="H37" s="22"/>
      <c r="I37" s="22"/>
      <c r="J37" s="22"/>
      <c r="K37" s="22"/>
      <c r="L37" s="22"/>
      <c r="M37" s="22"/>
    </row>
    <row r="38" ht="28.0" customHeight="true">
      <c r="B38" s="10"/>
      <c r="C38" s="17"/>
      <c r="D38" s="11" t="s">
        <v>243</v>
      </c>
      <c r="E38" s="9"/>
      <c r="F38" s="47" t="n"/>
      <c r="G38" s="47" t="n"/>
      <c r="H38" s="47" t="n"/>
      <c r="I38" s="47" t="n"/>
      <c r="J38" s="47" t="n"/>
      <c r="K38" s="47" t="n"/>
      <c r="L38" s="47" t="n"/>
      <c r="M38" s="47" t="n"/>
    </row>
    <row r="39" ht="28.0" customHeight="true">
      <c r="B39" s="10"/>
      <c r="C39" s="17"/>
      <c r="D39" s="14" t="s">
        <v>244</v>
      </c>
      <c r="E39" s="13"/>
      <c r="F39" s="46" t="n"/>
      <c r="G39" s="46" t="n"/>
      <c r="H39" s="46" t="n"/>
      <c r="I39" s="46" t="n"/>
      <c r="J39" s="46" t="n"/>
      <c r="K39" s="46" t="n"/>
      <c r="L39" s="46" t="n"/>
      <c r="M39" s="46" t="n"/>
    </row>
    <row r="40" ht="28.0" customHeight="true">
      <c r="B40" s="10"/>
      <c r="C40" s="17"/>
      <c r="D40" s="11" t="s">
        <v>245</v>
      </c>
      <c r="E40" s="9"/>
      <c r="F40" s="47" t="n"/>
      <c r="G40" s="47" t="n"/>
      <c r="H40" s="47" t="n"/>
      <c r="I40" s="47" t="n"/>
      <c r="J40" s="47" t="n"/>
      <c r="K40" s="47" t="n"/>
      <c r="L40" s="47" t="n"/>
      <c r="M40" s="47" t="n"/>
    </row>
    <row r="41" ht="28.0" customHeight="true">
      <c r="B41" s="10"/>
      <c r="C41" s="17"/>
      <c r="D41" s="14" t="s">
        <v>246</v>
      </c>
      <c r="E41" s="13"/>
      <c r="F41" s="46" t="n"/>
      <c r="G41" s="46" t="n"/>
      <c r="H41" s="46" t="n"/>
      <c r="I41" s="46" t="n"/>
      <c r="J41" s="46" t="n"/>
      <c r="K41" s="46" t="n"/>
      <c r="L41" s="46" t="n"/>
      <c r="M41" s="46" t="n"/>
    </row>
    <row r="42">
      <c r="B42" s="10"/>
      <c r="C42" s="17"/>
      <c r="D42" s="11" t="s">
        <v>247</v>
      </c>
      <c r="E42" s="9"/>
      <c r="F42" s="47" t="n"/>
      <c r="G42" s="47" t="n"/>
      <c r="H42" s="47" t="n"/>
      <c r="I42" s="47" t="n"/>
      <c r="J42" s="47" t="n"/>
      <c r="K42" s="47" t="n"/>
      <c r="L42" s="47" t="n"/>
      <c r="M42" s="47" t="n"/>
    </row>
    <row r="43">
      <c r="B43" s="10"/>
      <c r="C43" s="17"/>
      <c r="D43" s="14" t="s">
        <v>248</v>
      </c>
      <c r="E43" s="13"/>
      <c r="F43" s="46" t="n"/>
      <c r="G43" s="46" t="n"/>
      <c r="H43" s="46" t="n"/>
      <c r="I43" s="46" t="n"/>
      <c r="J43" s="46" t="n"/>
      <c r="K43" s="46" t="n"/>
      <c r="L43" s="46" t="n"/>
      <c r="M43" s="46" t="n"/>
    </row>
    <row r="44" ht="28.0" customHeight="true">
      <c r="B44" s="10"/>
      <c r="C44" s="17"/>
      <c r="D44" s="11" t="s">
        <v>249</v>
      </c>
      <c r="E44" s="9"/>
      <c r="F44" s="47" t="n"/>
      <c r="G44" s="47" t="n"/>
      <c r="H44" s="47" t="n"/>
      <c r="I44" s="47" t="n"/>
      <c r="J44" s="47" t="n"/>
      <c r="K44" s="47" t="n"/>
      <c r="L44" s="47" t="n"/>
      <c r="M44" s="47" t="n"/>
    </row>
    <row r="45">
      <c r="B45" s="10"/>
      <c r="C45" s="17"/>
      <c r="D45" s="14" t="s">
        <v>250</v>
      </c>
      <c r="E45" s="13"/>
      <c r="F45" s="46" t="n"/>
      <c r="G45" s="46" t="n"/>
      <c r="H45" s="46" t="n"/>
      <c r="I45" s="46" t="n"/>
      <c r="J45" s="46" t="n"/>
      <c r="K45" s="46" t="n"/>
      <c r="L45" s="46" t="n"/>
      <c r="M45" s="46" t="n"/>
    </row>
    <row r="46" ht="56.0" customHeight="true">
      <c r="B46" s="10"/>
      <c r="C46" s="17"/>
      <c r="D46" s="11" t="s">
        <v>251</v>
      </c>
      <c r="E46" s="9"/>
      <c r="F46" s="47" t="n"/>
      <c r="G46" s="47" t="n"/>
      <c r="H46" s="47" t="n"/>
      <c r="I46" s="47" t="n"/>
      <c r="J46" s="47" t="n"/>
      <c r="K46" s="47" t="n"/>
      <c r="L46" s="47" t="n"/>
      <c r="M46" s="47" t="n"/>
    </row>
    <row r="47">
      <c r="B47" s="10"/>
      <c r="C47" s="17"/>
      <c r="D47" s="14" t="s">
        <v>252</v>
      </c>
      <c r="E47" s="13"/>
      <c r="F47" s="46" t="n"/>
      <c r="G47" s="46" t="n"/>
      <c r="H47" s="46" t="n"/>
      <c r="I47" s="46" t="n"/>
      <c r="J47" s="46" t="n"/>
      <c r="K47" s="46" t="n"/>
      <c r="L47" s="46" t="n"/>
      <c r="M47" s="46" t="n"/>
    </row>
    <row r="48">
      <c r="B48" s="10"/>
      <c r="C48" s="17"/>
      <c r="D48" s="11" t="s">
        <v>253</v>
      </c>
      <c r="E48" s="9"/>
      <c r="F48" s="47" t="n"/>
      <c r="G48" s="47" t="n"/>
      <c r="H48" s="47" t="n"/>
      <c r="I48" s="47" t="n"/>
      <c r="J48" s="47" t="n"/>
      <c r="K48" s="47" t="n"/>
      <c r="L48" s="47" t="n"/>
      <c r="M48" s="47" t="n"/>
    </row>
    <row r="49">
      <c r="B49" s="10"/>
      <c r="C49" s="17"/>
      <c r="D49" s="14" t="s">
        <v>254</v>
      </c>
      <c r="E49" s="13"/>
      <c r="F49" s="46" t="n"/>
      <c r="G49" s="46" t="n"/>
      <c r="H49" s="46" t="n"/>
      <c r="I49" s="46" t="n"/>
      <c r="J49" s="46" t="n"/>
      <c r="K49" s="46" t="n"/>
      <c r="L49" s="46" t="n"/>
      <c r="M49" s="46" t="n"/>
    </row>
    <row r="50" ht="28.0" customHeight="true">
      <c r="B50" s="10"/>
      <c r="C50" s="17"/>
      <c r="D50" s="11" t="s">
        <v>255</v>
      </c>
      <c r="E50" s="9"/>
      <c r="F50" s="47" t="n"/>
      <c r="G50" s="47" t="n"/>
      <c r="H50" s="47" t="n"/>
      <c r="I50" s="47" t="n"/>
      <c r="J50" s="47" t="n"/>
      <c r="K50" s="47" t="n"/>
      <c r="L50" s="47" t="n"/>
      <c r="M50" s="47" t="n"/>
    </row>
    <row r="51" ht="42.0" customHeight="true">
      <c r="B51" s="10"/>
      <c r="C51" s="17"/>
      <c r="D51" s="14" t="s">
        <v>256</v>
      </c>
      <c r="E51" s="13"/>
      <c r="F51" s="46" t="n"/>
      <c r="G51" s="46" t="n"/>
      <c r="H51" s="46" t="n"/>
      <c r="I51" s="46" t="n"/>
      <c r="J51" s="46" t="n"/>
      <c r="K51" s="46" t="n"/>
      <c r="L51" s="46" t="n"/>
      <c r="M51" s="46" t="n"/>
    </row>
    <row r="52" ht="56.0" customHeight="true">
      <c r="B52" s="10"/>
      <c r="C52" s="17"/>
      <c r="D52" s="11" t="s">
        <v>257</v>
      </c>
      <c r="E52" s="9"/>
      <c r="F52" s="47" t="n"/>
      <c r="G52" s="47" t="n"/>
      <c r="H52" s="47" t="n"/>
      <c r="I52" s="47" t="n"/>
      <c r="J52" s="47" t="n"/>
      <c r="K52" s="47" t="n"/>
      <c r="L52" s="47" t="n"/>
      <c r="M52" s="47" t="n"/>
    </row>
    <row r="53" ht="70.0" customHeight="true">
      <c r="B53" s="10"/>
      <c r="C53" s="17"/>
      <c r="D53" s="14" t="s">
        <v>258</v>
      </c>
      <c r="E53" s="13"/>
      <c r="F53" s="46" t="n"/>
      <c r="G53" s="46" t="n"/>
      <c r="H53" s="46" t="n"/>
      <c r="I53" s="46" t="n"/>
      <c r="J53" s="46" t="n"/>
      <c r="K53" s="46" t="n"/>
      <c r="L53" s="46" t="n"/>
      <c r="M53" s="46" t="n"/>
    </row>
    <row r="54">
      <c r="B54" s="10"/>
      <c r="C54" s="17"/>
      <c r="D54" s="11" t="s">
        <v>259</v>
      </c>
      <c r="E54" s="9"/>
      <c r="F54" s="47" t="n"/>
      <c r="G54" s="47" t="n"/>
      <c r="H54" s="47" t="n"/>
      <c r="I54" s="47" t="n"/>
      <c r="J54" s="47" t="n"/>
      <c r="K54" s="47" t="n"/>
      <c r="L54" s="47" t="n"/>
      <c r="M54" s="47" t="n"/>
    </row>
    <row r="55">
      <c r="B55" s="10"/>
      <c r="C55" s="17"/>
      <c r="D55" s="14" t="s">
        <v>260</v>
      </c>
      <c r="E55" s="13"/>
      <c r="F55" s="46" t="n"/>
      <c r="G55" s="46" t="n"/>
      <c r="H55" s="46" t="n"/>
      <c r="I55" s="46" t="n"/>
      <c r="J55" s="46" t="n"/>
      <c r="K55" s="46" t="n"/>
      <c r="L55" s="46" t="n"/>
      <c r="M55" s="46" t="n"/>
    </row>
    <row r="56">
      <c r="B56" s="10"/>
      <c r="C56" s="17"/>
      <c r="D56" s="11" t="s">
        <v>261</v>
      </c>
      <c r="E56" s="9"/>
      <c r="F56" s="47" t="n"/>
      <c r="G56" s="47" t="n"/>
      <c r="H56" s="47" t="n"/>
      <c r="I56" s="47" t="n"/>
      <c r="J56" s="47" t="n"/>
      <c r="K56" s="47" t="n"/>
      <c r="L56" s="47" t="n"/>
      <c r="M56" s="47" t="n"/>
    </row>
    <row r="57">
      <c r="B57" s="10"/>
      <c r="C57" s="17"/>
      <c r="D57" s="14" t="s">
        <v>239</v>
      </c>
      <c r="E57" s="13"/>
      <c r="F57" s="46" t="n"/>
      <c r="G57" s="46" t="n"/>
      <c r="H57" s="46" t="n"/>
      <c r="I57" s="46" t="n"/>
      <c r="J57" s="46" t="n"/>
      <c r="K57" s="46" t="n"/>
      <c r="L57" s="46" t="n"/>
      <c r="M57" s="46" t="n"/>
    </row>
    <row r="58">
      <c r="B58" s="10"/>
      <c r="C58" s="17"/>
      <c r="D58" s="11" t="s">
        <v>262</v>
      </c>
      <c r="E58" s="9"/>
      <c r="F58" s="47" t="n"/>
      <c r="G58" s="47" t="n"/>
      <c r="H58" s="47" t="n"/>
      <c r="I58" s="47" t="n"/>
      <c r="J58" s="47" t="n"/>
      <c r="K58" s="47" t="n"/>
      <c r="L58" s="47" t="n"/>
      <c r="M58" s="47" t="n"/>
    </row>
    <row r="59" ht="28.0" customHeight="true">
      <c r="B59" s="10"/>
      <c r="C59" s="14"/>
      <c r="D59" s="40" t="s">
        <v>263</v>
      </c>
      <c r="E59" s="39"/>
      <c r="F59" s="46" t="n">
        <f>F38-F39+F40-F41+F42-F43+F44-F45-F46+SUM(F47:F49)-F50+F51-F52+F53+F54-F55+F56-F57+F58</f>
      </c>
      <c r="G59" s="46" t="n">
        <f>G38-G39+G40-G41+G42-G43+G44-G45-G46+SUM(G47:G49)-G50+G51-G52+G53+G54-G55+G56-G57+G58</f>
      </c>
      <c r="H59" s="46" t="n">
        <f>H38-H39+H40-H41+H42-H43+H44-H45-H46+SUM(H47:H49)-H50+H51-H52+H53+H54-H55+H56-H57+H58</f>
      </c>
      <c r="I59" s="46" t="n">
        <f>I38-I39+I40-I41+I42-I43+I44-I45-I46+SUM(I47:I49)-I50+I51-I52+I53+I54-I55+I56-I57+I58</f>
      </c>
      <c r="J59" s="46" t="n">
        <f>J38-J39+J40-J41+J42-J43+J44-J45-J46+SUM(J47:J49)-J50+J51-J52+J53+J54-J55+J56-J57+J58</f>
      </c>
      <c r="K59" s="46" t="n">
        <f>K38-K39+K40-K41+K42-K43+K44-K45-K46+SUM(K47:K49)-K50+K51-K52+K53+K54-K55+K56-K57+K58</f>
      </c>
      <c r="L59" s="46" t="n">
        <f>L38-L39+L40-L41+L42-L43+L44-L45-L46+SUM(L47:L49)-L50+L51-L52+L53+L54-L55+L56-L57+L58</f>
      </c>
      <c r="M59" s="46" t="n">
        <f>M38-M39+M40-M41+M42-M43+M44-M45-M46+SUM(M47:M49)-M50+M51-M52+M53+M54-M55+M56-M57+M58</f>
      </c>
    </row>
    <row r="60" ht="28.0" customHeight="true">
      <c r="B60" s="10"/>
      <c r="C60" s="7" t="s">
        <v>264</v>
      </c>
      <c r="D60" s="8"/>
      <c r="E60" s="9"/>
      <c r="F60" s="23"/>
      <c r="G60" s="23"/>
      <c r="H60" s="23"/>
      <c r="I60" s="23"/>
      <c r="J60" s="23"/>
      <c r="K60" s="23"/>
      <c r="L60" s="23"/>
      <c r="M60" s="23"/>
    </row>
    <row r="61" ht="28.0" customHeight="true">
      <c r="B61" s="10"/>
      <c r="C61" s="10"/>
      <c r="D61" s="14" t="s">
        <v>265</v>
      </c>
      <c r="E61" s="13"/>
      <c r="F61" s="46" t="n"/>
      <c r="G61" s="46" t="n"/>
      <c r="H61" s="46" t="n"/>
      <c r="I61" s="46" t="n"/>
      <c r="J61" s="46" t="n"/>
      <c r="K61" s="46" t="n"/>
      <c r="L61" s="46" t="n"/>
      <c r="M61" s="46" t="n"/>
    </row>
    <row r="62" ht="28.0" customHeight="true">
      <c r="B62" s="10"/>
      <c r="C62" s="10"/>
      <c r="D62" s="11" t="s">
        <v>266</v>
      </c>
      <c r="E62" s="9"/>
      <c r="F62" s="47" t="n"/>
      <c r="G62" s="47" t="n"/>
      <c r="H62" s="47" t="n"/>
      <c r="I62" s="47" t="n"/>
      <c r="J62" s="47" t="n"/>
      <c r="K62" s="47" t="n"/>
      <c r="L62" s="47" t="n"/>
      <c r="M62" s="47" t="n"/>
    </row>
    <row r="63">
      <c r="B63" s="10"/>
      <c r="C63" s="10"/>
      <c r="D63" s="14" t="s">
        <v>267</v>
      </c>
      <c r="E63" s="13"/>
      <c r="F63" s="46" t="n"/>
      <c r="G63" s="46" t="n"/>
      <c r="H63" s="46" t="n"/>
      <c r="I63" s="46" t="n"/>
      <c r="J63" s="46" t="n"/>
      <c r="K63" s="46" t="n"/>
      <c r="L63" s="46" t="n"/>
      <c r="M63" s="46" t="n"/>
    </row>
    <row r="64">
      <c r="B64" s="10"/>
      <c r="C64" s="10"/>
      <c r="D64" s="11" t="s">
        <v>268</v>
      </c>
      <c r="E64" s="9"/>
      <c r="F64" s="47" t="n"/>
      <c r="G64" s="47" t="n"/>
      <c r="H64" s="47" t="n"/>
      <c r="I64" s="47" t="n"/>
      <c r="J64" s="47" t="n"/>
      <c r="K64" s="47" t="n"/>
      <c r="L64" s="47" t="n"/>
      <c r="M64" s="47" t="n"/>
    </row>
    <row r="65">
      <c r="B65" s="10"/>
      <c r="C65" s="10"/>
      <c r="D65" s="14" t="s">
        <v>269</v>
      </c>
      <c r="E65" s="13"/>
      <c r="F65" s="46" t="n"/>
      <c r="G65" s="46" t="n"/>
      <c r="H65" s="46" t="n"/>
      <c r="I65" s="46" t="n"/>
      <c r="J65" s="46" t="n"/>
      <c r="K65" s="46" t="n"/>
      <c r="L65" s="46" t="n"/>
      <c r="M65" s="46" t="n"/>
    </row>
    <row r="66">
      <c r="B66" s="10"/>
      <c r="C66" s="10"/>
      <c r="D66" s="11" t="s">
        <v>270</v>
      </c>
      <c r="E66" s="9"/>
      <c r="F66" s="47" t="n"/>
      <c r="G66" s="47" t="n"/>
      <c r="H66" s="47" t="n"/>
      <c r="I66" s="47" t="n"/>
      <c r="J66" s="47" t="n"/>
      <c r="K66" s="47" t="n"/>
      <c r="L66" s="47" t="n"/>
      <c r="M66" s="47" t="n"/>
    </row>
    <row r="67" ht="42.0" customHeight="true">
      <c r="B67" s="10"/>
      <c r="C67" s="10"/>
      <c r="D67" s="14" t="s">
        <v>271</v>
      </c>
      <c r="E67" s="13"/>
      <c r="F67" s="46" t="n"/>
      <c r="G67" s="46" t="n"/>
      <c r="H67" s="46" t="n"/>
      <c r="I67" s="46" t="n"/>
      <c r="J67" s="46" t="n"/>
      <c r="K67" s="46" t="n"/>
      <c r="L67" s="46" t="n"/>
      <c r="M67" s="46" t="n"/>
    </row>
    <row r="68">
      <c r="B68" s="10"/>
      <c r="C68" s="10"/>
      <c r="D68" s="11" t="s">
        <v>272</v>
      </c>
      <c r="E68" s="9"/>
      <c r="F68" s="47" t="n"/>
      <c r="G68" s="47" t="n"/>
      <c r="H68" s="47" t="n"/>
      <c r="I68" s="47" t="n"/>
      <c r="J68" s="47" t="n"/>
      <c r="K68" s="47" t="n"/>
      <c r="L68" s="47" t="n"/>
      <c r="M68" s="47" t="n"/>
    </row>
    <row r="69" ht="28.0" customHeight="true">
      <c r="B69" s="10"/>
      <c r="C69" s="10"/>
      <c r="D69" s="14" t="s">
        <v>273</v>
      </c>
      <c r="E69" s="13"/>
      <c r="F69" s="46" t="n"/>
      <c r="G69" s="46" t="n"/>
      <c r="H69" s="46" t="n"/>
      <c r="I69" s="46" t="n"/>
      <c r="J69" s="46" t="n"/>
      <c r="K69" s="46" t="n"/>
      <c r="L69" s="46" t="n"/>
      <c r="M69" s="46" t="n"/>
    </row>
    <row r="70">
      <c r="B70" s="10"/>
      <c r="C70" s="10"/>
      <c r="D70" s="11" t="s">
        <v>254</v>
      </c>
      <c r="E70" s="9"/>
      <c r="F70" s="47" t="n"/>
      <c r="G70" s="47" t="n"/>
      <c r="H70" s="47" t="n"/>
      <c r="I70" s="47" t="n"/>
      <c r="J70" s="47" t="n"/>
      <c r="K70" s="47" t="n"/>
      <c r="L70" s="47" t="n"/>
      <c r="M70" s="47" t="n"/>
    </row>
    <row r="71">
      <c r="B71" s="10"/>
      <c r="C71" s="10"/>
      <c r="D71" s="14" t="s">
        <v>274</v>
      </c>
      <c r="E71" s="13"/>
      <c r="F71" s="46" t="n"/>
      <c r="G71" s="46" t="n"/>
      <c r="H71" s="46" t="n"/>
      <c r="I71" s="46" t="n"/>
      <c r="J71" s="46" t="n"/>
      <c r="K71" s="46" t="n"/>
      <c r="L71" s="46" t="n"/>
      <c r="M71" s="46" t="n"/>
    </row>
    <row r="72">
      <c r="B72" s="10"/>
      <c r="C72" s="10"/>
      <c r="D72" s="11" t="s">
        <v>275</v>
      </c>
      <c r="E72" s="9"/>
      <c r="F72" s="47" t="n"/>
      <c r="G72" s="47" t="n"/>
      <c r="H72" s="47" t="n"/>
      <c r="I72" s="47" t="n"/>
      <c r="J72" s="47" t="n"/>
      <c r="K72" s="47" t="n"/>
      <c r="L72" s="47" t="n"/>
      <c r="M72" s="47" t="n"/>
    </row>
    <row r="73">
      <c r="B73" s="10"/>
      <c r="C73" s="10"/>
      <c r="D73" s="14" t="s">
        <v>276</v>
      </c>
      <c r="E73" s="13"/>
      <c r="F73" s="46" t="n"/>
      <c r="G73" s="46" t="n"/>
      <c r="H73" s="46" t="n"/>
      <c r="I73" s="46" t="n"/>
      <c r="J73" s="46" t="n"/>
      <c r="K73" s="46" t="n"/>
      <c r="L73" s="46" t="n"/>
      <c r="M73" s="46" t="n"/>
    </row>
    <row r="74">
      <c r="B74" s="10"/>
      <c r="C74" s="10"/>
      <c r="D74" s="11" t="s">
        <v>277</v>
      </c>
      <c r="E74" s="9"/>
      <c r="F74" s="47" t="n"/>
      <c r="G74" s="47" t="n"/>
      <c r="H74" s="47" t="n"/>
      <c r="I74" s="47" t="n"/>
      <c r="J74" s="47" t="n"/>
      <c r="K74" s="47" t="n"/>
      <c r="L74" s="47" t="n"/>
      <c r="M74" s="47" t="n"/>
    </row>
    <row r="75">
      <c r="B75" s="10"/>
      <c r="C75" s="10"/>
      <c r="D75" s="14" t="s">
        <v>239</v>
      </c>
      <c r="E75" s="13"/>
      <c r="F75" s="46" t="n"/>
      <c r="G75" s="46" t="n"/>
      <c r="H75" s="46" t="n"/>
      <c r="I75" s="46" t="n"/>
      <c r="J75" s="46" t="n"/>
      <c r="K75" s="46" t="n"/>
      <c r="L75" s="46" t="n"/>
      <c r="M75" s="46" t="n"/>
    </row>
    <row r="76">
      <c r="B76" s="10"/>
      <c r="C76" s="10"/>
      <c r="D76" s="11" t="s">
        <v>278</v>
      </c>
      <c r="E76" s="9"/>
      <c r="F76" s="47" t="n"/>
      <c r="G76" s="47" t="n"/>
      <c r="H76" s="47" t="n"/>
      <c r="I76" s="47" t="n"/>
      <c r="J76" s="47" t="n"/>
      <c r="K76" s="47" t="n"/>
      <c r="L76" s="47" t="n"/>
      <c r="M76" s="47" t="n"/>
    </row>
    <row r="77" ht="28.0" customHeight="true">
      <c r="B77" s="10"/>
      <c r="C77" s="11"/>
      <c r="D77" s="40" t="s">
        <v>279</v>
      </c>
      <c r="E77" s="39"/>
      <c r="F77" s="46" t="n">
        <f>F61-F62+F63+F64-F65-F66+F67-F68-F69+F70+F71-F72+F73-F74-F75+F76</f>
      </c>
      <c r="G77" s="46" t="n">
        <f>G61-G62+G63+G64-G65-G66+G67-G68-G69+G70+G71-G72+G73-G74-G75+G76</f>
      </c>
      <c r="H77" s="46" t="n">
        <f>H61-H62+H63+H64-H65-H66+H67-H68-H69+H70+H71-H72+H73-H74-H75+H76</f>
      </c>
      <c r="I77" s="46" t="n">
        <f>I61-I62+I63+I64-I65-I66+I67-I68-I69+I70+I71-I72+I73-I74-I75+I76</f>
      </c>
      <c r="J77" s="46" t="n">
        <f>J61-J62+J63+J64-J65-J66+J67-J68-J69+J70+J71-J72+J73-J74-J75+J76</f>
      </c>
      <c r="K77" s="46" t="n">
        <f>K61-K62+K63+K64-K65-K66+K67-K68-K69+K70+K71-K72+K73-K74-K75+K76</f>
      </c>
      <c r="L77" s="46" t="n">
        <f>L61-L62+L63+L64-L65-L66+L67-L68-L69+L70+L71-L72+L73-L74-L75+L76</f>
      </c>
      <c r="M77" s="46" t="n">
        <f>M61-M62+M63+M64-M65-M66+M67-M68-M69+M70+M71-M72+M73-M74-M75+M76</f>
      </c>
    </row>
    <row r="78" ht="28.0" customHeight="true">
      <c r="B78" s="10"/>
      <c r="C78" s="11" t="s">
        <v>280</v>
      </c>
      <c r="D78" s="8"/>
      <c r="E78" s="9"/>
      <c r="F78" s="47" t="n">
        <f>F77+F36+F59</f>
      </c>
      <c r="G78" s="47" t="n">
        <f>G77+G36+G59</f>
      </c>
      <c r="H78" s="47" t="n">
        <f>H77+H36+H59</f>
      </c>
      <c r="I78" s="47" t="n">
        <f>I77+I36+I59</f>
      </c>
      <c r="J78" s="47" t="n">
        <f>J77+J36+J59</f>
      </c>
      <c r="K78" s="47" t="n">
        <f>K77+K36+K59</f>
      </c>
      <c r="L78" s="47" t="n">
        <f>L77+L36+L59</f>
      </c>
      <c r="M78" s="47" t="n">
        <f>M77+M36+M59</f>
      </c>
    </row>
    <row r="79" ht="28.0" customHeight="true">
      <c r="B79" s="10"/>
      <c r="C79" s="16" t="s">
        <v>281</v>
      </c>
      <c r="D79" s="37"/>
      <c r="E79" s="13"/>
      <c r="F79" s="22"/>
      <c r="G79" s="22"/>
      <c r="H79" s="22"/>
      <c r="I79" s="22"/>
      <c r="J79" s="22"/>
      <c r="K79" s="22"/>
      <c r="L79" s="22"/>
      <c r="M79" s="22"/>
    </row>
    <row r="80" ht="28.0" customHeight="true">
      <c r="B80" s="10"/>
      <c r="C80" s="14"/>
      <c r="D80" s="11" t="s">
        <v>282</v>
      </c>
      <c r="E80" s="9"/>
      <c r="F80" s="47" t="n"/>
      <c r="G80" s="47" t="n"/>
      <c r="H80" s="47" t="n"/>
      <c r="I80" s="47" t="n"/>
      <c r="J80" s="47" t="n"/>
      <c r="K80" s="47" t="n"/>
      <c r="L80" s="47" t="n"/>
      <c r="M80" s="47" t="n"/>
    </row>
    <row r="81">
      <c r="B81" s="10"/>
      <c r="C81" s="40" t="s">
        <v>283</v>
      </c>
      <c r="D81" s="41"/>
      <c r="E81" s="39"/>
      <c r="F81" s="46" t="n">
        <f>F80+F78</f>
      </c>
      <c r="G81" s="46" t="n">
        <f>G80+G78</f>
      </c>
      <c r="H81" s="46" t="n">
        <f>H80+H78</f>
      </c>
      <c r="I81" s="46" t="n">
        <f>I80+I78</f>
      </c>
      <c r="J81" s="46" t="n">
        <f>J80+J78</f>
      </c>
      <c r="K81" s="46" t="n">
        <f>K80+K78</f>
      </c>
      <c r="L81" s="46" t="n">
        <f>L80+L78</f>
      </c>
      <c r="M81" s="46" t="n">
        <f>M80+M78</f>
      </c>
    </row>
    <row r="82">
      <c r="B82" s="10"/>
      <c r="C82" s="11" t="s">
        <v>284</v>
      </c>
      <c r="D82" s="8"/>
      <c r="E82" s="9"/>
      <c r="F82" s="47" t="n"/>
      <c r="G82" s="47" t="n"/>
      <c r="H82" s="47" t="n"/>
      <c r="I82" s="47" t="n"/>
      <c r="J82" s="47" t="n"/>
      <c r="K82" s="47" t="n"/>
      <c r="L82" s="47" t="n"/>
      <c r="M82" s="47" t="n">
        <f>Hoja2!P141</f>
      </c>
    </row>
    <row r="83">
      <c r="B83" s="11"/>
      <c r="C83" s="14" t="s">
        <v>285</v>
      </c>
      <c r="D83" s="37"/>
      <c r="E83" s="13"/>
      <c r="F83" s="48" t="n"/>
      <c r="G83" s="48" t="n"/>
      <c r="H83" s="48" t="n"/>
      <c r="I83" s="48" t="n"/>
      <c r="J83" s="48" t="n"/>
      <c r="K83" s="48" t="n"/>
      <c r="L83" s="48" t="n"/>
      <c r="M83" s="48" t="n">
        <f>Hoja7!F53+Hoja7!F58+Hoja7!F59</f>
      </c>
    </row>
    <row r="85">
      <c r="B85" t="s" s="1">
        <v>11</v>
      </c>
      <c r="C85" t="s">
        <v>167</v>
      </c>
    </row>
    <row r="86">
      <c r="F86" t="s" s="4">
        <v>216</v>
      </c>
      <c r="G86" s="29"/>
      <c r="H86" s="29"/>
      <c r="I86" s="29"/>
      <c r="J86" s="29"/>
      <c r="K86" s="29"/>
      <c r="L86" s="29"/>
      <c r="M86" s="30"/>
    </row>
    <row r="87">
      <c r="F87" t="s" s="34">
        <v>38</v>
      </c>
      <c r="G87" t="s" s="6">
        <v>39</v>
      </c>
      <c r="H87" t="s" s="34">
        <v>40</v>
      </c>
      <c r="I87" t="s" s="6">
        <v>41</v>
      </c>
      <c r="J87" t="s" s="34">
        <v>42</v>
      </c>
      <c r="K87" t="s" s="6">
        <v>43</v>
      </c>
      <c r="L87" t="s" s="34">
        <v>44</v>
      </c>
      <c r="M87" s="36"/>
    </row>
    <row r="88">
      <c r="B88" s="7" t="s">
        <v>217</v>
      </c>
      <c r="C88" s="8"/>
      <c r="D88" s="8"/>
      <c r="E88" s="9"/>
      <c r="F88" s="23"/>
      <c r="G88" s="23"/>
      <c r="H88" s="23"/>
      <c r="I88" s="23"/>
      <c r="J88" s="23"/>
      <c r="K88" s="23"/>
      <c r="L88" s="23"/>
      <c r="M88" s="23"/>
    </row>
    <row r="89" ht="28.0" customHeight="true">
      <c r="B89" s="10"/>
      <c r="C89" s="16" t="s">
        <v>218</v>
      </c>
      <c r="D89" s="37"/>
      <c r="E89" s="13"/>
      <c r="F89" s="22"/>
      <c r="G89" s="22"/>
      <c r="H89" s="22"/>
      <c r="I89" s="22"/>
      <c r="J89" s="22"/>
      <c r="K89" s="22"/>
      <c r="L89" s="22"/>
      <c r="M89" s="22"/>
    </row>
    <row r="90">
      <c r="B90" s="10"/>
      <c r="C90" s="17"/>
      <c r="D90" s="7" t="s">
        <v>219</v>
      </c>
      <c r="E90" s="9"/>
      <c r="F90" s="23"/>
      <c r="G90" s="23"/>
      <c r="H90" s="23"/>
      <c r="I90" s="23"/>
      <c r="J90" s="23"/>
      <c r="K90" s="23"/>
      <c r="L90" s="23"/>
      <c r="M90" s="23"/>
    </row>
    <row r="91">
      <c r="B91" s="10"/>
      <c r="C91" s="17"/>
      <c r="D91" s="10"/>
      <c r="E91" s="19" t="s">
        <v>220</v>
      </c>
      <c r="F91" s="46" t="n"/>
      <c r="G91" s="46" t="n"/>
      <c r="H91" s="46" t="n"/>
      <c r="I91" s="46" t="n"/>
      <c r="J91" s="46" t="n"/>
      <c r="K91" s="46" t="n"/>
      <c r="L91" s="46" t="n"/>
      <c r="M91" s="46" t="n"/>
    </row>
    <row r="92">
      <c r="B92" s="10"/>
      <c r="C92" s="17"/>
      <c r="D92" s="10"/>
      <c r="E92" s="18" t="s">
        <v>221</v>
      </c>
      <c r="F92" s="47" t="n"/>
      <c r="G92" s="47" t="n"/>
      <c r="H92" s="47" t="n"/>
      <c r="I92" s="47" t="n"/>
      <c r="J92" s="47" t="n"/>
      <c r="K92" s="47" t="n"/>
      <c r="L92" s="47" t="n"/>
      <c r="M92" s="47" t="n"/>
    </row>
    <row r="93">
      <c r="B93" s="10"/>
      <c r="C93" s="17"/>
      <c r="D93" s="10"/>
      <c r="E93" s="19" t="s">
        <v>222</v>
      </c>
      <c r="F93" s="46" t="n"/>
      <c r="G93" s="46" t="n"/>
      <c r="H93" s="46" t="n"/>
      <c r="I93" s="46" t="n"/>
      <c r="J93" s="46" t="n"/>
      <c r="K93" s="46" t="n"/>
      <c r="L93" s="46" t="n"/>
      <c r="M93" s="46" t="n"/>
    </row>
    <row r="94">
      <c r="B94" s="10"/>
      <c r="C94" s="17"/>
      <c r="D94" s="10"/>
      <c r="E94" s="18" t="s">
        <v>223</v>
      </c>
      <c r="F94" s="47" t="n"/>
      <c r="G94" s="47" t="n"/>
      <c r="H94" s="47" t="n"/>
      <c r="I94" s="47" t="n"/>
      <c r="J94" s="47" t="n"/>
      <c r="K94" s="47" t="n"/>
      <c r="L94" s="47" t="n"/>
      <c r="M94" s="47" t="n"/>
    </row>
    <row r="95">
      <c r="B95" s="10"/>
      <c r="C95" s="17"/>
      <c r="D95" s="10"/>
      <c r="E95" s="19" t="s">
        <v>224</v>
      </c>
      <c r="F95" s="46" t="n"/>
      <c r="G95" s="46" t="n"/>
      <c r="H95" s="46" t="n"/>
      <c r="I95" s="46" t="n"/>
      <c r="J95" s="46" t="n"/>
      <c r="K95" s="46" t="n"/>
      <c r="L95" s="46" t="n"/>
      <c r="M95" s="46" t="n"/>
    </row>
    <row r="96">
      <c r="B96" s="10"/>
      <c r="C96" s="17"/>
      <c r="D96" s="11"/>
      <c r="E96" s="18" t="s">
        <v>225</v>
      </c>
      <c r="F96" s="47" t="n"/>
      <c r="G96" s="47" t="n"/>
      <c r="H96" s="47" t="n"/>
      <c r="I96" s="47" t="n"/>
      <c r="J96" s="47" t="n"/>
      <c r="K96" s="47" t="n"/>
      <c r="L96" s="47" t="n"/>
      <c r="M96" s="47" t="n"/>
    </row>
    <row r="97" ht="28.0" customHeight="true">
      <c r="B97" s="10"/>
      <c r="C97" s="17"/>
      <c r="D97" s="16" t="s">
        <v>226</v>
      </c>
      <c r="E97" s="13"/>
      <c r="F97" s="22"/>
      <c r="G97" s="22"/>
      <c r="H97" s="22"/>
      <c r="I97" s="22"/>
      <c r="J97" s="22"/>
      <c r="K97" s="22"/>
      <c r="L97" s="22"/>
      <c r="M97" s="22"/>
    </row>
    <row r="98">
      <c r="B98" s="10"/>
      <c r="C98" s="17"/>
      <c r="D98" s="17"/>
      <c r="E98" s="18" t="s">
        <v>227</v>
      </c>
      <c r="F98" s="47" t="n"/>
      <c r="G98" s="47" t="n"/>
      <c r="H98" s="47" t="n"/>
      <c r="I98" s="47" t="n"/>
      <c r="J98" s="47" t="n"/>
      <c r="K98" s="47" t="n"/>
      <c r="L98" s="47" t="n"/>
      <c r="M98" s="47" t="n"/>
    </row>
    <row r="99">
      <c r="B99" s="10"/>
      <c r="C99" s="17"/>
      <c r="D99" s="17"/>
      <c r="E99" s="19" t="s">
        <v>228</v>
      </c>
      <c r="F99" s="46" t="n"/>
      <c r="G99" s="46" t="n"/>
      <c r="H99" s="46" t="n"/>
      <c r="I99" s="46" t="n"/>
      <c r="J99" s="46" t="n"/>
      <c r="K99" s="46" t="n"/>
      <c r="L99" s="46" t="n"/>
      <c r="M99" s="46" t="n"/>
    </row>
    <row r="100">
      <c r="B100" s="10"/>
      <c r="C100" s="17"/>
      <c r="D100" s="17"/>
      <c r="E100" s="18" t="s">
        <v>229</v>
      </c>
      <c r="F100" s="47" t="n"/>
      <c r="G100" s="47" t="n"/>
      <c r="H100" s="47" t="n"/>
      <c r="I100" s="47" t="n"/>
      <c r="J100" s="47" t="n"/>
      <c r="K100" s="47" t="n"/>
      <c r="L100" s="47" t="n"/>
      <c r="M100" s="47" t="n"/>
    </row>
    <row r="101">
      <c r="B101" s="10"/>
      <c r="C101" s="17"/>
      <c r="D101" s="17"/>
      <c r="E101" s="19" t="s">
        <v>230</v>
      </c>
      <c r="F101" s="46" t="n"/>
      <c r="G101" s="46" t="n"/>
      <c r="H101" s="46" t="n"/>
      <c r="I101" s="46" t="n"/>
      <c r="J101" s="46" t="n"/>
      <c r="K101" s="46" t="n"/>
      <c r="L101" s="46" t="n"/>
      <c r="M101" s="46" t="n"/>
    </row>
    <row r="102">
      <c r="B102" s="10"/>
      <c r="C102" s="17"/>
      <c r="D102" s="17"/>
      <c r="E102" s="18" t="s">
        <v>231</v>
      </c>
      <c r="F102" s="47" t="n"/>
      <c r="G102" s="47" t="n"/>
      <c r="H102" s="47" t="n"/>
      <c r="I102" s="47" t="n"/>
      <c r="J102" s="47" t="n"/>
      <c r="K102" s="47" t="n"/>
      <c r="L102" s="47" t="n"/>
      <c r="M102" s="47" t="n"/>
    </row>
    <row r="103">
      <c r="B103" s="10"/>
      <c r="C103" s="17"/>
      <c r="D103" s="17"/>
      <c r="E103" s="19" t="s">
        <v>232</v>
      </c>
      <c r="F103" s="46" t="n"/>
      <c r="G103" s="46" t="n"/>
      <c r="H103" s="46" t="n"/>
      <c r="I103" s="46" t="n"/>
      <c r="J103" s="46" t="n"/>
      <c r="K103" s="46" t="n"/>
      <c r="L103" s="46" t="n"/>
      <c r="M103" s="46" t="n"/>
    </row>
    <row r="104">
      <c r="B104" s="10"/>
      <c r="C104" s="17"/>
      <c r="D104" s="14"/>
      <c r="E104" s="18" t="s">
        <v>233</v>
      </c>
      <c r="F104" s="47" t="n"/>
      <c r="G104" s="47" t="n"/>
      <c r="H104" s="47" t="n"/>
      <c r="I104" s="47" t="n"/>
      <c r="J104" s="47" t="n"/>
      <c r="K104" s="47" t="n"/>
      <c r="L104" s="47" t="n"/>
      <c r="M104" s="47" t="n"/>
    </row>
    <row r="105">
      <c r="B105" s="10"/>
      <c r="C105" s="17"/>
      <c r="D105" s="14" t="s">
        <v>234</v>
      </c>
      <c r="E105" s="13"/>
      <c r="F105" s="46" t="n">
        <f>SUM(F91:F96)-SUM(F98:F104)</f>
      </c>
      <c r="G105" s="46" t="n">
        <f>SUM(G91:G96)-SUM(G98:G104)</f>
      </c>
      <c r="H105" s="46" t="n">
        <f>SUM(H91:H96)-SUM(H98:H104)</f>
      </c>
      <c r="I105" s="46" t="n">
        <f>SUM(I91:I96)-SUM(I98:I104)</f>
      </c>
      <c r="J105" s="46" t="n">
        <f>SUM(J91:J96)-SUM(J98:J104)</f>
      </c>
      <c r="K105" s="46" t="n">
        <f>SUM(K91:K96)-SUM(K98:K104)</f>
      </c>
      <c r="L105" s="46" t="n">
        <f>SUM(L91:L96)-SUM(L98:L104)</f>
      </c>
      <c r="M105" s="46" t="n">
        <f>SUM(M91:M96)-SUM(M98:M104)</f>
      </c>
    </row>
    <row r="106">
      <c r="B106" s="10"/>
      <c r="C106" s="17"/>
      <c r="D106" s="11" t="s">
        <v>235</v>
      </c>
      <c r="E106" s="9"/>
      <c r="F106" s="47" t="n"/>
      <c r="G106" s="47" t="n"/>
      <c r="H106" s="47" t="n"/>
      <c r="I106" s="47" t="n"/>
      <c r="J106" s="47" t="n"/>
      <c r="K106" s="47" t="n"/>
      <c r="L106" s="47" t="n"/>
      <c r="M106" s="47" t="n"/>
    </row>
    <row r="107">
      <c r="B107" s="10"/>
      <c r="C107" s="17"/>
      <c r="D107" s="14" t="s">
        <v>236</v>
      </c>
      <c r="E107" s="13"/>
      <c r="F107" s="46" t="n"/>
      <c r="G107" s="46" t="n"/>
      <c r="H107" s="46" t="n"/>
      <c r="I107" s="46" t="n"/>
      <c r="J107" s="46" t="n"/>
      <c r="K107" s="46" t="n"/>
      <c r="L107" s="46" t="n"/>
      <c r="M107" s="46" t="n"/>
    </row>
    <row r="108">
      <c r="B108" s="10"/>
      <c r="C108" s="17"/>
      <c r="D108" s="11" t="s">
        <v>237</v>
      </c>
      <c r="E108" s="9"/>
      <c r="F108" s="47" t="n"/>
      <c r="G108" s="47" t="n"/>
      <c r="H108" s="47" t="n"/>
      <c r="I108" s="47" t="n"/>
      <c r="J108" s="47" t="n"/>
      <c r="K108" s="47" t="n"/>
      <c r="L108" s="47" t="n"/>
      <c r="M108" s="47" t="n"/>
    </row>
    <row r="109">
      <c r="B109" s="10"/>
      <c r="C109" s="17"/>
      <c r="D109" s="14" t="s">
        <v>238</v>
      </c>
      <c r="E109" s="13"/>
      <c r="F109" s="46" t="n"/>
      <c r="G109" s="46" t="n"/>
      <c r="H109" s="46" t="n"/>
      <c r="I109" s="46" t="n"/>
      <c r="J109" s="46" t="n"/>
      <c r="K109" s="46" t="n"/>
      <c r="L109" s="46" t="n"/>
      <c r="M109" s="46" t="n"/>
    </row>
    <row r="110">
      <c r="B110" s="10"/>
      <c r="C110" s="17"/>
      <c r="D110" s="11" t="s">
        <v>239</v>
      </c>
      <c r="E110" s="9"/>
      <c r="F110" s="47" t="n"/>
      <c r="G110" s="47" t="n"/>
      <c r="H110" s="47" t="n"/>
      <c r="I110" s="47" t="n"/>
      <c r="J110" s="47" t="n"/>
      <c r="K110" s="47" t="n"/>
      <c r="L110" s="47" t="n"/>
      <c r="M110" s="47" t="n"/>
    </row>
    <row r="111">
      <c r="B111" s="10"/>
      <c r="C111" s="17"/>
      <c r="D111" s="14" t="s">
        <v>240</v>
      </c>
      <c r="E111" s="13"/>
      <c r="F111" s="46" t="n"/>
      <c r="G111" s="46" t="n"/>
      <c r="H111" s="46" t="n"/>
      <c r="I111" s="46" t="n"/>
      <c r="J111" s="46" t="n"/>
      <c r="K111" s="46" t="n"/>
      <c r="L111" s="46" t="n"/>
      <c r="M111" s="46" t="n"/>
    </row>
    <row r="112" ht="28.0" customHeight="true">
      <c r="B112" s="10"/>
      <c r="C112" s="14"/>
      <c r="D112" s="45" t="s">
        <v>241</v>
      </c>
      <c r="E112" s="44"/>
      <c r="F112" s="47" t="n">
        <f>-F108+F105-F110-F106+F109+F107+F111</f>
      </c>
      <c r="G112" s="47" t="n">
        <f>-G108+G105-G110-G106+G109+G107+G111</f>
      </c>
      <c r="H112" s="47" t="n">
        <f>-H108+H105-H110-H106+H109+H107+H111</f>
      </c>
      <c r="I112" s="47" t="n">
        <f>-I108+I105-I110-I106+I109+I107+I111</f>
      </c>
      <c r="J112" s="47" t="n">
        <f>-J108+J105-J110-J106+J109+J107+J111</f>
      </c>
      <c r="K112" s="47" t="n">
        <f>-K108+K105-K110-K106+K109+K107+K111</f>
      </c>
      <c r="L112" s="47" t="n">
        <f>-L108+L105-L110-L106+L109+L107+L111</f>
      </c>
      <c r="M112" s="47" t="n">
        <f>-M108+M105-M110-M106+M109+M107+M111</f>
      </c>
    </row>
    <row r="113" ht="28.0" customHeight="true">
      <c r="B113" s="10"/>
      <c r="C113" s="16" t="s">
        <v>242</v>
      </c>
      <c r="D113" s="37"/>
      <c r="E113" s="13"/>
      <c r="F113" s="22"/>
      <c r="G113" s="22"/>
      <c r="H113" s="22"/>
      <c r="I113" s="22"/>
      <c r="J113" s="22"/>
      <c r="K113" s="22"/>
      <c r="L113" s="22"/>
      <c r="M113" s="22"/>
    </row>
    <row r="114" ht="28.0" customHeight="true">
      <c r="B114" s="10"/>
      <c r="C114" s="17"/>
      <c r="D114" s="11" t="s">
        <v>243</v>
      </c>
      <c r="E114" s="9"/>
      <c r="F114" s="47" t="n"/>
      <c r="G114" s="47" t="n"/>
      <c r="H114" s="47" t="n"/>
      <c r="I114" s="47" t="n"/>
      <c r="J114" s="47" t="n"/>
      <c r="K114" s="47" t="n"/>
      <c r="L114" s="47" t="n"/>
      <c r="M114" s="47" t="n"/>
    </row>
    <row r="115" ht="28.0" customHeight="true">
      <c r="B115" s="10"/>
      <c r="C115" s="17"/>
      <c r="D115" s="14" t="s">
        <v>244</v>
      </c>
      <c r="E115" s="13"/>
      <c r="F115" s="46" t="n"/>
      <c r="G115" s="46" t="n"/>
      <c r="H115" s="46" t="n"/>
      <c r="I115" s="46" t="n"/>
      <c r="J115" s="46" t="n"/>
      <c r="K115" s="46" t="n"/>
      <c r="L115" s="46" t="n"/>
      <c r="M115" s="46" t="n"/>
    </row>
    <row r="116" ht="28.0" customHeight="true">
      <c r="B116" s="10"/>
      <c r="C116" s="17"/>
      <c r="D116" s="11" t="s">
        <v>245</v>
      </c>
      <c r="E116" s="9"/>
      <c r="F116" s="47" t="n"/>
      <c r="G116" s="47" t="n"/>
      <c r="H116" s="47" t="n"/>
      <c r="I116" s="47" t="n"/>
      <c r="J116" s="47" t="n"/>
      <c r="K116" s="47" t="n"/>
      <c r="L116" s="47" t="n"/>
      <c r="M116" s="47" t="n"/>
    </row>
    <row r="117" ht="28.0" customHeight="true">
      <c r="B117" s="10"/>
      <c r="C117" s="17"/>
      <c r="D117" s="14" t="s">
        <v>246</v>
      </c>
      <c r="E117" s="13"/>
      <c r="F117" s="46" t="n"/>
      <c r="G117" s="46" t="n"/>
      <c r="H117" s="46" t="n"/>
      <c r="I117" s="46" t="n"/>
      <c r="J117" s="46" t="n"/>
      <c r="K117" s="46" t="n"/>
      <c r="L117" s="46" t="n"/>
      <c r="M117" s="46" t="n"/>
    </row>
    <row r="118">
      <c r="B118" s="10"/>
      <c r="C118" s="17"/>
      <c r="D118" s="11" t="s">
        <v>247</v>
      </c>
      <c r="E118" s="9"/>
      <c r="F118" s="47" t="n"/>
      <c r="G118" s="47" t="n"/>
      <c r="H118" s="47" t="n"/>
      <c r="I118" s="47" t="n"/>
      <c r="J118" s="47" t="n"/>
      <c r="K118" s="47" t="n"/>
      <c r="L118" s="47" t="n"/>
      <c r="M118" s="47" t="n"/>
    </row>
    <row r="119">
      <c r="B119" s="10"/>
      <c r="C119" s="17"/>
      <c r="D119" s="14" t="s">
        <v>248</v>
      </c>
      <c r="E119" s="13"/>
      <c r="F119" s="46" t="n"/>
      <c r="G119" s="46" t="n"/>
      <c r="H119" s="46" t="n"/>
      <c r="I119" s="46" t="n"/>
      <c r="J119" s="46" t="n"/>
      <c r="K119" s="46" t="n"/>
      <c r="L119" s="46" t="n"/>
      <c r="M119" s="46" t="n"/>
    </row>
    <row r="120" ht="28.0" customHeight="true">
      <c r="B120" s="10"/>
      <c r="C120" s="17"/>
      <c r="D120" s="11" t="s">
        <v>249</v>
      </c>
      <c r="E120" s="9"/>
      <c r="F120" s="47" t="n"/>
      <c r="G120" s="47" t="n"/>
      <c r="H120" s="47" t="n"/>
      <c r="I120" s="47" t="n"/>
      <c r="J120" s="47" t="n"/>
      <c r="K120" s="47" t="n"/>
      <c r="L120" s="47" t="n"/>
      <c r="M120" s="47" t="n"/>
    </row>
    <row r="121">
      <c r="B121" s="10"/>
      <c r="C121" s="17"/>
      <c r="D121" s="14" t="s">
        <v>250</v>
      </c>
      <c r="E121" s="13"/>
      <c r="F121" s="46" t="n"/>
      <c r="G121" s="46" t="n"/>
      <c r="H121" s="46" t="n"/>
      <c r="I121" s="46" t="n"/>
      <c r="J121" s="46" t="n"/>
      <c r="K121" s="46" t="n"/>
      <c r="L121" s="46" t="n"/>
      <c r="M121" s="46" t="n"/>
    </row>
    <row r="122" ht="56.0" customHeight="true">
      <c r="B122" s="10"/>
      <c r="C122" s="17"/>
      <c r="D122" s="11" t="s">
        <v>251</v>
      </c>
      <c r="E122" s="9"/>
      <c r="F122" s="47" t="n"/>
      <c r="G122" s="47" t="n"/>
      <c r="H122" s="47" t="n"/>
      <c r="I122" s="47" t="n"/>
      <c r="J122" s="47" t="n"/>
      <c r="K122" s="47" t="n"/>
      <c r="L122" s="47" t="n"/>
      <c r="M122" s="47" t="n"/>
    </row>
    <row r="123">
      <c r="B123" s="10"/>
      <c r="C123" s="17"/>
      <c r="D123" s="14" t="s">
        <v>252</v>
      </c>
      <c r="E123" s="13"/>
      <c r="F123" s="46" t="n"/>
      <c r="G123" s="46" t="n"/>
      <c r="H123" s="46" t="n"/>
      <c r="I123" s="46" t="n"/>
      <c r="J123" s="46" t="n"/>
      <c r="K123" s="46" t="n"/>
      <c r="L123" s="46" t="n"/>
      <c r="M123" s="46" t="n"/>
    </row>
    <row r="124">
      <c r="B124" s="10"/>
      <c r="C124" s="17"/>
      <c r="D124" s="11" t="s">
        <v>253</v>
      </c>
      <c r="E124" s="9"/>
      <c r="F124" s="47" t="n"/>
      <c r="G124" s="47" t="n"/>
      <c r="H124" s="47" t="n"/>
      <c r="I124" s="47" t="n"/>
      <c r="J124" s="47" t="n"/>
      <c r="K124" s="47" t="n"/>
      <c r="L124" s="47" t="n"/>
      <c r="M124" s="47" t="n"/>
    </row>
    <row r="125">
      <c r="B125" s="10"/>
      <c r="C125" s="17"/>
      <c r="D125" s="14" t="s">
        <v>254</v>
      </c>
      <c r="E125" s="13"/>
      <c r="F125" s="46" t="n"/>
      <c r="G125" s="46" t="n"/>
      <c r="H125" s="46" t="n"/>
      <c r="I125" s="46" t="n"/>
      <c r="J125" s="46" t="n"/>
      <c r="K125" s="46" t="n"/>
      <c r="L125" s="46" t="n"/>
      <c r="M125" s="46" t="n"/>
    </row>
    <row r="126" ht="28.0" customHeight="true">
      <c r="B126" s="10"/>
      <c r="C126" s="17"/>
      <c r="D126" s="11" t="s">
        <v>255</v>
      </c>
      <c r="E126" s="9"/>
      <c r="F126" s="47" t="n"/>
      <c r="G126" s="47" t="n"/>
      <c r="H126" s="47" t="n"/>
      <c r="I126" s="47" t="n"/>
      <c r="J126" s="47" t="n"/>
      <c r="K126" s="47" t="n"/>
      <c r="L126" s="47" t="n"/>
      <c r="M126" s="47" t="n"/>
    </row>
    <row r="127" ht="42.0" customHeight="true">
      <c r="B127" s="10"/>
      <c r="C127" s="17"/>
      <c r="D127" s="14" t="s">
        <v>256</v>
      </c>
      <c r="E127" s="13"/>
      <c r="F127" s="46" t="n"/>
      <c r="G127" s="46" t="n"/>
      <c r="H127" s="46" t="n"/>
      <c r="I127" s="46" t="n"/>
      <c r="J127" s="46" t="n"/>
      <c r="K127" s="46" t="n"/>
      <c r="L127" s="46" t="n"/>
      <c r="M127" s="46" t="n"/>
    </row>
    <row r="128" ht="56.0" customHeight="true">
      <c r="B128" s="10"/>
      <c r="C128" s="17"/>
      <c r="D128" s="11" t="s">
        <v>257</v>
      </c>
      <c r="E128" s="9"/>
      <c r="F128" s="47" t="n"/>
      <c r="G128" s="47" t="n"/>
      <c r="H128" s="47" t="n"/>
      <c r="I128" s="47" t="n"/>
      <c r="J128" s="47" t="n"/>
      <c r="K128" s="47" t="n"/>
      <c r="L128" s="47" t="n"/>
      <c r="M128" s="47" t="n"/>
    </row>
    <row r="129" ht="70.0" customHeight="true">
      <c r="B129" s="10"/>
      <c r="C129" s="17"/>
      <c r="D129" s="14" t="s">
        <v>258</v>
      </c>
      <c r="E129" s="13"/>
      <c r="F129" s="46" t="n"/>
      <c r="G129" s="46" t="n"/>
      <c r="H129" s="46" t="n"/>
      <c r="I129" s="46" t="n"/>
      <c r="J129" s="46" t="n"/>
      <c r="K129" s="46" t="n"/>
      <c r="L129" s="46" t="n"/>
      <c r="M129" s="46" t="n"/>
    </row>
    <row r="130">
      <c r="B130" s="10"/>
      <c r="C130" s="17"/>
      <c r="D130" s="11" t="s">
        <v>259</v>
      </c>
      <c r="E130" s="9"/>
      <c r="F130" s="47" t="n"/>
      <c r="G130" s="47" t="n"/>
      <c r="H130" s="47" t="n"/>
      <c r="I130" s="47" t="n"/>
      <c r="J130" s="47" t="n"/>
      <c r="K130" s="47" t="n"/>
      <c r="L130" s="47" t="n"/>
      <c r="M130" s="47" t="n"/>
    </row>
    <row r="131">
      <c r="B131" s="10"/>
      <c r="C131" s="17"/>
      <c r="D131" s="14" t="s">
        <v>260</v>
      </c>
      <c r="E131" s="13"/>
      <c r="F131" s="46" t="n"/>
      <c r="G131" s="46" t="n"/>
      <c r="H131" s="46" t="n"/>
      <c r="I131" s="46" t="n"/>
      <c r="J131" s="46" t="n"/>
      <c r="K131" s="46" t="n"/>
      <c r="L131" s="46" t="n"/>
      <c r="M131" s="46" t="n"/>
    </row>
    <row r="132">
      <c r="B132" s="10"/>
      <c r="C132" s="17"/>
      <c r="D132" s="11" t="s">
        <v>261</v>
      </c>
      <c r="E132" s="9"/>
      <c r="F132" s="47" t="n"/>
      <c r="G132" s="47" t="n"/>
      <c r="H132" s="47" t="n"/>
      <c r="I132" s="47" t="n"/>
      <c r="J132" s="47" t="n"/>
      <c r="K132" s="47" t="n"/>
      <c r="L132" s="47" t="n"/>
      <c r="M132" s="47" t="n"/>
    </row>
    <row r="133">
      <c r="B133" s="10"/>
      <c r="C133" s="17"/>
      <c r="D133" s="14" t="s">
        <v>239</v>
      </c>
      <c r="E133" s="13"/>
      <c r="F133" s="46" t="n"/>
      <c r="G133" s="46" t="n"/>
      <c r="H133" s="46" t="n"/>
      <c r="I133" s="46" t="n"/>
      <c r="J133" s="46" t="n"/>
      <c r="K133" s="46" t="n"/>
      <c r="L133" s="46" t="n"/>
      <c r="M133" s="46" t="n"/>
    </row>
    <row r="134">
      <c r="B134" s="10"/>
      <c r="C134" s="17"/>
      <c r="D134" s="11" t="s">
        <v>262</v>
      </c>
      <c r="E134" s="9"/>
      <c r="F134" s="47" t="n"/>
      <c r="G134" s="47" t="n"/>
      <c r="H134" s="47" t="n"/>
      <c r="I134" s="47" t="n"/>
      <c r="J134" s="47" t="n"/>
      <c r="K134" s="47" t="n"/>
      <c r="L134" s="47" t="n"/>
      <c r="M134" s="47" t="n"/>
    </row>
    <row r="135" ht="28.0" customHeight="true">
      <c r="B135" s="10"/>
      <c r="C135" s="14"/>
      <c r="D135" s="40" t="s">
        <v>263</v>
      </c>
      <c r="E135" s="39"/>
      <c r="F135" s="46" t="n">
        <f>F114-F115+F116-F117+F118-F119+F120-F121-F122+SUM(F123:F125)-F126+F127-F128+F129+F130-F131+F132-F133+F134</f>
      </c>
      <c r="G135" s="46" t="n">
        <f>G114-G115+G116-G117+G118-G119+G120-G121-G122+SUM(G123:G125)-G126+G127-G128+G129+G130-G131+G132-G133+G134</f>
      </c>
      <c r="H135" s="46" t="n">
        <f>H114-H115+H116-H117+H118-H119+H120-H121-H122+SUM(H123:H125)-H126+H127-H128+H129+H130-H131+H132-H133+H134</f>
      </c>
      <c r="I135" s="46" t="n">
        <f>I114-I115+I116-I117+I118-I119+I120-I121-I122+SUM(I123:I125)-I126+I127-I128+I129+I130-I131+I132-I133+I134</f>
      </c>
      <c r="J135" s="46" t="n">
        <f>J114-J115+J116-J117+J118-J119+J120-J121-J122+SUM(J123:J125)-J126+J127-J128+J129+J130-J131+J132-J133+J134</f>
      </c>
      <c r="K135" s="46" t="n">
        <f>K114-K115+K116-K117+K118-K119+K120-K121-K122+SUM(K123:K125)-K126+K127-K128+K129+K130-K131+K132-K133+K134</f>
      </c>
      <c r="L135" s="46" t="n">
        <f>L114-L115+L116-L117+L118-L119+L120-L121-L122+SUM(L123:L125)-L126+L127-L128+L129+L130-L131+L132-L133+L134</f>
      </c>
      <c r="M135" s="46" t="n">
        <f>M114-M115+M116-M117+M118-M119+M120-M121-M122+SUM(M123:M125)-M126+M127-M128+M129+M130-M131+M132-M133+M134</f>
      </c>
    </row>
    <row r="136" ht="28.0" customHeight="true">
      <c r="B136" s="10"/>
      <c r="C136" s="7" t="s">
        <v>264</v>
      </c>
      <c r="D136" s="8"/>
      <c r="E136" s="9"/>
      <c r="F136" s="23"/>
      <c r="G136" s="23"/>
      <c r="H136" s="23"/>
      <c r="I136" s="23"/>
      <c r="J136" s="23"/>
      <c r="K136" s="23"/>
      <c r="L136" s="23"/>
      <c r="M136" s="23"/>
    </row>
    <row r="137" ht="28.0" customHeight="true">
      <c r="B137" s="10"/>
      <c r="C137" s="10"/>
      <c r="D137" s="14" t="s">
        <v>265</v>
      </c>
      <c r="E137" s="13"/>
      <c r="F137" s="46" t="n"/>
      <c r="G137" s="46" t="n"/>
      <c r="H137" s="46" t="n"/>
      <c r="I137" s="46" t="n"/>
      <c r="J137" s="46" t="n"/>
      <c r="K137" s="46" t="n"/>
      <c r="L137" s="46" t="n"/>
      <c r="M137" s="46" t="n"/>
    </row>
    <row r="138" ht="28.0" customHeight="true">
      <c r="B138" s="10"/>
      <c r="C138" s="10"/>
      <c r="D138" s="11" t="s">
        <v>266</v>
      </c>
      <c r="E138" s="9"/>
      <c r="F138" s="47" t="n"/>
      <c r="G138" s="47" t="n"/>
      <c r="H138" s="47" t="n"/>
      <c r="I138" s="47" t="n"/>
      <c r="J138" s="47" t="n"/>
      <c r="K138" s="47" t="n"/>
      <c r="L138" s="47" t="n"/>
      <c r="M138" s="47" t="n"/>
    </row>
    <row r="139">
      <c r="B139" s="10"/>
      <c r="C139" s="10"/>
      <c r="D139" s="14" t="s">
        <v>267</v>
      </c>
      <c r="E139" s="13"/>
      <c r="F139" s="46" t="n"/>
      <c r="G139" s="46" t="n"/>
      <c r="H139" s="46" t="n"/>
      <c r="I139" s="46" t="n"/>
      <c r="J139" s="46" t="n"/>
      <c r="K139" s="46" t="n"/>
      <c r="L139" s="46" t="n"/>
      <c r="M139" s="46" t="n"/>
    </row>
    <row r="140">
      <c r="B140" s="10"/>
      <c r="C140" s="10"/>
      <c r="D140" s="11" t="s">
        <v>268</v>
      </c>
      <c r="E140" s="9"/>
      <c r="F140" s="47" t="n"/>
      <c r="G140" s="47" t="n"/>
      <c r="H140" s="47" t="n"/>
      <c r="I140" s="47" t="n"/>
      <c r="J140" s="47" t="n"/>
      <c r="K140" s="47" t="n"/>
      <c r="L140" s="47" t="n"/>
      <c r="M140" s="47" t="n"/>
    </row>
    <row r="141">
      <c r="B141" s="10"/>
      <c r="C141" s="10"/>
      <c r="D141" s="14" t="s">
        <v>269</v>
      </c>
      <c r="E141" s="13"/>
      <c r="F141" s="46" t="n"/>
      <c r="G141" s="46" t="n"/>
      <c r="H141" s="46" t="n"/>
      <c r="I141" s="46" t="n"/>
      <c r="J141" s="46" t="n"/>
      <c r="K141" s="46" t="n"/>
      <c r="L141" s="46" t="n"/>
      <c r="M141" s="46" t="n"/>
    </row>
    <row r="142">
      <c r="B142" s="10"/>
      <c r="C142" s="10"/>
      <c r="D142" s="11" t="s">
        <v>270</v>
      </c>
      <c r="E142" s="9"/>
      <c r="F142" s="47" t="n"/>
      <c r="G142" s="47" t="n"/>
      <c r="H142" s="47" t="n"/>
      <c r="I142" s="47" t="n"/>
      <c r="J142" s="47" t="n"/>
      <c r="K142" s="47" t="n"/>
      <c r="L142" s="47" t="n"/>
      <c r="M142" s="47" t="n"/>
    </row>
    <row r="143" ht="42.0" customHeight="true">
      <c r="B143" s="10"/>
      <c r="C143" s="10"/>
      <c r="D143" s="14" t="s">
        <v>271</v>
      </c>
      <c r="E143" s="13"/>
      <c r="F143" s="46" t="n"/>
      <c r="G143" s="46" t="n"/>
      <c r="H143" s="46" t="n"/>
      <c r="I143" s="46" t="n"/>
      <c r="J143" s="46" t="n"/>
      <c r="K143" s="46" t="n"/>
      <c r="L143" s="46" t="n"/>
      <c r="M143" s="46" t="n"/>
    </row>
    <row r="144">
      <c r="B144" s="10"/>
      <c r="C144" s="10"/>
      <c r="D144" s="11" t="s">
        <v>272</v>
      </c>
      <c r="E144" s="9"/>
      <c r="F144" s="47" t="n"/>
      <c r="G144" s="47" t="n"/>
      <c r="H144" s="47" t="n"/>
      <c r="I144" s="47" t="n"/>
      <c r="J144" s="47" t="n"/>
      <c r="K144" s="47" t="n"/>
      <c r="L144" s="47" t="n"/>
      <c r="M144" s="47" t="n"/>
    </row>
    <row r="145" ht="28.0" customHeight="true">
      <c r="B145" s="10"/>
      <c r="C145" s="10"/>
      <c r="D145" s="14" t="s">
        <v>273</v>
      </c>
      <c r="E145" s="13"/>
      <c r="F145" s="46" t="n"/>
      <c r="G145" s="46" t="n"/>
      <c r="H145" s="46" t="n"/>
      <c r="I145" s="46" t="n"/>
      <c r="J145" s="46" t="n"/>
      <c r="K145" s="46" t="n"/>
      <c r="L145" s="46" t="n"/>
      <c r="M145" s="46" t="n"/>
    </row>
    <row r="146">
      <c r="B146" s="10"/>
      <c r="C146" s="10"/>
      <c r="D146" s="11" t="s">
        <v>254</v>
      </c>
      <c r="E146" s="9"/>
      <c r="F146" s="47" t="n"/>
      <c r="G146" s="47" t="n"/>
      <c r="H146" s="47" t="n"/>
      <c r="I146" s="47" t="n"/>
      <c r="J146" s="47" t="n"/>
      <c r="K146" s="47" t="n"/>
      <c r="L146" s="47" t="n"/>
      <c r="M146" s="47" t="n"/>
    </row>
    <row r="147">
      <c r="B147" s="10"/>
      <c r="C147" s="10"/>
      <c r="D147" s="14" t="s">
        <v>274</v>
      </c>
      <c r="E147" s="13"/>
      <c r="F147" s="46" t="n"/>
      <c r="G147" s="46" t="n"/>
      <c r="H147" s="46" t="n"/>
      <c r="I147" s="46" t="n"/>
      <c r="J147" s="46" t="n"/>
      <c r="K147" s="46" t="n"/>
      <c r="L147" s="46" t="n"/>
      <c r="M147" s="46" t="n"/>
    </row>
    <row r="148">
      <c r="B148" s="10"/>
      <c r="C148" s="10"/>
      <c r="D148" s="11" t="s">
        <v>275</v>
      </c>
      <c r="E148" s="9"/>
      <c r="F148" s="47" t="n"/>
      <c r="G148" s="47" t="n"/>
      <c r="H148" s="47" t="n"/>
      <c r="I148" s="47" t="n"/>
      <c r="J148" s="47" t="n"/>
      <c r="K148" s="47" t="n"/>
      <c r="L148" s="47" t="n"/>
      <c r="M148" s="47" t="n"/>
    </row>
    <row r="149">
      <c r="B149" s="10"/>
      <c r="C149" s="10"/>
      <c r="D149" s="14" t="s">
        <v>276</v>
      </c>
      <c r="E149" s="13"/>
      <c r="F149" s="46" t="n"/>
      <c r="G149" s="46" t="n"/>
      <c r="H149" s="46" t="n"/>
      <c r="I149" s="46" t="n"/>
      <c r="J149" s="46" t="n"/>
      <c r="K149" s="46" t="n"/>
      <c r="L149" s="46" t="n"/>
      <c r="M149" s="46" t="n"/>
    </row>
    <row r="150">
      <c r="B150" s="10"/>
      <c r="C150" s="10"/>
      <c r="D150" s="11" t="s">
        <v>277</v>
      </c>
      <c r="E150" s="9"/>
      <c r="F150" s="47" t="n"/>
      <c r="G150" s="47" t="n"/>
      <c r="H150" s="47" t="n"/>
      <c r="I150" s="47" t="n"/>
      <c r="J150" s="47" t="n"/>
      <c r="K150" s="47" t="n"/>
      <c r="L150" s="47" t="n"/>
      <c r="M150" s="47" t="n"/>
    </row>
    <row r="151">
      <c r="B151" s="10"/>
      <c r="C151" s="10"/>
      <c r="D151" s="14" t="s">
        <v>239</v>
      </c>
      <c r="E151" s="13"/>
      <c r="F151" s="46" t="n"/>
      <c r="G151" s="46" t="n"/>
      <c r="H151" s="46" t="n"/>
      <c r="I151" s="46" t="n"/>
      <c r="J151" s="46" t="n"/>
      <c r="K151" s="46" t="n"/>
      <c r="L151" s="46" t="n"/>
      <c r="M151" s="46" t="n"/>
    </row>
    <row r="152">
      <c r="B152" s="10"/>
      <c r="C152" s="10"/>
      <c r="D152" s="11" t="s">
        <v>278</v>
      </c>
      <c r="E152" s="9"/>
      <c r="F152" s="47" t="n"/>
      <c r="G152" s="47" t="n"/>
      <c r="H152" s="47" t="n"/>
      <c r="I152" s="47" t="n"/>
      <c r="J152" s="47" t="n"/>
      <c r="K152" s="47" t="n"/>
      <c r="L152" s="47" t="n"/>
      <c r="M152" s="47" t="n"/>
    </row>
    <row r="153" ht="28.0" customHeight="true">
      <c r="B153" s="10"/>
      <c r="C153" s="11"/>
      <c r="D153" s="40" t="s">
        <v>279</v>
      </c>
      <c r="E153" s="39"/>
      <c r="F153" s="46" t="n">
        <f>F137-F138+F139+F140-F141-F142+F143-F144-F145+F146+F147-F148+F149-F150-F151+F152</f>
      </c>
      <c r="G153" s="46" t="n">
        <f>G137-G138+G139+G140-G141-G142+G143-G144-G145+G146+G147-G148+G149-G150-G151+G152</f>
      </c>
      <c r="H153" s="46" t="n">
        <f>H137-H138+H139+H140-H141-H142+H143-H144-H145+H146+H147-H148+H149-H150-H151+H152</f>
      </c>
      <c r="I153" s="46" t="n">
        <f>I137-I138+I139+I140-I141-I142+I143-I144-I145+I146+I147-I148+I149-I150-I151+I152</f>
      </c>
      <c r="J153" s="46" t="n">
        <f>J137-J138+J139+J140-J141-J142+J143-J144-J145+J146+J147-J148+J149-J150-J151+J152</f>
      </c>
      <c r="K153" s="46" t="n">
        <f>K137-K138+K139+K140-K141-K142+K143-K144-K145+K146+K147-K148+K149-K150-K151+K152</f>
      </c>
      <c r="L153" s="46" t="n">
        <f>L137-L138+L139+L140-L141-L142+L143-L144-L145+L146+L147-L148+L149-L150-L151+L152</f>
      </c>
      <c r="M153" s="46" t="n">
        <f>M137-M138+M139+M140-M141-M142+M143-M144-M145+M146+M147-M148+M149-M150-M151+M152</f>
      </c>
    </row>
    <row r="154" ht="28.0" customHeight="true">
      <c r="B154" s="10"/>
      <c r="C154" s="11" t="s">
        <v>280</v>
      </c>
      <c r="D154" s="8"/>
      <c r="E154" s="9"/>
      <c r="F154" s="47" t="n">
        <f>F153+F112+F135</f>
      </c>
      <c r="G154" s="47" t="n">
        <f>G153+G112+G135</f>
      </c>
      <c r="H154" s="47" t="n">
        <f>H153+H112+H135</f>
      </c>
      <c r="I154" s="47" t="n">
        <f>I153+I112+I135</f>
      </c>
      <c r="J154" s="47" t="n">
        <f>J153+J112+J135</f>
      </c>
      <c r="K154" s="47" t="n">
        <f>K153+K112+K135</f>
      </c>
      <c r="L154" s="47" t="n">
        <f>L153+L112+L135</f>
      </c>
      <c r="M154" s="47" t="n">
        <f>M153+M112+M135</f>
      </c>
    </row>
    <row r="155" ht="28.0" customHeight="true">
      <c r="B155" s="10"/>
      <c r="C155" s="16" t="s">
        <v>281</v>
      </c>
      <c r="D155" s="37"/>
      <c r="E155" s="13"/>
      <c r="F155" s="22"/>
      <c r="G155" s="22"/>
      <c r="H155" s="22"/>
      <c r="I155" s="22"/>
      <c r="J155" s="22"/>
      <c r="K155" s="22"/>
      <c r="L155" s="22"/>
      <c r="M155" s="22"/>
    </row>
    <row r="156" ht="28.0" customHeight="true">
      <c r="B156" s="10"/>
      <c r="C156" s="14"/>
      <c r="D156" s="11" t="s">
        <v>282</v>
      </c>
      <c r="E156" s="9"/>
      <c r="F156" s="47" t="n"/>
      <c r="G156" s="47" t="n"/>
      <c r="H156" s="47" t="n"/>
      <c r="I156" s="47" t="n"/>
      <c r="J156" s="47" t="n"/>
      <c r="K156" s="47" t="n"/>
      <c r="L156" s="47" t="n"/>
      <c r="M156" s="47" t="n"/>
    </row>
    <row r="157">
      <c r="B157" s="10"/>
      <c r="C157" s="40" t="s">
        <v>283</v>
      </c>
      <c r="D157" s="41"/>
      <c r="E157" s="39"/>
      <c r="F157" s="46" t="n">
        <f>F156+F154</f>
      </c>
      <c r="G157" s="46" t="n">
        <f>G156+G154</f>
      </c>
      <c r="H157" s="46" t="n">
        <f>H156+H154</f>
      </c>
      <c r="I157" s="46" t="n">
        <f>I156+I154</f>
      </c>
      <c r="J157" s="46" t="n">
        <f>J156+J154</f>
      </c>
      <c r="K157" s="46" t="n">
        <f>K156+K154</f>
      </c>
      <c r="L157" s="46" t="n">
        <f>L156+L154</f>
      </c>
      <c r="M157" s="46" t="n">
        <f>M156+M154</f>
      </c>
    </row>
    <row r="158">
      <c r="B158" s="10"/>
      <c r="C158" s="11" t="s">
        <v>284</v>
      </c>
      <c r="D158" s="8"/>
      <c r="E158" s="9"/>
      <c r="F158" s="47" t="n"/>
      <c r="G158" s="47" t="n"/>
      <c r="H158" s="47" t="n"/>
      <c r="I158" s="47" t="n"/>
      <c r="J158" s="47" t="n"/>
      <c r="K158" s="47" t="n"/>
      <c r="L158" s="47" t="n"/>
      <c r="M158" s="47" t="n"/>
    </row>
    <row r="159">
      <c r="B159" s="11"/>
      <c r="C159" s="14" t="s">
        <v>285</v>
      </c>
      <c r="D159" s="37"/>
      <c r="E159" s="13"/>
      <c r="F159" s="48" t="n">
        <f>F82</f>
      </c>
      <c r="G159" s="48" t="n">
        <f>G82</f>
      </c>
      <c r="H159" s="48" t="n">
        <f>H82</f>
      </c>
      <c r="I159" s="48" t="n">
        <f>I82</f>
      </c>
      <c r="J159" s="48" t="n">
        <f>J82</f>
      </c>
      <c r="K159" s="48" t="n">
        <f>K82</f>
      </c>
      <c r="L159" s="48" t="n">
        <f>L82</f>
      </c>
      <c r="M159" s="48" t="n">
        <f>Hoja2!P141</f>
      </c>
    </row>
  </sheetData>
  <mergeCells>
    <mergeCell ref="F10:M10"/>
    <mergeCell ref="B12:E12"/>
    <mergeCell ref="C13:E13"/>
    <mergeCell ref="D14:E14"/>
    <mergeCell ref="D21:E21"/>
    <mergeCell ref="D29:E29"/>
    <mergeCell ref="D30:E30"/>
    <mergeCell ref="D31:E31"/>
    <mergeCell ref="D32:E32"/>
    <mergeCell ref="D33:E33"/>
    <mergeCell ref="D34:E34"/>
    <mergeCell ref="D35:E35"/>
    <mergeCell ref="D36:E36"/>
    <mergeCell ref="C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C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C78:E78"/>
    <mergeCell ref="C79:E79"/>
    <mergeCell ref="D80:E80"/>
    <mergeCell ref="C81:E81"/>
    <mergeCell ref="C82:E82"/>
    <mergeCell ref="C83:E83"/>
    <mergeCell ref="F86:M86"/>
    <mergeCell ref="B88:E88"/>
    <mergeCell ref="C89:E89"/>
    <mergeCell ref="D90:E90"/>
    <mergeCell ref="D97:E97"/>
    <mergeCell ref="D105:E105"/>
    <mergeCell ref="D106:E106"/>
    <mergeCell ref="D107:E107"/>
    <mergeCell ref="D108:E108"/>
    <mergeCell ref="D109:E109"/>
    <mergeCell ref="D110:E110"/>
    <mergeCell ref="D111:E111"/>
    <mergeCell ref="D112:E112"/>
    <mergeCell ref="C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C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C154:E154"/>
    <mergeCell ref="C155:E155"/>
    <mergeCell ref="D156:E156"/>
    <mergeCell ref="C157:E157"/>
    <mergeCell ref="C158:E158"/>
    <mergeCell ref="C159:E159"/>
  </mergeCells>
  <hyperlinks>
    <hyperlink location="'Indice'!A1" ref="B2"/>
  </hyperlinks>
  <pageMargins bottom="0.75" footer="0.3" header="0.3" left="0.7" right="0.7" top="0.75"/>
</worksheet>
</file>

<file path=xl/worksheets/sheet8.xml><?xml version="1.0" encoding="utf-8"?>
<worksheet xmlns="http://schemas.openxmlformats.org/spreadsheetml/2006/main">
  <dimension ref="B2:Y47"/>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s>
  <sheetData>
    <row r="2">
      <c r="B2" t="s" s="2">
        <v>1</v>
      </c>
    </row>
    <row r="3">
      <c r="B3" t="s" s="1">
        <v>3</v>
      </c>
      <c r="C3" t="s">
        <v>4</v>
      </c>
    </row>
    <row r="4">
      <c r="B4" s="1" t="s">
        <v>5</v>
      </c>
      <c r="C4" t="s">
        <v>6</v>
      </c>
    </row>
    <row r="5">
      <c r="B5" t="s" s="1">
        <v>7</v>
      </c>
      <c r="C5" t="s">
        <v>286</v>
      </c>
    </row>
    <row r="6">
      <c r="B6" t="s" s="1">
        <v>8</v>
      </c>
      <c r="C6" t="s">
        <v>9</v>
      </c>
    </row>
    <row r="7">
      <c r="B7" t="s" s="1">
        <v>10</v>
      </c>
      <c r="C7" t="s">
        <v>9</v>
      </c>
    </row>
    <row r="9">
      <c r="B9" t="s" s="1">
        <v>11</v>
      </c>
      <c r="C9" t="s">
        <v>12</v>
      </c>
    </row>
    <row r="10">
      <c r="F10" t="s" s="4">
        <v>287</v>
      </c>
      <c r="G10" s="29"/>
      <c r="H10" s="29"/>
      <c r="I10" s="29"/>
      <c r="J10" s="29"/>
      <c r="K10" s="29"/>
      <c r="L10" s="29"/>
      <c r="M10" s="29"/>
      <c r="N10" s="29"/>
      <c r="O10" s="29"/>
      <c r="P10" s="29"/>
      <c r="Q10" s="29"/>
      <c r="R10" s="29"/>
      <c r="S10" s="29"/>
      <c r="T10" s="29"/>
      <c r="U10" s="29"/>
      <c r="V10" s="29"/>
      <c r="W10" s="29"/>
      <c r="X10" s="30"/>
    </row>
    <row r="11">
      <c r="F11" t="s" s="33">
        <v>288</v>
      </c>
      <c r="G11" t="s" s="5">
        <v>289</v>
      </c>
      <c r="H11" t="s" s="33">
        <v>290</v>
      </c>
      <c r="I11" t="s" s="5">
        <v>291</v>
      </c>
      <c r="J11" t="s" s="33">
        <v>292</v>
      </c>
      <c r="K11" t="s" s="5">
        <v>293</v>
      </c>
      <c r="L11" t="s" s="33">
        <v>294</v>
      </c>
      <c r="M11" t="s" s="5">
        <v>295</v>
      </c>
      <c r="N11" t="s" s="33">
        <v>296</v>
      </c>
      <c r="O11" t="s" s="4">
        <v>297</v>
      </c>
      <c r="P11" s="29"/>
      <c r="Q11" s="29"/>
      <c r="R11" s="29"/>
      <c r="S11" s="29"/>
      <c r="T11" s="29"/>
      <c r="U11" s="29"/>
      <c r="V11" s="29"/>
      <c r="W11" s="30"/>
      <c r="X11" s="56"/>
    </row>
    <row r="12" ht="42.0" customHeight="true">
      <c r="F12" s="55"/>
      <c r="G12" s="35"/>
      <c r="H12" s="55"/>
      <c r="I12" s="35"/>
      <c r="J12" s="55"/>
      <c r="K12" s="35"/>
      <c r="L12" s="55"/>
      <c r="M12" s="35"/>
      <c r="N12" s="55"/>
      <c r="O12" t="s" s="34">
        <v>298</v>
      </c>
      <c r="P12" t="s" s="6">
        <v>299</v>
      </c>
      <c r="Q12" t="s" s="34">
        <v>300</v>
      </c>
      <c r="R12" t="s" s="6">
        <v>301</v>
      </c>
      <c r="S12" t="s" s="34">
        <v>302</v>
      </c>
      <c r="T12" t="s" s="6">
        <v>303</v>
      </c>
      <c r="U12" t="s" s="34">
        <v>304</v>
      </c>
      <c r="V12" t="s" s="6">
        <v>305</v>
      </c>
      <c r="W12" s="35"/>
      <c r="X12" s="36"/>
    </row>
    <row r="13">
      <c r="B13" s="7" t="s">
        <v>306</v>
      </c>
      <c r="C13" s="8"/>
      <c r="D13" s="8"/>
      <c r="E13" s="9"/>
      <c r="F13" s="22"/>
      <c r="G13" s="22"/>
      <c r="H13" s="22"/>
      <c r="I13" s="22"/>
      <c r="J13" s="22"/>
      <c r="K13" s="22"/>
      <c r="L13" s="22"/>
      <c r="M13" s="22"/>
      <c r="N13" s="22"/>
      <c r="O13" s="22"/>
      <c r="P13" s="22"/>
      <c r="Q13" s="22"/>
      <c r="R13" s="22"/>
      <c r="S13" s="22"/>
      <c r="T13" s="22"/>
      <c r="U13" s="22"/>
      <c r="V13" s="22"/>
      <c r="W13" s="22"/>
      <c r="X13" s="22"/>
    </row>
    <row r="14">
      <c r="B14" s="10"/>
      <c r="C14" s="14" t="s">
        <v>307</v>
      </c>
      <c r="D14" s="37"/>
      <c r="E14" s="13"/>
      <c r="F14" s="47" t="n"/>
      <c r="G14" s="47" t="n"/>
      <c r="H14" s="47" t="n"/>
      <c r="I14" s="47" t="n"/>
      <c r="J14" s="47" t="n"/>
      <c r="K14" s="47" t="n"/>
      <c r="L14" s="47" t="n"/>
      <c r="M14" s="47" t="n"/>
      <c r="N14" s="47" t="n"/>
      <c r="O14" s="47" t="n"/>
      <c r="P14" s="47" t="n"/>
      <c r="Q14" s="47" t="n"/>
      <c r="R14" s="47" t="n"/>
      <c r="S14" s="47" t="n"/>
      <c r="T14" s="47" t="n"/>
      <c r="U14" s="47" t="n"/>
      <c r="V14" s="47" t="n"/>
      <c r="W14" s="47" t="n"/>
      <c r="X14" s="47" t="n">
        <f>SUM(Hoja2!P239:P247)+Hoja2!P257</f>
      </c>
    </row>
    <row r="15">
      <c r="B15" s="10"/>
      <c r="C15" s="11" t="s">
        <v>308</v>
      </c>
      <c r="D15" s="8"/>
      <c r="E15" s="9"/>
      <c r="F15" s="46" t="n"/>
      <c r="G15" s="46" t="n"/>
      <c r="H15" s="46" t="n"/>
      <c r="I15" s="46" t="n"/>
      <c r="J15" s="46" t="n"/>
      <c r="K15" s="46" t="n"/>
      <c r="L15" s="46" t="n"/>
      <c r="M15" s="46" t="n"/>
      <c r="N15" s="46" t="n"/>
      <c r="O15" s="46" t="n"/>
      <c r="P15" s="46" t="n"/>
      <c r="Q15" s="46" t="n"/>
      <c r="R15" s="46" t="n"/>
      <c r="S15" s="46" t="n"/>
      <c r="T15" s="46" t="n"/>
      <c r="U15" s="46" t="n"/>
      <c r="V15" s="46" t="n"/>
      <c r="W15" s="46" t="n"/>
      <c r="X15" s="46" t="n"/>
    </row>
    <row r="16">
      <c r="B16" s="10"/>
      <c r="C16" s="14" t="s">
        <v>309</v>
      </c>
      <c r="D16" s="37"/>
      <c r="E16" s="13"/>
      <c r="F16" s="47" t="n"/>
      <c r="G16" s="47" t="n"/>
      <c r="H16" s="47" t="n"/>
      <c r="I16" s="47" t="n"/>
      <c r="J16" s="47" t="n"/>
      <c r="K16" s="47" t="n"/>
      <c r="L16" s="47" t="n"/>
      <c r="M16" s="47" t="n"/>
      <c r="N16" s="47" t="n"/>
      <c r="O16" s="47" t="n"/>
      <c r="P16" s="47" t="n"/>
      <c r="Q16" s="47" t="n"/>
      <c r="R16" s="47" t="n"/>
      <c r="S16" s="47" t="n"/>
      <c r="T16" s="47" t="n"/>
      <c r="U16" s="47" t="n"/>
      <c r="V16" s="47" t="n"/>
      <c r="W16" s="47" t="n"/>
      <c r="X16" s="47" t="n"/>
    </row>
    <row r="17">
      <c r="B17" s="10"/>
      <c r="C17" s="11" t="s">
        <v>310</v>
      </c>
      <c r="D17" s="8"/>
      <c r="E17" s="9"/>
      <c r="F17" s="46" t="n"/>
      <c r="G17" s="46" t="n"/>
      <c r="H17" s="46" t="n"/>
      <c r="I17" s="46" t="n"/>
      <c r="J17" s="46" t="n"/>
      <c r="K17" s="46" t="n"/>
      <c r="L17" s="46" t="n"/>
      <c r="M17" s="46" t="n"/>
      <c r="N17" s="46" t="n"/>
      <c r="O17" s="46" t="n"/>
      <c r="P17" s="46" t="n"/>
      <c r="Q17" s="46" t="n"/>
      <c r="R17" s="46" t="n"/>
      <c r="S17" s="46" t="n"/>
      <c r="T17" s="46" t="n"/>
      <c r="U17" s="46" t="n"/>
      <c r="V17" s="46" t="n"/>
      <c r="W17" s="46" t="n"/>
      <c r="X17" s="46" t="n"/>
    </row>
    <row r="18">
      <c r="B18" s="10"/>
      <c r="C18" s="16" t="s">
        <v>311</v>
      </c>
      <c r="D18" s="37"/>
      <c r="E18" s="13"/>
      <c r="F18" s="23"/>
      <c r="G18" s="23"/>
      <c r="H18" s="23"/>
      <c r="I18" s="23"/>
      <c r="J18" s="23"/>
      <c r="K18" s="23"/>
      <c r="L18" s="23"/>
      <c r="M18" s="23"/>
      <c r="N18" s="23"/>
      <c r="O18" s="23"/>
      <c r="P18" s="23"/>
      <c r="Q18" s="23"/>
      <c r="R18" s="23"/>
      <c r="S18" s="23"/>
      <c r="T18" s="23"/>
      <c r="U18" s="23"/>
      <c r="V18" s="23"/>
      <c r="W18" s="23"/>
      <c r="X18" s="23"/>
    </row>
    <row r="19">
      <c r="B19" s="10"/>
      <c r="C19" s="17"/>
      <c r="D19" s="7" t="s">
        <v>312</v>
      </c>
      <c r="E19" s="9"/>
      <c r="F19" s="22"/>
      <c r="G19" s="22"/>
      <c r="H19" s="22"/>
      <c r="I19" s="22"/>
      <c r="J19" s="22"/>
      <c r="K19" s="22"/>
      <c r="L19" s="22"/>
      <c r="M19" s="22"/>
      <c r="N19" s="22"/>
      <c r="O19" s="22"/>
      <c r="P19" s="22"/>
      <c r="Q19" s="22"/>
      <c r="R19" s="22"/>
      <c r="S19" s="22"/>
      <c r="T19" s="22"/>
      <c r="U19" s="22"/>
      <c r="V19" s="22"/>
      <c r="W19" s="22"/>
      <c r="X19" s="22"/>
    </row>
    <row r="20">
      <c r="B20" s="10"/>
      <c r="C20" s="17"/>
      <c r="D20" s="10"/>
      <c r="E20" s="19" t="s">
        <v>185</v>
      </c>
      <c r="F20" s="47" t="n"/>
      <c r="G20" s="47" t="n"/>
      <c r="H20" s="47" t="n"/>
      <c r="I20" s="47" t="n"/>
      <c r="J20" s="47" t="n"/>
      <c r="K20" s="47" t="n"/>
      <c r="L20" s="47" t="n"/>
      <c r="M20" s="47" t="n"/>
      <c r="N20" s="47" t="n"/>
      <c r="O20" s="47" t="n"/>
      <c r="P20" s="47" t="n"/>
      <c r="Q20" s="47" t="n"/>
      <c r="R20" s="47" t="n"/>
      <c r="S20" s="47" t="n"/>
      <c r="T20" s="47" t="n"/>
      <c r="U20" s="47" t="n"/>
      <c r="V20" s="47" t="n"/>
      <c r="W20" s="47" t="n"/>
      <c r="X20" s="47" t="n">
        <f>Hoja3!L24-Hoja3!L25-Hoja3!L26</f>
      </c>
    </row>
    <row r="21">
      <c r="B21" s="10"/>
      <c r="C21" s="17"/>
      <c r="D21" s="10"/>
      <c r="E21" s="18" t="s">
        <v>189</v>
      </c>
      <c r="F21" s="46" t="n"/>
      <c r="G21" s="46" t="n"/>
      <c r="H21" s="46" t="n"/>
      <c r="I21" s="46" t="n"/>
      <c r="J21" s="46" t="n"/>
      <c r="K21" s="46" t="n"/>
      <c r="L21" s="46" t="n"/>
      <c r="M21" s="46" t="n"/>
      <c r="N21" s="46" t="n"/>
      <c r="O21" s="46" t="n"/>
      <c r="P21" s="46" t="n"/>
      <c r="Q21" s="46" t="n"/>
      <c r="R21" s="46" t="n"/>
      <c r="S21" s="46" t="n"/>
      <c r="T21" s="46" t="n"/>
      <c r="U21" s="46" t="n"/>
      <c r="V21" s="46" t="n"/>
      <c r="W21" s="46" t="n"/>
      <c r="X21" s="46" t="n">
        <f>Hoja4!G38+Hoja4!G26</f>
      </c>
    </row>
    <row r="22">
      <c r="B22" s="10"/>
      <c r="C22" s="17"/>
      <c r="D22" s="11"/>
      <c r="E22" s="19" t="s">
        <v>214</v>
      </c>
      <c r="F22" s="47" t="n">
        <f>F20+F21</f>
      </c>
      <c r="G22" s="47" t="n">
        <f>G20+G21</f>
      </c>
      <c r="H22" s="47" t="n">
        <f>H20+H21</f>
      </c>
      <c r="I22" s="47" t="n">
        <f>I20+I21</f>
      </c>
      <c r="J22" s="47" t="n">
        <f>J20+J21</f>
      </c>
      <c r="K22" s="47" t="n">
        <f>K20+K21</f>
      </c>
      <c r="L22" s="47" t="n">
        <f>L20+L21</f>
      </c>
      <c r="M22" s="47" t="n">
        <f>M20+M21</f>
      </c>
      <c r="N22" s="47" t="n">
        <f>N20+N21</f>
      </c>
      <c r="O22" s="47" t="n">
        <f>O20+O21</f>
      </c>
      <c r="P22" s="47" t="n">
        <f>P20+P21</f>
      </c>
      <c r="Q22" s="47" t="n">
        <f>Q20+Q21</f>
      </c>
      <c r="R22" s="47" t="n">
        <f>R20+R21</f>
      </c>
      <c r="S22" s="47" t="n">
        <f>S20+S21</f>
      </c>
      <c r="T22" s="47" t="n">
        <f>T20+T21</f>
      </c>
      <c r="U22" s="47" t="n">
        <f>U20+U21</f>
      </c>
      <c r="V22" s="47" t="n">
        <f>V20+V21</f>
      </c>
      <c r="W22" s="47" t="n">
        <f>W20+W21</f>
      </c>
      <c r="X22" s="47" t="n">
        <f>X20+X21</f>
      </c>
    </row>
    <row r="23">
      <c r="B23" s="10"/>
      <c r="C23" s="17"/>
      <c r="D23" s="11" t="s">
        <v>313</v>
      </c>
      <c r="E23" s="9"/>
      <c r="F23" s="46" t="n"/>
      <c r="G23" s="46" t="n"/>
      <c r="H23" s="46" t="n"/>
      <c r="I23" s="46" t="n"/>
      <c r="J23" s="46" t="n"/>
      <c r="K23" s="46" t="n"/>
      <c r="L23" s="46" t="n"/>
      <c r="M23" s="46" t="n"/>
      <c r="N23" s="46" t="n"/>
      <c r="O23" s="46" t="n"/>
      <c r="P23" s="46" t="n"/>
      <c r="Q23" s="46" t="n"/>
      <c r="R23" s="46" t="n"/>
      <c r="S23" s="46" t="n"/>
      <c r="T23" s="46" t="n"/>
      <c r="U23" s="46" t="n"/>
      <c r="V23" s="46" t="n"/>
      <c r="W23" s="46" t="n"/>
      <c r="X23" s="46" t="n"/>
    </row>
    <row r="24">
      <c r="B24" s="10"/>
      <c r="C24" s="17"/>
      <c r="D24" s="14" t="s">
        <v>314</v>
      </c>
      <c r="E24" s="13"/>
      <c r="F24" s="47" t="n"/>
      <c r="G24" s="47" t="n"/>
      <c r="H24" s="47" t="n"/>
      <c r="I24" s="47" t="n"/>
      <c r="J24" s="47" t="n"/>
      <c r="K24" s="47" t="n"/>
      <c r="L24" s="47" t="n"/>
      <c r="M24" s="47" t="n"/>
      <c r="N24" s="47" t="n"/>
      <c r="O24" s="47" t="n"/>
      <c r="P24" s="47" t="n"/>
      <c r="Q24" s="47" t="n"/>
      <c r="R24" s="47" t="n"/>
      <c r="S24" s="47" t="n"/>
      <c r="T24" s="47" t="n"/>
      <c r="U24" s="47" t="n"/>
      <c r="V24" s="47" t="n"/>
      <c r="W24" s="47" t="n"/>
      <c r="X24" s="47" t="n"/>
    </row>
    <row r="25">
      <c r="B25" s="10"/>
      <c r="C25" s="17"/>
      <c r="D25" s="11" t="s">
        <v>315</v>
      </c>
      <c r="E25" s="9"/>
      <c r="F25" s="46" t="n"/>
      <c r="G25" s="46" t="n"/>
      <c r="H25" s="46" t="n"/>
      <c r="I25" s="46" t="n"/>
      <c r="J25" s="46" t="n"/>
      <c r="K25" s="46" t="n"/>
      <c r="L25" s="46" t="n"/>
      <c r="M25" s="46" t="n"/>
      <c r="N25" s="46" t="n"/>
      <c r="O25" s="46" t="n"/>
      <c r="P25" s="46" t="n"/>
      <c r="Q25" s="46" t="n"/>
      <c r="R25" s="46" t="n"/>
      <c r="S25" s="46" t="n"/>
      <c r="T25" s="46" t="n"/>
      <c r="U25" s="46" t="n"/>
      <c r="V25" s="46" t="n"/>
      <c r="W25" s="46" t="n"/>
      <c r="X25" s="46" t="n"/>
    </row>
    <row r="26">
      <c r="B26" s="10"/>
      <c r="C26" s="14"/>
      <c r="D26" s="40" t="s">
        <v>316</v>
      </c>
      <c r="E26" s="39"/>
      <c r="F26" s="47" t="n">
        <f>F22+F23-F24+F25</f>
      </c>
      <c r="G26" s="47" t="n">
        <f>G22+G23-G24+G25</f>
      </c>
      <c r="H26" s="47" t="n">
        <f>H22+H23-H24+H25</f>
      </c>
      <c r="I26" s="47" t="n">
        <f>I22+I23-I24+I25</f>
      </c>
      <c r="J26" s="47" t="n">
        <f>J22+J23-J24+J25</f>
      </c>
      <c r="K26" s="47" t="n">
        <f>K22+K23-K24+K25</f>
      </c>
      <c r="L26" s="47" t="n">
        <f>L22+L23-L24+L25</f>
      </c>
      <c r="M26" s="47" t="n">
        <f>M22+M23-M24+M25</f>
      </c>
      <c r="N26" s="47" t="n">
        <f>N22+N23-N24+N25</f>
      </c>
      <c r="O26" s="47" t="n">
        <f>O22+O23-O24+O25</f>
      </c>
      <c r="P26" s="47" t="n">
        <f>P22+P23-P24+P25</f>
      </c>
      <c r="Q26" s="47" t="n">
        <f>Q22+Q23-Q24+Q25</f>
      </c>
      <c r="R26" s="47" t="n">
        <f>R22+R23-R24+R25</f>
      </c>
      <c r="S26" s="47" t="n">
        <f>S22+S23-S24+S25</f>
      </c>
      <c r="T26" s="47" t="n">
        <f>T22+T23-T24+T25</f>
      </c>
      <c r="U26" s="47" t="n">
        <f>U22+U23-U24+U25</f>
      </c>
      <c r="V26" s="47" t="n">
        <f>V22+V23-V24+V25</f>
      </c>
      <c r="W26" s="47" t="n">
        <f>W22+W23-W24+W25</f>
      </c>
      <c r="X26" s="47" t="n">
        <f>X22+X23-X24+X25</f>
      </c>
    </row>
    <row r="27">
      <c r="B27" s="11"/>
      <c r="C27" s="11" t="s">
        <v>317</v>
      </c>
      <c r="D27" s="8"/>
      <c r="E27" s="9"/>
      <c r="F27" s="48" t="n"/>
      <c r="G27" s="48" t="n"/>
      <c r="H27" s="48" t="n"/>
      <c r="I27" s="48" t="n"/>
      <c r="J27" s="48" t="n"/>
      <c r="K27" s="48" t="n"/>
      <c r="L27" s="48" t="n"/>
      <c r="M27" s="48" t="n"/>
      <c r="N27" s="48" t="n"/>
      <c r="O27" s="48" t="n"/>
      <c r="P27" s="48" t="n"/>
      <c r="Q27" s="48" t="n"/>
      <c r="R27" s="48" t="n"/>
      <c r="S27" s="48" t="n"/>
      <c r="T27" s="48" t="n"/>
      <c r="U27" s="48" t="n"/>
      <c r="V27" s="48" t="n"/>
      <c r="W27" s="48" t="n"/>
      <c r="X27" s="48" t="n">
        <f>SUM(Hoja2!P113:P121)+Hoja2!P131</f>
      </c>
    </row>
    <row r="29">
      <c r="B29" t="s" s="1">
        <v>11</v>
      </c>
      <c r="C29" t="s">
        <v>167</v>
      </c>
    </row>
    <row r="30">
      <c r="F30" t="s" s="4">
        <v>287</v>
      </c>
      <c r="G30" s="29"/>
      <c r="H30" s="29"/>
      <c r="I30" s="29"/>
      <c r="J30" s="29"/>
      <c r="K30" s="29"/>
      <c r="L30" s="29"/>
      <c r="M30" s="29"/>
      <c r="N30" s="29"/>
      <c r="O30" s="29"/>
      <c r="P30" s="29"/>
      <c r="Q30" s="29"/>
      <c r="R30" s="29"/>
      <c r="S30" s="29"/>
      <c r="T30" s="29"/>
      <c r="U30" s="29"/>
      <c r="V30" s="29"/>
      <c r="W30" s="29"/>
      <c r="X30" s="30"/>
    </row>
    <row r="31">
      <c r="F31" t="s" s="33">
        <v>288</v>
      </c>
      <c r="G31" t="s" s="5">
        <v>289</v>
      </c>
      <c r="H31" t="s" s="33">
        <v>290</v>
      </c>
      <c r="I31" t="s" s="5">
        <v>291</v>
      </c>
      <c r="J31" t="s" s="33">
        <v>292</v>
      </c>
      <c r="K31" t="s" s="5">
        <v>293</v>
      </c>
      <c r="L31" t="s" s="33">
        <v>294</v>
      </c>
      <c r="M31" t="s" s="5">
        <v>295</v>
      </c>
      <c r="N31" t="s" s="33">
        <v>296</v>
      </c>
      <c r="O31" t="s" s="4">
        <v>297</v>
      </c>
      <c r="P31" s="29"/>
      <c r="Q31" s="29"/>
      <c r="R31" s="29"/>
      <c r="S31" s="29"/>
      <c r="T31" s="29"/>
      <c r="U31" s="29"/>
      <c r="V31" s="29"/>
      <c r="W31" s="30"/>
      <c r="X31" s="56"/>
    </row>
    <row r="32" ht="42.0" customHeight="true">
      <c r="F32" s="55"/>
      <c r="G32" s="35"/>
      <c r="H32" s="55"/>
      <c r="I32" s="35"/>
      <c r="J32" s="55"/>
      <c r="K32" s="35"/>
      <c r="L32" s="55"/>
      <c r="M32" s="35"/>
      <c r="N32" s="55"/>
      <c r="O32" t="s" s="34">
        <v>298</v>
      </c>
      <c r="P32" t="s" s="6">
        <v>299</v>
      </c>
      <c r="Q32" t="s" s="34">
        <v>300</v>
      </c>
      <c r="R32" t="s" s="6">
        <v>301</v>
      </c>
      <c r="S32" t="s" s="34">
        <v>302</v>
      </c>
      <c r="T32" t="s" s="6">
        <v>303</v>
      </c>
      <c r="U32" t="s" s="34">
        <v>304</v>
      </c>
      <c r="V32" t="s" s="6">
        <v>305</v>
      </c>
      <c r="W32" s="35"/>
      <c r="X32" s="36"/>
    </row>
    <row r="33">
      <c r="B33" s="7" t="s">
        <v>306</v>
      </c>
      <c r="C33" s="8"/>
      <c r="D33" s="8"/>
      <c r="E33" s="9"/>
      <c r="F33" s="22"/>
      <c r="G33" s="22"/>
      <c r="H33" s="22"/>
      <c r="I33" s="22"/>
      <c r="J33" s="22"/>
      <c r="K33" s="22"/>
      <c r="L33" s="22"/>
      <c r="M33" s="22"/>
      <c r="N33" s="22"/>
      <c r="O33" s="22"/>
      <c r="P33" s="22"/>
      <c r="Q33" s="22"/>
      <c r="R33" s="22"/>
      <c r="S33" s="22"/>
      <c r="T33" s="22"/>
      <c r="U33" s="22"/>
      <c r="V33" s="22"/>
      <c r="W33" s="22"/>
      <c r="X33" s="22"/>
    </row>
    <row r="34">
      <c r="B34" s="10"/>
      <c r="C34" s="14" t="s">
        <v>307</v>
      </c>
      <c r="D34" s="37"/>
      <c r="E34" s="13"/>
      <c r="F34" s="47" t="n"/>
      <c r="G34" s="47" t="n"/>
      <c r="H34" s="47" t="n"/>
      <c r="I34" s="47" t="n"/>
      <c r="J34" s="47" t="n"/>
      <c r="K34" s="47" t="n"/>
      <c r="L34" s="47" t="n"/>
      <c r="M34" s="47" t="n"/>
      <c r="N34" s="47" t="n"/>
      <c r="O34" s="47" t="n"/>
      <c r="P34" s="47" t="n"/>
      <c r="Q34" s="47" t="n"/>
      <c r="R34" s="47" t="n"/>
      <c r="S34" s="47" t="n"/>
      <c r="T34" s="47" t="n"/>
      <c r="U34" s="47" t="n"/>
      <c r="V34" s="47" t="n"/>
      <c r="W34" s="47" t="n"/>
      <c r="X34" s="47" t="n"/>
    </row>
    <row r="35">
      <c r="B35" s="10"/>
      <c r="C35" s="11" t="s">
        <v>308</v>
      </c>
      <c r="D35" s="8"/>
      <c r="E35" s="9"/>
      <c r="F35" s="46" t="n"/>
      <c r="G35" s="46" t="n"/>
      <c r="H35" s="46" t="n"/>
      <c r="I35" s="46" t="n"/>
      <c r="J35" s="46" t="n"/>
      <c r="K35" s="46" t="n"/>
      <c r="L35" s="46" t="n"/>
      <c r="M35" s="46" t="n"/>
      <c r="N35" s="46" t="n"/>
      <c r="O35" s="46" t="n"/>
      <c r="P35" s="46" t="n"/>
      <c r="Q35" s="46" t="n"/>
      <c r="R35" s="46" t="n"/>
      <c r="S35" s="46" t="n"/>
      <c r="T35" s="46" t="n"/>
      <c r="U35" s="46" t="n"/>
      <c r="V35" s="46" t="n"/>
      <c r="W35" s="46" t="n"/>
      <c r="X35" s="46" t="n"/>
    </row>
    <row r="36">
      <c r="B36" s="10"/>
      <c r="C36" s="14" t="s">
        <v>309</v>
      </c>
      <c r="D36" s="37"/>
      <c r="E36" s="13"/>
      <c r="F36" s="47" t="n"/>
      <c r="G36" s="47" t="n"/>
      <c r="H36" s="47" t="n"/>
      <c r="I36" s="47" t="n"/>
      <c r="J36" s="47" t="n"/>
      <c r="K36" s="47" t="n"/>
      <c r="L36" s="47" t="n"/>
      <c r="M36" s="47" t="n"/>
      <c r="N36" s="47" t="n"/>
      <c r="O36" s="47" t="n"/>
      <c r="P36" s="47" t="n"/>
      <c r="Q36" s="47" t="n"/>
      <c r="R36" s="47" t="n"/>
      <c r="S36" s="47" t="n"/>
      <c r="T36" s="47" t="n"/>
      <c r="U36" s="47" t="n"/>
      <c r="V36" s="47" t="n"/>
      <c r="W36" s="47" t="n"/>
      <c r="X36" s="47" t="n"/>
    </row>
    <row r="37">
      <c r="B37" s="10"/>
      <c r="C37" s="11" t="s">
        <v>310</v>
      </c>
      <c r="D37" s="8"/>
      <c r="E37" s="9"/>
      <c r="F37" s="46" t="n"/>
      <c r="G37" s="46" t="n"/>
      <c r="H37" s="46" t="n"/>
      <c r="I37" s="46" t="n"/>
      <c r="J37" s="46" t="n"/>
      <c r="K37" s="46" t="n"/>
      <c r="L37" s="46" t="n"/>
      <c r="M37" s="46" t="n"/>
      <c r="N37" s="46" t="n"/>
      <c r="O37" s="46" t="n"/>
      <c r="P37" s="46" t="n"/>
      <c r="Q37" s="46" t="n"/>
      <c r="R37" s="46" t="n"/>
      <c r="S37" s="46" t="n"/>
      <c r="T37" s="46" t="n"/>
      <c r="U37" s="46" t="n"/>
      <c r="V37" s="46" t="n"/>
      <c r="W37" s="46" t="n"/>
      <c r="X37" s="46" t="n"/>
    </row>
    <row r="38">
      <c r="B38" s="10"/>
      <c r="C38" s="16" t="s">
        <v>311</v>
      </c>
      <c r="D38" s="37"/>
      <c r="E38" s="13"/>
      <c r="F38" s="23"/>
      <c r="G38" s="23"/>
      <c r="H38" s="23"/>
      <c r="I38" s="23"/>
      <c r="J38" s="23"/>
      <c r="K38" s="23"/>
      <c r="L38" s="23"/>
      <c r="M38" s="23"/>
      <c r="N38" s="23"/>
      <c r="O38" s="23"/>
      <c r="P38" s="23"/>
      <c r="Q38" s="23"/>
      <c r="R38" s="23"/>
      <c r="S38" s="23"/>
      <c r="T38" s="23"/>
      <c r="U38" s="23"/>
      <c r="V38" s="23"/>
      <c r="W38" s="23"/>
      <c r="X38" s="23"/>
    </row>
    <row r="39">
      <c r="B39" s="10"/>
      <c r="C39" s="17"/>
      <c r="D39" s="7" t="s">
        <v>312</v>
      </c>
      <c r="E39" s="9"/>
      <c r="F39" s="22"/>
      <c r="G39" s="22"/>
      <c r="H39" s="22"/>
      <c r="I39" s="22"/>
      <c r="J39" s="22"/>
      <c r="K39" s="22"/>
      <c r="L39" s="22"/>
      <c r="M39" s="22"/>
      <c r="N39" s="22"/>
      <c r="O39" s="22"/>
      <c r="P39" s="22"/>
      <c r="Q39" s="22"/>
      <c r="R39" s="22"/>
      <c r="S39" s="22"/>
      <c r="T39" s="22"/>
      <c r="U39" s="22"/>
      <c r="V39" s="22"/>
      <c r="W39" s="22"/>
      <c r="X39" s="22"/>
    </row>
    <row r="40">
      <c r="B40" s="10"/>
      <c r="C40" s="17"/>
      <c r="D40" s="10"/>
      <c r="E40" s="19" t="s">
        <v>185</v>
      </c>
      <c r="F40" s="47" t="n"/>
      <c r="G40" s="47" t="n"/>
      <c r="H40" s="47" t="n"/>
      <c r="I40" s="47" t="n"/>
      <c r="J40" s="47" t="n"/>
      <c r="K40" s="47" t="n"/>
      <c r="L40" s="47" t="n"/>
      <c r="M40" s="47" t="n"/>
      <c r="N40" s="47" t="n"/>
      <c r="O40" s="47" t="n"/>
      <c r="P40" s="47" t="n"/>
      <c r="Q40" s="47" t="n"/>
      <c r="R40" s="47" t="n"/>
      <c r="S40" s="47" t="n"/>
      <c r="T40" s="47" t="n"/>
      <c r="U40" s="47" t="n"/>
      <c r="V40" s="47" t="n"/>
      <c r="W40" s="47" t="n"/>
      <c r="X40" s="47" t="n">
        <f>Hoja3!L44-Hoja3!L45-Hoja3!L46</f>
      </c>
    </row>
    <row r="41">
      <c r="B41" s="10"/>
      <c r="C41" s="17"/>
      <c r="D41" s="10"/>
      <c r="E41" s="18" t="s">
        <v>189</v>
      </c>
      <c r="F41" s="46" t="n"/>
      <c r="G41" s="46" t="n"/>
      <c r="H41" s="46" t="n"/>
      <c r="I41" s="46" t="n"/>
      <c r="J41" s="46" t="n"/>
      <c r="K41" s="46" t="n"/>
      <c r="L41" s="46" t="n"/>
      <c r="M41" s="46" t="n"/>
      <c r="N41" s="46" t="n"/>
      <c r="O41" s="46" t="n"/>
      <c r="P41" s="46" t="n"/>
      <c r="Q41" s="46" t="n"/>
      <c r="R41" s="46" t="n"/>
      <c r="S41" s="46" t="n"/>
      <c r="T41" s="46" t="n"/>
      <c r="U41" s="46" t="n"/>
      <c r="V41" s="46" t="n"/>
      <c r="W41" s="46" t="n"/>
      <c r="X41" s="46" t="n">
        <f>Hoja4!H38+Hoja4!H26</f>
      </c>
    </row>
    <row r="42">
      <c r="B42" s="10"/>
      <c r="C42" s="17"/>
      <c r="D42" s="11"/>
      <c r="E42" s="19" t="s">
        <v>214</v>
      </c>
      <c r="F42" s="47" t="n">
        <f>F40+F41</f>
      </c>
      <c r="G42" s="47" t="n">
        <f>G40+G41</f>
      </c>
      <c r="H42" s="47" t="n">
        <f>H40+H41</f>
      </c>
      <c r="I42" s="47" t="n">
        <f>I40+I41</f>
      </c>
      <c r="J42" s="47" t="n">
        <f>J40+J41</f>
      </c>
      <c r="K42" s="47" t="n">
        <f>K40+K41</f>
      </c>
      <c r="L42" s="47" t="n">
        <f>L40+L41</f>
      </c>
      <c r="M42" s="47" t="n">
        <f>M40+M41</f>
      </c>
      <c r="N42" s="47" t="n">
        <f>N40+N41</f>
      </c>
      <c r="O42" s="47" t="n">
        <f>O40+O41</f>
      </c>
      <c r="P42" s="47" t="n">
        <f>P40+P41</f>
      </c>
      <c r="Q42" s="47" t="n">
        <f>Q40+Q41</f>
      </c>
      <c r="R42" s="47" t="n">
        <f>R40+R41</f>
      </c>
      <c r="S42" s="47" t="n">
        <f>S40+S41</f>
      </c>
      <c r="T42" s="47" t="n">
        <f>T40+T41</f>
      </c>
      <c r="U42" s="47" t="n">
        <f>U40+U41</f>
      </c>
      <c r="V42" s="47" t="n">
        <f>V40+V41</f>
      </c>
      <c r="W42" s="47" t="n">
        <f>W40+W41</f>
      </c>
      <c r="X42" s="47" t="n">
        <f>X40+X41</f>
      </c>
    </row>
    <row r="43">
      <c r="B43" s="10"/>
      <c r="C43" s="17"/>
      <c r="D43" s="11" t="s">
        <v>313</v>
      </c>
      <c r="E43" s="9"/>
      <c r="F43" s="46" t="n"/>
      <c r="G43" s="46" t="n"/>
      <c r="H43" s="46" t="n"/>
      <c r="I43" s="46" t="n"/>
      <c r="J43" s="46" t="n"/>
      <c r="K43" s="46" t="n"/>
      <c r="L43" s="46" t="n"/>
      <c r="M43" s="46" t="n"/>
      <c r="N43" s="46" t="n"/>
      <c r="O43" s="46" t="n"/>
      <c r="P43" s="46" t="n"/>
      <c r="Q43" s="46" t="n"/>
      <c r="R43" s="46" t="n"/>
      <c r="S43" s="46" t="n"/>
      <c r="T43" s="46" t="n"/>
      <c r="U43" s="46" t="n"/>
      <c r="V43" s="46" t="n"/>
      <c r="W43" s="46" t="n"/>
      <c r="X43" s="46" t="n"/>
    </row>
    <row r="44">
      <c r="B44" s="10"/>
      <c r="C44" s="17"/>
      <c r="D44" s="14" t="s">
        <v>314</v>
      </c>
      <c r="E44" s="13"/>
      <c r="F44" s="47" t="n"/>
      <c r="G44" s="47" t="n"/>
      <c r="H44" s="47" t="n"/>
      <c r="I44" s="47" t="n"/>
      <c r="J44" s="47" t="n"/>
      <c r="K44" s="47" t="n"/>
      <c r="L44" s="47" t="n"/>
      <c r="M44" s="47" t="n"/>
      <c r="N44" s="47" t="n"/>
      <c r="O44" s="47" t="n"/>
      <c r="P44" s="47" t="n"/>
      <c r="Q44" s="47" t="n"/>
      <c r="R44" s="47" t="n"/>
      <c r="S44" s="47" t="n"/>
      <c r="T44" s="47" t="n"/>
      <c r="U44" s="47" t="n"/>
      <c r="V44" s="47" t="n"/>
      <c r="W44" s="47" t="n"/>
      <c r="X44" s="47" t="n"/>
    </row>
    <row r="45">
      <c r="B45" s="10"/>
      <c r="C45" s="17"/>
      <c r="D45" s="11" t="s">
        <v>315</v>
      </c>
      <c r="E45" s="9"/>
      <c r="F45" s="46" t="n"/>
      <c r="G45" s="46" t="n"/>
      <c r="H45" s="46" t="n"/>
      <c r="I45" s="46" t="n"/>
      <c r="J45" s="46" t="n"/>
      <c r="K45" s="46" t="n"/>
      <c r="L45" s="46" t="n"/>
      <c r="M45" s="46" t="n"/>
      <c r="N45" s="46" t="n"/>
      <c r="O45" s="46" t="n"/>
      <c r="P45" s="46" t="n"/>
      <c r="Q45" s="46" t="n"/>
      <c r="R45" s="46" t="n"/>
      <c r="S45" s="46" t="n"/>
      <c r="T45" s="46" t="n"/>
      <c r="U45" s="46" t="n"/>
      <c r="V45" s="46" t="n"/>
      <c r="W45" s="46" t="n"/>
      <c r="X45" s="46" t="n"/>
    </row>
    <row r="46">
      <c r="B46" s="10"/>
      <c r="C46" s="14"/>
      <c r="D46" s="40" t="s">
        <v>316</v>
      </c>
      <c r="E46" s="39"/>
      <c r="F46" s="47" t="n">
        <f>F42+F43-F44+F45</f>
      </c>
      <c r="G46" s="47" t="n">
        <f>G42+G43-G44+G45</f>
      </c>
      <c r="H46" s="47" t="n">
        <f>H42+H43-H44+H45</f>
      </c>
      <c r="I46" s="47" t="n">
        <f>I42+I43-I44+I45</f>
      </c>
      <c r="J46" s="47" t="n">
        <f>J42+J43-J44+J45</f>
      </c>
      <c r="K46" s="47" t="n">
        <f>K42+K43-K44+K45</f>
      </c>
      <c r="L46" s="47" t="n">
        <f>L42+L43-L44+L45</f>
      </c>
      <c r="M46" s="47" t="n">
        <f>M42+M43-M44+M45</f>
      </c>
      <c r="N46" s="47" t="n">
        <f>N42+N43-N44+N45</f>
      </c>
      <c r="O46" s="47" t="n">
        <f>O42+O43-O44+O45</f>
      </c>
      <c r="P46" s="47" t="n">
        <f>P42+P43-P44+P45</f>
      </c>
      <c r="Q46" s="47" t="n">
        <f>Q42+Q43-Q44+Q45</f>
      </c>
      <c r="R46" s="47" t="n">
        <f>R42+R43-R44+R45</f>
      </c>
      <c r="S46" s="47" t="n">
        <f>S42+S43-S44+S45</f>
      </c>
      <c r="T46" s="47" t="n">
        <f>T42+T43-T44+T45</f>
      </c>
      <c r="U46" s="47" t="n">
        <f>U42+U43-U44+U45</f>
      </c>
      <c r="V46" s="47" t="n">
        <f>V42+V43-V44+V45</f>
      </c>
      <c r="W46" s="47" t="n">
        <f>W42+W43-W44+W45</f>
      </c>
      <c r="X46" s="47" t="n">
        <f>X42+X43-X44+X45</f>
      </c>
    </row>
    <row r="47">
      <c r="B47" s="11"/>
      <c r="C47" s="11" t="s">
        <v>317</v>
      </c>
      <c r="D47" s="8"/>
      <c r="E47" s="9"/>
      <c r="F47" s="48" t="n">
        <f>F14</f>
      </c>
      <c r="G47" s="48" t="n">
        <f>G14</f>
      </c>
      <c r="H47" s="48" t="n">
        <f>H14</f>
      </c>
      <c r="I47" s="48" t="n">
        <f>I14</f>
      </c>
      <c r="J47" s="48" t="n">
        <f>J14</f>
      </c>
      <c r="K47" s="48" t="n">
        <f>K14</f>
      </c>
      <c r="L47" s="48" t="n">
        <f>L14</f>
      </c>
      <c r="M47" s="48" t="n">
        <f>M14</f>
      </c>
      <c r="N47" s="48" t="n">
        <f>N14</f>
      </c>
      <c r="O47" s="48" t="n">
        <f>O14</f>
      </c>
      <c r="P47" s="48" t="n">
        <f>P14</f>
      </c>
      <c r="Q47" s="48" t="n">
        <f>Q14</f>
      </c>
      <c r="R47" s="48" t="n">
        <f>R14</f>
      </c>
      <c r="S47" s="48" t="n">
        <f>S14</f>
      </c>
      <c r="T47" s="48" t="n">
        <f>T14</f>
      </c>
      <c r="U47" s="48" t="n">
        <f>U14</f>
      </c>
      <c r="V47" s="48" t="n">
        <f>V14</f>
      </c>
      <c r="W47" s="48" t="n">
        <f>W14</f>
      </c>
      <c r="X47" s="48" t="n">
        <f>SUM(Hoja2!P239:P247)+Hoja2!P257</f>
      </c>
    </row>
  </sheetData>
  <mergeCells>
    <mergeCell ref="F10:X10"/>
    <mergeCell ref="F11:F12"/>
    <mergeCell ref="G11:G12"/>
    <mergeCell ref="H11:H12"/>
    <mergeCell ref="I11:I12"/>
    <mergeCell ref="J11:J12"/>
    <mergeCell ref="K11:K12"/>
    <mergeCell ref="L11:L12"/>
    <mergeCell ref="M11:M12"/>
    <mergeCell ref="N11:N12"/>
    <mergeCell ref="O11:W11"/>
    <mergeCell ref="B13:E13"/>
    <mergeCell ref="C14:E14"/>
    <mergeCell ref="C15:E15"/>
    <mergeCell ref="C16:E16"/>
    <mergeCell ref="C17:E17"/>
    <mergeCell ref="C18:E18"/>
    <mergeCell ref="D19:E19"/>
    <mergeCell ref="D23:E23"/>
    <mergeCell ref="D24:E24"/>
    <mergeCell ref="D25:E25"/>
    <mergeCell ref="D26:E26"/>
    <mergeCell ref="C27:E27"/>
    <mergeCell ref="F30:X30"/>
    <mergeCell ref="F31:F32"/>
    <mergeCell ref="G31:G32"/>
    <mergeCell ref="H31:H32"/>
    <mergeCell ref="I31:I32"/>
    <mergeCell ref="J31:J32"/>
    <mergeCell ref="K31:K32"/>
    <mergeCell ref="L31:L32"/>
    <mergeCell ref="M31:M32"/>
    <mergeCell ref="N31:N32"/>
    <mergeCell ref="O31:W31"/>
    <mergeCell ref="B33:E33"/>
    <mergeCell ref="C34:E34"/>
    <mergeCell ref="C35:E35"/>
    <mergeCell ref="C36:E36"/>
    <mergeCell ref="C37:E37"/>
    <mergeCell ref="C38:E38"/>
    <mergeCell ref="D39:E39"/>
    <mergeCell ref="D43:E43"/>
    <mergeCell ref="D44:E44"/>
    <mergeCell ref="D45:E45"/>
    <mergeCell ref="D46:E46"/>
    <mergeCell ref="C47:E47"/>
  </mergeCells>
  <hyperlinks>
    <hyperlink location="'Indice'!A1" ref="B2"/>
  </hyperlinks>
  <pageMargins bottom="0.75" footer="0.3" header="0.3" left="0.7" right="0.7" top="0.75"/>
</worksheet>
</file>

<file path=xl/worksheets/sheet9.xml><?xml version="1.0" encoding="utf-8"?>
<worksheet xmlns="http://schemas.openxmlformats.org/spreadsheetml/2006/main">
  <dimension ref="B2:G83"/>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318</v>
      </c>
    </row>
    <row r="6">
      <c r="B6" t="s" s="1">
        <v>8</v>
      </c>
      <c r="C6" t="s">
        <v>9</v>
      </c>
    </row>
    <row r="7">
      <c r="B7" t="s" s="1">
        <v>10</v>
      </c>
      <c r="C7" t="s">
        <v>9</v>
      </c>
    </row>
    <row r="8">
      <c r="B8" t="s" s="1">
        <v>11</v>
      </c>
      <c r="C8" t="s">
        <v>9</v>
      </c>
    </row>
    <row r="10">
      <c r="F10" t="s" s="6">
        <v>12</v>
      </c>
    </row>
    <row r="11">
      <c r="B11" s="7" t="s">
        <v>319</v>
      </c>
      <c r="C11" s="8"/>
      <c r="D11" s="8"/>
      <c r="E11" s="9"/>
      <c r="F11" s="22"/>
    </row>
    <row r="12">
      <c r="B12" s="10"/>
      <c r="C12" s="16" t="s">
        <v>320</v>
      </c>
      <c r="D12" s="37"/>
      <c r="E12" s="13"/>
      <c r="F12" s="23"/>
    </row>
    <row r="13">
      <c r="B13" s="10"/>
      <c r="C13" s="17"/>
      <c r="D13" s="7" t="s">
        <v>321</v>
      </c>
      <c r="E13" s="9"/>
      <c r="F13" s="22"/>
    </row>
    <row r="14">
      <c r="B14" s="10"/>
      <c r="C14" s="17"/>
      <c r="D14" s="10"/>
      <c r="E14" s="19" t="s">
        <v>322</v>
      </c>
      <c r="F14" s="47" t="n"/>
    </row>
    <row r="15">
      <c r="B15" s="10"/>
      <c r="C15" s="17"/>
      <c r="D15" s="10"/>
      <c r="E15" s="18" t="s">
        <v>323</v>
      </c>
      <c r="F15" s="46" t="n"/>
    </row>
    <row r="16">
      <c r="B16" s="10"/>
      <c r="C16" s="17"/>
      <c r="D16" s="11"/>
      <c r="E16" s="52" t="s">
        <v>324</v>
      </c>
      <c r="F16" s="47" t="n">
        <f>F14+F15</f>
      </c>
    </row>
    <row r="17">
      <c r="B17" s="10"/>
      <c r="C17" s="17"/>
      <c r="D17" s="11" t="s">
        <v>325</v>
      </c>
      <c r="E17" s="9"/>
      <c r="F17" s="46" t="n"/>
    </row>
    <row r="18">
      <c r="B18" s="10"/>
      <c r="C18" s="17"/>
      <c r="D18" s="14" t="s">
        <v>326</v>
      </c>
      <c r="E18" s="13"/>
      <c r="F18" s="47" t="n"/>
    </row>
    <row r="19">
      <c r="B19" s="10"/>
      <c r="C19" s="17"/>
      <c r="D19" s="11" t="s">
        <v>327</v>
      </c>
      <c r="E19" s="9"/>
      <c r="F19" s="46" t="n"/>
    </row>
    <row r="20">
      <c r="B20" s="10"/>
      <c r="C20" s="17"/>
      <c r="D20" s="14" t="s">
        <v>328</v>
      </c>
      <c r="E20" s="13"/>
      <c r="F20" s="47" t="n"/>
    </row>
    <row r="21">
      <c r="B21" s="10"/>
      <c r="C21" s="17"/>
      <c r="D21" s="11" t="s">
        <v>329</v>
      </c>
      <c r="E21" s="9"/>
      <c r="F21" s="46" t="n"/>
    </row>
    <row r="22">
      <c r="B22" s="10"/>
      <c r="C22" s="17"/>
      <c r="D22" s="16" t="s">
        <v>330</v>
      </c>
      <c r="E22" s="13"/>
      <c r="F22" s="23"/>
    </row>
    <row r="23">
      <c r="B23" s="10"/>
      <c r="C23" s="17"/>
      <c r="D23" s="17"/>
      <c r="E23" s="18" t="s">
        <v>331</v>
      </c>
      <c r="F23" s="46" t="n"/>
    </row>
    <row r="24">
      <c r="B24" s="10"/>
      <c r="C24" s="17"/>
      <c r="D24" s="17"/>
      <c r="E24" s="19" t="s">
        <v>332</v>
      </c>
      <c r="F24" s="47" t="n"/>
    </row>
    <row r="25">
      <c r="B25" s="10"/>
      <c r="C25" s="17"/>
      <c r="D25" s="17"/>
      <c r="E25" s="18" t="s">
        <v>333</v>
      </c>
      <c r="F25" s="46" t="n"/>
    </row>
    <row r="26">
      <c r="B26" s="10"/>
      <c r="C26" s="17"/>
      <c r="D26" s="17"/>
      <c r="E26" s="19" t="s">
        <v>334</v>
      </c>
      <c r="F26" s="47" t="n"/>
    </row>
    <row r="27">
      <c r="B27" s="10"/>
      <c r="C27" s="17"/>
      <c r="D27" s="17"/>
      <c r="E27" s="18" t="s">
        <v>335</v>
      </c>
      <c r="F27" s="46" t="n"/>
    </row>
    <row r="28">
      <c r="B28" s="10"/>
      <c r="C28" s="17"/>
      <c r="D28" s="17"/>
      <c r="E28" s="19" t="s">
        <v>336</v>
      </c>
      <c r="F28" s="47" t="n"/>
    </row>
    <row r="29">
      <c r="B29" s="10"/>
      <c r="C29" s="17"/>
      <c r="D29" s="14"/>
      <c r="E29" s="51" t="s">
        <v>337</v>
      </c>
      <c r="F29" s="46" t="n">
        <f>SUM(F23:F28)</f>
      </c>
    </row>
    <row r="30">
      <c r="B30" s="10"/>
      <c r="C30" s="17"/>
      <c r="D30" s="14" t="s">
        <v>338</v>
      </c>
      <c r="E30" s="13"/>
      <c r="F30" s="47" t="n"/>
    </row>
    <row r="31" ht="28.0" customHeight="true">
      <c r="B31" s="10"/>
      <c r="C31" s="17"/>
      <c r="D31" s="45" t="s">
        <v>339</v>
      </c>
      <c r="E31" s="44"/>
      <c r="F31" s="46" t="n">
        <f>SUM(F16:F21)+F29+F30</f>
      </c>
    </row>
    <row r="32">
      <c r="B32" s="10"/>
      <c r="C32" s="17"/>
      <c r="D32" s="14" t="s">
        <v>340</v>
      </c>
      <c r="E32" s="13"/>
      <c r="F32" s="47" t="n"/>
    </row>
    <row r="33">
      <c r="B33" s="10"/>
      <c r="C33" s="17"/>
      <c r="D33" s="11" t="s">
        <v>341</v>
      </c>
      <c r="E33" s="9"/>
      <c r="F33" s="46" t="n"/>
    </row>
    <row r="34">
      <c r="B34" s="10"/>
      <c r="C34" s="14"/>
      <c r="D34" s="40" t="s">
        <v>342</v>
      </c>
      <c r="E34" s="39"/>
      <c r="F34" s="47" t="n">
        <f>F31-F32-F33</f>
      </c>
    </row>
    <row r="35">
      <c r="B35" s="10"/>
      <c r="C35" s="7" t="s">
        <v>343</v>
      </c>
      <c r="D35" s="8"/>
      <c r="E35" s="9"/>
      <c r="F35" s="22"/>
    </row>
    <row r="36">
      <c r="B36" s="10"/>
      <c r="C36" s="10"/>
      <c r="D36" s="16" t="s">
        <v>344</v>
      </c>
      <c r="E36" s="13"/>
      <c r="F36" s="23"/>
    </row>
    <row r="37">
      <c r="B37" s="10"/>
      <c r="C37" s="10"/>
      <c r="D37" s="17"/>
      <c r="E37" s="18" t="s">
        <v>345</v>
      </c>
      <c r="F37" s="46" t="n"/>
    </row>
    <row r="38">
      <c r="B38" s="10"/>
      <c r="C38" s="10"/>
      <c r="D38" s="17"/>
      <c r="E38" s="19" t="s">
        <v>346</v>
      </c>
      <c r="F38" s="47" t="n"/>
    </row>
    <row r="39">
      <c r="B39" s="10"/>
      <c r="C39" s="10"/>
      <c r="D39" s="17"/>
      <c r="E39" s="18" t="s">
        <v>347</v>
      </c>
      <c r="F39" s="46" t="n"/>
    </row>
    <row r="40">
      <c r="B40" s="10"/>
      <c r="C40" s="10"/>
      <c r="D40" s="17"/>
      <c r="E40" s="19" t="s">
        <v>348</v>
      </c>
      <c r="F40" s="47" t="n"/>
    </row>
    <row r="41">
      <c r="B41" s="10"/>
      <c r="C41" s="10"/>
      <c r="D41" s="17"/>
      <c r="E41" s="18" t="s">
        <v>349</v>
      </c>
      <c r="F41" s="46" t="n"/>
    </row>
    <row r="42">
      <c r="B42" s="10"/>
      <c r="C42" s="10"/>
      <c r="D42" s="17"/>
      <c r="E42" s="19" t="s">
        <v>350</v>
      </c>
      <c r="F42" s="47" t="n"/>
    </row>
    <row r="43">
      <c r="B43" s="10"/>
      <c r="C43" s="10"/>
      <c r="D43" s="17"/>
      <c r="E43" s="18" t="s">
        <v>351</v>
      </c>
      <c r="F43" s="46" t="n"/>
    </row>
    <row r="44">
      <c r="B44" s="10"/>
      <c r="C44" s="10"/>
      <c r="D44" s="14"/>
      <c r="E44" s="52" t="s">
        <v>352</v>
      </c>
      <c r="F44" s="47" t="n">
        <f>SUM(F37:F43)</f>
      </c>
    </row>
    <row r="45">
      <c r="B45" s="10"/>
      <c r="C45" s="10"/>
      <c r="D45" s="11" t="s">
        <v>353</v>
      </c>
      <c r="E45" s="9"/>
      <c r="F45" s="46" t="n"/>
    </row>
    <row r="46">
      <c r="B46" s="10"/>
      <c r="C46" s="10"/>
      <c r="D46" s="14" t="s">
        <v>354</v>
      </c>
      <c r="E46" s="13"/>
      <c r="F46" s="47" t="n"/>
    </row>
    <row r="47">
      <c r="B47" s="10"/>
      <c r="C47" s="10"/>
      <c r="D47" s="11" t="s">
        <v>355</v>
      </c>
      <c r="E47" s="9"/>
      <c r="F47" s="46" t="n"/>
    </row>
    <row r="48">
      <c r="B48" s="10"/>
      <c r="C48" s="11"/>
      <c r="D48" s="40" t="s">
        <v>356</v>
      </c>
      <c r="E48" s="39"/>
      <c r="F48" s="47" t="n">
        <f>F44+F45-F46-F47</f>
      </c>
    </row>
    <row r="49">
      <c r="B49" s="10"/>
      <c r="C49" s="7" t="s">
        <v>357</v>
      </c>
      <c r="D49" s="8"/>
      <c r="E49" s="9"/>
      <c r="F49" s="22"/>
    </row>
    <row r="50">
      <c r="B50" s="10"/>
      <c r="C50" s="10"/>
      <c r="D50" s="16" t="s">
        <v>358</v>
      </c>
      <c r="E50" s="13"/>
      <c r="F50" s="23"/>
    </row>
    <row r="51">
      <c r="B51" s="10"/>
      <c r="C51" s="10"/>
      <c r="D51" s="17"/>
      <c r="E51" s="18" t="s">
        <v>359</v>
      </c>
      <c r="F51" s="46" t="n"/>
    </row>
    <row r="52">
      <c r="B52" s="10"/>
      <c r="C52" s="10"/>
      <c r="D52" s="17"/>
      <c r="E52" s="19" t="s">
        <v>360</v>
      </c>
      <c r="F52" s="47" t="n"/>
    </row>
    <row r="53">
      <c r="B53" s="10"/>
      <c r="C53" s="10"/>
      <c r="D53" s="14"/>
      <c r="E53" s="51" t="s">
        <v>361</v>
      </c>
      <c r="F53" s="46" t="n">
        <f>F51+F52</f>
      </c>
    </row>
    <row r="54">
      <c r="B54" s="10"/>
      <c r="C54" s="10"/>
      <c r="D54" s="16" t="s">
        <v>362</v>
      </c>
      <c r="E54" s="13"/>
      <c r="F54" s="23"/>
    </row>
    <row r="55">
      <c r="B55" s="10"/>
      <c r="C55" s="10"/>
      <c r="D55" s="17"/>
      <c r="E55" s="18" t="s">
        <v>363</v>
      </c>
      <c r="F55" s="46" t="n"/>
    </row>
    <row r="56">
      <c r="B56" s="10"/>
      <c r="C56" s="10"/>
      <c r="D56" s="17"/>
      <c r="E56" s="19" t="s">
        <v>364</v>
      </c>
      <c r="F56" s="47" t="n"/>
    </row>
    <row r="57">
      <c r="B57" s="10"/>
      <c r="C57" s="10"/>
      <c r="D57" s="17"/>
      <c r="E57" s="18" t="s">
        <v>365</v>
      </c>
      <c r="F57" s="46" t="n"/>
    </row>
    <row r="58">
      <c r="B58" s="10"/>
      <c r="C58" s="10"/>
      <c r="D58" s="14"/>
      <c r="E58" s="52" t="s">
        <v>366</v>
      </c>
      <c r="F58" s="47" t="n">
        <f>SUM(F55:F57)</f>
      </c>
    </row>
    <row r="59">
      <c r="B59" s="10"/>
      <c r="C59" s="10"/>
      <c r="D59" s="11" t="s">
        <v>367</v>
      </c>
      <c r="E59" s="9"/>
      <c r="F59" s="46" t="n"/>
    </row>
    <row r="60">
      <c r="B60" s="10"/>
      <c r="C60" s="11"/>
      <c r="D60" s="40" t="s">
        <v>368</v>
      </c>
      <c r="E60" s="39"/>
      <c r="F60" s="47" t="n">
        <f>F53+F58+F59</f>
      </c>
    </row>
    <row r="61">
      <c r="B61" s="10"/>
      <c r="C61" s="7" t="s">
        <v>369</v>
      </c>
      <c r="D61" s="8"/>
      <c r="E61" s="9"/>
      <c r="F61" s="22"/>
    </row>
    <row r="62">
      <c r="B62" s="10"/>
      <c r="C62" s="10"/>
      <c r="D62" s="16" t="s">
        <v>370</v>
      </c>
      <c r="E62" s="13"/>
      <c r="F62" s="23"/>
    </row>
    <row r="63">
      <c r="B63" s="10"/>
      <c r="C63" s="10"/>
      <c r="D63" s="17"/>
      <c r="E63" s="18" t="s">
        <v>371</v>
      </c>
      <c r="F63" s="46" t="n"/>
    </row>
    <row r="64">
      <c r="B64" s="10"/>
      <c r="C64" s="10"/>
      <c r="D64" s="17"/>
      <c r="E64" s="19" t="s">
        <v>372</v>
      </c>
      <c r="F64" s="47" t="n"/>
    </row>
    <row r="65">
      <c r="B65" s="10"/>
      <c r="C65" s="10"/>
      <c r="D65" s="14"/>
      <c r="E65" s="51" t="s">
        <v>373</v>
      </c>
      <c r="F65" s="46" t="n">
        <f>F63+F64</f>
      </c>
    </row>
    <row r="66">
      <c r="B66" s="10"/>
      <c r="C66" s="10"/>
      <c r="D66" s="16" t="s">
        <v>374</v>
      </c>
      <c r="E66" s="13"/>
      <c r="F66" s="23"/>
    </row>
    <row r="67">
      <c r="B67" s="10"/>
      <c r="C67" s="10"/>
      <c r="D67" s="17"/>
      <c r="E67" s="18" t="s">
        <v>375</v>
      </c>
      <c r="F67" s="46" t="n"/>
    </row>
    <row r="68">
      <c r="B68" s="10"/>
      <c r="C68" s="10"/>
      <c r="D68" s="17"/>
      <c r="E68" s="19" t="s">
        <v>376</v>
      </c>
      <c r="F68" s="47" t="n"/>
    </row>
    <row r="69">
      <c r="B69" s="10"/>
      <c r="C69" s="10"/>
      <c r="D69" s="14"/>
      <c r="E69" s="51" t="s">
        <v>377</v>
      </c>
      <c r="F69" s="46" t="n">
        <f>F67+F68</f>
      </c>
    </row>
    <row r="70" ht="28.0" customHeight="true">
      <c r="B70" s="10"/>
      <c r="C70" s="10"/>
      <c r="D70" s="16" t="s">
        <v>378</v>
      </c>
      <c r="E70" s="13"/>
      <c r="F70" s="23"/>
    </row>
    <row r="71">
      <c r="B71" s="10"/>
      <c r="C71" s="10"/>
      <c r="D71" s="17"/>
      <c r="E71" s="18" t="s">
        <v>379</v>
      </c>
      <c r="F71" s="46" t="n"/>
    </row>
    <row r="72">
      <c r="B72" s="10"/>
      <c r="C72" s="10"/>
      <c r="D72" s="17"/>
      <c r="E72" s="19" t="s">
        <v>380</v>
      </c>
      <c r="F72" s="47" t="n"/>
    </row>
    <row r="73">
      <c r="B73" s="10"/>
      <c r="C73" s="11"/>
      <c r="D73" s="14"/>
      <c r="E73" s="51" t="s">
        <v>381</v>
      </c>
      <c r="F73" s="46" t="n">
        <f>F71+F72</f>
      </c>
    </row>
    <row r="74">
      <c r="B74" s="10"/>
      <c r="C74" s="16" t="s">
        <v>382</v>
      </c>
      <c r="D74" s="37"/>
      <c r="E74" s="13"/>
      <c r="F74" s="23"/>
    </row>
    <row r="75">
      <c r="B75" s="10"/>
      <c r="C75" s="17"/>
      <c r="D75" s="11" t="s">
        <v>125</v>
      </c>
      <c r="E75" s="9"/>
      <c r="F75" s="46" t="n">
        <f>Hoja2!P92</f>
      </c>
    </row>
    <row r="76">
      <c r="B76" s="10"/>
      <c r="C76" s="17"/>
      <c r="D76" s="14" t="s">
        <v>103</v>
      </c>
      <c r="E76" s="13"/>
      <c r="F76" s="47" t="n">
        <f>Hoja2!P70</f>
      </c>
    </row>
    <row r="77">
      <c r="B77" s="10"/>
      <c r="C77" s="14"/>
      <c r="D77" s="45" t="s">
        <v>383</v>
      </c>
      <c r="E77" s="44"/>
      <c r="F77" s="46" t="n">
        <f>F75+F76</f>
      </c>
    </row>
    <row r="78">
      <c r="B78" s="10"/>
      <c r="C78" s="16" t="s">
        <v>384</v>
      </c>
      <c r="D78" s="37"/>
      <c r="E78" s="13"/>
      <c r="F78" s="23"/>
    </row>
    <row r="79">
      <c r="B79" s="10"/>
      <c r="C79" s="17"/>
      <c r="D79" s="11" t="s">
        <v>385</v>
      </c>
      <c r="E79" s="9"/>
      <c r="F79" s="46" t="n"/>
    </row>
    <row r="80">
      <c r="B80" s="10"/>
      <c r="C80" s="17"/>
      <c r="D80" s="14" t="s">
        <v>386</v>
      </c>
      <c r="E80" s="13"/>
      <c r="F80" s="47" t="n"/>
    </row>
    <row r="81">
      <c r="B81" s="10"/>
      <c r="C81" s="17"/>
      <c r="D81" s="11" t="s">
        <v>387</v>
      </c>
      <c r="E81" s="9"/>
      <c r="F81" s="46" t="n"/>
    </row>
    <row r="82">
      <c r="B82" s="10"/>
      <c r="C82" s="17"/>
      <c r="D82" s="14" t="s">
        <v>388</v>
      </c>
      <c r="E82" s="13"/>
      <c r="F82" s="47" t="n"/>
    </row>
    <row r="83">
      <c r="B83" s="11"/>
      <c r="C83" s="14"/>
      <c r="D83" s="45" t="s">
        <v>389</v>
      </c>
      <c r="E83" s="44"/>
      <c r="F83" s="48" t="n">
        <f>SUM(F79:F82)</f>
      </c>
    </row>
  </sheetData>
  <mergeCells>
    <mergeCell ref="B11:E11"/>
    <mergeCell ref="C12:E12"/>
    <mergeCell ref="D13:E13"/>
    <mergeCell ref="D17:E17"/>
    <mergeCell ref="D18:E18"/>
    <mergeCell ref="D19:E19"/>
    <mergeCell ref="D20:E20"/>
    <mergeCell ref="D21:E21"/>
    <mergeCell ref="D22:E22"/>
    <mergeCell ref="D30:E30"/>
    <mergeCell ref="D31:E31"/>
    <mergeCell ref="D32:E32"/>
    <mergeCell ref="D33:E33"/>
    <mergeCell ref="D34:E34"/>
    <mergeCell ref="C35:E35"/>
    <mergeCell ref="D36:E36"/>
    <mergeCell ref="D45:E45"/>
    <mergeCell ref="D46:E46"/>
    <mergeCell ref="D47:E47"/>
    <mergeCell ref="D48:E48"/>
    <mergeCell ref="C49:E49"/>
    <mergeCell ref="D50:E50"/>
    <mergeCell ref="D54:E54"/>
    <mergeCell ref="D59:E59"/>
    <mergeCell ref="D60:E60"/>
    <mergeCell ref="C61:E61"/>
    <mergeCell ref="D62:E62"/>
    <mergeCell ref="D66:E66"/>
    <mergeCell ref="D70:E70"/>
    <mergeCell ref="C74:E74"/>
    <mergeCell ref="D75:E75"/>
    <mergeCell ref="D76:E76"/>
    <mergeCell ref="D77:E77"/>
    <mergeCell ref="C78:E78"/>
    <mergeCell ref="D79:E79"/>
    <mergeCell ref="D80:E80"/>
    <mergeCell ref="D81:E81"/>
    <mergeCell ref="D82:E82"/>
    <mergeCell ref="D83:E83"/>
  </mergeCells>
  <hyperlinks>
    <hyperlink location="'Indice'!A1" ref="B2"/>
  </hyperlinks>
  <pageMargins bottom="0.75" footer="0.3" header="0.3" left="0.7" right="0.7" top="0.75"/>
</worksheet>
</file>

<file path=xl/worksheets/sheet10.xml><?xml version="1.0" encoding="utf-8"?>
<worksheet xmlns="http://schemas.openxmlformats.org/spreadsheetml/2006/main">
  <dimension ref="B2:F24"/>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390</v>
      </c>
    </row>
    <row r="6">
      <c r="B6" t="s" s="1">
        <v>8</v>
      </c>
      <c r="C6" t="s">
        <v>9</v>
      </c>
    </row>
    <row r="7">
      <c r="B7" t="s" s="1">
        <v>10</v>
      </c>
      <c r="C7" t="s">
        <v>9</v>
      </c>
    </row>
    <row r="8">
      <c r="B8" t="s" s="1">
        <v>11</v>
      </c>
      <c r="C8" t="s">
        <v>9</v>
      </c>
    </row>
    <row r="10">
      <c r="E10" t="s" s="6">
        <v>12</v>
      </c>
    </row>
    <row r="11">
      <c r="B11" s="7" t="s">
        <v>391</v>
      </c>
      <c r="C11" s="8"/>
      <c r="D11" s="9"/>
      <c r="E11" s="22"/>
    </row>
    <row r="12">
      <c r="B12" s="10"/>
      <c r="C12" s="16" t="s">
        <v>392</v>
      </c>
      <c r="D12" s="13"/>
      <c r="E12" s="47" t="n"/>
    </row>
    <row r="13">
      <c r="B13" s="10"/>
      <c r="C13" s="14"/>
      <c r="D13" s="18" t="s">
        <v>393</v>
      </c>
      <c r="E13" s="46" t="n"/>
    </row>
    <row r="14">
      <c r="B14" s="10"/>
      <c r="C14" s="16" t="s">
        <v>394</v>
      </c>
      <c r="D14" s="13"/>
      <c r="E14" s="47" t="n"/>
    </row>
    <row r="15">
      <c r="B15" s="10"/>
      <c r="C15" s="14"/>
      <c r="D15" s="18" t="s">
        <v>395</v>
      </c>
      <c r="E15" s="46" t="n"/>
    </row>
    <row r="16">
      <c r="B16" s="10"/>
      <c r="C16" s="16" t="s">
        <v>396</v>
      </c>
      <c r="D16" s="13"/>
      <c r="E16" s="47" t="n"/>
    </row>
    <row r="17">
      <c r="B17" s="10"/>
      <c r="C17" s="17"/>
      <c r="D17" s="18" t="s">
        <v>397</v>
      </c>
      <c r="E17" s="46" t="n"/>
    </row>
    <row r="18">
      <c r="B18" s="10"/>
      <c r="C18" s="17"/>
      <c r="D18" s="19" t="s">
        <v>398</v>
      </c>
      <c r="E18" s="47" t="n"/>
    </row>
    <row r="19">
      <c r="B19" s="10"/>
      <c r="C19" s="17"/>
      <c r="D19" s="18" t="s">
        <v>399</v>
      </c>
      <c r="E19" s="46" t="n"/>
    </row>
    <row r="20">
      <c r="B20" s="10"/>
      <c r="C20" s="14"/>
      <c r="D20" s="19" t="s">
        <v>400</v>
      </c>
      <c r="E20" s="47" t="n"/>
    </row>
    <row r="21">
      <c r="B21" s="10"/>
      <c r="C21" s="7" t="s">
        <v>401</v>
      </c>
      <c r="D21" s="9"/>
      <c r="E21" s="46" t="n"/>
    </row>
    <row r="22">
      <c r="B22" s="10"/>
      <c r="C22" s="10"/>
      <c r="D22" s="19" t="s">
        <v>402</v>
      </c>
      <c r="E22" s="47" t="n"/>
    </row>
    <row r="23">
      <c r="B23" s="10"/>
      <c r="C23" s="11"/>
      <c r="D23" s="18" t="s">
        <v>403</v>
      </c>
      <c r="E23" s="46" t="n"/>
    </row>
    <row r="24">
      <c r="B24" s="11"/>
      <c r="C24" s="40" t="s">
        <v>404</v>
      </c>
      <c r="D24" s="39"/>
      <c r="E24" s="53" t="n">
        <f>E21+E12+E14+E16</f>
      </c>
    </row>
  </sheetData>
  <mergeCells>
    <mergeCell ref="B11:D11"/>
    <mergeCell ref="C12:D12"/>
    <mergeCell ref="C14:D14"/>
    <mergeCell ref="C16:D16"/>
    <mergeCell ref="C21:D21"/>
    <mergeCell ref="C24:D24"/>
  </mergeCells>
  <hyperlinks>
    <hyperlink location="'Indice'!A1" ref="B2"/>
  </hyperlinks>
  <pageMargins bottom="0.75" footer="0.3" header="0.3" left="0.7" right="0.7" top="0.75"/>
</worksheet>
</file>

<file path=xl/worksheets/sheet11.xml><?xml version="1.0" encoding="utf-8"?>
<worksheet xmlns="http://schemas.openxmlformats.org/spreadsheetml/2006/main">
  <dimension ref="B2:F67"/>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405</v>
      </c>
    </row>
    <row r="6">
      <c r="B6" t="s" s="1">
        <v>8</v>
      </c>
      <c r="C6" t="s">
        <v>9</v>
      </c>
    </row>
    <row r="7">
      <c r="B7" t="s" s="1">
        <v>10</v>
      </c>
      <c r="C7" t="s">
        <v>9</v>
      </c>
    </row>
    <row r="8">
      <c r="B8" t="s" s="1">
        <v>11</v>
      </c>
      <c r="C8" t="s">
        <v>9</v>
      </c>
    </row>
    <row r="10">
      <c r="E10" t="s" s="6">
        <v>12</v>
      </c>
    </row>
    <row r="11" ht="28.0" customHeight="true">
      <c r="B11" s="7" t="s">
        <v>406</v>
      </c>
      <c r="C11" s="8"/>
      <c r="D11" s="9"/>
      <c r="E11" s="21"/>
    </row>
    <row r="12" ht="28.0" customHeight="true">
      <c r="B12" s="10"/>
      <c r="C12" s="14" t="s">
        <v>407</v>
      </c>
      <c r="D12" s="13"/>
      <c r="E12" s="20"/>
    </row>
    <row r="13" ht="28.0" customHeight="true">
      <c r="B13" s="10"/>
      <c r="C13" s="11" t="s">
        <v>408</v>
      </c>
      <c r="D13" s="9"/>
      <c r="E13" s="21"/>
    </row>
    <row r="14" ht="28.0" customHeight="true">
      <c r="B14" s="10"/>
      <c r="C14" s="14" t="s">
        <v>409</v>
      </c>
      <c r="D14" s="13"/>
      <c r="E14" s="20"/>
    </row>
    <row r="15" ht="28.0" customHeight="true">
      <c r="B15" s="10"/>
      <c r="C15" s="11" t="s">
        <v>410</v>
      </c>
      <c r="D15" s="9"/>
      <c r="E15" s="21"/>
    </row>
    <row r="16" ht="28.0" customHeight="true">
      <c r="B16" s="10"/>
      <c r="C16" s="14" t="s">
        <v>411</v>
      </c>
      <c r="D16" s="13"/>
      <c r="E16" s="20"/>
    </row>
    <row r="17">
      <c r="B17" s="10"/>
      <c r="C17" s="11" t="s">
        <v>412</v>
      </c>
      <c r="D17" s="9"/>
      <c r="E17" s="21"/>
    </row>
    <row r="18" ht="28.0" customHeight="true">
      <c r="B18" s="10"/>
      <c r="C18" s="14" t="s">
        <v>413</v>
      </c>
      <c r="D18" s="13"/>
      <c r="E18" s="20"/>
    </row>
    <row r="19" ht="28.0" customHeight="true">
      <c r="B19" s="10"/>
      <c r="C19" s="11" t="s">
        <v>414</v>
      </c>
      <c r="D19" s="9"/>
      <c r="E19" s="21"/>
    </row>
    <row r="20" ht="28.0" customHeight="true">
      <c r="B20" s="10"/>
      <c r="C20" s="14" t="s">
        <v>415</v>
      </c>
      <c r="D20" s="13"/>
      <c r="E20" s="20"/>
    </row>
    <row r="21" ht="28.0" customHeight="true">
      <c r="B21" s="10"/>
      <c r="C21" s="11" t="s">
        <v>416</v>
      </c>
      <c r="D21" s="9"/>
      <c r="E21" s="21"/>
    </row>
    <row r="22">
      <c r="B22" s="10"/>
      <c r="C22" s="14" t="s">
        <v>417</v>
      </c>
      <c r="D22" s="13"/>
      <c r="E22" s="20"/>
    </row>
    <row r="23" ht="28.0" customHeight="true">
      <c r="B23" s="10"/>
      <c r="C23" s="11" t="s">
        <v>418</v>
      </c>
      <c r="D23" s="9"/>
      <c r="E23" s="21"/>
    </row>
    <row r="24">
      <c r="B24" s="10"/>
      <c r="C24" s="14" t="s">
        <v>419</v>
      </c>
      <c r="D24" s="13"/>
      <c r="E24" s="20"/>
    </row>
    <row r="25" ht="28.0" customHeight="true">
      <c r="B25" s="10"/>
      <c r="C25" s="11" t="s">
        <v>420</v>
      </c>
      <c r="D25" s="9"/>
      <c r="E25" s="21"/>
    </row>
    <row r="26">
      <c r="B26" s="10"/>
      <c r="C26" s="14" t="s">
        <v>421</v>
      </c>
      <c r="D26" s="13"/>
      <c r="E26" s="20"/>
    </row>
    <row r="27" ht="28.0" customHeight="true">
      <c r="B27" s="10"/>
      <c r="C27" s="11" t="s">
        <v>422</v>
      </c>
      <c r="D27" s="9"/>
      <c r="E27" s="21"/>
    </row>
    <row r="28" ht="28.0" customHeight="true">
      <c r="B28" s="10"/>
      <c r="C28" s="14" t="s">
        <v>423</v>
      </c>
      <c r="D28" s="13"/>
      <c r="E28" s="20"/>
    </row>
    <row r="29" ht="28.0" customHeight="true">
      <c r="B29" s="10"/>
      <c r="C29" s="11" t="s">
        <v>13</v>
      </c>
      <c r="D29" s="9"/>
      <c r="E29" s="21"/>
    </row>
    <row r="30">
      <c r="B30" s="10"/>
      <c r="C30" s="14" t="s">
        <v>424</v>
      </c>
      <c r="D30" s="13"/>
      <c r="E30" s="20"/>
    </row>
    <row r="31">
      <c r="B31" s="10"/>
      <c r="C31" s="7" t="s">
        <v>425</v>
      </c>
      <c r="D31" s="9"/>
      <c r="E31" s="21"/>
    </row>
    <row r="32">
      <c r="B32" s="10"/>
      <c r="C32" s="10"/>
      <c r="D32" s="19" t="s">
        <v>426</v>
      </c>
      <c r="E32" s="20"/>
    </row>
    <row r="33">
      <c r="B33" s="10"/>
      <c r="C33" s="10"/>
      <c r="D33" s="18" t="s">
        <v>427</v>
      </c>
      <c r="E33" s="21"/>
    </row>
    <row r="34">
      <c r="B34" s="10"/>
      <c r="C34" s="10"/>
      <c r="D34" s="19" t="s">
        <v>428</v>
      </c>
      <c r="E34" s="20"/>
    </row>
    <row r="35">
      <c r="B35" s="10"/>
      <c r="C35" s="10"/>
      <c r="D35" s="18" t="s">
        <v>429</v>
      </c>
      <c r="E35" s="21"/>
    </row>
    <row r="36">
      <c r="B36" s="10"/>
      <c r="C36" s="11"/>
      <c r="D36" s="19" t="s">
        <v>430</v>
      </c>
      <c r="E36" s="20"/>
    </row>
    <row r="37" ht="28.0" customHeight="true">
      <c r="B37" s="10"/>
      <c r="C37" s="11" t="s">
        <v>431</v>
      </c>
      <c r="D37" s="9"/>
      <c r="E37" s="21"/>
    </row>
    <row r="38">
      <c r="B38" s="10"/>
      <c r="C38" s="14" t="s">
        <v>432</v>
      </c>
      <c r="D38" s="13"/>
      <c r="E38" s="20"/>
    </row>
    <row r="39">
      <c r="B39" s="10"/>
      <c r="C39" s="11" t="s">
        <v>433</v>
      </c>
      <c r="D39" s="9"/>
      <c r="E39" s="21"/>
    </row>
    <row r="40" ht="28.0" customHeight="true">
      <c r="B40" s="10"/>
      <c r="C40" s="14" t="s">
        <v>434</v>
      </c>
      <c r="D40" s="13"/>
      <c r="E40" s="20"/>
    </row>
    <row r="41">
      <c r="B41" s="10"/>
      <c r="C41" s="11" t="s">
        <v>435</v>
      </c>
      <c r="D41" s="9"/>
      <c r="E41" s="21"/>
    </row>
    <row r="42">
      <c r="B42" s="10"/>
      <c r="C42" s="14" t="s">
        <v>436</v>
      </c>
      <c r="D42" s="13"/>
      <c r="E42" s="20"/>
    </row>
    <row r="43">
      <c r="B43" s="10"/>
      <c r="C43" s="11" t="s">
        <v>437</v>
      </c>
      <c r="D43" s="9"/>
      <c r="E43" s="21"/>
    </row>
    <row r="44">
      <c r="B44" s="10"/>
      <c r="C44" s="14" t="s">
        <v>438</v>
      </c>
      <c r="D44" s="13"/>
      <c r="E44" s="20"/>
    </row>
    <row r="45">
      <c r="B45" s="10"/>
      <c r="C45" s="11" t="s">
        <v>439</v>
      </c>
      <c r="D45" s="9"/>
      <c r="E45" s="21"/>
    </row>
    <row r="46" ht="28.0" customHeight="true">
      <c r="B46" s="10"/>
      <c r="C46" s="14" t="s">
        <v>440</v>
      </c>
      <c r="D46" s="13"/>
      <c r="E46" s="20"/>
    </row>
    <row r="47" ht="28.0" customHeight="true">
      <c r="B47" s="10"/>
      <c r="C47" s="11" t="s">
        <v>441</v>
      </c>
      <c r="D47" s="9"/>
      <c r="E47" s="21"/>
    </row>
    <row r="48">
      <c r="B48" s="10"/>
      <c r="C48" s="14" t="s">
        <v>442</v>
      </c>
      <c r="D48" s="13"/>
      <c r="E48" s="20"/>
    </row>
    <row r="49" ht="28.0" customHeight="true">
      <c r="B49" s="10"/>
      <c r="C49" s="11" t="s">
        <v>443</v>
      </c>
      <c r="D49" s="9"/>
      <c r="E49" s="21"/>
    </row>
    <row r="50" ht="28.0" customHeight="true">
      <c r="B50" s="10"/>
      <c r="C50" s="14" t="s">
        <v>444</v>
      </c>
      <c r="D50" s="13"/>
      <c r="E50" s="20"/>
    </row>
    <row r="51" ht="28.0" customHeight="true">
      <c r="B51" s="10"/>
      <c r="C51" s="11" t="s">
        <v>445</v>
      </c>
      <c r="D51" s="9"/>
      <c r="E51" s="21"/>
    </row>
    <row r="52">
      <c r="B52" s="10"/>
      <c r="C52" s="14" t="s">
        <v>446</v>
      </c>
      <c r="D52" s="13"/>
      <c r="E52" s="20"/>
    </row>
    <row r="53">
      <c r="B53" s="10"/>
      <c r="C53" s="11" t="s">
        <v>447</v>
      </c>
      <c r="D53" s="9"/>
      <c r="E53" s="21"/>
    </row>
    <row r="54">
      <c r="B54" s="10"/>
      <c r="C54" s="14" t="s">
        <v>448</v>
      </c>
      <c r="D54" s="13"/>
      <c r="E54" s="20"/>
    </row>
    <row r="55">
      <c r="B55" s="10"/>
      <c r="C55" s="11" t="s">
        <v>449</v>
      </c>
      <c r="D55" s="9"/>
      <c r="E55" s="21"/>
    </row>
    <row r="56" ht="28.0" customHeight="true">
      <c r="B56" s="10"/>
      <c r="C56" s="14" t="s">
        <v>450</v>
      </c>
      <c r="D56" s="13"/>
      <c r="E56" s="20"/>
    </row>
    <row r="57">
      <c r="B57" s="10"/>
      <c r="C57" s="11" t="s">
        <v>451</v>
      </c>
      <c r="D57" s="9"/>
      <c r="E57" s="21"/>
    </row>
    <row r="58" ht="28.0" customHeight="true">
      <c r="B58" s="10"/>
      <c r="C58" s="14" t="s">
        <v>452</v>
      </c>
      <c r="D58" s="13"/>
      <c r="E58" s="20"/>
    </row>
    <row r="59" ht="28.0" customHeight="true">
      <c r="B59" s="10"/>
      <c r="C59" s="11" t="s">
        <v>453</v>
      </c>
      <c r="D59" s="9"/>
      <c r="E59" s="21"/>
    </row>
    <row r="60">
      <c r="B60" s="10"/>
      <c r="C60" s="14" t="s">
        <v>454</v>
      </c>
      <c r="D60" s="13"/>
      <c r="E60" s="20"/>
    </row>
    <row r="61" ht="28.0" customHeight="true">
      <c r="B61" s="10"/>
      <c r="C61" s="11" t="s">
        <v>455</v>
      </c>
      <c r="D61" s="9"/>
      <c r="E61" s="21"/>
    </row>
    <row r="62" ht="28.0" customHeight="true">
      <c r="B62" s="10"/>
      <c r="C62" s="14" t="s">
        <v>456</v>
      </c>
      <c r="D62" s="13"/>
      <c r="E62" s="20"/>
    </row>
    <row r="63" ht="28.0" customHeight="true">
      <c r="B63" s="10"/>
      <c r="C63" s="11" t="s">
        <v>457</v>
      </c>
      <c r="D63" s="9"/>
      <c r="E63" s="21"/>
    </row>
    <row r="64" ht="28.0" customHeight="true">
      <c r="B64" s="10"/>
      <c r="C64" s="14" t="s">
        <v>458</v>
      </c>
      <c r="D64" s="13"/>
      <c r="E64" s="20"/>
    </row>
    <row r="65" ht="28.0" customHeight="true">
      <c r="B65" s="10"/>
      <c r="C65" s="11" t="s">
        <v>459</v>
      </c>
      <c r="D65" s="9"/>
      <c r="E65" s="21"/>
    </row>
    <row r="66" ht="28.0" customHeight="true">
      <c r="B66" s="10"/>
      <c r="C66" s="14" t="s">
        <v>460</v>
      </c>
      <c r="D66" s="13"/>
      <c r="E66" s="20"/>
    </row>
    <row r="67" ht="28.0" customHeight="true">
      <c r="B67" s="11"/>
      <c r="C67" s="11" t="s">
        <v>461</v>
      </c>
      <c r="D67" s="9"/>
      <c r="E67" s="57"/>
    </row>
  </sheetData>
  <mergeCells>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s>
  <hyperlinks>
    <hyperlink location="'Indice'!A1" ref="B2"/>
  </hyperlinks>
  <pageMargins bottom="0.75" footer="0.3" header="0.3" left="0.7" right="0.7" top="0.75"/>
</worksheet>
</file>

<file path=xl/worksheets/sheet12.xml><?xml version="1.0" encoding="utf-8"?>
<worksheet xmlns="http://schemas.openxmlformats.org/spreadsheetml/2006/main">
  <dimension ref="B2:E43"/>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462</v>
      </c>
    </row>
    <row r="6">
      <c r="B6" t="s" s="1">
        <v>8</v>
      </c>
      <c r="C6" t="s">
        <v>9</v>
      </c>
    </row>
    <row r="7">
      <c r="B7" t="s" s="1">
        <v>10</v>
      </c>
      <c r="C7" t="s">
        <v>9</v>
      </c>
    </row>
    <row r="8">
      <c r="B8" t="s" s="1">
        <v>11</v>
      </c>
      <c r="C8" t="s">
        <v>9</v>
      </c>
    </row>
    <row r="10">
      <c r="D10" t="s" s="6">
        <v>12</v>
      </c>
    </row>
    <row r="11" ht="28.0" customHeight="true">
      <c r="B11" s="7" t="s">
        <v>463</v>
      </c>
      <c r="C11" s="9"/>
      <c r="D11" s="21"/>
    </row>
    <row r="12">
      <c r="B12" s="10"/>
      <c r="C12" s="19" t="s">
        <v>464</v>
      </c>
      <c r="D12" s="20"/>
    </row>
    <row r="13">
      <c r="B13" s="10"/>
      <c r="C13" s="18" t="s">
        <v>465</v>
      </c>
      <c r="D13" s="21"/>
    </row>
    <row r="14">
      <c r="B14" s="10"/>
      <c r="C14" s="19" t="s">
        <v>466</v>
      </c>
      <c r="D14" s="20"/>
    </row>
    <row r="15">
      <c r="B15" s="10"/>
      <c r="C15" s="18" t="s">
        <v>467</v>
      </c>
      <c r="D15" s="21"/>
    </row>
    <row r="16">
      <c r="B16" s="10"/>
      <c r="C16" s="19" t="s">
        <v>468</v>
      </c>
      <c r="D16" s="20"/>
    </row>
    <row r="17">
      <c r="B17" s="10"/>
      <c r="C17" s="18" t="s">
        <v>469</v>
      </c>
      <c r="D17" s="21"/>
    </row>
    <row r="18">
      <c r="B18" s="10"/>
      <c r="C18" s="19" t="s">
        <v>470</v>
      </c>
      <c r="D18" s="20"/>
    </row>
    <row r="19">
      <c r="B19" s="10"/>
      <c r="C19" s="18" t="s">
        <v>471</v>
      </c>
      <c r="D19" s="21"/>
    </row>
    <row r="20">
      <c r="B20" s="10"/>
      <c r="C20" s="19" t="s">
        <v>472</v>
      </c>
      <c r="D20" s="20"/>
    </row>
    <row r="21">
      <c r="B21" s="10"/>
      <c r="C21" s="18" t="s">
        <v>473</v>
      </c>
      <c r="D21" s="21"/>
    </row>
    <row r="22">
      <c r="B22" s="10"/>
      <c r="C22" s="19" t="s">
        <v>474</v>
      </c>
      <c r="D22" s="20"/>
    </row>
    <row r="23">
      <c r="B23" s="10"/>
      <c r="C23" s="18" t="s">
        <v>475</v>
      </c>
      <c r="D23" s="21"/>
    </row>
    <row r="24">
      <c r="B24" s="10"/>
      <c r="C24" s="19" t="s">
        <v>476</v>
      </c>
      <c r="D24" s="20"/>
    </row>
    <row r="25">
      <c r="B25" s="10"/>
      <c r="C25" s="18" t="s">
        <v>477</v>
      </c>
      <c r="D25" s="21"/>
    </row>
    <row r="26">
      <c r="B26" s="10"/>
      <c r="C26" s="19" t="s">
        <v>478</v>
      </c>
      <c r="D26" s="20"/>
    </row>
    <row r="27">
      <c r="B27" s="10"/>
      <c r="C27" s="18" t="s">
        <v>479</v>
      </c>
      <c r="D27" s="21"/>
    </row>
    <row r="28">
      <c r="B28" s="10"/>
      <c r="C28" s="19" t="s">
        <v>480</v>
      </c>
      <c r="D28" s="20"/>
    </row>
    <row r="29">
      <c r="B29" s="10"/>
      <c r="C29" s="18" t="s">
        <v>481</v>
      </c>
      <c r="D29" s="21"/>
    </row>
    <row r="30">
      <c r="B30" s="10"/>
      <c r="C30" s="19" t="s">
        <v>482</v>
      </c>
      <c r="D30" s="20"/>
    </row>
    <row r="31">
      <c r="B31" s="10"/>
      <c r="C31" s="18" t="s">
        <v>483</v>
      </c>
      <c r="D31" s="21"/>
    </row>
    <row r="32">
      <c r="B32" s="10"/>
      <c r="C32" s="19" t="s">
        <v>484</v>
      </c>
      <c r="D32" s="20"/>
    </row>
    <row r="33">
      <c r="B33" s="10"/>
      <c r="C33" s="18" t="s">
        <v>485</v>
      </c>
      <c r="D33" s="21"/>
    </row>
    <row r="34">
      <c r="B34" s="10"/>
      <c r="C34" s="19" t="s">
        <v>486</v>
      </c>
      <c r="D34" s="20"/>
    </row>
    <row r="35">
      <c r="B35" s="10"/>
      <c r="C35" s="18" t="s">
        <v>487</v>
      </c>
      <c r="D35" s="21"/>
    </row>
    <row r="36">
      <c r="B36" s="10"/>
      <c r="C36" s="19" t="s">
        <v>488</v>
      </c>
      <c r="D36" s="20"/>
    </row>
    <row r="37">
      <c r="B37" s="10"/>
      <c r="C37" s="18" t="s">
        <v>489</v>
      </c>
      <c r="D37" s="21"/>
    </row>
    <row r="38">
      <c r="B38" s="10"/>
      <c r="C38" s="19" t="s">
        <v>490</v>
      </c>
      <c r="D38" s="20"/>
    </row>
    <row r="39">
      <c r="B39" s="10"/>
      <c r="C39" s="18" t="s">
        <v>491</v>
      </c>
      <c r="D39" s="21"/>
    </row>
    <row r="40">
      <c r="B40" s="10"/>
      <c r="C40" s="19" t="s">
        <v>492</v>
      </c>
      <c r="D40" s="20"/>
    </row>
    <row r="41">
      <c r="B41" s="10"/>
      <c r="C41" s="18" t="s">
        <v>493</v>
      </c>
      <c r="D41" s="21"/>
    </row>
    <row r="42">
      <c r="B42" s="10"/>
      <c r="C42" s="19" t="s">
        <v>494</v>
      </c>
      <c r="D42" s="20"/>
    </row>
    <row r="43">
      <c r="B43" s="11"/>
      <c r="C43" s="18" t="s">
        <v>495</v>
      </c>
      <c r="D43" s="57"/>
    </row>
  </sheetData>
  <mergeCells>
    <mergeCell ref="B11:C11"/>
  </mergeCells>
  <hyperlinks>
    <hyperlink location="'Indice'!A1" ref="B2"/>
  </hyperlinks>
  <pageMargins bottom="0.75" footer="0.3" header="0.3" left="0.7" right="0.7" top="0.75"/>
</worksheet>
</file>

<file path=xl/worksheets/sheet13.xml><?xml version="1.0" encoding="utf-8"?>
<worksheet xmlns="http://schemas.openxmlformats.org/spreadsheetml/2006/main">
  <dimension ref="B2:F32"/>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496</v>
      </c>
    </row>
    <row r="6">
      <c r="B6" t="s" s="1">
        <v>8</v>
      </c>
      <c r="C6" t="s">
        <v>9</v>
      </c>
    </row>
    <row r="7">
      <c r="B7" t="s" s="1">
        <v>10</v>
      </c>
      <c r="C7" t="s">
        <v>9</v>
      </c>
    </row>
    <row r="8">
      <c r="B8" t="s" s="1">
        <v>11</v>
      </c>
      <c r="C8" t="s">
        <v>9</v>
      </c>
    </row>
    <row r="10">
      <c r="E10" t="s" s="6">
        <v>12</v>
      </c>
    </row>
    <row r="11" ht="28.0" customHeight="true">
      <c r="B11" s="7" t="s">
        <v>406</v>
      </c>
      <c r="C11" s="8"/>
      <c r="D11" s="9"/>
      <c r="E11" s="21"/>
    </row>
    <row r="12">
      <c r="B12" s="10"/>
      <c r="C12" s="14" t="s">
        <v>497</v>
      </c>
      <c r="D12" s="13"/>
      <c r="E12" s="20"/>
    </row>
    <row r="13">
      <c r="B13" s="10"/>
      <c r="C13" s="11" t="s">
        <v>498</v>
      </c>
      <c r="D13" s="9"/>
      <c r="E13" s="21"/>
    </row>
    <row r="14">
      <c r="B14" s="10"/>
      <c r="C14" s="14" t="s">
        <v>499</v>
      </c>
      <c r="D14" s="13"/>
      <c r="E14" s="20"/>
    </row>
    <row r="15">
      <c r="B15" s="10"/>
      <c r="C15" s="11" t="s">
        <v>500</v>
      </c>
      <c r="D15" s="9"/>
      <c r="E15" s="21"/>
    </row>
    <row r="16" ht="42.0" customHeight="true">
      <c r="B16" s="10"/>
      <c r="C16" s="14" t="s">
        <v>501</v>
      </c>
      <c r="D16" s="13"/>
      <c r="E16" s="20"/>
    </row>
    <row r="17" ht="28.0" customHeight="true">
      <c r="B17" s="10"/>
      <c r="C17" s="11" t="s">
        <v>502</v>
      </c>
      <c r="D17" s="9"/>
      <c r="E17" s="21"/>
    </row>
    <row r="18" ht="28.0" customHeight="true">
      <c r="B18" s="10"/>
      <c r="C18" s="14" t="s">
        <v>503</v>
      </c>
      <c r="D18" s="13"/>
      <c r="E18" s="20"/>
    </row>
    <row r="19" ht="28.0" customHeight="true">
      <c r="B19" s="10"/>
      <c r="C19" s="7" t="s">
        <v>504</v>
      </c>
      <c r="D19" s="9"/>
      <c r="E19" s="22"/>
    </row>
    <row r="20">
      <c r="B20" s="10"/>
      <c r="C20" s="10"/>
      <c r="D20" s="19" t="s">
        <v>505</v>
      </c>
      <c r="E20" s="20"/>
    </row>
    <row r="21">
      <c r="B21" s="10"/>
      <c r="C21" s="10"/>
      <c r="D21" s="18" t="s">
        <v>506</v>
      </c>
      <c r="E21" s="21"/>
    </row>
    <row r="22">
      <c r="B22" s="10"/>
      <c r="C22" s="11"/>
      <c r="D22" s="19" t="s">
        <v>507</v>
      </c>
      <c r="E22" s="20"/>
    </row>
    <row r="23" ht="28.0" customHeight="true">
      <c r="B23" s="10"/>
      <c r="C23" s="7" t="s">
        <v>463</v>
      </c>
      <c r="D23" s="9"/>
      <c r="E23" s="21"/>
    </row>
    <row r="24">
      <c r="B24" s="10"/>
      <c r="C24" s="10"/>
      <c r="D24" s="19" t="s">
        <v>508</v>
      </c>
      <c r="E24" s="20"/>
    </row>
    <row r="25">
      <c r="B25" s="10"/>
      <c r="C25" s="10"/>
      <c r="D25" s="18" t="s">
        <v>492</v>
      </c>
      <c r="E25" s="21"/>
    </row>
    <row r="26">
      <c r="B26" s="10"/>
      <c r="C26" s="11"/>
      <c r="D26" s="19" t="s">
        <v>509</v>
      </c>
      <c r="E26" s="20"/>
    </row>
    <row r="27" ht="28.0" customHeight="true">
      <c r="B27" s="10"/>
      <c r="C27" s="7" t="s">
        <v>510</v>
      </c>
      <c r="D27" s="9"/>
      <c r="E27" s="22"/>
    </row>
    <row r="28">
      <c r="B28" s="10"/>
      <c r="C28" s="10"/>
      <c r="D28" s="19" t="s">
        <v>511</v>
      </c>
      <c r="E28" s="20"/>
    </row>
    <row r="29">
      <c r="B29" s="10"/>
      <c r="C29" s="10"/>
      <c r="D29" s="18" t="s">
        <v>512</v>
      </c>
      <c r="E29" s="21"/>
    </row>
    <row r="30">
      <c r="B30" s="10"/>
      <c r="C30" s="10"/>
      <c r="D30" s="19" t="s">
        <v>513</v>
      </c>
      <c r="E30" s="20"/>
    </row>
    <row r="31">
      <c r="B31" s="10"/>
      <c r="C31" s="10"/>
      <c r="D31" s="18" t="s">
        <v>514</v>
      </c>
      <c r="E31" s="21"/>
    </row>
    <row r="32">
      <c r="B32" s="11"/>
      <c r="C32" s="11"/>
      <c r="D32" s="19" t="s">
        <v>515</v>
      </c>
      <c r="E32" s="28"/>
    </row>
  </sheetData>
  <mergeCells>
    <mergeCell ref="B11:D11"/>
    <mergeCell ref="C12:D12"/>
    <mergeCell ref="C13:D13"/>
    <mergeCell ref="C14:D14"/>
    <mergeCell ref="C15:D15"/>
    <mergeCell ref="C16:D16"/>
    <mergeCell ref="C17:D17"/>
    <mergeCell ref="C18:D18"/>
    <mergeCell ref="C19:D19"/>
    <mergeCell ref="C23:D23"/>
    <mergeCell ref="C27:D27"/>
  </mergeCells>
  <dataValidations count="4">
    <dataValidation type="list" sqref="E21" allowBlank="true" errorStyle="stop" showErrorMessage="true" showDropDown="false">
      <formula1>sspdtipos_TipoSiNo</formula1>
    </dataValidation>
    <dataValidation type="list" sqref="E28" allowBlank="true" errorStyle="stop" showErrorMessage="true" showDropDown="false">
      <formula1>sspdtipos_TipoSiNo</formula1>
    </dataValidation>
    <dataValidation type="list" sqref="E29" allowBlank="true" errorStyle="stop" showErrorMessage="true" showDropDown="false">
      <formula1>sspdtipos_TipoSiNo</formula1>
    </dataValidation>
    <dataValidation type="list" sqref="E31"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14.xml><?xml version="1.0" encoding="utf-8"?>
<worksheet xmlns="http://schemas.openxmlformats.org/spreadsheetml/2006/main">
  <dimension ref="B2:I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516</v>
      </c>
    </row>
    <row r="6">
      <c r="B6" t="s" s="1">
        <v>8</v>
      </c>
      <c r="C6" t="s">
        <v>9</v>
      </c>
    </row>
    <row r="7">
      <c r="B7" t="s" s="1">
        <v>10</v>
      </c>
      <c r="C7" t="s">
        <v>9</v>
      </c>
    </row>
    <row r="8">
      <c r="B8" t="s" s="1">
        <v>11</v>
      </c>
      <c r="C8" t="s">
        <v>9</v>
      </c>
    </row>
    <row r="10">
      <c r="C10" t="s" s="4">
        <v>517</v>
      </c>
      <c r="D10" s="29"/>
      <c r="E10" s="29"/>
      <c r="F10" s="29"/>
      <c r="G10" s="29"/>
      <c r="H10" s="30"/>
    </row>
    <row r="11">
      <c r="C11" t="s" s="34">
        <v>518</v>
      </c>
      <c r="D11" t="s" s="6">
        <v>519</v>
      </c>
      <c r="E11" t="s" s="34">
        <v>520</v>
      </c>
      <c r="F11" t="s" s="6">
        <v>521</v>
      </c>
      <c r="G11" t="s" s="34">
        <v>522</v>
      </c>
      <c r="H11" s="6" t="s">
        <v>523</v>
      </c>
    </row>
    <row r="12">
      <c r="B12" s="18" t="s">
        <v>524</v>
      </c>
      <c r="C12" s="58"/>
      <c r="D12" s="58"/>
      <c r="E12" s="58"/>
      <c r="F12" s="58"/>
      <c r="G12" s="58"/>
      <c r="H12" s="58"/>
    </row>
  </sheetData>
  <mergeCells>
    <mergeCell ref="C10:H10"/>
  </mergeCells>
  <hyperlinks>
    <hyperlink location="'Indice'!A1" ref="B2"/>
  </hyperlinks>
  <pageMargins bottom="0.75" footer="0.3" header="0.3" left="0.7" right="0.7" top="0.75"/>
</worksheet>
</file>

<file path=xl/worksheets/sheet15.xml><?xml version="1.0" encoding="utf-8"?>
<worksheet xmlns="http://schemas.openxmlformats.org/spreadsheetml/2006/main">
  <dimension ref="B2:V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s>
  <sheetData>
    <row r="2">
      <c r="B2" t="s" s="2">
        <v>1</v>
      </c>
    </row>
    <row r="3">
      <c r="B3" t="s" s="1">
        <v>3</v>
      </c>
      <c r="C3" t="s">
        <v>4</v>
      </c>
    </row>
    <row r="4">
      <c r="B4" s="1" t="s">
        <v>5</v>
      </c>
      <c r="C4" t="s">
        <v>6</v>
      </c>
    </row>
    <row r="5">
      <c r="B5" t="s" s="1">
        <v>7</v>
      </c>
      <c r="C5" t="s">
        <v>525</v>
      </c>
    </row>
    <row r="6">
      <c r="B6" t="s" s="1">
        <v>8</v>
      </c>
      <c r="C6" t="s">
        <v>9</v>
      </c>
    </row>
    <row r="7">
      <c r="B7" t="s" s="1">
        <v>10</v>
      </c>
      <c r="C7" t="s">
        <v>9</v>
      </c>
    </row>
    <row r="8">
      <c r="B8" t="s" s="1">
        <v>11</v>
      </c>
      <c r="C8" t="s">
        <v>12</v>
      </c>
    </row>
    <row r="10">
      <c r="C10" t="s" s="4">
        <v>526</v>
      </c>
      <c r="D10" s="29"/>
      <c r="E10" s="29"/>
      <c r="F10" s="29"/>
      <c r="G10" s="29"/>
      <c r="H10" s="29"/>
      <c r="I10" s="29"/>
      <c r="J10" s="29"/>
      <c r="K10" s="29"/>
      <c r="L10" s="29"/>
      <c r="M10" s="29"/>
      <c r="N10" s="29"/>
      <c r="O10" s="29"/>
      <c r="P10" s="29"/>
      <c r="Q10" s="29"/>
      <c r="R10" s="29"/>
      <c r="S10" s="29"/>
      <c r="T10" s="29"/>
      <c r="U10" s="30"/>
    </row>
    <row r="11">
      <c r="C11" t="s" s="34">
        <v>527</v>
      </c>
      <c r="D11" t="s" s="6">
        <v>528</v>
      </c>
      <c r="E11" t="s" s="34">
        <v>529</v>
      </c>
      <c r="F11" t="s" s="6">
        <v>530</v>
      </c>
      <c r="G11" t="s" s="34">
        <v>531</v>
      </c>
      <c r="H11" t="s" s="6">
        <v>532</v>
      </c>
      <c r="I11" t="s" s="34">
        <v>533</v>
      </c>
      <c r="J11" t="s" s="6">
        <v>534</v>
      </c>
      <c r="K11" t="s" s="34">
        <v>535</v>
      </c>
      <c r="L11" t="s" s="6">
        <v>536</v>
      </c>
      <c r="M11" t="s" s="34">
        <v>537</v>
      </c>
      <c r="N11" t="s" s="6">
        <v>538</v>
      </c>
      <c r="O11" t="s" s="34">
        <v>539</v>
      </c>
      <c r="P11" t="s" s="6">
        <v>540</v>
      </c>
      <c r="Q11" t="s" s="34">
        <v>541</v>
      </c>
      <c r="R11" t="s" s="6">
        <v>542</v>
      </c>
      <c r="S11" t="s" s="34">
        <v>543</v>
      </c>
      <c r="T11" t="s" s="6">
        <v>544</v>
      </c>
      <c r="U11" s="34" t="s">
        <v>545</v>
      </c>
    </row>
    <row r="12">
      <c r="B12" s="18" t="s">
        <v>546</v>
      </c>
      <c r="C12" s="58"/>
      <c r="D12" s="58"/>
      <c r="E12" s="58"/>
      <c r="F12" s="58"/>
      <c r="G12" s="58"/>
      <c r="H12" s="58"/>
      <c r="I12" s="58"/>
      <c r="J12" s="58"/>
      <c r="K12" s="58"/>
      <c r="L12" s="58"/>
      <c r="M12" s="58"/>
      <c r="N12" s="58"/>
      <c r="O12" s="58"/>
      <c r="P12" s="58"/>
      <c r="Q12" s="58"/>
      <c r="R12" s="58"/>
      <c r="S12" s="58"/>
      <c r="T12" s="58"/>
      <c r="U12" s="58"/>
    </row>
  </sheetData>
  <mergeCells>
    <mergeCell ref="C10:U10"/>
  </mergeCells>
  <hyperlinks>
    <hyperlink location="'Indice'!A1" ref="B2"/>
  </hyperlinks>
  <pageMargins bottom="0.75" footer="0.3" header="0.3" left="0.7" right="0.7" top="0.75"/>
</worksheet>
</file>

<file path=xl/worksheets/sheet16.xml><?xml version="1.0" encoding="utf-8"?>
<worksheet xmlns="http://schemas.openxmlformats.org/spreadsheetml/2006/main">
  <dimension ref="B2:G23"/>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s>
  <sheetData>
    <row r="2">
      <c r="B2" t="s" s="2">
        <v>1</v>
      </c>
    </row>
    <row r="3">
      <c r="B3" t="s" s="1">
        <v>3</v>
      </c>
      <c r="C3" t="s">
        <v>4</v>
      </c>
    </row>
    <row r="4">
      <c r="B4" s="1" t="s">
        <v>5</v>
      </c>
      <c r="C4" t="s">
        <v>6</v>
      </c>
    </row>
    <row r="5">
      <c r="B5" t="s" s="1">
        <v>7</v>
      </c>
      <c r="C5" t="s">
        <v>547</v>
      </c>
    </row>
    <row r="6">
      <c r="B6" t="s" s="1">
        <v>8</v>
      </c>
      <c r="C6" t="s">
        <v>9</v>
      </c>
    </row>
    <row r="7">
      <c r="B7" t="s" s="1">
        <v>10</v>
      </c>
      <c r="C7" t="s">
        <v>9</v>
      </c>
    </row>
    <row r="8">
      <c r="B8" t="s" s="1">
        <v>11</v>
      </c>
      <c r="C8" t="s">
        <v>9</v>
      </c>
    </row>
    <row r="10">
      <c r="F10" t="s" s="6">
        <v>12</v>
      </c>
    </row>
    <row r="11">
      <c r="B11" s="7" t="s">
        <v>432</v>
      </c>
      <c r="C11" s="8"/>
      <c r="D11" s="8"/>
      <c r="E11" s="9"/>
      <c r="F11" s="21"/>
    </row>
    <row r="12">
      <c r="B12" s="10"/>
      <c r="C12" s="16" t="s">
        <v>548</v>
      </c>
      <c r="D12" s="37"/>
      <c r="E12" s="13"/>
      <c r="F12" s="23"/>
    </row>
    <row r="13" ht="28.0" customHeight="true">
      <c r="B13" s="10"/>
      <c r="C13" s="17"/>
      <c r="D13" s="7" t="s">
        <v>549</v>
      </c>
      <c r="E13" s="9"/>
      <c r="F13" s="22"/>
    </row>
    <row r="14">
      <c r="B14" s="10"/>
      <c r="C14" s="17"/>
      <c r="D14" s="10"/>
      <c r="E14" s="19" t="s">
        <v>550</v>
      </c>
      <c r="F14" s="47" t="n"/>
    </row>
    <row r="15">
      <c r="B15" s="10"/>
      <c r="C15" s="17"/>
      <c r="D15" s="10"/>
      <c r="E15" s="18" t="s">
        <v>551</v>
      </c>
      <c r="F15" s="46" t="n"/>
    </row>
    <row r="16">
      <c r="B16" s="10"/>
      <c r="C16" s="17"/>
      <c r="D16" s="11"/>
      <c r="E16" s="52" t="s">
        <v>552</v>
      </c>
      <c r="F16" s="47" t="n">
        <f>F14+F15</f>
      </c>
    </row>
    <row r="17" ht="28.0" customHeight="true">
      <c r="B17" s="10"/>
      <c r="C17" s="17"/>
      <c r="D17" s="11" t="s">
        <v>553</v>
      </c>
      <c r="E17" s="9"/>
      <c r="F17" s="46" t="n"/>
    </row>
    <row r="18" ht="28.0" customHeight="true">
      <c r="B18" s="10"/>
      <c r="C18" s="17"/>
      <c r="D18" s="14" t="s">
        <v>554</v>
      </c>
      <c r="E18" s="13"/>
      <c r="F18" s="47" t="n"/>
    </row>
    <row r="19" ht="28.0" customHeight="true">
      <c r="B19" s="10"/>
      <c r="C19" s="17"/>
      <c r="D19" s="11" t="s">
        <v>555</v>
      </c>
      <c r="E19" s="9"/>
      <c r="F19" s="46" t="n"/>
    </row>
    <row r="20" ht="28.0" customHeight="true">
      <c r="B20" s="10"/>
      <c r="C20" s="17"/>
      <c r="D20" s="14" t="s">
        <v>556</v>
      </c>
      <c r="E20" s="13"/>
      <c r="F20" s="47" t="n"/>
    </row>
    <row r="21" ht="28.0" customHeight="true">
      <c r="B21" s="10"/>
      <c r="C21" s="17"/>
      <c r="D21" s="11" t="s">
        <v>557</v>
      </c>
      <c r="E21" s="9"/>
      <c r="F21" s="46" t="n"/>
    </row>
    <row r="22" ht="42.0" customHeight="true">
      <c r="B22" s="10"/>
      <c r="C22" s="17"/>
      <c r="D22" s="14" t="s">
        <v>558</v>
      </c>
      <c r="E22" s="13"/>
      <c r="F22" s="47" t="n"/>
    </row>
    <row r="23">
      <c r="B23" s="11"/>
      <c r="C23" s="14"/>
      <c r="D23" s="45" t="s">
        <v>559</v>
      </c>
      <c r="E23" s="44"/>
      <c r="F23" s="48" t="n">
        <f>SUM(F16:F22)</f>
      </c>
    </row>
  </sheetData>
  <mergeCells>
    <mergeCell ref="B11:E11"/>
    <mergeCell ref="C12:E12"/>
    <mergeCell ref="D13:E13"/>
    <mergeCell ref="D17:E17"/>
    <mergeCell ref="D18:E18"/>
    <mergeCell ref="D19:E19"/>
    <mergeCell ref="D20:E20"/>
    <mergeCell ref="D21:E21"/>
    <mergeCell ref="D22:E22"/>
    <mergeCell ref="D23:E23"/>
  </mergeCells>
  <hyperlinks>
    <hyperlink location="'Indice'!A1" ref="B2"/>
  </hyperlinks>
  <pageMargins bottom="0.75" footer="0.3" header="0.3" left="0.7" right="0.7" top="0.75"/>
</worksheet>
</file>

<file path=xl/worksheets/sheet17.xml><?xml version="1.0" encoding="utf-8"?>
<worksheet xmlns="http://schemas.openxmlformats.org/spreadsheetml/2006/main">
  <dimension ref="B2:M17"/>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560</v>
      </c>
    </row>
    <row r="6">
      <c r="B6" t="s" s="1">
        <v>8</v>
      </c>
      <c r="C6" t="s">
        <v>9</v>
      </c>
    </row>
    <row r="7">
      <c r="B7" t="s" s="1">
        <v>10</v>
      </c>
      <c r="C7" t="s">
        <v>9</v>
      </c>
    </row>
    <row r="8">
      <c r="B8" t="s" s="1">
        <v>11</v>
      </c>
      <c r="C8" t="s">
        <v>12</v>
      </c>
    </row>
    <row r="10">
      <c r="D10" t="s" s="4">
        <v>561</v>
      </c>
      <c r="E10" s="29"/>
      <c r="F10" s="29"/>
      <c r="G10" s="29"/>
      <c r="H10" s="29"/>
      <c r="I10" s="29"/>
      <c r="J10" s="29"/>
      <c r="K10" s="29"/>
      <c r="L10" s="30"/>
    </row>
    <row r="11">
      <c r="D11" t="s" s="34">
        <v>562</v>
      </c>
      <c r="E11" t="s" s="6">
        <v>563</v>
      </c>
      <c r="F11" t="s" s="34">
        <v>564</v>
      </c>
      <c r="G11" t="s" s="6">
        <v>565</v>
      </c>
      <c r="H11" t="s" s="34">
        <v>566</v>
      </c>
      <c r="I11" t="s" s="6">
        <v>567</v>
      </c>
      <c r="J11" t="s" s="34">
        <v>568</v>
      </c>
      <c r="K11" t="s" s="6">
        <v>569</v>
      </c>
      <c r="L11" s="34" t="s">
        <v>570</v>
      </c>
    </row>
    <row r="12">
      <c r="B12" s="7" t="s">
        <v>571</v>
      </c>
      <c r="C12" s="9"/>
      <c r="D12" s="23"/>
      <c r="E12" s="23"/>
      <c r="F12" s="23"/>
      <c r="G12" s="23"/>
      <c r="H12" s="23"/>
      <c r="I12" s="23"/>
      <c r="J12" s="23"/>
      <c r="K12" s="23"/>
      <c r="L12" s="23"/>
    </row>
    <row r="13">
      <c r="B13" s="10"/>
      <c r="C13" s="19" t="s">
        <v>572</v>
      </c>
      <c r="D13" s="21"/>
      <c r="E13" s="21"/>
      <c r="F13" s="21"/>
      <c r="G13" s="21"/>
      <c r="H13" s="21"/>
      <c r="I13" s="22"/>
      <c r="J13" s="22"/>
      <c r="K13" s="22"/>
      <c r="L13" s="22"/>
    </row>
    <row r="14">
      <c r="B14" s="10"/>
      <c r="C14" s="18" t="s">
        <v>573</v>
      </c>
      <c r="D14" s="20"/>
      <c r="E14" s="20"/>
      <c r="F14" s="20"/>
      <c r="G14" s="20"/>
      <c r="H14" s="20"/>
      <c r="I14" s="20"/>
      <c r="J14" s="20"/>
      <c r="K14" s="20"/>
      <c r="L14" s="23"/>
    </row>
    <row r="15">
      <c r="B15" s="10"/>
      <c r="C15" s="19" t="s">
        <v>574</v>
      </c>
      <c r="D15" s="21"/>
      <c r="E15" s="21"/>
      <c r="F15" s="21"/>
      <c r="G15" s="21"/>
      <c r="H15" s="21"/>
      <c r="I15" s="21"/>
      <c r="J15" s="22"/>
      <c r="K15" s="22"/>
      <c r="L15" s="22"/>
    </row>
    <row r="16">
      <c r="B16" s="10"/>
      <c r="C16" s="18" t="s">
        <v>575</v>
      </c>
      <c r="D16" s="20"/>
      <c r="E16" s="20"/>
      <c r="F16" s="20"/>
      <c r="G16" s="20"/>
      <c r="H16" s="20"/>
      <c r="I16" s="20"/>
      <c r="J16" s="20"/>
      <c r="K16" s="20"/>
      <c r="L16" s="20"/>
    </row>
    <row r="17">
      <c r="B17" s="11"/>
      <c r="C17" s="19" t="s">
        <v>576</v>
      </c>
      <c r="D17" s="57"/>
      <c r="E17" s="57"/>
      <c r="F17" s="57"/>
      <c r="G17" s="57"/>
      <c r="H17" s="57"/>
      <c r="I17" s="57"/>
      <c r="J17" s="57"/>
      <c r="K17" s="57"/>
      <c r="L17" s="58"/>
    </row>
  </sheetData>
  <mergeCells>
    <mergeCell ref="D10:L10"/>
    <mergeCell ref="B12:C12"/>
  </mergeCells>
  <dataValidations count="6">
    <dataValidation type="list" sqref="F13" allowBlank="true" errorStyle="stop" showErrorMessage="true" showDropDown="false">
      <formula1>sspdtipos_TipoIdentificacionResponsablesInformacion</formula1>
    </dataValidation>
    <dataValidation type="list" sqref="F14" allowBlank="true" errorStyle="stop" showErrorMessage="true" showDropDown="false">
      <formula1>sspdtipos_TipoIdentificacionResponsablesInformacion</formula1>
    </dataValidation>
    <dataValidation type="list" sqref="F15" allowBlank="true" errorStyle="stop" showErrorMessage="true" showDropDown="false">
      <formula1>sspdtipos_TipoIdentificacionResponsablesInformacion</formula1>
    </dataValidation>
    <dataValidation type="list" sqref="F16" allowBlank="true" errorStyle="stop" showErrorMessage="true" showDropDown="false">
      <formula1>sspdtipos_TipoIdentificacionResponsablesInformacion</formula1>
    </dataValidation>
    <dataValidation type="list" sqref="L16" allowBlank="true" errorStyle="stop" showErrorMessage="true" showDropDown="false">
      <formula1>sspdtipos_TipoDeDictamenDeAuditoria</formula1>
    </dataValidation>
    <dataValidation type="list" sqref="F17" allowBlank="true" errorStyle="stop" showErrorMessage="true" showDropDown="false">
      <formula1>sspdtipos_TipoIdentificacionResponsablesInformacion</formula1>
    </dataValidation>
  </dataValidations>
  <hyperlinks>
    <hyperlink location="'Indice'!A1" ref="B2"/>
  </hyperlinks>
  <pageMargins bottom="0.75" footer="0.3" header="0.3" left="0.7" right="0.7" top="0.75"/>
</worksheet>
</file>

<file path=xl/worksheets/sheet18.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588</v>
      </c>
    </row>
    <row r="6">
      <c r="B6" t="s" s="1">
        <v>8</v>
      </c>
      <c r="C6" t="s">
        <v>9</v>
      </c>
    </row>
    <row r="7">
      <c r="B7" t="s" s="1">
        <v>10</v>
      </c>
      <c r="C7" t="s">
        <v>9</v>
      </c>
    </row>
    <row r="8">
      <c r="B8" t="s" s="1">
        <v>11</v>
      </c>
      <c r="C8" t="s">
        <v>12</v>
      </c>
    </row>
    <row r="10">
      <c r="E10" t="s" s="4">
        <v>38</v>
      </c>
      <c r="F10" s="29"/>
      <c r="G10" s="30"/>
    </row>
    <row r="11">
      <c r="E11" t="s" s="34">
        <v>589</v>
      </c>
      <c r="F11" t="s" s="6">
        <v>590</v>
      </c>
      <c r="G11" s="36"/>
    </row>
    <row r="12">
      <c r="B12" s="7" t="s">
        <v>591</v>
      </c>
      <c r="C12" s="8"/>
      <c r="D12" s="9"/>
      <c r="E12" s="23"/>
      <c r="F12" s="23"/>
      <c r="G12" s="23"/>
    </row>
    <row r="13">
      <c r="B13" s="10"/>
      <c r="C13" s="14" t="s">
        <v>592</v>
      </c>
      <c r="D13" s="13"/>
      <c r="E13" s="46" t="n"/>
      <c r="F13" s="46" t="n"/>
      <c r="G13" s="46" t="n"/>
    </row>
    <row r="14">
      <c r="B14" s="10"/>
      <c r="C14" s="11" t="s">
        <v>593</v>
      </c>
      <c r="D14" s="9"/>
      <c r="E14" s="47" t="n"/>
      <c r="F14" s="47" t="n"/>
      <c r="G14" s="47" t="n"/>
    </row>
    <row r="15">
      <c r="B15" s="10"/>
      <c r="C15" s="14" t="s">
        <v>594</v>
      </c>
      <c r="D15" s="13"/>
      <c r="E15" s="46" t="n"/>
      <c r="F15" s="46" t="n"/>
      <c r="G15" s="46" t="n"/>
    </row>
    <row r="16">
      <c r="B16" s="10"/>
      <c r="C16" s="11" t="s">
        <v>595</v>
      </c>
      <c r="D16" s="9"/>
      <c r="E16" s="47" t="n"/>
      <c r="F16" s="47" t="n"/>
      <c r="G16" s="47" t="n"/>
    </row>
    <row r="17">
      <c r="B17" s="10"/>
      <c r="C17" s="14" t="s">
        <v>596</v>
      </c>
      <c r="D17" s="13"/>
      <c r="E17" s="46" t="n"/>
      <c r="F17" s="46" t="n"/>
      <c r="G17" s="46" t="n"/>
    </row>
    <row r="18">
      <c r="B18" s="10"/>
      <c r="C18" s="11" t="s">
        <v>597</v>
      </c>
      <c r="D18" s="9"/>
      <c r="E18" s="47" t="n"/>
      <c r="F18" s="47" t="n"/>
      <c r="G18" s="47" t="n"/>
    </row>
    <row r="19">
      <c r="B19" s="10"/>
      <c r="C19" s="14" t="s">
        <v>598</v>
      </c>
      <c r="D19" s="13"/>
      <c r="E19" s="46" t="n"/>
      <c r="F19" s="46" t="n"/>
      <c r="G19" s="46" t="n"/>
    </row>
    <row r="20">
      <c r="B20" s="10"/>
      <c r="C20" s="7" t="s">
        <v>599</v>
      </c>
      <c r="D20" s="9"/>
      <c r="E20" s="23"/>
      <c r="F20" s="23"/>
      <c r="G20" s="23"/>
    </row>
    <row r="21">
      <c r="B21" s="10"/>
      <c r="C21" s="10"/>
      <c r="D21" s="19" t="s">
        <v>600</v>
      </c>
      <c r="E21" s="46" t="n"/>
      <c r="F21" s="46" t="n"/>
      <c r="G21" s="46" t="n"/>
    </row>
    <row r="22">
      <c r="B22" s="10"/>
      <c r="C22" s="10"/>
      <c r="D22" s="18" t="s">
        <v>601</v>
      </c>
      <c r="E22" s="47" t="n"/>
      <c r="F22" s="47" t="n"/>
      <c r="G22" s="47" t="n"/>
    </row>
    <row r="23">
      <c r="B23" s="10"/>
      <c r="C23" s="10"/>
      <c r="D23" s="19" t="s">
        <v>602</v>
      </c>
      <c r="E23" s="46" t="n"/>
      <c r="F23" s="46" t="n"/>
      <c r="G23" s="46" t="n"/>
    </row>
    <row r="24">
      <c r="B24" s="10"/>
      <c r="C24" s="11"/>
      <c r="D24" s="51" t="s">
        <v>603</v>
      </c>
      <c r="E24" s="47" t="n">
        <f>SUM(E21:E23)</f>
      </c>
      <c r="F24" s="47" t="n">
        <f>SUM(F21:F23)</f>
      </c>
      <c r="G24" s="47" t="n">
        <f>SUM(G21:G23)</f>
      </c>
    </row>
    <row r="25">
      <c r="B25" s="10"/>
      <c r="C25" s="14" t="s">
        <v>604</v>
      </c>
      <c r="D25" s="13"/>
      <c r="E25" s="46" t="n"/>
      <c r="F25" s="46" t="n"/>
      <c r="G25" s="46" t="n"/>
    </row>
    <row r="26">
      <c r="B26" s="10"/>
      <c r="C26" s="7" t="s">
        <v>605</v>
      </c>
      <c r="D26" s="9"/>
      <c r="E26" s="23"/>
      <c r="F26" s="23"/>
      <c r="G26" s="23"/>
    </row>
    <row r="27">
      <c r="B27" s="10"/>
      <c r="C27" s="10"/>
      <c r="D27" s="19" t="s">
        <v>606</v>
      </c>
      <c r="E27" s="46" t="n"/>
      <c r="F27" s="46" t="n"/>
      <c r="G27" s="46" t="n"/>
    </row>
    <row r="28">
      <c r="B28" s="10"/>
      <c r="C28" s="10"/>
      <c r="D28" s="18" t="s">
        <v>607</v>
      </c>
      <c r="E28" s="47" t="n"/>
      <c r="F28" s="47" t="n"/>
      <c r="G28" s="47" t="n"/>
    </row>
    <row r="29">
      <c r="B29" s="10"/>
      <c r="C29" s="10"/>
      <c r="D29" s="19" t="s">
        <v>608</v>
      </c>
      <c r="E29" s="46" t="n"/>
      <c r="F29" s="46" t="n"/>
      <c r="G29" s="46" t="n"/>
    </row>
    <row r="30">
      <c r="B30" s="10"/>
      <c r="C30" s="10"/>
      <c r="D30" s="18" t="s">
        <v>609</v>
      </c>
      <c r="E30" s="47" t="n"/>
      <c r="F30" s="47" t="n"/>
      <c r="G30" s="47" t="n"/>
    </row>
    <row r="31">
      <c r="B31" s="10"/>
      <c r="C31" s="10"/>
      <c r="D31" s="19" t="s">
        <v>610</v>
      </c>
      <c r="E31" s="46" t="n"/>
      <c r="F31" s="46" t="n"/>
      <c r="G31" s="46" t="n"/>
    </row>
    <row r="32">
      <c r="B32" s="10"/>
      <c r="C32" s="10"/>
      <c r="D32" s="18" t="s">
        <v>611</v>
      </c>
      <c r="E32" s="47" t="n"/>
      <c r="F32" s="47" t="n"/>
      <c r="G32" s="47" t="n"/>
    </row>
    <row r="33">
      <c r="B33" s="10"/>
      <c r="C33" s="11"/>
      <c r="D33" s="52" t="s">
        <v>612</v>
      </c>
      <c r="E33" s="46" t="n">
        <f>SUM(E27:E32)</f>
      </c>
      <c r="F33" s="46" t="n">
        <f>SUM(F27:F32)</f>
      </c>
      <c r="G33" s="46" t="n">
        <f>SUM(G27:G32)</f>
      </c>
    </row>
    <row r="34">
      <c r="B34" s="10"/>
      <c r="C34" s="11" t="s">
        <v>613</v>
      </c>
      <c r="D34" s="9"/>
      <c r="E34" s="47" t="n"/>
      <c r="F34" s="47" t="n"/>
      <c r="G34" s="47" t="n"/>
    </row>
    <row r="35">
      <c r="B35" s="10"/>
      <c r="C35" s="14" t="s">
        <v>614</v>
      </c>
      <c r="D35" s="13"/>
      <c r="E35" s="46" t="n"/>
      <c r="F35" s="46" t="n"/>
      <c r="G35" s="46" t="n"/>
    </row>
    <row r="36">
      <c r="B36" s="10"/>
      <c r="C36" s="7" t="s">
        <v>615</v>
      </c>
      <c r="D36" s="9"/>
      <c r="E36" s="23"/>
      <c r="F36" s="23"/>
      <c r="G36" s="23"/>
    </row>
    <row r="37">
      <c r="B37" s="10"/>
      <c r="C37" s="10"/>
      <c r="D37" s="19" t="s">
        <v>616</v>
      </c>
      <c r="E37" s="46" t="n"/>
      <c r="F37" s="46" t="n"/>
      <c r="G37" s="46" t="n"/>
    </row>
    <row r="38">
      <c r="B38" s="10"/>
      <c r="C38" s="10"/>
      <c r="D38" s="18" t="s">
        <v>617</v>
      </c>
      <c r="E38" s="47" t="n"/>
      <c r="F38" s="47" t="n"/>
      <c r="G38" s="47" t="n"/>
    </row>
    <row r="39">
      <c r="B39" s="10"/>
      <c r="C39" s="10"/>
      <c r="D39" s="19" t="s">
        <v>618</v>
      </c>
      <c r="E39" s="46" t="n"/>
      <c r="F39" s="46" t="n"/>
      <c r="G39" s="46" t="n"/>
    </row>
    <row r="40">
      <c r="B40" s="10"/>
      <c r="C40" s="10"/>
      <c r="D40" s="18" t="s">
        <v>619</v>
      </c>
      <c r="E40" s="47" t="n"/>
      <c r="F40" s="47" t="n"/>
      <c r="G40" s="47" t="n"/>
    </row>
    <row r="41">
      <c r="B41" s="10"/>
      <c r="C41" s="10"/>
      <c r="D41" s="19" t="s">
        <v>620</v>
      </c>
      <c r="E41" s="46" t="n"/>
      <c r="F41" s="46" t="n"/>
      <c r="G41" s="46" t="n"/>
    </row>
    <row r="42">
      <c r="B42" s="10"/>
      <c r="C42" s="10"/>
      <c r="D42" s="18" t="s">
        <v>621</v>
      </c>
      <c r="E42" s="47" t="n"/>
      <c r="F42" s="47" t="n"/>
      <c r="G42" s="47" t="n"/>
    </row>
    <row r="43">
      <c r="B43" s="10"/>
      <c r="C43" s="10"/>
      <c r="D43" s="19" t="s">
        <v>622</v>
      </c>
      <c r="E43" s="46" t="n"/>
      <c r="F43" s="46" t="n"/>
      <c r="G43" s="46" t="n"/>
    </row>
    <row r="44">
      <c r="B44" s="10"/>
      <c r="C44" s="10"/>
      <c r="D44" s="18" t="s">
        <v>623</v>
      </c>
      <c r="E44" s="47" t="n"/>
      <c r="F44" s="47" t="n"/>
      <c r="G44" s="47" t="n"/>
    </row>
    <row r="45">
      <c r="B45" s="10"/>
      <c r="C45" s="10"/>
      <c r="D45" s="19" t="s">
        <v>624</v>
      </c>
      <c r="E45" s="46" t="n"/>
      <c r="F45" s="46" t="n"/>
      <c r="G45" s="46" t="n"/>
    </row>
    <row r="46">
      <c r="B46" s="10"/>
      <c r="C46" s="10"/>
      <c r="D46" s="18" t="s">
        <v>625</v>
      </c>
      <c r="E46" s="47" t="n"/>
      <c r="F46" s="47" t="n"/>
      <c r="G46" s="47" t="n"/>
    </row>
    <row r="47">
      <c r="B47" s="10"/>
      <c r="C47" s="10"/>
      <c r="D47" s="19" t="s">
        <v>626</v>
      </c>
      <c r="E47" s="46" t="n"/>
      <c r="F47" s="46" t="n"/>
      <c r="G47" s="46" t="n"/>
    </row>
    <row r="48">
      <c r="B48" s="10"/>
      <c r="C48" s="10"/>
      <c r="D48" s="18" t="s">
        <v>627</v>
      </c>
      <c r="E48" s="47" t="n"/>
      <c r="F48" s="47" t="n"/>
      <c r="G48" s="47" t="n"/>
    </row>
    <row r="49">
      <c r="B49" s="10"/>
      <c r="C49" s="10"/>
      <c r="D49" s="19" t="s">
        <v>628</v>
      </c>
      <c r="E49" s="46" t="n"/>
      <c r="F49" s="46" t="n"/>
      <c r="G49" s="46" t="n"/>
    </row>
    <row r="50">
      <c r="B50" s="10"/>
      <c r="C50" s="11"/>
      <c r="D50" s="18" t="s">
        <v>629</v>
      </c>
      <c r="E50" s="47" t="n">
        <f>SUM(E37:E49)</f>
      </c>
      <c r="F50" s="47" t="n">
        <f>SUM(F37:F49)</f>
      </c>
      <c r="G50" s="47" t="n">
        <f>SUM(G37:G49)</f>
      </c>
    </row>
    <row r="51">
      <c r="B51" s="10"/>
      <c r="C51" s="16" t="s">
        <v>630</v>
      </c>
      <c r="D51" s="13"/>
      <c r="E51" s="22"/>
      <c r="F51" s="22"/>
      <c r="G51" s="22"/>
    </row>
    <row r="52">
      <c r="B52" s="10"/>
      <c r="C52" s="17"/>
      <c r="D52" s="18" t="s">
        <v>631</v>
      </c>
      <c r="E52" s="47" t="n"/>
      <c r="F52" s="47" t="n"/>
      <c r="G52" s="47" t="n"/>
    </row>
    <row r="53">
      <c r="B53" s="10"/>
      <c r="C53" s="17"/>
      <c r="D53" s="19" t="s">
        <v>632</v>
      </c>
      <c r="E53" s="46" t="n"/>
      <c r="F53" s="46" t="n"/>
      <c r="G53" s="46" t="n"/>
    </row>
    <row r="54">
      <c r="B54" s="10"/>
      <c r="C54" s="17"/>
      <c r="D54" s="18" t="s">
        <v>633</v>
      </c>
      <c r="E54" s="47" t="n"/>
      <c r="F54" s="47" t="n"/>
      <c r="G54" s="47" t="n"/>
    </row>
    <row r="55">
      <c r="B55" s="10"/>
      <c r="C55" s="17"/>
      <c r="D55" s="19" t="s">
        <v>634</v>
      </c>
      <c r="E55" s="46" t="n"/>
      <c r="F55" s="46" t="n"/>
      <c r="G55" s="46" t="n"/>
    </row>
    <row r="56">
      <c r="B56" s="10"/>
      <c r="C56" s="17"/>
      <c r="D56" s="18" t="s">
        <v>635</v>
      </c>
      <c r="E56" s="47" t="n"/>
      <c r="F56" s="47" t="n"/>
      <c r="G56" s="47" t="n"/>
    </row>
    <row r="57">
      <c r="B57" s="10"/>
      <c r="C57" s="17"/>
      <c r="D57" s="19" t="s">
        <v>636</v>
      </c>
      <c r="E57" s="46" t="n"/>
      <c r="F57" s="46" t="n"/>
      <c r="G57" s="46" t="n"/>
    </row>
    <row r="58">
      <c r="B58" s="10"/>
      <c r="C58" s="17"/>
      <c r="D58" s="18" t="s">
        <v>637</v>
      </c>
      <c r="E58" s="47" t="n"/>
      <c r="F58" s="47" t="n"/>
      <c r="G58" s="47" t="n"/>
    </row>
    <row r="59">
      <c r="B59" s="10"/>
      <c r="C59" s="17"/>
      <c r="D59" s="19" t="s">
        <v>638</v>
      </c>
      <c r="E59" s="46" t="n"/>
      <c r="F59" s="46" t="n"/>
      <c r="G59" s="46" t="n"/>
    </row>
    <row r="60">
      <c r="B60" s="10"/>
      <c r="C60" s="17"/>
      <c r="D60" s="18" t="s">
        <v>639</v>
      </c>
      <c r="E60" s="47" t="n"/>
      <c r="F60" s="47" t="n"/>
      <c r="G60" s="47" t="n"/>
    </row>
    <row r="61">
      <c r="B61" s="10"/>
      <c r="C61" s="17"/>
      <c r="D61" s="19" t="s">
        <v>640</v>
      </c>
      <c r="E61" s="46" t="n"/>
      <c r="F61" s="46" t="n"/>
      <c r="G61" s="46" t="n"/>
    </row>
    <row r="62">
      <c r="B62" s="10"/>
      <c r="C62" s="17"/>
      <c r="D62" s="18" t="s">
        <v>641</v>
      </c>
      <c r="E62" s="47" t="n"/>
      <c r="F62" s="47" t="n"/>
      <c r="G62" s="47" t="n"/>
    </row>
    <row r="63">
      <c r="B63" s="10"/>
      <c r="C63" s="14"/>
      <c r="D63" s="52" t="s">
        <v>642</v>
      </c>
      <c r="E63" s="46" t="n">
        <f>SUM(E52:E62)</f>
      </c>
      <c r="F63" s="46" t="n">
        <f>SUM(F52:F62)</f>
      </c>
      <c r="G63" s="46" t="n">
        <f>SUM(G52:G62)</f>
      </c>
    </row>
    <row r="64">
      <c r="B64" s="10"/>
      <c r="C64" s="7" t="s">
        <v>643</v>
      </c>
      <c r="D64" s="9"/>
      <c r="E64" s="23"/>
      <c r="F64" s="23"/>
      <c r="G64" s="23"/>
    </row>
    <row r="65">
      <c r="B65" s="10"/>
      <c r="C65" s="10"/>
      <c r="D65" s="19" t="s">
        <v>644</v>
      </c>
      <c r="E65" s="46" t="n"/>
      <c r="F65" s="46" t="n"/>
      <c r="G65" s="46" t="n"/>
    </row>
    <row r="66">
      <c r="B66" s="10"/>
      <c r="C66" s="10"/>
      <c r="D66" s="18" t="s">
        <v>645</v>
      </c>
      <c r="E66" s="47" t="n"/>
      <c r="F66" s="47" t="n"/>
      <c r="G66" s="47" t="n"/>
    </row>
    <row r="67">
      <c r="B67" s="10"/>
      <c r="C67" s="10"/>
      <c r="D67" s="19" t="s">
        <v>646</v>
      </c>
      <c r="E67" s="46" t="n"/>
      <c r="F67" s="46" t="n"/>
      <c r="G67" s="46" t="n"/>
    </row>
    <row r="68">
      <c r="B68" s="10"/>
      <c r="C68" s="10"/>
      <c r="D68" s="18" t="s">
        <v>647</v>
      </c>
      <c r="E68" s="47" t="n"/>
      <c r="F68" s="47" t="n"/>
      <c r="G68" s="47" t="n"/>
    </row>
    <row r="69">
      <c r="B69" s="10"/>
      <c r="C69" s="10"/>
      <c r="D69" s="19" t="s">
        <v>648</v>
      </c>
      <c r="E69" s="46" t="n"/>
      <c r="F69" s="46" t="n"/>
      <c r="G69" s="46" t="n"/>
    </row>
    <row r="70">
      <c r="B70" s="10"/>
      <c r="C70" s="10"/>
      <c r="D70" s="18" t="s">
        <v>649</v>
      </c>
      <c r="E70" s="47" t="n"/>
      <c r="F70" s="47" t="n"/>
      <c r="G70" s="47" t="n"/>
    </row>
    <row r="71">
      <c r="B71" s="10"/>
      <c r="C71" s="11"/>
      <c r="D71" s="52" t="s">
        <v>650</v>
      </c>
      <c r="E71" s="46" t="n">
        <f>SUM(E65:E70)</f>
      </c>
      <c r="F71" s="46" t="n">
        <f>SUM(F65:F70)</f>
      </c>
      <c r="G71" s="46" t="n">
        <f>SUM(G65:G70)</f>
      </c>
    </row>
    <row r="72">
      <c r="B72" s="10"/>
      <c r="C72" s="11" t="s">
        <v>651</v>
      </c>
      <c r="D72" s="9"/>
      <c r="E72" s="47" t="n"/>
      <c r="F72" s="47" t="n"/>
      <c r="G72" s="47" t="n"/>
    </row>
    <row r="73">
      <c r="B73" s="10"/>
      <c r="C73" s="14" t="s">
        <v>652</v>
      </c>
      <c r="D73" s="13"/>
      <c r="E73" s="46" t="n"/>
      <c r="F73" s="46" t="n"/>
      <c r="G73" s="46" t="n"/>
    </row>
    <row r="74">
      <c r="B74" s="10"/>
      <c r="C74" s="11" t="s">
        <v>653</v>
      </c>
      <c r="D74" s="9"/>
      <c r="E74" s="47" t="n"/>
      <c r="F74" s="47" t="n"/>
      <c r="G74" s="47" t="n"/>
    </row>
    <row r="75">
      <c r="B75" s="10"/>
      <c r="C75" s="14" t="s">
        <v>654</v>
      </c>
      <c r="D75" s="13"/>
      <c r="E75" s="46" t="n"/>
      <c r="F75" s="46" t="n"/>
      <c r="G75" s="46" t="n"/>
    </row>
    <row r="76">
      <c r="B76" s="10"/>
      <c r="C76" s="11" t="s">
        <v>655</v>
      </c>
      <c r="D76" s="9"/>
      <c r="E76" s="47" t="n"/>
      <c r="F76" s="47" t="n"/>
      <c r="G76" s="47" t="n"/>
    </row>
    <row r="77">
      <c r="B77" s="10"/>
      <c r="C77" s="14" t="s">
        <v>656</v>
      </c>
      <c r="D77" s="13"/>
      <c r="E77" s="46" t="n"/>
      <c r="F77" s="46" t="n"/>
      <c r="G77" s="46" t="n"/>
    </row>
    <row r="78">
      <c r="B78" s="10"/>
      <c r="C78" s="11" t="s">
        <v>657</v>
      </c>
      <c r="D78" s="9"/>
      <c r="E78" s="47" t="n"/>
      <c r="F78" s="47" t="n"/>
      <c r="G78" s="47" t="n"/>
    </row>
    <row r="79">
      <c r="B79" s="10"/>
      <c r="C79" s="14" t="s">
        <v>658</v>
      </c>
      <c r="D79" s="13"/>
      <c r="E79" s="46" t="n"/>
      <c r="F79" s="46" t="n"/>
      <c r="G79" s="46" t="n"/>
    </row>
    <row r="80">
      <c r="B80" s="10"/>
      <c r="C80" s="11" t="s">
        <v>659</v>
      </c>
      <c r="D80" s="9"/>
      <c r="E80" s="47" t="n"/>
      <c r="F80" s="47" t="n"/>
      <c r="G80" s="47" t="n"/>
    </row>
    <row r="81">
      <c r="B81" s="10"/>
      <c r="C81" s="14" t="s">
        <v>660</v>
      </c>
      <c r="D81" s="13"/>
      <c r="E81" s="46" t="n"/>
      <c r="F81" s="46" t="n"/>
      <c r="G81" s="46" t="n"/>
    </row>
    <row r="82">
      <c r="B82" s="11"/>
      <c r="C82" s="45" t="s">
        <v>661</v>
      </c>
      <c r="D82" s="44"/>
      <c r="E82" s="53" t="n">
        <f>SUM(E13:E19)+E24+E25+SUM(E33:E35)+E50+E63+SUM(E71:E81)</f>
      </c>
      <c r="F82" s="53" t="n">
        <f>SUM(F13:F19)+F24+F25+SUM(F33:F35)+F50+F63+SUM(F71:F81)</f>
      </c>
      <c r="G82" s="53"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19.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662</v>
      </c>
    </row>
    <row r="6">
      <c r="B6" t="s" s="1">
        <v>8</v>
      </c>
      <c r="C6" t="s">
        <v>9</v>
      </c>
    </row>
    <row r="7">
      <c r="B7" t="s" s="1">
        <v>10</v>
      </c>
      <c r="C7" t="s">
        <v>9</v>
      </c>
    </row>
    <row r="8">
      <c r="B8" t="s" s="1">
        <v>11</v>
      </c>
      <c r="C8" t="s">
        <v>12</v>
      </c>
    </row>
    <row r="10">
      <c r="E10" t="s" s="4">
        <v>39</v>
      </c>
      <c r="F10" s="29"/>
      <c r="G10" s="30"/>
    </row>
    <row r="11">
      <c r="E11" t="s" s="34">
        <v>663</v>
      </c>
      <c r="F11" t="s" s="6">
        <v>664</v>
      </c>
      <c r="G11" s="36"/>
    </row>
    <row r="12">
      <c r="B12" s="7" t="s">
        <v>591</v>
      </c>
      <c r="C12" s="8"/>
      <c r="D12" s="9"/>
      <c r="E12" s="23"/>
      <c r="F12" s="23"/>
      <c r="G12" s="23"/>
    </row>
    <row r="13">
      <c r="B13" s="10"/>
      <c r="C13" s="14" t="s">
        <v>592</v>
      </c>
      <c r="D13" s="13"/>
      <c r="E13" s="46" t="n"/>
      <c r="F13" s="46" t="n"/>
      <c r="G13" s="46" t="n"/>
    </row>
    <row r="14">
      <c r="B14" s="10"/>
      <c r="C14" s="11" t="s">
        <v>593</v>
      </c>
      <c r="D14" s="9"/>
      <c r="E14" s="47" t="n"/>
      <c r="F14" s="47" t="n"/>
      <c r="G14" s="47" t="n"/>
    </row>
    <row r="15">
      <c r="B15" s="10"/>
      <c r="C15" s="14" t="s">
        <v>594</v>
      </c>
      <c r="D15" s="13"/>
      <c r="E15" s="46" t="n"/>
      <c r="F15" s="46" t="n"/>
      <c r="G15" s="46" t="n"/>
    </row>
    <row r="16">
      <c r="B16" s="10"/>
      <c r="C16" s="11" t="s">
        <v>595</v>
      </c>
      <c r="D16" s="9"/>
      <c r="E16" s="47" t="n"/>
      <c r="F16" s="47" t="n"/>
      <c r="G16" s="47" t="n"/>
    </row>
    <row r="17">
      <c r="B17" s="10"/>
      <c r="C17" s="14" t="s">
        <v>596</v>
      </c>
      <c r="D17" s="13"/>
      <c r="E17" s="46" t="n"/>
      <c r="F17" s="46" t="n"/>
      <c r="G17" s="46" t="n"/>
    </row>
    <row r="18">
      <c r="B18" s="10"/>
      <c r="C18" s="11" t="s">
        <v>597</v>
      </c>
      <c r="D18" s="9"/>
      <c r="E18" s="47" t="n"/>
      <c r="F18" s="47" t="n"/>
      <c r="G18" s="47" t="n"/>
    </row>
    <row r="19">
      <c r="B19" s="10"/>
      <c r="C19" s="14" t="s">
        <v>598</v>
      </c>
      <c r="D19" s="13"/>
      <c r="E19" s="46" t="n"/>
      <c r="F19" s="46" t="n"/>
      <c r="G19" s="46" t="n"/>
    </row>
    <row r="20">
      <c r="B20" s="10"/>
      <c r="C20" s="7" t="s">
        <v>599</v>
      </c>
      <c r="D20" s="9"/>
      <c r="E20" s="23"/>
      <c r="F20" s="23"/>
      <c r="G20" s="23"/>
    </row>
    <row r="21">
      <c r="B21" s="10"/>
      <c r="C21" s="10"/>
      <c r="D21" s="19" t="s">
        <v>600</v>
      </c>
      <c r="E21" s="46" t="n"/>
      <c r="F21" s="46" t="n"/>
      <c r="G21" s="46" t="n"/>
    </row>
    <row r="22">
      <c r="B22" s="10"/>
      <c r="C22" s="10"/>
      <c r="D22" s="18" t="s">
        <v>601</v>
      </c>
      <c r="E22" s="47" t="n"/>
      <c r="F22" s="47" t="n"/>
      <c r="G22" s="47" t="n"/>
    </row>
    <row r="23">
      <c r="B23" s="10"/>
      <c r="C23" s="10"/>
      <c r="D23" s="19" t="s">
        <v>602</v>
      </c>
      <c r="E23" s="46" t="n"/>
      <c r="F23" s="46" t="n"/>
      <c r="G23" s="46" t="n"/>
    </row>
    <row r="24">
      <c r="B24" s="10"/>
      <c r="C24" s="11"/>
      <c r="D24" s="51" t="s">
        <v>603</v>
      </c>
      <c r="E24" s="47" t="n">
        <f>SUM(E21:E23)</f>
      </c>
      <c r="F24" s="47" t="n">
        <f>SUM(F21:F23)</f>
      </c>
      <c r="G24" s="47" t="n">
        <f>SUM(G21:G23)</f>
      </c>
    </row>
    <row r="25">
      <c r="B25" s="10"/>
      <c r="C25" s="14" t="s">
        <v>604</v>
      </c>
      <c r="D25" s="13"/>
      <c r="E25" s="46" t="n"/>
      <c r="F25" s="46" t="n"/>
      <c r="G25" s="46" t="n"/>
    </row>
    <row r="26">
      <c r="B26" s="10"/>
      <c r="C26" s="7" t="s">
        <v>605</v>
      </c>
      <c r="D26" s="9"/>
      <c r="E26" s="23"/>
      <c r="F26" s="23"/>
      <c r="G26" s="23"/>
    </row>
    <row r="27">
      <c r="B27" s="10"/>
      <c r="C27" s="10"/>
      <c r="D27" s="19" t="s">
        <v>606</v>
      </c>
      <c r="E27" s="46" t="n"/>
      <c r="F27" s="46" t="n"/>
      <c r="G27" s="46" t="n"/>
    </row>
    <row r="28">
      <c r="B28" s="10"/>
      <c r="C28" s="10"/>
      <c r="D28" s="18" t="s">
        <v>607</v>
      </c>
      <c r="E28" s="47" t="n"/>
      <c r="F28" s="47" t="n"/>
      <c r="G28" s="47" t="n"/>
    </row>
    <row r="29">
      <c r="B29" s="10"/>
      <c r="C29" s="10"/>
      <c r="D29" s="19" t="s">
        <v>608</v>
      </c>
      <c r="E29" s="46" t="n"/>
      <c r="F29" s="46" t="n"/>
      <c r="G29" s="46" t="n"/>
    </row>
    <row r="30">
      <c r="B30" s="10"/>
      <c r="C30" s="10"/>
      <c r="D30" s="18" t="s">
        <v>609</v>
      </c>
      <c r="E30" s="47" t="n"/>
      <c r="F30" s="47" t="n"/>
      <c r="G30" s="47" t="n"/>
    </row>
    <row r="31">
      <c r="B31" s="10"/>
      <c r="C31" s="10"/>
      <c r="D31" s="19" t="s">
        <v>610</v>
      </c>
      <c r="E31" s="46" t="n"/>
      <c r="F31" s="46" t="n"/>
      <c r="G31" s="46" t="n"/>
    </row>
    <row r="32">
      <c r="B32" s="10"/>
      <c r="C32" s="10"/>
      <c r="D32" s="18" t="s">
        <v>611</v>
      </c>
      <c r="E32" s="47" t="n"/>
      <c r="F32" s="47" t="n"/>
      <c r="G32" s="47" t="n"/>
    </row>
    <row r="33">
      <c r="B33" s="10"/>
      <c r="C33" s="11"/>
      <c r="D33" s="52" t="s">
        <v>612</v>
      </c>
      <c r="E33" s="46" t="n">
        <f>SUM(E27:E32)</f>
      </c>
      <c r="F33" s="46" t="n">
        <f>SUM(F27:F32)</f>
      </c>
      <c r="G33" s="46" t="n">
        <f>SUM(G27:G32)</f>
      </c>
    </row>
    <row r="34">
      <c r="B34" s="10"/>
      <c r="C34" s="11" t="s">
        <v>613</v>
      </c>
      <c r="D34" s="9"/>
      <c r="E34" s="47" t="n"/>
      <c r="F34" s="47" t="n"/>
      <c r="G34" s="47" t="n"/>
    </row>
    <row r="35">
      <c r="B35" s="10"/>
      <c r="C35" s="14" t="s">
        <v>614</v>
      </c>
      <c r="D35" s="13"/>
      <c r="E35" s="46" t="n"/>
      <c r="F35" s="46" t="n"/>
      <c r="G35" s="46" t="n"/>
    </row>
    <row r="36">
      <c r="B36" s="10"/>
      <c r="C36" s="7" t="s">
        <v>615</v>
      </c>
      <c r="D36" s="9"/>
      <c r="E36" s="23"/>
      <c r="F36" s="23"/>
      <c r="G36" s="23"/>
    </row>
    <row r="37">
      <c r="B37" s="10"/>
      <c r="C37" s="10"/>
      <c r="D37" s="19" t="s">
        <v>616</v>
      </c>
      <c r="E37" s="46" t="n"/>
      <c r="F37" s="46" t="n"/>
      <c r="G37" s="46" t="n"/>
    </row>
    <row r="38">
      <c r="B38" s="10"/>
      <c r="C38" s="10"/>
      <c r="D38" s="18" t="s">
        <v>617</v>
      </c>
      <c r="E38" s="47" t="n"/>
      <c r="F38" s="47" t="n"/>
      <c r="G38" s="47" t="n"/>
    </row>
    <row r="39">
      <c r="B39" s="10"/>
      <c r="C39" s="10"/>
      <c r="D39" s="19" t="s">
        <v>618</v>
      </c>
      <c r="E39" s="46" t="n"/>
      <c r="F39" s="46" t="n"/>
      <c r="G39" s="46" t="n"/>
    </row>
    <row r="40">
      <c r="B40" s="10"/>
      <c r="C40" s="10"/>
      <c r="D40" s="18" t="s">
        <v>619</v>
      </c>
      <c r="E40" s="47" t="n"/>
      <c r="F40" s="47" t="n"/>
      <c r="G40" s="47" t="n"/>
    </row>
    <row r="41">
      <c r="B41" s="10"/>
      <c r="C41" s="10"/>
      <c r="D41" s="19" t="s">
        <v>620</v>
      </c>
      <c r="E41" s="46" t="n"/>
      <c r="F41" s="46" t="n"/>
      <c r="G41" s="46" t="n"/>
    </row>
    <row r="42">
      <c r="B42" s="10"/>
      <c r="C42" s="10"/>
      <c r="D42" s="18" t="s">
        <v>621</v>
      </c>
      <c r="E42" s="47" t="n"/>
      <c r="F42" s="47" t="n"/>
      <c r="G42" s="47" t="n"/>
    </row>
    <row r="43">
      <c r="B43" s="10"/>
      <c r="C43" s="10"/>
      <c r="D43" s="19" t="s">
        <v>622</v>
      </c>
      <c r="E43" s="46" t="n"/>
      <c r="F43" s="46" t="n"/>
      <c r="G43" s="46" t="n"/>
    </row>
    <row r="44">
      <c r="B44" s="10"/>
      <c r="C44" s="10"/>
      <c r="D44" s="18" t="s">
        <v>623</v>
      </c>
      <c r="E44" s="47" t="n"/>
      <c r="F44" s="47" t="n"/>
      <c r="G44" s="47" t="n"/>
    </row>
    <row r="45">
      <c r="B45" s="10"/>
      <c r="C45" s="10"/>
      <c r="D45" s="19" t="s">
        <v>624</v>
      </c>
      <c r="E45" s="46" t="n"/>
      <c r="F45" s="46" t="n"/>
      <c r="G45" s="46" t="n"/>
    </row>
    <row r="46">
      <c r="B46" s="10"/>
      <c r="C46" s="10"/>
      <c r="D46" s="18" t="s">
        <v>625</v>
      </c>
      <c r="E46" s="47" t="n"/>
      <c r="F46" s="47" t="n"/>
      <c r="G46" s="47" t="n"/>
    </row>
    <row r="47">
      <c r="B47" s="10"/>
      <c r="C47" s="10"/>
      <c r="D47" s="19" t="s">
        <v>626</v>
      </c>
      <c r="E47" s="46" t="n"/>
      <c r="F47" s="46" t="n"/>
      <c r="G47" s="46" t="n"/>
    </row>
    <row r="48">
      <c r="B48" s="10"/>
      <c r="C48" s="10"/>
      <c r="D48" s="18" t="s">
        <v>627</v>
      </c>
      <c r="E48" s="47" t="n"/>
      <c r="F48" s="47" t="n"/>
      <c r="G48" s="47" t="n"/>
    </row>
    <row r="49">
      <c r="B49" s="10"/>
      <c r="C49" s="10"/>
      <c r="D49" s="19" t="s">
        <v>628</v>
      </c>
      <c r="E49" s="46" t="n"/>
      <c r="F49" s="46" t="n"/>
      <c r="G49" s="46" t="n"/>
    </row>
    <row r="50">
      <c r="B50" s="10"/>
      <c r="C50" s="11"/>
      <c r="D50" s="18" t="s">
        <v>629</v>
      </c>
      <c r="E50" s="47" t="n">
        <f>SUM(E37:E49)</f>
      </c>
      <c r="F50" s="47" t="n">
        <f>SUM(F37:F49)</f>
      </c>
      <c r="G50" s="47" t="n">
        <f>SUM(G37:G49)</f>
      </c>
    </row>
    <row r="51">
      <c r="B51" s="10"/>
      <c r="C51" s="16" t="s">
        <v>630</v>
      </c>
      <c r="D51" s="13"/>
      <c r="E51" s="22"/>
      <c r="F51" s="22"/>
      <c r="G51" s="22"/>
    </row>
    <row r="52">
      <c r="B52" s="10"/>
      <c r="C52" s="17"/>
      <c r="D52" s="18" t="s">
        <v>631</v>
      </c>
      <c r="E52" s="47" t="n"/>
      <c r="F52" s="47" t="n"/>
      <c r="G52" s="47" t="n"/>
    </row>
    <row r="53">
      <c r="B53" s="10"/>
      <c r="C53" s="17"/>
      <c r="D53" s="19" t="s">
        <v>632</v>
      </c>
      <c r="E53" s="46" t="n"/>
      <c r="F53" s="46" t="n"/>
      <c r="G53" s="46" t="n"/>
    </row>
    <row r="54">
      <c r="B54" s="10"/>
      <c r="C54" s="17"/>
      <c r="D54" s="18" t="s">
        <v>633</v>
      </c>
      <c r="E54" s="47" t="n"/>
      <c r="F54" s="47" t="n"/>
      <c r="G54" s="47" t="n"/>
    </row>
    <row r="55">
      <c r="B55" s="10"/>
      <c r="C55" s="17"/>
      <c r="D55" s="19" t="s">
        <v>634</v>
      </c>
      <c r="E55" s="46" t="n"/>
      <c r="F55" s="46" t="n"/>
      <c r="G55" s="46" t="n"/>
    </row>
    <row r="56">
      <c r="B56" s="10"/>
      <c r="C56" s="17"/>
      <c r="D56" s="18" t="s">
        <v>635</v>
      </c>
      <c r="E56" s="47" t="n"/>
      <c r="F56" s="47" t="n"/>
      <c r="G56" s="47" t="n"/>
    </row>
    <row r="57">
      <c r="B57" s="10"/>
      <c r="C57" s="17"/>
      <c r="D57" s="19" t="s">
        <v>636</v>
      </c>
      <c r="E57" s="46" t="n"/>
      <c r="F57" s="46" t="n"/>
      <c r="G57" s="46" t="n"/>
    </row>
    <row r="58">
      <c r="B58" s="10"/>
      <c r="C58" s="17"/>
      <c r="D58" s="18" t="s">
        <v>637</v>
      </c>
      <c r="E58" s="47" t="n"/>
      <c r="F58" s="47" t="n"/>
      <c r="G58" s="47" t="n"/>
    </row>
    <row r="59">
      <c r="B59" s="10"/>
      <c r="C59" s="17"/>
      <c r="D59" s="19" t="s">
        <v>638</v>
      </c>
      <c r="E59" s="46" t="n"/>
      <c r="F59" s="46" t="n"/>
      <c r="G59" s="46" t="n"/>
    </row>
    <row r="60">
      <c r="B60" s="10"/>
      <c r="C60" s="17"/>
      <c r="D60" s="18" t="s">
        <v>639</v>
      </c>
      <c r="E60" s="47" t="n"/>
      <c r="F60" s="47" t="n"/>
      <c r="G60" s="47" t="n"/>
    </row>
    <row r="61">
      <c r="B61" s="10"/>
      <c r="C61" s="17"/>
      <c r="D61" s="19" t="s">
        <v>640</v>
      </c>
      <c r="E61" s="46" t="n"/>
      <c r="F61" s="46" t="n"/>
      <c r="G61" s="46" t="n"/>
    </row>
    <row r="62">
      <c r="B62" s="10"/>
      <c r="C62" s="17"/>
      <c r="D62" s="18" t="s">
        <v>641</v>
      </c>
      <c r="E62" s="47" t="n"/>
      <c r="F62" s="47" t="n"/>
      <c r="G62" s="47" t="n"/>
    </row>
    <row r="63">
      <c r="B63" s="10"/>
      <c r="C63" s="14"/>
      <c r="D63" s="52" t="s">
        <v>642</v>
      </c>
      <c r="E63" s="46" t="n">
        <f>SUM(E52:E62)</f>
      </c>
      <c r="F63" s="46" t="n">
        <f>SUM(F52:F62)</f>
      </c>
      <c r="G63" s="46" t="n">
        <f>SUM(G52:G62)</f>
      </c>
    </row>
    <row r="64">
      <c r="B64" s="10"/>
      <c r="C64" s="7" t="s">
        <v>643</v>
      </c>
      <c r="D64" s="9"/>
      <c r="E64" s="23"/>
      <c r="F64" s="23"/>
      <c r="G64" s="23"/>
    </row>
    <row r="65">
      <c r="B65" s="10"/>
      <c r="C65" s="10"/>
      <c r="D65" s="19" t="s">
        <v>644</v>
      </c>
      <c r="E65" s="46" t="n"/>
      <c r="F65" s="46" t="n"/>
      <c r="G65" s="46" t="n"/>
    </row>
    <row r="66">
      <c r="B66" s="10"/>
      <c r="C66" s="10"/>
      <c r="D66" s="18" t="s">
        <v>645</v>
      </c>
      <c r="E66" s="47" t="n"/>
      <c r="F66" s="47" t="n"/>
      <c r="G66" s="47" t="n"/>
    </row>
    <row r="67">
      <c r="B67" s="10"/>
      <c r="C67" s="10"/>
      <c r="D67" s="19" t="s">
        <v>646</v>
      </c>
      <c r="E67" s="46" t="n"/>
      <c r="F67" s="46" t="n"/>
      <c r="G67" s="46" t="n"/>
    </row>
    <row r="68">
      <c r="B68" s="10"/>
      <c r="C68" s="10"/>
      <c r="D68" s="18" t="s">
        <v>647</v>
      </c>
      <c r="E68" s="47" t="n"/>
      <c r="F68" s="47" t="n"/>
      <c r="G68" s="47" t="n"/>
    </row>
    <row r="69">
      <c r="B69" s="10"/>
      <c r="C69" s="10"/>
      <c r="D69" s="19" t="s">
        <v>648</v>
      </c>
      <c r="E69" s="46" t="n"/>
      <c r="F69" s="46" t="n"/>
      <c r="G69" s="46" t="n"/>
    </row>
    <row r="70">
      <c r="B70" s="10"/>
      <c r="C70" s="10"/>
      <c r="D70" s="18" t="s">
        <v>649</v>
      </c>
      <c r="E70" s="47" t="n"/>
      <c r="F70" s="47" t="n"/>
      <c r="G70" s="47" t="n"/>
    </row>
    <row r="71">
      <c r="B71" s="10"/>
      <c r="C71" s="11"/>
      <c r="D71" s="52" t="s">
        <v>650</v>
      </c>
      <c r="E71" s="46" t="n">
        <f>SUM(E65:E70)</f>
      </c>
      <c r="F71" s="46" t="n">
        <f>SUM(F65:F70)</f>
      </c>
      <c r="G71" s="46" t="n">
        <f>SUM(G65:G70)</f>
      </c>
    </row>
    <row r="72">
      <c r="B72" s="10"/>
      <c r="C72" s="11" t="s">
        <v>651</v>
      </c>
      <c r="D72" s="9"/>
      <c r="E72" s="47" t="n"/>
      <c r="F72" s="47" t="n"/>
      <c r="G72" s="47" t="n"/>
    </row>
    <row r="73">
      <c r="B73" s="10"/>
      <c r="C73" s="14" t="s">
        <v>652</v>
      </c>
      <c r="D73" s="13"/>
      <c r="E73" s="46" t="n"/>
      <c r="F73" s="46" t="n"/>
      <c r="G73" s="46" t="n"/>
    </row>
    <row r="74">
      <c r="B74" s="10"/>
      <c r="C74" s="11" t="s">
        <v>653</v>
      </c>
      <c r="D74" s="9"/>
      <c r="E74" s="47" t="n"/>
      <c r="F74" s="47" t="n"/>
      <c r="G74" s="47" t="n"/>
    </row>
    <row r="75">
      <c r="B75" s="10"/>
      <c r="C75" s="14" t="s">
        <v>654</v>
      </c>
      <c r="D75" s="13"/>
      <c r="E75" s="46" t="n"/>
      <c r="F75" s="46" t="n"/>
      <c r="G75" s="46" t="n"/>
    </row>
    <row r="76">
      <c r="B76" s="10"/>
      <c r="C76" s="11" t="s">
        <v>655</v>
      </c>
      <c r="D76" s="9"/>
      <c r="E76" s="47" t="n"/>
      <c r="F76" s="47" t="n"/>
      <c r="G76" s="47" t="n"/>
    </row>
    <row r="77">
      <c r="B77" s="10"/>
      <c r="C77" s="14" t="s">
        <v>656</v>
      </c>
      <c r="D77" s="13"/>
      <c r="E77" s="46" t="n"/>
      <c r="F77" s="46" t="n"/>
      <c r="G77" s="46" t="n"/>
    </row>
    <row r="78">
      <c r="B78" s="10"/>
      <c r="C78" s="11" t="s">
        <v>657</v>
      </c>
      <c r="D78" s="9"/>
      <c r="E78" s="47" t="n"/>
      <c r="F78" s="47" t="n"/>
      <c r="G78" s="47" t="n"/>
    </row>
    <row r="79">
      <c r="B79" s="10"/>
      <c r="C79" s="14" t="s">
        <v>658</v>
      </c>
      <c r="D79" s="13"/>
      <c r="E79" s="46" t="n"/>
      <c r="F79" s="46" t="n"/>
      <c r="G79" s="46" t="n"/>
    </row>
    <row r="80">
      <c r="B80" s="10"/>
      <c r="C80" s="11" t="s">
        <v>659</v>
      </c>
      <c r="D80" s="9"/>
      <c r="E80" s="47" t="n"/>
      <c r="F80" s="47" t="n"/>
      <c r="G80" s="47" t="n"/>
    </row>
    <row r="81">
      <c r="B81" s="10"/>
      <c r="C81" s="14" t="s">
        <v>660</v>
      </c>
      <c r="D81" s="13"/>
      <c r="E81" s="46" t="n"/>
      <c r="F81" s="46" t="n"/>
      <c r="G81" s="46" t="n"/>
    </row>
    <row r="82">
      <c r="B82" s="11"/>
      <c r="C82" s="45" t="s">
        <v>661</v>
      </c>
      <c r="D82" s="44"/>
      <c r="E82" s="53" t="n">
        <f>SUM(E13:E19)+E24+E25+SUM(E33:E35)+E50+E63+SUM(E71:E81)</f>
      </c>
      <c r="F82" s="53" t="n">
        <f>SUM(F13:F19)+F24+F25+SUM(F33:F35)+F50+F63+SUM(F71:F81)</f>
      </c>
      <c r="G82" s="53"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0.xml><?xml version="1.0" encoding="utf-8"?>
<worksheet xmlns="http://schemas.openxmlformats.org/spreadsheetml/2006/main">
  <dimension ref="B2:H82"/>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665</v>
      </c>
    </row>
    <row r="6">
      <c r="B6" t="s" s="1">
        <v>8</v>
      </c>
      <c r="C6" t="s">
        <v>9</v>
      </c>
    </row>
    <row r="7">
      <c r="B7" t="s" s="1">
        <v>10</v>
      </c>
      <c r="C7" t="s">
        <v>9</v>
      </c>
    </row>
    <row r="8">
      <c r="B8" t="s" s="1">
        <v>11</v>
      </c>
      <c r="C8" t="s">
        <v>12</v>
      </c>
    </row>
    <row r="10">
      <c r="E10" t="s" s="4">
        <v>40</v>
      </c>
      <c r="F10" s="29"/>
      <c r="G10" s="30"/>
    </row>
    <row r="11">
      <c r="E11" t="s" s="34">
        <v>666</v>
      </c>
      <c r="F11" t="s" s="6">
        <v>667</v>
      </c>
      <c r="G11" s="36"/>
    </row>
    <row r="12">
      <c r="B12" s="7" t="s">
        <v>591</v>
      </c>
      <c r="C12" s="8"/>
      <c r="D12" s="9"/>
      <c r="E12" s="23"/>
      <c r="F12" s="23"/>
      <c r="G12" s="23"/>
    </row>
    <row r="13">
      <c r="B13" s="10"/>
      <c r="C13" s="14" t="s">
        <v>592</v>
      </c>
      <c r="D13" s="13"/>
      <c r="E13" s="46" t="n"/>
      <c r="F13" s="46" t="n"/>
      <c r="G13" s="46" t="n"/>
    </row>
    <row r="14">
      <c r="B14" s="10"/>
      <c r="C14" s="11" t="s">
        <v>593</v>
      </c>
      <c r="D14" s="9"/>
      <c r="E14" s="47" t="n"/>
      <c r="F14" s="47" t="n"/>
      <c r="G14" s="47" t="n"/>
    </row>
    <row r="15">
      <c r="B15" s="10"/>
      <c r="C15" s="14" t="s">
        <v>594</v>
      </c>
      <c r="D15" s="13"/>
      <c r="E15" s="46" t="n"/>
      <c r="F15" s="46" t="n"/>
      <c r="G15" s="46" t="n"/>
    </row>
    <row r="16">
      <c r="B16" s="10"/>
      <c r="C16" s="11" t="s">
        <v>595</v>
      </c>
      <c r="D16" s="9"/>
      <c r="E16" s="47" t="n"/>
      <c r="F16" s="47" t="n"/>
      <c r="G16" s="47" t="n"/>
    </row>
    <row r="17">
      <c r="B17" s="10"/>
      <c r="C17" s="14" t="s">
        <v>596</v>
      </c>
      <c r="D17" s="13"/>
      <c r="E17" s="46" t="n"/>
      <c r="F17" s="46" t="n"/>
      <c r="G17" s="46" t="n"/>
    </row>
    <row r="18">
      <c r="B18" s="10"/>
      <c r="C18" s="11" t="s">
        <v>597</v>
      </c>
      <c r="D18" s="9"/>
      <c r="E18" s="47" t="n"/>
      <c r="F18" s="47" t="n"/>
      <c r="G18" s="47" t="n"/>
    </row>
    <row r="19">
      <c r="B19" s="10"/>
      <c r="C19" s="14" t="s">
        <v>598</v>
      </c>
      <c r="D19" s="13"/>
      <c r="E19" s="46" t="n"/>
      <c r="F19" s="46" t="n"/>
      <c r="G19" s="46" t="n"/>
    </row>
    <row r="20">
      <c r="B20" s="10"/>
      <c r="C20" s="7" t="s">
        <v>599</v>
      </c>
      <c r="D20" s="9"/>
      <c r="E20" s="23"/>
      <c r="F20" s="23"/>
      <c r="G20" s="23"/>
    </row>
    <row r="21">
      <c r="B21" s="10"/>
      <c r="C21" s="10"/>
      <c r="D21" s="19" t="s">
        <v>600</v>
      </c>
      <c r="E21" s="46" t="n"/>
      <c r="F21" s="46" t="n"/>
      <c r="G21" s="46" t="n"/>
    </row>
    <row r="22">
      <c r="B22" s="10"/>
      <c r="C22" s="10"/>
      <c r="D22" s="18" t="s">
        <v>601</v>
      </c>
      <c r="E22" s="47" t="n"/>
      <c r="F22" s="47" t="n"/>
      <c r="G22" s="47" t="n"/>
    </row>
    <row r="23">
      <c r="B23" s="10"/>
      <c r="C23" s="10"/>
      <c r="D23" s="19" t="s">
        <v>602</v>
      </c>
      <c r="E23" s="46" t="n"/>
      <c r="F23" s="46" t="n"/>
      <c r="G23" s="46" t="n"/>
    </row>
    <row r="24">
      <c r="B24" s="10"/>
      <c r="C24" s="11"/>
      <c r="D24" s="51" t="s">
        <v>603</v>
      </c>
      <c r="E24" s="47" t="n">
        <f>SUM(E21:E23)</f>
      </c>
      <c r="F24" s="47" t="n">
        <f>SUM(F21:F23)</f>
      </c>
      <c r="G24" s="47" t="n">
        <f>SUM(G21:G23)</f>
      </c>
    </row>
    <row r="25">
      <c r="B25" s="10"/>
      <c r="C25" s="14" t="s">
        <v>604</v>
      </c>
      <c r="D25" s="13"/>
      <c r="E25" s="46" t="n"/>
      <c r="F25" s="46" t="n"/>
      <c r="G25" s="46" t="n"/>
    </row>
    <row r="26">
      <c r="B26" s="10"/>
      <c r="C26" s="7" t="s">
        <v>605</v>
      </c>
      <c r="D26" s="9"/>
      <c r="E26" s="23"/>
      <c r="F26" s="23"/>
      <c r="G26" s="23"/>
    </row>
    <row r="27">
      <c r="B27" s="10"/>
      <c r="C27" s="10"/>
      <c r="D27" s="19" t="s">
        <v>606</v>
      </c>
      <c r="E27" s="46" t="n"/>
      <c r="F27" s="46" t="n"/>
      <c r="G27" s="46" t="n"/>
    </row>
    <row r="28">
      <c r="B28" s="10"/>
      <c r="C28" s="10"/>
      <c r="D28" s="18" t="s">
        <v>607</v>
      </c>
      <c r="E28" s="47" t="n"/>
      <c r="F28" s="47" t="n"/>
      <c r="G28" s="47" t="n"/>
    </row>
    <row r="29">
      <c r="B29" s="10"/>
      <c r="C29" s="10"/>
      <c r="D29" s="19" t="s">
        <v>608</v>
      </c>
      <c r="E29" s="46" t="n"/>
      <c r="F29" s="46" t="n"/>
      <c r="G29" s="46" t="n"/>
    </row>
    <row r="30">
      <c r="B30" s="10"/>
      <c r="C30" s="10"/>
      <c r="D30" s="18" t="s">
        <v>609</v>
      </c>
      <c r="E30" s="47" t="n"/>
      <c r="F30" s="47" t="n"/>
      <c r="G30" s="47" t="n"/>
    </row>
    <row r="31">
      <c r="B31" s="10"/>
      <c r="C31" s="10"/>
      <c r="D31" s="19" t="s">
        <v>610</v>
      </c>
      <c r="E31" s="46" t="n"/>
      <c r="F31" s="46" t="n"/>
      <c r="G31" s="46" t="n"/>
    </row>
    <row r="32">
      <c r="B32" s="10"/>
      <c r="C32" s="10"/>
      <c r="D32" s="18" t="s">
        <v>611</v>
      </c>
      <c r="E32" s="47" t="n"/>
      <c r="F32" s="47" t="n"/>
      <c r="G32" s="47" t="n"/>
    </row>
    <row r="33">
      <c r="B33" s="10"/>
      <c r="C33" s="11"/>
      <c r="D33" s="52" t="s">
        <v>612</v>
      </c>
      <c r="E33" s="46" t="n">
        <f>SUM(E27:E32)</f>
      </c>
      <c r="F33" s="46" t="n">
        <f>SUM(F27:F32)</f>
      </c>
      <c r="G33" s="46" t="n">
        <f>SUM(G27:G32)</f>
      </c>
    </row>
    <row r="34">
      <c r="B34" s="10"/>
      <c r="C34" s="11" t="s">
        <v>613</v>
      </c>
      <c r="D34" s="9"/>
      <c r="E34" s="47" t="n"/>
      <c r="F34" s="47" t="n"/>
      <c r="G34" s="47" t="n"/>
    </row>
    <row r="35">
      <c r="B35" s="10"/>
      <c r="C35" s="14" t="s">
        <v>614</v>
      </c>
      <c r="D35" s="13"/>
      <c r="E35" s="46" t="n"/>
      <c r="F35" s="46" t="n"/>
      <c r="G35" s="46" t="n"/>
    </row>
    <row r="36">
      <c r="B36" s="10"/>
      <c r="C36" s="7" t="s">
        <v>615</v>
      </c>
      <c r="D36" s="9"/>
      <c r="E36" s="23"/>
      <c r="F36" s="23"/>
      <c r="G36" s="23"/>
    </row>
    <row r="37">
      <c r="B37" s="10"/>
      <c r="C37" s="10"/>
      <c r="D37" s="19" t="s">
        <v>616</v>
      </c>
      <c r="E37" s="46" t="n"/>
      <c r="F37" s="46" t="n"/>
      <c r="G37" s="46" t="n"/>
    </row>
    <row r="38">
      <c r="B38" s="10"/>
      <c r="C38" s="10"/>
      <c r="D38" s="18" t="s">
        <v>617</v>
      </c>
      <c r="E38" s="47" t="n"/>
      <c r="F38" s="47" t="n"/>
      <c r="G38" s="47" t="n"/>
    </row>
    <row r="39">
      <c r="B39" s="10"/>
      <c r="C39" s="10"/>
      <c r="D39" s="19" t="s">
        <v>618</v>
      </c>
      <c r="E39" s="46" t="n"/>
      <c r="F39" s="46" t="n"/>
      <c r="G39" s="46" t="n"/>
    </row>
    <row r="40">
      <c r="B40" s="10"/>
      <c r="C40" s="10"/>
      <c r="D40" s="18" t="s">
        <v>619</v>
      </c>
      <c r="E40" s="47" t="n"/>
      <c r="F40" s="47" t="n"/>
      <c r="G40" s="47" t="n"/>
    </row>
    <row r="41">
      <c r="B41" s="10"/>
      <c r="C41" s="10"/>
      <c r="D41" s="19" t="s">
        <v>620</v>
      </c>
      <c r="E41" s="46" t="n"/>
      <c r="F41" s="46" t="n"/>
      <c r="G41" s="46" t="n"/>
    </row>
    <row r="42">
      <c r="B42" s="10"/>
      <c r="C42" s="10"/>
      <c r="D42" s="18" t="s">
        <v>621</v>
      </c>
      <c r="E42" s="47" t="n"/>
      <c r="F42" s="47" t="n"/>
      <c r="G42" s="47" t="n"/>
    </row>
    <row r="43">
      <c r="B43" s="10"/>
      <c r="C43" s="10"/>
      <c r="D43" s="19" t="s">
        <v>622</v>
      </c>
      <c r="E43" s="46" t="n"/>
      <c r="F43" s="46" t="n"/>
      <c r="G43" s="46" t="n"/>
    </row>
    <row r="44">
      <c r="B44" s="10"/>
      <c r="C44" s="10"/>
      <c r="D44" s="18" t="s">
        <v>623</v>
      </c>
      <c r="E44" s="47" t="n"/>
      <c r="F44" s="47" t="n"/>
      <c r="G44" s="47" t="n"/>
    </row>
    <row r="45">
      <c r="B45" s="10"/>
      <c r="C45" s="10"/>
      <c r="D45" s="19" t="s">
        <v>624</v>
      </c>
      <c r="E45" s="46" t="n"/>
      <c r="F45" s="46" t="n"/>
      <c r="G45" s="46" t="n"/>
    </row>
    <row r="46">
      <c r="B46" s="10"/>
      <c r="C46" s="10"/>
      <c r="D46" s="18" t="s">
        <v>625</v>
      </c>
      <c r="E46" s="47" t="n"/>
      <c r="F46" s="47" t="n"/>
      <c r="G46" s="47" t="n"/>
    </row>
    <row r="47">
      <c r="B47" s="10"/>
      <c r="C47" s="10"/>
      <c r="D47" s="19" t="s">
        <v>626</v>
      </c>
      <c r="E47" s="46" t="n"/>
      <c r="F47" s="46" t="n"/>
      <c r="G47" s="46" t="n"/>
    </row>
    <row r="48">
      <c r="B48" s="10"/>
      <c r="C48" s="10"/>
      <c r="D48" s="18" t="s">
        <v>627</v>
      </c>
      <c r="E48" s="47" t="n"/>
      <c r="F48" s="47" t="n"/>
      <c r="G48" s="47" t="n"/>
    </row>
    <row r="49">
      <c r="B49" s="10"/>
      <c r="C49" s="10"/>
      <c r="D49" s="19" t="s">
        <v>628</v>
      </c>
      <c r="E49" s="46" t="n"/>
      <c r="F49" s="46" t="n"/>
      <c r="G49" s="46" t="n"/>
    </row>
    <row r="50">
      <c r="B50" s="10"/>
      <c r="C50" s="11"/>
      <c r="D50" s="18" t="s">
        <v>629</v>
      </c>
      <c r="E50" s="47" t="n">
        <f>SUM(E37:E49)</f>
      </c>
      <c r="F50" s="47" t="n">
        <f>SUM(F37:F49)</f>
      </c>
      <c r="G50" s="47" t="n">
        <f>SUM(G37:G49)</f>
      </c>
    </row>
    <row r="51">
      <c r="B51" s="10"/>
      <c r="C51" s="16" t="s">
        <v>630</v>
      </c>
      <c r="D51" s="13"/>
      <c r="E51" s="22"/>
      <c r="F51" s="22"/>
      <c r="G51" s="22"/>
    </row>
    <row r="52">
      <c r="B52" s="10"/>
      <c r="C52" s="17"/>
      <c r="D52" s="18" t="s">
        <v>631</v>
      </c>
      <c r="E52" s="47" t="n"/>
      <c r="F52" s="47" t="n"/>
      <c r="G52" s="47" t="n"/>
    </row>
    <row r="53">
      <c r="B53" s="10"/>
      <c r="C53" s="17"/>
      <c r="D53" s="19" t="s">
        <v>632</v>
      </c>
      <c r="E53" s="46" t="n"/>
      <c r="F53" s="46" t="n"/>
      <c r="G53" s="46" t="n"/>
    </row>
    <row r="54">
      <c r="B54" s="10"/>
      <c r="C54" s="17"/>
      <c r="D54" s="18" t="s">
        <v>633</v>
      </c>
      <c r="E54" s="47" t="n"/>
      <c r="F54" s="47" t="n"/>
      <c r="G54" s="47" t="n"/>
    </row>
    <row r="55">
      <c r="B55" s="10"/>
      <c r="C55" s="17"/>
      <c r="D55" s="19" t="s">
        <v>634</v>
      </c>
      <c r="E55" s="46" t="n"/>
      <c r="F55" s="46" t="n"/>
      <c r="G55" s="46" t="n"/>
    </row>
    <row r="56">
      <c r="B56" s="10"/>
      <c r="C56" s="17"/>
      <c r="D56" s="18" t="s">
        <v>635</v>
      </c>
      <c r="E56" s="47" t="n"/>
      <c r="F56" s="47" t="n"/>
      <c r="G56" s="47" t="n"/>
    </row>
    <row r="57">
      <c r="B57" s="10"/>
      <c r="C57" s="17"/>
      <c r="D57" s="19" t="s">
        <v>636</v>
      </c>
      <c r="E57" s="46" t="n"/>
      <c r="F57" s="46" t="n"/>
      <c r="G57" s="46" t="n"/>
    </row>
    <row r="58">
      <c r="B58" s="10"/>
      <c r="C58" s="17"/>
      <c r="D58" s="18" t="s">
        <v>637</v>
      </c>
      <c r="E58" s="47" t="n"/>
      <c r="F58" s="47" t="n"/>
      <c r="G58" s="47" t="n"/>
    </row>
    <row r="59">
      <c r="B59" s="10"/>
      <c r="C59" s="17"/>
      <c r="D59" s="19" t="s">
        <v>638</v>
      </c>
      <c r="E59" s="46" t="n"/>
      <c r="F59" s="46" t="n"/>
      <c r="G59" s="46" t="n"/>
    </row>
    <row r="60">
      <c r="B60" s="10"/>
      <c r="C60" s="17"/>
      <c r="D60" s="18" t="s">
        <v>639</v>
      </c>
      <c r="E60" s="47" t="n"/>
      <c r="F60" s="47" t="n"/>
      <c r="G60" s="47" t="n"/>
    </row>
    <row r="61">
      <c r="B61" s="10"/>
      <c r="C61" s="17"/>
      <c r="D61" s="19" t="s">
        <v>640</v>
      </c>
      <c r="E61" s="46" t="n"/>
      <c r="F61" s="46" t="n"/>
      <c r="G61" s="46" t="n"/>
    </row>
    <row r="62">
      <c r="B62" s="10"/>
      <c r="C62" s="17"/>
      <c r="D62" s="18" t="s">
        <v>641</v>
      </c>
      <c r="E62" s="47" t="n"/>
      <c r="F62" s="47" t="n"/>
      <c r="G62" s="47" t="n"/>
    </row>
    <row r="63">
      <c r="B63" s="10"/>
      <c r="C63" s="14"/>
      <c r="D63" s="52" t="s">
        <v>642</v>
      </c>
      <c r="E63" s="46" t="n">
        <f>SUM(E52:E62)</f>
      </c>
      <c r="F63" s="46" t="n">
        <f>SUM(F52:F62)</f>
      </c>
      <c r="G63" s="46" t="n">
        <f>SUM(G52:G62)</f>
      </c>
    </row>
    <row r="64">
      <c r="B64" s="10"/>
      <c r="C64" s="7" t="s">
        <v>643</v>
      </c>
      <c r="D64" s="9"/>
      <c r="E64" s="23"/>
      <c r="F64" s="23"/>
      <c r="G64" s="23"/>
    </row>
    <row r="65">
      <c r="B65" s="10"/>
      <c r="C65" s="10"/>
      <c r="D65" s="19" t="s">
        <v>644</v>
      </c>
      <c r="E65" s="46" t="n"/>
      <c r="F65" s="46" t="n"/>
      <c r="G65" s="46" t="n"/>
    </row>
    <row r="66">
      <c r="B66" s="10"/>
      <c r="C66" s="10"/>
      <c r="D66" s="18" t="s">
        <v>645</v>
      </c>
      <c r="E66" s="47" t="n"/>
      <c r="F66" s="47" t="n"/>
      <c r="G66" s="47" t="n"/>
    </row>
    <row r="67">
      <c r="B67" s="10"/>
      <c r="C67" s="10"/>
      <c r="D67" s="19" t="s">
        <v>646</v>
      </c>
      <c r="E67" s="46" t="n"/>
      <c r="F67" s="46" t="n"/>
      <c r="G67" s="46" t="n"/>
    </row>
    <row r="68">
      <c r="B68" s="10"/>
      <c r="C68" s="10"/>
      <c r="D68" s="18" t="s">
        <v>647</v>
      </c>
      <c r="E68" s="47" t="n"/>
      <c r="F68" s="47" t="n"/>
      <c r="G68" s="47" t="n"/>
    </row>
    <row r="69">
      <c r="B69" s="10"/>
      <c r="C69" s="10"/>
      <c r="D69" s="19" t="s">
        <v>648</v>
      </c>
      <c r="E69" s="46" t="n"/>
      <c r="F69" s="46" t="n"/>
      <c r="G69" s="46" t="n"/>
    </row>
    <row r="70">
      <c r="B70" s="10"/>
      <c r="C70" s="10"/>
      <c r="D70" s="18" t="s">
        <v>649</v>
      </c>
      <c r="E70" s="47" t="n"/>
      <c r="F70" s="47" t="n"/>
      <c r="G70" s="47" t="n"/>
    </row>
    <row r="71">
      <c r="B71" s="10"/>
      <c r="C71" s="11"/>
      <c r="D71" s="52" t="s">
        <v>650</v>
      </c>
      <c r="E71" s="46" t="n">
        <f>SUM(E65:E70)</f>
      </c>
      <c r="F71" s="46" t="n">
        <f>SUM(F65:F70)</f>
      </c>
      <c r="G71" s="46" t="n">
        <f>SUM(G65:G70)</f>
      </c>
    </row>
    <row r="72">
      <c r="B72" s="10"/>
      <c r="C72" s="11" t="s">
        <v>651</v>
      </c>
      <c r="D72" s="9"/>
      <c r="E72" s="47" t="n"/>
      <c r="F72" s="47" t="n"/>
      <c r="G72" s="47" t="n"/>
    </row>
    <row r="73">
      <c r="B73" s="10"/>
      <c r="C73" s="14" t="s">
        <v>652</v>
      </c>
      <c r="D73" s="13"/>
      <c r="E73" s="46" t="n"/>
      <c r="F73" s="46" t="n"/>
      <c r="G73" s="46" t="n"/>
    </row>
    <row r="74">
      <c r="B74" s="10"/>
      <c r="C74" s="11" t="s">
        <v>653</v>
      </c>
      <c r="D74" s="9"/>
      <c r="E74" s="47" t="n"/>
      <c r="F74" s="47" t="n"/>
      <c r="G74" s="47" t="n"/>
    </row>
    <row r="75">
      <c r="B75" s="10"/>
      <c r="C75" s="14" t="s">
        <v>654</v>
      </c>
      <c r="D75" s="13"/>
      <c r="E75" s="46" t="n"/>
      <c r="F75" s="46" t="n"/>
      <c r="G75" s="46" t="n"/>
    </row>
    <row r="76">
      <c r="B76" s="10"/>
      <c r="C76" s="11" t="s">
        <v>655</v>
      </c>
      <c r="D76" s="9"/>
      <c r="E76" s="47" t="n"/>
      <c r="F76" s="47" t="n"/>
      <c r="G76" s="47" t="n"/>
    </row>
    <row r="77">
      <c r="B77" s="10"/>
      <c r="C77" s="14" t="s">
        <v>656</v>
      </c>
      <c r="D77" s="13"/>
      <c r="E77" s="46" t="n"/>
      <c r="F77" s="46" t="n"/>
      <c r="G77" s="46" t="n"/>
    </row>
    <row r="78">
      <c r="B78" s="10"/>
      <c r="C78" s="11" t="s">
        <v>657</v>
      </c>
      <c r="D78" s="9"/>
      <c r="E78" s="47" t="n"/>
      <c r="F78" s="47" t="n"/>
      <c r="G78" s="47" t="n"/>
    </row>
    <row r="79">
      <c r="B79" s="10"/>
      <c r="C79" s="14" t="s">
        <v>658</v>
      </c>
      <c r="D79" s="13"/>
      <c r="E79" s="46" t="n"/>
      <c r="F79" s="46" t="n"/>
      <c r="G79" s="46" t="n"/>
    </row>
    <row r="80">
      <c r="B80" s="10"/>
      <c r="C80" s="11" t="s">
        <v>659</v>
      </c>
      <c r="D80" s="9"/>
      <c r="E80" s="47" t="n"/>
      <c r="F80" s="47" t="n"/>
      <c r="G80" s="47" t="n"/>
    </row>
    <row r="81">
      <c r="B81" s="10"/>
      <c r="C81" s="14" t="s">
        <v>660</v>
      </c>
      <c r="D81" s="13"/>
      <c r="E81" s="46" t="n"/>
      <c r="F81" s="46" t="n"/>
      <c r="G81" s="46" t="n"/>
    </row>
    <row r="82">
      <c r="B82" s="11"/>
      <c r="C82" s="45" t="s">
        <v>661</v>
      </c>
      <c r="D82" s="44"/>
      <c r="E82" s="53" t="n">
        <f>SUM(E13:E19)+E24+E25+SUM(E33:E35)+E50+E63+SUM(E71:E81)</f>
      </c>
      <c r="F82" s="53" t="n">
        <f>SUM(F13:F19)+F24+F25+SUM(F33:F35)+F50+F63+SUM(F71:F81)</f>
      </c>
      <c r="G82" s="53" t="n">
        <f>SUM(G13:G19)+G24+G25+SUM(G33:G35)+G50+G63+SUM(G71:G81)</f>
      </c>
    </row>
  </sheetData>
  <mergeCells>
    <mergeCell ref="E10:G10"/>
    <mergeCell ref="B12:D12"/>
    <mergeCell ref="C13:D13"/>
    <mergeCell ref="C14:D14"/>
    <mergeCell ref="C15:D15"/>
    <mergeCell ref="C16:D16"/>
    <mergeCell ref="C17:D17"/>
    <mergeCell ref="C18:D18"/>
    <mergeCell ref="C19:D19"/>
    <mergeCell ref="C20:D20"/>
    <mergeCell ref="C25:D25"/>
    <mergeCell ref="C26:D26"/>
    <mergeCell ref="C34:D34"/>
    <mergeCell ref="C35:D35"/>
    <mergeCell ref="C36:D36"/>
    <mergeCell ref="C51:D51"/>
    <mergeCell ref="C64:D64"/>
    <mergeCell ref="C72:D72"/>
    <mergeCell ref="C73:D73"/>
    <mergeCell ref="C74:D74"/>
    <mergeCell ref="C75:D75"/>
    <mergeCell ref="C76:D76"/>
    <mergeCell ref="C77:D77"/>
    <mergeCell ref="C78:D78"/>
    <mergeCell ref="C79:D79"/>
    <mergeCell ref="C80:D80"/>
    <mergeCell ref="C81:D81"/>
    <mergeCell ref="C82:D82"/>
  </mergeCells>
  <hyperlinks>
    <hyperlink location="'Indice'!A1" ref="B2"/>
  </hyperlinks>
  <pageMargins bottom="0.75" footer="0.3" header="0.3" left="0.7" right="0.7" top="0.75"/>
</worksheet>
</file>

<file path=xl/worksheets/sheet21.xml><?xml version="1.0" encoding="utf-8"?>
<worksheet xmlns="http://schemas.openxmlformats.org/spreadsheetml/2006/main">
  <dimension ref="B2:AI84"/>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s>
  <sheetData>
    <row r="2">
      <c r="B2" t="s" s="2">
        <v>1</v>
      </c>
    </row>
    <row r="3">
      <c r="B3" t="s" s="1">
        <v>3</v>
      </c>
      <c r="C3" t="s">
        <v>4</v>
      </c>
    </row>
    <row r="4">
      <c r="B4" s="1" t="s">
        <v>5</v>
      </c>
      <c r="C4" t="s">
        <v>6</v>
      </c>
    </row>
    <row r="5">
      <c r="B5" t="s" s="1">
        <v>7</v>
      </c>
      <c r="C5" t="s">
        <v>668</v>
      </c>
    </row>
    <row r="6">
      <c r="B6" t="s" s="1">
        <v>8</v>
      </c>
      <c r="C6" t="s">
        <v>9</v>
      </c>
    </row>
    <row r="7">
      <c r="B7" t="s" s="1">
        <v>10</v>
      </c>
      <c r="C7" t="s">
        <v>9</v>
      </c>
    </row>
    <row r="8">
      <c r="B8" t="s" s="1">
        <v>11</v>
      </c>
      <c r="C8" t="s">
        <v>12</v>
      </c>
    </row>
    <row r="10">
      <c r="E10" t="s" s="4">
        <v>41</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30"/>
    </row>
    <row r="11">
      <c r="E11" t="s" s="32">
        <v>669</v>
      </c>
      <c r="F11" s="59"/>
      <c r="G11" s="59"/>
      <c r="H11" s="59"/>
      <c r="I11" s="59"/>
      <c r="J11" s="59"/>
      <c r="K11" s="59"/>
      <c r="L11" s="59"/>
      <c r="M11" s="59"/>
      <c r="N11" s="59"/>
      <c r="O11" s="59"/>
      <c r="P11" s="59"/>
      <c r="Q11" s="59"/>
      <c r="R11" s="59"/>
      <c r="S11" s="60"/>
      <c r="T11" t="s" s="4">
        <v>684</v>
      </c>
      <c r="U11" s="29"/>
      <c r="V11" s="29"/>
      <c r="W11" s="29"/>
      <c r="X11" s="29"/>
      <c r="Y11" s="29"/>
      <c r="Z11" s="29"/>
      <c r="AA11" s="29"/>
      <c r="AB11" s="29"/>
      <c r="AC11" s="29"/>
      <c r="AD11" s="29"/>
      <c r="AE11" s="30"/>
      <c r="AF11" t="s" s="5">
        <v>693</v>
      </c>
      <c r="AG11" t="s" s="33">
        <v>694</v>
      </c>
      <c r="AH11" s="56"/>
    </row>
    <row r="12">
      <c r="E12" t="s" s="4">
        <v>670</v>
      </c>
      <c r="F12" s="29"/>
      <c r="G12" s="30"/>
      <c r="H12" t="s" s="32">
        <v>673</v>
      </c>
      <c r="I12" s="59"/>
      <c r="J12" s="60"/>
      <c r="K12" t="s" s="4">
        <v>676</v>
      </c>
      <c r="L12" s="29"/>
      <c r="M12" s="30"/>
      <c r="N12" t="s" s="32">
        <v>679</v>
      </c>
      <c r="O12" s="59"/>
      <c r="P12" s="60"/>
      <c r="Q12" t="s" s="5">
        <v>682</v>
      </c>
      <c r="R12" t="s" s="33">
        <v>683</v>
      </c>
      <c r="S12" s="54"/>
      <c r="T12" t="s" s="32">
        <v>670</v>
      </c>
      <c r="U12" s="59"/>
      <c r="V12" s="60"/>
      <c r="W12" t="s" s="4">
        <v>676</v>
      </c>
      <c r="X12" s="29"/>
      <c r="Y12" s="30"/>
      <c r="Z12" t="s" s="32">
        <v>679</v>
      </c>
      <c r="AA12" s="59"/>
      <c r="AB12" s="60"/>
      <c r="AC12" t="s" s="5">
        <v>691</v>
      </c>
      <c r="AD12" t="s" s="33">
        <v>692</v>
      </c>
      <c r="AE12" s="31"/>
      <c r="AF12" s="31"/>
      <c r="AG12" s="54"/>
      <c r="AH12" s="56"/>
    </row>
    <row r="13" ht="28.0" customHeight="true">
      <c r="E13" t="s" s="34">
        <v>671</v>
      </c>
      <c r="F13" t="s" s="6">
        <v>672</v>
      </c>
      <c r="G13" s="35"/>
      <c r="H13" t="s" s="6">
        <v>674</v>
      </c>
      <c r="I13" t="s" s="34">
        <v>675</v>
      </c>
      <c r="J13" s="55"/>
      <c r="K13" t="s" s="34">
        <v>677</v>
      </c>
      <c r="L13" t="s" s="6">
        <v>678</v>
      </c>
      <c r="M13" s="35"/>
      <c r="N13" t="s" s="6">
        <v>680</v>
      </c>
      <c r="O13" t="s" s="34">
        <v>681</v>
      </c>
      <c r="P13" s="55"/>
      <c r="Q13" s="35"/>
      <c r="R13" s="55"/>
      <c r="S13" s="55"/>
      <c r="T13" t="s" s="6">
        <v>685</v>
      </c>
      <c r="U13" t="s" s="34">
        <v>686</v>
      </c>
      <c r="V13" s="55"/>
      <c r="W13" t="s" s="34">
        <v>687</v>
      </c>
      <c r="X13" t="s" s="6">
        <v>688</v>
      </c>
      <c r="Y13" s="35"/>
      <c r="Z13" t="s" s="6">
        <v>689</v>
      </c>
      <c r="AA13" t="s" s="34">
        <v>690</v>
      </c>
      <c r="AB13" s="55"/>
      <c r="AC13" s="35"/>
      <c r="AD13" s="55"/>
      <c r="AE13" s="35"/>
      <c r="AF13" s="35"/>
      <c r="AG13" s="55"/>
      <c r="AH13" s="36"/>
    </row>
    <row r="14">
      <c r="B14" s="7" t="s">
        <v>591</v>
      </c>
      <c r="C14" s="8"/>
      <c r="D14" s="9"/>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c r="B15" s="10"/>
      <c r="C15" s="14" t="s">
        <v>592</v>
      </c>
      <c r="D15" s="13"/>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row>
    <row r="16">
      <c r="B16" s="10"/>
      <c r="C16" s="11" t="s">
        <v>593</v>
      </c>
      <c r="D16" s="9"/>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row>
    <row r="17">
      <c r="B17" s="10"/>
      <c r="C17" s="14" t="s">
        <v>594</v>
      </c>
      <c r="D17" s="13"/>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E17" s="46" t="n"/>
      <c r="AF17" s="46" t="n"/>
      <c r="AG17" s="46" t="n"/>
      <c r="AH17" s="46" t="n"/>
    </row>
    <row r="18">
      <c r="B18" s="10"/>
      <c r="C18" s="11" t="s">
        <v>595</v>
      </c>
      <c r="D18" s="9"/>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row>
    <row r="19">
      <c r="B19" s="10"/>
      <c r="C19" s="14" t="s">
        <v>596</v>
      </c>
      <c r="D19" s="13"/>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c r="AG19" s="46" t="n"/>
      <c r="AH19" s="46" t="n"/>
    </row>
    <row r="20">
      <c r="B20" s="10"/>
      <c r="C20" s="11" t="s">
        <v>597</v>
      </c>
      <c r="D20" s="9"/>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row>
    <row r="21">
      <c r="B21" s="10"/>
      <c r="C21" s="14" t="s">
        <v>598</v>
      </c>
      <c r="D21" s="13"/>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row>
    <row r="22">
      <c r="B22" s="10"/>
      <c r="C22" s="7" t="s">
        <v>599</v>
      </c>
      <c r="D22" s="9"/>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B23" s="10"/>
      <c r="C23" s="10"/>
      <c r="D23" s="19" t="s">
        <v>600</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row>
    <row r="24">
      <c r="B24" s="10"/>
      <c r="C24" s="10"/>
      <c r="D24" s="18" t="s">
        <v>601</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row>
    <row r="25">
      <c r="B25" s="10"/>
      <c r="C25" s="10"/>
      <c r="D25" s="19" t="s">
        <v>602</v>
      </c>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row>
    <row r="26">
      <c r="B26" s="10"/>
      <c r="C26" s="11"/>
      <c r="D26" s="51" t="s">
        <v>603</v>
      </c>
      <c r="E26" s="47" t="n">
        <f>SUM(E23:E25)</f>
      </c>
      <c r="F26" s="47" t="n">
        <f>SUM(F23:F25)</f>
      </c>
      <c r="G26" s="47" t="n">
        <f>SUM(G23:G25)</f>
      </c>
      <c r="H26" s="47" t="n">
        <f>SUM(H23:H25)</f>
      </c>
      <c r="I26" s="47" t="n">
        <f>SUM(I23:I25)</f>
      </c>
      <c r="J26" s="47" t="n">
        <f>SUM(J23:J25)</f>
      </c>
      <c r="K26" s="47" t="n">
        <f>SUM(K23:K25)</f>
      </c>
      <c r="L26" s="47" t="n">
        <f>SUM(L23:L25)</f>
      </c>
      <c r="M26" s="47" t="n">
        <f>SUM(M23:M25)</f>
      </c>
      <c r="N26" s="47" t="n">
        <f>SUM(N23:N25)</f>
      </c>
      <c r="O26" s="47" t="n">
        <f>SUM(O23:O25)</f>
      </c>
      <c r="P26" s="47" t="n">
        <f>SUM(P23:P25)</f>
      </c>
      <c r="Q26" s="47" t="n">
        <f>SUM(Q23:Q25)</f>
      </c>
      <c r="R26" s="47" t="n">
        <f>SUM(R23:R25)</f>
      </c>
      <c r="S26" s="47" t="n">
        <f>SUM(S23:S25)</f>
      </c>
      <c r="T26" s="47" t="n">
        <f>SUM(T23:T25)</f>
      </c>
      <c r="U26" s="47" t="n">
        <f>SUM(U23:U25)</f>
      </c>
      <c r="V26" s="47" t="n">
        <f>SUM(V23:V25)</f>
      </c>
      <c r="W26" s="47" t="n">
        <f>SUM(W23:W25)</f>
      </c>
      <c r="X26" s="47" t="n">
        <f>SUM(X23:X25)</f>
      </c>
      <c r="Y26" s="47" t="n">
        <f>SUM(Y23:Y25)</f>
      </c>
      <c r="Z26" s="47" t="n">
        <f>SUM(Z23:Z25)</f>
      </c>
      <c r="AA26" s="47" t="n">
        <f>SUM(AA23:AA25)</f>
      </c>
      <c r="AB26" s="47" t="n">
        <f>SUM(AB23:AB25)</f>
      </c>
      <c r="AC26" s="47" t="n">
        <f>SUM(AC23:AC25)</f>
      </c>
      <c r="AD26" s="47" t="n">
        <f>SUM(AD23:AD25)</f>
      </c>
      <c r="AE26" s="47" t="n">
        <f>SUM(AE23:AE25)</f>
      </c>
      <c r="AF26" s="47" t="n">
        <f>SUM(AF23:AF25)</f>
      </c>
      <c r="AG26" s="47" t="n">
        <f>SUM(AG23:AG25)</f>
      </c>
      <c r="AH26" s="47" t="n">
        <f>SUM(AH23:AH25)</f>
      </c>
    </row>
    <row r="27">
      <c r="B27" s="10"/>
      <c r="C27" s="14" t="s">
        <v>604</v>
      </c>
      <c r="D27" s="13"/>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row>
    <row r="28">
      <c r="B28" s="10"/>
      <c r="C28" s="7" t="s">
        <v>605</v>
      </c>
      <c r="D28" s="9"/>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B29" s="10"/>
      <c r="C29" s="10"/>
      <c r="D29" s="19" t="s">
        <v>606</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row>
    <row r="30">
      <c r="B30" s="10"/>
      <c r="C30" s="10"/>
      <c r="D30" s="18" t="s">
        <v>607</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row>
    <row r="31">
      <c r="B31" s="10"/>
      <c r="C31" s="10"/>
      <c r="D31" s="19" t="s">
        <v>608</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row>
    <row r="32">
      <c r="B32" s="10"/>
      <c r="C32" s="10"/>
      <c r="D32" s="18" t="s">
        <v>609</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row>
    <row r="33">
      <c r="B33" s="10"/>
      <c r="C33" s="10"/>
      <c r="D33" s="19" t="s">
        <v>610</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row>
    <row r="34">
      <c r="B34" s="10"/>
      <c r="C34" s="10"/>
      <c r="D34" s="18" t="s">
        <v>611</v>
      </c>
      <c r="E34" s="47" t="n"/>
      <c r="F34" s="47" t="n"/>
      <c r="G34" s="47" t="n"/>
      <c r="H34" s="47" t="n"/>
      <c r="I34" s="47" t="n"/>
      <c r="J34" s="47" t="n"/>
      <c r="K34" s="47" t="n"/>
      <c r="L34" s="47"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row>
    <row r="35">
      <c r="B35" s="10"/>
      <c r="C35" s="11"/>
      <c r="D35" s="52" t="s">
        <v>612</v>
      </c>
      <c r="E35" s="46" t="n">
        <f>SUM(E29:E34)</f>
      </c>
      <c r="F35" s="46" t="n">
        <f>SUM(F29:F34)</f>
      </c>
      <c r="G35" s="46" t="n">
        <f>SUM(G29:G34)</f>
      </c>
      <c r="H35" s="46" t="n">
        <f>SUM(H29:H34)</f>
      </c>
      <c r="I35" s="46" t="n">
        <f>SUM(I29:I34)</f>
      </c>
      <c r="J35" s="46" t="n">
        <f>SUM(J29:J34)</f>
      </c>
      <c r="K35" s="46" t="n">
        <f>SUM(K29:K34)</f>
      </c>
      <c r="L35" s="46" t="n">
        <f>SUM(L29:L34)</f>
      </c>
      <c r="M35" s="46" t="n">
        <f>SUM(M29:M34)</f>
      </c>
      <c r="N35" s="46" t="n">
        <f>SUM(N29:N34)</f>
      </c>
      <c r="O35" s="46" t="n">
        <f>SUM(O29:O34)</f>
      </c>
      <c r="P35" s="46" t="n">
        <f>SUM(P29:P34)</f>
      </c>
      <c r="Q35" s="46" t="n">
        <f>SUM(Q29:Q34)</f>
      </c>
      <c r="R35" s="46" t="n">
        <f>SUM(R29:R34)</f>
      </c>
      <c r="S35" s="46" t="n">
        <f>SUM(S29:S34)</f>
      </c>
      <c r="T35" s="46" t="n">
        <f>SUM(T29:T34)</f>
      </c>
      <c r="U35" s="46" t="n">
        <f>SUM(U29:U34)</f>
      </c>
      <c r="V35" s="46" t="n">
        <f>SUM(V29:V34)</f>
      </c>
      <c r="W35" s="46" t="n">
        <f>SUM(W29:W34)</f>
      </c>
      <c r="X35" s="46" t="n">
        <f>SUM(X29:X34)</f>
      </c>
      <c r="Y35" s="46" t="n">
        <f>SUM(Y29:Y34)</f>
      </c>
      <c r="Z35" s="46" t="n">
        <f>SUM(Z29:Z34)</f>
      </c>
      <c r="AA35" s="46" t="n">
        <f>SUM(AA29:AA34)</f>
      </c>
      <c r="AB35" s="46" t="n">
        <f>SUM(AB29:AB34)</f>
      </c>
      <c r="AC35" s="46" t="n">
        <f>SUM(AC29:AC34)</f>
      </c>
      <c r="AD35" s="46" t="n">
        <f>SUM(AD29:AD34)</f>
      </c>
      <c r="AE35" s="46" t="n">
        <f>SUM(AE29:AE34)</f>
      </c>
      <c r="AF35" s="46" t="n">
        <f>SUM(AF29:AF34)</f>
      </c>
      <c r="AG35" s="46" t="n">
        <f>SUM(AG29:AG34)</f>
      </c>
      <c r="AH35" s="46" t="n">
        <f>SUM(AH29:AH34)</f>
      </c>
    </row>
    <row r="36">
      <c r="B36" s="10"/>
      <c r="C36" s="11" t="s">
        <v>613</v>
      </c>
      <c r="D36" s="9"/>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row>
    <row r="37">
      <c r="B37" s="10"/>
      <c r="C37" s="14" t="s">
        <v>614</v>
      </c>
      <c r="D37" s="13"/>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c r="AA37" s="46" t="n"/>
      <c r="AB37" s="46" t="n"/>
      <c r="AC37" s="46" t="n"/>
      <c r="AD37" s="46" t="n"/>
      <c r="AE37" s="46" t="n"/>
      <c r="AF37" s="46" t="n"/>
      <c r="AG37" s="46" t="n"/>
      <c r="AH37" s="46" t="n"/>
    </row>
    <row r="38">
      <c r="B38" s="10"/>
      <c r="C38" s="7" t="s">
        <v>615</v>
      </c>
      <c r="D38" s="9"/>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c r="B39" s="10"/>
      <c r="C39" s="10"/>
      <c r="D39" s="19" t="s">
        <v>616</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row>
    <row r="40">
      <c r="B40" s="10"/>
      <c r="C40" s="10"/>
      <c r="D40" s="18" t="s">
        <v>617</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c r="Z40" s="47" t="n"/>
      <c r="AA40" s="47" t="n"/>
      <c r="AB40" s="47" t="n"/>
      <c r="AC40" s="47" t="n"/>
      <c r="AD40" s="47" t="n"/>
      <c r="AE40" s="47" t="n"/>
      <c r="AF40" s="47" t="n"/>
      <c r="AG40" s="47" t="n"/>
      <c r="AH40" s="47" t="n"/>
    </row>
    <row r="41">
      <c r="B41" s="10"/>
      <c r="C41" s="10"/>
      <c r="D41" s="19" t="s">
        <v>618</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c r="AD41" s="46" t="n"/>
      <c r="AE41" s="46" t="n"/>
      <c r="AF41" s="46" t="n"/>
      <c r="AG41" s="46" t="n"/>
      <c r="AH41" s="46" t="n"/>
    </row>
    <row r="42">
      <c r="B42" s="10"/>
      <c r="C42" s="10"/>
      <c r="D42" s="18" t="s">
        <v>619</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c r="Z42" s="47" t="n"/>
      <c r="AA42" s="47" t="n"/>
      <c r="AB42" s="47" t="n"/>
      <c r="AC42" s="47" t="n"/>
      <c r="AD42" s="47" t="n"/>
      <c r="AE42" s="47" t="n"/>
      <c r="AF42" s="47" t="n"/>
      <c r="AG42" s="47" t="n"/>
      <c r="AH42" s="47" t="n"/>
    </row>
    <row r="43">
      <c r="B43" s="10"/>
      <c r="C43" s="10"/>
      <c r="D43" s="19" t="s">
        <v>620</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c r="AA43" s="46" t="n"/>
      <c r="AB43" s="46" t="n"/>
      <c r="AC43" s="46" t="n"/>
      <c r="AD43" s="46" t="n"/>
      <c r="AE43" s="46" t="n"/>
      <c r="AF43" s="46" t="n"/>
      <c r="AG43" s="46" t="n"/>
      <c r="AH43" s="46" t="n"/>
    </row>
    <row r="44">
      <c r="B44" s="10"/>
      <c r="C44" s="10"/>
      <c r="D44" s="18" t="s">
        <v>621</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c r="Z44" s="47" t="n"/>
      <c r="AA44" s="47" t="n"/>
      <c r="AB44" s="47" t="n"/>
      <c r="AC44" s="47" t="n"/>
      <c r="AD44" s="47" t="n"/>
      <c r="AE44" s="47" t="n"/>
      <c r="AF44" s="47" t="n"/>
      <c r="AG44" s="47" t="n"/>
      <c r="AH44" s="47" t="n"/>
    </row>
    <row r="45">
      <c r="B45" s="10"/>
      <c r="C45" s="10"/>
      <c r="D45" s="19" t="s">
        <v>622</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row>
    <row r="46">
      <c r="B46" s="10"/>
      <c r="C46" s="10"/>
      <c r="D46" s="18" t="s">
        <v>623</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c r="Z46" s="47" t="n"/>
      <c r="AA46" s="47" t="n"/>
      <c r="AB46" s="47" t="n"/>
      <c r="AC46" s="47" t="n"/>
      <c r="AD46" s="47" t="n"/>
      <c r="AE46" s="47" t="n"/>
      <c r="AF46" s="47" t="n"/>
      <c r="AG46" s="47" t="n"/>
      <c r="AH46" s="47" t="n"/>
    </row>
    <row r="47">
      <c r="B47" s="10"/>
      <c r="C47" s="10"/>
      <c r="D47" s="19" t="s">
        <v>624</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c r="AA47" s="46" t="n"/>
      <c r="AB47" s="46" t="n"/>
      <c r="AC47" s="46" t="n"/>
      <c r="AD47" s="46" t="n"/>
      <c r="AE47" s="46" t="n"/>
      <c r="AF47" s="46" t="n"/>
      <c r="AG47" s="46" t="n"/>
      <c r="AH47" s="46" t="n"/>
    </row>
    <row r="48">
      <c r="B48" s="10"/>
      <c r="C48" s="10"/>
      <c r="D48" s="18" t="s">
        <v>625</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c r="Z48" s="47" t="n"/>
      <c r="AA48" s="47" t="n"/>
      <c r="AB48" s="47" t="n"/>
      <c r="AC48" s="47" t="n"/>
      <c r="AD48" s="47" t="n"/>
      <c r="AE48" s="47" t="n"/>
      <c r="AF48" s="47" t="n"/>
      <c r="AG48" s="47" t="n"/>
      <c r="AH48" s="47" t="n"/>
    </row>
    <row r="49">
      <c r="B49" s="10"/>
      <c r="C49" s="10"/>
      <c r="D49" s="19" t="s">
        <v>626</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c r="AD49" s="46" t="n"/>
      <c r="AE49" s="46" t="n"/>
      <c r="AF49" s="46" t="n"/>
      <c r="AG49" s="46" t="n"/>
      <c r="AH49" s="46" t="n"/>
    </row>
    <row r="50">
      <c r="B50" s="10"/>
      <c r="C50" s="10"/>
      <c r="D50" s="18" t="s">
        <v>627</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row>
    <row r="51">
      <c r="B51" s="10"/>
      <c r="C51" s="10"/>
      <c r="D51" s="19" t="s">
        <v>628</v>
      </c>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c r="AG51" s="46" t="n"/>
      <c r="AH51" s="46" t="n"/>
    </row>
    <row r="52">
      <c r="B52" s="10"/>
      <c r="C52" s="11"/>
      <c r="D52" s="18" t="s">
        <v>629</v>
      </c>
      <c r="E52" s="47" t="n">
        <f>SUM(E39:E51)</f>
      </c>
      <c r="F52" s="47" t="n">
        <f>SUM(F39:F51)</f>
      </c>
      <c r="G52" s="47" t="n">
        <f>SUM(G39:G51)</f>
      </c>
      <c r="H52" s="47" t="n">
        <f>SUM(H39:H51)</f>
      </c>
      <c r="I52" s="47" t="n">
        <f>SUM(I39:I51)</f>
      </c>
      <c r="J52" s="47" t="n">
        <f>SUM(J39:J51)</f>
      </c>
      <c r="K52" s="47" t="n">
        <f>SUM(K39:K51)</f>
      </c>
      <c r="L52" s="47" t="n">
        <f>SUM(L39:L51)</f>
      </c>
      <c r="M52" s="47" t="n">
        <f>SUM(M39:M51)</f>
      </c>
      <c r="N52" s="47" t="n">
        <f>SUM(N39:N51)</f>
      </c>
      <c r="O52" s="47" t="n">
        <f>SUM(O39:O51)</f>
      </c>
      <c r="P52" s="47" t="n">
        <f>SUM(P39:P51)</f>
      </c>
      <c r="Q52" s="47" t="n">
        <f>SUM(Q39:Q51)</f>
      </c>
      <c r="R52" s="47" t="n">
        <f>SUM(R39:R51)</f>
      </c>
      <c r="S52" s="47" t="n">
        <f>SUM(S39:S51)</f>
      </c>
      <c r="T52" s="47" t="n">
        <f>SUM(T39:T51)</f>
      </c>
      <c r="U52" s="47" t="n">
        <f>SUM(U39:U51)</f>
      </c>
      <c r="V52" s="47" t="n">
        <f>SUM(V39:V51)</f>
      </c>
      <c r="W52" s="47" t="n">
        <f>SUM(W39:W51)</f>
      </c>
      <c r="X52" s="47" t="n">
        <f>SUM(X39:X51)</f>
      </c>
      <c r="Y52" s="47" t="n">
        <f>SUM(Y39:Y51)</f>
      </c>
      <c r="Z52" s="47" t="n">
        <f>SUM(Z39:Z51)</f>
      </c>
      <c r="AA52" s="47" t="n">
        <f>SUM(AA39:AA51)</f>
      </c>
      <c r="AB52" s="47" t="n">
        <f>SUM(AB39:AB51)</f>
      </c>
      <c r="AC52" s="47" t="n">
        <f>SUM(AC39:AC51)</f>
      </c>
      <c r="AD52" s="47" t="n">
        <f>SUM(AD39:AD51)</f>
      </c>
      <c r="AE52" s="47" t="n">
        <f>SUM(AE39:AE51)</f>
      </c>
      <c r="AF52" s="47" t="n">
        <f>SUM(AF39:AF51)</f>
      </c>
      <c r="AG52" s="47" t="n">
        <f>SUM(AG39:AG51)</f>
      </c>
      <c r="AH52" s="47" t="n">
        <f>SUM(AH39:AH51)</f>
      </c>
    </row>
    <row r="53">
      <c r="B53" s="10"/>
      <c r="C53" s="16" t="s">
        <v>630</v>
      </c>
      <c r="D53" s="13"/>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row>
    <row r="54">
      <c r="B54" s="10"/>
      <c r="C54" s="17"/>
      <c r="D54" s="18" t="s">
        <v>631</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c r="Z54" s="47" t="n"/>
      <c r="AA54" s="47" t="n"/>
      <c r="AB54" s="47" t="n"/>
      <c r="AC54" s="47" t="n"/>
      <c r="AD54" s="47" t="n"/>
      <c r="AE54" s="47" t="n"/>
      <c r="AF54" s="47" t="n"/>
      <c r="AG54" s="47" t="n"/>
      <c r="AH54" s="47" t="n"/>
    </row>
    <row r="55">
      <c r="B55" s="10"/>
      <c r="C55" s="17"/>
      <c r="D55" s="19" t="s">
        <v>632</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c r="AD55" s="46" t="n"/>
      <c r="AE55" s="46" t="n"/>
      <c r="AF55" s="46" t="n"/>
      <c r="AG55" s="46" t="n"/>
      <c r="AH55" s="46" t="n"/>
    </row>
    <row r="56">
      <c r="B56" s="10"/>
      <c r="C56" s="17"/>
      <c r="D56" s="18" t="s">
        <v>633</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c r="Z56" s="47" t="n"/>
      <c r="AA56" s="47" t="n"/>
      <c r="AB56" s="47" t="n"/>
      <c r="AC56" s="47" t="n"/>
      <c r="AD56" s="47" t="n"/>
      <c r="AE56" s="47" t="n"/>
      <c r="AF56" s="47" t="n"/>
      <c r="AG56" s="47" t="n"/>
      <c r="AH56" s="47" t="n"/>
    </row>
    <row r="57">
      <c r="B57" s="10"/>
      <c r="C57" s="17"/>
      <c r="D57" s="19" t="s">
        <v>634</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c r="AD57" s="46" t="n"/>
      <c r="AE57" s="46" t="n"/>
      <c r="AF57" s="46" t="n"/>
      <c r="AG57" s="46" t="n"/>
      <c r="AH57" s="46" t="n"/>
    </row>
    <row r="58">
      <c r="B58" s="10"/>
      <c r="C58" s="17"/>
      <c r="D58" s="18" t="s">
        <v>635</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c r="Z58" s="47" t="n"/>
      <c r="AA58" s="47" t="n"/>
      <c r="AB58" s="47" t="n"/>
      <c r="AC58" s="47" t="n"/>
      <c r="AD58" s="47" t="n"/>
      <c r="AE58" s="47" t="n"/>
      <c r="AF58" s="47" t="n"/>
      <c r="AG58" s="47" t="n"/>
      <c r="AH58" s="47" t="n"/>
    </row>
    <row r="59">
      <c r="B59" s="10"/>
      <c r="C59" s="17"/>
      <c r="D59" s="19" t="s">
        <v>636</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c r="AD59" s="46" t="n"/>
      <c r="AE59" s="46" t="n"/>
      <c r="AF59" s="46" t="n"/>
      <c r="AG59" s="46" t="n"/>
      <c r="AH59" s="46" t="n"/>
    </row>
    <row r="60">
      <c r="B60" s="10"/>
      <c r="C60" s="17"/>
      <c r="D60" s="18" t="s">
        <v>637</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c r="Z60" s="47" t="n"/>
      <c r="AA60" s="47" t="n"/>
      <c r="AB60" s="47" t="n"/>
      <c r="AC60" s="47" t="n"/>
      <c r="AD60" s="47" t="n"/>
      <c r="AE60" s="47" t="n"/>
      <c r="AF60" s="47" t="n"/>
      <c r="AG60" s="47" t="n"/>
      <c r="AH60" s="47" t="n"/>
    </row>
    <row r="61">
      <c r="B61" s="10"/>
      <c r="C61" s="17"/>
      <c r="D61" s="19" t="s">
        <v>638</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c r="AD61" s="46" t="n"/>
      <c r="AE61" s="46" t="n"/>
      <c r="AF61" s="46" t="n"/>
      <c r="AG61" s="46" t="n"/>
      <c r="AH61" s="46" t="n"/>
    </row>
    <row r="62">
      <c r="B62" s="10"/>
      <c r="C62" s="17"/>
      <c r="D62" s="18" t="s">
        <v>639</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row>
    <row r="63">
      <c r="B63" s="10"/>
      <c r="C63" s="17"/>
      <c r="D63" s="19" t="s">
        <v>640</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c r="AD63" s="46" t="n"/>
      <c r="AE63" s="46" t="n"/>
      <c r="AF63" s="46" t="n"/>
      <c r="AG63" s="46" t="n"/>
      <c r="AH63" s="46" t="n"/>
    </row>
    <row r="64">
      <c r="B64" s="10"/>
      <c r="C64" s="17"/>
      <c r="D64" s="18" t="s">
        <v>641</v>
      </c>
      <c r="E64" s="47" t="n"/>
      <c r="F64" s="47" t="n"/>
      <c r="G64" s="47" t="n"/>
      <c r="H64" s="47" t="n"/>
      <c r="I64" s="47" t="n"/>
      <c r="J64" s="47" t="n"/>
      <c r="K64" s="47" t="n"/>
      <c r="L64" s="47" t="n"/>
      <c r="M64" s="47" t="n"/>
      <c r="N64" s="47" t="n"/>
      <c r="O64" s="47" t="n"/>
      <c r="P64" s="47" t="n"/>
      <c r="Q64" s="47" t="n"/>
      <c r="R64" s="47" t="n"/>
      <c r="S64" s="47" t="n"/>
      <c r="T64" s="47" t="n"/>
      <c r="U64" s="47" t="n"/>
      <c r="V64" s="47" t="n"/>
      <c r="W64" s="47" t="n"/>
      <c r="X64" s="47" t="n"/>
      <c r="Y64" s="47" t="n"/>
      <c r="Z64" s="47" t="n"/>
      <c r="AA64" s="47" t="n"/>
      <c r="AB64" s="47" t="n"/>
      <c r="AC64" s="47" t="n"/>
      <c r="AD64" s="47" t="n"/>
      <c r="AE64" s="47" t="n"/>
      <c r="AF64" s="47" t="n"/>
      <c r="AG64" s="47" t="n"/>
      <c r="AH64" s="47" t="n"/>
    </row>
    <row r="65">
      <c r="B65" s="10"/>
      <c r="C65" s="14"/>
      <c r="D65" s="52" t="s">
        <v>642</v>
      </c>
      <c r="E65" s="46" t="n">
        <f>SUM(E54:E64)</f>
      </c>
      <c r="F65" s="46" t="n">
        <f>SUM(F54:F64)</f>
      </c>
      <c r="G65" s="46" t="n">
        <f>SUM(G54:G64)</f>
      </c>
      <c r="H65" s="46" t="n">
        <f>SUM(H54:H64)</f>
      </c>
      <c r="I65" s="46" t="n">
        <f>SUM(I54:I64)</f>
      </c>
      <c r="J65" s="46" t="n">
        <f>SUM(J54:J64)</f>
      </c>
      <c r="K65" s="46" t="n">
        <f>SUM(K54:K64)</f>
      </c>
      <c r="L65" s="46" t="n">
        <f>SUM(L54:L64)</f>
      </c>
      <c r="M65" s="46" t="n">
        <f>SUM(M54:M64)</f>
      </c>
      <c r="N65" s="46" t="n">
        <f>SUM(N54:N64)</f>
      </c>
      <c r="O65" s="46" t="n">
        <f>SUM(O54:O64)</f>
      </c>
      <c r="P65" s="46" t="n">
        <f>SUM(P54:P64)</f>
      </c>
      <c r="Q65" s="46" t="n">
        <f>SUM(Q54:Q64)</f>
      </c>
      <c r="R65" s="46" t="n">
        <f>SUM(R54:R64)</f>
      </c>
      <c r="S65" s="46" t="n">
        <f>SUM(S54:S64)</f>
      </c>
      <c r="T65" s="46" t="n">
        <f>SUM(T54:T64)</f>
      </c>
      <c r="U65" s="46" t="n">
        <f>SUM(U54:U64)</f>
      </c>
      <c r="V65" s="46" t="n">
        <f>SUM(V54:V64)</f>
      </c>
      <c r="W65" s="46" t="n">
        <f>SUM(W54:W64)</f>
      </c>
      <c r="X65" s="46" t="n">
        <f>SUM(X54:X64)</f>
      </c>
      <c r="Y65" s="46" t="n">
        <f>SUM(Y54:Y64)</f>
      </c>
      <c r="Z65" s="46" t="n">
        <f>SUM(Z54:Z64)</f>
      </c>
      <c r="AA65" s="46" t="n">
        <f>SUM(AA54:AA64)</f>
      </c>
      <c r="AB65" s="46" t="n">
        <f>SUM(AB54:AB64)</f>
      </c>
      <c r="AC65" s="46" t="n">
        <f>SUM(AC54:AC64)</f>
      </c>
      <c r="AD65" s="46" t="n">
        <f>SUM(AD54:AD64)</f>
      </c>
      <c r="AE65" s="46" t="n">
        <f>SUM(AE54:AE64)</f>
      </c>
      <c r="AF65" s="46" t="n">
        <f>SUM(AF54:AF64)</f>
      </c>
      <c r="AG65" s="46" t="n">
        <f>SUM(AG54:AG64)</f>
      </c>
      <c r="AH65" s="46" t="n">
        <f>SUM(AH54:AH64)</f>
      </c>
    </row>
    <row r="66">
      <c r="B66" s="10"/>
      <c r="C66" s="7" t="s">
        <v>643</v>
      </c>
      <c r="D66" s="9"/>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row>
    <row r="67">
      <c r="B67" s="10"/>
      <c r="C67" s="10"/>
      <c r="D67" s="19" t="s">
        <v>644</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c r="AD67" s="46" t="n"/>
      <c r="AE67" s="46" t="n"/>
      <c r="AF67" s="46" t="n"/>
      <c r="AG67" s="46" t="n"/>
      <c r="AH67" s="46" t="n"/>
    </row>
    <row r="68">
      <c r="B68" s="10"/>
      <c r="C68" s="10"/>
      <c r="D68" s="18" t="s">
        <v>645</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c r="Z68" s="47" t="n"/>
      <c r="AA68" s="47" t="n"/>
      <c r="AB68" s="47" t="n"/>
      <c r="AC68" s="47" t="n"/>
      <c r="AD68" s="47" t="n"/>
      <c r="AE68" s="47" t="n"/>
      <c r="AF68" s="47" t="n"/>
      <c r="AG68" s="47" t="n"/>
      <c r="AH68" s="47" t="n"/>
    </row>
    <row r="69">
      <c r="B69" s="10"/>
      <c r="C69" s="10"/>
      <c r="D69" s="19" t="s">
        <v>646</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c r="AD69" s="46" t="n"/>
      <c r="AE69" s="46" t="n"/>
      <c r="AF69" s="46" t="n"/>
      <c r="AG69" s="46" t="n"/>
      <c r="AH69" s="46" t="n"/>
    </row>
    <row r="70">
      <c r="B70" s="10"/>
      <c r="C70" s="10"/>
      <c r="D70" s="18" t="s">
        <v>647</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c r="Z70" s="47" t="n"/>
      <c r="AA70" s="47" t="n"/>
      <c r="AB70" s="47" t="n"/>
      <c r="AC70" s="47" t="n"/>
      <c r="AD70" s="47" t="n"/>
      <c r="AE70" s="47" t="n"/>
      <c r="AF70" s="47" t="n"/>
      <c r="AG70" s="47" t="n"/>
      <c r="AH70" s="47" t="n"/>
    </row>
    <row r="71">
      <c r="B71" s="10"/>
      <c r="C71" s="10"/>
      <c r="D71" s="19" t="s">
        <v>648</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c r="AD71" s="46" t="n"/>
      <c r="AE71" s="46" t="n"/>
      <c r="AF71" s="46" t="n"/>
      <c r="AG71" s="46" t="n"/>
      <c r="AH71" s="46" t="n"/>
    </row>
    <row r="72">
      <c r="B72" s="10"/>
      <c r="C72" s="10"/>
      <c r="D72" s="18" t="s">
        <v>649</v>
      </c>
      <c r="E72" s="47" t="n"/>
      <c r="F72" s="47" t="n"/>
      <c r="G72" s="47" t="n"/>
      <c r="H72" s="47" t="n"/>
      <c r="I72" s="47" t="n"/>
      <c r="J72" s="47" t="n"/>
      <c r="K72" s="47" t="n"/>
      <c r="L72" s="47" t="n"/>
      <c r="M72" s="47" t="n"/>
      <c r="N72" s="47" t="n"/>
      <c r="O72" s="47" t="n"/>
      <c r="P72" s="47" t="n"/>
      <c r="Q72" s="47" t="n"/>
      <c r="R72" s="47" t="n"/>
      <c r="S72" s="47" t="n"/>
      <c r="T72" s="47" t="n"/>
      <c r="U72" s="47" t="n"/>
      <c r="V72" s="47" t="n"/>
      <c r="W72" s="47" t="n"/>
      <c r="X72" s="47" t="n"/>
      <c r="Y72" s="47" t="n"/>
      <c r="Z72" s="47" t="n"/>
      <c r="AA72" s="47" t="n"/>
      <c r="AB72" s="47" t="n"/>
      <c r="AC72" s="47" t="n"/>
      <c r="AD72" s="47" t="n"/>
      <c r="AE72" s="47" t="n"/>
      <c r="AF72" s="47" t="n"/>
      <c r="AG72" s="47" t="n"/>
      <c r="AH72" s="47" t="n"/>
    </row>
    <row r="73">
      <c r="B73" s="10"/>
      <c r="C73" s="11"/>
      <c r="D73" s="52" t="s">
        <v>650</v>
      </c>
      <c r="E73" s="46" t="n">
        <f>SUM(E67:E72)</f>
      </c>
      <c r="F73" s="46" t="n">
        <f>SUM(F67:F72)</f>
      </c>
      <c r="G73" s="46" t="n">
        <f>SUM(G67:G72)</f>
      </c>
      <c r="H73" s="46" t="n">
        <f>SUM(H67:H72)</f>
      </c>
      <c r="I73" s="46" t="n">
        <f>SUM(I67:I72)</f>
      </c>
      <c r="J73" s="46" t="n">
        <f>SUM(J67:J72)</f>
      </c>
      <c r="K73" s="46" t="n">
        <f>SUM(K67:K72)</f>
      </c>
      <c r="L73" s="46" t="n">
        <f>SUM(L67:L72)</f>
      </c>
      <c r="M73" s="46" t="n">
        <f>SUM(M67:M72)</f>
      </c>
      <c r="N73" s="46" t="n">
        <f>SUM(N67:N72)</f>
      </c>
      <c r="O73" s="46" t="n">
        <f>SUM(O67:O72)</f>
      </c>
      <c r="P73" s="46" t="n">
        <f>SUM(P67:P72)</f>
      </c>
      <c r="Q73" s="46" t="n">
        <f>SUM(Q67:Q72)</f>
      </c>
      <c r="R73" s="46" t="n">
        <f>SUM(R67:R72)</f>
      </c>
      <c r="S73" s="46" t="n">
        <f>SUM(S67:S72)</f>
      </c>
      <c r="T73" s="46" t="n">
        <f>SUM(T67:T72)</f>
      </c>
      <c r="U73" s="46" t="n">
        <f>SUM(U67:U72)</f>
      </c>
      <c r="V73" s="46" t="n">
        <f>SUM(V67:V72)</f>
      </c>
      <c r="W73" s="46" t="n">
        <f>SUM(W67:W72)</f>
      </c>
      <c r="X73" s="46" t="n">
        <f>SUM(X67:X72)</f>
      </c>
      <c r="Y73" s="46" t="n">
        <f>SUM(Y67:Y72)</f>
      </c>
      <c r="Z73" s="46" t="n">
        <f>SUM(Z67:Z72)</f>
      </c>
      <c r="AA73" s="46" t="n">
        <f>SUM(AA67:AA72)</f>
      </c>
      <c r="AB73" s="46" t="n">
        <f>SUM(AB67:AB72)</f>
      </c>
      <c r="AC73" s="46" t="n">
        <f>SUM(AC67:AC72)</f>
      </c>
      <c r="AD73" s="46" t="n">
        <f>SUM(AD67:AD72)</f>
      </c>
      <c r="AE73" s="46" t="n">
        <f>SUM(AE67:AE72)</f>
      </c>
      <c r="AF73" s="46" t="n">
        <f>SUM(AF67:AF72)</f>
      </c>
      <c r="AG73" s="46" t="n">
        <f>SUM(AG67:AG72)</f>
      </c>
      <c r="AH73" s="46" t="n">
        <f>SUM(AH67:AH72)</f>
      </c>
    </row>
    <row r="74">
      <c r="B74" s="10"/>
      <c r="C74" s="11" t="s">
        <v>651</v>
      </c>
      <c r="D74" s="9"/>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c r="Z74" s="47" t="n"/>
      <c r="AA74" s="47" t="n"/>
      <c r="AB74" s="47" t="n"/>
      <c r="AC74" s="47" t="n"/>
      <c r="AD74" s="47" t="n"/>
      <c r="AE74" s="47" t="n"/>
      <c r="AF74" s="47" t="n"/>
      <c r="AG74" s="47" t="n"/>
      <c r="AH74" s="47" t="n"/>
    </row>
    <row r="75">
      <c r="B75" s="10"/>
      <c r="C75" s="14" t="s">
        <v>652</v>
      </c>
      <c r="D75" s="13"/>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c r="AD75" s="46" t="n"/>
      <c r="AE75" s="46" t="n"/>
      <c r="AF75" s="46" t="n"/>
      <c r="AG75" s="46" t="n"/>
      <c r="AH75" s="46" t="n"/>
    </row>
    <row r="76">
      <c r="B76" s="10"/>
      <c r="C76" s="11" t="s">
        <v>653</v>
      </c>
      <c r="D76" s="9"/>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c r="Z76" s="47" t="n"/>
      <c r="AA76" s="47" t="n"/>
      <c r="AB76" s="47" t="n"/>
      <c r="AC76" s="47" t="n"/>
      <c r="AD76" s="47" t="n"/>
      <c r="AE76" s="47" t="n"/>
      <c r="AF76" s="47" t="n"/>
      <c r="AG76" s="47" t="n"/>
      <c r="AH76" s="47" t="n"/>
    </row>
    <row r="77">
      <c r="B77" s="10"/>
      <c r="C77" s="14" t="s">
        <v>654</v>
      </c>
      <c r="D77" s="13"/>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c r="AD77" s="46" t="n"/>
      <c r="AE77" s="46" t="n"/>
      <c r="AF77" s="46" t="n"/>
      <c r="AG77" s="46" t="n"/>
      <c r="AH77" s="46" t="n"/>
    </row>
    <row r="78">
      <c r="B78" s="10"/>
      <c r="C78" s="11" t="s">
        <v>655</v>
      </c>
      <c r="D78" s="9"/>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c r="Z78" s="47" t="n"/>
      <c r="AA78" s="47" t="n"/>
      <c r="AB78" s="47" t="n"/>
      <c r="AC78" s="47" t="n"/>
      <c r="AD78" s="47" t="n"/>
      <c r="AE78" s="47" t="n"/>
      <c r="AF78" s="47" t="n"/>
      <c r="AG78" s="47" t="n"/>
      <c r="AH78" s="47" t="n"/>
    </row>
    <row r="79">
      <c r="B79" s="10"/>
      <c r="C79" s="14" t="s">
        <v>656</v>
      </c>
      <c r="D79" s="13"/>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c r="AD79" s="46" t="n"/>
      <c r="AE79" s="46" t="n"/>
      <c r="AF79" s="46" t="n"/>
      <c r="AG79" s="46" t="n"/>
      <c r="AH79" s="46" t="n"/>
    </row>
    <row r="80">
      <c r="B80" s="10"/>
      <c r="C80" s="11" t="s">
        <v>657</v>
      </c>
      <c r="D80" s="9"/>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c r="Z80" s="47" t="n"/>
      <c r="AA80" s="47" t="n"/>
      <c r="AB80" s="47" t="n"/>
      <c r="AC80" s="47" t="n"/>
      <c r="AD80" s="47" t="n"/>
      <c r="AE80" s="47" t="n"/>
      <c r="AF80" s="47" t="n"/>
      <c r="AG80" s="47" t="n"/>
      <c r="AH80" s="47" t="n"/>
    </row>
    <row r="81">
      <c r="B81" s="10"/>
      <c r="C81" s="14" t="s">
        <v>658</v>
      </c>
      <c r="D81" s="13"/>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c r="AD81" s="46" t="n"/>
      <c r="AE81" s="46" t="n"/>
      <c r="AF81" s="46" t="n"/>
      <c r="AG81" s="46" t="n"/>
      <c r="AH81" s="46" t="n"/>
    </row>
    <row r="82">
      <c r="B82" s="10"/>
      <c r="C82" s="11" t="s">
        <v>659</v>
      </c>
      <c r="D82" s="9"/>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row>
    <row r="83">
      <c r="B83" s="10"/>
      <c r="C83" s="14" t="s">
        <v>660</v>
      </c>
      <c r="D83" s="13"/>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c r="AD83" s="46" t="n"/>
      <c r="AE83" s="46" t="n"/>
      <c r="AF83" s="46" t="n"/>
      <c r="AG83" s="46" t="n"/>
      <c r="AH83" s="46" t="n"/>
    </row>
    <row r="84">
      <c r="B84" s="11"/>
      <c r="C84" s="45" t="s">
        <v>661</v>
      </c>
      <c r="D84" s="44"/>
      <c r="E84" s="53" t="n">
        <f>SUM(E15:E21)+E26+E27+SUM(E35:E37)+E52+E65+SUM(E73:E83)</f>
      </c>
      <c r="F84" s="53" t="n">
        <f>SUM(F15:F21)+F26+F27+SUM(F35:F37)+F52+F65+SUM(F73:F83)</f>
      </c>
      <c r="G84" s="53" t="n">
        <f>SUM(G15:G21)+G26+G27+SUM(G35:G37)+G52+G65+SUM(G73:G83)</f>
      </c>
      <c r="H84" s="53" t="n">
        <f>SUM(H15:H21)+H26+H27+SUM(H35:H37)+H52+H65+SUM(H73:H83)</f>
      </c>
      <c r="I84" s="53" t="n">
        <f>SUM(I15:I21)+I26+I27+SUM(I35:I37)+I52+I65+SUM(I73:I83)</f>
      </c>
      <c r="J84" s="53" t="n">
        <f>SUM(J15:J21)+J26+J27+SUM(J35:J37)+J52+J65+SUM(J73:J83)</f>
      </c>
      <c r="K84" s="53" t="n">
        <f>SUM(K15:K21)+K26+K27+SUM(K35:K37)+K52+K65+SUM(K73:K83)</f>
      </c>
      <c r="L84" s="53" t="n">
        <f>SUM(L15:L21)+L26+L27+SUM(L35:L37)+L52+L65+SUM(L73:L83)</f>
      </c>
      <c r="M84" s="53" t="n">
        <f>SUM(M15:M21)+M26+M27+SUM(M35:M37)+M52+M65+SUM(M73:M83)</f>
      </c>
      <c r="N84" s="53" t="n">
        <f>SUM(N15:N21)+N26+N27+SUM(N35:N37)+N52+N65+SUM(N73:N83)</f>
      </c>
      <c r="O84" s="53" t="n">
        <f>SUM(O15:O21)+O26+O27+SUM(O35:O37)+O52+O65+SUM(O73:O83)</f>
      </c>
      <c r="P84" s="53" t="n">
        <f>SUM(P15:P21)+P26+P27+SUM(P35:P37)+P52+P65+SUM(P73:P83)</f>
      </c>
      <c r="Q84" s="53" t="n">
        <f>SUM(Q15:Q21)+Q26+Q27+SUM(Q35:Q37)+Q52+Q65+SUM(Q73:Q83)</f>
      </c>
      <c r="R84" s="53" t="n">
        <f>SUM(R15:R21)+R26+R27+SUM(R35:R37)+R52+R65+SUM(R73:R83)</f>
      </c>
      <c r="S84" s="53" t="n">
        <f>SUM(S15:S21)+S26+S27+SUM(S35:S37)+S52+S65+SUM(S73:S83)</f>
      </c>
      <c r="T84" s="53" t="n">
        <f>SUM(T15:T21)+T26+T27+SUM(T35:T37)+T52+T65+SUM(T73:T83)</f>
      </c>
      <c r="U84" s="53" t="n">
        <f>SUM(U15:U21)+U26+U27+SUM(U35:U37)+U52+U65+SUM(U73:U83)</f>
      </c>
      <c r="V84" s="53" t="n">
        <f>SUM(V15:V21)+V26+V27+SUM(V35:V37)+V52+V65+SUM(V73:V83)</f>
      </c>
      <c r="W84" s="53" t="n">
        <f>SUM(W15:W21)+W26+W27+SUM(W35:W37)+W52+W65+SUM(W73:W83)</f>
      </c>
      <c r="X84" s="53" t="n">
        <f>SUM(X15:X21)+X26+X27+SUM(X35:X37)+X52+X65+SUM(X73:X83)</f>
      </c>
      <c r="Y84" s="53" t="n">
        <f>SUM(Y15:Y21)+Y26+Y27+SUM(Y35:Y37)+Y52+Y65+SUM(Y73:Y83)</f>
      </c>
      <c r="Z84" s="53" t="n">
        <f>SUM(Z15:Z21)+Z26+Z27+SUM(Z35:Z37)+Z52+Z65+SUM(Z73:Z83)</f>
      </c>
      <c r="AA84" s="53" t="n">
        <f>SUM(AA15:AA21)+AA26+AA27+SUM(AA35:AA37)+AA52+AA65+SUM(AA73:AA83)</f>
      </c>
      <c r="AB84" s="53" t="n">
        <f>SUM(AB15:AB21)+AB26+AB27+SUM(AB35:AB37)+AB52+AB65+SUM(AB73:AB83)</f>
      </c>
      <c r="AC84" s="53" t="n">
        <f>SUM(AC15:AC21)+AC26+AC27+SUM(AC35:AC37)+AC52+AC65+SUM(AC73:AC83)</f>
      </c>
      <c r="AD84" s="53" t="n">
        <f>SUM(AD15:AD21)+AD26+AD27+SUM(AD35:AD37)+AD52+AD65+SUM(AD73:AD83)</f>
      </c>
      <c r="AE84" s="53" t="n">
        <f>SUM(AE15:AE21)+AE26+AE27+SUM(AE35:AE37)+AE52+AE65+SUM(AE73:AE83)</f>
      </c>
      <c r="AF84" s="53" t="n">
        <f>SUM(AF15:AF21)+AF26+AF27+SUM(AF35:AF37)+AF52+AF65+SUM(AF73:AF83)</f>
      </c>
      <c r="AG84" s="53" t="n">
        <f>SUM(AG15:AG21)+AG26+AG27+SUM(AG35:AG37)+AG52+AG65+SUM(AG73:AG83)</f>
      </c>
      <c r="AH84" s="53" t="n">
        <f>SUM(AH15:AH21)+AH26+AH27+SUM(AH35:AH37)+AH52+AH65+SUM(AH73:AH83)</f>
      </c>
    </row>
  </sheetData>
  <mergeCells>
    <mergeCell ref="E10:AH10"/>
    <mergeCell ref="E11:S11"/>
    <mergeCell ref="E12:G12"/>
    <mergeCell ref="H12:J12"/>
    <mergeCell ref="K12:M12"/>
    <mergeCell ref="N12:P12"/>
    <mergeCell ref="Q12:Q13"/>
    <mergeCell ref="R12:R13"/>
    <mergeCell ref="T11:AE11"/>
    <mergeCell ref="T12:V12"/>
    <mergeCell ref="W12:Y12"/>
    <mergeCell ref="Z12:AB12"/>
    <mergeCell ref="AC12:AC13"/>
    <mergeCell ref="AD12:AD13"/>
    <mergeCell ref="AF11:AF13"/>
    <mergeCell ref="AG11:AG13"/>
    <mergeCell ref="B14:D14"/>
    <mergeCell ref="C15:D15"/>
    <mergeCell ref="C16:D16"/>
    <mergeCell ref="C17:D17"/>
    <mergeCell ref="C18:D18"/>
    <mergeCell ref="C19:D19"/>
    <mergeCell ref="C20:D20"/>
    <mergeCell ref="C21:D21"/>
    <mergeCell ref="C22:D22"/>
    <mergeCell ref="C27:D27"/>
    <mergeCell ref="C28:D28"/>
    <mergeCell ref="C36:D36"/>
    <mergeCell ref="C37:D37"/>
    <mergeCell ref="C38:D38"/>
    <mergeCell ref="C53:D53"/>
    <mergeCell ref="C66:D66"/>
    <mergeCell ref="C74:D74"/>
    <mergeCell ref="C75:D75"/>
    <mergeCell ref="C76:D76"/>
    <mergeCell ref="C77:D77"/>
    <mergeCell ref="C78:D78"/>
    <mergeCell ref="C79:D79"/>
    <mergeCell ref="C80:D80"/>
    <mergeCell ref="C81:D81"/>
    <mergeCell ref="C82:D82"/>
    <mergeCell ref="C83:D83"/>
    <mergeCell ref="C84:D84"/>
  </mergeCells>
  <hyperlinks>
    <hyperlink location="'Indice'!A1" ref="B2"/>
  </hyperlinks>
  <pageMargins bottom="0.75" footer="0.3" header="0.3" left="0.7" right="0.7" top="0.75"/>
</worksheet>
</file>

<file path=xl/worksheets/sheet22.xml><?xml version="1.0" encoding="utf-8"?>
<worksheet xmlns="http://schemas.openxmlformats.org/spreadsheetml/2006/main">
  <dimension ref="B2:Z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s>
  <sheetData>
    <row r="2">
      <c r="B2" t="s" s="2">
        <v>1</v>
      </c>
    </row>
    <row r="3">
      <c r="B3" t="s" s="1">
        <v>3</v>
      </c>
      <c r="C3" t="s">
        <v>4</v>
      </c>
    </row>
    <row r="4">
      <c r="B4" s="1" t="s">
        <v>5</v>
      </c>
      <c r="C4" t="s">
        <v>6</v>
      </c>
    </row>
    <row r="5">
      <c r="B5" t="s" s="1">
        <v>7</v>
      </c>
      <c r="C5" t="s">
        <v>695</v>
      </c>
    </row>
    <row r="6">
      <c r="B6" t="s" s="1">
        <v>8</v>
      </c>
      <c r="C6" t="s">
        <v>9</v>
      </c>
    </row>
    <row r="7">
      <c r="B7" t="s" s="1">
        <v>10</v>
      </c>
      <c r="C7" t="s">
        <v>9</v>
      </c>
    </row>
    <row r="8">
      <c r="B8" t="s" s="1">
        <v>11</v>
      </c>
      <c r="C8" t="s">
        <v>12</v>
      </c>
    </row>
    <row r="10">
      <c r="E10" t="s" s="4">
        <v>42</v>
      </c>
      <c r="F10" s="29"/>
      <c r="G10" s="29"/>
      <c r="H10" s="29"/>
      <c r="I10" s="29"/>
      <c r="J10" s="29"/>
      <c r="K10" s="29"/>
      <c r="L10" s="29"/>
      <c r="M10" s="29"/>
      <c r="N10" s="29"/>
      <c r="O10" s="29"/>
      <c r="P10" s="29"/>
      <c r="Q10" s="29"/>
      <c r="R10" s="29"/>
      <c r="S10" s="29"/>
      <c r="T10" s="29"/>
      <c r="U10" s="29"/>
      <c r="V10" s="29"/>
      <c r="W10" s="29"/>
      <c r="X10" s="29"/>
      <c r="Y10" s="30"/>
    </row>
    <row r="11">
      <c r="E11" t="s" s="32">
        <v>696</v>
      </c>
      <c r="F11" s="59"/>
      <c r="G11" s="60"/>
      <c r="H11" t="s" s="4">
        <v>699</v>
      </c>
      <c r="I11" s="29"/>
      <c r="J11" s="30"/>
      <c r="K11" t="s" s="32">
        <v>676</v>
      </c>
      <c r="L11" s="59"/>
      <c r="M11" s="60"/>
      <c r="N11" t="s" s="4">
        <v>679</v>
      </c>
      <c r="O11" s="29"/>
      <c r="P11" s="30"/>
      <c r="Q11" t="s" s="32">
        <v>706</v>
      </c>
      <c r="R11" s="59"/>
      <c r="S11" s="60"/>
      <c r="T11" t="s" s="4">
        <v>709</v>
      </c>
      <c r="U11" s="29"/>
      <c r="V11" s="30"/>
      <c r="W11" t="s" s="33">
        <v>712</v>
      </c>
      <c r="X11" t="s" s="5">
        <v>713</v>
      </c>
      <c r="Y11" s="56"/>
    </row>
    <row r="12" ht="28.0" customHeight="true">
      <c r="E12" t="s" s="6">
        <v>697</v>
      </c>
      <c r="F12" t="s" s="34">
        <v>698</v>
      </c>
      <c r="G12" s="55"/>
      <c r="H12" t="s" s="34">
        <v>700</v>
      </c>
      <c r="I12" t="s" s="6">
        <v>701</v>
      </c>
      <c r="J12" s="35"/>
      <c r="K12" t="s" s="6">
        <v>702</v>
      </c>
      <c r="L12" t="s" s="34">
        <v>703</v>
      </c>
      <c r="M12" s="55"/>
      <c r="N12" t="s" s="34">
        <v>704</v>
      </c>
      <c r="O12" t="s" s="6">
        <v>705</v>
      </c>
      <c r="P12" s="35"/>
      <c r="Q12" t="s" s="6">
        <v>707</v>
      </c>
      <c r="R12" t="s" s="34">
        <v>708</v>
      </c>
      <c r="S12" s="55"/>
      <c r="T12" t="s" s="34">
        <v>710</v>
      </c>
      <c r="U12" t="s" s="6">
        <v>711</v>
      </c>
      <c r="V12" s="35"/>
      <c r="W12" s="55"/>
      <c r="X12" s="35"/>
      <c r="Y12" s="36"/>
    </row>
    <row r="13">
      <c r="B13" s="7" t="s">
        <v>591</v>
      </c>
      <c r="C13" s="8"/>
      <c r="D13" s="9"/>
      <c r="E13" s="22"/>
      <c r="F13" s="22"/>
      <c r="G13" s="22"/>
      <c r="H13" s="22"/>
      <c r="I13" s="22"/>
      <c r="J13" s="22"/>
      <c r="K13" s="22"/>
      <c r="L13" s="22"/>
      <c r="M13" s="22"/>
      <c r="N13" s="22"/>
      <c r="O13" s="22"/>
      <c r="P13" s="22"/>
      <c r="Q13" s="22"/>
      <c r="R13" s="22"/>
      <c r="S13" s="22"/>
      <c r="T13" s="22"/>
      <c r="U13" s="22"/>
      <c r="V13" s="22"/>
      <c r="W13" s="22"/>
      <c r="X13" s="22"/>
      <c r="Y13" s="22"/>
    </row>
    <row r="14">
      <c r="B14" s="10"/>
      <c r="C14" s="14" t="s">
        <v>592</v>
      </c>
      <c r="D14" s="13"/>
      <c r="E14" s="47" t="n"/>
      <c r="F14" s="47" t="n"/>
      <c r="G14" s="47" t="n"/>
      <c r="H14" s="47" t="n"/>
      <c r="I14" s="47" t="n"/>
      <c r="J14" s="47" t="n"/>
      <c r="K14" s="47" t="n"/>
      <c r="L14" s="47" t="n"/>
      <c r="M14" s="47" t="n"/>
      <c r="N14" s="47" t="n"/>
      <c r="O14" s="47" t="n"/>
      <c r="P14" s="47" t="n"/>
      <c r="Q14" s="47" t="n"/>
      <c r="R14" s="47" t="n"/>
      <c r="S14" s="47" t="n"/>
      <c r="T14" s="47" t="n"/>
      <c r="U14" s="47" t="n"/>
      <c r="V14" s="47" t="n"/>
      <c r="W14" s="47" t="n"/>
      <c r="X14" s="47" t="n"/>
      <c r="Y14" s="47" t="n"/>
    </row>
    <row r="15">
      <c r="B15" s="10"/>
      <c r="C15" s="11" t="s">
        <v>593</v>
      </c>
      <c r="D15" s="9"/>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row>
    <row r="16">
      <c r="B16" s="10"/>
      <c r="C16" s="14" t="s">
        <v>594</v>
      </c>
      <c r="D16" s="13"/>
      <c r="E16" s="47" t="n"/>
      <c r="F16" s="47" t="n"/>
      <c r="G16" s="47" t="n"/>
      <c r="H16" s="47" t="n"/>
      <c r="I16" s="47" t="n"/>
      <c r="J16" s="47" t="n"/>
      <c r="K16" s="47" t="n"/>
      <c r="L16" s="47" t="n"/>
      <c r="M16" s="47" t="n"/>
      <c r="N16" s="47" t="n"/>
      <c r="O16" s="47" t="n"/>
      <c r="P16" s="47" t="n"/>
      <c r="Q16" s="47" t="n"/>
      <c r="R16" s="47" t="n"/>
      <c r="S16" s="47" t="n"/>
      <c r="T16" s="47" t="n"/>
      <c r="U16" s="47" t="n"/>
      <c r="V16" s="47" t="n"/>
      <c r="W16" s="47" t="n"/>
      <c r="X16" s="47" t="n"/>
      <c r="Y16" s="47" t="n"/>
    </row>
    <row r="17">
      <c r="B17" s="10"/>
      <c r="C17" s="11" t="s">
        <v>595</v>
      </c>
      <c r="D17" s="9"/>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row>
    <row r="18">
      <c r="B18" s="10"/>
      <c r="C18" s="14" t="s">
        <v>596</v>
      </c>
      <c r="D18" s="13"/>
      <c r="E18" s="47" t="n"/>
      <c r="F18" s="47" t="n"/>
      <c r="G18" s="47" t="n"/>
      <c r="H18" s="47" t="n"/>
      <c r="I18" s="47" t="n"/>
      <c r="J18" s="47" t="n"/>
      <c r="K18" s="47" t="n"/>
      <c r="L18" s="47" t="n"/>
      <c r="M18" s="47" t="n"/>
      <c r="N18" s="47" t="n"/>
      <c r="O18" s="47" t="n"/>
      <c r="P18" s="47" t="n"/>
      <c r="Q18" s="47" t="n"/>
      <c r="R18" s="47" t="n"/>
      <c r="S18" s="47" t="n"/>
      <c r="T18" s="47" t="n"/>
      <c r="U18" s="47" t="n"/>
      <c r="V18" s="47" t="n"/>
      <c r="W18" s="47" t="n"/>
      <c r="X18" s="47" t="n"/>
      <c r="Y18" s="47" t="n"/>
    </row>
    <row r="19">
      <c r="B19" s="10"/>
      <c r="C19" s="11" t="s">
        <v>597</v>
      </c>
      <c r="D19" s="9"/>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row>
    <row r="20">
      <c r="B20" s="10"/>
      <c r="C20" s="14" t="s">
        <v>598</v>
      </c>
      <c r="D20" s="13"/>
      <c r="E20" s="47" t="n"/>
      <c r="F20" s="47" t="n"/>
      <c r="G20" s="47" t="n"/>
      <c r="H20" s="47" t="n"/>
      <c r="I20" s="47" t="n"/>
      <c r="J20" s="47" t="n"/>
      <c r="K20" s="47" t="n"/>
      <c r="L20" s="47" t="n"/>
      <c r="M20" s="47" t="n"/>
      <c r="N20" s="47" t="n"/>
      <c r="O20" s="47" t="n"/>
      <c r="P20" s="47" t="n"/>
      <c r="Q20" s="47" t="n"/>
      <c r="R20" s="47" t="n"/>
      <c r="S20" s="47" t="n"/>
      <c r="T20" s="47" t="n"/>
      <c r="U20" s="47" t="n"/>
      <c r="V20" s="47" t="n"/>
      <c r="W20" s="47" t="n"/>
      <c r="X20" s="47" t="n"/>
      <c r="Y20" s="47" t="n"/>
    </row>
    <row r="21">
      <c r="B21" s="10"/>
      <c r="C21" s="7" t="s">
        <v>599</v>
      </c>
      <c r="D21" s="9"/>
      <c r="E21" s="22"/>
      <c r="F21" s="22"/>
      <c r="G21" s="22"/>
      <c r="H21" s="22"/>
      <c r="I21" s="22"/>
      <c r="J21" s="22"/>
      <c r="K21" s="22"/>
      <c r="L21" s="22"/>
      <c r="M21" s="22"/>
      <c r="N21" s="22"/>
      <c r="O21" s="22"/>
      <c r="P21" s="22"/>
      <c r="Q21" s="22"/>
      <c r="R21" s="22"/>
      <c r="S21" s="22"/>
      <c r="T21" s="22"/>
      <c r="U21" s="22"/>
      <c r="V21" s="22"/>
      <c r="W21" s="22"/>
      <c r="X21" s="22"/>
      <c r="Y21" s="22"/>
    </row>
    <row r="22">
      <c r="B22" s="10"/>
      <c r="C22" s="10"/>
      <c r="D22" s="19" t="s">
        <v>600</v>
      </c>
      <c r="E22" s="47" t="n"/>
      <c r="F22" s="47" t="n"/>
      <c r="G22" s="47" t="n"/>
      <c r="H22" s="47" t="n"/>
      <c r="I22" s="47" t="n"/>
      <c r="J22" s="47" t="n"/>
      <c r="K22" s="47" t="n"/>
      <c r="L22" s="47" t="n"/>
      <c r="M22" s="47" t="n"/>
      <c r="N22" s="47" t="n"/>
      <c r="O22" s="47" t="n"/>
      <c r="P22" s="47" t="n"/>
      <c r="Q22" s="47" t="n"/>
      <c r="R22" s="47" t="n"/>
      <c r="S22" s="47" t="n"/>
      <c r="T22" s="47" t="n"/>
      <c r="U22" s="47" t="n"/>
      <c r="V22" s="47" t="n"/>
      <c r="W22" s="47" t="n"/>
      <c r="X22" s="47" t="n"/>
      <c r="Y22" s="47" t="n"/>
    </row>
    <row r="23">
      <c r="B23" s="10"/>
      <c r="C23" s="10"/>
      <c r="D23" s="18" t="s">
        <v>601</v>
      </c>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row>
    <row r="24">
      <c r="B24" s="10"/>
      <c r="C24" s="10"/>
      <c r="D24" s="19" t="s">
        <v>602</v>
      </c>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row>
    <row r="25">
      <c r="B25" s="10"/>
      <c r="C25" s="11"/>
      <c r="D25" s="51" t="s">
        <v>603</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c r="U25" s="46" t="n">
        <f>SUM(U22:U24)</f>
      </c>
      <c r="V25" s="46" t="n">
        <f>SUM(V22:V24)</f>
      </c>
      <c r="W25" s="46" t="n">
        <f>SUM(W22:W24)</f>
      </c>
      <c r="X25" s="46" t="n">
        <f>SUM(X22:X24)</f>
      </c>
      <c r="Y25" s="46" t="n">
        <f>SUM(Y22:Y24)</f>
      </c>
    </row>
    <row r="26">
      <c r="B26" s="10"/>
      <c r="C26" s="14" t="s">
        <v>604</v>
      </c>
      <c r="D26" s="13"/>
      <c r="E26" s="47" t="n"/>
      <c r="F26" s="47" t="n"/>
      <c r="G26" s="47" t="n"/>
      <c r="H26" s="47" t="n"/>
      <c r="I26" s="47" t="n"/>
      <c r="J26" s="47" t="n"/>
      <c r="K26" s="47" t="n"/>
      <c r="L26" s="47" t="n"/>
      <c r="M26" s="47" t="n"/>
      <c r="N26" s="47" t="n"/>
      <c r="O26" s="47" t="n"/>
      <c r="P26" s="47" t="n"/>
      <c r="Q26" s="47" t="n"/>
      <c r="R26" s="47" t="n"/>
      <c r="S26" s="47" t="n"/>
      <c r="T26" s="47" t="n"/>
      <c r="U26" s="47" t="n"/>
      <c r="V26" s="47" t="n"/>
      <c r="W26" s="47" t="n"/>
      <c r="X26" s="47" t="n"/>
      <c r="Y26" s="47" t="n"/>
    </row>
    <row r="27">
      <c r="B27" s="10"/>
      <c r="C27" s="7" t="s">
        <v>605</v>
      </c>
      <c r="D27" s="9"/>
      <c r="E27" s="22"/>
      <c r="F27" s="22"/>
      <c r="G27" s="22"/>
      <c r="H27" s="22"/>
      <c r="I27" s="22"/>
      <c r="J27" s="22"/>
      <c r="K27" s="22"/>
      <c r="L27" s="22"/>
      <c r="M27" s="22"/>
      <c r="N27" s="22"/>
      <c r="O27" s="22"/>
      <c r="P27" s="22"/>
      <c r="Q27" s="22"/>
      <c r="R27" s="22"/>
      <c r="S27" s="22"/>
      <c r="T27" s="22"/>
      <c r="U27" s="22"/>
      <c r="V27" s="22"/>
      <c r="W27" s="22"/>
      <c r="X27" s="22"/>
      <c r="Y27" s="22"/>
    </row>
    <row r="28">
      <c r="B28" s="10"/>
      <c r="C28" s="10"/>
      <c r="D28" s="19" t="s">
        <v>606</v>
      </c>
      <c r="E28" s="47" t="n"/>
      <c r="F28" s="47" t="n"/>
      <c r="G28" s="47" t="n"/>
      <c r="H28" s="47" t="n"/>
      <c r="I28" s="47" t="n"/>
      <c r="J28" s="47" t="n"/>
      <c r="K28" s="47" t="n"/>
      <c r="L28" s="47" t="n"/>
      <c r="M28" s="47" t="n"/>
      <c r="N28" s="47" t="n"/>
      <c r="O28" s="47" t="n"/>
      <c r="P28" s="47" t="n"/>
      <c r="Q28" s="47" t="n"/>
      <c r="R28" s="47" t="n"/>
      <c r="S28" s="47" t="n"/>
      <c r="T28" s="47" t="n"/>
      <c r="U28" s="47" t="n"/>
      <c r="V28" s="47" t="n"/>
      <c r="W28" s="47" t="n"/>
      <c r="X28" s="47" t="n"/>
      <c r="Y28" s="47" t="n"/>
    </row>
    <row r="29">
      <c r="B29" s="10"/>
      <c r="C29" s="10"/>
      <c r="D29" s="18" t="s">
        <v>607</v>
      </c>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row>
    <row r="30">
      <c r="B30" s="10"/>
      <c r="C30" s="10"/>
      <c r="D30" s="19" t="s">
        <v>608</v>
      </c>
      <c r="E30" s="47" t="n"/>
      <c r="F30" s="47" t="n"/>
      <c r="G30" s="47" t="n"/>
      <c r="H30" s="47" t="n"/>
      <c r="I30" s="47" t="n"/>
      <c r="J30" s="47" t="n"/>
      <c r="K30" s="47" t="n"/>
      <c r="L30" s="47" t="n"/>
      <c r="M30" s="47" t="n"/>
      <c r="N30" s="47" t="n"/>
      <c r="O30" s="47" t="n"/>
      <c r="P30" s="47" t="n"/>
      <c r="Q30" s="47" t="n"/>
      <c r="R30" s="47" t="n"/>
      <c r="S30" s="47" t="n"/>
      <c r="T30" s="47" t="n"/>
      <c r="U30" s="47" t="n"/>
      <c r="V30" s="47" t="n"/>
      <c r="W30" s="47" t="n"/>
      <c r="X30" s="47" t="n"/>
      <c r="Y30" s="47" t="n"/>
    </row>
    <row r="31">
      <c r="B31" s="10"/>
      <c r="C31" s="10"/>
      <c r="D31" s="18" t="s">
        <v>609</v>
      </c>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row>
    <row r="32">
      <c r="B32" s="10"/>
      <c r="C32" s="10"/>
      <c r="D32" s="19" t="s">
        <v>610</v>
      </c>
      <c r="E32" s="47" t="n"/>
      <c r="F32" s="47" t="n"/>
      <c r="G32" s="47" t="n"/>
      <c r="H32" s="47" t="n"/>
      <c r="I32" s="47" t="n"/>
      <c r="J32" s="47" t="n"/>
      <c r="K32" s="47" t="n"/>
      <c r="L32" s="47" t="n"/>
      <c r="M32" s="47" t="n"/>
      <c r="N32" s="47" t="n"/>
      <c r="O32" s="47" t="n"/>
      <c r="P32" s="47" t="n"/>
      <c r="Q32" s="47" t="n"/>
      <c r="R32" s="47" t="n"/>
      <c r="S32" s="47" t="n"/>
      <c r="T32" s="47" t="n"/>
      <c r="U32" s="47" t="n"/>
      <c r="V32" s="47" t="n"/>
      <c r="W32" s="47" t="n"/>
      <c r="X32" s="47" t="n"/>
      <c r="Y32" s="47" t="n"/>
    </row>
    <row r="33">
      <c r="B33" s="10"/>
      <c r="C33" s="10"/>
      <c r="D33" s="18" t="s">
        <v>611</v>
      </c>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row>
    <row r="34">
      <c r="B34" s="10"/>
      <c r="C34" s="11"/>
      <c r="D34" s="52" t="s">
        <v>612</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c r="T34" s="47" t="n">
        <f>SUM(T28:T33)</f>
      </c>
      <c r="U34" s="47" t="n">
        <f>SUM(U28:U33)</f>
      </c>
      <c r="V34" s="47" t="n">
        <f>SUM(V28:V33)</f>
      </c>
      <c r="W34" s="47" t="n">
        <f>SUM(W28:W33)</f>
      </c>
      <c r="X34" s="47" t="n">
        <f>SUM(X28:X33)</f>
      </c>
      <c r="Y34" s="47" t="n">
        <f>SUM(Y28:Y33)</f>
      </c>
    </row>
    <row r="35">
      <c r="B35" s="10"/>
      <c r="C35" s="11" t="s">
        <v>613</v>
      </c>
      <c r="D35" s="9"/>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row>
    <row r="36">
      <c r="B36" s="10"/>
      <c r="C36" s="14" t="s">
        <v>614</v>
      </c>
      <c r="D36" s="13"/>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row>
    <row r="37">
      <c r="B37" s="10"/>
      <c r="C37" s="7" t="s">
        <v>615</v>
      </c>
      <c r="D37" s="9"/>
      <c r="E37" s="22"/>
      <c r="F37" s="22"/>
      <c r="G37" s="22"/>
      <c r="H37" s="22"/>
      <c r="I37" s="22"/>
      <c r="J37" s="22"/>
      <c r="K37" s="22"/>
      <c r="L37" s="22"/>
      <c r="M37" s="22"/>
      <c r="N37" s="22"/>
      <c r="O37" s="22"/>
      <c r="P37" s="22"/>
      <c r="Q37" s="22"/>
      <c r="R37" s="22"/>
      <c r="S37" s="22"/>
      <c r="T37" s="22"/>
      <c r="U37" s="22"/>
      <c r="V37" s="22"/>
      <c r="W37" s="22"/>
      <c r="X37" s="22"/>
      <c r="Y37" s="22"/>
    </row>
    <row r="38">
      <c r="B38" s="10"/>
      <c r="C38" s="10"/>
      <c r="D38" s="19" t="s">
        <v>616</v>
      </c>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row>
    <row r="39">
      <c r="B39" s="10"/>
      <c r="C39" s="10"/>
      <c r="D39" s="18" t="s">
        <v>617</v>
      </c>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row>
    <row r="40">
      <c r="B40" s="10"/>
      <c r="C40" s="10"/>
      <c r="D40" s="19" t="s">
        <v>618</v>
      </c>
      <c r="E40" s="47" t="n"/>
      <c r="F40" s="47" t="n"/>
      <c r="G40" s="47" t="n"/>
      <c r="H40" s="47" t="n"/>
      <c r="I40" s="47" t="n"/>
      <c r="J40" s="47" t="n"/>
      <c r="K40" s="47" t="n"/>
      <c r="L40" s="47" t="n"/>
      <c r="M40" s="47" t="n"/>
      <c r="N40" s="47" t="n"/>
      <c r="O40" s="47" t="n"/>
      <c r="P40" s="47" t="n"/>
      <c r="Q40" s="47" t="n"/>
      <c r="R40" s="47" t="n"/>
      <c r="S40" s="47" t="n"/>
      <c r="T40" s="47" t="n"/>
      <c r="U40" s="47" t="n"/>
      <c r="V40" s="47" t="n"/>
      <c r="W40" s="47" t="n"/>
      <c r="X40" s="47" t="n"/>
      <c r="Y40" s="47" t="n"/>
    </row>
    <row r="41">
      <c r="B41" s="10"/>
      <c r="C41" s="10"/>
      <c r="D41" s="18" t="s">
        <v>619</v>
      </c>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row>
    <row r="42">
      <c r="B42" s="10"/>
      <c r="C42" s="10"/>
      <c r="D42" s="19" t="s">
        <v>620</v>
      </c>
      <c r="E42" s="47" t="n"/>
      <c r="F42" s="47" t="n"/>
      <c r="G42" s="47" t="n"/>
      <c r="H42" s="47" t="n"/>
      <c r="I42" s="47" t="n"/>
      <c r="J42" s="47" t="n"/>
      <c r="K42" s="47" t="n"/>
      <c r="L42" s="47" t="n"/>
      <c r="M42" s="47" t="n"/>
      <c r="N42" s="47" t="n"/>
      <c r="O42" s="47" t="n"/>
      <c r="P42" s="47" t="n"/>
      <c r="Q42" s="47" t="n"/>
      <c r="R42" s="47" t="n"/>
      <c r="S42" s="47" t="n"/>
      <c r="T42" s="47" t="n"/>
      <c r="U42" s="47" t="n"/>
      <c r="V42" s="47" t="n"/>
      <c r="W42" s="47" t="n"/>
      <c r="X42" s="47" t="n"/>
      <c r="Y42" s="47" t="n"/>
    </row>
    <row r="43">
      <c r="B43" s="10"/>
      <c r="C43" s="10"/>
      <c r="D43" s="18" t="s">
        <v>621</v>
      </c>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row>
    <row r="44">
      <c r="B44" s="10"/>
      <c r="C44" s="10"/>
      <c r="D44" s="19" t="s">
        <v>622</v>
      </c>
      <c r="E44" s="47" t="n"/>
      <c r="F44" s="47" t="n"/>
      <c r="G44" s="47" t="n"/>
      <c r="H44" s="47" t="n"/>
      <c r="I44" s="47" t="n"/>
      <c r="J44" s="47" t="n"/>
      <c r="K44" s="47" t="n"/>
      <c r="L44" s="47" t="n"/>
      <c r="M44" s="47" t="n"/>
      <c r="N44" s="47" t="n"/>
      <c r="O44" s="47" t="n"/>
      <c r="P44" s="47" t="n"/>
      <c r="Q44" s="47" t="n"/>
      <c r="R44" s="47" t="n"/>
      <c r="S44" s="47" t="n"/>
      <c r="T44" s="47" t="n"/>
      <c r="U44" s="47" t="n"/>
      <c r="V44" s="47" t="n"/>
      <c r="W44" s="47" t="n"/>
      <c r="X44" s="47" t="n"/>
      <c r="Y44" s="47" t="n"/>
    </row>
    <row r="45">
      <c r="B45" s="10"/>
      <c r="C45" s="10"/>
      <c r="D45" s="18" t="s">
        <v>623</v>
      </c>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row>
    <row r="46">
      <c r="B46" s="10"/>
      <c r="C46" s="10"/>
      <c r="D46" s="19" t="s">
        <v>624</v>
      </c>
      <c r="E46" s="47" t="n"/>
      <c r="F46" s="47" t="n"/>
      <c r="G46" s="47" t="n"/>
      <c r="H46" s="47" t="n"/>
      <c r="I46" s="47" t="n"/>
      <c r="J46" s="47" t="n"/>
      <c r="K46" s="47" t="n"/>
      <c r="L46" s="47" t="n"/>
      <c r="M46" s="47" t="n"/>
      <c r="N46" s="47" t="n"/>
      <c r="O46" s="47" t="n"/>
      <c r="P46" s="47" t="n"/>
      <c r="Q46" s="47" t="n"/>
      <c r="R46" s="47" t="n"/>
      <c r="S46" s="47" t="n"/>
      <c r="T46" s="47" t="n"/>
      <c r="U46" s="47" t="n"/>
      <c r="V46" s="47" t="n"/>
      <c r="W46" s="47" t="n"/>
      <c r="X46" s="47" t="n"/>
      <c r="Y46" s="47" t="n"/>
    </row>
    <row r="47">
      <c r="B47" s="10"/>
      <c r="C47" s="10"/>
      <c r="D47" s="18" t="s">
        <v>625</v>
      </c>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row>
    <row r="48">
      <c r="B48" s="10"/>
      <c r="C48" s="10"/>
      <c r="D48" s="19" t="s">
        <v>626</v>
      </c>
      <c r="E48" s="47" t="n"/>
      <c r="F48" s="47" t="n"/>
      <c r="G48" s="47" t="n"/>
      <c r="H48" s="47" t="n"/>
      <c r="I48" s="47" t="n"/>
      <c r="J48" s="47" t="n"/>
      <c r="K48" s="47" t="n"/>
      <c r="L48" s="47" t="n"/>
      <c r="M48" s="47" t="n"/>
      <c r="N48" s="47" t="n"/>
      <c r="O48" s="47" t="n"/>
      <c r="P48" s="47" t="n"/>
      <c r="Q48" s="47" t="n"/>
      <c r="R48" s="47" t="n"/>
      <c r="S48" s="47" t="n"/>
      <c r="T48" s="47" t="n"/>
      <c r="U48" s="47" t="n"/>
      <c r="V48" s="47" t="n"/>
      <c r="W48" s="47" t="n"/>
      <c r="X48" s="47" t="n"/>
      <c r="Y48" s="47" t="n"/>
    </row>
    <row r="49">
      <c r="B49" s="10"/>
      <c r="C49" s="10"/>
      <c r="D49" s="18" t="s">
        <v>627</v>
      </c>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row>
    <row r="50">
      <c r="B50" s="10"/>
      <c r="C50" s="10"/>
      <c r="D50" s="19" t="s">
        <v>628</v>
      </c>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row>
    <row r="51">
      <c r="B51" s="10"/>
      <c r="C51" s="11"/>
      <c r="D51" s="18" t="s">
        <v>629</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c r="T51" s="46" t="n">
        <f>SUM(T38:T50)</f>
      </c>
      <c r="U51" s="46" t="n">
        <f>SUM(U38:U50)</f>
      </c>
      <c r="V51" s="46" t="n">
        <f>SUM(V38:V50)</f>
      </c>
      <c r="W51" s="46" t="n">
        <f>SUM(W38:W50)</f>
      </c>
      <c r="X51" s="46" t="n">
        <f>SUM(X38:X50)</f>
      </c>
      <c r="Y51" s="46" t="n">
        <f>SUM(Y38:Y50)</f>
      </c>
    </row>
    <row r="52">
      <c r="B52" s="10"/>
      <c r="C52" s="16" t="s">
        <v>630</v>
      </c>
      <c r="D52" s="13"/>
      <c r="E52" s="23"/>
      <c r="F52" s="23"/>
      <c r="G52" s="23"/>
      <c r="H52" s="23"/>
      <c r="I52" s="23"/>
      <c r="J52" s="23"/>
      <c r="K52" s="23"/>
      <c r="L52" s="23"/>
      <c r="M52" s="23"/>
      <c r="N52" s="23"/>
      <c r="O52" s="23"/>
      <c r="P52" s="23"/>
      <c r="Q52" s="23"/>
      <c r="R52" s="23"/>
      <c r="S52" s="23"/>
      <c r="T52" s="23"/>
      <c r="U52" s="23"/>
      <c r="V52" s="23"/>
      <c r="W52" s="23"/>
      <c r="X52" s="23"/>
      <c r="Y52" s="23"/>
    </row>
    <row r="53">
      <c r="B53" s="10"/>
      <c r="C53" s="17"/>
      <c r="D53" s="18" t="s">
        <v>631</v>
      </c>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row>
    <row r="54">
      <c r="B54" s="10"/>
      <c r="C54" s="17"/>
      <c r="D54" s="19" t="s">
        <v>632</v>
      </c>
      <c r="E54" s="47" t="n"/>
      <c r="F54" s="47" t="n"/>
      <c r="G54" s="47" t="n"/>
      <c r="H54" s="47" t="n"/>
      <c r="I54" s="47" t="n"/>
      <c r="J54" s="47" t="n"/>
      <c r="K54" s="47" t="n"/>
      <c r="L54" s="47" t="n"/>
      <c r="M54" s="47" t="n"/>
      <c r="N54" s="47" t="n"/>
      <c r="O54" s="47" t="n"/>
      <c r="P54" s="47" t="n"/>
      <c r="Q54" s="47" t="n"/>
      <c r="R54" s="47" t="n"/>
      <c r="S54" s="47" t="n"/>
      <c r="T54" s="47" t="n"/>
      <c r="U54" s="47" t="n"/>
      <c r="V54" s="47" t="n"/>
      <c r="W54" s="47" t="n"/>
      <c r="X54" s="47" t="n"/>
      <c r="Y54" s="47" t="n"/>
    </row>
    <row r="55">
      <c r="B55" s="10"/>
      <c r="C55" s="17"/>
      <c r="D55" s="18" t="s">
        <v>633</v>
      </c>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row>
    <row r="56">
      <c r="B56" s="10"/>
      <c r="C56" s="17"/>
      <c r="D56" s="19" t="s">
        <v>634</v>
      </c>
      <c r="E56" s="47" t="n"/>
      <c r="F56" s="47" t="n"/>
      <c r="G56" s="47" t="n"/>
      <c r="H56" s="47" t="n"/>
      <c r="I56" s="47" t="n"/>
      <c r="J56" s="47" t="n"/>
      <c r="K56" s="47" t="n"/>
      <c r="L56" s="47" t="n"/>
      <c r="M56" s="47" t="n"/>
      <c r="N56" s="47" t="n"/>
      <c r="O56" s="47" t="n"/>
      <c r="P56" s="47" t="n"/>
      <c r="Q56" s="47" t="n"/>
      <c r="R56" s="47" t="n"/>
      <c r="S56" s="47" t="n"/>
      <c r="T56" s="47" t="n"/>
      <c r="U56" s="47" t="n"/>
      <c r="V56" s="47" t="n"/>
      <c r="W56" s="47" t="n"/>
      <c r="X56" s="47" t="n"/>
      <c r="Y56" s="47" t="n"/>
    </row>
    <row r="57">
      <c r="B57" s="10"/>
      <c r="C57" s="17"/>
      <c r="D57" s="18" t="s">
        <v>635</v>
      </c>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row>
    <row r="58">
      <c r="B58" s="10"/>
      <c r="C58" s="17"/>
      <c r="D58" s="19" t="s">
        <v>636</v>
      </c>
      <c r="E58" s="47" t="n"/>
      <c r="F58" s="47" t="n"/>
      <c r="G58" s="47" t="n"/>
      <c r="H58" s="47" t="n"/>
      <c r="I58" s="47" t="n"/>
      <c r="J58" s="47" t="n"/>
      <c r="K58" s="47" t="n"/>
      <c r="L58" s="47" t="n"/>
      <c r="M58" s="47" t="n"/>
      <c r="N58" s="47" t="n"/>
      <c r="O58" s="47" t="n"/>
      <c r="P58" s="47" t="n"/>
      <c r="Q58" s="47" t="n"/>
      <c r="R58" s="47" t="n"/>
      <c r="S58" s="47" t="n"/>
      <c r="T58" s="47" t="n"/>
      <c r="U58" s="47" t="n"/>
      <c r="V58" s="47" t="n"/>
      <c r="W58" s="47" t="n"/>
      <c r="X58" s="47" t="n"/>
      <c r="Y58" s="47" t="n"/>
    </row>
    <row r="59">
      <c r="B59" s="10"/>
      <c r="C59" s="17"/>
      <c r="D59" s="18" t="s">
        <v>637</v>
      </c>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row>
    <row r="60">
      <c r="B60" s="10"/>
      <c r="C60" s="17"/>
      <c r="D60" s="19" t="s">
        <v>638</v>
      </c>
      <c r="E60" s="47" t="n"/>
      <c r="F60" s="47" t="n"/>
      <c r="G60" s="47" t="n"/>
      <c r="H60" s="47" t="n"/>
      <c r="I60" s="47" t="n"/>
      <c r="J60" s="47" t="n"/>
      <c r="K60" s="47" t="n"/>
      <c r="L60" s="47" t="n"/>
      <c r="M60" s="47" t="n"/>
      <c r="N60" s="47" t="n"/>
      <c r="O60" s="47" t="n"/>
      <c r="P60" s="47" t="n"/>
      <c r="Q60" s="47" t="n"/>
      <c r="R60" s="47" t="n"/>
      <c r="S60" s="47" t="n"/>
      <c r="T60" s="47" t="n"/>
      <c r="U60" s="47" t="n"/>
      <c r="V60" s="47" t="n"/>
      <c r="W60" s="47" t="n"/>
      <c r="X60" s="47" t="n"/>
      <c r="Y60" s="47" t="n"/>
    </row>
    <row r="61">
      <c r="B61" s="10"/>
      <c r="C61" s="17"/>
      <c r="D61" s="18" t="s">
        <v>639</v>
      </c>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row>
    <row r="62">
      <c r="B62" s="10"/>
      <c r="C62" s="17"/>
      <c r="D62" s="19" t="s">
        <v>640</v>
      </c>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row>
    <row r="63">
      <c r="B63" s="10"/>
      <c r="C63" s="17"/>
      <c r="D63" s="18" t="s">
        <v>641</v>
      </c>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row>
    <row r="64">
      <c r="B64" s="10"/>
      <c r="C64" s="14"/>
      <c r="D64" s="52" t="s">
        <v>642</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c r="T64" s="47" t="n">
        <f>SUM(T53:T63)</f>
      </c>
      <c r="U64" s="47" t="n">
        <f>SUM(U53:U63)</f>
      </c>
      <c r="V64" s="47" t="n">
        <f>SUM(V53:V63)</f>
      </c>
      <c r="W64" s="47" t="n">
        <f>SUM(W53:W63)</f>
      </c>
      <c r="X64" s="47" t="n">
        <f>SUM(X53:X63)</f>
      </c>
      <c r="Y64" s="47" t="n">
        <f>SUM(Y53:Y63)</f>
      </c>
    </row>
    <row r="65">
      <c r="B65" s="10"/>
      <c r="C65" s="7" t="s">
        <v>643</v>
      </c>
      <c r="D65" s="9"/>
      <c r="E65" s="22"/>
      <c r="F65" s="22"/>
      <c r="G65" s="22"/>
      <c r="H65" s="22"/>
      <c r="I65" s="22"/>
      <c r="J65" s="22"/>
      <c r="K65" s="22"/>
      <c r="L65" s="22"/>
      <c r="M65" s="22"/>
      <c r="N65" s="22"/>
      <c r="O65" s="22"/>
      <c r="P65" s="22"/>
      <c r="Q65" s="22"/>
      <c r="R65" s="22"/>
      <c r="S65" s="22"/>
      <c r="T65" s="22"/>
      <c r="U65" s="22"/>
      <c r="V65" s="22"/>
      <c r="W65" s="22"/>
      <c r="X65" s="22"/>
      <c r="Y65" s="22"/>
    </row>
    <row r="66">
      <c r="B66" s="10"/>
      <c r="C66" s="10"/>
      <c r="D66" s="19" t="s">
        <v>644</v>
      </c>
      <c r="E66" s="47" t="n"/>
      <c r="F66" s="47" t="n"/>
      <c r="G66" s="47" t="n"/>
      <c r="H66" s="47" t="n"/>
      <c r="I66" s="47" t="n"/>
      <c r="J66" s="47" t="n"/>
      <c r="K66" s="47" t="n"/>
      <c r="L66" s="47" t="n"/>
      <c r="M66" s="47" t="n"/>
      <c r="N66" s="47" t="n"/>
      <c r="O66" s="47" t="n"/>
      <c r="P66" s="47" t="n"/>
      <c r="Q66" s="47" t="n"/>
      <c r="R66" s="47" t="n"/>
      <c r="S66" s="47" t="n"/>
      <c r="T66" s="47" t="n"/>
      <c r="U66" s="47" t="n"/>
      <c r="V66" s="47" t="n"/>
      <c r="W66" s="47" t="n"/>
      <c r="X66" s="47" t="n"/>
      <c r="Y66" s="47" t="n"/>
    </row>
    <row r="67">
      <c r="B67" s="10"/>
      <c r="C67" s="10"/>
      <c r="D67" s="18" t="s">
        <v>645</v>
      </c>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row>
    <row r="68">
      <c r="B68" s="10"/>
      <c r="C68" s="10"/>
      <c r="D68" s="19" t="s">
        <v>646</v>
      </c>
      <c r="E68" s="47" t="n"/>
      <c r="F68" s="47" t="n"/>
      <c r="G68" s="47" t="n"/>
      <c r="H68" s="47" t="n"/>
      <c r="I68" s="47" t="n"/>
      <c r="J68" s="47" t="n"/>
      <c r="K68" s="47" t="n"/>
      <c r="L68" s="47" t="n"/>
      <c r="M68" s="47" t="n"/>
      <c r="N68" s="47" t="n"/>
      <c r="O68" s="47" t="n"/>
      <c r="P68" s="47" t="n"/>
      <c r="Q68" s="47" t="n"/>
      <c r="R68" s="47" t="n"/>
      <c r="S68" s="47" t="n"/>
      <c r="T68" s="47" t="n"/>
      <c r="U68" s="47" t="n"/>
      <c r="V68" s="47" t="n"/>
      <c r="W68" s="47" t="n"/>
      <c r="X68" s="47" t="n"/>
      <c r="Y68" s="47" t="n"/>
    </row>
    <row r="69">
      <c r="B69" s="10"/>
      <c r="C69" s="10"/>
      <c r="D69" s="18" t="s">
        <v>647</v>
      </c>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row>
    <row r="70">
      <c r="B70" s="10"/>
      <c r="C70" s="10"/>
      <c r="D70" s="19" t="s">
        <v>648</v>
      </c>
      <c r="E70" s="47" t="n"/>
      <c r="F70" s="47" t="n"/>
      <c r="G70" s="47" t="n"/>
      <c r="H70" s="47" t="n"/>
      <c r="I70" s="47" t="n"/>
      <c r="J70" s="47" t="n"/>
      <c r="K70" s="47" t="n"/>
      <c r="L70" s="47" t="n"/>
      <c r="M70" s="47" t="n"/>
      <c r="N70" s="47" t="n"/>
      <c r="O70" s="47" t="n"/>
      <c r="P70" s="47" t="n"/>
      <c r="Q70" s="47" t="n"/>
      <c r="R70" s="47" t="n"/>
      <c r="S70" s="47" t="n"/>
      <c r="T70" s="47" t="n"/>
      <c r="U70" s="47" t="n"/>
      <c r="V70" s="47" t="n"/>
      <c r="W70" s="47" t="n"/>
      <c r="X70" s="47" t="n"/>
      <c r="Y70" s="47" t="n"/>
    </row>
    <row r="71">
      <c r="B71" s="10"/>
      <c r="C71" s="10"/>
      <c r="D71" s="18" t="s">
        <v>649</v>
      </c>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row>
    <row r="72">
      <c r="B72" s="10"/>
      <c r="C72" s="11"/>
      <c r="D72" s="52" t="s">
        <v>650</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c r="T72" s="47" t="n">
        <f>SUM(T66:T71)</f>
      </c>
      <c r="U72" s="47" t="n">
        <f>SUM(U66:U71)</f>
      </c>
      <c r="V72" s="47" t="n">
        <f>SUM(V66:V71)</f>
      </c>
      <c r="W72" s="47" t="n">
        <f>SUM(W66:W71)</f>
      </c>
      <c r="X72" s="47" t="n">
        <f>SUM(X66:X71)</f>
      </c>
      <c r="Y72" s="47" t="n">
        <f>SUM(Y66:Y71)</f>
      </c>
    </row>
    <row r="73">
      <c r="B73" s="10"/>
      <c r="C73" s="11" t="s">
        <v>651</v>
      </c>
      <c r="D73" s="9"/>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row>
    <row r="74">
      <c r="B74" s="10"/>
      <c r="C74" s="14" t="s">
        <v>652</v>
      </c>
      <c r="D74" s="13"/>
      <c r="E74" s="47" t="n"/>
      <c r="F74" s="47" t="n"/>
      <c r="G74" s="47" t="n"/>
      <c r="H74" s="47" t="n"/>
      <c r="I74" s="47" t="n"/>
      <c r="J74" s="47" t="n"/>
      <c r="K74" s="47" t="n"/>
      <c r="L74" s="47" t="n"/>
      <c r="M74" s="47" t="n"/>
      <c r="N74" s="47" t="n"/>
      <c r="O74" s="47" t="n"/>
      <c r="P74" s="47" t="n"/>
      <c r="Q74" s="47" t="n"/>
      <c r="R74" s="47" t="n"/>
      <c r="S74" s="47" t="n"/>
      <c r="T74" s="47" t="n"/>
      <c r="U74" s="47" t="n"/>
      <c r="V74" s="47" t="n"/>
      <c r="W74" s="47" t="n"/>
      <c r="X74" s="47" t="n"/>
      <c r="Y74" s="47" t="n"/>
    </row>
    <row r="75">
      <c r="B75" s="10"/>
      <c r="C75" s="11" t="s">
        <v>653</v>
      </c>
      <c r="D75" s="9"/>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row>
    <row r="76">
      <c r="B76" s="10"/>
      <c r="C76" s="14" t="s">
        <v>654</v>
      </c>
      <c r="D76" s="13"/>
      <c r="E76" s="47" t="n"/>
      <c r="F76" s="47" t="n"/>
      <c r="G76" s="47" t="n"/>
      <c r="H76" s="47" t="n"/>
      <c r="I76" s="47" t="n"/>
      <c r="J76" s="47" t="n"/>
      <c r="K76" s="47" t="n"/>
      <c r="L76" s="47" t="n"/>
      <c r="M76" s="47" t="n"/>
      <c r="N76" s="47" t="n"/>
      <c r="O76" s="47" t="n"/>
      <c r="P76" s="47" t="n"/>
      <c r="Q76" s="47" t="n"/>
      <c r="R76" s="47" t="n"/>
      <c r="S76" s="47" t="n"/>
      <c r="T76" s="47" t="n"/>
      <c r="U76" s="47" t="n"/>
      <c r="V76" s="47" t="n"/>
      <c r="W76" s="47" t="n"/>
      <c r="X76" s="47" t="n"/>
      <c r="Y76" s="47" t="n"/>
    </row>
    <row r="77">
      <c r="B77" s="10"/>
      <c r="C77" s="11" t="s">
        <v>655</v>
      </c>
      <c r="D77" s="9"/>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row>
    <row r="78">
      <c r="B78" s="10"/>
      <c r="C78" s="14" t="s">
        <v>656</v>
      </c>
      <c r="D78" s="13"/>
      <c r="E78" s="47" t="n"/>
      <c r="F78" s="47" t="n"/>
      <c r="G78" s="47" t="n"/>
      <c r="H78" s="47" t="n"/>
      <c r="I78" s="47" t="n"/>
      <c r="J78" s="47" t="n"/>
      <c r="K78" s="47" t="n"/>
      <c r="L78" s="47" t="n"/>
      <c r="M78" s="47" t="n"/>
      <c r="N78" s="47" t="n"/>
      <c r="O78" s="47" t="n"/>
      <c r="P78" s="47" t="n"/>
      <c r="Q78" s="47" t="n"/>
      <c r="R78" s="47" t="n"/>
      <c r="S78" s="47" t="n"/>
      <c r="T78" s="47" t="n"/>
      <c r="U78" s="47" t="n"/>
      <c r="V78" s="47" t="n"/>
      <c r="W78" s="47" t="n"/>
      <c r="X78" s="47" t="n"/>
      <c r="Y78" s="47" t="n"/>
    </row>
    <row r="79">
      <c r="B79" s="10"/>
      <c r="C79" s="11" t="s">
        <v>657</v>
      </c>
      <c r="D79" s="9"/>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row>
    <row r="80">
      <c r="B80" s="10"/>
      <c r="C80" s="14" t="s">
        <v>658</v>
      </c>
      <c r="D80" s="13"/>
      <c r="E80" s="47" t="n"/>
      <c r="F80" s="47" t="n"/>
      <c r="G80" s="47" t="n"/>
      <c r="H80" s="47" t="n"/>
      <c r="I80" s="47" t="n"/>
      <c r="J80" s="47" t="n"/>
      <c r="K80" s="47" t="n"/>
      <c r="L80" s="47" t="n"/>
      <c r="M80" s="47" t="n"/>
      <c r="N80" s="47" t="n"/>
      <c r="O80" s="47" t="n"/>
      <c r="P80" s="47" t="n"/>
      <c r="Q80" s="47" t="n"/>
      <c r="R80" s="47" t="n"/>
      <c r="S80" s="47" t="n"/>
      <c r="T80" s="47" t="n"/>
      <c r="U80" s="47" t="n"/>
      <c r="V80" s="47" t="n"/>
      <c r="W80" s="47" t="n"/>
      <c r="X80" s="47" t="n"/>
      <c r="Y80" s="47" t="n"/>
    </row>
    <row r="81">
      <c r="B81" s="10"/>
      <c r="C81" s="11" t="s">
        <v>659</v>
      </c>
      <c r="D81" s="9"/>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row>
    <row r="82">
      <c r="B82" s="10"/>
      <c r="C82" s="14" t="s">
        <v>660</v>
      </c>
      <c r="D82" s="13"/>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row>
    <row r="83">
      <c r="B83" s="11"/>
      <c r="C83" s="45" t="s">
        <v>661</v>
      </c>
      <c r="D83" s="44"/>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c r="T83" s="48" t="n">
        <f>SUM(T14:T20)+T25+T26+SUM(T34:T36)+T51+T64+SUM(T72:T82)</f>
      </c>
      <c r="U83" s="48" t="n">
        <f>SUM(U14:U20)+U25+U26+SUM(U34:U36)+U51+U64+SUM(U72:U82)</f>
      </c>
      <c r="V83" s="48" t="n">
        <f>SUM(V14:V20)+V25+V26+SUM(V34:V36)+V51+V64+SUM(V72:V82)</f>
      </c>
      <c r="W83" s="48" t="n">
        <f>SUM(W14:W20)+W25+W26+SUM(W34:W36)+W51+W64+SUM(W72:W82)</f>
      </c>
      <c r="X83" s="48" t="n">
        <f>SUM(X14:X20)+X25+X26+SUM(X34:X36)+X51+X64+SUM(X72:X82)</f>
      </c>
      <c r="Y83" s="48" t="n">
        <f>SUM(Y14:Y20)+Y25+Y26+SUM(Y34:Y36)+Y51+Y64+SUM(Y72:Y82)</f>
      </c>
    </row>
  </sheetData>
  <mergeCells>
    <mergeCell ref="E10:Y10"/>
    <mergeCell ref="E11:G11"/>
    <mergeCell ref="H11:J11"/>
    <mergeCell ref="K11:M11"/>
    <mergeCell ref="N11:P11"/>
    <mergeCell ref="Q11:S11"/>
    <mergeCell ref="T11:V11"/>
    <mergeCell ref="W11:W12"/>
    <mergeCell ref="X11:X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3.xml><?xml version="1.0" encoding="utf-8"?>
<worksheet xmlns="http://schemas.openxmlformats.org/spreadsheetml/2006/main">
  <dimension ref="B2:T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714</v>
      </c>
    </row>
    <row r="6">
      <c r="B6" t="s" s="1">
        <v>8</v>
      </c>
      <c r="C6" t="s">
        <v>9</v>
      </c>
    </row>
    <row r="7">
      <c r="B7" t="s" s="1">
        <v>10</v>
      </c>
      <c r="C7" t="s">
        <v>9</v>
      </c>
    </row>
    <row r="8">
      <c r="B8" t="s" s="1">
        <v>11</v>
      </c>
      <c r="C8" t="s">
        <v>12</v>
      </c>
    </row>
    <row r="10">
      <c r="E10" t="s" s="4">
        <v>43</v>
      </c>
      <c r="F10" s="29"/>
      <c r="G10" s="29"/>
      <c r="H10" s="29"/>
      <c r="I10" s="29"/>
      <c r="J10" s="29"/>
      <c r="K10" s="29"/>
      <c r="L10" s="29"/>
      <c r="M10" s="29"/>
      <c r="N10" s="29"/>
      <c r="O10" s="29"/>
      <c r="P10" s="29"/>
      <c r="Q10" s="29"/>
      <c r="R10" s="29"/>
      <c r="S10" s="30"/>
    </row>
    <row r="11">
      <c r="E11" t="s" s="32">
        <v>715</v>
      </c>
      <c r="F11" s="59"/>
      <c r="G11" s="60"/>
      <c r="H11" t="s" s="4">
        <v>718</v>
      </c>
      <c r="I11" s="29"/>
      <c r="J11" s="30"/>
      <c r="K11" t="s" s="32">
        <v>721</v>
      </c>
      <c r="L11" s="59"/>
      <c r="M11" s="60"/>
      <c r="N11" t="s" s="4">
        <v>699</v>
      </c>
      <c r="O11" s="29"/>
      <c r="P11" s="30"/>
      <c r="Q11" t="s" s="33">
        <v>726</v>
      </c>
      <c r="R11" t="s" s="5">
        <v>727</v>
      </c>
      <c r="S11" s="56"/>
    </row>
    <row r="12">
      <c r="E12" t="s" s="6">
        <v>716</v>
      </c>
      <c r="F12" t="s" s="34">
        <v>717</v>
      </c>
      <c r="G12" s="55"/>
      <c r="H12" t="s" s="34">
        <v>719</v>
      </c>
      <c r="I12" t="s" s="6">
        <v>720</v>
      </c>
      <c r="J12" s="35"/>
      <c r="K12" t="s" s="6">
        <v>722</v>
      </c>
      <c r="L12" t="s" s="34">
        <v>723</v>
      </c>
      <c r="M12" s="55"/>
      <c r="N12" t="s" s="34">
        <v>724</v>
      </c>
      <c r="O12" t="s" s="6">
        <v>725</v>
      </c>
      <c r="P12" s="35"/>
      <c r="Q12" s="55"/>
      <c r="R12" s="35"/>
      <c r="S12" s="36"/>
    </row>
    <row r="13">
      <c r="B13" s="7" t="s">
        <v>591</v>
      </c>
      <c r="C13" s="8"/>
      <c r="D13" s="9"/>
      <c r="E13" s="22"/>
      <c r="F13" s="22"/>
      <c r="G13" s="22"/>
      <c r="H13" s="22"/>
      <c r="I13" s="22"/>
      <c r="J13" s="22"/>
      <c r="K13" s="22"/>
      <c r="L13" s="22"/>
      <c r="M13" s="22"/>
      <c r="N13" s="22"/>
      <c r="O13" s="22"/>
      <c r="P13" s="22"/>
      <c r="Q13" s="22"/>
      <c r="R13" s="22"/>
      <c r="S13" s="22"/>
    </row>
    <row r="14">
      <c r="B14" s="10"/>
      <c r="C14" s="14" t="s">
        <v>592</v>
      </c>
      <c r="D14" s="13"/>
      <c r="E14" s="47" t="n"/>
      <c r="F14" s="47" t="n"/>
      <c r="G14" s="47" t="n"/>
      <c r="H14" s="47" t="n"/>
      <c r="I14" s="47" t="n"/>
      <c r="J14" s="47" t="n"/>
      <c r="K14" s="47" t="n"/>
      <c r="L14" s="47" t="n"/>
      <c r="M14" s="47" t="n"/>
      <c r="N14" s="47" t="n"/>
      <c r="O14" s="47" t="n"/>
      <c r="P14" s="47" t="n"/>
      <c r="Q14" s="47" t="n"/>
      <c r="R14" s="47" t="n"/>
      <c r="S14" s="47" t="n"/>
    </row>
    <row r="15">
      <c r="B15" s="10"/>
      <c r="C15" s="11" t="s">
        <v>593</v>
      </c>
      <c r="D15" s="9"/>
      <c r="E15" s="46" t="n"/>
      <c r="F15" s="46" t="n"/>
      <c r="G15" s="46" t="n"/>
      <c r="H15" s="46" t="n"/>
      <c r="I15" s="46" t="n"/>
      <c r="J15" s="46" t="n"/>
      <c r="K15" s="46" t="n"/>
      <c r="L15" s="46" t="n"/>
      <c r="M15" s="46" t="n"/>
      <c r="N15" s="46" t="n"/>
      <c r="O15" s="46" t="n"/>
      <c r="P15" s="46" t="n"/>
      <c r="Q15" s="46" t="n"/>
      <c r="R15" s="46" t="n"/>
      <c r="S15" s="46" t="n"/>
    </row>
    <row r="16">
      <c r="B16" s="10"/>
      <c r="C16" s="14" t="s">
        <v>594</v>
      </c>
      <c r="D16" s="13"/>
      <c r="E16" s="47" t="n"/>
      <c r="F16" s="47" t="n"/>
      <c r="G16" s="47" t="n"/>
      <c r="H16" s="47" t="n"/>
      <c r="I16" s="47" t="n"/>
      <c r="J16" s="47" t="n"/>
      <c r="K16" s="47" t="n"/>
      <c r="L16" s="47" t="n"/>
      <c r="M16" s="47" t="n"/>
      <c r="N16" s="47" t="n"/>
      <c r="O16" s="47" t="n"/>
      <c r="P16" s="47" t="n"/>
      <c r="Q16" s="47" t="n"/>
      <c r="R16" s="47" t="n"/>
      <c r="S16" s="47" t="n"/>
    </row>
    <row r="17">
      <c r="B17" s="10"/>
      <c r="C17" s="11" t="s">
        <v>595</v>
      </c>
      <c r="D17" s="9"/>
      <c r="E17" s="46" t="n"/>
      <c r="F17" s="46" t="n"/>
      <c r="G17" s="46" t="n"/>
      <c r="H17" s="46" t="n"/>
      <c r="I17" s="46" t="n"/>
      <c r="J17" s="46" t="n"/>
      <c r="K17" s="46" t="n"/>
      <c r="L17" s="46" t="n"/>
      <c r="M17" s="46" t="n"/>
      <c r="N17" s="46" t="n"/>
      <c r="O17" s="46" t="n"/>
      <c r="P17" s="46" t="n"/>
      <c r="Q17" s="46" t="n"/>
      <c r="R17" s="46" t="n"/>
      <c r="S17" s="46" t="n"/>
    </row>
    <row r="18">
      <c r="B18" s="10"/>
      <c r="C18" s="14" t="s">
        <v>596</v>
      </c>
      <c r="D18" s="13"/>
      <c r="E18" s="47" t="n"/>
      <c r="F18" s="47" t="n"/>
      <c r="G18" s="47" t="n"/>
      <c r="H18" s="47" t="n"/>
      <c r="I18" s="47" t="n"/>
      <c r="J18" s="47" t="n"/>
      <c r="K18" s="47" t="n"/>
      <c r="L18" s="47" t="n"/>
      <c r="M18" s="47" t="n"/>
      <c r="N18" s="47" t="n"/>
      <c r="O18" s="47" t="n"/>
      <c r="P18" s="47" t="n"/>
      <c r="Q18" s="47" t="n"/>
      <c r="R18" s="47" t="n"/>
      <c r="S18" s="47" t="n"/>
    </row>
    <row r="19">
      <c r="B19" s="10"/>
      <c r="C19" s="11" t="s">
        <v>597</v>
      </c>
      <c r="D19" s="9"/>
      <c r="E19" s="46" t="n"/>
      <c r="F19" s="46" t="n"/>
      <c r="G19" s="46" t="n"/>
      <c r="H19" s="46" t="n"/>
      <c r="I19" s="46" t="n"/>
      <c r="J19" s="46" t="n"/>
      <c r="K19" s="46" t="n"/>
      <c r="L19" s="46" t="n"/>
      <c r="M19" s="46" t="n"/>
      <c r="N19" s="46" t="n"/>
      <c r="O19" s="46" t="n"/>
      <c r="P19" s="46" t="n"/>
      <c r="Q19" s="46" t="n"/>
      <c r="R19" s="46" t="n"/>
      <c r="S19" s="46" t="n"/>
    </row>
    <row r="20">
      <c r="B20" s="10"/>
      <c r="C20" s="14" t="s">
        <v>598</v>
      </c>
      <c r="D20" s="13"/>
      <c r="E20" s="47" t="n"/>
      <c r="F20" s="47" t="n"/>
      <c r="G20" s="47" t="n"/>
      <c r="H20" s="47" t="n"/>
      <c r="I20" s="47" t="n"/>
      <c r="J20" s="47" t="n"/>
      <c r="K20" s="47" t="n"/>
      <c r="L20" s="47" t="n"/>
      <c r="M20" s="47" t="n"/>
      <c r="N20" s="47" t="n"/>
      <c r="O20" s="47" t="n"/>
      <c r="P20" s="47" t="n"/>
      <c r="Q20" s="47" t="n"/>
      <c r="R20" s="47" t="n"/>
      <c r="S20" s="47" t="n"/>
    </row>
    <row r="21">
      <c r="B21" s="10"/>
      <c r="C21" s="7" t="s">
        <v>599</v>
      </c>
      <c r="D21" s="9"/>
      <c r="E21" s="22"/>
      <c r="F21" s="22"/>
      <c r="G21" s="22"/>
      <c r="H21" s="22"/>
      <c r="I21" s="22"/>
      <c r="J21" s="22"/>
      <c r="K21" s="22"/>
      <c r="L21" s="22"/>
      <c r="M21" s="22"/>
      <c r="N21" s="22"/>
      <c r="O21" s="22"/>
      <c r="P21" s="22"/>
      <c r="Q21" s="22"/>
      <c r="R21" s="22"/>
      <c r="S21" s="22"/>
    </row>
    <row r="22">
      <c r="B22" s="10"/>
      <c r="C22" s="10"/>
      <c r="D22" s="19" t="s">
        <v>600</v>
      </c>
      <c r="E22" s="47" t="n"/>
      <c r="F22" s="47" t="n"/>
      <c r="G22" s="47" t="n"/>
      <c r="H22" s="47" t="n"/>
      <c r="I22" s="47" t="n"/>
      <c r="J22" s="47" t="n"/>
      <c r="K22" s="47" t="n"/>
      <c r="L22" s="47" t="n"/>
      <c r="M22" s="47" t="n"/>
      <c r="N22" s="47" t="n"/>
      <c r="O22" s="47" t="n"/>
      <c r="P22" s="47" t="n"/>
      <c r="Q22" s="47" t="n"/>
      <c r="R22" s="47" t="n"/>
      <c r="S22" s="47" t="n"/>
    </row>
    <row r="23">
      <c r="B23" s="10"/>
      <c r="C23" s="10"/>
      <c r="D23" s="18" t="s">
        <v>601</v>
      </c>
      <c r="E23" s="46" t="n"/>
      <c r="F23" s="46" t="n"/>
      <c r="G23" s="46" t="n"/>
      <c r="H23" s="46" t="n"/>
      <c r="I23" s="46" t="n"/>
      <c r="J23" s="46" t="n"/>
      <c r="K23" s="46" t="n"/>
      <c r="L23" s="46" t="n"/>
      <c r="M23" s="46" t="n"/>
      <c r="N23" s="46" t="n"/>
      <c r="O23" s="46" t="n"/>
      <c r="P23" s="46" t="n"/>
      <c r="Q23" s="46" t="n"/>
      <c r="R23" s="46" t="n"/>
      <c r="S23" s="46" t="n"/>
    </row>
    <row r="24">
      <c r="B24" s="10"/>
      <c r="C24" s="10"/>
      <c r="D24" s="19" t="s">
        <v>602</v>
      </c>
      <c r="E24" s="47" t="n"/>
      <c r="F24" s="47" t="n"/>
      <c r="G24" s="47" t="n"/>
      <c r="H24" s="47" t="n"/>
      <c r="I24" s="47" t="n"/>
      <c r="J24" s="47" t="n"/>
      <c r="K24" s="47" t="n"/>
      <c r="L24" s="47" t="n"/>
      <c r="M24" s="47" t="n"/>
      <c r="N24" s="47" t="n"/>
      <c r="O24" s="47" t="n"/>
      <c r="P24" s="47" t="n"/>
      <c r="Q24" s="47" t="n"/>
      <c r="R24" s="47" t="n"/>
      <c r="S24" s="47" t="n"/>
    </row>
    <row r="25">
      <c r="B25" s="10"/>
      <c r="C25" s="11"/>
      <c r="D25" s="51" t="s">
        <v>603</v>
      </c>
      <c r="E25" s="46" t="n">
        <f>SUM(E22:E24)</f>
      </c>
      <c r="F25" s="46" t="n">
        <f>SUM(F22:F24)</f>
      </c>
      <c r="G25" s="46" t="n">
        <f>SUM(G22:G24)</f>
      </c>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row>
    <row r="26">
      <c r="B26" s="10"/>
      <c r="C26" s="14" t="s">
        <v>604</v>
      </c>
      <c r="D26" s="13"/>
      <c r="E26" s="47" t="n"/>
      <c r="F26" s="47" t="n"/>
      <c r="G26" s="47" t="n"/>
      <c r="H26" s="47" t="n"/>
      <c r="I26" s="47" t="n"/>
      <c r="J26" s="47" t="n"/>
      <c r="K26" s="47" t="n"/>
      <c r="L26" s="47" t="n"/>
      <c r="M26" s="47" t="n"/>
      <c r="N26" s="47" t="n"/>
      <c r="O26" s="47" t="n"/>
      <c r="P26" s="47" t="n"/>
      <c r="Q26" s="47" t="n"/>
      <c r="R26" s="47" t="n"/>
      <c r="S26" s="47" t="n"/>
    </row>
    <row r="27">
      <c r="B27" s="10"/>
      <c r="C27" s="7" t="s">
        <v>605</v>
      </c>
      <c r="D27" s="9"/>
      <c r="E27" s="22"/>
      <c r="F27" s="22"/>
      <c r="G27" s="22"/>
      <c r="H27" s="22"/>
      <c r="I27" s="22"/>
      <c r="J27" s="22"/>
      <c r="K27" s="22"/>
      <c r="L27" s="22"/>
      <c r="M27" s="22"/>
      <c r="N27" s="22"/>
      <c r="O27" s="22"/>
      <c r="P27" s="22"/>
      <c r="Q27" s="22"/>
      <c r="R27" s="22"/>
      <c r="S27" s="22"/>
    </row>
    <row r="28">
      <c r="B28" s="10"/>
      <c r="C28" s="10"/>
      <c r="D28" s="19" t="s">
        <v>606</v>
      </c>
      <c r="E28" s="47" t="n"/>
      <c r="F28" s="47" t="n"/>
      <c r="G28" s="47" t="n"/>
      <c r="H28" s="47" t="n"/>
      <c r="I28" s="47" t="n"/>
      <c r="J28" s="47" t="n"/>
      <c r="K28" s="47" t="n"/>
      <c r="L28" s="47" t="n"/>
      <c r="M28" s="47" t="n"/>
      <c r="N28" s="47" t="n"/>
      <c r="O28" s="47" t="n"/>
      <c r="P28" s="47" t="n"/>
      <c r="Q28" s="47" t="n"/>
      <c r="R28" s="47" t="n"/>
      <c r="S28" s="47" t="n"/>
    </row>
    <row r="29">
      <c r="B29" s="10"/>
      <c r="C29" s="10"/>
      <c r="D29" s="18" t="s">
        <v>607</v>
      </c>
      <c r="E29" s="46" t="n"/>
      <c r="F29" s="46" t="n"/>
      <c r="G29" s="46" t="n"/>
      <c r="H29" s="46" t="n"/>
      <c r="I29" s="46" t="n"/>
      <c r="J29" s="46" t="n"/>
      <c r="K29" s="46" t="n"/>
      <c r="L29" s="46" t="n"/>
      <c r="M29" s="46" t="n"/>
      <c r="N29" s="46" t="n"/>
      <c r="O29" s="46" t="n"/>
      <c r="P29" s="46" t="n"/>
      <c r="Q29" s="46" t="n"/>
      <c r="R29" s="46" t="n"/>
      <c r="S29" s="46" t="n"/>
    </row>
    <row r="30">
      <c r="B30" s="10"/>
      <c r="C30" s="10"/>
      <c r="D30" s="19" t="s">
        <v>608</v>
      </c>
      <c r="E30" s="47" t="n"/>
      <c r="F30" s="47" t="n"/>
      <c r="G30" s="47" t="n"/>
      <c r="H30" s="47" t="n"/>
      <c r="I30" s="47" t="n"/>
      <c r="J30" s="47" t="n"/>
      <c r="K30" s="47" t="n"/>
      <c r="L30" s="47" t="n"/>
      <c r="M30" s="47" t="n"/>
      <c r="N30" s="47" t="n"/>
      <c r="O30" s="47" t="n"/>
      <c r="P30" s="47" t="n"/>
      <c r="Q30" s="47" t="n"/>
      <c r="R30" s="47" t="n"/>
      <c r="S30" s="47" t="n"/>
    </row>
    <row r="31">
      <c r="B31" s="10"/>
      <c r="C31" s="10"/>
      <c r="D31" s="18" t="s">
        <v>609</v>
      </c>
      <c r="E31" s="46" t="n"/>
      <c r="F31" s="46" t="n"/>
      <c r="G31" s="46" t="n"/>
      <c r="H31" s="46" t="n"/>
      <c r="I31" s="46" t="n"/>
      <c r="J31" s="46" t="n"/>
      <c r="K31" s="46" t="n"/>
      <c r="L31" s="46" t="n"/>
      <c r="M31" s="46" t="n"/>
      <c r="N31" s="46" t="n"/>
      <c r="O31" s="46" t="n"/>
      <c r="P31" s="46" t="n"/>
      <c r="Q31" s="46" t="n"/>
      <c r="R31" s="46" t="n"/>
      <c r="S31" s="46" t="n"/>
    </row>
    <row r="32">
      <c r="B32" s="10"/>
      <c r="C32" s="10"/>
      <c r="D32" s="19" t="s">
        <v>610</v>
      </c>
      <c r="E32" s="47" t="n"/>
      <c r="F32" s="47" t="n"/>
      <c r="G32" s="47" t="n"/>
      <c r="H32" s="47" t="n"/>
      <c r="I32" s="47" t="n"/>
      <c r="J32" s="47" t="n"/>
      <c r="K32" s="47" t="n"/>
      <c r="L32" s="47" t="n"/>
      <c r="M32" s="47" t="n"/>
      <c r="N32" s="47" t="n"/>
      <c r="O32" s="47" t="n"/>
      <c r="P32" s="47" t="n"/>
      <c r="Q32" s="47" t="n"/>
      <c r="R32" s="47" t="n"/>
      <c r="S32" s="47" t="n"/>
    </row>
    <row r="33">
      <c r="B33" s="10"/>
      <c r="C33" s="10"/>
      <c r="D33" s="18" t="s">
        <v>611</v>
      </c>
      <c r="E33" s="46" t="n"/>
      <c r="F33" s="46" t="n"/>
      <c r="G33" s="46" t="n"/>
      <c r="H33" s="46" t="n"/>
      <c r="I33" s="46" t="n"/>
      <c r="J33" s="46" t="n"/>
      <c r="K33" s="46" t="n"/>
      <c r="L33" s="46" t="n"/>
      <c r="M33" s="46" t="n"/>
      <c r="N33" s="46" t="n"/>
      <c r="O33" s="46" t="n"/>
      <c r="P33" s="46" t="n"/>
      <c r="Q33" s="46" t="n"/>
      <c r="R33" s="46" t="n"/>
      <c r="S33" s="46" t="n"/>
    </row>
    <row r="34">
      <c r="B34" s="10"/>
      <c r="C34" s="11"/>
      <c r="D34" s="52" t="s">
        <v>612</v>
      </c>
      <c r="E34" s="47" t="n">
        <f>SUM(E28:E33)</f>
      </c>
      <c r="F34" s="47" t="n">
        <f>SUM(F28:F33)</f>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10"/>
      <c r="C35" s="11" t="s">
        <v>613</v>
      </c>
      <c r="D35" s="9"/>
      <c r="E35" s="46" t="n"/>
      <c r="F35" s="46" t="n"/>
      <c r="G35" s="46" t="n"/>
      <c r="H35" s="46" t="n"/>
      <c r="I35" s="46" t="n"/>
      <c r="J35" s="46" t="n"/>
      <c r="K35" s="46" t="n"/>
      <c r="L35" s="46" t="n"/>
      <c r="M35" s="46" t="n"/>
      <c r="N35" s="46" t="n"/>
      <c r="O35" s="46" t="n"/>
      <c r="P35" s="46" t="n"/>
      <c r="Q35" s="46" t="n"/>
      <c r="R35" s="46" t="n"/>
      <c r="S35" s="46" t="n"/>
    </row>
    <row r="36">
      <c r="B36" s="10"/>
      <c r="C36" s="14" t="s">
        <v>614</v>
      </c>
      <c r="D36" s="13"/>
      <c r="E36" s="47" t="n"/>
      <c r="F36" s="47" t="n"/>
      <c r="G36" s="47" t="n"/>
      <c r="H36" s="47" t="n"/>
      <c r="I36" s="47" t="n"/>
      <c r="J36" s="47" t="n"/>
      <c r="K36" s="47" t="n"/>
      <c r="L36" s="47" t="n"/>
      <c r="M36" s="47" t="n"/>
      <c r="N36" s="47" t="n"/>
      <c r="O36" s="47" t="n"/>
      <c r="P36" s="47" t="n"/>
      <c r="Q36" s="47" t="n"/>
      <c r="R36" s="47" t="n"/>
      <c r="S36" s="47" t="n"/>
    </row>
    <row r="37">
      <c r="B37" s="10"/>
      <c r="C37" s="7" t="s">
        <v>615</v>
      </c>
      <c r="D37" s="9"/>
      <c r="E37" s="22"/>
      <c r="F37" s="22"/>
      <c r="G37" s="22"/>
      <c r="H37" s="22"/>
      <c r="I37" s="22"/>
      <c r="J37" s="22"/>
      <c r="K37" s="22"/>
      <c r="L37" s="22"/>
      <c r="M37" s="22"/>
      <c r="N37" s="22"/>
      <c r="O37" s="22"/>
      <c r="P37" s="22"/>
      <c r="Q37" s="22"/>
      <c r="R37" s="22"/>
      <c r="S37" s="22"/>
    </row>
    <row r="38">
      <c r="B38" s="10"/>
      <c r="C38" s="10"/>
      <c r="D38" s="19" t="s">
        <v>616</v>
      </c>
      <c r="E38" s="47" t="n"/>
      <c r="F38" s="47" t="n"/>
      <c r="G38" s="47" t="n"/>
      <c r="H38" s="47" t="n"/>
      <c r="I38" s="47" t="n"/>
      <c r="J38" s="47" t="n"/>
      <c r="K38" s="47" t="n"/>
      <c r="L38" s="47" t="n"/>
      <c r="M38" s="47" t="n"/>
      <c r="N38" s="47" t="n"/>
      <c r="O38" s="47" t="n"/>
      <c r="P38" s="47" t="n"/>
      <c r="Q38" s="47" t="n"/>
      <c r="R38" s="47" t="n"/>
      <c r="S38" s="47" t="n"/>
    </row>
    <row r="39">
      <c r="B39" s="10"/>
      <c r="C39" s="10"/>
      <c r="D39" s="18" t="s">
        <v>617</v>
      </c>
      <c r="E39" s="46" t="n"/>
      <c r="F39" s="46" t="n"/>
      <c r="G39" s="46" t="n"/>
      <c r="H39" s="46" t="n"/>
      <c r="I39" s="46" t="n"/>
      <c r="J39" s="46" t="n"/>
      <c r="K39" s="46" t="n"/>
      <c r="L39" s="46" t="n"/>
      <c r="M39" s="46" t="n"/>
      <c r="N39" s="46" t="n"/>
      <c r="O39" s="46" t="n"/>
      <c r="P39" s="46" t="n"/>
      <c r="Q39" s="46" t="n"/>
      <c r="R39" s="46" t="n"/>
      <c r="S39" s="46" t="n"/>
    </row>
    <row r="40">
      <c r="B40" s="10"/>
      <c r="C40" s="10"/>
      <c r="D40" s="19" t="s">
        <v>618</v>
      </c>
      <c r="E40" s="47" t="n"/>
      <c r="F40" s="47" t="n"/>
      <c r="G40" s="47" t="n"/>
      <c r="H40" s="47" t="n"/>
      <c r="I40" s="47" t="n"/>
      <c r="J40" s="47" t="n"/>
      <c r="K40" s="47" t="n"/>
      <c r="L40" s="47" t="n"/>
      <c r="M40" s="47" t="n"/>
      <c r="N40" s="47" t="n"/>
      <c r="O40" s="47" t="n"/>
      <c r="P40" s="47" t="n"/>
      <c r="Q40" s="47" t="n"/>
      <c r="R40" s="47" t="n"/>
      <c r="S40" s="47" t="n"/>
    </row>
    <row r="41">
      <c r="B41" s="10"/>
      <c r="C41" s="10"/>
      <c r="D41" s="18" t="s">
        <v>619</v>
      </c>
      <c r="E41" s="46" t="n"/>
      <c r="F41" s="46" t="n"/>
      <c r="G41" s="46" t="n"/>
      <c r="H41" s="46" t="n"/>
      <c r="I41" s="46" t="n"/>
      <c r="J41" s="46" t="n"/>
      <c r="K41" s="46" t="n"/>
      <c r="L41" s="46" t="n"/>
      <c r="M41" s="46" t="n"/>
      <c r="N41" s="46" t="n"/>
      <c r="O41" s="46" t="n"/>
      <c r="P41" s="46" t="n"/>
      <c r="Q41" s="46" t="n"/>
      <c r="R41" s="46" t="n"/>
      <c r="S41" s="46" t="n"/>
    </row>
    <row r="42">
      <c r="B42" s="10"/>
      <c r="C42" s="10"/>
      <c r="D42" s="19" t="s">
        <v>620</v>
      </c>
      <c r="E42" s="47" t="n"/>
      <c r="F42" s="47" t="n"/>
      <c r="G42" s="47" t="n"/>
      <c r="H42" s="47" t="n"/>
      <c r="I42" s="47" t="n"/>
      <c r="J42" s="47" t="n"/>
      <c r="K42" s="47" t="n"/>
      <c r="L42" s="47" t="n"/>
      <c r="M42" s="47" t="n"/>
      <c r="N42" s="47" t="n"/>
      <c r="O42" s="47" t="n"/>
      <c r="P42" s="47" t="n"/>
      <c r="Q42" s="47" t="n"/>
      <c r="R42" s="47" t="n"/>
      <c r="S42" s="47" t="n"/>
    </row>
    <row r="43">
      <c r="B43" s="10"/>
      <c r="C43" s="10"/>
      <c r="D43" s="18" t="s">
        <v>621</v>
      </c>
      <c r="E43" s="46" t="n"/>
      <c r="F43" s="46" t="n"/>
      <c r="G43" s="46" t="n"/>
      <c r="H43" s="46" t="n"/>
      <c r="I43" s="46" t="n"/>
      <c r="J43" s="46" t="n"/>
      <c r="K43" s="46" t="n"/>
      <c r="L43" s="46" t="n"/>
      <c r="M43" s="46" t="n"/>
      <c r="N43" s="46" t="n"/>
      <c r="O43" s="46" t="n"/>
      <c r="P43" s="46" t="n"/>
      <c r="Q43" s="46" t="n"/>
      <c r="R43" s="46" t="n"/>
      <c r="S43" s="46" t="n"/>
    </row>
    <row r="44">
      <c r="B44" s="10"/>
      <c r="C44" s="10"/>
      <c r="D44" s="19" t="s">
        <v>622</v>
      </c>
      <c r="E44" s="47" t="n"/>
      <c r="F44" s="47" t="n"/>
      <c r="G44" s="47" t="n"/>
      <c r="H44" s="47" t="n"/>
      <c r="I44" s="47" t="n"/>
      <c r="J44" s="47" t="n"/>
      <c r="K44" s="47" t="n"/>
      <c r="L44" s="47" t="n"/>
      <c r="M44" s="47" t="n"/>
      <c r="N44" s="47" t="n"/>
      <c r="O44" s="47" t="n"/>
      <c r="P44" s="47" t="n"/>
      <c r="Q44" s="47" t="n"/>
      <c r="R44" s="47" t="n"/>
      <c r="S44" s="47" t="n"/>
    </row>
    <row r="45">
      <c r="B45" s="10"/>
      <c r="C45" s="10"/>
      <c r="D45" s="18" t="s">
        <v>623</v>
      </c>
      <c r="E45" s="46" t="n"/>
      <c r="F45" s="46" t="n"/>
      <c r="G45" s="46" t="n"/>
      <c r="H45" s="46" t="n"/>
      <c r="I45" s="46" t="n"/>
      <c r="J45" s="46" t="n"/>
      <c r="K45" s="46" t="n"/>
      <c r="L45" s="46" t="n"/>
      <c r="M45" s="46" t="n"/>
      <c r="N45" s="46" t="n"/>
      <c r="O45" s="46" t="n"/>
      <c r="P45" s="46" t="n"/>
      <c r="Q45" s="46" t="n"/>
      <c r="R45" s="46" t="n"/>
      <c r="S45" s="46" t="n"/>
    </row>
    <row r="46">
      <c r="B46" s="10"/>
      <c r="C46" s="10"/>
      <c r="D46" s="19" t="s">
        <v>624</v>
      </c>
      <c r="E46" s="47" t="n"/>
      <c r="F46" s="47" t="n"/>
      <c r="G46" s="47" t="n"/>
      <c r="H46" s="47" t="n"/>
      <c r="I46" s="47" t="n"/>
      <c r="J46" s="47" t="n"/>
      <c r="K46" s="47" t="n"/>
      <c r="L46" s="47" t="n"/>
      <c r="M46" s="47" t="n"/>
      <c r="N46" s="47" t="n"/>
      <c r="O46" s="47" t="n"/>
      <c r="P46" s="47" t="n"/>
      <c r="Q46" s="47" t="n"/>
      <c r="R46" s="47" t="n"/>
      <c r="S46" s="47" t="n"/>
    </row>
    <row r="47">
      <c r="B47" s="10"/>
      <c r="C47" s="10"/>
      <c r="D47" s="18" t="s">
        <v>625</v>
      </c>
      <c r="E47" s="46" t="n"/>
      <c r="F47" s="46" t="n"/>
      <c r="G47" s="46" t="n"/>
      <c r="H47" s="46" t="n"/>
      <c r="I47" s="46" t="n"/>
      <c r="J47" s="46" t="n"/>
      <c r="K47" s="46" t="n"/>
      <c r="L47" s="46" t="n"/>
      <c r="M47" s="46" t="n"/>
      <c r="N47" s="46" t="n"/>
      <c r="O47" s="46" t="n"/>
      <c r="P47" s="46" t="n"/>
      <c r="Q47" s="46" t="n"/>
      <c r="R47" s="46" t="n"/>
      <c r="S47" s="46" t="n"/>
    </row>
    <row r="48">
      <c r="B48" s="10"/>
      <c r="C48" s="10"/>
      <c r="D48" s="19" t="s">
        <v>626</v>
      </c>
      <c r="E48" s="47" t="n"/>
      <c r="F48" s="47" t="n"/>
      <c r="G48" s="47" t="n"/>
      <c r="H48" s="47" t="n"/>
      <c r="I48" s="47" t="n"/>
      <c r="J48" s="47" t="n"/>
      <c r="K48" s="47" t="n"/>
      <c r="L48" s="47" t="n"/>
      <c r="M48" s="47" t="n"/>
      <c r="N48" s="47" t="n"/>
      <c r="O48" s="47" t="n"/>
      <c r="P48" s="47" t="n"/>
      <c r="Q48" s="47" t="n"/>
      <c r="R48" s="47" t="n"/>
      <c r="S48" s="47" t="n"/>
    </row>
    <row r="49">
      <c r="B49" s="10"/>
      <c r="C49" s="10"/>
      <c r="D49" s="18" t="s">
        <v>627</v>
      </c>
      <c r="E49" s="46" t="n"/>
      <c r="F49" s="46" t="n"/>
      <c r="G49" s="46" t="n"/>
      <c r="H49" s="46" t="n"/>
      <c r="I49" s="46" t="n"/>
      <c r="J49" s="46" t="n"/>
      <c r="K49" s="46" t="n"/>
      <c r="L49" s="46" t="n"/>
      <c r="M49" s="46" t="n"/>
      <c r="N49" s="46" t="n"/>
      <c r="O49" s="46" t="n"/>
      <c r="P49" s="46" t="n"/>
      <c r="Q49" s="46" t="n"/>
      <c r="R49" s="46" t="n"/>
      <c r="S49" s="46" t="n"/>
    </row>
    <row r="50">
      <c r="B50" s="10"/>
      <c r="C50" s="10"/>
      <c r="D50" s="19" t="s">
        <v>628</v>
      </c>
      <c r="E50" s="47" t="n"/>
      <c r="F50" s="47" t="n"/>
      <c r="G50" s="47" t="n"/>
      <c r="H50" s="47" t="n"/>
      <c r="I50" s="47" t="n"/>
      <c r="J50" s="47" t="n"/>
      <c r="K50" s="47" t="n"/>
      <c r="L50" s="47" t="n"/>
      <c r="M50" s="47" t="n"/>
      <c r="N50" s="47" t="n"/>
      <c r="O50" s="47" t="n"/>
      <c r="P50" s="47" t="n"/>
      <c r="Q50" s="47" t="n"/>
      <c r="R50" s="47" t="n"/>
      <c r="S50" s="47" t="n"/>
    </row>
    <row r="51">
      <c r="B51" s="10"/>
      <c r="C51" s="11"/>
      <c r="D51" s="18" t="s">
        <v>629</v>
      </c>
      <c r="E51" s="46" t="n">
        <f>SUM(E38:E50)</f>
      </c>
      <c r="F51" s="46" t="n">
        <f>SUM(F38:F50)</f>
      </c>
      <c r="G51" s="46" t="n">
        <f>SUM(G38:G50)</f>
      </c>
      <c r="H51" s="46" t="n">
        <f>SUM(H38:H50)</f>
      </c>
      <c r="I51" s="46" t="n">
        <f>SUM(I38:I50)</f>
      </c>
      <c r="J51" s="46" t="n">
        <f>SUM(J38:J50)</f>
      </c>
      <c r="K51" s="46" t="n">
        <f>SUM(K38:K50)</f>
      </c>
      <c r="L51" s="46" t="n">
        <f>SUM(L38:L50)</f>
      </c>
      <c r="M51" s="46" t="n">
        <f>SUM(M38:M50)</f>
      </c>
      <c r="N51" s="46" t="n">
        <f>SUM(N38:N50)</f>
      </c>
      <c r="O51" s="46" t="n">
        <f>SUM(O38:O50)</f>
      </c>
      <c r="P51" s="46" t="n">
        <f>SUM(P38:P50)</f>
      </c>
      <c r="Q51" s="46" t="n">
        <f>SUM(Q38:Q50)</f>
      </c>
      <c r="R51" s="46" t="n">
        <f>SUM(R38:R50)</f>
      </c>
      <c r="S51" s="46" t="n">
        <f>SUM(S38:S50)</f>
      </c>
    </row>
    <row r="52">
      <c r="B52" s="10"/>
      <c r="C52" s="16" t="s">
        <v>630</v>
      </c>
      <c r="D52" s="13"/>
      <c r="E52" s="23"/>
      <c r="F52" s="23"/>
      <c r="G52" s="23"/>
      <c r="H52" s="23"/>
      <c r="I52" s="23"/>
      <c r="J52" s="23"/>
      <c r="K52" s="23"/>
      <c r="L52" s="23"/>
      <c r="M52" s="23"/>
      <c r="N52" s="23"/>
      <c r="O52" s="23"/>
      <c r="P52" s="23"/>
      <c r="Q52" s="23"/>
      <c r="R52" s="23"/>
      <c r="S52" s="23"/>
    </row>
    <row r="53">
      <c r="B53" s="10"/>
      <c r="C53" s="17"/>
      <c r="D53" s="18" t="s">
        <v>631</v>
      </c>
      <c r="E53" s="46" t="n"/>
      <c r="F53" s="46" t="n"/>
      <c r="G53" s="46" t="n"/>
      <c r="H53" s="46" t="n"/>
      <c r="I53" s="46" t="n"/>
      <c r="J53" s="46" t="n"/>
      <c r="K53" s="46" t="n"/>
      <c r="L53" s="46" t="n"/>
      <c r="M53" s="46" t="n"/>
      <c r="N53" s="46" t="n"/>
      <c r="O53" s="46" t="n"/>
      <c r="P53" s="46" t="n"/>
      <c r="Q53" s="46" t="n"/>
      <c r="R53" s="46" t="n"/>
      <c r="S53" s="46" t="n"/>
    </row>
    <row r="54">
      <c r="B54" s="10"/>
      <c r="C54" s="17"/>
      <c r="D54" s="19" t="s">
        <v>632</v>
      </c>
      <c r="E54" s="47" t="n"/>
      <c r="F54" s="47" t="n"/>
      <c r="G54" s="47" t="n"/>
      <c r="H54" s="47" t="n"/>
      <c r="I54" s="47" t="n"/>
      <c r="J54" s="47" t="n"/>
      <c r="K54" s="47" t="n"/>
      <c r="L54" s="47" t="n"/>
      <c r="M54" s="47" t="n"/>
      <c r="N54" s="47" t="n"/>
      <c r="O54" s="47" t="n"/>
      <c r="P54" s="47" t="n"/>
      <c r="Q54" s="47" t="n"/>
      <c r="R54" s="47" t="n"/>
      <c r="S54" s="47" t="n"/>
    </row>
    <row r="55">
      <c r="B55" s="10"/>
      <c r="C55" s="17"/>
      <c r="D55" s="18" t="s">
        <v>633</v>
      </c>
      <c r="E55" s="46" t="n"/>
      <c r="F55" s="46" t="n"/>
      <c r="G55" s="46" t="n"/>
      <c r="H55" s="46" t="n"/>
      <c r="I55" s="46" t="n"/>
      <c r="J55" s="46" t="n"/>
      <c r="K55" s="46" t="n"/>
      <c r="L55" s="46" t="n"/>
      <c r="M55" s="46" t="n"/>
      <c r="N55" s="46" t="n"/>
      <c r="O55" s="46" t="n"/>
      <c r="P55" s="46" t="n"/>
      <c r="Q55" s="46" t="n"/>
      <c r="R55" s="46" t="n"/>
      <c r="S55" s="46" t="n"/>
    </row>
    <row r="56">
      <c r="B56" s="10"/>
      <c r="C56" s="17"/>
      <c r="D56" s="19" t="s">
        <v>634</v>
      </c>
      <c r="E56" s="47" t="n"/>
      <c r="F56" s="47" t="n"/>
      <c r="G56" s="47" t="n"/>
      <c r="H56" s="47" t="n"/>
      <c r="I56" s="47" t="n"/>
      <c r="J56" s="47" t="n"/>
      <c r="K56" s="47" t="n"/>
      <c r="L56" s="47" t="n"/>
      <c r="M56" s="47" t="n"/>
      <c r="N56" s="47" t="n"/>
      <c r="O56" s="47" t="n"/>
      <c r="P56" s="47" t="n"/>
      <c r="Q56" s="47" t="n"/>
      <c r="R56" s="47" t="n"/>
      <c r="S56" s="47" t="n"/>
    </row>
    <row r="57">
      <c r="B57" s="10"/>
      <c r="C57" s="17"/>
      <c r="D57" s="18" t="s">
        <v>635</v>
      </c>
      <c r="E57" s="46" t="n"/>
      <c r="F57" s="46" t="n"/>
      <c r="G57" s="46" t="n"/>
      <c r="H57" s="46" t="n"/>
      <c r="I57" s="46" t="n"/>
      <c r="J57" s="46" t="n"/>
      <c r="K57" s="46" t="n"/>
      <c r="L57" s="46" t="n"/>
      <c r="M57" s="46" t="n"/>
      <c r="N57" s="46" t="n"/>
      <c r="O57" s="46" t="n"/>
      <c r="P57" s="46" t="n"/>
      <c r="Q57" s="46" t="n"/>
      <c r="R57" s="46" t="n"/>
      <c r="S57" s="46" t="n"/>
    </row>
    <row r="58">
      <c r="B58" s="10"/>
      <c r="C58" s="17"/>
      <c r="D58" s="19" t="s">
        <v>636</v>
      </c>
      <c r="E58" s="47" t="n"/>
      <c r="F58" s="47" t="n"/>
      <c r="G58" s="47" t="n"/>
      <c r="H58" s="47" t="n"/>
      <c r="I58" s="47" t="n"/>
      <c r="J58" s="47" t="n"/>
      <c r="K58" s="47" t="n"/>
      <c r="L58" s="47" t="n"/>
      <c r="M58" s="47" t="n"/>
      <c r="N58" s="47" t="n"/>
      <c r="O58" s="47" t="n"/>
      <c r="P58" s="47" t="n"/>
      <c r="Q58" s="47" t="n"/>
      <c r="R58" s="47" t="n"/>
      <c r="S58" s="47" t="n"/>
    </row>
    <row r="59">
      <c r="B59" s="10"/>
      <c r="C59" s="17"/>
      <c r="D59" s="18" t="s">
        <v>637</v>
      </c>
      <c r="E59" s="46" t="n"/>
      <c r="F59" s="46" t="n"/>
      <c r="G59" s="46" t="n"/>
      <c r="H59" s="46" t="n"/>
      <c r="I59" s="46" t="n"/>
      <c r="J59" s="46" t="n"/>
      <c r="K59" s="46" t="n"/>
      <c r="L59" s="46" t="n"/>
      <c r="M59" s="46" t="n"/>
      <c r="N59" s="46" t="n"/>
      <c r="O59" s="46" t="n"/>
      <c r="P59" s="46" t="n"/>
      <c r="Q59" s="46" t="n"/>
      <c r="R59" s="46" t="n"/>
      <c r="S59" s="46" t="n"/>
    </row>
    <row r="60">
      <c r="B60" s="10"/>
      <c r="C60" s="17"/>
      <c r="D60" s="19" t="s">
        <v>638</v>
      </c>
      <c r="E60" s="47" t="n"/>
      <c r="F60" s="47" t="n"/>
      <c r="G60" s="47" t="n"/>
      <c r="H60" s="47" t="n"/>
      <c r="I60" s="47" t="n"/>
      <c r="J60" s="47" t="n"/>
      <c r="K60" s="47" t="n"/>
      <c r="L60" s="47" t="n"/>
      <c r="M60" s="47" t="n"/>
      <c r="N60" s="47" t="n"/>
      <c r="O60" s="47" t="n"/>
      <c r="P60" s="47" t="n"/>
      <c r="Q60" s="47" t="n"/>
      <c r="R60" s="47" t="n"/>
      <c r="S60" s="47" t="n"/>
    </row>
    <row r="61">
      <c r="B61" s="10"/>
      <c r="C61" s="17"/>
      <c r="D61" s="18" t="s">
        <v>639</v>
      </c>
      <c r="E61" s="46" t="n"/>
      <c r="F61" s="46" t="n"/>
      <c r="G61" s="46" t="n"/>
      <c r="H61" s="46" t="n"/>
      <c r="I61" s="46" t="n"/>
      <c r="J61" s="46" t="n"/>
      <c r="K61" s="46" t="n"/>
      <c r="L61" s="46" t="n"/>
      <c r="M61" s="46" t="n"/>
      <c r="N61" s="46" t="n"/>
      <c r="O61" s="46" t="n"/>
      <c r="P61" s="46" t="n"/>
      <c r="Q61" s="46" t="n"/>
      <c r="R61" s="46" t="n"/>
      <c r="S61" s="46" t="n"/>
    </row>
    <row r="62">
      <c r="B62" s="10"/>
      <c r="C62" s="17"/>
      <c r="D62" s="19" t="s">
        <v>640</v>
      </c>
      <c r="E62" s="47" t="n"/>
      <c r="F62" s="47" t="n"/>
      <c r="G62" s="47" t="n"/>
      <c r="H62" s="47" t="n"/>
      <c r="I62" s="47" t="n"/>
      <c r="J62" s="47" t="n"/>
      <c r="K62" s="47" t="n"/>
      <c r="L62" s="47" t="n"/>
      <c r="M62" s="47" t="n"/>
      <c r="N62" s="47" t="n"/>
      <c r="O62" s="47" t="n"/>
      <c r="P62" s="47" t="n"/>
      <c r="Q62" s="47" t="n"/>
      <c r="R62" s="47" t="n"/>
      <c r="S62" s="47" t="n"/>
    </row>
    <row r="63">
      <c r="B63" s="10"/>
      <c r="C63" s="17"/>
      <c r="D63" s="18" t="s">
        <v>641</v>
      </c>
      <c r="E63" s="46" t="n"/>
      <c r="F63" s="46" t="n"/>
      <c r="G63" s="46" t="n"/>
      <c r="H63" s="46" t="n"/>
      <c r="I63" s="46" t="n"/>
      <c r="J63" s="46" t="n"/>
      <c r="K63" s="46" t="n"/>
      <c r="L63" s="46" t="n"/>
      <c r="M63" s="46" t="n"/>
      <c r="N63" s="46" t="n"/>
      <c r="O63" s="46" t="n"/>
      <c r="P63" s="46" t="n"/>
      <c r="Q63" s="46" t="n"/>
      <c r="R63" s="46" t="n"/>
      <c r="S63" s="46" t="n"/>
    </row>
    <row r="64">
      <c r="B64" s="10"/>
      <c r="C64" s="14"/>
      <c r="D64" s="52" t="s">
        <v>642</v>
      </c>
      <c r="E64" s="47" t="n">
        <f>SUM(E53:E63)</f>
      </c>
      <c r="F64" s="47" t="n">
        <f>SUM(F53:F63)</f>
      </c>
      <c r="G64" s="47" t="n">
        <f>SUM(G53:G63)</f>
      </c>
      <c r="H64" s="47" t="n">
        <f>SUM(H53:H63)</f>
      </c>
      <c r="I64" s="47" t="n">
        <f>SUM(I53:I63)</f>
      </c>
      <c r="J64" s="47" t="n">
        <f>SUM(J53:J63)</f>
      </c>
      <c r="K64" s="47" t="n">
        <f>SUM(K53:K63)</f>
      </c>
      <c r="L64" s="47" t="n">
        <f>SUM(L53:L63)</f>
      </c>
      <c r="M64" s="47" t="n">
        <f>SUM(M53:M63)</f>
      </c>
      <c r="N64" s="47" t="n">
        <f>SUM(N53:N63)</f>
      </c>
      <c r="O64" s="47" t="n">
        <f>SUM(O53:O63)</f>
      </c>
      <c r="P64" s="47" t="n">
        <f>SUM(P53:P63)</f>
      </c>
      <c r="Q64" s="47" t="n">
        <f>SUM(Q53:Q63)</f>
      </c>
      <c r="R64" s="47" t="n">
        <f>SUM(R53:R63)</f>
      </c>
      <c r="S64" s="47" t="n">
        <f>SUM(S53:S63)</f>
      </c>
    </row>
    <row r="65">
      <c r="B65" s="10"/>
      <c r="C65" s="7" t="s">
        <v>643</v>
      </c>
      <c r="D65" s="9"/>
      <c r="E65" s="22"/>
      <c r="F65" s="22"/>
      <c r="G65" s="22"/>
      <c r="H65" s="22"/>
      <c r="I65" s="22"/>
      <c r="J65" s="22"/>
      <c r="K65" s="22"/>
      <c r="L65" s="22"/>
      <c r="M65" s="22"/>
      <c r="N65" s="22"/>
      <c r="O65" s="22"/>
      <c r="P65" s="22"/>
      <c r="Q65" s="22"/>
      <c r="R65" s="22"/>
      <c r="S65" s="22"/>
    </row>
    <row r="66">
      <c r="B66" s="10"/>
      <c r="C66" s="10"/>
      <c r="D66" s="19" t="s">
        <v>644</v>
      </c>
      <c r="E66" s="47" t="n"/>
      <c r="F66" s="47" t="n"/>
      <c r="G66" s="47" t="n"/>
      <c r="H66" s="47" t="n"/>
      <c r="I66" s="47" t="n"/>
      <c r="J66" s="47" t="n"/>
      <c r="K66" s="47" t="n"/>
      <c r="L66" s="47" t="n"/>
      <c r="M66" s="47" t="n"/>
      <c r="N66" s="47" t="n"/>
      <c r="O66" s="47" t="n"/>
      <c r="P66" s="47" t="n"/>
      <c r="Q66" s="47" t="n"/>
      <c r="R66" s="47" t="n"/>
      <c r="S66" s="47" t="n"/>
    </row>
    <row r="67">
      <c r="B67" s="10"/>
      <c r="C67" s="10"/>
      <c r="D67" s="18" t="s">
        <v>645</v>
      </c>
      <c r="E67" s="46" t="n"/>
      <c r="F67" s="46" t="n"/>
      <c r="G67" s="46" t="n"/>
      <c r="H67" s="46" t="n"/>
      <c r="I67" s="46" t="n"/>
      <c r="J67" s="46" t="n"/>
      <c r="K67" s="46" t="n"/>
      <c r="L67" s="46" t="n"/>
      <c r="M67" s="46" t="n"/>
      <c r="N67" s="46" t="n"/>
      <c r="O67" s="46" t="n"/>
      <c r="P67" s="46" t="n"/>
      <c r="Q67" s="46" t="n"/>
      <c r="R67" s="46" t="n"/>
      <c r="S67" s="46" t="n"/>
    </row>
    <row r="68">
      <c r="B68" s="10"/>
      <c r="C68" s="10"/>
      <c r="D68" s="19" t="s">
        <v>646</v>
      </c>
      <c r="E68" s="47" t="n"/>
      <c r="F68" s="47" t="n"/>
      <c r="G68" s="47" t="n"/>
      <c r="H68" s="47" t="n"/>
      <c r="I68" s="47" t="n"/>
      <c r="J68" s="47" t="n"/>
      <c r="K68" s="47" t="n"/>
      <c r="L68" s="47" t="n"/>
      <c r="M68" s="47" t="n"/>
      <c r="N68" s="47" t="n"/>
      <c r="O68" s="47" t="n"/>
      <c r="P68" s="47" t="n"/>
      <c r="Q68" s="47" t="n"/>
      <c r="R68" s="47" t="n"/>
      <c r="S68" s="47" t="n"/>
    </row>
    <row r="69">
      <c r="B69" s="10"/>
      <c r="C69" s="10"/>
      <c r="D69" s="18" t="s">
        <v>647</v>
      </c>
      <c r="E69" s="46" t="n"/>
      <c r="F69" s="46" t="n"/>
      <c r="G69" s="46" t="n"/>
      <c r="H69" s="46" t="n"/>
      <c r="I69" s="46" t="n"/>
      <c r="J69" s="46" t="n"/>
      <c r="K69" s="46" t="n"/>
      <c r="L69" s="46" t="n"/>
      <c r="M69" s="46" t="n"/>
      <c r="N69" s="46" t="n"/>
      <c r="O69" s="46" t="n"/>
      <c r="P69" s="46" t="n"/>
      <c r="Q69" s="46" t="n"/>
      <c r="R69" s="46" t="n"/>
      <c r="S69" s="46" t="n"/>
    </row>
    <row r="70">
      <c r="B70" s="10"/>
      <c r="C70" s="10"/>
      <c r="D70" s="19" t="s">
        <v>648</v>
      </c>
      <c r="E70" s="47" t="n"/>
      <c r="F70" s="47" t="n"/>
      <c r="G70" s="47" t="n"/>
      <c r="H70" s="47" t="n"/>
      <c r="I70" s="47" t="n"/>
      <c r="J70" s="47" t="n"/>
      <c r="K70" s="47" t="n"/>
      <c r="L70" s="47" t="n"/>
      <c r="M70" s="47" t="n"/>
      <c r="N70" s="47" t="n"/>
      <c r="O70" s="47" t="n"/>
      <c r="P70" s="47" t="n"/>
      <c r="Q70" s="47" t="n"/>
      <c r="R70" s="47" t="n"/>
      <c r="S70" s="47" t="n"/>
    </row>
    <row r="71">
      <c r="B71" s="10"/>
      <c r="C71" s="10"/>
      <c r="D71" s="18" t="s">
        <v>649</v>
      </c>
      <c r="E71" s="46" t="n"/>
      <c r="F71" s="46" t="n"/>
      <c r="G71" s="46" t="n"/>
      <c r="H71" s="46" t="n"/>
      <c r="I71" s="46" t="n"/>
      <c r="J71" s="46" t="n"/>
      <c r="K71" s="46" t="n"/>
      <c r="L71" s="46" t="n"/>
      <c r="M71" s="46" t="n"/>
      <c r="N71" s="46" t="n"/>
      <c r="O71" s="46" t="n"/>
      <c r="P71" s="46" t="n"/>
      <c r="Q71" s="46" t="n"/>
      <c r="R71" s="46" t="n"/>
      <c r="S71" s="46" t="n"/>
    </row>
    <row r="72">
      <c r="B72" s="10"/>
      <c r="C72" s="11"/>
      <c r="D72" s="52" t="s">
        <v>650</v>
      </c>
      <c r="E72" s="47" t="n">
        <f>SUM(E66:E71)</f>
      </c>
      <c r="F72" s="47" t="n">
        <f>SUM(F66:F71)</f>
      </c>
      <c r="G72" s="47" t="n">
        <f>SUM(G66:G71)</f>
      </c>
      <c r="H72" s="47" t="n">
        <f>SUM(H66:H71)</f>
      </c>
      <c r="I72" s="47" t="n">
        <f>SUM(I66:I71)</f>
      </c>
      <c r="J72" s="47" t="n">
        <f>SUM(J66:J71)</f>
      </c>
      <c r="K72" s="47" t="n">
        <f>SUM(K66:K71)</f>
      </c>
      <c r="L72" s="47" t="n">
        <f>SUM(L66:L71)</f>
      </c>
      <c r="M72" s="47" t="n">
        <f>SUM(M66:M71)</f>
      </c>
      <c r="N72" s="47" t="n">
        <f>SUM(N66:N71)</f>
      </c>
      <c r="O72" s="47" t="n">
        <f>SUM(O66:O71)</f>
      </c>
      <c r="P72" s="47" t="n">
        <f>SUM(P66:P71)</f>
      </c>
      <c r="Q72" s="47" t="n">
        <f>SUM(Q66:Q71)</f>
      </c>
      <c r="R72" s="47" t="n">
        <f>SUM(R66:R71)</f>
      </c>
      <c r="S72" s="47" t="n">
        <f>SUM(S66:S71)</f>
      </c>
    </row>
    <row r="73">
      <c r="B73" s="10"/>
      <c r="C73" s="11" t="s">
        <v>651</v>
      </c>
      <c r="D73" s="9"/>
      <c r="E73" s="46" t="n"/>
      <c r="F73" s="46" t="n"/>
      <c r="G73" s="46" t="n"/>
      <c r="H73" s="46" t="n"/>
      <c r="I73" s="46" t="n"/>
      <c r="J73" s="46" t="n"/>
      <c r="K73" s="46" t="n"/>
      <c r="L73" s="46" t="n"/>
      <c r="M73" s="46" t="n"/>
      <c r="N73" s="46" t="n"/>
      <c r="O73" s="46" t="n"/>
      <c r="P73" s="46" t="n"/>
      <c r="Q73" s="46" t="n"/>
      <c r="R73" s="46" t="n"/>
      <c r="S73" s="46" t="n"/>
    </row>
    <row r="74">
      <c r="B74" s="10"/>
      <c r="C74" s="14" t="s">
        <v>652</v>
      </c>
      <c r="D74" s="13"/>
      <c r="E74" s="47" t="n"/>
      <c r="F74" s="47" t="n"/>
      <c r="G74" s="47" t="n"/>
      <c r="H74" s="47" t="n"/>
      <c r="I74" s="47" t="n"/>
      <c r="J74" s="47" t="n"/>
      <c r="K74" s="47" t="n"/>
      <c r="L74" s="47" t="n"/>
      <c r="M74" s="47" t="n"/>
      <c r="N74" s="47" t="n"/>
      <c r="O74" s="47" t="n"/>
      <c r="P74" s="47" t="n"/>
      <c r="Q74" s="47" t="n"/>
      <c r="R74" s="47" t="n"/>
      <c r="S74" s="47" t="n"/>
    </row>
    <row r="75">
      <c r="B75" s="10"/>
      <c r="C75" s="11" t="s">
        <v>653</v>
      </c>
      <c r="D75" s="9"/>
      <c r="E75" s="46" t="n"/>
      <c r="F75" s="46" t="n"/>
      <c r="G75" s="46" t="n"/>
      <c r="H75" s="46" t="n"/>
      <c r="I75" s="46" t="n"/>
      <c r="J75" s="46" t="n"/>
      <c r="K75" s="46" t="n"/>
      <c r="L75" s="46" t="n"/>
      <c r="M75" s="46" t="n"/>
      <c r="N75" s="46" t="n"/>
      <c r="O75" s="46" t="n"/>
      <c r="P75" s="46" t="n"/>
      <c r="Q75" s="46" t="n"/>
      <c r="R75" s="46" t="n"/>
      <c r="S75" s="46" t="n"/>
    </row>
    <row r="76">
      <c r="B76" s="10"/>
      <c r="C76" s="14" t="s">
        <v>654</v>
      </c>
      <c r="D76" s="13"/>
      <c r="E76" s="47" t="n"/>
      <c r="F76" s="47" t="n"/>
      <c r="G76" s="47" t="n"/>
      <c r="H76" s="47" t="n"/>
      <c r="I76" s="47" t="n"/>
      <c r="J76" s="47" t="n"/>
      <c r="K76" s="47" t="n"/>
      <c r="L76" s="47" t="n"/>
      <c r="M76" s="47" t="n"/>
      <c r="N76" s="47" t="n"/>
      <c r="O76" s="47" t="n"/>
      <c r="P76" s="47" t="n"/>
      <c r="Q76" s="47" t="n"/>
      <c r="R76" s="47" t="n"/>
      <c r="S76" s="47" t="n"/>
    </row>
    <row r="77">
      <c r="B77" s="10"/>
      <c r="C77" s="11" t="s">
        <v>655</v>
      </c>
      <c r="D77" s="9"/>
      <c r="E77" s="46" t="n"/>
      <c r="F77" s="46" t="n"/>
      <c r="G77" s="46" t="n"/>
      <c r="H77" s="46" t="n"/>
      <c r="I77" s="46" t="n"/>
      <c r="J77" s="46" t="n"/>
      <c r="K77" s="46" t="n"/>
      <c r="L77" s="46" t="n"/>
      <c r="M77" s="46" t="n"/>
      <c r="N77" s="46" t="n"/>
      <c r="O77" s="46" t="n"/>
      <c r="P77" s="46" t="n"/>
      <c r="Q77" s="46" t="n"/>
      <c r="R77" s="46" t="n"/>
      <c r="S77" s="46" t="n"/>
    </row>
    <row r="78">
      <c r="B78" s="10"/>
      <c r="C78" s="14" t="s">
        <v>656</v>
      </c>
      <c r="D78" s="13"/>
      <c r="E78" s="47" t="n"/>
      <c r="F78" s="47" t="n"/>
      <c r="G78" s="47" t="n"/>
      <c r="H78" s="47" t="n"/>
      <c r="I78" s="47" t="n"/>
      <c r="J78" s="47" t="n"/>
      <c r="K78" s="47" t="n"/>
      <c r="L78" s="47" t="n"/>
      <c r="M78" s="47" t="n"/>
      <c r="N78" s="47" t="n"/>
      <c r="O78" s="47" t="n"/>
      <c r="P78" s="47" t="n"/>
      <c r="Q78" s="47" t="n"/>
      <c r="R78" s="47" t="n"/>
      <c r="S78" s="47" t="n"/>
    </row>
    <row r="79">
      <c r="B79" s="10"/>
      <c r="C79" s="11" t="s">
        <v>657</v>
      </c>
      <c r="D79" s="9"/>
      <c r="E79" s="46" t="n"/>
      <c r="F79" s="46" t="n"/>
      <c r="G79" s="46" t="n"/>
      <c r="H79" s="46" t="n"/>
      <c r="I79" s="46" t="n"/>
      <c r="J79" s="46" t="n"/>
      <c r="K79" s="46" t="n"/>
      <c r="L79" s="46" t="n"/>
      <c r="M79" s="46" t="n"/>
      <c r="N79" s="46" t="n"/>
      <c r="O79" s="46" t="n"/>
      <c r="P79" s="46" t="n"/>
      <c r="Q79" s="46" t="n"/>
      <c r="R79" s="46" t="n"/>
      <c r="S79" s="46" t="n"/>
    </row>
    <row r="80">
      <c r="B80" s="10"/>
      <c r="C80" s="14" t="s">
        <v>658</v>
      </c>
      <c r="D80" s="13"/>
      <c r="E80" s="47" t="n"/>
      <c r="F80" s="47" t="n"/>
      <c r="G80" s="47" t="n"/>
      <c r="H80" s="47" t="n"/>
      <c r="I80" s="47" t="n"/>
      <c r="J80" s="47" t="n"/>
      <c r="K80" s="47" t="n"/>
      <c r="L80" s="47" t="n"/>
      <c r="M80" s="47" t="n"/>
      <c r="N80" s="47" t="n"/>
      <c r="O80" s="47" t="n"/>
      <c r="P80" s="47" t="n"/>
      <c r="Q80" s="47" t="n"/>
      <c r="R80" s="47" t="n"/>
      <c r="S80" s="47" t="n"/>
    </row>
    <row r="81">
      <c r="B81" s="10"/>
      <c r="C81" s="11" t="s">
        <v>659</v>
      </c>
      <c r="D81" s="9"/>
      <c r="E81" s="46" t="n"/>
      <c r="F81" s="46" t="n"/>
      <c r="G81" s="46" t="n"/>
      <c r="H81" s="46" t="n"/>
      <c r="I81" s="46" t="n"/>
      <c r="J81" s="46" t="n"/>
      <c r="K81" s="46" t="n"/>
      <c r="L81" s="46" t="n"/>
      <c r="M81" s="46" t="n"/>
      <c r="N81" s="46" t="n"/>
      <c r="O81" s="46" t="n"/>
      <c r="P81" s="46" t="n"/>
      <c r="Q81" s="46" t="n"/>
      <c r="R81" s="46" t="n"/>
      <c r="S81" s="46" t="n"/>
    </row>
    <row r="82">
      <c r="B82" s="10"/>
      <c r="C82" s="14" t="s">
        <v>660</v>
      </c>
      <c r="D82" s="13"/>
      <c r="E82" s="47" t="n"/>
      <c r="F82" s="47" t="n"/>
      <c r="G82" s="47" t="n"/>
      <c r="H82" s="47" t="n"/>
      <c r="I82" s="47" t="n"/>
      <c r="J82" s="47" t="n"/>
      <c r="K82" s="47" t="n"/>
      <c r="L82" s="47" t="n"/>
      <c r="M82" s="47" t="n"/>
      <c r="N82" s="47" t="n"/>
      <c r="O82" s="47" t="n"/>
      <c r="P82" s="47" t="n"/>
      <c r="Q82" s="47" t="n"/>
      <c r="R82" s="47" t="n"/>
      <c r="S82" s="47" t="n"/>
    </row>
    <row r="83">
      <c r="B83" s="11"/>
      <c r="C83" s="45" t="s">
        <v>661</v>
      </c>
      <c r="D83" s="44"/>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c r="N83" s="48" t="n">
        <f>SUM(N14:N20)+N25+N26+SUM(N34:N36)+N51+N64+SUM(N72:N82)</f>
      </c>
      <c r="O83" s="48" t="n">
        <f>SUM(O14:O20)+O25+O26+SUM(O34:O36)+O51+O64+SUM(O72:O82)</f>
      </c>
      <c r="P83" s="48" t="n">
        <f>SUM(P14:P20)+P25+P26+SUM(P34:P36)+P51+P64+SUM(P72:P82)</f>
      </c>
      <c r="Q83" s="48" t="n">
        <f>SUM(Q14:Q20)+Q25+Q26+SUM(Q34:Q36)+Q51+Q64+SUM(Q72:Q82)</f>
      </c>
      <c r="R83" s="48" t="n">
        <f>SUM(R14:R20)+R25+R26+SUM(R34:R36)+R51+R64+SUM(R72:R82)</f>
      </c>
      <c r="S83" s="48" t="n">
        <f>SUM(S14:S20)+S25+S26+SUM(S34:S36)+S51+S64+SUM(S72:S82)</f>
      </c>
    </row>
  </sheetData>
  <mergeCells>
    <mergeCell ref="E10:S10"/>
    <mergeCell ref="E11:G11"/>
    <mergeCell ref="H11:J11"/>
    <mergeCell ref="K11:M11"/>
    <mergeCell ref="N11:P11"/>
    <mergeCell ref="Q11:Q12"/>
    <mergeCell ref="R11:R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4.xml><?xml version="1.0" encoding="utf-8"?>
<worksheet xmlns="http://schemas.openxmlformats.org/spreadsheetml/2006/main">
  <dimension ref="B2:N83"/>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s>
  <sheetData>
    <row r="2">
      <c r="B2" t="s" s="2">
        <v>1</v>
      </c>
    </row>
    <row r="3">
      <c r="B3" t="s" s="1">
        <v>3</v>
      </c>
      <c r="C3" t="s">
        <v>4</v>
      </c>
    </row>
    <row r="4">
      <c r="B4" s="1" t="s">
        <v>5</v>
      </c>
      <c r="C4" t="s">
        <v>6</v>
      </c>
    </row>
    <row r="5">
      <c r="B5" t="s" s="1">
        <v>7</v>
      </c>
      <c r="C5" t="s">
        <v>728</v>
      </c>
    </row>
    <row r="6">
      <c r="B6" t="s" s="1">
        <v>8</v>
      </c>
      <c r="C6" t="s">
        <v>9</v>
      </c>
    </row>
    <row r="7">
      <c r="B7" t="s" s="1">
        <v>10</v>
      </c>
      <c r="C7" t="s">
        <v>9</v>
      </c>
    </row>
    <row r="8">
      <c r="B8" t="s" s="1">
        <v>11</v>
      </c>
      <c r="C8" t="s">
        <v>12</v>
      </c>
    </row>
    <row r="10">
      <c r="E10" t="s" s="4">
        <v>729</v>
      </c>
      <c r="F10" s="29"/>
      <c r="G10" s="29"/>
      <c r="H10" s="29"/>
      <c r="I10" s="29"/>
      <c r="J10" s="29"/>
      <c r="K10" s="29"/>
      <c r="L10" s="29"/>
      <c r="M10" s="30"/>
    </row>
    <row r="11">
      <c r="E11" t="s" s="32">
        <v>730</v>
      </c>
      <c r="F11" s="59"/>
      <c r="G11" s="60"/>
      <c r="H11" t="s" s="4">
        <v>44</v>
      </c>
      <c r="I11" s="29"/>
      <c r="J11" s="30"/>
      <c r="K11" t="s" s="33">
        <v>735</v>
      </c>
      <c r="L11" t="s" s="5">
        <v>736</v>
      </c>
      <c r="M11" s="56"/>
    </row>
    <row r="12" ht="28.0" customHeight="true">
      <c r="E12" t="s" s="6">
        <v>731</v>
      </c>
      <c r="F12" t="s" s="34">
        <v>732</v>
      </c>
      <c r="G12" s="55"/>
      <c r="H12" t="s" s="34">
        <v>733</v>
      </c>
      <c r="I12" t="s" s="6">
        <v>734</v>
      </c>
      <c r="J12" s="35"/>
      <c r="K12" s="55"/>
      <c r="L12" s="35"/>
      <c r="M12" s="36"/>
    </row>
    <row r="13">
      <c r="B13" s="7" t="s">
        <v>591</v>
      </c>
      <c r="C13" s="8"/>
      <c r="D13" s="9"/>
      <c r="E13" s="22"/>
      <c r="F13" s="22"/>
      <c r="G13" s="22"/>
      <c r="H13" s="22"/>
      <c r="I13" s="22"/>
      <c r="J13" s="22"/>
      <c r="K13" s="22"/>
      <c r="L13" s="22"/>
      <c r="M13" s="22"/>
    </row>
    <row r="14">
      <c r="B14" s="10"/>
      <c r="C14" s="14" t="s">
        <v>592</v>
      </c>
      <c r="D14" s="13"/>
      <c r="E14" s="47" t="n"/>
      <c r="F14" s="47" t="n"/>
      <c r="G14" s="47" t="n"/>
      <c r="H14" s="47" t="n"/>
      <c r="I14" s="47" t="n"/>
      <c r="J14" s="47" t="n"/>
      <c r="K14" s="47" t="n"/>
      <c r="L14" s="47" t="n"/>
      <c r="M14" s="47" t="n"/>
    </row>
    <row r="15">
      <c r="B15" s="10"/>
      <c r="C15" s="11" t="s">
        <v>593</v>
      </c>
      <c r="D15" s="9"/>
      <c r="E15" s="46" t="n"/>
      <c r="F15" s="46" t="n"/>
      <c r="G15" s="46" t="n"/>
      <c r="H15" s="46" t="n"/>
      <c r="I15" s="46" t="n"/>
      <c r="J15" s="46" t="n"/>
      <c r="K15" s="46" t="n"/>
      <c r="L15" s="46" t="n"/>
      <c r="M15" s="46" t="n"/>
    </row>
    <row r="16">
      <c r="B16" s="10"/>
      <c r="C16" s="14" t="s">
        <v>594</v>
      </c>
      <c r="D16" s="13"/>
      <c r="E16" s="47" t="n"/>
      <c r="F16" s="47" t="n"/>
      <c r="G16" s="47" t="n"/>
      <c r="H16" s="47" t="n"/>
      <c r="I16" s="47" t="n"/>
      <c r="J16" s="47" t="n"/>
      <c r="K16" s="47" t="n"/>
      <c r="L16" s="47" t="n"/>
      <c r="M16" s="47" t="n"/>
    </row>
    <row r="17">
      <c r="B17" s="10"/>
      <c r="C17" s="11" t="s">
        <v>595</v>
      </c>
      <c r="D17" s="9"/>
      <c r="E17" s="46" t="n"/>
      <c r="F17" s="46" t="n"/>
      <c r="G17" s="46" t="n"/>
      <c r="H17" s="46" t="n"/>
      <c r="I17" s="46" t="n"/>
      <c r="J17" s="46" t="n"/>
      <c r="K17" s="46" t="n"/>
      <c r="L17" s="46" t="n"/>
      <c r="M17" s="46" t="n"/>
    </row>
    <row r="18">
      <c r="B18" s="10"/>
      <c r="C18" s="14" t="s">
        <v>596</v>
      </c>
      <c r="D18" s="13"/>
      <c r="E18" s="47" t="n"/>
      <c r="F18" s="47" t="n"/>
      <c r="G18" s="47" t="n"/>
      <c r="H18" s="47" t="n"/>
      <c r="I18" s="47" t="n"/>
      <c r="J18" s="47" t="n"/>
      <c r="K18" s="47" t="n"/>
      <c r="L18" s="47" t="n"/>
      <c r="M18" s="47" t="n"/>
    </row>
    <row r="19">
      <c r="B19" s="10"/>
      <c r="C19" s="11" t="s">
        <v>597</v>
      </c>
      <c r="D19" s="9"/>
      <c r="E19" s="46" t="n"/>
      <c r="F19" s="46" t="n"/>
      <c r="G19" s="46" t="n"/>
      <c r="H19" s="46" t="n"/>
      <c r="I19" s="46" t="n"/>
      <c r="J19" s="46" t="n"/>
      <c r="K19" s="46" t="n"/>
      <c r="L19" s="46" t="n"/>
      <c r="M19" s="46" t="n"/>
    </row>
    <row r="20">
      <c r="B20" s="10"/>
      <c r="C20" s="14" t="s">
        <v>598</v>
      </c>
      <c r="D20" s="13"/>
      <c r="E20" s="47" t="n"/>
      <c r="F20" s="47" t="n"/>
      <c r="G20" s="47" t="n"/>
      <c r="H20" s="47" t="n"/>
      <c r="I20" s="47" t="n"/>
      <c r="J20" s="47" t="n"/>
      <c r="K20" s="47" t="n"/>
      <c r="L20" s="47" t="n"/>
      <c r="M20" s="47" t="n"/>
    </row>
    <row r="21">
      <c r="B21" s="10"/>
      <c r="C21" s="7" t="s">
        <v>599</v>
      </c>
      <c r="D21" s="9"/>
      <c r="E21" s="22"/>
      <c r="F21" s="22"/>
      <c r="G21" s="22"/>
      <c r="H21" s="22"/>
      <c r="I21" s="22"/>
      <c r="J21" s="22"/>
      <c r="K21" s="22"/>
      <c r="L21" s="22"/>
      <c r="M21" s="22"/>
    </row>
    <row r="22">
      <c r="B22" s="10"/>
      <c r="C22" s="10"/>
      <c r="D22" s="19" t="s">
        <v>600</v>
      </c>
      <c r="E22" s="47" t="n"/>
      <c r="F22" s="47" t="n"/>
      <c r="G22" s="47" t="n"/>
      <c r="H22" s="47" t="n"/>
      <c r="I22" s="47" t="n"/>
      <c r="J22" s="47" t="n"/>
      <c r="K22" s="47" t="n"/>
      <c r="L22" s="47" t="n"/>
      <c r="M22" s="47" t="n"/>
    </row>
    <row r="23">
      <c r="B23" s="10"/>
      <c r="C23" s="10"/>
      <c r="D23" s="18" t="s">
        <v>601</v>
      </c>
      <c r="E23" s="46" t="n"/>
      <c r="F23" s="46" t="n"/>
      <c r="G23" s="46" t="n"/>
      <c r="H23" s="46" t="n"/>
      <c r="I23" s="46" t="n"/>
      <c r="J23" s="46" t="n"/>
      <c r="K23" s="46" t="n"/>
      <c r="L23" s="46" t="n"/>
      <c r="M23" s="46" t="n"/>
    </row>
    <row r="24">
      <c r="B24" s="10"/>
      <c r="C24" s="10"/>
      <c r="D24" s="19" t="s">
        <v>602</v>
      </c>
      <c r="E24" s="47" t="n"/>
      <c r="F24" s="47" t="n"/>
      <c r="G24" s="47" t="n"/>
      <c r="H24" s="47" t="n"/>
      <c r="I24" s="47" t="n"/>
      <c r="J24" s="47" t="n"/>
      <c r="K24" s="47" t="n"/>
      <c r="L24" s="47" t="n"/>
      <c r="M24" s="47" t="n"/>
    </row>
    <row r="25">
      <c r="B25" s="10"/>
      <c r="C25" s="11"/>
      <c r="D25" s="51" t="s">
        <v>603</v>
      </c>
      <c r="E25" s="46" t="n">
        <f>SUM(E22:E24)</f>
      </c>
      <c r="F25" s="46" t="n">
        <f>SUM(F22:F24)</f>
      </c>
      <c r="G25" s="46" t="n">
        <f>SUM(G22:G24)</f>
      </c>
      <c r="H25" s="46" t="n">
        <f>SUM(H22:H24)</f>
      </c>
      <c r="I25" s="46" t="n">
        <f>SUM(I22:I24)</f>
      </c>
      <c r="J25" s="46" t="n">
        <f>SUM(J22:J24)</f>
      </c>
      <c r="K25" s="46" t="n">
        <f>SUM(K22:K24)</f>
      </c>
      <c r="L25" s="46" t="n">
        <f>SUM(L22:L24)</f>
      </c>
      <c r="M25" s="46" t="n">
        <f>SUM(M22:M24)</f>
      </c>
    </row>
    <row r="26">
      <c r="B26" s="10"/>
      <c r="C26" s="14" t="s">
        <v>604</v>
      </c>
      <c r="D26" s="13"/>
      <c r="E26" s="47" t="n"/>
      <c r="F26" s="47" t="n"/>
      <c r="G26" s="47" t="n"/>
      <c r="H26" s="47" t="n"/>
      <c r="I26" s="47" t="n"/>
      <c r="J26" s="47" t="n"/>
      <c r="K26" s="47" t="n"/>
      <c r="L26" s="47" t="n"/>
      <c r="M26" s="47" t="n"/>
    </row>
    <row r="27">
      <c r="B27" s="10"/>
      <c r="C27" s="7" t="s">
        <v>605</v>
      </c>
      <c r="D27" s="9"/>
      <c r="E27" s="22"/>
      <c r="F27" s="22"/>
      <c r="G27" s="22"/>
      <c r="H27" s="22"/>
      <c r="I27" s="22"/>
      <c r="J27" s="22"/>
      <c r="K27" s="22"/>
      <c r="L27" s="22"/>
      <c r="M27" s="22"/>
    </row>
    <row r="28">
      <c r="B28" s="10"/>
      <c r="C28" s="10"/>
      <c r="D28" s="19" t="s">
        <v>606</v>
      </c>
      <c r="E28" s="47" t="n"/>
      <c r="F28" s="47" t="n"/>
      <c r="G28" s="47" t="n"/>
      <c r="H28" s="47" t="n"/>
      <c r="I28" s="47" t="n"/>
      <c r="J28" s="47" t="n"/>
      <c r="K28" s="47" t="n"/>
      <c r="L28" s="47" t="n"/>
      <c r="M28" s="47" t="n"/>
    </row>
    <row r="29">
      <c r="B29" s="10"/>
      <c r="C29" s="10"/>
      <c r="D29" s="18" t="s">
        <v>607</v>
      </c>
      <c r="E29" s="46" t="n"/>
      <c r="F29" s="46" t="n"/>
      <c r="G29" s="46" t="n"/>
      <c r="H29" s="46" t="n"/>
      <c r="I29" s="46" t="n"/>
      <c r="J29" s="46" t="n"/>
      <c r="K29" s="46" t="n"/>
      <c r="L29" s="46" t="n"/>
      <c r="M29" s="46" t="n"/>
    </row>
    <row r="30">
      <c r="B30" s="10"/>
      <c r="C30" s="10"/>
      <c r="D30" s="19" t="s">
        <v>608</v>
      </c>
      <c r="E30" s="47" t="n"/>
      <c r="F30" s="47" t="n"/>
      <c r="G30" s="47" t="n"/>
      <c r="H30" s="47" t="n"/>
      <c r="I30" s="47" t="n"/>
      <c r="J30" s="47" t="n"/>
      <c r="K30" s="47" t="n"/>
      <c r="L30" s="47" t="n"/>
      <c r="M30" s="47" t="n"/>
    </row>
    <row r="31">
      <c r="B31" s="10"/>
      <c r="C31" s="10"/>
      <c r="D31" s="18" t="s">
        <v>609</v>
      </c>
      <c r="E31" s="46" t="n"/>
      <c r="F31" s="46" t="n"/>
      <c r="G31" s="46" t="n"/>
      <c r="H31" s="46" t="n"/>
      <c r="I31" s="46" t="n"/>
      <c r="J31" s="46" t="n"/>
      <c r="K31" s="46" t="n"/>
      <c r="L31" s="46" t="n"/>
      <c r="M31" s="46" t="n"/>
    </row>
    <row r="32">
      <c r="B32" s="10"/>
      <c r="C32" s="10"/>
      <c r="D32" s="19" t="s">
        <v>610</v>
      </c>
      <c r="E32" s="47" t="n"/>
      <c r="F32" s="47" t="n"/>
      <c r="G32" s="47" t="n"/>
      <c r="H32" s="47" t="n"/>
      <c r="I32" s="47" t="n"/>
      <c r="J32" s="47" t="n"/>
      <c r="K32" s="47" t="n"/>
      <c r="L32" s="47" t="n"/>
      <c r="M32" s="47" t="n"/>
    </row>
    <row r="33">
      <c r="B33" s="10"/>
      <c r="C33" s="10"/>
      <c r="D33" s="18" t="s">
        <v>611</v>
      </c>
      <c r="E33" s="46" t="n"/>
      <c r="F33" s="46" t="n"/>
      <c r="G33" s="46" t="n"/>
      <c r="H33" s="46" t="n"/>
      <c r="I33" s="46" t="n"/>
      <c r="J33" s="46" t="n"/>
      <c r="K33" s="46" t="n"/>
      <c r="L33" s="46" t="n"/>
      <c r="M33" s="46" t="n"/>
    </row>
    <row r="34">
      <c r="B34" s="10"/>
      <c r="C34" s="11"/>
      <c r="D34" s="52" t="s">
        <v>612</v>
      </c>
      <c r="E34" s="47" t="n">
        <f>SUM(E28:E33)</f>
      </c>
      <c r="F34" s="47" t="n">
        <f>SUM(F28:F33)</f>
      </c>
      <c r="G34" s="47" t="n">
        <f>SUM(G28:G33)</f>
      </c>
      <c r="H34" s="47" t="n">
        <f>SUM(H28:H33)</f>
      </c>
      <c r="I34" s="47" t="n">
        <f>SUM(I28:I33)</f>
      </c>
      <c r="J34" s="47" t="n">
        <f>SUM(J28:J33)</f>
      </c>
      <c r="K34" s="47" t="n">
        <f>SUM(K28:K33)</f>
      </c>
      <c r="L34" s="47" t="n">
        <f>SUM(L28:L33)</f>
      </c>
      <c r="M34" s="47" t="n">
        <f>SUM(M28:M33)</f>
      </c>
    </row>
    <row r="35">
      <c r="B35" s="10"/>
      <c r="C35" s="11" t="s">
        <v>613</v>
      </c>
      <c r="D35" s="9"/>
      <c r="E35" s="46" t="n"/>
      <c r="F35" s="46" t="n"/>
      <c r="G35" s="46" t="n"/>
      <c r="H35" s="46" t="n"/>
      <c r="I35" s="46" t="n"/>
      <c r="J35" s="46" t="n"/>
      <c r="K35" s="46" t="n"/>
      <c r="L35" s="46" t="n"/>
      <c r="M35" s="46" t="n"/>
    </row>
    <row r="36">
      <c r="B36" s="10"/>
      <c r="C36" s="14" t="s">
        <v>614</v>
      </c>
      <c r="D36" s="13"/>
      <c r="E36" s="47" t="n"/>
      <c r="F36" s="47" t="n"/>
      <c r="G36" s="47" t="n"/>
      <c r="H36" s="47" t="n"/>
      <c r="I36" s="47" t="n"/>
      <c r="J36" s="47" t="n"/>
      <c r="K36" s="47" t="n"/>
      <c r="L36" s="47" t="n"/>
      <c r="M36" s="47" t="n"/>
    </row>
    <row r="37">
      <c r="B37" s="10"/>
      <c r="C37" s="7" t="s">
        <v>615</v>
      </c>
      <c r="D37" s="9"/>
      <c r="E37" s="22"/>
      <c r="F37" s="22"/>
      <c r="G37" s="22"/>
      <c r="H37" s="22"/>
      <c r="I37" s="22"/>
      <c r="J37" s="22"/>
      <c r="K37" s="22"/>
      <c r="L37" s="22"/>
      <c r="M37" s="22"/>
    </row>
    <row r="38">
      <c r="B38" s="10"/>
      <c r="C38" s="10"/>
      <c r="D38" s="19" t="s">
        <v>616</v>
      </c>
      <c r="E38" s="47" t="n"/>
      <c r="F38" s="47" t="n"/>
      <c r="G38" s="47" t="n"/>
      <c r="H38" s="47" t="n"/>
      <c r="I38" s="47" t="n"/>
      <c r="J38" s="47" t="n"/>
      <c r="K38" s="47" t="n"/>
      <c r="L38" s="47" t="n"/>
      <c r="M38" s="47" t="n"/>
    </row>
    <row r="39">
      <c r="B39" s="10"/>
      <c r="C39" s="10"/>
      <c r="D39" s="18" t="s">
        <v>617</v>
      </c>
      <c r="E39" s="46" t="n"/>
      <c r="F39" s="46" t="n"/>
      <c r="G39" s="46" t="n"/>
      <c r="H39" s="46" t="n"/>
      <c r="I39" s="46" t="n"/>
      <c r="J39" s="46" t="n"/>
      <c r="K39" s="46" t="n"/>
      <c r="L39" s="46" t="n"/>
      <c r="M39" s="46" t="n"/>
    </row>
    <row r="40">
      <c r="B40" s="10"/>
      <c r="C40" s="10"/>
      <c r="D40" s="19" t="s">
        <v>618</v>
      </c>
      <c r="E40" s="47" t="n"/>
      <c r="F40" s="47" t="n"/>
      <c r="G40" s="47" t="n"/>
      <c r="H40" s="47" t="n"/>
      <c r="I40" s="47" t="n"/>
      <c r="J40" s="47" t="n"/>
      <c r="K40" s="47" t="n"/>
      <c r="L40" s="47" t="n"/>
      <c r="M40" s="47" t="n"/>
    </row>
    <row r="41">
      <c r="B41" s="10"/>
      <c r="C41" s="10"/>
      <c r="D41" s="18" t="s">
        <v>619</v>
      </c>
      <c r="E41" s="46" t="n"/>
      <c r="F41" s="46" t="n"/>
      <c r="G41" s="46" t="n"/>
      <c r="H41" s="46" t="n"/>
      <c r="I41" s="46" t="n"/>
      <c r="J41" s="46" t="n"/>
      <c r="K41" s="46" t="n"/>
      <c r="L41" s="46" t="n"/>
      <c r="M41" s="46" t="n"/>
    </row>
    <row r="42">
      <c r="B42" s="10"/>
      <c r="C42" s="10"/>
      <c r="D42" s="19" t="s">
        <v>620</v>
      </c>
      <c r="E42" s="47" t="n"/>
      <c r="F42" s="47" t="n"/>
      <c r="G42" s="47" t="n"/>
      <c r="H42" s="47" t="n"/>
      <c r="I42" s="47" t="n"/>
      <c r="J42" s="47" t="n"/>
      <c r="K42" s="47" t="n"/>
      <c r="L42" s="47" t="n"/>
      <c r="M42" s="47" t="n"/>
    </row>
    <row r="43">
      <c r="B43" s="10"/>
      <c r="C43" s="10"/>
      <c r="D43" s="18" t="s">
        <v>621</v>
      </c>
      <c r="E43" s="46" t="n"/>
      <c r="F43" s="46" t="n"/>
      <c r="G43" s="46" t="n"/>
      <c r="H43" s="46" t="n"/>
      <c r="I43" s="46" t="n"/>
      <c r="J43" s="46" t="n"/>
      <c r="K43" s="46" t="n"/>
      <c r="L43" s="46" t="n"/>
      <c r="M43" s="46" t="n"/>
    </row>
    <row r="44">
      <c r="B44" s="10"/>
      <c r="C44" s="10"/>
      <c r="D44" s="19" t="s">
        <v>622</v>
      </c>
      <c r="E44" s="47" t="n"/>
      <c r="F44" s="47" t="n"/>
      <c r="G44" s="47" t="n"/>
      <c r="H44" s="47" t="n"/>
      <c r="I44" s="47" t="n"/>
      <c r="J44" s="47" t="n"/>
      <c r="K44" s="47" t="n"/>
      <c r="L44" s="47" t="n"/>
      <c r="M44" s="47" t="n"/>
    </row>
    <row r="45">
      <c r="B45" s="10"/>
      <c r="C45" s="10"/>
      <c r="D45" s="18" t="s">
        <v>623</v>
      </c>
      <c r="E45" s="46" t="n"/>
      <c r="F45" s="46" t="n"/>
      <c r="G45" s="46" t="n"/>
      <c r="H45" s="46" t="n"/>
      <c r="I45" s="46" t="n"/>
      <c r="J45" s="46" t="n"/>
      <c r="K45" s="46" t="n"/>
      <c r="L45" s="46" t="n"/>
      <c r="M45" s="46" t="n"/>
    </row>
    <row r="46">
      <c r="B46" s="10"/>
      <c r="C46" s="10"/>
      <c r="D46" s="19" t="s">
        <v>624</v>
      </c>
      <c r="E46" s="47" t="n"/>
      <c r="F46" s="47" t="n"/>
      <c r="G46" s="47" t="n"/>
      <c r="H46" s="47" t="n"/>
      <c r="I46" s="47" t="n"/>
      <c r="J46" s="47" t="n"/>
      <c r="K46" s="47" t="n"/>
      <c r="L46" s="47" t="n"/>
      <c r="M46" s="47" t="n"/>
    </row>
    <row r="47">
      <c r="B47" s="10"/>
      <c r="C47" s="10"/>
      <c r="D47" s="18" t="s">
        <v>625</v>
      </c>
      <c r="E47" s="46" t="n"/>
      <c r="F47" s="46" t="n"/>
      <c r="G47" s="46" t="n"/>
      <c r="H47" s="46" t="n"/>
      <c r="I47" s="46" t="n"/>
      <c r="J47" s="46" t="n"/>
      <c r="K47" s="46" t="n"/>
      <c r="L47" s="46" t="n"/>
      <c r="M47" s="46" t="n"/>
    </row>
    <row r="48">
      <c r="B48" s="10"/>
      <c r="C48" s="10"/>
      <c r="D48" s="19" t="s">
        <v>626</v>
      </c>
      <c r="E48" s="47" t="n"/>
      <c r="F48" s="47" t="n"/>
      <c r="G48" s="47" t="n"/>
      <c r="H48" s="47" t="n"/>
      <c r="I48" s="47" t="n"/>
      <c r="J48" s="47" t="n"/>
      <c r="K48" s="47" t="n"/>
      <c r="L48" s="47" t="n"/>
      <c r="M48" s="47" t="n"/>
    </row>
    <row r="49">
      <c r="B49" s="10"/>
      <c r="C49" s="10"/>
      <c r="D49" s="18" t="s">
        <v>627</v>
      </c>
      <c r="E49" s="46" t="n"/>
      <c r="F49" s="46" t="n"/>
      <c r="G49" s="46" t="n"/>
      <c r="H49" s="46" t="n"/>
      <c r="I49" s="46" t="n"/>
      <c r="J49" s="46" t="n"/>
      <c r="K49" s="46" t="n"/>
      <c r="L49" s="46" t="n"/>
      <c r="M49" s="46" t="n"/>
    </row>
    <row r="50">
      <c r="B50" s="10"/>
      <c r="C50" s="10"/>
      <c r="D50" s="19" t="s">
        <v>628</v>
      </c>
      <c r="E50" s="47" t="n"/>
      <c r="F50" s="47" t="n"/>
      <c r="G50" s="47" t="n"/>
      <c r="H50" s="47" t="n"/>
      <c r="I50" s="47" t="n"/>
      <c r="J50" s="47" t="n"/>
      <c r="K50" s="47" t="n"/>
      <c r="L50" s="47" t="n"/>
      <c r="M50" s="47" t="n"/>
    </row>
    <row r="51">
      <c r="B51" s="10"/>
      <c r="C51" s="11"/>
      <c r="D51" s="18" t="s">
        <v>629</v>
      </c>
      <c r="E51" s="46" t="n">
        <f>SUM(E38:E50)</f>
      </c>
      <c r="F51" s="46" t="n">
        <f>SUM(F38:F50)</f>
      </c>
      <c r="G51" s="46" t="n">
        <f>SUM(G38:G50)</f>
      </c>
      <c r="H51" s="46" t="n">
        <f>SUM(H38:H50)</f>
      </c>
      <c r="I51" s="46" t="n">
        <f>SUM(I38:I50)</f>
      </c>
      <c r="J51" s="46" t="n">
        <f>SUM(J38:J50)</f>
      </c>
      <c r="K51" s="46" t="n">
        <f>SUM(K38:K50)</f>
      </c>
      <c r="L51" s="46" t="n">
        <f>SUM(L38:L50)</f>
      </c>
      <c r="M51" s="46" t="n">
        <f>SUM(M38:M50)</f>
      </c>
    </row>
    <row r="52">
      <c r="B52" s="10"/>
      <c r="C52" s="16" t="s">
        <v>630</v>
      </c>
      <c r="D52" s="13"/>
      <c r="E52" s="23"/>
      <c r="F52" s="23"/>
      <c r="G52" s="23"/>
      <c r="H52" s="23"/>
      <c r="I52" s="23"/>
      <c r="J52" s="23"/>
      <c r="K52" s="23"/>
      <c r="L52" s="23"/>
      <c r="M52" s="23"/>
    </row>
    <row r="53">
      <c r="B53" s="10"/>
      <c r="C53" s="17"/>
      <c r="D53" s="18" t="s">
        <v>631</v>
      </c>
      <c r="E53" s="46" t="n"/>
      <c r="F53" s="46" t="n"/>
      <c r="G53" s="46" t="n"/>
      <c r="H53" s="46" t="n"/>
      <c r="I53" s="46" t="n"/>
      <c r="J53" s="46" t="n"/>
      <c r="K53" s="46" t="n"/>
      <c r="L53" s="46" t="n"/>
      <c r="M53" s="46" t="n"/>
    </row>
    <row r="54">
      <c r="B54" s="10"/>
      <c r="C54" s="17"/>
      <c r="D54" s="19" t="s">
        <v>632</v>
      </c>
      <c r="E54" s="47" t="n"/>
      <c r="F54" s="47" t="n"/>
      <c r="G54" s="47" t="n"/>
      <c r="H54" s="47" t="n"/>
      <c r="I54" s="47" t="n"/>
      <c r="J54" s="47" t="n"/>
      <c r="K54" s="47" t="n"/>
      <c r="L54" s="47" t="n"/>
      <c r="M54" s="47" t="n"/>
    </row>
    <row r="55">
      <c r="B55" s="10"/>
      <c r="C55" s="17"/>
      <c r="D55" s="18" t="s">
        <v>633</v>
      </c>
      <c r="E55" s="46" t="n"/>
      <c r="F55" s="46" t="n"/>
      <c r="G55" s="46" t="n"/>
      <c r="H55" s="46" t="n"/>
      <c r="I55" s="46" t="n"/>
      <c r="J55" s="46" t="n"/>
      <c r="K55" s="46" t="n"/>
      <c r="L55" s="46" t="n"/>
      <c r="M55" s="46" t="n"/>
    </row>
    <row r="56">
      <c r="B56" s="10"/>
      <c r="C56" s="17"/>
      <c r="D56" s="19" t="s">
        <v>634</v>
      </c>
      <c r="E56" s="47" t="n"/>
      <c r="F56" s="47" t="n"/>
      <c r="G56" s="47" t="n"/>
      <c r="H56" s="47" t="n"/>
      <c r="I56" s="47" t="n"/>
      <c r="J56" s="47" t="n"/>
      <c r="K56" s="47" t="n"/>
      <c r="L56" s="47" t="n"/>
      <c r="M56" s="47" t="n"/>
    </row>
    <row r="57">
      <c r="B57" s="10"/>
      <c r="C57" s="17"/>
      <c r="D57" s="18" t="s">
        <v>635</v>
      </c>
      <c r="E57" s="46" t="n"/>
      <c r="F57" s="46" t="n"/>
      <c r="G57" s="46" t="n"/>
      <c r="H57" s="46" t="n"/>
      <c r="I57" s="46" t="n"/>
      <c r="J57" s="46" t="n"/>
      <c r="K57" s="46" t="n"/>
      <c r="L57" s="46" t="n"/>
      <c r="M57" s="46" t="n"/>
    </row>
    <row r="58">
      <c r="B58" s="10"/>
      <c r="C58" s="17"/>
      <c r="D58" s="19" t="s">
        <v>636</v>
      </c>
      <c r="E58" s="47" t="n"/>
      <c r="F58" s="47" t="n"/>
      <c r="G58" s="47" t="n"/>
      <c r="H58" s="47" t="n"/>
      <c r="I58" s="47" t="n"/>
      <c r="J58" s="47" t="n"/>
      <c r="K58" s="47" t="n"/>
      <c r="L58" s="47" t="n"/>
      <c r="M58" s="47" t="n"/>
    </row>
    <row r="59">
      <c r="B59" s="10"/>
      <c r="C59" s="17"/>
      <c r="D59" s="18" t="s">
        <v>637</v>
      </c>
      <c r="E59" s="46" t="n"/>
      <c r="F59" s="46" t="n"/>
      <c r="G59" s="46" t="n"/>
      <c r="H59" s="46" t="n"/>
      <c r="I59" s="46" t="n"/>
      <c r="J59" s="46" t="n"/>
      <c r="K59" s="46" t="n"/>
      <c r="L59" s="46" t="n"/>
      <c r="M59" s="46" t="n"/>
    </row>
    <row r="60">
      <c r="B60" s="10"/>
      <c r="C60" s="17"/>
      <c r="D60" s="19" t="s">
        <v>638</v>
      </c>
      <c r="E60" s="47" t="n"/>
      <c r="F60" s="47" t="n"/>
      <c r="G60" s="47" t="n"/>
      <c r="H60" s="47" t="n"/>
      <c r="I60" s="47" t="n"/>
      <c r="J60" s="47" t="n"/>
      <c r="K60" s="47" t="n"/>
      <c r="L60" s="47" t="n"/>
      <c r="M60" s="47" t="n"/>
    </row>
    <row r="61">
      <c r="B61" s="10"/>
      <c r="C61" s="17"/>
      <c r="D61" s="18" t="s">
        <v>639</v>
      </c>
      <c r="E61" s="46" t="n"/>
      <c r="F61" s="46" t="n"/>
      <c r="G61" s="46" t="n"/>
      <c r="H61" s="46" t="n"/>
      <c r="I61" s="46" t="n"/>
      <c r="J61" s="46" t="n"/>
      <c r="K61" s="46" t="n"/>
      <c r="L61" s="46" t="n"/>
      <c r="M61" s="46" t="n"/>
    </row>
    <row r="62">
      <c r="B62" s="10"/>
      <c r="C62" s="17"/>
      <c r="D62" s="19" t="s">
        <v>640</v>
      </c>
      <c r="E62" s="47" t="n"/>
      <c r="F62" s="47" t="n"/>
      <c r="G62" s="47" t="n"/>
      <c r="H62" s="47" t="n"/>
      <c r="I62" s="47" t="n"/>
      <c r="J62" s="47" t="n"/>
      <c r="K62" s="47" t="n"/>
      <c r="L62" s="47" t="n"/>
      <c r="M62" s="47" t="n"/>
    </row>
    <row r="63">
      <c r="B63" s="10"/>
      <c r="C63" s="17"/>
      <c r="D63" s="18" t="s">
        <v>641</v>
      </c>
      <c r="E63" s="46" t="n"/>
      <c r="F63" s="46" t="n"/>
      <c r="G63" s="46" t="n"/>
      <c r="H63" s="46" t="n"/>
      <c r="I63" s="46" t="n"/>
      <c r="J63" s="46" t="n"/>
      <c r="K63" s="46" t="n"/>
      <c r="L63" s="46" t="n"/>
      <c r="M63" s="46" t="n"/>
    </row>
    <row r="64">
      <c r="B64" s="10"/>
      <c r="C64" s="14"/>
      <c r="D64" s="52" t="s">
        <v>642</v>
      </c>
      <c r="E64" s="47" t="n">
        <f>SUM(E53:E63)</f>
      </c>
      <c r="F64" s="47" t="n">
        <f>SUM(F53:F63)</f>
      </c>
      <c r="G64" s="47" t="n">
        <f>SUM(G53:G63)</f>
      </c>
      <c r="H64" s="47" t="n">
        <f>SUM(H53:H63)</f>
      </c>
      <c r="I64" s="47" t="n">
        <f>SUM(I53:I63)</f>
      </c>
      <c r="J64" s="47" t="n">
        <f>SUM(J53:J63)</f>
      </c>
      <c r="K64" s="47" t="n">
        <f>SUM(K53:K63)</f>
      </c>
      <c r="L64" s="47" t="n">
        <f>SUM(L53:L63)</f>
      </c>
      <c r="M64" s="47" t="n">
        <f>SUM(M53:M63)</f>
      </c>
    </row>
    <row r="65">
      <c r="B65" s="10"/>
      <c r="C65" s="7" t="s">
        <v>643</v>
      </c>
      <c r="D65" s="9"/>
      <c r="E65" s="22"/>
      <c r="F65" s="22"/>
      <c r="G65" s="22"/>
      <c r="H65" s="22"/>
      <c r="I65" s="22"/>
      <c r="J65" s="22"/>
      <c r="K65" s="22"/>
      <c r="L65" s="22"/>
      <c r="M65" s="22"/>
    </row>
    <row r="66">
      <c r="B66" s="10"/>
      <c r="C66" s="10"/>
      <c r="D66" s="19" t="s">
        <v>644</v>
      </c>
      <c r="E66" s="47" t="n"/>
      <c r="F66" s="47" t="n"/>
      <c r="G66" s="47" t="n"/>
      <c r="H66" s="47" t="n"/>
      <c r="I66" s="47" t="n"/>
      <c r="J66" s="47" t="n"/>
      <c r="K66" s="47" t="n"/>
      <c r="L66" s="47" t="n"/>
      <c r="M66" s="47" t="n"/>
    </row>
    <row r="67">
      <c r="B67" s="10"/>
      <c r="C67" s="10"/>
      <c r="D67" s="18" t="s">
        <v>645</v>
      </c>
      <c r="E67" s="46" t="n"/>
      <c r="F67" s="46" t="n"/>
      <c r="G67" s="46" t="n"/>
      <c r="H67" s="46" t="n"/>
      <c r="I67" s="46" t="n"/>
      <c r="J67" s="46" t="n"/>
      <c r="K67" s="46" t="n"/>
      <c r="L67" s="46" t="n"/>
      <c r="M67" s="46" t="n"/>
    </row>
    <row r="68">
      <c r="B68" s="10"/>
      <c r="C68" s="10"/>
      <c r="D68" s="19" t="s">
        <v>646</v>
      </c>
      <c r="E68" s="47" t="n"/>
      <c r="F68" s="47" t="n"/>
      <c r="G68" s="47" t="n"/>
      <c r="H68" s="47" t="n"/>
      <c r="I68" s="47" t="n"/>
      <c r="J68" s="47" t="n"/>
      <c r="K68" s="47" t="n"/>
      <c r="L68" s="47" t="n"/>
      <c r="M68" s="47" t="n"/>
    </row>
    <row r="69">
      <c r="B69" s="10"/>
      <c r="C69" s="10"/>
      <c r="D69" s="18" t="s">
        <v>647</v>
      </c>
      <c r="E69" s="46" t="n"/>
      <c r="F69" s="46" t="n"/>
      <c r="G69" s="46" t="n"/>
      <c r="H69" s="46" t="n"/>
      <c r="I69" s="46" t="n"/>
      <c r="J69" s="46" t="n"/>
      <c r="K69" s="46" t="n"/>
      <c r="L69" s="46" t="n"/>
      <c r="M69" s="46" t="n"/>
    </row>
    <row r="70">
      <c r="B70" s="10"/>
      <c r="C70" s="10"/>
      <c r="D70" s="19" t="s">
        <v>648</v>
      </c>
      <c r="E70" s="47" t="n"/>
      <c r="F70" s="47" t="n"/>
      <c r="G70" s="47" t="n"/>
      <c r="H70" s="47" t="n"/>
      <c r="I70" s="47" t="n"/>
      <c r="J70" s="47" t="n"/>
      <c r="K70" s="47" t="n"/>
      <c r="L70" s="47" t="n"/>
      <c r="M70" s="47" t="n"/>
    </row>
    <row r="71">
      <c r="B71" s="10"/>
      <c r="C71" s="10"/>
      <c r="D71" s="18" t="s">
        <v>649</v>
      </c>
      <c r="E71" s="46" t="n"/>
      <c r="F71" s="46" t="n"/>
      <c r="G71" s="46" t="n"/>
      <c r="H71" s="46" t="n"/>
      <c r="I71" s="46" t="n"/>
      <c r="J71" s="46" t="n"/>
      <c r="K71" s="46" t="n"/>
      <c r="L71" s="46" t="n"/>
      <c r="M71" s="46" t="n"/>
    </row>
    <row r="72">
      <c r="B72" s="10"/>
      <c r="C72" s="11"/>
      <c r="D72" s="52" t="s">
        <v>650</v>
      </c>
      <c r="E72" s="47" t="n">
        <f>SUM(E66:E71)</f>
      </c>
      <c r="F72" s="47" t="n">
        <f>SUM(F66:F71)</f>
      </c>
      <c r="G72" s="47" t="n">
        <f>SUM(G66:G71)</f>
      </c>
      <c r="H72" s="47" t="n">
        <f>SUM(H66:H71)</f>
      </c>
      <c r="I72" s="47" t="n">
        <f>SUM(I66:I71)</f>
      </c>
      <c r="J72" s="47" t="n">
        <f>SUM(J66:J71)</f>
      </c>
      <c r="K72" s="47" t="n">
        <f>SUM(K66:K71)</f>
      </c>
      <c r="L72" s="47" t="n">
        <f>SUM(L66:L71)</f>
      </c>
      <c r="M72" s="47" t="n">
        <f>SUM(M66:M71)</f>
      </c>
    </row>
    <row r="73">
      <c r="B73" s="10"/>
      <c r="C73" s="11" t="s">
        <v>651</v>
      </c>
      <c r="D73" s="9"/>
      <c r="E73" s="46" t="n"/>
      <c r="F73" s="46" t="n"/>
      <c r="G73" s="46" t="n"/>
      <c r="H73" s="46" t="n"/>
      <c r="I73" s="46" t="n"/>
      <c r="J73" s="46" t="n"/>
      <c r="K73" s="46" t="n"/>
      <c r="L73" s="46" t="n"/>
      <c r="M73" s="46" t="n"/>
    </row>
    <row r="74">
      <c r="B74" s="10"/>
      <c r="C74" s="14" t="s">
        <v>652</v>
      </c>
      <c r="D74" s="13"/>
      <c r="E74" s="47" t="n"/>
      <c r="F74" s="47" t="n"/>
      <c r="G74" s="47" t="n"/>
      <c r="H74" s="47" t="n"/>
      <c r="I74" s="47" t="n"/>
      <c r="J74" s="47" t="n"/>
      <c r="K74" s="47" t="n"/>
      <c r="L74" s="47" t="n"/>
      <c r="M74" s="47" t="n"/>
    </row>
    <row r="75">
      <c r="B75" s="10"/>
      <c r="C75" s="11" t="s">
        <v>653</v>
      </c>
      <c r="D75" s="9"/>
      <c r="E75" s="46" t="n"/>
      <c r="F75" s="46" t="n"/>
      <c r="G75" s="46" t="n"/>
      <c r="H75" s="46" t="n"/>
      <c r="I75" s="46" t="n"/>
      <c r="J75" s="46" t="n"/>
      <c r="K75" s="46" t="n"/>
      <c r="L75" s="46" t="n"/>
      <c r="M75" s="46" t="n"/>
    </row>
    <row r="76">
      <c r="B76" s="10"/>
      <c r="C76" s="14" t="s">
        <v>654</v>
      </c>
      <c r="D76" s="13"/>
      <c r="E76" s="47" t="n"/>
      <c r="F76" s="47" t="n"/>
      <c r="G76" s="47" t="n"/>
      <c r="H76" s="47" t="n"/>
      <c r="I76" s="47" t="n"/>
      <c r="J76" s="47" t="n"/>
      <c r="K76" s="47" t="n"/>
      <c r="L76" s="47" t="n"/>
      <c r="M76" s="47" t="n"/>
    </row>
    <row r="77">
      <c r="B77" s="10"/>
      <c r="C77" s="11" t="s">
        <v>655</v>
      </c>
      <c r="D77" s="9"/>
      <c r="E77" s="46" t="n"/>
      <c r="F77" s="46" t="n"/>
      <c r="G77" s="46" t="n"/>
      <c r="H77" s="46" t="n"/>
      <c r="I77" s="46" t="n"/>
      <c r="J77" s="46" t="n"/>
      <c r="K77" s="46" t="n"/>
      <c r="L77" s="46" t="n"/>
      <c r="M77" s="46" t="n"/>
    </row>
    <row r="78">
      <c r="B78" s="10"/>
      <c r="C78" s="14" t="s">
        <v>656</v>
      </c>
      <c r="D78" s="13"/>
      <c r="E78" s="47" t="n"/>
      <c r="F78" s="47" t="n"/>
      <c r="G78" s="47" t="n"/>
      <c r="H78" s="47" t="n"/>
      <c r="I78" s="47" t="n"/>
      <c r="J78" s="47" t="n"/>
      <c r="K78" s="47" t="n"/>
      <c r="L78" s="47" t="n"/>
      <c r="M78" s="47" t="n"/>
    </row>
    <row r="79">
      <c r="B79" s="10"/>
      <c r="C79" s="11" t="s">
        <v>657</v>
      </c>
      <c r="D79" s="9"/>
      <c r="E79" s="46" t="n"/>
      <c r="F79" s="46" t="n"/>
      <c r="G79" s="46" t="n"/>
      <c r="H79" s="46" t="n"/>
      <c r="I79" s="46" t="n"/>
      <c r="J79" s="46" t="n"/>
      <c r="K79" s="46" t="n"/>
      <c r="L79" s="46" t="n"/>
      <c r="M79" s="46" t="n"/>
    </row>
    <row r="80">
      <c r="B80" s="10"/>
      <c r="C80" s="14" t="s">
        <v>658</v>
      </c>
      <c r="D80" s="13"/>
      <c r="E80" s="47" t="n"/>
      <c r="F80" s="47" t="n"/>
      <c r="G80" s="47" t="n"/>
      <c r="H80" s="47" t="n"/>
      <c r="I80" s="47" t="n"/>
      <c r="J80" s="47" t="n"/>
      <c r="K80" s="47" t="n"/>
      <c r="L80" s="47" t="n"/>
      <c r="M80" s="47" t="n"/>
    </row>
    <row r="81">
      <c r="B81" s="10"/>
      <c r="C81" s="11" t="s">
        <v>659</v>
      </c>
      <c r="D81" s="9"/>
      <c r="E81" s="46" t="n"/>
      <c r="F81" s="46" t="n"/>
      <c r="G81" s="46" t="n"/>
      <c r="H81" s="46" t="n"/>
      <c r="I81" s="46" t="n"/>
      <c r="J81" s="46" t="n"/>
      <c r="K81" s="46" t="n"/>
      <c r="L81" s="46" t="n"/>
      <c r="M81" s="46" t="n"/>
    </row>
    <row r="82">
      <c r="B82" s="10"/>
      <c r="C82" s="14" t="s">
        <v>660</v>
      </c>
      <c r="D82" s="13"/>
      <c r="E82" s="47" t="n"/>
      <c r="F82" s="47" t="n"/>
      <c r="G82" s="47" t="n"/>
      <c r="H82" s="47" t="n"/>
      <c r="I82" s="47" t="n"/>
      <c r="J82" s="47" t="n"/>
      <c r="K82" s="47" t="n"/>
      <c r="L82" s="47" t="n"/>
      <c r="M82" s="47" t="n"/>
    </row>
    <row r="83">
      <c r="B83" s="11"/>
      <c r="C83" s="45" t="s">
        <v>661</v>
      </c>
      <c r="D83" s="44"/>
      <c r="E83" s="48" t="n">
        <f>SUM(E14:E20)+E25+E26+SUM(E34:E36)+E51+E64+SUM(E72:E82)</f>
      </c>
      <c r="F83" s="48" t="n">
        <f>SUM(F14:F20)+F25+F26+SUM(F34:F36)+F51+F64+SUM(F72:F82)</f>
      </c>
      <c r="G83" s="48" t="n">
        <f>SUM(G14:G20)+G25+G26+SUM(G34:G36)+G51+G64+SUM(G72:G82)</f>
      </c>
      <c r="H83" s="48" t="n">
        <f>SUM(H14:H20)+H25+H26+SUM(H34:H36)+H51+H64+SUM(H72:H82)</f>
      </c>
      <c r="I83" s="48" t="n">
        <f>SUM(I14:I20)+I25+I26+SUM(I34:I36)+I51+I64+SUM(I72:I82)</f>
      </c>
      <c r="J83" s="48" t="n">
        <f>SUM(J14:J20)+J25+J26+SUM(J34:J36)+J51+J64+SUM(J72:J82)</f>
      </c>
      <c r="K83" s="48" t="n">
        <f>SUM(K14:K20)+K25+K26+SUM(K34:K36)+K51+K64+SUM(K72:K82)</f>
      </c>
      <c r="L83" s="48" t="n">
        <f>SUM(L14:L20)+L25+L26+SUM(L34:L36)+L51+L64+SUM(L72:L82)</f>
      </c>
      <c r="M83" s="48" t="n">
        <f>SUM(M14:M20)+M25+M26+SUM(M34:M36)+M51+M64+SUM(M72:M82)</f>
      </c>
    </row>
  </sheetData>
  <mergeCells>
    <mergeCell ref="E10:M10"/>
    <mergeCell ref="E11:G11"/>
    <mergeCell ref="H11:J11"/>
    <mergeCell ref="K11:K12"/>
    <mergeCell ref="L11:L12"/>
    <mergeCell ref="B13:D13"/>
    <mergeCell ref="C14:D14"/>
    <mergeCell ref="C15:D15"/>
    <mergeCell ref="C16:D16"/>
    <mergeCell ref="C17:D17"/>
    <mergeCell ref="C18:D18"/>
    <mergeCell ref="C19:D19"/>
    <mergeCell ref="C20:D20"/>
    <mergeCell ref="C21:D21"/>
    <mergeCell ref="C26:D26"/>
    <mergeCell ref="C27:D27"/>
    <mergeCell ref="C35:D35"/>
    <mergeCell ref="C36:D36"/>
    <mergeCell ref="C37:D37"/>
    <mergeCell ref="C52:D52"/>
    <mergeCell ref="C65:D65"/>
    <mergeCell ref="C73:D73"/>
    <mergeCell ref="C74:D74"/>
    <mergeCell ref="C75:D75"/>
    <mergeCell ref="C76:D76"/>
    <mergeCell ref="C77:D77"/>
    <mergeCell ref="C78:D78"/>
    <mergeCell ref="C79:D79"/>
    <mergeCell ref="C80:D80"/>
    <mergeCell ref="C81:D81"/>
    <mergeCell ref="C82:D82"/>
    <mergeCell ref="C83:D83"/>
  </mergeCells>
  <hyperlinks>
    <hyperlink location="'Indice'!A1" ref="B2"/>
  </hyperlinks>
  <pageMargins bottom="0.75" footer="0.3" header="0.3" left="0.7" right="0.7" top="0.75"/>
</worksheet>
</file>

<file path=xl/worksheets/sheet25.xml><?xml version="1.0" encoding="utf-8"?>
<worksheet xmlns="http://schemas.openxmlformats.org/spreadsheetml/2006/main">
  <dimension ref="B2:L13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2.70703125" customWidth="true"/>
    <col min="8" max="8" width="50.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737</v>
      </c>
    </row>
    <row r="6">
      <c r="B6" t="s" s="1">
        <v>8</v>
      </c>
      <c r="C6" t="s">
        <v>9</v>
      </c>
    </row>
    <row r="7">
      <c r="B7" t="s" s="1">
        <v>10</v>
      </c>
      <c r="C7" t="s">
        <v>9</v>
      </c>
    </row>
    <row r="8">
      <c r="B8" t="s" s="1">
        <v>11</v>
      </c>
      <c r="C8" t="s">
        <v>12</v>
      </c>
    </row>
    <row r="10">
      <c r="I10" t="s" s="4">
        <v>738</v>
      </c>
      <c r="J10" s="29"/>
      <c r="K10" s="30"/>
    </row>
    <row r="11">
      <c r="I11" t="s" s="34">
        <v>739</v>
      </c>
      <c r="J11" t="s" s="6">
        <v>740</v>
      </c>
      <c r="K11" s="34" t="s">
        <v>741</v>
      </c>
    </row>
    <row r="12">
      <c r="B12" s="7" t="s">
        <v>742</v>
      </c>
      <c r="C12" s="8"/>
      <c r="D12" s="8"/>
      <c r="E12" s="8"/>
      <c r="F12" s="8"/>
      <c r="G12" s="8"/>
      <c r="H12" s="9"/>
      <c r="I12" s="23"/>
      <c r="J12" s="23"/>
      <c r="K12" s="23"/>
    </row>
    <row r="13">
      <c r="B13" s="10"/>
      <c r="C13" s="16" t="s">
        <v>743</v>
      </c>
      <c r="D13" s="37"/>
      <c r="E13" s="37"/>
      <c r="F13" s="37"/>
      <c r="G13" s="37"/>
      <c r="H13" s="13"/>
      <c r="I13" s="22"/>
      <c r="J13" s="22"/>
      <c r="K13" s="22"/>
    </row>
    <row r="14">
      <c r="B14" s="10"/>
      <c r="C14" s="17"/>
      <c r="D14" s="7" t="s">
        <v>744</v>
      </c>
      <c r="E14" s="8"/>
      <c r="F14" s="8"/>
      <c r="G14" s="8"/>
      <c r="H14" s="9"/>
      <c r="I14" s="23"/>
      <c r="J14" s="23"/>
      <c r="K14" s="23"/>
    </row>
    <row r="15">
      <c r="B15" s="10"/>
      <c r="C15" s="17"/>
      <c r="D15" s="10"/>
      <c r="E15" s="14" t="s">
        <v>745</v>
      </c>
      <c r="F15" s="37"/>
      <c r="G15" s="37"/>
      <c r="H15" s="13"/>
      <c r="I15" s="46" t="n"/>
      <c r="J15" s="22"/>
      <c r="K15" s="22"/>
    </row>
    <row r="16">
      <c r="B16" s="10"/>
      <c r="C16" s="17"/>
      <c r="D16" s="10"/>
      <c r="E16" s="11" t="s">
        <v>746</v>
      </c>
      <c r="F16" s="8"/>
      <c r="G16" s="8"/>
      <c r="H16" s="9"/>
      <c r="I16" s="47" t="n"/>
      <c r="J16" s="23"/>
      <c r="K16" s="23"/>
    </row>
    <row r="17">
      <c r="B17" s="10"/>
      <c r="C17" s="17"/>
      <c r="D17" s="10"/>
      <c r="E17" s="14" t="s">
        <v>747</v>
      </c>
      <c r="F17" s="37"/>
      <c r="G17" s="37"/>
      <c r="H17" s="13"/>
      <c r="I17" s="46" t="n"/>
      <c r="J17" s="22"/>
      <c r="K17" s="22"/>
    </row>
    <row r="18">
      <c r="B18" s="10"/>
      <c r="C18" s="17"/>
      <c r="D18" s="11"/>
      <c r="E18" s="45" t="s">
        <v>748</v>
      </c>
      <c r="F18" s="43"/>
      <c r="G18" s="43"/>
      <c r="H18" s="44"/>
      <c r="I18" s="47" t="n">
        <f>SUM(I15:I17)</f>
      </c>
      <c r="J18" s="47" t="n"/>
      <c r="K18" s="47" t="n"/>
    </row>
    <row r="19">
      <c r="B19" s="10"/>
      <c r="C19" s="17"/>
      <c r="D19" s="16" t="s">
        <v>749</v>
      </c>
      <c r="E19" s="37"/>
      <c r="F19" s="37"/>
      <c r="G19" s="37"/>
      <c r="H19" s="13"/>
      <c r="I19" s="22"/>
      <c r="J19" s="22"/>
      <c r="K19" s="22"/>
    </row>
    <row r="20">
      <c r="B20" s="10"/>
      <c r="C20" s="17"/>
      <c r="D20" s="17"/>
      <c r="E20" s="11" t="s">
        <v>750</v>
      </c>
      <c r="F20" s="8"/>
      <c r="G20" s="8"/>
      <c r="H20" s="9"/>
      <c r="I20" s="47" t="n"/>
      <c r="J20" s="23"/>
      <c r="K20" s="23"/>
    </row>
    <row r="21">
      <c r="B21" s="10"/>
      <c r="C21" s="17"/>
      <c r="D21" s="17"/>
      <c r="E21" s="14" t="s">
        <v>751</v>
      </c>
      <c r="F21" s="37"/>
      <c r="G21" s="37"/>
      <c r="H21" s="13"/>
      <c r="I21" s="46" t="n"/>
      <c r="J21" s="22"/>
      <c r="K21" s="22"/>
    </row>
    <row r="22">
      <c r="B22" s="10"/>
      <c r="C22" s="17"/>
      <c r="D22" s="17"/>
      <c r="E22" s="11" t="s">
        <v>747</v>
      </c>
      <c r="F22" s="8"/>
      <c r="G22" s="8"/>
      <c r="H22" s="9"/>
      <c r="I22" s="47" t="n"/>
      <c r="J22" s="23"/>
      <c r="K22" s="23"/>
    </row>
    <row r="23">
      <c r="B23" s="10"/>
      <c r="C23" s="17"/>
      <c r="D23" s="14"/>
      <c r="E23" s="40" t="s">
        <v>752</v>
      </c>
      <c r="F23" s="41"/>
      <c r="G23" s="41"/>
      <c r="H23" s="39"/>
      <c r="I23" s="46" t="n">
        <f>SUM(I20:I22)</f>
      </c>
      <c r="J23" s="46" t="n"/>
      <c r="K23" s="46" t="n"/>
    </row>
    <row r="24">
      <c r="B24" s="10"/>
      <c r="C24" s="17"/>
      <c r="D24" s="7" t="s">
        <v>753</v>
      </c>
      <c r="E24" s="8"/>
      <c r="F24" s="8"/>
      <c r="G24" s="8"/>
      <c r="H24" s="9"/>
      <c r="I24" s="23"/>
      <c r="J24" s="23"/>
      <c r="K24" s="23"/>
    </row>
    <row r="25">
      <c r="B25" s="10"/>
      <c r="C25" s="17"/>
      <c r="D25" s="10"/>
      <c r="E25" s="14" t="s">
        <v>754</v>
      </c>
      <c r="F25" s="37"/>
      <c r="G25" s="37"/>
      <c r="H25" s="13"/>
      <c r="I25" s="46" t="n"/>
      <c r="J25" s="22"/>
      <c r="K25" s="22"/>
    </row>
    <row r="26">
      <c r="B26" s="10"/>
      <c r="C26" s="17"/>
      <c r="D26" s="10"/>
      <c r="E26" s="11" t="s">
        <v>653</v>
      </c>
      <c r="F26" s="8"/>
      <c r="G26" s="8"/>
      <c r="H26" s="9"/>
      <c r="I26" s="47" t="n"/>
      <c r="J26" s="23"/>
      <c r="K26" s="23"/>
    </row>
    <row r="27">
      <c r="B27" s="10"/>
      <c r="C27" s="17"/>
      <c r="D27" s="10"/>
      <c r="E27" s="14" t="s">
        <v>755</v>
      </c>
      <c r="F27" s="37"/>
      <c r="G27" s="37"/>
      <c r="H27" s="13"/>
      <c r="I27" s="46" t="n"/>
      <c r="J27" s="22"/>
      <c r="K27" s="22"/>
    </row>
    <row r="28">
      <c r="B28" s="10"/>
      <c r="C28" s="17"/>
      <c r="D28" s="10"/>
      <c r="E28" s="11" t="s">
        <v>747</v>
      </c>
      <c r="F28" s="8"/>
      <c r="G28" s="8"/>
      <c r="H28" s="9"/>
      <c r="I28" s="47" t="n"/>
      <c r="J28" s="23"/>
      <c r="K28" s="23"/>
    </row>
    <row r="29">
      <c r="B29" s="10"/>
      <c r="C29" s="17"/>
      <c r="D29" s="10"/>
      <c r="E29" s="14" t="s">
        <v>756</v>
      </c>
      <c r="F29" s="37"/>
      <c r="G29" s="37"/>
      <c r="H29" s="13"/>
      <c r="I29" s="46" t="n"/>
      <c r="J29" s="22"/>
      <c r="K29" s="22"/>
    </row>
    <row r="30">
      <c r="B30" s="10"/>
      <c r="C30" s="17"/>
      <c r="D30" s="10"/>
      <c r="E30" s="11" t="s">
        <v>757</v>
      </c>
      <c r="F30" s="8"/>
      <c r="G30" s="8"/>
      <c r="H30" s="9"/>
      <c r="I30" s="47" t="n"/>
      <c r="J30" s="23"/>
      <c r="K30" s="23"/>
    </row>
    <row r="31">
      <c r="B31" s="10"/>
      <c r="C31" s="17"/>
      <c r="D31" s="10"/>
      <c r="E31" s="14" t="s">
        <v>758</v>
      </c>
      <c r="F31" s="37"/>
      <c r="G31" s="37"/>
      <c r="H31" s="13"/>
      <c r="I31" s="46" t="n"/>
      <c r="J31" s="22"/>
      <c r="K31" s="22"/>
    </row>
    <row r="32">
      <c r="B32" s="10"/>
      <c r="C32" s="17"/>
      <c r="D32" s="10"/>
      <c r="E32" s="11" t="s">
        <v>759</v>
      </c>
      <c r="F32" s="8"/>
      <c r="G32" s="8"/>
      <c r="H32" s="9"/>
      <c r="I32" s="47" t="n"/>
      <c r="J32" s="23"/>
      <c r="K32" s="23"/>
    </row>
    <row r="33">
      <c r="B33" s="10"/>
      <c r="C33" s="17"/>
      <c r="D33" s="10"/>
      <c r="E33" s="14" t="s">
        <v>760</v>
      </c>
      <c r="F33" s="37"/>
      <c r="G33" s="37"/>
      <c r="H33" s="13"/>
      <c r="I33" s="46" t="n"/>
      <c r="J33" s="22"/>
      <c r="K33" s="22"/>
    </row>
    <row r="34">
      <c r="B34" s="10"/>
      <c r="C34" s="17"/>
      <c r="D34" s="10"/>
      <c r="E34" s="11" t="s">
        <v>761</v>
      </c>
      <c r="F34" s="8"/>
      <c r="G34" s="8"/>
      <c r="H34" s="9"/>
      <c r="I34" s="47" t="n"/>
      <c r="J34" s="23"/>
      <c r="K34" s="23"/>
    </row>
    <row r="35">
      <c r="B35" s="10"/>
      <c r="C35" s="17"/>
      <c r="D35" s="10"/>
      <c r="E35" s="14" t="s">
        <v>762</v>
      </c>
      <c r="F35" s="37"/>
      <c r="G35" s="37"/>
      <c r="H35" s="13"/>
      <c r="I35" s="46" t="n"/>
      <c r="J35" s="22"/>
      <c r="K35" s="22"/>
    </row>
    <row r="36">
      <c r="B36" s="10"/>
      <c r="C36" s="17"/>
      <c r="D36" s="10"/>
      <c r="E36" s="11" t="s">
        <v>763</v>
      </c>
      <c r="F36" s="8"/>
      <c r="G36" s="8"/>
      <c r="H36" s="9"/>
      <c r="I36" s="47" t="n"/>
      <c r="J36" s="23"/>
      <c r="K36" s="23"/>
    </row>
    <row r="37">
      <c r="B37" s="10"/>
      <c r="C37" s="17"/>
      <c r="D37" s="10"/>
      <c r="E37" s="14" t="s">
        <v>764</v>
      </c>
      <c r="F37" s="37"/>
      <c r="G37" s="37"/>
      <c r="H37" s="13"/>
      <c r="I37" s="46" t="n"/>
      <c r="J37" s="22"/>
      <c r="K37" s="22"/>
    </row>
    <row r="38">
      <c r="B38" s="10"/>
      <c r="C38" s="17"/>
      <c r="D38" s="10"/>
      <c r="E38" s="11" t="s">
        <v>765</v>
      </c>
      <c r="F38" s="8"/>
      <c r="G38" s="8"/>
      <c r="H38" s="9"/>
      <c r="I38" s="47" t="n"/>
      <c r="J38" s="23"/>
      <c r="K38" s="23"/>
    </row>
    <row r="39">
      <c r="B39" s="10"/>
      <c r="C39" s="17"/>
      <c r="D39" s="10"/>
      <c r="E39" s="14" t="s">
        <v>766</v>
      </c>
      <c r="F39" s="37"/>
      <c r="G39" s="37"/>
      <c r="H39" s="13"/>
      <c r="I39" s="46" t="n"/>
      <c r="J39" s="22"/>
      <c r="K39" s="22"/>
    </row>
    <row r="40">
      <c r="B40" s="10"/>
      <c r="C40" s="17"/>
      <c r="D40" s="11"/>
      <c r="E40" s="45" t="s">
        <v>767</v>
      </c>
      <c r="F40" s="43"/>
      <c r="G40" s="43"/>
      <c r="H40" s="44"/>
      <c r="I40" s="47" t="n">
        <f>SUM(I25:I39)</f>
      </c>
      <c r="J40" s="47" t="n"/>
      <c r="K40" s="47" t="n"/>
    </row>
    <row r="41">
      <c r="B41" s="10"/>
      <c r="C41" s="17"/>
      <c r="D41" s="16" t="s">
        <v>768</v>
      </c>
      <c r="E41" s="37"/>
      <c r="F41" s="37"/>
      <c r="G41" s="37"/>
      <c r="H41" s="13"/>
      <c r="I41" s="22"/>
      <c r="J41" s="22"/>
      <c r="K41" s="22"/>
    </row>
    <row r="42">
      <c r="B42" s="10"/>
      <c r="C42" s="17"/>
      <c r="D42" s="17"/>
      <c r="E42" s="7" t="s">
        <v>769</v>
      </c>
      <c r="F42" s="8"/>
      <c r="G42" s="8"/>
      <c r="H42" s="9"/>
      <c r="I42" s="23"/>
      <c r="J42" s="23"/>
      <c r="K42" s="23"/>
    </row>
    <row r="43">
      <c r="B43" s="10"/>
      <c r="C43" s="17"/>
      <c r="D43" s="17"/>
      <c r="E43" s="10"/>
      <c r="F43" s="16" t="s">
        <v>770</v>
      </c>
      <c r="G43" s="37"/>
      <c r="H43" s="13"/>
      <c r="I43" s="22"/>
      <c r="J43" s="22"/>
      <c r="K43" s="22"/>
    </row>
    <row r="44">
      <c r="B44" s="10"/>
      <c r="C44" s="17"/>
      <c r="D44" s="17"/>
      <c r="E44" s="10"/>
      <c r="F44" s="17"/>
      <c r="G44" s="11" t="s">
        <v>771</v>
      </c>
      <c r="H44" s="9"/>
      <c r="I44" s="47" t="n"/>
      <c r="J44" s="47" t="n"/>
      <c r="K44" s="47" t="n"/>
    </row>
    <row r="45">
      <c r="B45" s="10"/>
      <c r="C45" s="17"/>
      <c r="D45" s="17"/>
      <c r="E45" s="10"/>
      <c r="F45" s="17"/>
      <c r="G45" s="16" t="s">
        <v>772</v>
      </c>
      <c r="H45" s="13"/>
      <c r="I45" s="22"/>
      <c r="J45" s="22"/>
      <c r="K45" s="22"/>
    </row>
    <row r="46">
      <c r="B46" s="10"/>
      <c r="C46" s="17"/>
      <c r="D46" s="17"/>
      <c r="E46" s="10"/>
      <c r="F46" s="17"/>
      <c r="G46" s="17"/>
      <c r="H46" s="18" t="s">
        <v>773</v>
      </c>
      <c r="I46" s="47" t="n"/>
      <c r="J46" s="47" t="n"/>
      <c r="K46" s="47" t="n"/>
    </row>
    <row r="47">
      <c r="B47" s="10"/>
      <c r="C47" s="17"/>
      <c r="D47" s="17"/>
      <c r="E47" s="10"/>
      <c r="F47" s="17"/>
      <c r="G47" s="17"/>
      <c r="H47" s="19" t="s">
        <v>774</v>
      </c>
      <c r="I47" s="46" t="n"/>
      <c r="J47" s="46" t="n"/>
      <c r="K47" s="46" t="n"/>
    </row>
    <row r="48">
      <c r="B48" s="10"/>
      <c r="C48" s="17"/>
      <c r="D48" s="17"/>
      <c r="E48" s="10"/>
      <c r="F48" s="17"/>
      <c r="G48" s="17"/>
      <c r="H48" s="18" t="s">
        <v>775</v>
      </c>
      <c r="I48" s="47" t="n"/>
      <c r="J48" s="47" t="n"/>
      <c r="K48" s="47" t="n"/>
    </row>
    <row r="49">
      <c r="B49" s="10"/>
      <c r="C49" s="17"/>
      <c r="D49" s="17"/>
      <c r="E49" s="10"/>
      <c r="F49" s="17"/>
      <c r="G49" s="17"/>
      <c r="H49" s="19" t="s">
        <v>776</v>
      </c>
      <c r="I49" s="46" t="n"/>
      <c r="J49" s="46" t="n"/>
      <c r="K49" s="46" t="n"/>
    </row>
    <row r="50">
      <c r="B50" s="10"/>
      <c r="C50" s="17"/>
      <c r="D50" s="17"/>
      <c r="E50" s="10"/>
      <c r="F50" s="17"/>
      <c r="G50" s="17"/>
      <c r="H50" s="18" t="s">
        <v>777</v>
      </c>
      <c r="I50" s="47" t="n"/>
      <c r="J50" s="47" t="n"/>
      <c r="K50" s="47" t="n"/>
    </row>
    <row r="51">
      <c r="B51" s="10"/>
      <c r="C51" s="17"/>
      <c r="D51" s="17"/>
      <c r="E51" s="10"/>
      <c r="F51" s="17"/>
      <c r="G51" s="17"/>
      <c r="H51" s="19" t="s">
        <v>778</v>
      </c>
      <c r="I51" s="46" t="n"/>
      <c r="J51" s="46" t="n"/>
      <c r="K51" s="46" t="n"/>
    </row>
    <row r="52">
      <c r="B52" s="10"/>
      <c r="C52" s="17"/>
      <c r="D52" s="17"/>
      <c r="E52" s="10"/>
      <c r="F52" s="17"/>
      <c r="G52" s="14"/>
      <c r="H52" s="51" t="s">
        <v>779</v>
      </c>
      <c r="I52" s="47" t="n">
        <f>SUM(I46:I51)</f>
      </c>
      <c r="J52" s="47" t="n">
        <f>SUM(J46:J51)</f>
      </c>
      <c r="K52" s="47" t="n">
        <f>SUM(K46:K51)</f>
      </c>
    </row>
    <row r="53">
      <c r="B53" s="10"/>
      <c r="C53" s="17"/>
      <c r="D53" s="17"/>
      <c r="E53" s="10"/>
      <c r="F53" s="17"/>
      <c r="G53" s="14" t="s">
        <v>780</v>
      </c>
      <c r="H53" s="13"/>
      <c r="I53" s="46" t="n"/>
      <c r="J53" s="46" t="n"/>
      <c r="K53" s="46" t="n"/>
    </row>
    <row r="54">
      <c r="B54" s="10"/>
      <c r="C54" s="17"/>
      <c r="D54" s="17"/>
      <c r="E54" s="10"/>
      <c r="F54" s="14"/>
      <c r="G54" s="45" t="s">
        <v>781</v>
      </c>
      <c r="H54" s="44"/>
      <c r="I54" s="47" t="n">
        <f>I44+I52+I53</f>
      </c>
      <c r="J54" s="47" t="n">
        <f>J44+J52+J53</f>
      </c>
      <c r="K54" s="47" t="n">
        <f>K44+K52+K53</f>
      </c>
    </row>
    <row r="55">
      <c r="B55" s="10"/>
      <c r="C55" s="17"/>
      <c r="D55" s="17"/>
      <c r="E55" s="10"/>
      <c r="F55" s="14" t="s">
        <v>782</v>
      </c>
      <c r="G55" s="37"/>
      <c r="H55" s="13"/>
      <c r="I55" s="46" t="n"/>
      <c r="J55" s="46" t="n"/>
      <c r="K55" s="46" t="n"/>
    </row>
    <row r="56">
      <c r="B56" s="10"/>
      <c r="C56" s="17"/>
      <c r="D56" s="17"/>
      <c r="E56" s="10"/>
      <c r="F56" s="11" t="s">
        <v>746</v>
      </c>
      <c r="G56" s="8"/>
      <c r="H56" s="9"/>
      <c r="I56" s="47" t="n"/>
      <c r="J56" s="47" t="n"/>
      <c r="K56" s="47" t="n"/>
    </row>
    <row r="57">
      <c r="B57" s="10"/>
      <c r="C57" s="17"/>
      <c r="D57" s="17"/>
      <c r="E57" s="10"/>
      <c r="F57" s="16" t="s">
        <v>783</v>
      </c>
      <c r="G57" s="37"/>
      <c r="H57" s="13"/>
      <c r="I57" s="22"/>
      <c r="J57" s="22"/>
      <c r="K57" s="22"/>
    </row>
    <row r="58">
      <c r="B58" s="10"/>
      <c r="C58" s="17"/>
      <c r="D58" s="17"/>
      <c r="E58" s="10"/>
      <c r="F58" s="17"/>
      <c r="G58" s="11" t="s">
        <v>784</v>
      </c>
      <c r="H58" s="9"/>
      <c r="I58" s="47" t="n"/>
      <c r="J58" s="47" t="n"/>
      <c r="K58" s="47" t="n"/>
    </row>
    <row r="59">
      <c r="B59" s="10"/>
      <c r="C59" s="17"/>
      <c r="D59" s="17"/>
      <c r="E59" s="10"/>
      <c r="F59" s="17"/>
      <c r="G59" s="14" t="s">
        <v>785</v>
      </c>
      <c r="H59" s="13"/>
      <c r="I59" s="46" t="n"/>
      <c r="J59" s="46" t="n"/>
      <c r="K59" s="46" t="n"/>
    </row>
    <row r="60">
      <c r="B60" s="10"/>
      <c r="C60" s="17"/>
      <c r="D60" s="17"/>
      <c r="E60" s="10"/>
      <c r="F60" s="14"/>
      <c r="G60" s="45" t="s">
        <v>786</v>
      </c>
      <c r="H60" s="44"/>
      <c r="I60" s="47" t="n">
        <f>I58+I59</f>
      </c>
      <c r="J60" s="47" t="n">
        <f>J58+J59</f>
      </c>
      <c r="K60" s="47" t="n">
        <f>K58+K59</f>
      </c>
    </row>
    <row r="61">
      <c r="B61" s="10"/>
      <c r="C61" s="17"/>
      <c r="D61" s="17"/>
      <c r="E61" s="11"/>
      <c r="F61" s="40" t="s">
        <v>787</v>
      </c>
      <c r="G61" s="41"/>
      <c r="H61" s="39"/>
      <c r="I61" s="46" t="n">
        <f>SUM(I54:I56)+I60</f>
      </c>
      <c r="J61" s="46" t="n">
        <f>SUM(J54:J56)+J60</f>
      </c>
      <c r="K61" s="46" t="n">
        <f>SUM(K54:K56)+K60</f>
      </c>
    </row>
    <row r="62">
      <c r="B62" s="10"/>
      <c r="C62" s="17"/>
      <c r="D62" s="17"/>
      <c r="E62" s="7" t="s">
        <v>788</v>
      </c>
      <c r="F62" s="8"/>
      <c r="G62" s="8"/>
      <c r="H62" s="9"/>
      <c r="I62" s="23"/>
      <c r="J62" s="23"/>
      <c r="K62" s="23"/>
    </row>
    <row r="63">
      <c r="B63" s="10"/>
      <c r="C63" s="17"/>
      <c r="D63" s="17"/>
      <c r="E63" s="10"/>
      <c r="F63" s="14" t="s">
        <v>789</v>
      </c>
      <c r="G63" s="37"/>
      <c r="H63" s="13"/>
      <c r="I63" s="46" t="n"/>
      <c r="J63" s="46" t="n"/>
      <c r="K63" s="46" t="n"/>
    </row>
    <row r="64">
      <c r="B64" s="10"/>
      <c r="C64" s="17"/>
      <c r="D64" s="17"/>
      <c r="E64" s="10"/>
      <c r="F64" s="11" t="s">
        <v>746</v>
      </c>
      <c r="G64" s="8"/>
      <c r="H64" s="9"/>
      <c r="I64" s="47" t="n"/>
      <c r="J64" s="47" t="n"/>
      <c r="K64" s="47" t="n"/>
    </row>
    <row r="65">
      <c r="B65" s="10"/>
      <c r="C65" s="17"/>
      <c r="D65" s="17"/>
      <c r="E65" s="10"/>
      <c r="F65" s="14" t="s">
        <v>747</v>
      </c>
      <c r="G65" s="37"/>
      <c r="H65" s="13"/>
      <c r="I65" s="46" t="n"/>
      <c r="J65" s="46" t="n"/>
      <c r="K65" s="46" t="n"/>
    </row>
    <row r="66">
      <c r="B66" s="10"/>
      <c r="C66" s="17"/>
      <c r="D66" s="17"/>
      <c r="E66" s="11"/>
      <c r="F66" s="45" t="s">
        <v>790</v>
      </c>
      <c r="G66" s="43"/>
      <c r="H66" s="44"/>
      <c r="I66" s="47" t="n">
        <f>SUM(I63:I65)</f>
      </c>
      <c r="J66" s="47" t="n">
        <f>SUM(J63:J65)</f>
      </c>
      <c r="K66" s="47" t="n">
        <f>SUM(K63:K65)</f>
      </c>
    </row>
    <row r="67">
      <c r="B67" s="10"/>
      <c r="C67" s="17"/>
      <c r="D67" s="14"/>
      <c r="E67" s="40" t="s">
        <v>791</v>
      </c>
      <c r="F67" s="41"/>
      <c r="G67" s="41"/>
      <c r="H67" s="39"/>
      <c r="I67" s="46" t="n">
        <f>I66+I61</f>
      </c>
      <c r="J67" s="46" t="n">
        <f>J66+J61</f>
      </c>
      <c r="K67" s="46" t="n">
        <f>K66+K61</f>
      </c>
    </row>
    <row r="68">
      <c r="B68" s="10"/>
      <c r="C68" s="17"/>
      <c r="D68" s="7" t="s">
        <v>792</v>
      </c>
      <c r="E68" s="8"/>
      <c r="F68" s="8"/>
      <c r="G68" s="8"/>
      <c r="H68" s="9"/>
      <c r="I68" s="23"/>
      <c r="J68" s="23"/>
      <c r="K68" s="23"/>
    </row>
    <row r="69">
      <c r="B69" s="10"/>
      <c r="C69" s="17"/>
      <c r="D69" s="10"/>
      <c r="E69" s="16" t="s">
        <v>793</v>
      </c>
      <c r="F69" s="37"/>
      <c r="G69" s="37"/>
      <c r="H69" s="13"/>
      <c r="I69" s="22"/>
      <c r="J69" s="22"/>
      <c r="K69" s="22"/>
    </row>
    <row r="70">
      <c r="B70" s="10"/>
      <c r="C70" s="17"/>
      <c r="D70" s="10"/>
      <c r="E70" s="17"/>
      <c r="F70" s="11" t="s">
        <v>794</v>
      </c>
      <c r="G70" s="8"/>
      <c r="H70" s="9"/>
      <c r="I70" s="47" t="n"/>
      <c r="J70" s="47" t="n"/>
      <c r="K70" s="47" t="n"/>
    </row>
    <row r="71">
      <c r="B71" s="10"/>
      <c r="C71" s="17"/>
      <c r="D71" s="10"/>
      <c r="E71" s="17"/>
      <c r="F71" s="14" t="s">
        <v>795</v>
      </c>
      <c r="G71" s="37"/>
      <c r="H71" s="13"/>
      <c r="I71" s="46" t="n"/>
      <c r="J71" s="46" t="n"/>
      <c r="K71" s="46" t="n"/>
    </row>
    <row r="72">
      <c r="B72" s="10"/>
      <c r="C72" s="17"/>
      <c r="D72" s="10"/>
      <c r="E72" s="17"/>
      <c r="F72" s="11" t="s">
        <v>796</v>
      </c>
      <c r="G72" s="8"/>
      <c r="H72" s="9"/>
      <c r="I72" s="47" t="n"/>
      <c r="J72" s="47" t="n"/>
      <c r="K72" s="47" t="n"/>
    </row>
    <row r="73">
      <c r="B73" s="10"/>
      <c r="C73" s="17"/>
      <c r="D73" s="10"/>
      <c r="E73" s="17"/>
      <c r="F73" s="14" t="s">
        <v>797</v>
      </c>
      <c r="G73" s="37"/>
      <c r="H73" s="13"/>
      <c r="I73" s="46" t="n"/>
      <c r="J73" s="46" t="n"/>
      <c r="K73" s="46" t="n"/>
    </row>
    <row r="74">
      <c r="B74" s="10"/>
      <c r="C74" s="17"/>
      <c r="D74" s="10"/>
      <c r="E74" s="17"/>
      <c r="F74" s="11" t="s">
        <v>798</v>
      </c>
      <c r="G74" s="8"/>
      <c r="H74" s="9"/>
      <c r="I74" s="47" t="n"/>
      <c r="J74" s="47" t="n"/>
      <c r="K74" s="47" t="n"/>
    </row>
    <row r="75">
      <c r="B75" s="10"/>
      <c r="C75" s="17"/>
      <c r="D75" s="10"/>
      <c r="E75" s="17"/>
      <c r="F75" s="14" t="s">
        <v>799</v>
      </c>
      <c r="G75" s="37"/>
      <c r="H75" s="13"/>
      <c r="I75" s="46" t="n"/>
      <c r="J75" s="46" t="n"/>
      <c r="K75" s="46" t="n"/>
    </row>
    <row r="76">
      <c r="B76" s="10"/>
      <c r="C76" s="17"/>
      <c r="D76" s="10"/>
      <c r="E76" s="17"/>
      <c r="F76" s="11" t="s">
        <v>800</v>
      </c>
      <c r="G76" s="8"/>
      <c r="H76" s="9"/>
      <c r="I76" s="47" t="n"/>
      <c r="J76" s="47" t="n"/>
      <c r="K76" s="47" t="n"/>
    </row>
    <row r="77">
      <c r="B77" s="10"/>
      <c r="C77" s="17"/>
      <c r="D77" s="10"/>
      <c r="E77" s="17"/>
      <c r="F77" s="14" t="s">
        <v>801</v>
      </c>
      <c r="G77" s="37"/>
      <c r="H77" s="13"/>
      <c r="I77" s="46" t="n"/>
      <c r="J77" s="46" t="n"/>
      <c r="K77" s="46" t="n"/>
    </row>
    <row r="78">
      <c r="B78" s="10"/>
      <c r="C78" s="17"/>
      <c r="D78" s="10"/>
      <c r="E78" s="17"/>
      <c r="F78" s="11" t="s">
        <v>802</v>
      </c>
      <c r="G78" s="8"/>
      <c r="H78" s="9"/>
      <c r="I78" s="47" t="n"/>
      <c r="J78" s="47" t="n"/>
      <c r="K78" s="47" t="n"/>
    </row>
    <row r="79">
      <c r="B79" s="10"/>
      <c r="C79" s="17"/>
      <c r="D79" s="10"/>
      <c r="E79" s="17"/>
      <c r="F79" s="14" t="s">
        <v>803</v>
      </c>
      <c r="G79" s="37"/>
      <c r="H79" s="13"/>
      <c r="I79" s="46" t="n"/>
      <c r="J79" s="46" t="n"/>
      <c r="K79" s="46" t="n"/>
    </row>
    <row r="80">
      <c r="B80" s="10"/>
      <c r="C80" s="17"/>
      <c r="D80" s="10"/>
      <c r="E80" s="17"/>
      <c r="F80" s="11" t="s">
        <v>804</v>
      </c>
      <c r="G80" s="8"/>
      <c r="H80" s="9"/>
      <c r="I80" s="47" t="n"/>
      <c r="J80" s="47" t="n"/>
      <c r="K80" s="47" t="n"/>
    </row>
    <row r="81">
      <c r="B81" s="10"/>
      <c r="C81" s="17"/>
      <c r="D81" s="10"/>
      <c r="E81" s="14"/>
      <c r="F81" s="40" t="s">
        <v>805</v>
      </c>
      <c r="G81" s="41"/>
      <c r="H81" s="39"/>
      <c r="I81" s="46" t="n">
        <f>SUM(I70:I80)</f>
      </c>
      <c r="J81" s="46" t="n">
        <f>SUM(J70:J80)</f>
      </c>
      <c r="K81" s="46" t="n">
        <f>SUM(K70:K80)</f>
      </c>
    </row>
    <row r="82">
      <c r="B82" s="10"/>
      <c r="C82" s="17"/>
      <c r="D82" s="10"/>
      <c r="E82" s="7" t="s">
        <v>806</v>
      </c>
      <c r="F82" s="8"/>
      <c r="G82" s="8"/>
      <c r="H82" s="9"/>
      <c r="I82" s="23"/>
      <c r="J82" s="23"/>
      <c r="K82" s="23"/>
    </row>
    <row r="83">
      <c r="B83" s="10"/>
      <c r="C83" s="17"/>
      <c r="D83" s="10"/>
      <c r="E83" s="10"/>
      <c r="F83" s="14" t="s">
        <v>807</v>
      </c>
      <c r="G83" s="37"/>
      <c r="H83" s="13"/>
      <c r="I83" s="46" t="n"/>
      <c r="J83" s="46" t="n"/>
      <c r="K83" s="46" t="n"/>
    </row>
    <row r="84">
      <c r="B84" s="10"/>
      <c r="C84" s="17"/>
      <c r="D84" s="10"/>
      <c r="E84" s="10"/>
      <c r="F84" s="11" t="s">
        <v>808</v>
      </c>
      <c r="G84" s="8"/>
      <c r="H84" s="9"/>
      <c r="I84" s="47" t="n"/>
      <c r="J84" s="47" t="n"/>
      <c r="K84" s="47" t="n"/>
    </row>
    <row r="85">
      <c r="B85" s="10"/>
      <c r="C85" s="17"/>
      <c r="D85" s="10"/>
      <c r="E85" s="10"/>
      <c r="F85" s="14" t="s">
        <v>809</v>
      </c>
      <c r="G85" s="37"/>
      <c r="H85" s="13"/>
      <c r="I85" s="46" t="n"/>
      <c r="J85" s="46" t="n"/>
      <c r="K85" s="46" t="n"/>
    </row>
    <row r="86">
      <c r="B86" s="10"/>
      <c r="C86" s="17"/>
      <c r="D86" s="10"/>
      <c r="E86" s="10"/>
      <c r="F86" s="11" t="s">
        <v>810</v>
      </c>
      <c r="G86" s="8"/>
      <c r="H86" s="9"/>
      <c r="I86" s="47" t="n"/>
      <c r="J86" s="47" t="n"/>
      <c r="K86" s="47" t="n"/>
    </row>
    <row r="87">
      <c r="B87" s="10"/>
      <c r="C87" s="17"/>
      <c r="D87" s="10"/>
      <c r="E87" s="10"/>
      <c r="F87" s="14" t="s">
        <v>811</v>
      </c>
      <c r="G87" s="37"/>
      <c r="H87" s="13"/>
      <c r="I87" s="46" t="n"/>
      <c r="J87" s="46" t="n"/>
      <c r="K87" s="46" t="n"/>
    </row>
    <row r="88">
      <c r="B88" s="10"/>
      <c r="C88" s="17"/>
      <c r="D88" s="10"/>
      <c r="E88" s="10"/>
      <c r="F88" s="11" t="s">
        <v>804</v>
      </c>
      <c r="G88" s="8"/>
      <c r="H88" s="9"/>
      <c r="I88" s="47" t="n"/>
      <c r="J88" s="47" t="n"/>
      <c r="K88" s="47" t="n"/>
    </row>
    <row r="89">
      <c r="B89" s="10"/>
      <c r="C89" s="17"/>
      <c r="D89" s="10"/>
      <c r="E89" s="11"/>
      <c r="F89" s="40" t="s">
        <v>812</v>
      </c>
      <c r="G89" s="41"/>
      <c r="H89" s="39"/>
      <c r="I89" s="46" t="n">
        <f>SUM(I83:I88)</f>
      </c>
      <c r="J89" s="46" t="n">
        <f>SUM(J83:J88)</f>
      </c>
      <c r="K89" s="46" t="n">
        <f>SUM(K83:K88)</f>
      </c>
    </row>
    <row r="90">
      <c r="B90" s="10"/>
      <c r="C90" s="17"/>
      <c r="D90" s="10"/>
      <c r="E90" s="7" t="s">
        <v>813</v>
      </c>
      <c r="F90" s="8"/>
      <c r="G90" s="8"/>
      <c r="H90" s="9"/>
      <c r="I90" s="23"/>
      <c r="J90" s="23"/>
      <c r="K90" s="23"/>
    </row>
    <row r="91">
      <c r="B91" s="10"/>
      <c r="C91" s="17"/>
      <c r="D91" s="10"/>
      <c r="E91" s="10"/>
      <c r="F91" s="14" t="s">
        <v>814</v>
      </c>
      <c r="G91" s="37"/>
      <c r="H91" s="13"/>
      <c r="I91" s="46" t="n"/>
      <c r="J91" s="46" t="n"/>
      <c r="K91" s="46" t="n"/>
    </row>
    <row r="92">
      <c r="B92" s="10"/>
      <c r="C92" s="17"/>
      <c r="D92" s="10"/>
      <c r="E92" s="10"/>
      <c r="F92" s="11" t="s">
        <v>815</v>
      </c>
      <c r="G92" s="8"/>
      <c r="H92" s="9"/>
      <c r="I92" s="47" t="n"/>
      <c r="J92" s="47" t="n"/>
      <c r="K92" s="47" t="n"/>
    </row>
    <row r="93">
      <c r="B93" s="10"/>
      <c r="C93" s="17"/>
      <c r="D93" s="10"/>
      <c r="E93" s="10"/>
      <c r="F93" s="14" t="s">
        <v>816</v>
      </c>
      <c r="G93" s="37"/>
      <c r="H93" s="13"/>
      <c r="I93" s="46" t="n"/>
      <c r="J93" s="46" t="n"/>
      <c r="K93" s="46" t="n"/>
    </row>
    <row r="94">
      <c r="B94" s="10"/>
      <c r="C94" s="17"/>
      <c r="D94" s="10"/>
      <c r="E94" s="11"/>
      <c r="F94" s="45" t="s">
        <v>817</v>
      </c>
      <c r="G94" s="43"/>
      <c r="H94" s="44"/>
      <c r="I94" s="47" t="n">
        <f>SUM(I91:I93)</f>
      </c>
      <c r="J94" s="47" t="n">
        <f>SUM(J91:J93)</f>
      </c>
      <c r="K94" s="47" t="n">
        <f>SUM(K91:K93)</f>
      </c>
    </row>
    <row r="95">
      <c r="B95" s="10"/>
      <c r="C95" s="17"/>
      <c r="D95" s="10"/>
      <c r="E95" s="16" t="s">
        <v>783</v>
      </c>
      <c r="F95" s="37"/>
      <c r="G95" s="37"/>
      <c r="H95" s="13"/>
      <c r="I95" s="22"/>
      <c r="J95" s="22"/>
      <c r="K95" s="22"/>
    </row>
    <row r="96">
      <c r="B96" s="10"/>
      <c r="C96" s="17"/>
      <c r="D96" s="10"/>
      <c r="E96" s="17"/>
      <c r="F96" s="11" t="s">
        <v>818</v>
      </c>
      <c r="G96" s="8"/>
      <c r="H96" s="9"/>
      <c r="I96" s="47" t="n"/>
      <c r="J96" s="47" t="n"/>
      <c r="K96" s="47" t="n"/>
    </row>
    <row r="97">
      <c r="B97" s="10"/>
      <c r="C97" s="17"/>
      <c r="D97" s="10"/>
      <c r="E97" s="17"/>
      <c r="F97" s="14" t="s">
        <v>819</v>
      </c>
      <c r="G97" s="37"/>
      <c r="H97" s="13"/>
      <c r="I97" s="46" t="n"/>
      <c r="J97" s="46" t="n"/>
      <c r="K97" s="46" t="n"/>
    </row>
    <row r="98">
      <c r="B98" s="10"/>
      <c r="C98" s="17"/>
      <c r="D98" s="10"/>
      <c r="E98" s="17"/>
      <c r="F98" s="11" t="s">
        <v>795</v>
      </c>
      <c r="G98" s="8"/>
      <c r="H98" s="9"/>
      <c r="I98" s="47" t="n"/>
      <c r="J98" s="47" t="n"/>
      <c r="K98" s="47" t="n"/>
    </row>
    <row r="99">
      <c r="B99" s="10"/>
      <c r="C99" s="17"/>
      <c r="D99" s="10"/>
      <c r="E99" s="17"/>
      <c r="F99" s="14" t="s">
        <v>801</v>
      </c>
      <c r="G99" s="37"/>
      <c r="H99" s="13"/>
      <c r="I99" s="46" t="n"/>
      <c r="J99" s="46" t="n"/>
      <c r="K99" s="46" t="n"/>
    </row>
    <row r="100">
      <c r="B100" s="10"/>
      <c r="C100" s="17"/>
      <c r="D100" s="10"/>
      <c r="E100" s="17"/>
      <c r="F100" s="11" t="s">
        <v>808</v>
      </c>
      <c r="G100" s="8"/>
      <c r="H100" s="9"/>
      <c r="I100" s="47" t="n"/>
      <c r="J100" s="47" t="n"/>
      <c r="K100" s="47" t="n"/>
    </row>
    <row r="101">
      <c r="B101" s="10"/>
      <c r="C101" s="17"/>
      <c r="D101" s="10"/>
      <c r="E101" s="17"/>
      <c r="F101" s="14" t="s">
        <v>800</v>
      </c>
      <c r="G101" s="37"/>
      <c r="H101" s="13"/>
      <c r="I101" s="46" t="n"/>
      <c r="J101" s="46" t="n"/>
      <c r="K101" s="46" t="n"/>
    </row>
    <row r="102">
      <c r="B102" s="10"/>
      <c r="C102" s="17"/>
      <c r="D102" s="10"/>
      <c r="E102" s="17"/>
      <c r="F102" s="11" t="s">
        <v>809</v>
      </c>
      <c r="G102" s="8"/>
      <c r="H102" s="9"/>
      <c r="I102" s="47" t="n"/>
      <c r="J102" s="47" t="n"/>
      <c r="K102" s="47" t="n"/>
    </row>
    <row r="103">
      <c r="B103" s="10"/>
      <c r="C103" s="17"/>
      <c r="D103" s="10"/>
      <c r="E103" s="17"/>
      <c r="F103" s="14" t="s">
        <v>802</v>
      </c>
      <c r="G103" s="37"/>
      <c r="H103" s="13"/>
      <c r="I103" s="46" t="n"/>
      <c r="J103" s="46" t="n"/>
      <c r="K103" s="46" t="n"/>
    </row>
    <row r="104">
      <c r="B104" s="10"/>
      <c r="C104" s="17"/>
      <c r="D104" s="10"/>
      <c r="E104" s="17"/>
      <c r="F104" s="11" t="s">
        <v>804</v>
      </c>
      <c r="G104" s="8"/>
      <c r="H104" s="9"/>
      <c r="I104" s="47" t="n"/>
      <c r="J104" s="47" t="n"/>
      <c r="K104" s="47" t="n"/>
    </row>
    <row r="105">
      <c r="B105" s="10"/>
      <c r="C105" s="17"/>
      <c r="D105" s="10"/>
      <c r="E105" s="14"/>
      <c r="F105" s="40" t="s">
        <v>786</v>
      </c>
      <c r="G105" s="41"/>
      <c r="H105" s="39"/>
      <c r="I105" s="46" t="n">
        <f>SUM(I96:I104)</f>
      </c>
      <c r="J105" s="46" t="n">
        <f>SUM(J96:J104)</f>
      </c>
      <c r="K105" s="46" t="n">
        <f>SUM(K96:K104)</f>
      </c>
    </row>
    <row r="106">
      <c r="B106" s="10"/>
      <c r="C106" s="17"/>
      <c r="D106" s="10"/>
      <c r="E106" s="7" t="s">
        <v>820</v>
      </c>
      <c r="F106" s="8"/>
      <c r="G106" s="8"/>
      <c r="H106" s="9"/>
      <c r="I106" s="23"/>
      <c r="J106" s="23"/>
      <c r="K106" s="23"/>
    </row>
    <row r="107">
      <c r="B107" s="10"/>
      <c r="C107" s="17"/>
      <c r="D107" s="10"/>
      <c r="E107" s="10"/>
      <c r="F107" s="14" t="s">
        <v>821</v>
      </c>
      <c r="G107" s="37"/>
      <c r="H107" s="13"/>
      <c r="I107" s="46" t="n"/>
      <c r="J107" s="46" t="n"/>
      <c r="K107" s="46" t="n"/>
    </row>
    <row r="108">
      <c r="B108" s="10"/>
      <c r="C108" s="17"/>
      <c r="D108" s="10"/>
      <c r="E108" s="10"/>
      <c r="F108" s="11" t="s">
        <v>804</v>
      </c>
      <c r="G108" s="8"/>
      <c r="H108" s="9"/>
      <c r="I108" s="47" t="n"/>
      <c r="J108" s="47" t="n"/>
      <c r="K108" s="47" t="n"/>
    </row>
    <row r="109">
      <c r="B109" s="10"/>
      <c r="C109" s="17"/>
      <c r="D109" s="10"/>
      <c r="E109" s="11"/>
      <c r="F109" s="40" t="s">
        <v>822</v>
      </c>
      <c r="G109" s="41"/>
      <c r="H109" s="39"/>
      <c r="I109" s="46" t="n">
        <f>I107+I108</f>
      </c>
      <c r="J109" s="46" t="n">
        <f>J107+J108</f>
      </c>
      <c r="K109" s="46" t="n">
        <f>K107+K108</f>
      </c>
    </row>
    <row r="110">
      <c r="B110" s="10"/>
      <c r="C110" s="17"/>
      <c r="D110" s="10"/>
      <c r="E110" s="7" t="s">
        <v>823</v>
      </c>
      <c r="F110" s="8"/>
      <c r="G110" s="8"/>
      <c r="H110" s="9"/>
      <c r="I110" s="23"/>
      <c r="J110" s="23"/>
      <c r="K110" s="23"/>
    </row>
    <row r="111">
      <c r="B111" s="10"/>
      <c r="C111" s="17"/>
      <c r="D111" s="10"/>
      <c r="E111" s="10"/>
      <c r="F111" s="14" t="s">
        <v>824</v>
      </c>
      <c r="G111" s="37"/>
      <c r="H111" s="13"/>
      <c r="I111" s="46" t="n"/>
      <c r="J111" s="46" t="n"/>
      <c r="K111" s="46" t="n"/>
    </row>
    <row r="112">
      <c r="B112" s="10"/>
      <c r="C112" s="17"/>
      <c r="D112" s="10"/>
      <c r="E112" s="10"/>
      <c r="F112" s="11" t="s">
        <v>825</v>
      </c>
      <c r="G112" s="8"/>
      <c r="H112" s="9"/>
      <c r="I112" s="47" t="n"/>
      <c r="J112" s="47" t="n"/>
      <c r="K112" s="47" t="n"/>
    </row>
    <row r="113">
      <c r="B113" s="10"/>
      <c r="C113" s="17"/>
      <c r="D113" s="10"/>
      <c r="E113" s="11"/>
      <c r="F113" s="40" t="s">
        <v>826</v>
      </c>
      <c r="G113" s="41"/>
      <c r="H113" s="39"/>
      <c r="I113" s="46" t="n">
        <f>I111+I112</f>
      </c>
      <c r="J113" s="46" t="n">
        <f>J111+J112</f>
      </c>
      <c r="K113" s="46" t="n">
        <f>K111+K112</f>
      </c>
    </row>
    <row r="114">
      <c r="B114" s="10"/>
      <c r="C114" s="17"/>
      <c r="D114" s="11"/>
      <c r="E114" s="45" t="s">
        <v>827</v>
      </c>
      <c r="F114" s="43"/>
      <c r="G114" s="43"/>
      <c r="H114" s="44"/>
      <c r="I114" s="47" t="n">
        <f>I81+I94+I105+I109+I89+I113</f>
      </c>
      <c r="J114" s="47" t="n">
        <f>J81+J94+J105+J109+J89+J113</f>
      </c>
      <c r="K114" s="47" t="n">
        <f>K81+K94+K105+K109+K89+K113</f>
      </c>
    </row>
    <row r="115">
      <c r="B115" s="10"/>
      <c r="C115" s="17"/>
      <c r="D115" s="16" t="s">
        <v>828</v>
      </c>
      <c r="E115" s="37"/>
      <c r="F115" s="37"/>
      <c r="G115" s="37"/>
      <c r="H115" s="13"/>
      <c r="I115" s="22"/>
      <c r="J115" s="22"/>
      <c r="K115" s="22"/>
    </row>
    <row r="116">
      <c r="B116" s="10"/>
      <c r="C116" s="17"/>
      <c r="D116" s="17"/>
      <c r="E116" s="7" t="s">
        <v>829</v>
      </c>
      <c r="F116" s="8"/>
      <c r="G116" s="8"/>
      <c r="H116" s="9"/>
      <c r="I116" s="23"/>
      <c r="J116" s="23"/>
      <c r="K116" s="23"/>
    </row>
    <row r="117">
      <c r="B117" s="10"/>
      <c r="C117" s="17"/>
      <c r="D117" s="17"/>
      <c r="E117" s="10"/>
      <c r="F117" s="14" t="s">
        <v>830</v>
      </c>
      <c r="G117" s="37"/>
      <c r="H117" s="13"/>
      <c r="I117" s="46" t="n"/>
      <c r="J117" s="46" t="n"/>
      <c r="K117" s="46" t="n"/>
    </row>
    <row r="118">
      <c r="B118" s="10"/>
      <c r="C118" s="17"/>
      <c r="D118" s="17"/>
      <c r="E118" s="10"/>
      <c r="F118" s="11" t="s">
        <v>831</v>
      </c>
      <c r="G118" s="8"/>
      <c r="H118" s="9"/>
      <c r="I118" s="47" t="n"/>
      <c r="J118" s="47" t="n"/>
      <c r="K118" s="47" t="n"/>
    </row>
    <row r="119">
      <c r="B119" s="10"/>
      <c r="C119" s="17"/>
      <c r="D119" s="17"/>
      <c r="E119" s="11"/>
      <c r="F119" s="40" t="s">
        <v>832</v>
      </c>
      <c r="G119" s="41"/>
      <c r="H119" s="39"/>
      <c r="I119" s="46" t="n">
        <f>I117+I118</f>
      </c>
      <c r="J119" s="46" t="n">
        <f>J117+J118</f>
      </c>
      <c r="K119" s="46" t="n">
        <f>K117+K118</f>
      </c>
    </row>
    <row r="120">
      <c r="B120" s="10"/>
      <c r="C120" s="17"/>
      <c r="D120" s="17"/>
      <c r="E120" s="11" t="s">
        <v>746</v>
      </c>
      <c r="F120" s="8"/>
      <c r="G120" s="8"/>
      <c r="H120" s="9"/>
      <c r="I120" s="47" t="n"/>
      <c r="J120" s="47" t="n"/>
      <c r="K120" s="47" t="n"/>
    </row>
    <row r="121">
      <c r="B121" s="10"/>
      <c r="C121" s="17"/>
      <c r="D121" s="17"/>
      <c r="E121" s="14" t="s">
        <v>833</v>
      </c>
      <c r="F121" s="37"/>
      <c r="G121" s="37"/>
      <c r="H121" s="13"/>
      <c r="I121" s="46" t="n"/>
      <c r="J121" s="46" t="n"/>
      <c r="K121" s="46" t="n"/>
    </row>
    <row r="122">
      <c r="B122" s="10"/>
      <c r="C122" s="17"/>
      <c r="D122" s="17"/>
      <c r="E122" s="7" t="s">
        <v>806</v>
      </c>
      <c r="F122" s="8"/>
      <c r="G122" s="8"/>
      <c r="H122" s="9"/>
      <c r="I122" s="23"/>
      <c r="J122" s="23"/>
      <c r="K122" s="23"/>
    </row>
    <row r="123">
      <c r="B123" s="10"/>
      <c r="C123" s="17"/>
      <c r="D123" s="17"/>
      <c r="E123" s="10"/>
      <c r="F123" s="14" t="s">
        <v>834</v>
      </c>
      <c r="G123" s="37"/>
      <c r="H123" s="13"/>
      <c r="I123" s="46" t="n"/>
      <c r="J123" s="46" t="n"/>
      <c r="K123" s="46" t="n"/>
    </row>
    <row r="124">
      <c r="B124" s="10"/>
      <c r="C124" s="17"/>
      <c r="D124" s="17"/>
      <c r="E124" s="10"/>
      <c r="F124" s="11" t="s">
        <v>835</v>
      </c>
      <c r="G124" s="8"/>
      <c r="H124" s="9"/>
      <c r="I124" s="47" t="n"/>
      <c r="J124" s="47" t="n"/>
      <c r="K124" s="47" t="n"/>
    </row>
    <row r="125">
      <c r="B125" s="10"/>
      <c r="C125" s="17"/>
      <c r="D125" s="17"/>
      <c r="E125" s="10"/>
      <c r="F125" s="14" t="s">
        <v>836</v>
      </c>
      <c r="G125" s="37"/>
      <c r="H125" s="13"/>
      <c r="I125" s="46" t="n"/>
      <c r="J125" s="46" t="n"/>
      <c r="K125" s="46" t="n"/>
    </row>
    <row r="126">
      <c r="B126" s="10"/>
      <c r="C126" s="17"/>
      <c r="D126" s="17"/>
      <c r="E126" s="11"/>
      <c r="F126" s="45" t="s">
        <v>812</v>
      </c>
      <c r="G126" s="43"/>
      <c r="H126" s="44"/>
      <c r="I126" s="47" t="n">
        <f>SUM(I123:I125)</f>
      </c>
      <c r="J126" s="47" t="n">
        <f>SUM(J123:J125)</f>
      </c>
      <c r="K126" s="47" t="n">
        <f>SUM(K123:K125)</f>
      </c>
    </row>
    <row r="127">
      <c r="B127" s="10"/>
      <c r="C127" s="17"/>
      <c r="D127" s="14"/>
      <c r="E127" s="40" t="s">
        <v>837</v>
      </c>
      <c r="F127" s="41"/>
      <c r="G127" s="41"/>
      <c r="H127" s="39"/>
      <c r="I127" s="46" t="n">
        <f>SUM(I119:I121)+I126</f>
      </c>
      <c r="J127" s="46" t="n">
        <f>SUM(J119:J121)+J126</f>
      </c>
      <c r="K127" s="46" t="n">
        <f>SUM(K119:K121)+K126</f>
      </c>
    </row>
    <row r="128">
      <c r="B128" s="10"/>
      <c r="C128" s="17"/>
      <c r="D128" s="45" t="s">
        <v>838</v>
      </c>
      <c r="E128" s="43"/>
      <c r="F128" s="43"/>
      <c r="G128" s="43"/>
      <c r="H128" s="44"/>
      <c r="I128" s="47" t="n">
        <f>I114+I127+I40+I23+I67+I18</f>
      </c>
      <c r="J128" s="47" t="n">
        <f>J114+J127+J40+J23+J67+J18</f>
      </c>
      <c r="K128" s="47" t="n">
        <f>K114+K127+K40+K23+K67+K18</f>
      </c>
    </row>
    <row r="129">
      <c r="B129" s="10"/>
      <c r="C129" s="17"/>
      <c r="D129" s="14" t="s">
        <v>839</v>
      </c>
      <c r="E129" s="37"/>
      <c r="F129" s="37"/>
      <c r="G129" s="37"/>
      <c r="H129" s="13"/>
      <c r="I129" s="46" t="n"/>
      <c r="J129" s="46" t="n"/>
      <c r="K129" s="46" t="n"/>
    </row>
    <row r="130">
      <c r="B130" s="11"/>
      <c r="C130" s="14"/>
      <c r="D130" s="45" t="s">
        <v>840</v>
      </c>
      <c r="E130" s="43"/>
      <c r="F130" s="43"/>
      <c r="G130" s="43"/>
      <c r="H130" s="44"/>
      <c r="I130" s="53" t="n">
        <f>I128+I129</f>
      </c>
      <c r="J130" s="53" t="n">
        <f>J128+J129</f>
      </c>
      <c r="K130" s="53" t="n">
        <f>K128+K129</f>
      </c>
    </row>
  </sheetData>
  <mergeCells>
    <mergeCell ref="I10:K10"/>
    <mergeCell ref="B12:H12"/>
    <mergeCell ref="C13:H13"/>
    <mergeCell ref="D14:H14"/>
    <mergeCell ref="E15:H15"/>
    <mergeCell ref="E16:H16"/>
    <mergeCell ref="E17:H17"/>
    <mergeCell ref="E18:H18"/>
    <mergeCell ref="D19:H19"/>
    <mergeCell ref="E20:H20"/>
    <mergeCell ref="E21:H21"/>
    <mergeCell ref="E22:H22"/>
    <mergeCell ref="E23:H23"/>
    <mergeCell ref="D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D41:H41"/>
    <mergeCell ref="E42:H42"/>
    <mergeCell ref="F43:H43"/>
    <mergeCell ref="G44:H44"/>
    <mergeCell ref="G45:H45"/>
    <mergeCell ref="G53:H53"/>
    <mergeCell ref="G54:H54"/>
    <mergeCell ref="F55:H55"/>
    <mergeCell ref="F56:H56"/>
    <mergeCell ref="F57:H57"/>
    <mergeCell ref="G58:H58"/>
    <mergeCell ref="G59:H59"/>
    <mergeCell ref="G60:H60"/>
    <mergeCell ref="F61:H61"/>
    <mergeCell ref="E62:H62"/>
    <mergeCell ref="F63:H63"/>
    <mergeCell ref="F64:H64"/>
    <mergeCell ref="F65:H65"/>
    <mergeCell ref="F66:H66"/>
    <mergeCell ref="E67:H67"/>
    <mergeCell ref="D68:H68"/>
    <mergeCell ref="E69:H69"/>
    <mergeCell ref="F70:H70"/>
    <mergeCell ref="F71:H71"/>
    <mergeCell ref="F72:H72"/>
    <mergeCell ref="F73:H73"/>
    <mergeCell ref="F74:H74"/>
    <mergeCell ref="F75:H75"/>
    <mergeCell ref="F76:H76"/>
    <mergeCell ref="F77:H77"/>
    <mergeCell ref="F78:H78"/>
    <mergeCell ref="F79:H79"/>
    <mergeCell ref="F80:H80"/>
    <mergeCell ref="F81:H81"/>
    <mergeCell ref="E82:H82"/>
    <mergeCell ref="F83:H83"/>
    <mergeCell ref="F84:H84"/>
    <mergeCell ref="F85:H85"/>
    <mergeCell ref="F86:H86"/>
    <mergeCell ref="F87:H87"/>
    <mergeCell ref="F88:H88"/>
    <mergeCell ref="F89:H89"/>
    <mergeCell ref="E90:H90"/>
    <mergeCell ref="F91:H91"/>
    <mergeCell ref="F92:H92"/>
    <mergeCell ref="F93:H93"/>
    <mergeCell ref="F94:H94"/>
    <mergeCell ref="E95:H95"/>
    <mergeCell ref="F96:H96"/>
    <mergeCell ref="F97:H97"/>
    <mergeCell ref="F98:H98"/>
    <mergeCell ref="F99:H99"/>
    <mergeCell ref="F100:H100"/>
    <mergeCell ref="F101:H101"/>
    <mergeCell ref="F102:H102"/>
    <mergeCell ref="F103:H103"/>
    <mergeCell ref="F104:H104"/>
    <mergeCell ref="F105:H105"/>
    <mergeCell ref="E106:H106"/>
    <mergeCell ref="F107:H107"/>
    <mergeCell ref="F108:H108"/>
    <mergeCell ref="F109:H109"/>
    <mergeCell ref="E110:H110"/>
    <mergeCell ref="F111:H111"/>
    <mergeCell ref="F112:H112"/>
    <mergeCell ref="F113:H113"/>
    <mergeCell ref="E114:H114"/>
    <mergeCell ref="D115:H115"/>
    <mergeCell ref="E116:H116"/>
    <mergeCell ref="F117:H117"/>
    <mergeCell ref="F118:H118"/>
    <mergeCell ref="F119:H119"/>
    <mergeCell ref="E120:H120"/>
    <mergeCell ref="E121:H121"/>
    <mergeCell ref="E122:H122"/>
    <mergeCell ref="F123:H123"/>
    <mergeCell ref="F124:H124"/>
    <mergeCell ref="F125:H125"/>
    <mergeCell ref="F126:H126"/>
    <mergeCell ref="E127:H127"/>
    <mergeCell ref="D128:H128"/>
    <mergeCell ref="D129:H129"/>
    <mergeCell ref="D130:H130"/>
  </mergeCells>
  <hyperlinks>
    <hyperlink location="'Indice'!A1" ref="B2"/>
  </hyperlinks>
  <pageMargins bottom="0.75" footer="0.3" header="0.3" left="0.7" right="0.7" top="0.75"/>
</worksheet>
</file>

<file path=xl/worksheets/sheet26.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841</v>
      </c>
    </row>
    <row r="6">
      <c r="B6" t="s" s="1">
        <v>8</v>
      </c>
      <c r="C6" t="s">
        <v>9</v>
      </c>
    </row>
    <row r="7">
      <c r="B7" t="s" s="1">
        <v>10</v>
      </c>
      <c r="C7" t="s">
        <v>9</v>
      </c>
    </row>
    <row r="8">
      <c r="B8" t="s" s="1">
        <v>11</v>
      </c>
      <c r="C8" t="s">
        <v>12</v>
      </c>
    </row>
    <row r="10">
      <c r="G10" t="s" s="4">
        <v>842</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856</v>
      </c>
      <c r="C13" s="8"/>
      <c r="D13" s="8"/>
      <c r="E13" s="8"/>
      <c r="F13" s="9"/>
      <c r="G13" s="22"/>
      <c r="H13" s="22"/>
      <c r="I13" s="22"/>
      <c r="J13" s="22"/>
      <c r="K13" s="22"/>
      <c r="L13" s="22"/>
      <c r="M13" s="22"/>
      <c r="N13" s="22"/>
      <c r="O13" s="22"/>
      <c r="P13" s="22"/>
      <c r="Q13" s="22"/>
      <c r="R13" s="22"/>
      <c r="S13" s="22"/>
    </row>
    <row r="14">
      <c r="B14" s="10"/>
      <c r="C14" s="16" t="s">
        <v>857</v>
      </c>
      <c r="D14" s="37"/>
      <c r="E14" s="37"/>
      <c r="F14" s="13"/>
      <c r="G14" s="23"/>
      <c r="H14" s="23"/>
      <c r="I14" s="23"/>
      <c r="J14" s="23"/>
      <c r="K14" s="23"/>
      <c r="L14" s="23"/>
      <c r="M14" s="23"/>
      <c r="N14" s="23"/>
      <c r="O14" s="23"/>
      <c r="P14" s="23"/>
      <c r="Q14" s="23"/>
      <c r="R14" s="23"/>
      <c r="S14" s="23"/>
    </row>
    <row r="15">
      <c r="B15" s="10"/>
      <c r="C15" s="17"/>
      <c r="D15" s="7" t="s">
        <v>858</v>
      </c>
      <c r="E15" s="8"/>
      <c r="F15" s="9"/>
      <c r="G15" s="22"/>
      <c r="H15" s="22"/>
      <c r="I15" s="22"/>
      <c r="J15" s="22"/>
      <c r="K15" s="22"/>
      <c r="L15" s="22"/>
      <c r="M15" s="22"/>
      <c r="N15" s="22"/>
      <c r="O15" s="22"/>
      <c r="P15" s="22"/>
      <c r="Q15" s="22"/>
      <c r="R15" s="22"/>
      <c r="S15" s="22"/>
    </row>
    <row r="16">
      <c r="B16" s="10"/>
      <c r="C16" s="17"/>
      <c r="D16" s="10"/>
      <c r="E16" s="14" t="s">
        <v>746</v>
      </c>
      <c r="F16" s="13"/>
      <c r="G16" s="47" t="n"/>
      <c r="H16" s="47" t="n"/>
      <c r="I16" s="47" t="n"/>
      <c r="J16" s="47" t="n"/>
      <c r="K16" s="47" t="n"/>
      <c r="L16" s="47" t="n"/>
      <c r="M16" s="47" t="n"/>
      <c r="N16" s="47" t="n"/>
      <c r="O16" s="47" t="n"/>
      <c r="P16" s="47" t="n"/>
      <c r="Q16" s="47" t="n"/>
      <c r="R16" s="47" t="n"/>
      <c r="S16" s="47" t="n"/>
    </row>
    <row r="17">
      <c r="B17" s="10"/>
      <c r="C17" s="17"/>
      <c r="D17" s="10"/>
      <c r="E17" s="11" t="s">
        <v>859</v>
      </c>
      <c r="F17" s="9"/>
      <c r="G17" s="46" t="n"/>
      <c r="H17" s="46" t="n"/>
      <c r="I17" s="46" t="n"/>
      <c r="J17" s="46" t="n"/>
      <c r="K17" s="46" t="n"/>
      <c r="L17" s="46" t="n"/>
      <c r="M17" s="46" t="n"/>
      <c r="N17" s="46" t="n"/>
      <c r="O17" s="46" t="n"/>
      <c r="P17" s="46" t="n"/>
      <c r="Q17" s="46" t="n"/>
      <c r="R17" s="46" t="n"/>
      <c r="S17" s="46" t="n"/>
    </row>
    <row r="18">
      <c r="B18" s="10"/>
      <c r="C18" s="17"/>
      <c r="D18" s="10"/>
      <c r="E18" s="16" t="s">
        <v>783</v>
      </c>
      <c r="F18" s="13"/>
      <c r="G18" s="23"/>
      <c r="H18" s="23"/>
      <c r="I18" s="23"/>
      <c r="J18" s="23"/>
      <c r="K18" s="23"/>
      <c r="L18" s="23"/>
      <c r="M18" s="23"/>
      <c r="N18" s="23"/>
      <c r="O18" s="23"/>
      <c r="P18" s="23"/>
      <c r="Q18" s="23"/>
      <c r="R18" s="23"/>
      <c r="S18" s="23"/>
    </row>
    <row r="19">
      <c r="B19" s="10"/>
      <c r="C19" s="17"/>
      <c r="D19" s="10"/>
      <c r="E19" s="17"/>
      <c r="F19" s="18" t="s">
        <v>860</v>
      </c>
      <c r="G19" s="46" t="n"/>
      <c r="H19" s="46" t="n"/>
      <c r="I19" s="46" t="n"/>
      <c r="J19" s="46" t="n"/>
      <c r="K19" s="46" t="n"/>
      <c r="L19" s="46" t="n"/>
      <c r="M19" s="46" t="n"/>
      <c r="N19" s="46" t="n"/>
      <c r="O19" s="46" t="n"/>
      <c r="P19" s="46" t="n"/>
      <c r="Q19" s="46" t="n"/>
      <c r="R19" s="46" t="n"/>
      <c r="S19" s="46" t="n"/>
    </row>
    <row r="20">
      <c r="B20" s="10"/>
      <c r="C20" s="17"/>
      <c r="D20" s="10"/>
      <c r="E20" s="17"/>
      <c r="F20" s="19" t="s">
        <v>861</v>
      </c>
      <c r="G20" s="47" t="n"/>
      <c r="H20" s="47" t="n"/>
      <c r="I20" s="47" t="n"/>
      <c r="J20" s="47" t="n"/>
      <c r="K20" s="47" t="n"/>
      <c r="L20" s="47" t="n"/>
      <c r="M20" s="47" t="n"/>
      <c r="N20" s="47" t="n"/>
      <c r="O20" s="47" t="n"/>
      <c r="P20" s="47" t="n"/>
      <c r="Q20" s="47" t="n"/>
      <c r="R20" s="47" t="n"/>
      <c r="S20" s="47" t="n"/>
    </row>
    <row r="21">
      <c r="B21" s="10"/>
      <c r="C21" s="17"/>
      <c r="D21" s="10"/>
      <c r="E21" s="17"/>
      <c r="F21" s="18" t="s">
        <v>862</v>
      </c>
      <c r="G21" s="46" t="n"/>
      <c r="H21" s="46" t="n"/>
      <c r="I21" s="46" t="n"/>
      <c r="J21" s="46" t="n"/>
      <c r="K21" s="46" t="n"/>
      <c r="L21" s="46" t="n"/>
      <c r="M21" s="46" t="n"/>
      <c r="N21" s="46" t="n"/>
      <c r="O21" s="46" t="n"/>
      <c r="P21" s="46" t="n"/>
      <c r="Q21" s="46" t="n"/>
      <c r="R21" s="46" t="n"/>
      <c r="S21" s="46" t="n"/>
    </row>
    <row r="22">
      <c r="B22" s="10"/>
      <c r="C22" s="17"/>
      <c r="D22" s="10"/>
      <c r="E22" s="17"/>
      <c r="F22" s="19" t="s">
        <v>863</v>
      </c>
      <c r="G22" s="47" t="n"/>
      <c r="H22" s="47" t="n"/>
      <c r="I22" s="47" t="n"/>
      <c r="J22" s="47" t="n"/>
      <c r="K22" s="47" t="n"/>
      <c r="L22" s="47" t="n"/>
      <c r="M22" s="47" t="n"/>
      <c r="N22" s="47" t="n"/>
      <c r="O22" s="47" t="n"/>
      <c r="P22" s="47" t="n"/>
      <c r="Q22" s="47" t="n"/>
      <c r="R22" s="47" t="n"/>
      <c r="S22" s="47" t="n"/>
    </row>
    <row r="23">
      <c r="B23" s="10"/>
      <c r="C23" s="17"/>
      <c r="D23" s="10"/>
      <c r="E23" s="17"/>
      <c r="F23" s="18" t="s">
        <v>864</v>
      </c>
      <c r="G23" s="46" t="n"/>
      <c r="H23" s="46" t="n"/>
      <c r="I23" s="46" t="n"/>
      <c r="J23" s="46" t="n"/>
      <c r="K23" s="46" t="n"/>
      <c r="L23" s="46" t="n"/>
      <c r="M23" s="46" t="n"/>
      <c r="N23" s="46" t="n"/>
      <c r="O23" s="46" t="n"/>
      <c r="P23" s="46" t="n"/>
      <c r="Q23" s="46" t="n"/>
      <c r="R23" s="46" t="n"/>
      <c r="S23" s="46" t="n"/>
    </row>
    <row r="24">
      <c r="B24" s="10"/>
      <c r="C24" s="17"/>
      <c r="D24" s="10"/>
      <c r="E24" s="17"/>
      <c r="F24" s="19" t="s">
        <v>865</v>
      </c>
      <c r="G24" s="47" t="n"/>
      <c r="H24" s="47" t="n"/>
      <c r="I24" s="47" t="n"/>
      <c r="J24" s="47" t="n"/>
      <c r="K24" s="47" t="n"/>
      <c r="L24" s="47" t="n"/>
      <c r="M24" s="47" t="n"/>
      <c r="N24" s="47" t="n"/>
      <c r="O24" s="47" t="n"/>
      <c r="P24" s="47" t="n"/>
      <c r="Q24" s="47" t="n"/>
      <c r="R24" s="47" t="n"/>
      <c r="S24" s="47" t="n"/>
    </row>
    <row r="25">
      <c r="B25" s="10"/>
      <c r="C25" s="17"/>
      <c r="D25" s="10"/>
      <c r="E25" s="17"/>
      <c r="F25" s="18" t="s">
        <v>866</v>
      </c>
      <c r="G25" s="46" t="n"/>
      <c r="H25" s="46" t="n"/>
      <c r="I25" s="46" t="n"/>
      <c r="J25" s="46" t="n"/>
      <c r="K25" s="46" t="n"/>
      <c r="L25" s="46" t="n"/>
      <c r="M25" s="46" t="n"/>
      <c r="N25" s="46" t="n"/>
      <c r="O25" s="46" t="n"/>
      <c r="P25" s="46" t="n"/>
      <c r="Q25" s="46" t="n"/>
      <c r="R25" s="46" t="n"/>
      <c r="S25" s="46" t="n"/>
    </row>
    <row r="26">
      <c r="B26" s="10"/>
      <c r="C26" s="17"/>
      <c r="D26" s="10"/>
      <c r="E26" s="17"/>
      <c r="F26" s="19" t="s">
        <v>867</v>
      </c>
      <c r="G26" s="47" t="n"/>
      <c r="H26" s="47" t="n"/>
      <c r="I26" s="47" t="n"/>
      <c r="J26" s="47" t="n"/>
      <c r="K26" s="47" t="n"/>
      <c r="L26" s="47" t="n"/>
      <c r="M26" s="47" t="n"/>
      <c r="N26" s="47" t="n"/>
      <c r="O26" s="47" t="n"/>
      <c r="P26" s="47" t="n"/>
      <c r="Q26" s="47" t="n"/>
      <c r="R26" s="47" t="n"/>
      <c r="S26" s="47" t="n"/>
    </row>
    <row r="27">
      <c r="B27" s="10"/>
      <c r="C27" s="17"/>
      <c r="D27" s="10"/>
      <c r="E27" s="17"/>
      <c r="F27" s="18" t="s">
        <v>868</v>
      </c>
      <c r="G27" s="46" t="n"/>
      <c r="H27" s="46" t="n"/>
      <c r="I27" s="46" t="n"/>
      <c r="J27" s="46" t="n"/>
      <c r="K27" s="46" t="n"/>
      <c r="L27" s="46" t="n"/>
      <c r="M27" s="46" t="n"/>
      <c r="N27" s="46" t="n"/>
      <c r="O27" s="46" t="n"/>
      <c r="P27" s="46" t="n"/>
      <c r="Q27" s="46" t="n"/>
      <c r="R27" s="46" t="n"/>
      <c r="S27" s="46" t="n"/>
    </row>
    <row r="28">
      <c r="B28" s="10"/>
      <c r="C28" s="17"/>
      <c r="D28" s="10"/>
      <c r="E28" s="17"/>
      <c r="F28" s="19" t="s">
        <v>869</v>
      </c>
      <c r="G28" s="47" t="n"/>
      <c r="H28" s="47" t="n"/>
      <c r="I28" s="47" t="n"/>
      <c r="J28" s="47" t="n"/>
      <c r="K28" s="47" t="n"/>
      <c r="L28" s="47" t="n"/>
      <c r="M28" s="47" t="n"/>
      <c r="N28" s="47" t="n"/>
      <c r="O28" s="47" t="n"/>
      <c r="P28" s="47" t="n"/>
      <c r="Q28" s="47" t="n"/>
      <c r="R28" s="47" t="n"/>
      <c r="S28" s="47" t="n"/>
    </row>
    <row r="29">
      <c r="B29" s="10"/>
      <c r="C29" s="17"/>
      <c r="D29" s="10"/>
      <c r="E29" s="14"/>
      <c r="F29" s="51" t="s">
        <v>870</v>
      </c>
      <c r="G29" s="46" t="n">
        <f>SUM(G19:G28)</f>
      </c>
      <c r="H29" s="46" t="n">
        <f>SUM(H19:H28)</f>
      </c>
      <c r="I29" s="46" t="n">
        <f>SUM(I19:I28)</f>
      </c>
      <c r="J29" s="46" t="n">
        <f>SUM(J19:J28)</f>
      </c>
      <c r="K29" s="46" t="n">
        <f>SUM(K19:K28)</f>
      </c>
      <c r="L29" s="46" t="n">
        <f>SUM(L19:L28)</f>
      </c>
      <c r="M29" s="46" t="n">
        <f>SUM(M19:M28)</f>
      </c>
      <c r="N29" s="46" t="n">
        <f>SUM(N19:N28)</f>
      </c>
      <c r="O29" s="46" t="n">
        <f>SUM(O19:O28)</f>
      </c>
      <c r="P29" s="46" t="n">
        <f>SUM(P19:P28)</f>
      </c>
      <c r="Q29" s="46" t="n">
        <f>SUM(Q19:Q28)</f>
      </c>
      <c r="R29" s="46" t="n">
        <f>SUM(R19:R28)</f>
      </c>
      <c r="S29" s="46" t="n">
        <f>SUM(S19:S28)</f>
      </c>
    </row>
    <row r="30">
      <c r="B30" s="10"/>
      <c r="C30" s="14"/>
      <c r="D30" s="11"/>
      <c r="E30" s="40" t="s">
        <v>871</v>
      </c>
      <c r="F30" s="39"/>
      <c r="G30" s="47" t="n">
        <f>G16+G17+G29</f>
      </c>
      <c r="H30" s="47" t="n">
        <f>H16+H17+H29</f>
      </c>
      <c r="I30" s="47" t="n">
        <f>I16+I17+I29</f>
      </c>
      <c r="J30" s="47" t="n">
        <f>J16+J17+J29</f>
      </c>
      <c r="K30" s="47" t="n">
        <f>K16+K17+K29</f>
      </c>
      <c r="L30" s="47" t="n">
        <f>L16+L17+L29</f>
      </c>
      <c r="M30" s="47" t="n">
        <f>M16+M17+M29</f>
      </c>
      <c r="N30" s="47" t="n">
        <f>N16+N17+N29</f>
      </c>
      <c r="O30" s="47" t="n">
        <f>O16+O17+O29</f>
      </c>
      <c r="P30" s="47" t="n">
        <f>P16+P17+P29</f>
      </c>
      <c r="Q30" s="47" t="n">
        <f>Q16+Q17+Q29</f>
      </c>
      <c r="R30" s="47" t="n">
        <f>R16+R17+R29</f>
      </c>
      <c r="S30" s="47" t="n">
        <f>S16+S17+S29</f>
      </c>
    </row>
    <row r="31">
      <c r="B31" s="10"/>
      <c r="C31" s="7" t="s">
        <v>872</v>
      </c>
      <c r="D31" s="8"/>
      <c r="E31" s="8"/>
      <c r="F31" s="9"/>
      <c r="G31" s="22"/>
      <c r="H31" s="22"/>
      <c r="I31" s="22"/>
      <c r="J31" s="22"/>
      <c r="K31" s="22"/>
      <c r="L31" s="22"/>
      <c r="M31" s="22"/>
      <c r="N31" s="22"/>
      <c r="O31" s="22"/>
      <c r="P31" s="22"/>
      <c r="Q31" s="22"/>
      <c r="R31" s="22"/>
      <c r="S31" s="22"/>
    </row>
    <row r="32">
      <c r="B32" s="10"/>
      <c r="C32" s="10"/>
      <c r="D32" s="16" t="s">
        <v>873</v>
      </c>
      <c r="E32" s="37"/>
      <c r="F32" s="13"/>
      <c r="G32" s="23"/>
      <c r="H32" s="23"/>
      <c r="I32" s="23"/>
      <c r="J32" s="23"/>
      <c r="K32" s="23"/>
      <c r="L32" s="23"/>
      <c r="M32" s="23"/>
      <c r="N32" s="23"/>
      <c r="O32" s="23"/>
      <c r="P32" s="23"/>
      <c r="Q32" s="23"/>
      <c r="R32" s="23"/>
      <c r="S32" s="23"/>
    </row>
    <row r="33">
      <c r="B33" s="10"/>
      <c r="C33" s="10"/>
      <c r="D33" s="17"/>
      <c r="E33" s="11" t="s">
        <v>746</v>
      </c>
      <c r="F33" s="9"/>
      <c r="G33" s="46" t="n"/>
      <c r="H33" s="46" t="n"/>
      <c r="I33" s="46" t="n"/>
      <c r="J33" s="46" t="n"/>
      <c r="K33" s="46" t="n"/>
      <c r="L33" s="46" t="n"/>
      <c r="M33" s="46" t="n"/>
      <c r="N33" s="46" t="n"/>
      <c r="O33" s="46" t="n"/>
      <c r="P33" s="46" t="n"/>
      <c r="Q33" s="46" t="n"/>
      <c r="R33" s="46" t="n"/>
      <c r="S33" s="46" t="n"/>
    </row>
    <row r="34">
      <c r="B34" s="10"/>
      <c r="C34" s="10"/>
      <c r="D34" s="17"/>
      <c r="E34" s="14" t="s">
        <v>859</v>
      </c>
      <c r="F34" s="13"/>
      <c r="G34" s="47" t="n"/>
      <c r="H34" s="47" t="n"/>
      <c r="I34" s="47" t="n"/>
      <c r="J34" s="47" t="n"/>
      <c r="K34" s="47" t="n"/>
      <c r="L34" s="47" t="n"/>
      <c r="M34" s="47" t="n"/>
      <c r="N34" s="47" t="n"/>
      <c r="O34" s="47" t="n"/>
      <c r="P34" s="47" t="n"/>
      <c r="Q34" s="47" t="n"/>
      <c r="R34" s="47" t="n"/>
      <c r="S34" s="47" t="n"/>
    </row>
    <row r="35">
      <c r="B35" s="10"/>
      <c r="C35" s="10"/>
      <c r="D35" s="17"/>
      <c r="E35" s="7" t="s">
        <v>783</v>
      </c>
      <c r="F35" s="9"/>
      <c r="G35" s="22"/>
      <c r="H35" s="22"/>
      <c r="I35" s="22"/>
      <c r="J35" s="22"/>
      <c r="K35" s="22"/>
      <c r="L35" s="22"/>
      <c r="M35" s="22"/>
      <c r="N35" s="22"/>
      <c r="O35" s="22"/>
      <c r="P35" s="22"/>
      <c r="Q35" s="22"/>
      <c r="R35" s="22"/>
      <c r="S35" s="22"/>
    </row>
    <row r="36">
      <c r="B36" s="10"/>
      <c r="C36" s="10"/>
      <c r="D36" s="17"/>
      <c r="E36" s="10"/>
      <c r="F36" s="19" t="s">
        <v>860</v>
      </c>
      <c r="G36" s="47" t="n"/>
      <c r="H36" s="47" t="n"/>
      <c r="I36" s="47" t="n"/>
      <c r="J36" s="47" t="n"/>
      <c r="K36" s="47" t="n"/>
      <c r="L36" s="47" t="n"/>
      <c r="M36" s="47" t="n"/>
      <c r="N36" s="47" t="n"/>
      <c r="O36" s="47" t="n"/>
      <c r="P36" s="47" t="n"/>
      <c r="Q36" s="47" t="n"/>
      <c r="R36" s="47" t="n"/>
      <c r="S36" s="47" t="n"/>
    </row>
    <row r="37">
      <c r="B37" s="10"/>
      <c r="C37" s="10"/>
      <c r="D37" s="17"/>
      <c r="E37" s="10"/>
      <c r="F37" s="18" t="s">
        <v>861</v>
      </c>
      <c r="G37" s="46" t="n"/>
      <c r="H37" s="46" t="n"/>
      <c r="I37" s="46" t="n"/>
      <c r="J37" s="46" t="n"/>
      <c r="K37" s="46" t="n"/>
      <c r="L37" s="46" t="n"/>
      <c r="M37" s="46" t="n"/>
      <c r="N37" s="46" t="n"/>
      <c r="O37" s="46" t="n"/>
      <c r="P37" s="46" t="n"/>
      <c r="Q37" s="46" t="n"/>
      <c r="R37" s="46" t="n"/>
      <c r="S37" s="46" t="n"/>
    </row>
    <row r="38">
      <c r="B38" s="10"/>
      <c r="C38" s="10"/>
      <c r="D38" s="17"/>
      <c r="E38" s="10"/>
      <c r="F38" s="19" t="s">
        <v>862</v>
      </c>
      <c r="G38" s="47" t="n"/>
      <c r="H38" s="47" t="n"/>
      <c r="I38" s="47" t="n"/>
      <c r="J38" s="47" t="n"/>
      <c r="K38" s="47" t="n"/>
      <c r="L38" s="47" t="n"/>
      <c r="M38" s="47" t="n"/>
      <c r="N38" s="47" t="n"/>
      <c r="O38" s="47" t="n"/>
      <c r="P38" s="47" t="n"/>
      <c r="Q38" s="47" t="n"/>
      <c r="R38" s="47" t="n"/>
      <c r="S38" s="47" t="n"/>
    </row>
    <row r="39">
      <c r="B39" s="10"/>
      <c r="C39" s="10"/>
      <c r="D39" s="17"/>
      <c r="E39" s="10"/>
      <c r="F39" s="18" t="s">
        <v>863</v>
      </c>
      <c r="G39" s="46" t="n"/>
      <c r="H39" s="46" t="n"/>
      <c r="I39" s="46" t="n"/>
      <c r="J39" s="46" t="n"/>
      <c r="K39" s="46" t="n"/>
      <c r="L39" s="46" t="n"/>
      <c r="M39" s="46" t="n"/>
      <c r="N39" s="46" t="n"/>
      <c r="O39" s="46" t="n"/>
      <c r="P39" s="46" t="n"/>
      <c r="Q39" s="46" t="n"/>
      <c r="R39" s="46" t="n"/>
      <c r="S39" s="46" t="n"/>
    </row>
    <row r="40">
      <c r="B40" s="10"/>
      <c r="C40" s="10"/>
      <c r="D40" s="17"/>
      <c r="E40" s="10"/>
      <c r="F40" s="19" t="s">
        <v>864</v>
      </c>
      <c r="G40" s="47" t="n"/>
      <c r="H40" s="47" t="n"/>
      <c r="I40" s="47" t="n"/>
      <c r="J40" s="47" t="n"/>
      <c r="K40" s="47" t="n"/>
      <c r="L40" s="47" t="n"/>
      <c r="M40" s="47" t="n"/>
      <c r="N40" s="47" t="n"/>
      <c r="O40" s="47" t="n"/>
      <c r="P40" s="47" t="n"/>
      <c r="Q40" s="47" t="n"/>
      <c r="R40" s="47" t="n"/>
      <c r="S40" s="47" t="n"/>
    </row>
    <row r="41">
      <c r="B41" s="10"/>
      <c r="C41" s="10"/>
      <c r="D41" s="17"/>
      <c r="E41" s="10"/>
      <c r="F41" s="18" t="s">
        <v>865</v>
      </c>
      <c r="G41" s="46" t="n"/>
      <c r="H41" s="46" t="n"/>
      <c r="I41" s="46" t="n"/>
      <c r="J41" s="46" t="n"/>
      <c r="K41" s="46" t="n"/>
      <c r="L41" s="46" t="n"/>
      <c r="M41" s="46" t="n"/>
      <c r="N41" s="46" t="n"/>
      <c r="O41" s="46" t="n"/>
      <c r="P41" s="46" t="n"/>
      <c r="Q41" s="46" t="n"/>
      <c r="R41" s="46" t="n"/>
      <c r="S41" s="46" t="n"/>
    </row>
    <row r="42">
      <c r="B42" s="10"/>
      <c r="C42" s="10"/>
      <c r="D42" s="17"/>
      <c r="E42" s="10"/>
      <c r="F42" s="19" t="s">
        <v>874</v>
      </c>
      <c r="G42" s="47" t="n"/>
      <c r="H42" s="47" t="n"/>
      <c r="I42" s="47" t="n"/>
      <c r="J42" s="47" t="n"/>
      <c r="K42" s="47" t="n"/>
      <c r="L42" s="47" t="n"/>
      <c r="M42" s="47" t="n"/>
      <c r="N42" s="47" t="n"/>
      <c r="O42" s="47" t="n"/>
      <c r="P42" s="47" t="n"/>
      <c r="Q42" s="47" t="n"/>
      <c r="R42" s="47" t="n"/>
      <c r="S42" s="47" t="n"/>
    </row>
    <row r="43">
      <c r="B43" s="10"/>
      <c r="C43" s="10"/>
      <c r="D43" s="17"/>
      <c r="E43" s="10"/>
      <c r="F43" s="18" t="s">
        <v>875</v>
      </c>
      <c r="G43" s="46" t="n"/>
      <c r="H43" s="46" t="n"/>
      <c r="I43" s="46" t="n"/>
      <c r="J43" s="46" t="n"/>
      <c r="K43" s="46" t="n"/>
      <c r="L43" s="46" t="n"/>
      <c r="M43" s="46" t="n"/>
      <c r="N43" s="46" t="n"/>
      <c r="O43" s="46" t="n"/>
      <c r="P43" s="46" t="n"/>
      <c r="Q43" s="46" t="n"/>
      <c r="R43" s="46" t="n"/>
      <c r="S43" s="46" t="n"/>
    </row>
    <row r="44">
      <c r="B44" s="10"/>
      <c r="C44" s="10"/>
      <c r="D44" s="17"/>
      <c r="E44" s="10"/>
      <c r="F44" s="19" t="s">
        <v>876</v>
      </c>
      <c r="G44" s="47" t="n"/>
      <c r="H44" s="47" t="n"/>
      <c r="I44" s="47" t="n"/>
      <c r="J44" s="47" t="n"/>
      <c r="K44" s="47" t="n"/>
      <c r="L44" s="47" t="n"/>
      <c r="M44" s="47" t="n"/>
      <c r="N44" s="47" t="n"/>
      <c r="O44" s="47" t="n"/>
      <c r="P44" s="47" t="n"/>
      <c r="Q44" s="47" t="n"/>
      <c r="R44" s="47" t="n"/>
      <c r="S44" s="47" t="n"/>
    </row>
    <row r="45">
      <c r="B45" s="10"/>
      <c r="C45" s="10"/>
      <c r="D45" s="17"/>
      <c r="E45" s="10"/>
      <c r="F45" s="18" t="s">
        <v>877</v>
      </c>
      <c r="G45" s="46" t="n"/>
      <c r="H45" s="46" t="n"/>
      <c r="I45" s="46" t="n"/>
      <c r="J45" s="46" t="n"/>
      <c r="K45" s="46" t="n"/>
      <c r="L45" s="46" t="n"/>
      <c r="M45" s="46" t="n"/>
      <c r="N45" s="46" t="n"/>
      <c r="O45" s="46" t="n"/>
      <c r="P45" s="46" t="n"/>
      <c r="Q45" s="46" t="n"/>
      <c r="R45" s="46" t="n"/>
      <c r="S45" s="46" t="n"/>
    </row>
    <row r="46">
      <c r="B46" s="10"/>
      <c r="C46" s="10"/>
      <c r="D46" s="17"/>
      <c r="E46" s="11"/>
      <c r="F46" s="19" t="s">
        <v>870</v>
      </c>
      <c r="G46" s="47" t="n">
        <f>SUM(G36:G45)</f>
      </c>
      <c r="H46" s="47" t="n">
        <f>SUM(H36:H45)</f>
      </c>
      <c r="I46" s="47" t="n">
        <f>SUM(I36:I45)</f>
      </c>
      <c r="J46" s="47" t="n">
        <f>SUM(J36:J45)</f>
      </c>
      <c r="K46" s="47" t="n">
        <f>SUM(K36:K45)</f>
      </c>
      <c r="L46" s="47" t="n">
        <f>SUM(L36:L45)</f>
      </c>
      <c r="M46" s="47" t="n">
        <f>SUM(M36:M45)</f>
      </c>
      <c r="N46" s="47" t="n">
        <f>SUM(N36:N45)</f>
      </c>
      <c r="O46" s="47" t="n">
        <f>SUM(O36:O45)</f>
      </c>
      <c r="P46" s="47" t="n">
        <f>SUM(P36:P45)</f>
      </c>
      <c r="Q46" s="47" t="n">
        <f>SUM(Q36:Q45)</f>
      </c>
      <c r="R46" s="47" t="n">
        <f>SUM(R36:R45)</f>
      </c>
      <c r="S46" s="47" t="n">
        <f>SUM(S36:S45)</f>
      </c>
    </row>
    <row r="47">
      <c r="B47" s="10"/>
      <c r="C47" s="11"/>
      <c r="D47" s="14"/>
      <c r="E47" s="45" t="s">
        <v>878</v>
      </c>
      <c r="F47" s="44"/>
      <c r="G47" s="46" t="n">
        <f>G33+G34+G46</f>
      </c>
      <c r="H47" s="46" t="n">
        <f>H33+H34+H46</f>
      </c>
      <c r="I47" s="46" t="n">
        <f>I33+I34+I46</f>
      </c>
      <c r="J47" s="46" t="n">
        <f>J33+J34+J46</f>
      </c>
      <c r="K47" s="46" t="n">
        <f>K33+K34+K46</f>
      </c>
      <c r="L47" s="46" t="n">
        <f>L33+L34+L46</f>
      </c>
      <c r="M47" s="46" t="n">
        <f>M33+M34+M46</f>
      </c>
      <c r="N47" s="46" t="n">
        <f>N33+N34+N46</f>
      </c>
      <c r="O47" s="46" t="n">
        <f>O33+O34+O46</f>
      </c>
      <c r="P47" s="46" t="n">
        <f>P33+P34+P46</f>
      </c>
      <c r="Q47" s="46" t="n">
        <f>Q33+Q34+Q46</f>
      </c>
      <c r="R47" s="46" t="n">
        <f>R33+R34+R46</f>
      </c>
      <c r="S47" s="46" t="n">
        <f>S33+S34+S46</f>
      </c>
    </row>
    <row r="48">
      <c r="B48" s="11"/>
      <c r="C48" s="40" t="s">
        <v>879</v>
      </c>
      <c r="D48" s="41"/>
      <c r="E48" s="41"/>
      <c r="F48" s="39"/>
      <c r="G48" s="53" t="n">
        <f>G30-G47</f>
      </c>
      <c r="H48" s="53" t="n">
        <f>H30-H47</f>
      </c>
      <c r="I48" s="53" t="n">
        <f>I30-I47</f>
      </c>
      <c r="J48" s="53" t="n">
        <f>J30-J47</f>
      </c>
      <c r="K48" s="53" t="n">
        <f>K30-K47</f>
      </c>
      <c r="L48" s="53" t="n">
        <f>L30-L47</f>
      </c>
      <c r="M48" s="53" t="n">
        <f>M30-M47</f>
      </c>
      <c r="N48" s="53" t="n">
        <f>N30-N47</f>
      </c>
      <c r="O48" s="53" t="n">
        <f>O30-O47</f>
      </c>
      <c r="P48" s="53" t="n">
        <f>P30-P47</f>
      </c>
      <c r="Q48" s="53" t="n">
        <f>Q30-Q47</f>
      </c>
      <c r="R48" s="53" t="n">
        <f>R30-R47</f>
      </c>
      <c r="S48" s="53" t="n">
        <f>S30-S47</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27.xml><?xml version="1.0" encoding="utf-8"?>
<worksheet xmlns="http://schemas.openxmlformats.org/spreadsheetml/2006/main">
  <dimension ref="B2:T48"/>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880</v>
      </c>
    </row>
    <row r="6">
      <c r="B6" t="s" s="1">
        <v>8</v>
      </c>
      <c r="C6" t="s">
        <v>9</v>
      </c>
    </row>
    <row r="7">
      <c r="B7" t="s" s="1">
        <v>10</v>
      </c>
      <c r="C7" t="s">
        <v>9</v>
      </c>
    </row>
    <row r="8">
      <c r="B8" t="s" s="1">
        <v>11</v>
      </c>
      <c r="C8" t="s">
        <v>12</v>
      </c>
    </row>
    <row r="10">
      <c r="G10" t="s" s="4">
        <v>881</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882</v>
      </c>
      <c r="C13" s="8"/>
      <c r="D13" s="8"/>
      <c r="E13" s="8"/>
      <c r="F13" s="9"/>
      <c r="G13" s="22"/>
      <c r="H13" s="22"/>
      <c r="I13" s="22"/>
      <c r="J13" s="22"/>
      <c r="K13" s="22"/>
      <c r="L13" s="22"/>
      <c r="M13" s="22"/>
      <c r="N13" s="22"/>
      <c r="O13" s="22"/>
      <c r="P13" s="22"/>
      <c r="Q13" s="22"/>
      <c r="R13" s="22"/>
      <c r="S13" s="22"/>
    </row>
    <row r="14">
      <c r="B14" s="10"/>
      <c r="C14" s="16" t="s">
        <v>883</v>
      </c>
      <c r="D14" s="37"/>
      <c r="E14" s="37"/>
      <c r="F14" s="13"/>
      <c r="G14" s="23"/>
      <c r="H14" s="23"/>
      <c r="I14" s="23"/>
      <c r="J14" s="23"/>
      <c r="K14" s="23"/>
      <c r="L14" s="23"/>
      <c r="M14" s="23"/>
      <c r="N14" s="23"/>
      <c r="O14" s="23"/>
      <c r="P14" s="23"/>
      <c r="Q14" s="23"/>
      <c r="R14" s="23"/>
      <c r="S14" s="23"/>
    </row>
    <row r="15">
      <c r="B15" s="10"/>
      <c r="C15" s="17"/>
      <c r="D15" s="7" t="s">
        <v>884</v>
      </c>
      <c r="E15" s="8"/>
      <c r="F15" s="9"/>
      <c r="G15" s="22"/>
      <c r="H15" s="22"/>
      <c r="I15" s="22"/>
      <c r="J15" s="22"/>
      <c r="K15" s="22"/>
      <c r="L15" s="22"/>
      <c r="M15" s="22"/>
      <c r="N15" s="22"/>
      <c r="O15" s="22"/>
      <c r="P15" s="22"/>
      <c r="Q15" s="22"/>
      <c r="R15" s="22"/>
      <c r="S15" s="22"/>
    </row>
    <row r="16">
      <c r="B16" s="10"/>
      <c r="C16" s="17"/>
      <c r="D16" s="10"/>
      <c r="E16" s="14" t="s">
        <v>885</v>
      </c>
      <c r="F16" s="13"/>
      <c r="G16" s="47" t="n"/>
      <c r="H16" s="47" t="n"/>
      <c r="I16" s="47" t="n"/>
      <c r="J16" s="47" t="n"/>
      <c r="K16" s="47" t="n"/>
      <c r="L16" s="47" t="n"/>
      <c r="M16" s="47" t="n"/>
      <c r="N16" s="47" t="n"/>
      <c r="O16" s="47" t="n"/>
      <c r="P16" s="47" t="n"/>
      <c r="Q16" s="47" t="n"/>
      <c r="R16" s="47" t="n"/>
      <c r="S16" s="47" t="n"/>
    </row>
    <row r="17">
      <c r="B17" s="10"/>
      <c r="C17" s="17"/>
      <c r="D17" s="10"/>
      <c r="E17" s="11" t="s">
        <v>886</v>
      </c>
      <c r="F17" s="9"/>
      <c r="G17" s="46" t="n"/>
      <c r="H17" s="46" t="n"/>
      <c r="I17" s="46" t="n"/>
      <c r="J17" s="46" t="n"/>
      <c r="K17" s="46" t="n"/>
      <c r="L17" s="46" t="n"/>
      <c r="M17" s="46" t="n"/>
      <c r="N17" s="46" t="n"/>
      <c r="O17" s="46" t="n"/>
      <c r="P17" s="46" t="n"/>
      <c r="Q17" s="46" t="n"/>
      <c r="R17" s="46" t="n"/>
      <c r="S17" s="46" t="n"/>
    </row>
    <row r="18">
      <c r="B18" s="10"/>
      <c r="C18" s="17"/>
      <c r="D18" s="10"/>
      <c r="E18" s="16" t="s">
        <v>783</v>
      </c>
      <c r="F18" s="13"/>
      <c r="G18" s="23"/>
      <c r="H18" s="23"/>
      <c r="I18" s="23"/>
      <c r="J18" s="23"/>
      <c r="K18" s="23"/>
      <c r="L18" s="23"/>
      <c r="M18" s="23"/>
      <c r="N18" s="23"/>
      <c r="O18" s="23"/>
      <c r="P18" s="23"/>
      <c r="Q18" s="23"/>
      <c r="R18" s="23"/>
      <c r="S18" s="23"/>
    </row>
    <row r="19">
      <c r="B19" s="10"/>
      <c r="C19" s="17"/>
      <c r="D19" s="10"/>
      <c r="E19" s="17"/>
      <c r="F19" s="18" t="s">
        <v>860</v>
      </c>
      <c r="G19" s="46" t="n"/>
      <c r="H19" s="46" t="n"/>
      <c r="I19" s="46" t="n"/>
      <c r="J19" s="46" t="n"/>
      <c r="K19" s="46" t="n"/>
      <c r="L19" s="46" t="n"/>
      <c r="M19" s="46" t="n"/>
      <c r="N19" s="46" t="n"/>
      <c r="O19" s="46" t="n"/>
      <c r="P19" s="46" t="n"/>
      <c r="Q19" s="46" t="n"/>
      <c r="R19" s="46" t="n"/>
      <c r="S19" s="46" t="n"/>
    </row>
    <row r="20">
      <c r="B20" s="10"/>
      <c r="C20" s="17"/>
      <c r="D20" s="10"/>
      <c r="E20" s="17"/>
      <c r="F20" s="19" t="s">
        <v>861</v>
      </c>
      <c r="G20" s="47" t="n"/>
      <c r="H20" s="47" t="n"/>
      <c r="I20" s="47" t="n"/>
      <c r="J20" s="47" t="n"/>
      <c r="K20" s="47" t="n"/>
      <c r="L20" s="47" t="n"/>
      <c r="M20" s="47" t="n"/>
      <c r="N20" s="47" t="n"/>
      <c r="O20" s="47" t="n"/>
      <c r="P20" s="47" t="n"/>
      <c r="Q20" s="47" t="n"/>
      <c r="R20" s="47" t="n"/>
      <c r="S20" s="47" t="n"/>
    </row>
    <row r="21">
      <c r="B21" s="10"/>
      <c r="C21" s="17"/>
      <c r="D21" s="10"/>
      <c r="E21" s="17"/>
      <c r="F21" s="18" t="s">
        <v>862</v>
      </c>
      <c r="G21" s="46" t="n"/>
      <c r="H21" s="46" t="n"/>
      <c r="I21" s="46" t="n"/>
      <c r="J21" s="46" t="n"/>
      <c r="K21" s="46" t="n"/>
      <c r="L21" s="46" t="n"/>
      <c r="M21" s="46" t="n"/>
      <c r="N21" s="46" t="n"/>
      <c r="O21" s="46" t="n"/>
      <c r="P21" s="46" t="n"/>
      <c r="Q21" s="46" t="n"/>
      <c r="R21" s="46" t="n"/>
      <c r="S21" s="46" t="n"/>
    </row>
    <row r="22">
      <c r="B22" s="10"/>
      <c r="C22" s="17"/>
      <c r="D22" s="10"/>
      <c r="E22" s="17"/>
      <c r="F22" s="19" t="s">
        <v>863</v>
      </c>
      <c r="G22" s="47" t="n"/>
      <c r="H22" s="47" t="n"/>
      <c r="I22" s="47" t="n"/>
      <c r="J22" s="47" t="n"/>
      <c r="K22" s="47" t="n"/>
      <c r="L22" s="47" t="n"/>
      <c r="M22" s="47" t="n"/>
      <c r="N22" s="47" t="n"/>
      <c r="O22" s="47" t="n"/>
      <c r="P22" s="47" t="n"/>
      <c r="Q22" s="47" t="n"/>
      <c r="R22" s="47" t="n"/>
      <c r="S22" s="47" t="n"/>
    </row>
    <row r="23">
      <c r="B23" s="10"/>
      <c r="C23" s="17"/>
      <c r="D23" s="10"/>
      <c r="E23" s="17"/>
      <c r="F23" s="18" t="s">
        <v>864</v>
      </c>
      <c r="G23" s="46" t="n"/>
      <c r="H23" s="46" t="n"/>
      <c r="I23" s="46" t="n"/>
      <c r="J23" s="46" t="n"/>
      <c r="K23" s="46" t="n"/>
      <c r="L23" s="46" t="n"/>
      <c r="M23" s="46" t="n"/>
      <c r="N23" s="46" t="n"/>
      <c r="O23" s="46" t="n"/>
      <c r="P23" s="46" t="n"/>
      <c r="Q23" s="46" t="n"/>
      <c r="R23" s="46" t="n"/>
      <c r="S23" s="46" t="n"/>
    </row>
    <row r="24">
      <c r="B24" s="10"/>
      <c r="C24" s="17"/>
      <c r="D24" s="10"/>
      <c r="E24" s="17"/>
      <c r="F24" s="19" t="s">
        <v>865</v>
      </c>
      <c r="G24" s="47" t="n"/>
      <c r="H24" s="47" t="n"/>
      <c r="I24" s="47" t="n"/>
      <c r="J24" s="47" t="n"/>
      <c r="K24" s="47" t="n"/>
      <c r="L24" s="47" t="n"/>
      <c r="M24" s="47" t="n"/>
      <c r="N24" s="47" t="n"/>
      <c r="O24" s="47" t="n"/>
      <c r="P24" s="47" t="n"/>
      <c r="Q24" s="47" t="n"/>
      <c r="R24" s="47" t="n"/>
      <c r="S24" s="47" t="n"/>
    </row>
    <row r="25">
      <c r="B25" s="10"/>
      <c r="C25" s="17"/>
      <c r="D25" s="10"/>
      <c r="E25" s="17"/>
      <c r="F25" s="18" t="s">
        <v>866</v>
      </c>
      <c r="G25" s="46" t="n"/>
      <c r="H25" s="46" t="n"/>
      <c r="I25" s="46" t="n"/>
      <c r="J25" s="46" t="n"/>
      <c r="K25" s="46" t="n"/>
      <c r="L25" s="46" t="n"/>
      <c r="M25" s="46" t="n"/>
      <c r="N25" s="46" t="n"/>
      <c r="O25" s="46" t="n"/>
      <c r="P25" s="46" t="n"/>
      <c r="Q25" s="46" t="n"/>
      <c r="R25" s="46" t="n"/>
      <c r="S25" s="46" t="n"/>
    </row>
    <row r="26">
      <c r="B26" s="10"/>
      <c r="C26" s="17"/>
      <c r="D26" s="10"/>
      <c r="E26" s="17"/>
      <c r="F26" s="19" t="s">
        <v>867</v>
      </c>
      <c r="G26" s="47" t="n"/>
      <c r="H26" s="47" t="n"/>
      <c r="I26" s="47" t="n"/>
      <c r="J26" s="47" t="n"/>
      <c r="K26" s="47" t="n"/>
      <c r="L26" s="47" t="n"/>
      <c r="M26" s="47" t="n"/>
      <c r="N26" s="47" t="n"/>
      <c r="O26" s="47" t="n"/>
      <c r="P26" s="47" t="n"/>
      <c r="Q26" s="47" t="n"/>
      <c r="R26" s="47" t="n"/>
      <c r="S26" s="47" t="n"/>
    </row>
    <row r="27">
      <c r="B27" s="10"/>
      <c r="C27" s="17"/>
      <c r="D27" s="10"/>
      <c r="E27" s="17"/>
      <c r="F27" s="18" t="s">
        <v>868</v>
      </c>
      <c r="G27" s="46" t="n"/>
      <c r="H27" s="46" t="n"/>
      <c r="I27" s="46" t="n"/>
      <c r="J27" s="46" t="n"/>
      <c r="K27" s="46" t="n"/>
      <c r="L27" s="46" t="n"/>
      <c r="M27" s="46" t="n"/>
      <c r="N27" s="46" t="n"/>
      <c r="O27" s="46" t="n"/>
      <c r="P27" s="46" t="n"/>
      <c r="Q27" s="46" t="n"/>
      <c r="R27" s="46" t="n"/>
      <c r="S27" s="46" t="n"/>
    </row>
    <row r="28">
      <c r="B28" s="10"/>
      <c r="C28" s="17"/>
      <c r="D28" s="10"/>
      <c r="E28" s="17"/>
      <c r="F28" s="19" t="s">
        <v>869</v>
      </c>
      <c r="G28" s="47" t="n"/>
      <c r="H28" s="47" t="n"/>
      <c r="I28" s="47" t="n"/>
      <c r="J28" s="47" t="n"/>
      <c r="K28" s="47" t="n"/>
      <c r="L28" s="47" t="n"/>
      <c r="M28" s="47" t="n"/>
      <c r="N28" s="47" t="n"/>
      <c r="O28" s="47" t="n"/>
      <c r="P28" s="47" t="n"/>
      <c r="Q28" s="47" t="n"/>
      <c r="R28" s="47" t="n"/>
      <c r="S28" s="47" t="n"/>
    </row>
    <row r="29">
      <c r="B29" s="10"/>
      <c r="C29" s="17"/>
      <c r="D29" s="10"/>
      <c r="E29" s="14"/>
      <c r="F29" s="51" t="s">
        <v>870</v>
      </c>
      <c r="G29" s="46" t="n">
        <f>SUM(G19:G28)</f>
      </c>
      <c r="H29" s="46" t="n">
        <f>SUM(H19:H28)</f>
      </c>
      <c r="I29" s="46" t="n">
        <f>SUM(I19:I28)</f>
      </c>
      <c r="J29" s="46" t="n">
        <f>SUM(J19:J28)</f>
      </c>
      <c r="K29" s="46" t="n">
        <f>SUM(K19:K28)</f>
      </c>
      <c r="L29" s="46" t="n">
        <f>SUM(L19:L28)</f>
      </c>
      <c r="M29" s="46" t="n">
        <f>SUM(M19:M28)</f>
      </c>
      <c r="N29" s="46" t="n">
        <f>SUM(N19:N28)</f>
      </c>
      <c r="O29" s="46" t="n">
        <f>SUM(O19:O28)</f>
      </c>
      <c r="P29" s="46" t="n">
        <f>SUM(P19:P28)</f>
      </c>
      <c r="Q29" s="46" t="n">
        <f>SUM(Q19:Q28)</f>
      </c>
      <c r="R29" s="46" t="n">
        <f>SUM(R19:R28)</f>
      </c>
      <c r="S29" s="46" t="n">
        <f>SUM(S19:S28)</f>
      </c>
    </row>
    <row r="30">
      <c r="B30" s="10"/>
      <c r="C30" s="14"/>
      <c r="D30" s="11"/>
      <c r="E30" s="40" t="s">
        <v>887</v>
      </c>
      <c r="F30" s="39"/>
      <c r="G30" s="47" t="n">
        <f>G16+G17+G29</f>
      </c>
      <c r="H30" s="47" t="n">
        <f>H16+H17+H29</f>
      </c>
      <c r="I30" s="47" t="n">
        <f>I16+I17+I29</f>
      </c>
      <c r="J30" s="47" t="n">
        <f>J16+J17+J29</f>
      </c>
      <c r="K30" s="47" t="n">
        <f>K16+K17+K29</f>
      </c>
      <c r="L30" s="47" t="n">
        <f>L16+L17+L29</f>
      </c>
      <c r="M30" s="47" t="n">
        <f>M16+M17+M29</f>
      </c>
      <c r="N30" s="47" t="n">
        <f>N16+N17+N29</f>
      </c>
      <c r="O30" s="47" t="n">
        <f>O16+O17+O29</f>
      </c>
      <c r="P30" s="47" t="n">
        <f>P16+P17+P29</f>
      </c>
      <c r="Q30" s="47" t="n">
        <f>Q16+Q17+Q29</f>
      </c>
      <c r="R30" s="47" t="n">
        <f>R16+R17+R29</f>
      </c>
      <c r="S30" s="47" t="n">
        <f>S16+S17+S29</f>
      </c>
    </row>
    <row r="31">
      <c r="B31" s="10"/>
      <c r="C31" s="7" t="s">
        <v>888</v>
      </c>
      <c r="D31" s="8"/>
      <c r="E31" s="8"/>
      <c r="F31" s="9"/>
      <c r="G31" s="22"/>
      <c r="H31" s="22"/>
      <c r="I31" s="22"/>
      <c r="J31" s="22"/>
      <c r="K31" s="22"/>
      <c r="L31" s="22"/>
      <c r="M31" s="22"/>
      <c r="N31" s="22"/>
      <c r="O31" s="22"/>
      <c r="P31" s="22"/>
      <c r="Q31" s="22"/>
      <c r="R31" s="22"/>
      <c r="S31" s="22"/>
    </row>
    <row r="32">
      <c r="B32" s="10"/>
      <c r="C32" s="10"/>
      <c r="D32" s="16" t="s">
        <v>873</v>
      </c>
      <c r="E32" s="37"/>
      <c r="F32" s="13"/>
      <c r="G32" s="23"/>
      <c r="H32" s="23"/>
      <c r="I32" s="23"/>
      <c r="J32" s="23"/>
      <c r="K32" s="23"/>
      <c r="L32" s="23"/>
      <c r="M32" s="23"/>
      <c r="N32" s="23"/>
      <c r="O32" s="23"/>
      <c r="P32" s="23"/>
      <c r="Q32" s="23"/>
      <c r="R32" s="23"/>
      <c r="S32" s="23"/>
    </row>
    <row r="33">
      <c r="B33" s="10"/>
      <c r="C33" s="10"/>
      <c r="D33" s="17"/>
      <c r="E33" s="11" t="s">
        <v>885</v>
      </c>
      <c r="F33" s="9"/>
      <c r="G33" s="46" t="n"/>
      <c r="H33" s="46" t="n"/>
      <c r="I33" s="46" t="n"/>
      <c r="J33" s="46" t="n"/>
      <c r="K33" s="46" t="n"/>
      <c r="L33" s="46" t="n"/>
      <c r="M33" s="46" t="n"/>
      <c r="N33" s="46" t="n"/>
      <c r="O33" s="46" t="n"/>
      <c r="P33" s="46" t="n"/>
      <c r="Q33" s="46" t="n"/>
      <c r="R33" s="46" t="n"/>
      <c r="S33" s="46" t="n"/>
    </row>
    <row r="34">
      <c r="B34" s="10"/>
      <c r="C34" s="10"/>
      <c r="D34" s="17"/>
      <c r="E34" s="14" t="s">
        <v>886</v>
      </c>
      <c r="F34" s="13"/>
      <c r="G34" s="47" t="n"/>
      <c r="H34" s="47" t="n"/>
      <c r="I34" s="47" t="n"/>
      <c r="J34" s="47" t="n"/>
      <c r="K34" s="47" t="n"/>
      <c r="L34" s="47" t="n"/>
      <c r="M34" s="47" t="n"/>
      <c r="N34" s="47" t="n"/>
      <c r="O34" s="47" t="n"/>
      <c r="P34" s="47" t="n"/>
      <c r="Q34" s="47" t="n"/>
      <c r="R34" s="47" t="n"/>
      <c r="S34" s="47" t="n"/>
    </row>
    <row r="35">
      <c r="B35" s="10"/>
      <c r="C35" s="10"/>
      <c r="D35" s="17"/>
      <c r="E35" s="7" t="s">
        <v>783</v>
      </c>
      <c r="F35" s="9"/>
      <c r="G35" s="22"/>
      <c r="H35" s="22"/>
      <c r="I35" s="22"/>
      <c r="J35" s="22"/>
      <c r="K35" s="22"/>
      <c r="L35" s="22"/>
      <c r="M35" s="22"/>
      <c r="N35" s="22"/>
      <c r="O35" s="22"/>
      <c r="P35" s="22"/>
      <c r="Q35" s="22"/>
      <c r="R35" s="22"/>
      <c r="S35" s="22"/>
    </row>
    <row r="36">
      <c r="B36" s="10"/>
      <c r="C36" s="10"/>
      <c r="D36" s="17"/>
      <c r="E36" s="10"/>
      <c r="F36" s="19" t="s">
        <v>860</v>
      </c>
      <c r="G36" s="47" t="n"/>
      <c r="H36" s="47" t="n"/>
      <c r="I36" s="47" t="n"/>
      <c r="J36" s="47" t="n"/>
      <c r="K36" s="47" t="n"/>
      <c r="L36" s="47" t="n"/>
      <c r="M36" s="47" t="n"/>
      <c r="N36" s="47" t="n"/>
      <c r="O36" s="47" t="n"/>
      <c r="P36" s="47" t="n"/>
      <c r="Q36" s="47" t="n"/>
      <c r="R36" s="47" t="n"/>
      <c r="S36" s="47" t="n"/>
    </row>
    <row r="37">
      <c r="B37" s="10"/>
      <c r="C37" s="10"/>
      <c r="D37" s="17"/>
      <c r="E37" s="10"/>
      <c r="F37" s="18" t="s">
        <v>861</v>
      </c>
      <c r="G37" s="46" t="n"/>
      <c r="H37" s="46" t="n"/>
      <c r="I37" s="46" t="n"/>
      <c r="J37" s="46" t="n"/>
      <c r="K37" s="46" t="n"/>
      <c r="L37" s="46" t="n"/>
      <c r="M37" s="46" t="n"/>
      <c r="N37" s="46" t="n"/>
      <c r="O37" s="46" t="n"/>
      <c r="P37" s="46" t="n"/>
      <c r="Q37" s="46" t="n"/>
      <c r="R37" s="46" t="n"/>
      <c r="S37" s="46" t="n"/>
    </row>
    <row r="38">
      <c r="B38" s="10"/>
      <c r="C38" s="10"/>
      <c r="D38" s="17"/>
      <c r="E38" s="10"/>
      <c r="F38" s="19" t="s">
        <v>862</v>
      </c>
      <c r="G38" s="47" t="n"/>
      <c r="H38" s="47" t="n"/>
      <c r="I38" s="47" t="n"/>
      <c r="J38" s="47" t="n"/>
      <c r="K38" s="47" t="n"/>
      <c r="L38" s="47" t="n"/>
      <c r="M38" s="47" t="n"/>
      <c r="N38" s="47" t="n"/>
      <c r="O38" s="47" t="n"/>
      <c r="P38" s="47" t="n"/>
      <c r="Q38" s="47" t="n"/>
      <c r="R38" s="47" t="n"/>
      <c r="S38" s="47" t="n"/>
    </row>
    <row r="39">
      <c r="B39" s="10"/>
      <c r="C39" s="10"/>
      <c r="D39" s="17"/>
      <c r="E39" s="10"/>
      <c r="F39" s="18" t="s">
        <v>863</v>
      </c>
      <c r="G39" s="46" t="n"/>
      <c r="H39" s="46" t="n"/>
      <c r="I39" s="46" t="n"/>
      <c r="J39" s="46" t="n"/>
      <c r="K39" s="46" t="n"/>
      <c r="L39" s="46" t="n"/>
      <c r="M39" s="46" t="n"/>
      <c r="N39" s="46" t="n"/>
      <c r="O39" s="46" t="n"/>
      <c r="P39" s="46" t="n"/>
      <c r="Q39" s="46" t="n"/>
      <c r="R39" s="46" t="n"/>
      <c r="S39" s="46" t="n"/>
    </row>
    <row r="40">
      <c r="B40" s="10"/>
      <c r="C40" s="10"/>
      <c r="D40" s="17"/>
      <c r="E40" s="10"/>
      <c r="F40" s="19" t="s">
        <v>864</v>
      </c>
      <c r="G40" s="47" t="n"/>
      <c r="H40" s="47" t="n"/>
      <c r="I40" s="47" t="n"/>
      <c r="J40" s="47" t="n"/>
      <c r="K40" s="47" t="n"/>
      <c r="L40" s="47" t="n"/>
      <c r="M40" s="47" t="n"/>
      <c r="N40" s="47" t="n"/>
      <c r="O40" s="47" t="n"/>
      <c r="P40" s="47" t="n"/>
      <c r="Q40" s="47" t="n"/>
      <c r="R40" s="47" t="n"/>
      <c r="S40" s="47" t="n"/>
    </row>
    <row r="41">
      <c r="B41" s="10"/>
      <c r="C41" s="10"/>
      <c r="D41" s="17"/>
      <c r="E41" s="10"/>
      <c r="F41" s="18" t="s">
        <v>865</v>
      </c>
      <c r="G41" s="46" t="n"/>
      <c r="H41" s="46" t="n"/>
      <c r="I41" s="46" t="n"/>
      <c r="J41" s="46" t="n"/>
      <c r="K41" s="46" t="n"/>
      <c r="L41" s="46" t="n"/>
      <c r="M41" s="46" t="n"/>
      <c r="N41" s="46" t="n"/>
      <c r="O41" s="46" t="n"/>
      <c r="P41" s="46" t="n"/>
      <c r="Q41" s="46" t="n"/>
      <c r="R41" s="46" t="n"/>
      <c r="S41" s="46" t="n"/>
    </row>
    <row r="42">
      <c r="B42" s="10"/>
      <c r="C42" s="10"/>
      <c r="D42" s="17"/>
      <c r="E42" s="10"/>
      <c r="F42" s="19" t="s">
        <v>874</v>
      </c>
      <c r="G42" s="47" t="n"/>
      <c r="H42" s="47" t="n"/>
      <c r="I42" s="47" t="n"/>
      <c r="J42" s="47" t="n"/>
      <c r="K42" s="47" t="n"/>
      <c r="L42" s="47" t="n"/>
      <c r="M42" s="47" t="n"/>
      <c r="N42" s="47" t="n"/>
      <c r="O42" s="47" t="n"/>
      <c r="P42" s="47" t="n"/>
      <c r="Q42" s="47" t="n"/>
      <c r="R42" s="47" t="n"/>
      <c r="S42" s="47" t="n"/>
    </row>
    <row r="43">
      <c r="B43" s="10"/>
      <c r="C43" s="10"/>
      <c r="D43" s="17"/>
      <c r="E43" s="10"/>
      <c r="F43" s="18" t="s">
        <v>875</v>
      </c>
      <c r="G43" s="46" t="n"/>
      <c r="H43" s="46" t="n"/>
      <c r="I43" s="46" t="n"/>
      <c r="J43" s="46" t="n"/>
      <c r="K43" s="46" t="n"/>
      <c r="L43" s="46" t="n"/>
      <c r="M43" s="46" t="n"/>
      <c r="N43" s="46" t="n"/>
      <c r="O43" s="46" t="n"/>
      <c r="P43" s="46" t="n"/>
      <c r="Q43" s="46" t="n"/>
      <c r="R43" s="46" t="n"/>
      <c r="S43" s="46" t="n"/>
    </row>
    <row r="44">
      <c r="B44" s="10"/>
      <c r="C44" s="10"/>
      <c r="D44" s="17"/>
      <c r="E44" s="10"/>
      <c r="F44" s="19" t="s">
        <v>876</v>
      </c>
      <c r="G44" s="47" t="n"/>
      <c r="H44" s="47" t="n"/>
      <c r="I44" s="47" t="n"/>
      <c r="J44" s="47" t="n"/>
      <c r="K44" s="47" t="n"/>
      <c r="L44" s="47" t="n"/>
      <c r="M44" s="47" t="n"/>
      <c r="N44" s="47" t="n"/>
      <c r="O44" s="47" t="n"/>
      <c r="P44" s="47" t="n"/>
      <c r="Q44" s="47" t="n"/>
      <c r="R44" s="47" t="n"/>
      <c r="S44" s="47" t="n"/>
    </row>
    <row r="45">
      <c r="B45" s="10"/>
      <c r="C45" s="10"/>
      <c r="D45" s="17"/>
      <c r="E45" s="10"/>
      <c r="F45" s="18" t="s">
        <v>877</v>
      </c>
      <c r="G45" s="46" t="n"/>
      <c r="H45" s="46" t="n"/>
      <c r="I45" s="46" t="n"/>
      <c r="J45" s="46" t="n"/>
      <c r="K45" s="46" t="n"/>
      <c r="L45" s="46" t="n"/>
      <c r="M45" s="46" t="n"/>
      <c r="N45" s="46" t="n"/>
      <c r="O45" s="46" t="n"/>
      <c r="P45" s="46" t="n"/>
      <c r="Q45" s="46" t="n"/>
      <c r="R45" s="46" t="n"/>
      <c r="S45" s="46" t="n"/>
    </row>
    <row r="46">
      <c r="B46" s="10"/>
      <c r="C46" s="10"/>
      <c r="D46" s="17"/>
      <c r="E46" s="11"/>
      <c r="F46" s="52" t="s">
        <v>870</v>
      </c>
      <c r="G46" s="47" t="n">
        <f>SUM(G36:G45)</f>
      </c>
      <c r="H46" s="47" t="n">
        <f>SUM(H36:H45)</f>
      </c>
      <c r="I46" s="47" t="n">
        <f>SUM(I36:I45)</f>
      </c>
      <c r="J46" s="47" t="n">
        <f>SUM(J36:J45)</f>
      </c>
      <c r="K46" s="47" t="n">
        <f>SUM(K36:K45)</f>
      </c>
      <c r="L46" s="47" t="n">
        <f>SUM(L36:L45)</f>
      </c>
      <c r="M46" s="47" t="n">
        <f>SUM(M36:M45)</f>
      </c>
      <c r="N46" s="47" t="n">
        <f>SUM(N36:N45)</f>
      </c>
      <c r="O46" s="47" t="n">
        <f>SUM(O36:O45)</f>
      </c>
      <c r="P46" s="47" t="n">
        <f>SUM(P36:P45)</f>
      </c>
      <c r="Q46" s="47" t="n">
        <f>SUM(Q36:Q45)</f>
      </c>
      <c r="R46" s="47" t="n">
        <f>SUM(R36:R45)</f>
      </c>
      <c r="S46" s="47" t="n">
        <f>SUM(S36:S45)</f>
      </c>
    </row>
    <row r="47">
      <c r="B47" s="10"/>
      <c r="C47" s="11"/>
      <c r="D47" s="14"/>
      <c r="E47" s="45" t="s">
        <v>889</v>
      </c>
      <c r="F47" s="44"/>
      <c r="G47" s="46" t="n">
        <f>G33+G34+G46</f>
      </c>
      <c r="H47" s="46" t="n">
        <f>H33+H34+H46</f>
      </c>
      <c r="I47" s="46" t="n">
        <f>I33+I34+I46</f>
      </c>
      <c r="J47" s="46" t="n">
        <f>J33+J34+J46</f>
      </c>
      <c r="K47" s="46" t="n">
        <f>K33+K34+K46</f>
      </c>
      <c r="L47" s="46" t="n">
        <f>L33+L34+L46</f>
      </c>
      <c r="M47" s="46" t="n">
        <f>M33+M34+M46</f>
      </c>
      <c r="N47" s="46" t="n">
        <f>N33+N34+N46</f>
      </c>
      <c r="O47" s="46" t="n">
        <f>O33+O34+O46</f>
      </c>
      <c r="P47" s="46" t="n">
        <f>P33+P34+P46</f>
      </c>
      <c r="Q47" s="46" t="n">
        <f>Q33+Q34+Q46</f>
      </c>
      <c r="R47" s="46" t="n">
        <f>R33+R34+R46</f>
      </c>
      <c r="S47" s="46" t="n">
        <f>S33+S34+S46</f>
      </c>
    </row>
    <row r="48">
      <c r="B48" s="11"/>
      <c r="C48" s="40" t="s">
        <v>890</v>
      </c>
      <c r="D48" s="41"/>
      <c r="E48" s="41"/>
      <c r="F48" s="39"/>
      <c r="G48" s="53" t="n">
        <f>G30-G47</f>
      </c>
      <c r="H48" s="53" t="n">
        <f>H30-H47</f>
      </c>
      <c r="I48" s="53" t="n">
        <f>I30-I47</f>
      </c>
      <c r="J48" s="53" t="n">
        <f>J30-J47</f>
      </c>
      <c r="K48" s="53" t="n">
        <f>K30-K47</f>
      </c>
      <c r="L48" s="53" t="n">
        <f>L30-L47</f>
      </c>
      <c r="M48" s="53" t="n">
        <f>M30-M47</f>
      </c>
      <c r="N48" s="53" t="n">
        <f>N30-N47</f>
      </c>
      <c r="O48" s="53" t="n">
        <f>O30-O47</f>
      </c>
      <c r="P48" s="53" t="n">
        <f>P30-P47</f>
      </c>
      <c r="Q48" s="53" t="n">
        <f>Q30-Q47</f>
      </c>
      <c r="R48" s="53" t="n">
        <f>R30-R47</f>
      </c>
      <c r="S48" s="53" t="n">
        <f>S30-S47</f>
      </c>
    </row>
  </sheetData>
  <mergeCells>
    <mergeCell ref="G10:S10"/>
    <mergeCell ref="G11:I11"/>
    <mergeCell ref="J11:S11"/>
    <mergeCell ref="B13:F13"/>
    <mergeCell ref="C14:F14"/>
    <mergeCell ref="D15:F15"/>
    <mergeCell ref="E16:F16"/>
    <mergeCell ref="E17:F17"/>
    <mergeCell ref="E18:F18"/>
    <mergeCell ref="E30:F30"/>
    <mergeCell ref="C31:F31"/>
    <mergeCell ref="D32:F32"/>
    <mergeCell ref="E33:F33"/>
    <mergeCell ref="E34:F34"/>
    <mergeCell ref="E35:F35"/>
    <mergeCell ref="E47:F47"/>
    <mergeCell ref="C48:F48"/>
  </mergeCells>
  <hyperlinks>
    <hyperlink location="'Indice'!A1" ref="B2"/>
  </hyperlinks>
  <pageMargins bottom="0.75" footer="0.3" header="0.3" left="0.7" right="0.7" top="0.75"/>
</worksheet>
</file>

<file path=xl/worksheets/sheet28.xml><?xml version="1.0" encoding="utf-8"?>
<worksheet xmlns="http://schemas.openxmlformats.org/spreadsheetml/2006/main">
  <dimension ref="B2:R38"/>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891</v>
      </c>
    </row>
    <row r="6">
      <c r="B6" t="s" s="1">
        <v>8</v>
      </c>
      <c r="C6" t="s">
        <v>9</v>
      </c>
    </row>
    <row r="7">
      <c r="B7" t="s" s="1">
        <v>10</v>
      </c>
      <c r="C7" t="s">
        <v>9</v>
      </c>
    </row>
    <row r="8">
      <c r="B8" t="s" s="1">
        <v>11</v>
      </c>
      <c r="C8" t="s">
        <v>12</v>
      </c>
    </row>
    <row r="10">
      <c r="E10" t="s" s="4">
        <v>892</v>
      </c>
      <c r="F10" s="29"/>
      <c r="G10" s="29"/>
      <c r="H10" s="29"/>
      <c r="I10" s="29"/>
      <c r="J10" s="29"/>
      <c r="K10" s="29"/>
      <c r="L10" s="29"/>
      <c r="M10" s="29"/>
      <c r="N10" s="29"/>
      <c r="O10" s="29"/>
      <c r="P10" s="29"/>
      <c r="Q10" s="30"/>
    </row>
    <row r="11">
      <c r="E11" t="s" s="32">
        <v>843</v>
      </c>
      <c r="F11" s="59"/>
      <c r="G11" s="60"/>
      <c r="H11" t="s" s="4">
        <v>846</v>
      </c>
      <c r="I11" s="29"/>
      <c r="J11" s="29"/>
      <c r="K11" s="29"/>
      <c r="L11" s="29"/>
      <c r="M11" s="29"/>
      <c r="N11" s="29"/>
      <c r="O11" s="29"/>
      <c r="P11" s="29"/>
      <c r="Q11" s="30"/>
    </row>
    <row r="12">
      <c r="E12" t="s" s="6">
        <v>844</v>
      </c>
      <c r="F12" t="s" s="34">
        <v>845</v>
      </c>
      <c r="G12" s="55"/>
      <c r="H12" t="s" s="34">
        <v>847</v>
      </c>
      <c r="I12" t="s" s="6">
        <v>848</v>
      </c>
      <c r="J12" t="s" s="34">
        <v>849</v>
      </c>
      <c r="K12" t="s" s="6">
        <v>850</v>
      </c>
      <c r="L12" t="s" s="34">
        <v>851</v>
      </c>
      <c r="M12" t="s" s="6">
        <v>852</v>
      </c>
      <c r="N12" t="s" s="34">
        <v>853</v>
      </c>
      <c r="O12" t="s" s="6">
        <v>854</v>
      </c>
      <c r="P12" t="s" s="34">
        <v>855</v>
      </c>
      <c r="Q12" s="36"/>
    </row>
    <row r="13" ht="28.0" customHeight="true">
      <c r="B13" s="7" t="s">
        <v>893</v>
      </c>
      <c r="C13" s="8"/>
      <c r="D13" s="9"/>
      <c r="E13" s="22"/>
      <c r="F13" s="22"/>
      <c r="G13" s="22"/>
      <c r="H13" s="22"/>
      <c r="I13" s="22"/>
      <c r="J13" s="22"/>
      <c r="K13" s="22"/>
      <c r="L13" s="22"/>
      <c r="M13" s="22"/>
      <c r="N13" s="22"/>
      <c r="O13" s="22"/>
      <c r="P13" s="22"/>
      <c r="Q13" s="22"/>
    </row>
    <row r="14">
      <c r="B14" s="10"/>
      <c r="C14" s="16" t="s">
        <v>894</v>
      </c>
      <c r="D14" s="13"/>
      <c r="E14" s="23"/>
      <c r="F14" s="23"/>
      <c r="G14" s="23"/>
      <c r="H14" s="23"/>
      <c r="I14" s="23"/>
      <c r="J14" s="23"/>
      <c r="K14" s="23"/>
      <c r="L14" s="23"/>
      <c r="M14" s="23"/>
      <c r="N14" s="23"/>
      <c r="O14" s="23"/>
      <c r="P14" s="23"/>
      <c r="Q14" s="23"/>
    </row>
    <row r="15">
      <c r="B15" s="10"/>
      <c r="C15" s="17"/>
      <c r="D15" s="18" t="s">
        <v>860</v>
      </c>
      <c r="E15" s="46" t="n"/>
      <c r="F15" s="46" t="n"/>
      <c r="G15" s="46" t="n"/>
      <c r="H15" s="46" t="n"/>
      <c r="I15" s="46" t="n"/>
      <c r="J15" s="46" t="n"/>
      <c r="K15" s="46" t="n"/>
      <c r="L15" s="46" t="n"/>
      <c r="M15" s="46" t="n"/>
      <c r="N15" s="46" t="n"/>
      <c r="O15" s="46" t="n"/>
      <c r="P15" s="46" t="n"/>
      <c r="Q15" s="46" t="n"/>
    </row>
    <row r="16">
      <c r="B16" s="10"/>
      <c r="C16" s="17"/>
      <c r="D16" s="19" t="s">
        <v>861</v>
      </c>
      <c r="E16" s="47" t="n"/>
      <c r="F16" s="47" t="n"/>
      <c r="G16" s="47" t="n"/>
      <c r="H16" s="47" t="n"/>
      <c r="I16" s="47" t="n"/>
      <c r="J16" s="47" t="n"/>
      <c r="K16" s="47" t="n"/>
      <c r="L16" s="47" t="n"/>
      <c r="M16" s="47" t="n"/>
      <c r="N16" s="47" t="n"/>
      <c r="O16" s="47" t="n"/>
      <c r="P16" s="47" t="n"/>
      <c r="Q16" s="47" t="n"/>
    </row>
    <row r="17">
      <c r="B17" s="10"/>
      <c r="C17" s="17"/>
      <c r="D17" s="18" t="s">
        <v>862</v>
      </c>
      <c r="E17" s="46" t="n"/>
      <c r="F17" s="46" t="n"/>
      <c r="G17" s="46" t="n"/>
      <c r="H17" s="46" t="n"/>
      <c r="I17" s="46" t="n"/>
      <c r="J17" s="46" t="n"/>
      <c r="K17" s="46" t="n"/>
      <c r="L17" s="46" t="n"/>
      <c r="M17" s="46" t="n"/>
      <c r="N17" s="46" t="n"/>
      <c r="O17" s="46" t="n"/>
      <c r="P17" s="46" t="n"/>
      <c r="Q17" s="46" t="n"/>
    </row>
    <row r="18">
      <c r="B18" s="10"/>
      <c r="C18" s="17"/>
      <c r="D18" s="19" t="s">
        <v>863</v>
      </c>
      <c r="E18" s="47" t="n"/>
      <c r="F18" s="47" t="n"/>
      <c r="G18" s="47" t="n"/>
      <c r="H18" s="47" t="n"/>
      <c r="I18" s="47" t="n"/>
      <c r="J18" s="47" t="n"/>
      <c r="K18" s="47" t="n"/>
      <c r="L18" s="47" t="n"/>
      <c r="M18" s="47" t="n"/>
      <c r="N18" s="47" t="n"/>
      <c r="O18" s="47" t="n"/>
      <c r="P18" s="47" t="n"/>
      <c r="Q18" s="47" t="n"/>
    </row>
    <row r="19">
      <c r="B19" s="10"/>
      <c r="C19" s="17"/>
      <c r="D19" s="18" t="s">
        <v>864</v>
      </c>
      <c r="E19" s="46" t="n"/>
      <c r="F19" s="46" t="n"/>
      <c r="G19" s="46" t="n"/>
      <c r="H19" s="46" t="n"/>
      <c r="I19" s="46" t="n"/>
      <c r="J19" s="46" t="n"/>
      <c r="K19" s="46" t="n"/>
      <c r="L19" s="46" t="n"/>
      <c r="M19" s="46" t="n"/>
      <c r="N19" s="46" t="n"/>
      <c r="O19" s="46" t="n"/>
      <c r="P19" s="46" t="n"/>
      <c r="Q19" s="46" t="n"/>
    </row>
    <row r="20">
      <c r="B20" s="10"/>
      <c r="C20" s="17"/>
      <c r="D20" s="19" t="s">
        <v>865</v>
      </c>
      <c r="E20" s="47" t="n"/>
      <c r="F20" s="47" t="n"/>
      <c r="G20" s="47" t="n"/>
      <c r="H20" s="47" t="n"/>
      <c r="I20" s="47" t="n"/>
      <c r="J20" s="47" t="n"/>
      <c r="K20" s="47" t="n"/>
      <c r="L20" s="47" t="n"/>
      <c r="M20" s="47" t="n"/>
      <c r="N20" s="47" t="n"/>
      <c r="O20" s="47" t="n"/>
      <c r="P20" s="47" t="n"/>
      <c r="Q20" s="47" t="n"/>
    </row>
    <row r="21">
      <c r="B21" s="10"/>
      <c r="C21" s="17"/>
      <c r="D21" s="18" t="s">
        <v>866</v>
      </c>
      <c r="E21" s="46" t="n"/>
      <c r="F21" s="46" t="n"/>
      <c r="G21" s="46" t="n"/>
      <c r="H21" s="46" t="n"/>
      <c r="I21" s="46" t="n"/>
      <c r="J21" s="46" t="n"/>
      <c r="K21" s="46" t="n"/>
      <c r="L21" s="46" t="n"/>
      <c r="M21" s="46" t="n"/>
      <c r="N21" s="46" t="n"/>
      <c r="O21" s="46" t="n"/>
      <c r="P21" s="46" t="n"/>
      <c r="Q21" s="46" t="n"/>
    </row>
    <row r="22">
      <c r="B22" s="10"/>
      <c r="C22" s="17"/>
      <c r="D22" s="19" t="s">
        <v>867</v>
      </c>
      <c r="E22" s="47" t="n"/>
      <c r="F22" s="47" t="n"/>
      <c r="G22" s="47" t="n"/>
      <c r="H22" s="47" t="n"/>
      <c r="I22" s="47" t="n"/>
      <c r="J22" s="47" t="n"/>
      <c r="K22" s="47" t="n"/>
      <c r="L22" s="47" t="n"/>
      <c r="M22" s="47" t="n"/>
      <c r="N22" s="47" t="n"/>
      <c r="O22" s="47" t="n"/>
      <c r="P22" s="47" t="n"/>
      <c r="Q22" s="47" t="n"/>
    </row>
    <row r="23">
      <c r="B23" s="10"/>
      <c r="C23" s="17"/>
      <c r="D23" s="18" t="s">
        <v>868</v>
      </c>
      <c r="E23" s="46" t="n"/>
      <c r="F23" s="46" t="n"/>
      <c r="G23" s="46" t="n"/>
      <c r="H23" s="46" t="n"/>
      <c r="I23" s="46" t="n"/>
      <c r="J23" s="46" t="n"/>
      <c r="K23" s="46" t="n"/>
      <c r="L23" s="46" t="n"/>
      <c r="M23" s="46" t="n"/>
      <c r="N23" s="46" t="n"/>
      <c r="O23" s="46" t="n"/>
      <c r="P23" s="46" t="n"/>
      <c r="Q23" s="46" t="n"/>
    </row>
    <row r="24">
      <c r="B24" s="10"/>
      <c r="C24" s="17"/>
      <c r="D24" s="19" t="s">
        <v>869</v>
      </c>
      <c r="E24" s="47" t="n"/>
      <c r="F24" s="47" t="n"/>
      <c r="G24" s="47" t="n"/>
      <c r="H24" s="47" t="n"/>
      <c r="I24" s="47" t="n"/>
      <c r="J24" s="47" t="n"/>
      <c r="K24" s="47" t="n"/>
      <c r="L24" s="47" t="n"/>
      <c r="M24" s="47" t="n"/>
      <c r="N24" s="47" t="n"/>
      <c r="O24" s="47" t="n"/>
      <c r="P24" s="47" t="n"/>
      <c r="Q24" s="47" t="n"/>
    </row>
    <row r="25">
      <c r="B25" s="10"/>
      <c r="C25" s="14"/>
      <c r="D25" s="51" t="s">
        <v>895</v>
      </c>
      <c r="E25" s="46" t="n">
        <f>SUM(E15:E24)</f>
      </c>
      <c r="F25" s="46" t="n">
        <f>SUM(F15:F24)</f>
      </c>
      <c r="G25" s="46" t="n">
        <f>SUM(G15:G24)</f>
      </c>
      <c r="H25" s="46" t="n">
        <f>SUM(H15:H24)</f>
      </c>
      <c r="I25" s="46" t="n">
        <f>SUM(I15:I24)</f>
      </c>
      <c r="J25" s="46" t="n">
        <f>SUM(J15:J24)</f>
      </c>
      <c r="K25" s="46" t="n">
        <f>SUM(K15:K24)</f>
      </c>
      <c r="L25" s="46" t="n">
        <f>SUM(L15:L24)</f>
      </c>
      <c r="M25" s="46" t="n">
        <f>SUM(M15:M24)</f>
      </c>
      <c r="N25" s="46" t="n">
        <f>SUM(N15:N24)</f>
      </c>
      <c r="O25" s="46" t="n">
        <f>SUM(O15:O24)</f>
      </c>
      <c r="P25" s="46" t="n">
        <f>SUM(P15:P24)</f>
      </c>
      <c r="Q25" s="46" t="n">
        <f>SUM(Q15:Q24)</f>
      </c>
    </row>
    <row r="26">
      <c r="B26" s="10"/>
      <c r="C26" s="16" t="s">
        <v>896</v>
      </c>
      <c r="D26" s="13"/>
      <c r="E26" s="23"/>
      <c r="F26" s="23"/>
      <c r="G26" s="23"/>
      <c r="H26" s="23"/>
      <c r="I26" s="23"/>
      <c r="J26" s="23"/>
      <c r="K26" s="23"/>
      <c r="L26" s="23"/>
      <c r="M26" s="23"/>
      <c r="N26" s="23"/>
      <c r="O26" s="23"/>
      <c r="P26" s="23"/>
      <c r="Q26" s="23"/>
    </row>
    <row r="27">
      <c r="B27" s="10"/>
      <c r="C27" s="17"/>
      <c r="D27" s="18" t="s">
        <v>860</v>
      </c>
      <c r="E27" s="46" t="n"/>
      <c r="F27" s="46" t="n"/>
      <c r="G27" s="46" t="n"/>
      <c r="H27" s="46" t="n"/>
      <c r="I27" s="46" t="n"/>
      <c r="J27" s="46" t="n"/>
      <c r="K27" s="46" t="n"/>
      <c r="L27" s="46" t="n"/>
      <c r="M27" s="46" t="n"/>
      <c r="N27" s="46" t="n"/>
      <c r="O27" s="46" t="n"/>
      <c r="P27" s="46" t="n"/>
      <c r="Q27" s="46" t="n"/>
    </row>
    <row r="28">
      <c r="B28" s="10"/>
      <c r="C28" s="17"/>
      <c r="D28" s="19" t="s">
        <v>861</v>
      </c>
      <c r="E28" s="47" t="n"/>
      <c r="F28" s="47" t="n"/>
      <c r="G28" s="47" t="n"/>
      <c r="H28" s="47" t="n"/>
      <c r="I28" s="47" t="n"/>
      <c r="J28" s="47" t="n"/>
      <c r="K28" s="47" t="n"/>
      <c r="L28" s="47" t="n"/>
      <c r="M28" s="47" t="n"/>
      <c r="N28" s="47" t="n"/>
      <c r="O28" s="47" t="n"/>
      <c r="P28" s="47" t="n"/>
      <c r="Q28" s="47" t="n"/>
    </row>
    <row r="29">
      <c r="B29" s="10"/>
      <c r="C29" s="17"/>
      <c r="D29" s="18" t="s">
        <v>862</v>
      </c>
      <c r="E29" s="46" t="n"/>
      <c r="F29" s="46" t="n"/>
      <c r="G29" s="46" t="n"/>
      <c r="H29" s="46" t="n"/>
      <c r="I29" s="46" t="n"/>
      <c r="J29" s="46" t="n"/>
      <c r="K29" s="46" t="n"/>
      <c r="L29" s="46" t="n"/>
      <c r="M29" s="46" t="n"/>
      <c r="N29" s="46" t="n"/>
      <c r="O29" s="46" t="n"/>
      <c r="P29" s="46" t="n"/>
      <c r="Q29" s="46" t="n"/>
    </row>
    <row r="30">
      <c r="B30" s="10"/>
      <c r="C30" s="17"/>
      <c r="D30" s="19" t="s">
        <v>863</v>
      </c>
      <c r="E30" s="47" t="n"/>
      <c r="F30" s="47" t="n"/>
      <c r="G30" s="47" t="n"/>
      <c r="H30" s="47" t="n"/>
      <c r="I30" s="47" t="n"/>
      <c r="J30" s="47" t="n"/>
      <c r="K30" s="47" t="n"/>
      <c r="L30" s="47" t="n"/>
      <c r="M30" s="47" t="n"/>
      <c r="N30" s="47" t="n"/>
      <c r="O30" s="47" t="n"/>
      <c r="P30" s="47" t="n"/>
      <c r="Q30" s="47" t="n"/>
    </row>
    <row r="31">
      <c r="B31" s="10"/>
      <c r="C31" s="17"/>
      <c r="D31" s="18" t="s">
        <v>864</v>
      </c>
      <c r="E31" s="46" t="n"/>
      <c r="F31" s="46" t="n"/>
      <c r="G31" s="46" t="n"/>
      <c r="H31" s="46" t="n"/>
      <c r="I31" s="46" t="n"/>
      <c r="J31" s="46" t="n"/>
      <c r="K31" s="46" t="n"/>
      <c r="L31" s="46" t="n"/>
      <c r="M31" s="46" t="n"/>
      <c r="N31" s="46" t="n"/>
      <c r="O31" s="46" t="n"/>
      <c r="P31" s="46" t="n"/>
      <c r="Q31" s="46" t="n"/>
    </row>
    <row r="32">
      <c r="B32" s="10"/>
      <c r="C32" s="17"/>
      <c r="D32" s="19" t="s">
        <v>865</v>
      </c>
      <c r="E32" s="47" t="n"/>
      <c r="F32" s="47" t="n"/>
      <c r="G32" s="47" t="n"/>
      <c r="H32" s="47" t="n"/>
      <c r="I32" s="47" t="n"/>
      <c r="J32" s="47" t="n"/>
      <c r="K32" s="47" t="n"/>
      <c r="L32" s="47" t="n"/>
      <c r="M32" s="47" t="n"/>
      <c r="N32" s="47" t="n"/>
      <c r="O32" s="47" t="n"/>
      <c r="P32" s="47" t="n"/>
      <c r="Q32" s="47" t="n"/>
    </row>
    <row r="33">
      <c r="B33" s="10"/>
      <c r="C33" s="17"/>
      <c r="D33" s="18" t="s">
        <v>874</v>
      </c>
      <c r="E33" s="46" t="n"/>
      <c r="F33" s="46" t="n"/>
      <c r="G33" s="46" t="n"/>
      <c r="H33" s="46" t="n"/>
      <c r="I33" s="46" t="n"/>
      <c r="J33" s="46" t="n"/>
      <c r="K33" s="46" t="n"/>
      <c r="L33" s="46" t="n"/>
      <c r="M33" s="46" t="n"/>
      <c r="N33" s="46" t="n"/>
      <c r="O33" s="46" t="n"/>
      <c r="P33" s="46" t="n"/>
      <c r="Q33" s="46" t="n"/>
    </row>
    <row r="34">
      <c r="B34" s="10"/>
      <c r="C34" s="17"/>
      <c r="D34" s="19" t="s">
        <v>875</v>
      </c>
      <c r="E34" s="47" t="n"/>
      <c r="F34" s="47" t="n"/>
      <c r="G34" s="47" t="n"/>
      <c r="H34" s="47" t="n"/>
      <c r="I34" s="47" t="n"/>
      <c r="J34" s="47" t="n"/>
      <c r="K34" s="47" t="n"/>
      <c r="L34" s="47" t="n"/>
      <c r="M34" s="47" t="n"/>
      <c r="N34" s="47" t="n"/>
      <c r="O34" s="47" t="n"/>
      <c r="P34" s="47" t="n"/>
      <c r="Q34" s="47" t="n"/>
    </row>
    <row r="35">
      <c r="B35" s="10"/>
      <c r="C35" s="17"/>
      <c r="D35" s="18" t="s">
        <v>876</v>
      </c>
      <c r="E35" s="46" t="n"/>
      <c r="F35" s="46" t="n"/>
      <c r="G35" s="46" t="n"/>
      <c r="H35" s="46" t="n"/>
      <c r="I35" s="46" t="n"/>
      <c r="J35" s="46" t="n"/>
      <c r="K35" s="46" t="n"/>
      <c r="L35" s="46" t="n"/>
      <c r="M35" s="46" t="n"/>
      <c r="N35" s="46" t="n"/>
      <c r="O35" s="46" t="n"/>
      <c r="P35" s="46" t="n"/>
      <c r="Q35" s="46" t="n"/>
    </row>
    <row r="36">
      <c r="B36" s="10"/>
      <c r="C36" s="17"/>
      <c r="D36" s="19" t="s">
        <v>877</v>
      </c>
      <c r="E36" s="47" t="n"/>
      <c r="F36" s="47" t="n"/>
      <c r="G36" s="47" t="n"/>
      <c r="H36" s="47" t="n"/>
      <c r="I36" s="47" t="n"/>
      <c r="J36" s="47" t="n"/>
      <c r="K36" s="47" t="n"/>
      <c r="L36" s="47" t="n"/>
      <c r="M36" s="47" t="n"/>
      <c r="N36" s="47" t="n"/>
      <c r="O36" s="47" t="n"/>
      <c r="P36" s="47" t="n"/>
      <c r="Q36" s="47" t="n"/>
    </row>
    <row r="37">
      <c r="B37" s="10"/>
      <c r="C37" s="14"/>
      <c r="D37" s="51" t="s">
        <v>897</v>
      </c>
      <c r="E37" s="46" t="n">
        <f>SUM(E27:E36)</f>
      </c>
      <c r="F37" s="46" t="n">
        <f>SUM(F27:F36)</f>
      </c>
      <c r="G37" s="46" t="n">
        <f>SUM(G27:G36)</f>
      </c>
      <c r="H37" s="46" t="n">
        <f>SUM(H27:H36)</f>
      </c>
      <c r="I37" s="46" t="n">
        <f>SUM(I27:I36)</f>
      </c>
      <c r="J37" s="46" t="n">
        <f>SUM(J27:J36)</f>
      </c>
      <c r="K37" s="46" t="n">
        <f>SUM(K27:K36)</f>
      </c>
      <c r="L37" s="46" t="n">
        <f>SUM(L27:L36)</f>
      </c>
      <c r="M37" s="46" t="n">
        <f>SUM(M27:M36)</f>
      </c>
      <c r="N37" s="46" t="n">
        <f>SUM(N27:N36)</f>
      </c>
      <c r="O37" s="46" t="n">
        <f>SUM(O27:O36)</f>
      </c>
      <c r="P37" s="46" t="n">
        <f>SUM(P27:P36)</f>
      </c>
      <c r="Q37" s="46" t="n">
        <f>SUM(Q27:Q36)</f>
      </c>
    </row>
    <row r="38">
      <c r="B38" s="11"/>
      <c r="C38" s="40" t="s">
        <v>898</v>
      </c>
      <c r="D38" s="39"/>
      <c r="E38" s="53" t="n">
        <f>-E37+E25</f>
      </c>
      <c r="F38" s="53" t="n">
        <f>-F37+F25</f>
      </c>
      <c r="G38" s="53" t="n">
        <f>-G37+G25</f>
      </c>
      <c r="H38" s="53" t="n">
        <f>-H37+H25</f>
      </c>
      <c r="I38" s="53" t="n">
        <f>-I37+I25</f>
      </c>
      <c r="J38" s="53" t="n">
        <f>-J37+J25</f>
      </c>
      <c r="K38" s="53" t="n">
        <f>-K37+K25</f>
      </c>
      <c r="L38" s="53" t="n">
        <f>-L37+L25</f>
      </c>
      <c r="M38" s="53" t="n">
        <f>-M37+M25</f>
      </c>
      <c r="N38" s="53" t="n">
        <f>-N37+N25</f>
      </c>
      <c r="O38" s="53" t="n">
        <f>-O37+O25</f>
      </c>
      <c r="P38" s="53" t="n">
        <f>-P37+P25</f>
      </c>
      <c r="Q38" s="53" t="n">
        <f>-Q37+Q25</f>
      </c>
    </row>
  </sheetData>
  <mergeCells>
    <mergeCell ref="E10:Q10"/>
    <mergeCell ref="E11:G11"/>
    <mergeCell ref="H11:Q11"/>
    <mergeCell ref="B13:D13"/>
    <mergeCell ref="C14:D14"/>
    <mergeCell ref="C26:D26"/>
    <mergeCell ref="C38:D38"/>
  </mergeCells>
  <hyperlinks>
    <hyperlink location="'Indice'!A1" ref="B2"/>
  </hyperlinks>
  <pageMargins bottom="0.75" footer="0.3" header="0.3" left="0.7" right="0.7" top="0.75"/>
</worksheet>
</file>

<file path=xl/worksheets/sheet29.xml><?xml version="1.0" encoding="utf-8"?>
<worksheet xmlns="http://schemas.openxmlformats.org/spreadsheetml/2006/main">
  <dimension ref="B2:T84"/>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899</v>
      </c>
    </row>
    <row r="6">
      <c r="B6" t="s" s="1">
        <v>8</v>
      </c>
      <c r="C6" t="s">
        <v>9</v>
      </c>
    </row>
    <row r="7">
      <c r="B7" t="s" s="1">
        <v>10</v>
      </c>
      <c r="C7" t="s">
        <v>9</v>
      </c>
    </row>
    <row r="8">
      <c r="B8" t="s" s="1">
        <v>11</v>
      </c>
      <c r="C8" t="s">
        <v>12</v>
      </c>
    </row>
    <row r="10">
      <c r="G10" t="s" s="4">
        <v>900</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901</v>
      </c>
      <c r="C13" s="8"/>
      <c r="D13" s="8"/>
      <c r="E13" s="8"/>
      <c r="F13" s="9"/>
      <c r="G13" s="22"/>
      <c r="H13" s="22"/>
      <c r="I13" s="22"/>
      <c r="J13" s="22"/>
      <c r="K13" s="22"/>
      <c r="L13" s="22"/>
      <c r="M13" s="22"/>
      <c r="N13" s="22"/>
      <c r="O13" s="22"/>
      <c r="P13" s="22"/>
      <c r="Q13" s="22"/>
      <c r="R13" s="22"/>
      <c r="S13" s="22"/>
    </row>
    <row r="14">
      <c r="B14" s="10"/>
      <c r="C14" s="16" t="s">
        <v>902</v>
      </c>
      <c r="D14" s="37"/>
      <c r="E14" s="37"/>
      <c r="F14" s="13"/>
      <c r="G14" s="23"/>
      <c r="H14" s="23"/>
      <c r="I14" s="23"/>
      <c r="J14" s="23"/>
      <c r="K14" s="23"/>
      <c r="L14" s="23"/>
      <c r="M14" s="23"/>
      <c r="N14" s="23"/>
      <c r="O14" s="23"/>
      <c r="P14" s="23"/>
      <c r="Q14" s="23"/>
      <c r="R14" s="23"/>
      <c r="S14" s="23"/>
    </row>
    <row r="15">
      <c r="B15" s="10"/>
      <c r="C15" s="17"/>
      <c r="D15" s="7" t="s">
        <v>903</v>
      </c>
      <c r="E15" s="8"/>
      <c r="F15" s="9"/>
      <c r="G15" s="22"/>
      <c r="H15" s="22"/>
      <c r="I15" s="22"/>
      <c r="J15" s="22"/>
      <c r="K15" s="22"/>
      <c r="L15" s="22"/>
      <c r="M15" s="22"/>
      <c r="N15" s="22"/>
      <c r="O15" s="22"/>
      <c r="P15" s="22"/>
      <c r="Q15" s="22"/>
      <c r="R15" s="22"/>
      <c r="S15" s="22"/>
    </row>
    <row r="16">
      <c r="B16" s="10"/>
      <c r="C16" s="17"/>
      <c r="D16" s="10"/>
      <c r="E16" s="16" t="s">
        <v>770</v>
      </c>
      <c r="F16" s="13"/>
      <c r="G16" s="23"/>
      <c r="H16" s="23"/>
      <c r="I16" s="23"/>
      <c r="J16" s="23"/>
      <c r="K16" s="23"/>
      <c r="L16" s="23"/>
      <c r="M16" s="23"/>
      <c r="N16" s="23"/>
      <c r="O16" s="23"/>
      <c r="P16" s="23"/>
      <c r="Q16" s="23"/>
      <c r="R16" s="23"/>
      <c r="S16" s="23"/>
    </row>
    <row r="17">
      <c r="B17" s="10"/>
      <c r="C17" s="17"/>
      <c r="D17" s="10"/>
      <c r="E17" s="17"/>
      <c r="F17" s="18" t="s">
        <v>904</v>
      </c>
      <c r="G17" s="46" t="n"/>
      <c r="H17" s="46" t="n"/>
      <c r="I17" s="46" t="n"/>
      <c r="J17" s="46" t="n"/>
      <c r="K17" s="46" t="n"/>
      <c r="L17" s="46" t="n"/>
      <c r="M17" s="46" t="n"/>
      <c r="N17" s="46" t="n"/>
      <c r="O17" s="46" t="n"/>
      <c r="P17" s="46" t="n"/>
      <c r="Q17" s="46" t="n"/>
      <c r="R17" s="46" t="n"/>
      <c r="S17" s="46" t="n"/>
    </row>
    <row r="18">
      <c r="B18" s="10"/>
      <c r="C18" s="17"/>
      <c r="D18" s="10"/>
      <c r="E18" s="17"/>
      <c r="F18" s="19" t="s">
        <v>905</v>
      </c>
      <c r="G18" s="47" t="n"/>
      <c r="H18" s="47" t="n"/>
      <c r="I18" s="47" t="n"/>
      <c r="J18" s="47" t="n"/>
      <c r="K18" s="47" t="n"/>
      <c r="L18" s="47" t="n"/>
      <c r="M18" s="47" t="n"/>
      <c r="N18" s="47" t="n"/>
      <c r="O18" s="47" t="n"/>
      <c r="P18" s="47" t="n"/>
      <c r="Q18" s="47" t="n"/>
      <c r="R18" s="47" t="n"/>
      <c r="S18" s="47" t="n"/>
    </row>
    <row r="19">
      <c r="B19" s="10"/>
      <c r="C19" s="17"/>
      <c r="D19" s="10"/>
      <c r="E19" s="17"/>
      <c r="F19" s="18" t="s">
        <v>906</v>
      </c>
      <c r="G19" s="46" t="n"/>
      <c r="H19" s="46" t="n"/>
      <c r="I19" s="46" t="n"/>
      <c r="J19" s="46" t="n"/>
      <c r="K19" s="46" t="n"/>
      <c r="L19" s="46" t="n"/>
      <c r="M19" s="46" t="n"/>
      <c r="N19" s="46" t="n"/>
      <c r="O19" s="46" t="n"/>
      <c r="P19" s="46" t="n"/>
      <c r="Q19" s="46" t="n"/>
      <c r="R19" s="46" t="n"/>
      <c r="S19" s="46" t="n"/>
    </row>
    <row r="20">
      <c r="B20" s="10"/>
      <c r="C20" s="17"/>
      <c r="D20" s="10"/>
      <c r="E20" s="17"/>
      <c r="F20" s="19" t="s">
        <v>804</v>
      </c>
      <c r="G20" s="47" t="n"/>
      <c r="H20" s="47" t="n"/>
      <c r="I20" s="47" t="n"/>
      <c r="J20" s="47" t="n"/>
      <c r="K20" s="47" t="n"/>
      <c r="L20" s="47" t="n"/>
      <c r="M20" s="47" t="n"/>
      <c r="N20" s="47" t="n"/>
      <c r="O20" s="47" t="n"/>
      <c r="P20" s="47" t="n"/>
      <c r="Q20" s="47" t="n"/>
      <c r="R20" s="47" t="n"/>
      <c r="S20" s="47" t="n"/>
    </row>
    <row r="21">
      <c r="B21" s="10"/>
      <c r="C21" s="17"/>
      <c r="D21" s="10"/>
      <c r="E21" s="14"/>
      <c r="F21" s="51" t="s">
        <v>907</v>
      </c>
      <c r="G21" s="46" t="n">
        <f>SUM(G17:G20)</f>
      </c>
      <c r="H21" s="46" t="n">
        <f>SUM(H17:H20)</f>
      </c>
      <c r="I21" s="46" t="n">
        <f>SUM(I17:I20)</f>
      </c>
      <c r="J21" s="46" t="n">
        <f>SUM(J17:J20)</f>
      </c>
      <c r="K21" s="46" t="n">
        <f>SUM(K17:K20)</f>
      </c>
      <c r="L21" s="46" t="n">
        <f>SUM(L17:L20)</f>
      </c>
      <c r="M21" s="46" t="n">
        <f>SUM(M17:M20)</f>
      </c>
      <c r="N21" s="46" t="n">
        <f>SUM(N17:N20)</f>
      </c>
      <c r="O21" s="46" t="n">
        <f>SUM(O17:O20)</f>
      </c>
      <c r="P21" s="46" t="n">
        <f>SUM(P17:P20)</f>
      </c>
      <c r="Q21" s="46" t="n">
        <f>SUM(Q17:Q20)</f>
      </c>
      <c r="R21" s="46" t="n">
        <f>SUM(R17:R20)</f>
      </c>
      <c r="S21" s="46" t="n">
        <f>SUM(S17:S20)</f>
      </c>
    </row>
    <row r="22">
      <c r="B22" s="10"/>
      <c r="C22" s="17"/>
      <c r="D22" s="10"/>
      <c r="E22" s="16" t="s">
        <v>908</v>
      </c>
      <c r="F22" s="13"/>
      <c r="G22" s="23"/>
      <c r="H22" s="23"/>
      <c r="I22" s="23"/>
      <c r="J22" s="23"/>
      <c r="K22" s="23"/>
      <c r="L22" s="23"/>
      <c r="M22" s="23"/>
      <c r="N22" s="23"/>
      <c r="O22" s="23"/>
      <c r="P22" s="23"/>
      <c r="Q22" s="23"/>
      <c r="R22" s="23"/>
      <c r="S22" s="23"/>
    </row>
    <row r="23">
      <c r="B23" s="10"/>
      <c r="C23" s="17"/>
      <c r="D23" s="10"/>
      <c r="E23" s="17"/>
      <c r="F23" s="18" t="s">
        <v>909</v>
      </c>
      <c r="G23" s="46" t="n"/>
      <c r="H23" s="46" t="n"/>
      <c r="I23" s="46" t="n"/>
      <c r="J23" s="46" t="n"/>
      <c r="K23" s="46" t="n"/>
      <c r="L23" s="46" t="n"/>
      <c r="M23" s="46" t="n"/>
      <c r="N23" s="46" t="n"/>
      <c r="O23" s="46" t="n"/>
      <c r="P23" s="46" t="n"/>
      <c r="Q23" s="46" t="n"/>
      <c r="R23" s="46" t="n"/>
      <c r="S23" s="46" t="n"/>
    </row>
    <row r="24">
      <c r="B24" s="10"/>
      <c r="C24" s="17"/>
      <c r="D24" s="10"/>
      <c r="E24" s="17"/>
      <c r="F24" s="19" t="s">
        <v>910</v>
      </c>
      <c r="G24" s="47" t="n"/>
      <c r="H24" s="47" t="n"/>
      <c r="I24" s="47" t="n"/>
      <c r="J24" s="47" t="n"/>
      <c r="K24" s="47" t="n"/>
      <c r="L24" s="47" t="n"/>
      <c r="M24" s="47" t="n"/>
      <c r="N24" s="47" t="n"/>
      <c r="O24" s="47" t="n"/>
      <c r="P24" s="47" t="n"/>
      <c r="Q24" s="47" t="n"/>
      <c r="R24" s="47" t="n"/>
      <c r="S24" s="47" t="n"/>
    </row>
    <row r="25">
      <c r="B25" s="10"/>
      <c r="C25" s="17"/>
      <c r="D25" s="10"/>
      <c r="E25" s="17"/>
      <c r="F25" s="18" t="s">
        <v>804</v>
      </c>
      <c r="G25" s="46" t="n"/>
      <c r="H25" s="46" t="n"/>
      <c r="I25" s="46" t="n"/>
      <c r="J25" s="46" t="n"/>
      <c r="K25" s="46" t="n"/>
      <c r="L25" s="46" t="n"/>
      <c r="M25" s="46" t="n"/>
      <c r="N25" s="46" t="n"/>
      <c r="O25" s="46" t="n"/>
      <c r="P25" s="46" t="n"/>
      <c r="Q25" s="46" t="n"/>
      <c r="R25" s="46" t="n"/>
      <c r="S25" s="46" t="n"/>
    </row>
    <row r="26">
      <c r="B26" s="10"/>
      <c r="C26" s="17"/>
      <c r="D26" s="10"/>
      <c r="E26" s="14"/>
      <c r="F26" s="52" t="s">
        <v>911</v>
      </c>
      <c r="G26" s="47" t="n">
        <f>SUM(G23:G25)</f>
      </c>
      <c r="H26" s="47" t="n">
        <f>SUM(H23:H25)</f>
      </c>
      <c r="I26" s="47" t="n">
        <f>SUM(I23:I25)</f>
      </c>
      <c r="J26" s="47" t="n">
        <f>SUM(J23:J25)</f>
      </c>
      <c r="K26" s="47" t="n">
        <f>SUM(K23:K25)</f>
      </c>
      <c r="L26" s="47" t="n">
        <f>SUM(L23:L25)</f>
      </c>
      <c r="M26" s="47" t="n">
        <f>SUM(M23:M25)</f>
      </c>
      <c r="N26" s="47" t="n">
        <f>SUM(N23:N25)</f>
      </c>
      <c r="O26" s="47" t="n">
        <f>SUM(O23:O25)</f>
      </c>
      <c r="P26" s="47" t="n">
        <f>SUM(P23:P25)</f>
      </c>
      <c r="Q26" s="47" t="n">
        <f>SUM(Q23:Q25)</f>
      </c>
      <c r="R26" s="47" t="n">
        <f>SUM(R23:R25)</f>
      </c>
      <c r="S26" s="47" t="n">
        <f>SUM(S23:S25)</f>
      </c>
    </row>
    <row r="27">
      <c r="B27" s="10"/>
      <c r="C27" s="17"/>
      <c r="D27" s="10"/>
      <c r="E27" s="7" t="s">
        <v>912</v>
      </c>
      <c r="F27" s="9"/>
      <c r="G27" s="22"/>
      <c r="H27" s="22"/>
      <c r="I27" s="22"/>
      <c r="J27" s="22"/>
      <c r="K27" s="22"/>
      <c r="L27" s="22"/>
      <c r="M27" s="22"/>
      <c r="N27" s="22"/>
      <c r="O27" s="22"/>
      <c r="P27" s="22"/>
      <c r="Q27" s="22"/>
      <c r="R27" s="22"/>
      <c r="S27" s="22"/>
    </row>
    <row r="28">
      <c r="B28" s="10"/>
      <c r="C28" s="17"/>
      <c r="D28" s="10"/>
      <c r="E28" s="10"/>
      <c r="F28" s="19" t="s">
        <v>913</v>
      </c>
      <c r="G28" s="47" t="n"/>
      <c r="H28" s="47" t="n"/>
      <c r="I28" s="47" t="n"/>
      <c r="J28" s="47" t="n"/>
      <c r="K28" s="47" t="n"/>
      <c r="L28" s="47" t="n"/>
      <c r="M28" s="47" t="n"/>
      <c r="N28" s="47" t="n"/>
      <c r="O28" s="47" t="n"/>
      <c r="P28" s="47" t="n"/>
      <c r="Q28" s="47" t="n"/>
      <c r="R28" s="47" t="n"/>
      <c r="S28" s="47" t="n"/>
    </row>
    <row r="29">
      <c r="B29" s="10"/>
      <c r="C29" s="17"/>
      <c r="D29" s="10"/>
      <c r="E29" s="10"/>
      <c r="F29" s="18" t="s">
        <v>914</v>
      </c>
      <c r="G29" s="46" t="n"/>
      <c r="H29" s="46" t="n"/>
      <c r="I29" s="46" t="n"/>
      <c r="J29" s="46" t="n"/>
      <c r="K29" s="46" t="n"/>
      <c r="L29" s="46" t="n"/>
      <c r="M29" s="46" t="n"/>
      <c r="N29" s="46" t="n"/>
      <c r="O29" s="46" t="n"/>
      <c r="P29" s="46" t="n"/>
      <c r="Q29" s="46" t="n"/>
      <c r="R29" s="46" t="n"/>
      <c r="S29" s="46" t="n"/>
    </row>
    <row r="30">
      <c r="B30" s="10"/>
      <c r="C30" s="17"/>
      <c r="D30" s="10"/>
      <c r="E30" s="10"/>
      <c r="F30" s="19" t="s">
        <v>909</v>
      </c>
      <c r="G30" s="47" t="n"/>
      <c r="H30" s="47" t="n"/>
      <c r="I30" s="47" t="n"/>
      <c r="J30" s="47" t="n"/>
      <c r="K30" s="47" t="n"/>
      <c r="L30" s="47" t="n"/>
      <c r="M30" s="47" t="n"/>
      <c r="N30" s="47" t="n"/>
      <c r="O30" s="47" t="n"/>
      <c r="P30" s="47" t="n"/>
      <c r="Q30" s="47" t="n"/>
      <c r="R30" s="47" t="n"/>
      <c r="S30" s="47" t="n"/>
    </row>
    <row r="31">
      <c r="B31" s="10"/>
      <c r="C31" s="17"/>
      <c r="D31" s="10"/>
      <c r="E31" s="10"/>
      <c r="F31" s="18" t="s">
        <v>804</v>
      </c>
      <c r="G31" s="46" t="n"/>
      <c r="H31" s="46" t="n"/>
      <c r="I31" s="46" t="n"/>
      <c r="J31" s="46" t="n"/>
      <c r="K31" s="46" t="n"/>
      <c r="L31" s="46" t="n"/>
      <c r="M31" s="46" t="n"/>
      <c r="N31" s="46" t="n"/>
      <c r="O31" s="46" t="n"/>
      <c r="P31" s="46" t="n"/>
      <c r="Q31" s="46" t="n"/>
      <c r="R31" s="46" t="n"/>
      <c r="S31" s="46" t="n"/>
    </row>
    <row r="32">
      <c r="B32" s="10"/>
      <c r="C32" s="17"/>
      <c r="D32" s="10"/>
      <c r="E32" s="11"/>
      <c r="F32" s="52" t="s">
        <v>915</v>
      </c>
      <c r="G32" s="47" t="n">
        <f>SUM(G28:G31)</f>
      </c>
      <c r="H32" s="47" t="n">
        <f>SUM(H28:H31)</f>
      </c>
      <c r="I32" s="47" t="n">
        <f>SUM(I28:I31)</f>
      </c>
      <c r="J32" s="47" t="n">
        <f>SUM(J28:J31)</f>
      </c>
      <c r="K32" s="47" t="n">
        <f>SUM(K28:K31)</f>
      </c>
      <c r="L32" s="47" t="n">
        <f>SUM(L28:L31)</f>
      </c>
      <c r="M32" s="47" t="n">
        <f>SUM(M28:M31)</f>
      </c>
      <c r="N32" s="47" t="n">
        <f>SUM(N28:N31)</f>
      </c>
      <c r="O32" s="47" t="n">
        <f>SUM(O28:O31)</f>
      </c>
      <c r="P32" s="47" t="n">
        <f>SUM(P28:P31)</f>
      </c>
      <c r="Q32" s="47" t="n">
        <f>SUM(Q28:Q31)</f>
      </c>
      <c r="R32" s="47" t="n">
        <f>SUM(R28:R31)</f>
      </c>
      <c r="S32" s="47" t="n">
        <f>SUM(S28:S31)</f>
      </c>
    </row>
    <row r="33">
      <c r="B33" s="10"/>
      <c r="C33" s="17"/>
      <c r="D33" s="10"/>
      <c r="E33" s="7" t="s">
        <v>783</v>
      </c>
      <c r="F33" s="9"/>
      <c r="G33" s="22"/>
      <c r="H33" s="22"/>
      <c r="I33" s="22"/>
      <c r="J33" s="22"/>
      <c r="K33" s="22"/>
      <c r="L33" s="22"/>
      <c r="M33" s="22"/>
      <c r="N33" s="22"/>
      <c r="O33" s="22"/>
      <c r="P33" s="22"/>
      <c r="Q33" s="22"/>
      <c r="R33" s="22"/>
      <c r="S33" s="22"/>
    </row>
    <row r="34">
      <c r="B34" s="10"/>
      <c r="C34" s="17"/>
      <c r="D34" s="10"/>
      <c r="E34" s="10"/>
      <c r="F34" s="19" t="s">
        <v>860</v>
      </c>
      <c r="G34" s="47" t="n"/>
      <c r="H34" s="47" t="n"/>
      <c r="I34" s="47" t="n"/>
      <c r="J34" s="47" t="n"/>
      <c r="K34" s="47" t="n"/>
      <c r="L34" s="47" t="n"/>
      <c r="M34" s="47" t="n"/>
      <c r="N34" s="47" t="n"/>
      <c r="O34" s="47" t="n"/>
      <c r="P34" s="47" t="n"/>
      <c r="Q34" s="47" t="n"/>
      <c r="R34" s="47" t="n"/>
      <c r="S34" s="47" t="n"/>
    </row>
    <row r="35">
      <c r="B35" s="10"/>
      <c r="C35" s="17"/>
      <c r="D35" s="10"/>
      <c r="E35" s="10"/>
      <c r="F35" s="18" t="s">
        <v>861</v>
      </c>
      <c r="G35" s="46" t="n"/>
      <c r="H35" s="46" t="n"/>
      <c r="I35" s="46" t="n"/>
      <c r="J35" s="46" t="n"/>
      <c r="K35" s="46" t="n"/>
      <c r="L35" s="46" t="n"/>
      <c r="M35" s="46" t="n"/>
      <c r="N35" s="46" t="n"/>
      <c r="O35" s="46" t="n"/>
      <c r="P35" s="46" t="n"/>
      <c r="Q35" s="46" t="n"/>
      <c r="R35" s="46" t="n"/>
      <c r="S35" s="46" t="n"/>
    </row>
    <row r="36">
      <c r="B36" s="10"/>
      <c r="C36" s="17"/>
      <c r="D36" s="10"/>
      <c r="E36" s="10"/>
      <c r="F36" s="19" t="s">
        <v>862</v>
      </c>
      <c r="G36" s="47" t="n"/>
      <c r="H36" s="47" t="n"/>
      <c r="I36" s="47" t="n"/>
      <c r="J36" s="47" t="n"/>
      <c r="K36" s="47" t="n"/>
      <c r="L36" s="47" t="n"/>
      <c r="M36" s="47" t="n"/>
      <c r="N36" s="47" t="n"/>
      <c r="O36" s="47" t="n"/>
      <c r="P36" s="47" t="n"/>
      <c r="Q36" s="47" t="n"/>
      <c r="R36" s="47" t="n"/>
      <c r="S36" s="47" t="n"/>
    </row>
    <row r="37">
      <c r="B37" s="10"/>
      <c r="C37" s="17"/>
      <c r="D37" s="10"/>
      <c r="E37" s="10"/>
      <c r="F37" s="18" t="s">
        <v>863</v>
      </c>
      <c r="G37" s="46" t="n"/>
      <c r="H37" s="46" t="n"/>
      <c r="I37" s="46" t="n"/>
      <c r="J37" s="46" t="n"/>
      <c r="K37" s="46" t="n"/>
      <c r="L37" s="46" t="n"/>
      <c r="M37" s="46" t="n"/>
      <c r="N37" s="46" t="n"/>
      <c r="O37" s="46" t="n"/>
      <c r="P37" s="46" t="n"/>
      <c r="Q37" s="46" t="n"/>
      <c r="R37" s="46" t="n"/>
      <c r="S37" s="46" t="n"/>
    </row>
    <row r="38">
      <c r="B38" s="10"/>
      <c r="C38" s="17"/>
      <c r="D38" s="10"/>
      <c r="E38" s="10"/>
      <c r="F38" s="19" t="s">
        <v>864</v>
      </c>
      <c r="G38" s="47" t="n"/>
      <c r="H38" s="47" t="n"/>
      <c r="I38" s="47" t="n"/>
      <c r="J38" s="47" t="n"/>
      <c r="K38" s="47" t="n"/>
      <c r="L38" s="47" t="n"/>
      <c r="M38" s="47" t="n"/>
      <c r="N38" s="47" t="n"/>
      <c r="O38" s="47" t="n"/>
      <c r="P38" s="47" t="n"/>
      <c r="Q38" s="47" t="n"/>
      <c r="R38" s="47" t="n"/>
      <c r="S38" s="47" t="n"/>
    </row>
    <row r="39">
      <c r="B39" s="10"/>
      <c r="C39" s="17"/>
      <c r="D39" s="10"/>
      <c r="E39" s="10"/>
      <c r="F39" s="18" t="s">
        <v>865</v>
      </c>
      <c r="G39" s="46" t="n"/>
      <c r="H39" s="46" t="n"/>
      <c r="I39" s="46" t="n"/>
      <c r="J39" s="46" t="n"/>
      <c r="K39" s="46" t="n"/>
      <c r="L39" s="46" t="n"/>
      <c r="M39" s="46" t="n"/>
      <c r="N39" s="46" t="n"/>
      <c r="O39" s="46" t="n"/>
      <c r="P39" s="46" t="n"/>
      <c r="Q39" s="46" t="n"/>
      <c r="R39" s="46" t="n"/>
      <c r="S39" s="46" t="n"/>
    </row>
    <row r="40">
      <c r="B40" s="10"/>
      <c r="C40" s="17"/>
      <c r="D40" s="10"/>
      <c r="E40" s="10"/>
      <c r="F40" s="19" t="s">
        <v>916</v>
      </c>
      <c r="G40" s="47" t="n"/>
      <c r="H40" s="47" t="n"/>
      <c r="I40" s="47" t="n"/>
      <c r="J40" s="47" t="n"/>
      <c r="K40" s="47" t="n"/>
      <c r="L40" s="47" t="n"/>
      <c r="M40" s="47" t="n"/>
      <c r="N40" s="47" t="n"/>
      <c r="O40" s="47" t="n"/>
      <c r="P40" s="47" t="n"/>
      <c r="Q40" s="47" t="n"/>
      <c r="R40" s="47" t="n"/>
      <c r="S40" s="47" t="n"/>
    </row>
    <row r="41">
      <c r="B41" s="10"/>
      <c r="C41" s="17"/>
      <c r="D41" s="10"/>
      <c r="E41" s="10"/>
      <c r="F41" s="18" t="s">
        <v>917</v>
      </c>
      <c r="G41" s="46" t="n"/>
      <c r="H41" s="46" t="n"/>
      <c r="I41" s="46" t="n"/>
      <c r="J41" s="46" t="n"/>
      <c r="K41" s="46" t="n"/>
      <c r="L41" s="46" t="n"/>
      <c r="M41" s="46" t="n"/>
      <c r="N41" s="46" t="n"/>
      <c r="O41" s="46" t="n"/>
      <c r="P41" s="46" t="n"/>
      <c r="Q41" s="46" t="n"/>
      <c r="R41" s="46" t="n"/>
      <c r="S41" s="46" t="n"/>
    </row>
    <row r="42">
      <c r="B42" s="10"/>
      <c r="C42" s="17"/>
      <c r="D42" s="10"/>
      <c r="E42" s="10"/>
      <c r="F42" s="19" t="s">
        <v>918</v>
      </c>
      <c r="G42" s="47" t="n"/>
      <c r="H42" s="47" t="n"/>
      <c r="I42" s="47" t="n"/>
      <c r="J42" s="47" t="n"/>
      <c r="K42" s="47" t="n"/>
      <c r="L42" s="47" t="n"/>
      <c r="M42" s="47" t="n"/>
      <c r="N42" s="47" t="n"/>
      <c r="O42" s="47" t="n"/>
      <c r="P42" s="47" t="n"/>
      <c r="Q42" s="47" t="n"/>
      <c r="R42" s="47" t="n"/>
      <c r="S42" s="47" t="n"/>
    </row>
    <row r="43">
      <c r="B43" s="10"/>
      <c r="C43" s="17"/>
      <c r="D43" s="10"/>
      <c r="E43" s="10"/>
      <c r="F43" s="18" t="s">
        <v>919</v>
      </c>
      <c r="G43" s="46" t="n"/>
      <c r="H43" s="46" t="n"/>
      <c r="I43" s="46" t="n"/>
      <c r="J43" s="46" t="n"/>
      <c r="K43" s="46" t="n"/>
      <c r="L43" s="46" t="n"/>
      <c r="M43" s="46" t="n"/>
      <c r="N43" s="46" t="n"/>
      <c r="O43" s="46" t="n"/>
      <c r="P43" s="46" t="n"/>
      <c r="Q43" s="46" t="n"/>
      <c r="R43" s="46" t="n"/>
      <c r="S43" s="46" t="n"/>
    </row>
    <row r="44">
      <c r="B44" s="10"/>
      <c r="C44" s="17"/>
      <c r="D44" s="10"/>
      <c r="E44" s="10"/>
      <c r="F44" s="19" t="s">
        <v>920</v>
      </c>
      <c r="G44" s="47" t="n"/>
      <c r="H44" s="47" t="n"/>
      <c r="I44" s="47" t="n"/>
      <c r="J44" s="47" t="n"/>
      <c r="K44" s="47" t="n"/>
      <c r="L44" s="47" t="n"/>
      <c r="M44" s="47" t="n"/>
      <c r="N44" s="47" t="n"/>
      <c r="O44" s="47" t="n"/>
      <c r="P44" s="47" t="n"/>
      <c r="Q44" s="47" t="n"/>
      <c r="R44" s="47" t="n"/>
      <c r="S44" s="47" t="n"/>
    </row>
    <row r="45">
      <c r="B45" s="10"/>
      <c r="C45" s="17"/>
      <c r="D45" s="10"/>
      <c r="E45" s="10"/>
      <c r="F45" s="18" t="s">
        <v>921</v>
      </c>
      <c r="G45" s="46" t="n"/>
      <c r="H45" s="46" t="n"/>
      <c r="I45" s="46" t="n"/>
      <c r="J45" s="46" t="n"/>
      <c r="K45" s="46" t="n"/>
      <c r="L45" s="46" t="n"/>
      <c r="M45" s="46" t="n"/>
      <c r="N45" s="46" t="n"/>
      <c r="O45" s="46" t="n"/>
      <c r="P45" s="46" t="n"/>
      <c r="Q45" s="46" t="n"/>
      <c r="R45" s="46" t="n"/>
      <c r="S45" s="46" t="n"/>
    </row>
    <row r="46">
      <c r="B46" s="10"/>
      <c r="C46" s="17"/>
      <c r="D46" s="10"/>
      <c r="E46" s="10"/>
      <c r="F46" s="19" t="s">
        <v>804</v>
      </c>
      <c r="G46" s="47" t="n"/>
      <c r="H46" s="47" t="n"/>
      <c r="I46" s="47" t="n"/>
      <c r="J46" s="47" t="n"/>
      <c r="K46" s="47" t="n"/>
      <c r="L46" s="47" t="n"/>
      <c r="M46" s="47" t="n"/>
      <c r="N46" s="47" t="n"/>
      <c r="O46" s="47" t="n"/>
      <c r="P46" s="47" t="n"/>
      <c r="Q46" s="47" t="n"/>
      <c r="R46" s="47" t="n"/>
      <c r="S46" s="47" t="n"/>
    </row>
    <row r="47">
      <c r="B47" s="10"/>
      <c r="C47" s="17"/>
      <c r="D47" s="10"/>
      <c r="E47" s="11"/>
      <c r="F47" s="51" t="s">
        <v>870</v>
      </c>
      <c r="G47" s="46" t="n">
        <f>SUM(G34:G46)</f>
      </c>
      <c r="H47" s="46" t="n">
        <f>SUM(H34:H46)</f>
      </c>
      <c r="I47" s="46" t="n">
        <f>SUM(I34:I46)</f>
      </c>
      <c r="J47" s="46" t="n">
        <f>SUM(J34:J46)</f>
      </c>
      <c r="K47" s="46" t="n">
        <f>SUM(K34:K46)</f>
      </c>
      <c r="L47" s="46" t="n">
        <f>SUM(L34:L46)</f>
      </c>
      <c r="M47" s="46" t="n">
        <f>SUM(M34:M46)</f>
      </c>
      <c r="N47" s="46" t="n">
        <f>SUM(N34:N46)</f>
      </c>
      <c r="O47" s="46" t="n">
        <f>SUM(O34:O46)</f>
      </c>
      <c r="P47" s="46" t="n">
        <f>SUM(P34:P46)</f>
      </c>
      <c r="Q47" s="46" t="n">
        <f>SUM(Q34:Q46)</f>
      </c>
      <c r="R47" s="46" t="n">
        <f>SUM(R34:R46)</f>
      </c>
      <c r="S47" s="46" t="n">
        <f>SUM(S34:S46)</f>
      </c>
    </row>
    <row r="48">
      <c r="B48" s="10"/>
      <c r="C48" s="14"/>
      <c r="D48" s="11"/>
      <c r="E48" s="40" t="s">
        <v>922</v>
      </c>
      <c r="F48" s="39"/>
      <c r="G48" s="47" t="n">
        <f>G32+G21+G47+G26</f>
      </c>
      <c r="H48" s="47" t="n">
        <f>H32+H21+H47+H26</f>
      </c>
      <c r="I48" s="47" t="n">
        <f>I32+I21+I47+I26</f>
      </c>
      <c r="J48" s="47" t="n">
        <f>J32+J21+J47+J26</f>
      </c>
      <c r="K48" s="47" t="n">
        <f>K32+K21+K47+K26</f>
      </c>
      <c r="L48" s="47" t="n">
        <f>L32+L21+L47+L26</f>
      </c>
      <c r="M48" s="47" t="n">
        <f>M32+M21+M47+M26</f>
      </c>
      <c r="N48" s="47" t="n">
        <f>N32+N21+N47+N26</f>
      </c>
      <c r="O48" s="47" t="n">
        <f>O32+O21+O47+O26</f>
      </c>
      <c r="P48" s="47" t="n">
        <f>P32+P21+P47+P26</f>
      </c>
      <c r="Q48" s="47" t="n">
        <f>Q32+Q21+Q47+Q26</f>
      </c>
      <c r="R48" s="47" t="n">
        <f>R32+R21+R47+R26</f>
      </c>
      <c r="S48" s="47" t="n">
        <f>S32+S21+S47+S26</f>
      </c>
    </row>
    <row r="49">
      <c r="B49" s="10"/>
      <c r="C49" s="7" t="s">
        <v>923</v>
      </c>
      <c r="D49" s="8"/>
      <c r="E49" s="8"/>
      <c r="F49" s="9"/>
      <c r="G49" s="22"/>
      <c r="H49" s="22"/>
      <c r="I49" s="22"/>
      <c r="J49" s="22"/>
      <c r="K49" s="22"/>
      <c r="L49" s="22"/>
      <c r="M49" s="22"/>
      <c r="N49" s="22"/>
      <c r="O49" s="22"/>
      <c r="P49" s="22"/>
      <c r="Q49" s="22"/>
      <c r="R49" s="22"/>
      <c r="S49" s="22"/>
    </row>
    <row r="50">
      <c r="B50" s="10"/>
      <c r="C50" s="10"/>
      <c r="D50" s="16" t="s">
        <v>873</v>
      </c>
      <c r="E50" s="37"/>
      <c r="F50" s="13"/>
      <c r="G50" s="23"/>
      <c r="H50" s="23"/>
      <c r="I50" s="23"/>
      <c r="J50" s="23"/>
      <c r="K50" s="23"/>
      <c r="L50" s="23"/>
      <c r="M50" s="23"/>
      <c r="N50" s="23"/>
      <c r="O50" s="23"/>
      <c r="P50" s="23"/>
      <c r="Q50" s="23"/>
      <c r="R50" s="23"/>
      <c r="S50" s="23"/>
    </row>
    <row r="51">
      <c r="B51" s="10"/>
      <c r="C51" s="10"/>
      <c r="D51" s="17"/>
      <c r="E51" s="7" t="s">
        <v>770</v>
      </c>
      <c r="F51" s="9"/>
      <c r="G51" s="22"/>
      <c r="H51" s="22"/>
      <c r="I51" s="22"/>
      <c r="J51" s="22"/>
      <c r="K51" s="22"/>
      <c r="L51" s="22"/>
      <c r="M51" s="22"/>
      <c r="N51" s="22"/>
      <c r="O51" s="22"/>
      <c r="P51" s="22"/>
      <c r="Q51" s="22"/>
      <c r="R51" s="22"/>
      <c r="S51" s="22"/>
    </row>
    <row r="52">
      <c r="B52" s="10"/>
      <c r="C52" s="10"/>
      <c r="D52" s="17"/>
      <c r="E52" s="10"/>
      <c r="F52" s="19" t="s">
        <v>904</v>
      </c>
      <c r="G52" s="47" t="n"/>
      <c r="H52" s="47" t="n"/>
      <c r="I52" s="47" t="n"/>
      <c r="J52" s="47" t="n"/>
      <c r="K52" s="47" t="n"/>
      <c r="L52" s="47" t="n"/>
      <c r="M52" s="47" t="n"/>
      <c r="N52" s="47" t="n"/>
      <c r="O52" s="47" t="n"/>
      <c r="P52" s="47" t="n"/>
      <c r="Q52" s="47" t="n"/>
      <c r="R52" s="47" t="n"/>
      <c r="S52" s="47" t="n"/>
    </row>
    <row r="53">
      <c r="B53" s="10"/>
      <c r="C53" s="10"/>
      <c r="D53" s="17"/>
      <c r="E53" s="10"/>
      <c r="F53" s="18" t="s">
        <v>905</v>
      </c>
      <c r="G53" s="46" t="n"/>
      <c r="H53" s="46" t="n"/>
      <c r="I53" s="46" t="n"/>
      <c r="J53" s="46" t="n"/>
      <c r="K53" s="46" t="n"/>
      <c r="L53" s="46" t="n"/>
      <c r="M53" s="46" t="n"/>
      <c r="N53" s="46" t="n"/>
      <c r="O53" s="46" t="n"/>
      <c r="P53" s="46" t="n"/>
      <c r="Q53" s="46" t="n"/>
      <c r="R53" s="46" t="n"/>
      <c r="S53" s="46" t="n"/>
    </row>
    <row r="54">
      <c r="B54" s="10"/>
      <c r="C54" s="10"/>
      <c r="D54" s="17"/>
      <c r="E54" s="10"/>
      <c r="F54" s="19" t="s">
        <v>906</v>
      </c>
      <c r="G54" s="47" t="n"/>
      <c r="H54" s="47" t="n"/>
      <c r="I54" s="47" t="n"/>
      <c r="J54" s="47" t="n"/>
      <c r="K54" s="47" t="n"/>
      <c r="L54" s="47" t="n"/>
      <c r="M54" s="47" t="n"/>
      <c r="N54" s="47" t="n"/>
      <c r="O54" s="47" t="n"/>
      <c r="P54" s="47" t="n"/>
      <c r="Q54" s="47" t="n"/>
      <c r="R54" s="47" t="n"/>
      <c r="S54" s="47" t="n"/>
    </row>
    <row r="55">
      <c r="B55" s="10"/>
      <c r="C55" s="10"/>
      <c r="D55" s="17"/>
      <c r="E55" s="10"/>
      <c r="F55" s="18" t="s">
        <v>804</v>
      </c>
      <c r="G55" s="46" t="n"/>
      <c r="H55" s="46" t="n"/>
      <c r="I55" s="46" t="n"/>
      <c r="J55" s="46" t="n"/>
      <c r="K55" s="46" t="n"/>
      <c r="L55" s="46" t="n"/>
      <c r="M55" s="46" t="n"/>
      <c r="N55" s="46" t="n"/>
      <c r="O55" s="46" t="n"/>
      <c r="P55" s="46" t="n"/>
      <c r="Q55" s="46" t="n"/>
      <c r="R55" s="46" t="n"/>
      <c r="S55" s="46" t="n"/>
    </row>
    <row r="56">
      <c r="B56" s="10"/>
      <c r="C56" s="10"/>
      <c r="D56" s="17"/>
      <c r="E56" s="11"/>
      <c r="F56" s="52" t="s">
        <v>907</v>
      </c>
      <c r="G56" s="47" t="n">
        <f>SUM(G52:G55)</f>
      </c>
      <c r="H56" s="47" t="n">
        <f>SUM(H52:H55)</f>
      </c>
      <c r="I56" s="47" t="n">
        <f>SUM(I52:I55)</f>
      </c>
      <c r="J56" s="47" t="n">
        <f>SUM(J52:J55)</f>
      </c>
      <c r="K56" s="47" t="n">
        <f>SUM(K52:K55)</f>
      </c>
      <c r="L56" s="47" t="n">
        <f>SUM(L52:L55)</f>
      </c>
      <c r="M56" s="47" t="n">
        <f>SUM(M52:M55)</f>
      </c>
      <c r="N56" s="47" t="n">
        <f>SUM(N52:N55)</f>
      </c>
      <c r="O56" s="47" t="n">
        <f>SUM(O52:O55)</f>
      </c>
      <c r="P56" s="47" t="n">
        <f>SUM(P52:P55)</f>
      </c>
      <c r="Q56" s="47" t="n">
        <f>SUM(Q52:Q55)</f>
      </c>
      <c r="R56" s="47" t="n">
        <f>SUM(R52:R55)</f>
      </c>
      <c r="S56" s="47" t="n">
        <f>SUM(S52:S55)</f>
      </c>
    </row>
    <row r="57">
      <c r="B57" s="10"/>
      <c r="C57" s="10"/>
      <c r="D57" s="17"/>
      <c r="E57" s="7" t="s">
        <v>908</v>
      </c>
      <c r="F57" s="9"/>
      <c r="G57" s="22"/>
      <c r="H57" s="22"/>
      <c r="I57" s="22"/>
      <c r="J57" s="22"/>
      <c r="K57" s="22"/>
      <c r="L57" s="22"/>
      <c r="M57" s="22"/>
      <c r="N57" s="22"/>
      <c r="O57" s="22"/>
      <c r="P57" s="22"/>
      <c r="Q57" s="22"/>
      <c r="R57" s="22"/>
      <c r="S57" s="22"/>
    </row>
    <row r="58">
      <c r="B58" s="10"/>
      <c r="C58" s="10"/>
      <c r="D58" s="17"/>
      <c r="E58" s="10"/>
      <c r="F58" s="19" t="s">
        <v>909</v>
      </c>
      <c r="G58" s="47" t="n"/>
      <c r="H58" s="47" t="n"/>
      <c r="I58" s="47" t="n"/>
      <c r="J58" s="47" t="n"/>
      <c r="K58" s="47" t="n"/>
      <c r="L58" s="47" t="n"/>
      <c r="M58" s="47" t="n"/>
      <c r="N58" s="47" t="n"/>
      <c r="O58" s="47" t="n"/>
      <c r="P58" s="47" t="n"/>
      <c r="Q58" s="47" t="n"/>
      <c r="R58" s="47" t="n"/>
      <c r="S58" s="47" t="n"/>
    </row>
    <row r="59">
      <c r="B59" s="10"/>
      <c r="C59" s="10"/>
      <c r="D59" s="17"/>
      <c r="E59" s="10"/>
      <c r="F59" s="18" t="s">
        <v>910</v>
      </c>
      <c r="G59" s="46" t="n"/>
      <c r="H59" s="46" t="n"/>
      <c r="I59" s="46" t="n"/>
      <c r="J59" s="46" t="n"/>
      <c r="K59" s="46" t="n"/>
      <c r="L59" s="46" t="n"/>
      <c r="M59" s="46" t="n"/>
      <c r="N59" s="46" t="n"/>
      <c r="O59" s="46" t="n"/>
      <c r="P59" s="46" t="n"/>
      <c r="Q59" s="46" t="n"/>
      <c r="R59" s="46" t="n"/>
      <c r="S59" s="46" t="n"/>
    </row>
    <row r="60">
      <c r="B60" s="10"/>
      <c r="C60" s="10"/>
      <c r="D60" s="17"/>
      <c r="E60" s="10"/>
      <c r="F60" s="19" t="s">
        <v>804</v>
      </c>
      <c r="G60" s="47" t="n"/>
      <c r="H60" s="47" t="n"/>
      <c r="I60" s="47" t="n"/>
      <c r="J60" s="47" t="n"/>
      <c r="K60" s="47" t="n"/>
      <c r="L60" s="47" t="n"/>
      <c r="M60" s="47" t="n"/>
      <c r="N60" s="47" t="n"/>
      <c r="O60" s="47" t="n"/>
      <c r="P60" s="47" t="n"/>
      <c r="Q60" s="47" t="n"/>
      <c r="R60" s="47" t="n"/>
      <c r="S60" s="47" t="n"/>
    </row>
    <row r="61">
      <c r="B61" s="10"/>
      <c r="C61" s="10"/>
      <c r="D61" s="17"/>
      <c r="E61" s="11"/>
      <c r="F61" s="51" t="s">
        <v>911</v>
      </c>
      <c r="G61" s="46" t="n">
        <f>SUM(G58:G60)</f>
      </c>
      <c r="H61" s="46" t="n">
        <f>SUM(H58:H60)</f>
      </c>
      <c r="I61" s="46" t="n">
        <f>SUM(I58:I60)</f>
      </c>
      <c r="J61" s="46" t="n">
        <f>SUM(J58:J60)</f>
      </c>
      <c r="K61" s="46" t="n">
        <f>SUM(K58:K60)</f>
      </c>
      <c r="L61" s="46" t="n">
        <f>SUM(L58:L60)</f>
      </c>
      <c r="M61" s="46" t="n">
        <f>SUM(M58:M60)</f>
      </c>
      <c r="N61" s="46" t="n">
        <f>SUM(N58:N60)</f>
      </c>
      <c r="O61" s="46" t="n">
        <f>SUM(O58:O60)</f>
      </c>
      <c r="P61" s="46" t="n">
        <f>SUM(P58:P60)</f>
      </c>
      <c r="Q61" s="46" t="n">
        <f>SUM(Q58:Q60)</f>
      </c>
      <c r="R61" s="46" t="n">
        <f>SUM(R58:R60)</f>
      </c>
      <c r="S61" s="46" t="n">
        <f>SUM(S58:S60)</f>
      </c>
    </row>
    <row r="62">
      <c r="B62" s="10"/>
      <c r="C62" s="10"/>
      <c r="D62" s="17"/>
      <c r="E62" s="16" t="s">
        <v>912</v>
      </c>
      <c r="F62" s="13"/>
      <c r="G62" s="23"/>
      <c r="H62" s="23"/>
      <c r="I62" s="23"/>
      <c r="J62" s="23"/>
      <c r="K62" s="23"/>
      <c r="L62" s="23"/>
      <c r="M62" s="23"/>
      <c r="N62" s="23"/>
      <c r="O62" s="23"/>
      <c r="P62" s="23"/>
      <c r="Q62" s="23"/>
      <c r="R62" s="23"/>
      <c r="S62" s="23"/>
    </row>
    <row r="63">
      <c r="B63" s="10"/>
      <c r="C63" s="10"/>
      <c r="D63" s="17"/>
      <c r="E63" s="17"/>
      <c r="F63" s="18" t="s">
        <v>913</v>
      </c>
      <c r="G63" s="46" t="n"/>
      <c r="H63" s="46" t="n"/>
      <c r="I63" s="46" t="n"/>
      <c r="J63" s="46" t="n"/>
      <c r="K63" s="46" t="n"/>
      <c r="L63" s="46" t="n"/>
      <c r="M63" s="46" t="n"/>
      <c r="N63" s="46" t="n"/>
      <c r="O63" s="46" t="n"/>
      <c r="P63" s="46" t="n"/>
      <c r="Q63" s="46" t="n"/>
      <c r="R63" s="46" t="n"/>
      <c r="S63" s="46" t="n"/>
    </row>
    <row r="64">
      <c r="B64" s="10"/>
      <c r="C64" s="10"/>
      <c r="D64" s="17"/>
      <c r="E64" s="17"/>
      <c r="F64" s="19" t="s">
        <v>914</v>
      </c>
      <c r="G64" s="47" t="n"/>
      <c r="H64" s="47" t="n"/>
      <c r="I64" s="47" t="n"/>
      <c r="J64" s="47" t="n"/>
      <c r="K64" s="47" t="n"/>
      <c r="L64" s="47" t="n"/>
      <c r="M64" s="47" t="n"/>
      <c r="N64" s="47" t="n"/>
      <c r="O64" s="47" t="n"/>
      <c r="P64" s="47" t="n"/>
      <c r="Q64" s="47" t="n"/>
      <c r="R64" s="47" t="n"/>
      <c r="S64" s="47" t="n"/>
    </row>
    <row r="65">
      <c r="B65" s="10"/>
      <c r="C65" s="10"/>
      <c r="D65" s="17"/>
      <c r="E65" s="17"/>
      <c r="F65" s="18" t="s">
        <v>909</v>
      </c>
      <c r="G65" s="46" t="n"/>
      <c r="H65" s="46" t="n"/>
      <c r="I65" s="46" t="n"/>
      <c r="J65" s="46" t="n"/>
      <c r="K65" s="46" t="n"/>
      <c r="L65" s="46" t="n"/>
      <c r="M65" s="46" t="n"/>
      <c r="N65" s="46" t="n"/>
      <c r="O65" s="46" t="n"/>
      <c r="P65" s="46" t="n"/>
      <c r="Q65" s="46" t="n"/>
      <c r="R65" s="46" t="n"/>
      <c r="S65" s="46" t="n"/>
    </row>
    <row r="66">
      <c r="B66" s="10"/>
      <c r="C66" s="10"/>
      <c r="D66" s="17"/>
      <c r="E66" s="17"/>
      <c r="F66" s="19" t="s">
        <v>804</v>
      </c>
      <c r="G66" s="47" t="n"/>
      <c r="H66" s="47" t="n"/>
      <c r="I66" s="47" t="n"/>
      <c r="J66" s="47" t="n"/>
      <c r="K66" s="47" t="n"/>
      <c r="L66" s="47" t="n"/>
      <c r="M66" s="47" t="n"/>
      <c r="N66" s="47" t="n"/>
      <c r="O66" s="47" t="n"/>
      <c r="P66" s="47" t="n"/>
      <c r="Q66" s="47" t="n"/>
      <c r="R66" s="47" t="n"/>
      <c r="S66" s="47" t="n"/>
    </row>
    <row r="67">
      <c r="B67" s="10"/>
      <c r="C67" s="10"/>
      <c r="D67" s="17"/>
      <c r="E67" s="14"/>
      <c r="F67" s="51" t="s">
        <v>915</v>
      </c>
      <c r="G67" s="46" t="n">
        <f>SUM(G63:G66)</f>
      </c>
      <c r="H67" s="46" t="n">
        <f>SUM(H63:H66)</f>
      </c>
      <c r="I67" s="46" t="n">
        <f>SUM(I63:I66)</f>
      </c>
      <c r="J67" s="46" t="n">
        <f>SUM(J63:J66)</f>
      </c>
      <c r="K67" s="46" t="n">
        <f>SUM(K63:K66)</f>
      </c>
      <c r="L67" s="46" t="n">
        <f>SUM(L63:L66)</f>
      </c>
      <c r="M67" s="46" t="n">
        <f>SUM(M63:M66)</f>
      </c>
      <c r="N67" s="46" t="n">
        <f>SUM(N63:N66)</f>
      </c>
      <c r="O67" s="46" t="n">
        <f>SUM(O63:O66)</f>
      </c>
      <c r="P67" s="46" t="n">
        <f>SUM(P63:P66)</f>
      </c>
      <c r="Q67" s="46" t="n">
        <f>SUM(Q63:Q66)</f>
      </c>
      <c r="R67" s="46" t="n">
        <f>SUM(R63:R66)</f>
      </c>
      <c r="S67" s="46" t="n">
        <f>SUM(S63:S66)</f>
      </c>
    </row>
    <row r="68">
      <c r="B68" s="10"/>
      <c r="C68" s="10"/>
      <c r="D68" s="17"/>
      <c r="E68" s="16" t="s">
        <v>783</v>
      </c>
      <c r="F68" s="13"/>
      <c r="G68" s="23"/>
      <c r="H68" s="23"/>
      <c r="I68" s="23"/>
      <c r="J68" s="23"/>
      <c r="K68" s="23"/>
      <c r="L68" s="23"/>
      <c r="M68" s="23"/>
      <c r="N68" s="23"/>
      <c r="O68" s="23"/>
      <c r="P68" s="23"/>
      <c r="Q68" s="23"/>
      <c r="R68" s="23"/>
      <c r="S68" s="23"/>
    </row>
    <row r="69">
      <c r="B69" s="10"/>
      <c r="C69" s="10"/>
      <c r="D69" s="17"/>
      <c r="E69" s="17"/>
      <c r="F69" s="18" t="s">
        <v>860</v>
      </c>
      <c r="G69" s="46" t="n"/>
      <c r="H69" s="46" t="n"/>
      <c r="I69" s="46" t="n"/>
      <c r="J69" s="46" t="n"/>
      <c r="K69" s="46" t="n"/>
      <c r="L69" s="46" t="n"/>
      <c r="M69" s="46" t="n"/>
      <c r="N69" s="46" t="n"/>
      <c r="O69" s="46" t="n"/>
      <c r="P69" s="46" t="n"/>
      <c r="Q69" s="46" t="n"/>
      <c r="R69" s="46" t="n"/>
      <c r="S69" s="46" t="n"/>
    </row>
    <row r="70">
      <c r="B70" s="10"/>
      <c r="C70" s="10"/>
      <c r="D70" s="17"/>
      <c r="E70" s="17"/>
      <c r="F70" s="19" t="s">
        <v>861</v>
      </c>
      <c r="G70" s="47" t="n"/>
      <c r="H70" s="47" t="n"/>
      <c r="I70" s="47" t="n"/>
      <c r="J70" s="47" t="n"/>
      <c r="K70" s="47" t="n"/>
      <c r="L70" s="47" t="n"/>
      <c r="M70" s="47" t="n"/>
      <c r="N70" s="47" t="n"/>
      <c r="O70" s="47" t="n"/>
      <c r="P70" s="47" t="n"/>
      <c r="Q70" s="47" t="n"/>
      <c r="R70" s="47" t="n"/>
      <c r="S70" s="47" t="n"/>
    </row>
    <row r="71">
      <c r="B71" s="10"/>
      <c r="C71" s="10"/>
      <c r="D71" s="17"/>
      <c r="E71" s="17"/>
      <c r="F71" s="18" t="s">
        <v>862</v>
      </c>
      <c r="G71" s="46" t="n"/>
      <c r="H71" s="46" t="n"/>
      <c r="I71" s="46" t="n"/>
      <c r="J71" s="46" t="n"/>
      <c r="K71" s="46" t="n"/>
      <c r="L71" s="46" t="n"/>
      <c r="M71" s="46" t="n"/>
      <c r="N71" s="46" t="n"/>
      <c r="O71" s="46" t="n"/>
      <c r="P71" s="46" t="n"/>
      <c r="Q71" s="46" t="n"/>
      <c r="R71" s="46" t="n"/>
      <c r="S71" s="46" t="n"/>
    </row>
    <row r="72">
      <c r="B72" s="10"/>
      <c r="C72" s="10"/>
      <c r="D72" s="17"/>
      <c r="E72" s="17"/>
      <c r="F72" s="19" t="s">
        <v>863</v>
      </c>
      <c r="G72" s="47" t="n"/>
      <c r="H72" s="47" t="n"/>
      <c r="I72" s="47" t="n"/>
      <c r="J72" s="47" t="n"/>
      <c r="K72" s="47" t="n"/>
      <c r="L72" s="47" t="n"/>
      <c r="M72" s="47" t="n"/>
      <c r="N72" s="47" t="n"/>
      <c r="O72" s="47" t="n"/>
      <c r="P72" s="47" t="n"/>
      <c r="Q72" s="47" t="n"/>
      <c r="R72" s="47" t="n"/>
      <c r="S72" s="47" t="n"/>
    </row>
    <row r="73">
      <c r="B73" s="10"/>
      <c r="C73" s="10"/>
      <c r="D73" s="17"/>
      <c r="E73" s="17"/>
      <c r="F73" s="18" t="s">
        <v>864</v>
      </c>
      <c r="G73" s="46" t="n"/>
      <c r="H73" s="46" t="n"/>
      <c r="I73" s="46" t="n"/>
      <c r="J73" s="46" t="n"/>
      <c r="K73" s="46" t="n"/>
      <c r="L73" s="46" t="n"/>
      <c r="M73" s="46" t="n"/>
      <c r="N73" s="46" t="n"/>
      <c r="O73" s="46" t="n"/>
      <c r="P73" s="46" t="n"/>
      <c r="Q73" s="46" t="n"/>
      <c r="R73" s="46" t="n"/>
      <c r="S73" s="46" t="n"/>
    </row>
    <row r="74">
      <c r="B74" s="10"/>
      <c r="C74" s="10"/>
      <c r="D74" s="17"/>
      <c r="E74" s="17"/>
      <c r="F74" s="19" t="s">
        <v>865</v>
      </c>
      <c r="G74" s="47" t="n"/>
      <c r="H74" s="47" t="n"/>
      <c r="I74" s="47" t="n"/>
      <c r="J74" s="47" t="n"/>
      <c r="K74" s="47" t="n"/>
      <c r="L74" s="47" t="n"/>
      <c r="M74" s="47" t="n"/>
      <c r="N74" s="47" t="n"/>
      <c r="O74" s="47" t="n"/>
      <c r="P74" s="47" t="n"/>
      <c r="Q74" s="47" t="n"/>
      <c r="R74" s="47" t="n"/>
      <c r="S74" s="47" t="n"/>
    </row>
    <row r="75">
      <c r="B75" s="10"/>
      <c r="C75" s="10"/>
      <c r="D75" s="17"/>
      <c r="E75" s="17"/>
      <c r="F75" s="18" t="s">
        <v>916</v>
      </c>
      <c r="G75" s="46" t="n"/>
      <c r="H75" s="46" t="n"/>
      <c r="I75" s="46" t="n"/>
      <c r="J75" s="46" t="n"/>
      <c r="K75" s="46" t="n"/>
      <c r="L75" s="46" t="n"/>
      <c r="M75" s="46" t="n"/>
      <c r="N75" s="46" t="n"/>
      <c r="O75" s="46" t="n"/>
      <c r="P75" s="46" t="n"/>
      <c r="Q75" s="46" t="n"/>
      <c r="R75" s="46" t="n"/>
      <c r="S75" s="46" t="n"/>
    </row>
    <row r="76">
      <c r="B76" s="10"/>
      <c r="C76" s="10"/>
      <c r="D76" s="17"/>
      <c r="E76" s="17"/>
      <c r="F76" s="19" t="s">
        <v>917</v>
      </c>
      <c r="G76" s="47" t="n"/>
      <c r="H76" s="47" t="n"/>
      <c r="I76" s="47" t="n"/>
      <c r="J76" s="47" t="n"/>
      <c r="K76" s="47" t="n"/>
      <c r="L76" s="47" t="n"/>
      <c r="M76" s="47" t="n"/>
      <c r="N76" s="47" t="n"/>
      <c r="O76" s="47" t="n"/>
      <c r="P76" s="47" t="n"/>
      <c r="Q76" s="47" t="n"/>
      <c r="R76" s="47" t="n"/>
      <c r="S76" s="47" t="n"/>
    </row>
    <row r="77">
      <c r="B77" s="10"/>
      <c r="C77" s="10"/>
      <c r="D77" s="17"/>
      <c r="E77" s="17"/>
      <c r="F77" s="18" t="s">
        <v>918</v>
      </c>
      <c r="G77" s="46" t="n"/>
      <c r="H77" s="46" t="n"/>
      <c r="I77" s="46" t="n"/>
      <c r="J77" s="46" t="n"/>
      <c r="K77" s="46" t="n"/>
      <c r="L77" s="46" t="n"/>
      <c r="M77" s="46" t="n"/>
      <c r="N77" s="46" t="n"/>
      <c r="O77" s="46" t="n"/>
      <c r="P77" s="46" t="n"/>
      <c r="Q77" s="46" t="n"/>
      <c r="R77" s="46" t="n"/>
      <c r="S77" s="46" t="n"/>
    </row>
    <row r="78">
      <c r="B78" s="10"/>
      <c r="C78" s="10"/>
      <c r="D78" s="17"/>
      <c r="E78" s="17"/>
      <c r="F78" s="19" t="s">
        <v>919</v>
      </c>
      <c r="G78" s="47" t="n"/>
      <c r="H78" s="47" t="n"/>
      <c r="I78" s="47" t="n"/>
      <c r="J78" s="47" t="n"/>
      <c r="K78" s="47" t="n"/>
      <c r="L78" s="47" t="n"/>
      <c r="M78" s="47" t="n"/>
      <c r="N78" s="47" t="n"/>
      <c r="O78" s="47" t="n"/>
      <c r="P78" s="47" t="n"/>
      <c r="Q78" s="47" t="n"/>
      <c r="R78" s="47" t="n"/>
      <c r="S78" s="47" t="n"/>
    </row>
    <row r="79">
      <c r="B79" s="10"/>
      <c r="C79" s="10"/>
      <c r="D79" s="17"/>
      <c r="E79" s="17"/>
      <c r="F79" s="18" t="s">
        <v>920</v>
      </c>
      <c r="G79" s="46" t="n"/>
      <c r="H79" s="46" t="n"/>
      <c r="I79" s="46" t="n"/>
      <c r="J79" s="46" t="n"/>
      <c r="K79" s="46" t="n"/>
      <c r="L79" s="46" t="n"/>
      <c r="M79" s="46" t="n"/>
      <c r="N79" s="46" t="n"/>
      <c r="O79" s="46" t="n"/>
      <c r="P79" s="46" t="n"/>
      <c r="Q79" s="46" t="n"/>
      <c r="R79" s="46" t="n"/>
      <c r="S79" s="46" t="n"/>
    </row>
    <row r="80">
      <c r="B80" s="10"/>
      <c r="C80" s="10"/>
      <c r="D80" s="17"/>
      <c r="E80" s="17"/>
      <c r="F80" s="19" t="s">
        <v>921</v>
      </c>
      <c r="G80" s="47" t="n"/>
      <c r="H80" s="47" t="n"/>
      <c r="I80" s="47" t="n"/>
      <c r="J80" s="47" t="n"/>
      <c r="K80" s="47" t="n"/>
      <c r="L80" s="47" t="n"/>
      <c r="M80" s="47" t="n"/>
      <c r="N80" s="47" t="n"/>
      <c r="O80" s="47" t="n"/>
      <c r="P80" s="47" t="n"/>
      <c r="Q80" s="47" t="n"/>
      <c r="R80" s="47" t="n"/>
      <c r="S80" s="47" t="n"/>
    </row>
    <row r="81">
      <c r="B81" s="10"/>
      <c r="C81" s="10"/>
      <c r="D81" s="17"/>
      <c r="E81" s="17"/>
      <c r="F81" s="18" t="s">
        <v>804</v>
      </c>
      <c r="G81" s="46" t="n"/>
      <c r="H81" s="46" t="n"/>
      <c r="I81" s="46" t="n"/>
      <c r="J81" s="46" t="n"/>
      <c r="K81" s="46" t="n"/>
      <c r="L81" s="46" t="n"/>
      <c r="M81" s="46" t="n"/>
      <c r="N81" s="46" t="n"/>
      <c r="O81" s="46" t="n"/>
      <c r="P81" s="46" t="n"/>
      <c r="Q81" s="46" t="n"/>
      <c r="R81" s="46" t="n"/>
      <c r="S81" s="46" t="n"/>
    </row>
    <row r="82">
      <c r="B82" s="10"/>
      <c r="C82" s="10"/>
      <c r="D82" s="17"/>
      <c r="E82" s="14"/>
      <c r="F82" s="52" t="s">
        <v>870</v>
      </c>
      <c r="G82" s="47" t="n">
        <f>SUM(G69:G81)</f>
      </c>
      <c r="H82" s="47" t="n">
        <f>SUM(H69:H81)</f>
      </c>
      <c r="I82" s="47" t="n">
        <f>SUM(I69:I81)</f>
      </c>
      <c r="J82" s="47" t="n">
        <f>SUM(J69:J81)</f>
      </c>
      <c r="K82" s="47" t="n">
        <f>SUM(K69:K81)</f>
      </c>
      <c r="L82" s="47" t="n">
        <f>SUM(L69:L81)</f>
      </c>
      <c r="M82" s="47" t="n">
        <f>SUM(M69:M81)</f>
      </c>
      <c r="N82" s="47" t="n">
        <f>SUM(N69:N81)</f>
      </c>
      <c r="O82" s="47" t="n">
        <f>SUM(O69:O81)</f>
      </c>
      <c r="P82" s="47" t="n">
        <f>SUM(P69:P81)</f>
      </c>
      <c r="Q82" s="47" t="n">
        <f>SUM(Q69:Q81)</f>
      </c>
      <c r="R82" s="47" t="n">
        <f>SUM(R69:R81)</f>
      </c>
      <c r="S82" s="47" t="n">
        <f>SUM(S69:S81)</f>
      </c>
    </row>
    <row r="83">
      <c r="B83" s="10"/>
      <c r="C83" s="10"/>
      <c r="D83" s="14"/>
      <c r="E83" s="45" t="s">
        <v>924</v>
      </c>
      <c r="F83" s="44"/>
      <c r="G83" s="46" t="n">
        <f>G82+G61+G67+G56</f>
      </c>
      <c r="H83" s="46" t="n">
        <f>H82+H61+H67+H56</f>
      </c>
      <c r="I83" s="46" t="n">
        <f>I82+I61+I67+I56</f>
      </c>
      <c r="J83" s="46" t="n">
        <f>J82+J61+J67+J56</f>
      </c>
      <c r="K83" s="46" t="n">
        <f>K82+K61+K67+K56</f>
      </c>
      <c r="L83" s="46" t="n">
        <f>L82+L61+L67+L56</f>
      </c>
      <c r="M83" s="46" t="n">
        <f>M82+M61+M67+M56</f>
      </c>
      <c r="N83" s="46" t="n">
        <f>N82+N61+N67+N56</f>
      </c>
      <c r="O83" s="46" t="n">
        <f>O82+O61+O67+O56</f>
      </c>
      <c r="P83" s="46" t="n">
        <f>P82+P61+P67+P56</f>
      </c>
      <c r="Q83" s="46" t="n">
        <f>Q82+Q61+Q67+Q56</f>
      </c>
      <c r="R83" s="46" t="n">
        <f>R82+R61+R67+R56</f>
      </c>
      <c r="S83" s="46" t="n">
        <f>S82+S61+S67+S56</f>
      </c>
    </row>
    <row r="84">
      <c r="B84" s="11"/>
      <c r="C84" s="11"/>
      <c r="D84" s="40" t="s">
        <v>925</v>
      </c>
      <c r="E84" s="41"/>
      <c r="F84" s="39"/>
      <c r="G84" s="53" t="n">
        <f>-G83+G48</f>
      </c>
      <c r="H84" s="53" t="n">
        <f>-H83+H48</f>
      </c>
      <c r="I84" s="53" t="n">
        <f>-I83+I48</f>
      </c>
      <c r="J84" s="53" t="n">
        <f>-J83+J48</f>
      </c>
      <c r="K84" s="53" t="n">
        <f>-K83+K48</f>
      </c>
      <c r="L84" s="53" t="n">
        <f>-L83+L48</f>
      </c>
      <c r="M84" s="53" t="n">
        <f>-M83+M48</f>
      </c>
      <c r="N84" s="53" t="n">
        <f>-N83+N48</f>
      </c>
      <c r="O84" s="53" t="n">
        <f>-O83+O48</f>
      </c>
      <c r="P84" s="53" t="n">
        <f>-P83+P48</f>
      </c>
      <c r="Q84" s="53" t="n">
        <f>-Q83+Q48</f>
      </c>
      <c r="R84" s="53" t="n">
        <f>-R83+R48</f>
      </c>
      <c r="S84" s="53" t="n">
        <f>-S83+S48</f>
      </c>
    </row>
  </sheetData>
  <mergeCells>
    <mergeCell ref="G10:S10"/>
    <mergeCell ref="G11:I11"/>
    <mergeCell ref="J11:S11"/>
    <mergeCell ref="B13:F13"/>
    <mergeCell ref="C14:F14"/>
    <mergeCell ref="D15:F15"/>
    <mergeCell ref="E16:F16"/>
    <mergeCell ref="E22:F22"/>
    <mergeCell ref="E27:F27"/>
    <mergeCell ref="E33:F33"/>
    <mergeCell ref="E48:F48"/>
    <mergeCell ref="C49:F49"/>
    <mergeCell ref="D50:F50"/>
    <mergeCell ref="E51:F51"/>
    <mergeCell ref="E57:F57"/>
    <mergeCell ref="E62:F62"/>
    <mergeCell ref="E68:F68"/>
    <mergeCell ref="E83:F83"/>
    <mergeCell ref="D84:F84"/>
  </mergeCells>
  <hyperlinks>
    <hyperlink location="'Indice'!A1" ref="B2"/>
  </hyperlinks>
  <pageMargins bottom="0.75" footer="0.3" header="0.3" left="0.7" right="0.7" top="0.75"/>
</worksheet>
</file>

<file path=xl/worksheets/sheet30.xml><?xml version="1.0" encoding="utf-8"?>
<worksheet xmlns="http://schemas.openxmlformats.org/spreadsheetml/2006/main">
  <dimension ref="B2:U76"/>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2.70703125" customWidth="true"/>
    <col min="7" max="7" width="50.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926</v>
      </c>
    </row>
    <row r="6">
      <c r="B6" t="s" s="1">
        <v>8</v>
      </c>
      <c r="C6" t="s">
        <v>9</v>
      </c>
    </row>
    <row r="7">
      <c r="B7" t="s" s="1">
        <v>10</v>
      </c>
      <c r="C7" t="s">
        <v>9</v>
      </c>
    </row>
    <row r="8">
      <c r="B8" t="s" s="1">
        <v>11</v>
      </c>
      <c r="C8" t="s">
        <v>12</v>
      </c>
    </row>
    <row r="10">
      <c r="H10" t="s" s="4">
        <v>927</v>
      </c>
      <c r="I10" s="29"/>
      <c r="J10" s="29"/>
      <c r="K10" s="29"/>
      <c r="L10" s="29"/>
      <c r="M10" s="29"/>
      <c r="N10" s="29"/>
      <c r="O10" s="29"/>
      <c r="P10" s="29"/>
      <c r="Q10" s="29"/>
      <c r="R10" s="29"/>
      <c r="S10" s="29"/>
      <c r="T10" s="30"/>
    </row>
    <row r="11">
      <c r="H11" t="s" s="32">
        <v>843</v>
      </c>
      <c r="I11" s="59"/>
      <c r="J11" s="60"/>
      <c r="K11" t="s" s="4">
        <v>846</v>
      </c>
      <c r="L11" s="29"/>
      <c r="M11" s="29"/>
      <c r="N11" s="29"/>
      <c r="O11" s="29"/>
      <c r="P11" s="29"/>
      <c r="Q11" s="29"/>
      <c r="R11" s="29"/>
      <c r="S11" s="29"/>
      <c r="T11" s="30"/>
    </row>
    <row r="12">
      <c r="H12" t="s" s="6">
        <v>844</v>
      </c>
      <c r="I12" t="s" s="34">
        <v>845</v>
      </c>
      <c r="J12" s="55"/>
      <c r="K12" t="s" s="34">
        <v>847</v>
      </c>
      <c r="L12" t="s" s="6">
        <v>848</v>
      </c>
      <c r="M12" t="s" s="34">
        <v>849</v>
      </c>
      <c r="N12" t="s" s="6">
        <v>850</v>
      </c>
      <c r="O12" t="s" s="34">
        <v>851</v>
      </c>
      <c r="P12" t="s" s="6">
        <v>852</v>
      </c>
      <c r="Q12" t="s" s="34">
        <v>853</v>
      </c>
      <c r="R12" t="s" s="6">
        <v>854</v>
      </c>
      <c r="S12" t="s" s="34">
        <v>855</v>
      </c>
      <c r="T12" s="36"/>
    </row>
    <row r="13" ht="28.0" customHeight="true">
      <c r="B13" s="7" t="s">
        <v>928</v>
      </c>
      <c r="C13" s="8"/>
      <c r="D13" s="8"/>
      <c r="E13" s="8"/>
      <c r="F13" s="8"/>
      <c r="G13" s="9"/>
      <c r="H13" s="22"/>
      <c r="I13" s="22"/>
      <c r="J13" s="22"/>
      <c r="K13" s="22"/>
      <c r="L13" s="22"/>
      <c r="M13" s="22"/>
      <c r="N13" s="22"/>
      <c r="O13" s="22"/>
      <c r="P13" s="22"/>
      <c r="Q13" s="22"/>
      <c r="R13" s="22"/>
      <c r="S13" s="22"/>
      <c r="T13" s="22"/>
    </row>
    <row r="14">
      <c r="B14" s="10"/>
      <c r="C14" s="16" t="s">
        <v>929</v>
      </c>
      <c r="D14" s="37"/>
      <c r="E14" s="37"/>
      <c r="F14" s="37"/>
      <c r="G14" s="13"/>
      <c r="H14" s="23"/>
      <c r="I14" s="23"/>
      <c r="J14" s="23"/>
      <c r="K14" s="23"/>
      <c r="L14" s="23"/>
      <c r="M14" s="23"/>
      <c r="N14" s="23"/>
      <c r="O14" s="23"/>
      <c r="P14" s="23"/>
      <c r="Q14" s="23"/>
      <c r="R14" s="23"/>
      <c r="S14" s="23"/>
      <c r="T14" s="23"/>
    </row>
    <row r="15">
      <c r="B15" s="10"/>
      <c r="C15" s="17"/>
      <c r="D15" s="7" t="s">
        <v>930</v>
      </c>
      <c r="E15" s="8"/>
      <c r="F15" s="8"/>
      <c r="G15" s="9"/>
      <c r="H15" s="22"/>
      <c r="I15" s="22"/>
      <c r="J15" s="22"/>
      <c r="K15" s="22"/>
      <c r="L15" s="22"/>
      <c r="M15" s="22"/>
      <c r="N15" s="22"/>
      <c r="O15" s="22"/>
      <c r="P15" s="22"/>
      <c r="Q15" s="22"/>
      <c r="R15" s="22"/>
      <c r="S15" s="22"/>
      <c r="T15" s="22"/>
    </row>
    <row r="16">
      <c r="B16" s="10"/>
      <c r="C16" s="17"/>
      <c r="D16" s="10"/>
      <c r="E16" s="16" t="s">
        <v>931</v>
      </c>
      <c r="F16" s="37"/>
      <c r="G16" s="13"/>
      <c r="H16" s="23"/>
      <c r="I16" s="23"/>
      <c r="J16" s="23"/>
      <c r="K16" s="23"/>
      <c r="L16" s="23"/>
      <c r="M16" s="23"/>
      <c r="N16" s="23"/>
      <c r="O16" s="23"/>
      <c r="P16" s="23"/>
      <c r="Q16" s="23"/>
      <c r="R16" s="23"/>
      <c r="S16" s="23"/>
      <c r="T16" s="23"/>
    </row>
    <row r="17">
      <c r="B17" s="10"/>
      <c r="C17" s="17"/>
      <c r="D17" s="10"/>
      <c r="E17" s="17"/>
      <c r="F17" s="11" t="s">
        <v>920</v>
      </c>
      <c r="G17" s="9"/>
      <c r="H17" s="46" t="n"/>
      <c r="I17" s="46" t="n"/>
      <c r="J17" s="46" t="n"/>
      <c r="K17" s="46" t="n"/>
      <c r="L17" s="46" t="n"/>
      <c r="M17" s="46" t="n"/>
      <c r="N17" s="46" t="n"/>
      <c r="O17" s="46" t="n"/>
      <c r="P17" s="46" t="n"/>
      <c r="Q17" s="46" t="n"/>
      <c r="R17" s="46" t="n"/>
      <c r="S17" s="46" t="n"/>
      <c r="T17" s="46" t="n"/>
    </row>
    <row r="18">
      <c r="B18" s="10"/>
      <c r="C18" s="17"/>
      <c r="D18" s="10"/>
      <c r="E18" s="17"/>
      <c r="F18" s="14" t="s">
        <v>932</v>
      </c>
      <c r="G18" s="13"/>
      <c r="H18" s="47" t="n"/>
      <c r="I18" s="47" t="n"/>
      <c r="J18" s="47" t="n"/>
      <c r="K18" s="47" t="n"/>
      <c r="L18" s="47" t="n"/>
      <c r="M18" s="47" t="n"/>
      <c r="N18" s="47" t="n"/>
      <c r="O18" s="47" t="n"/>
      <c r="P18" s="47" t="n"/>
      <c r="Q18" s="47" t="n"/>
      <c r="R18" s="47" t="n"/>
      <c r="S18" s="47" t="n"/>
      <c r="T18" s="47" t="n"/>
    </row>
    <row r="19">
      <c r="B19" s="10"/>
      <c r="C19" s="17"/>
      <c r="D19" s="10"/>
      <c r="E19" s="17"/>
      <c r="F19" s="11" t="s">
        <v>804</v>
      </c>
      <c r="G19" s="9"/>
      <c r="H19" s="46" t="n"/>
      <c r="I19" s="46" t="n"/>
      <c r="J19" s="46" t="n"/>
      <c r="K19" s="46" t="n"/>
      <c r="L19" s="46" t="n"/>
      <c r="M19" s="46" t="n"/>
      <c r="N19" s="46" t="n"/>
      <c r="O19" s="46" t="n"/>
      <c r="P19" s="46" t="n"/>
      <c r="Q19" s="46" t="n"/>
      <c r="R19" s="46" t="n"/>
      <c r="S19" s="46" t="n"/>
      <c r="T19" s="46" t="n"/>
    </row>
    <row r="20">
      <c r="B20" s="10"/>
      <c r="C20" s="17"/>
      <c r="D20" s="10"/>
      <c r="E20" s="14"/>
      <c r="F20" s="40" t="s">
        <v>933</v>
      </c>
      <c r="G20" s="39"/>
      <c r="H20" s="47" t="n">
        <f>SUM(H17:H19)</f>
      </c>
      <c r="I20" s="47" t="n">
        <f>SUM(I17:I19)</f>
      </c>
      <c r="J20" s="47" t="n">
        <f>SUM(J17:J19)</f>
      </c>
      <c r="K20" s="47" t="n">
        <f>SUM(K17:K19)</f>
      </c>
      <c r="L20" s="47" t="n">
        <f>SUM(L17:L19)</f>
      </c>
      <c r="M20" s="47" t="n">
        <f>SUM(M17:M19)</f>
      </c>
      <c r="N20" s="47" t="n">
        <f>SUM(N17:N19)</f>
      </c>
      <c r="O20" s="47" t="n">
        <f>SUM(O17:O19)</f>
      </c>
      <c r="P20" s="47" t="n">
        <f>SUM(P17:P19)</f>
      </c>
      <c r="Q20" s="47" t="n">
        <f>SUM(Q17:Q19)</f>
      </c>
      <c r="R20" s="47" t="n">
        <f>SUM(R17:R19)</f>
      </c>
      <c r="S20" s="47" t="n">
        <f>SUM(S17:S19)</f>
      </c>
      <c r="T20" s="47" t="n">
        <f>SUM(T17:T19)</f>
      </c>
    </row>
    <row r="21">
      <c r="B21" s="10"/>
      <c r="C21" s="17"/>
      <c r="D21" s="10"/>
      <c r="E21" s="7" t="s">
        <v>934</v>
      </c>
      <c r="F21" s="8"/>
      <c r="G21" s="9"/>
      <c r="H21" s="22"/>
      <c r="I21" s="22"/>
      <c r="J21" s="22"/>
      <c r="K21" s="22"/>
      <c r="L21" s="22"/>
      <c r="M21" s="22"/>
      <c r="N21" s="22"/>
      <c r="O21" s="22"/>
      <c r="P21" s="22"/>
      <c r="Q21" s="22"/>
      <c r="R21" s="22"/>
      <c r="S21" s="22"/>
      <c r="T21" s="22"/>
    </row>
    <row r="22">
      <c r="B22" s="10"/>
      <c r="C22" s="17"/>
      <c r="D22" s="10"/>
      <c r="E22" s="10"/>
      <c r="F22" s="14" t="s">
        <v>920</v>
      </c>
      <c r="G22" s="13"/>
      <c r="H22" s="47" t="n"/>
      <c r="I22" s="47" t="n"/>
      <c r="J22" s="47" t="n"/>
      <c r="K22" s="47" t="n"/>
      <c r="L22" s="47" t="n"/>
      <c r="M22" s="47" t="n"/>
      <c r="N22" s="47" t="n"/>
      <c r="O22" s="47" t="n"/>
      <c r="P22" s="47" t="n"/>
      <c r="Q22" s="47" t="n"/>
      <c r="R22" s="47" t="n"/>
      <c r="S22" s="47" t="n"/>
      <c r="T22" s="47" t="n"/>
    </row>
    <row r="23">
      <c r="B23" s="10"/>
      <c r="C23" s="17"/>
      <c r="D23" s="10"/>
      <c r="E23" s="10"/>
      <c r="F23" s="11" t="s">
        <v>932</v>
      </c>
      <c r="G23" s="9"/>
      <c r="H23" s="46" t="n"/>
      <c r="I23" s="46" t="n"/>
      <c r="J23" s="46" t="n"/>
      <c r="K23" s="46" t="n"/>
      <c r="L23" s="46" t="n"/>
      <c r="M23" s="46" t="n"/>
      <c r="N23" s="46" t="n"/>
      <c r="O23" s="46" t="n"/>
      <c r="P23" s="46" t="n"/>
      <c r="Q23" s="46" t="n"/>
      <c r="R23" s="46" t="n"/>
      <c r="S23" s="46" t="n"/>
      <c r="T23" s="46" t="n"/>
    </row>
    <row r="24">
      <c r="B24" s="10"/>
      <c r="C24" s="17"/>
      <c r="D24" s="10"/>
      <c r="E24" s="10"/>
      <c r="F24" s="14" t="s">
        <v>804</v>
      </c>
      <c r="G24" s="13"/>
      <c r="H24" s="47" t="n"/>
      <c r="I24" s="47" t="n"/>
      <c r="J24" s="47" t="n"/>
      <c r="K24" s="47" t="n"/>
      <c r="L24" s="47" t="n"/>
      <c r="M24" s="47" t="n"/>
      <c r="N24" s="47" t="n"/>
      <c r="O24" s="47" t="n"/>
      <c r="P24" s="47" t="n"/>
      <c r="Q24" s="47" t="n"/>
      <c r="R24" s="47" t="n"/>
      <c r="S24" s="47" t="n"/>
      <c r="T24" s="47" t="n"/>
    </row>
    <row r="25">
      <c r="B25" s="10"/>
      <c r="C25" s="17"/>
      <c r="D25" s="10"/>
      <c r="E25" s="11"/>
      <c r="F25" s="45" t="s">
        <v>935</v>
      </c>
      <c r="G25" s="44"/>
      <c r="H25" s="46" t="n">
        <f>SUM(H22:H24)</f>
      </c>
      <c r="I25" s="46" t="n">
        <f>SUM(I22:I24)</f>
      </c>
      <c r="J25" s="46" t="n">
        <f>SUM(J22:J24)</f>
      </c>
      <c r="K25" s="46" t="n">
        <f>SUM(K22:K24)</f>
      </c>
      <c r="L25" s="46" t="n">
        <f>SUM(L22:L24)</f>
      </c>
      <c r="M25" s="46" t="n">
        <f>SUM(M22:M24)</f>
      </c>
      <c r="N25" s="46" t="n">
        <f>SUM(N22:N24)</f>
      </c>
      <c r="O25" s="46" t="n">
        <f>SUM(O22:O24)</f>
      </c>
      <c r="P25" s="46" t="n">
        <f>SUM(P22:P24)</f>
      </c>
      <c r="Q25" s="46" t="n">
        <f>SUM(Q22:Q24)</f>
      </c>
      <c r="R25" s="46" t="n">
        <f>SUM(R22:R24)</f>
      </c>
      <c r="S25" s="46" t="n">
        <f>SUM(S22:S24)</f>
      </c>
      <c r="T25" s="46" t="n">
        <f>SUM(T22:T24)</f>
      </c>
    </row>
    <row r="26">
      <c r="B26" s="10"/>
      <c r="C26" s="17"/>
      <c r="D26" s="10"/>
      <c r="E26" s="16" t="s">
        <v>936</v>
      </c>
      <c r="F26" s="37"/>
      <c r="G26" s="13"/>
      <c r="H26" s="23"/>
      <c r="I26" s="23"/>
      <c r="J26" s="23"/>
      <c r="K26" s="23"/>
      <c r="L26" s="23"/>
      <c r="M26" s="23"/>
      <c r="N26" s="23"/>
      <c r="O26" s="23"/>
      <c r="P26" s="23"/>
      <c r="Q26" s="23"/>
      <c r="R26" s="23"/>
      <c r="S26" s="23"/>
      <c r="T26" s="23"/>
    </row>
    <row r="27">
      <c r="B27" s="10"/>
      <c r="C27" s="17"/>
      <c r="D27" s="10"/>
      <c r="E27" s="17"/>
      <c r="F27" s="7" t="s">
        <v>860</v>
      </c>
      <c r="G27" s="9"/>
      <c r="H27" s="46" t="n">
        <f>H28+H29</f>
      </c>
      <c r="I27" s="46" t="n">
        <f>I28+I29</f>
      </c>
      <c r="J27" s="46" t="n">
        <f>J28+J29</f>
      </c>
      <c r="K27" s="46" t="n">
        <f>K28+K29</f>
      </c>
      <c r="L27" s="46" t="n">
        <f>L28+L29</f>
      </c>
      <c r="M27" s="46" t="n">
        <f>M28+M29</f>
      </c>
      <c r="N27" s="46" t="n">
        <f>N28+N29</f>
      </c>
      <c r="O27" s="46" t="n">
        <f>O28+O29</f>
      </c>
      <c r="P27" s="46" t="n">
        <f>P28+P29</f>
      </c>
      <c r="Q27" s="46" t="n">
        <f>Q28+Q29</f>
      </c>
      <c r="R27" s="46" t="n">
        <f>R28+R29</f>
      </c>
      <c r="S27" s="46" t="n">
        <f>S28+S29</f>
      </c>
      <c r="T27" s="46" t="n">
        <f>T28+T29</f>
      </c>
    </row>
    <row r="28">
      <c r="B28" s="10"/>
      <c r="C28" s="17"/>
      <c r="D28" s="10"/>
      <c r="E28" s="17"/>
      <c r="F28" s="10"/>
      <c r="G28" s="19" t="s">
        <v>937</v>
      </c>
      <c r="H28" s="47" t="n"/>
      <c r="I28" s="47" t="n"/>
      <c r="J28" s="47" t="n"/>
      <c r="K28" s="47" t="n"/>
      <c r="L28" s="47" t="n"/>
      <c r="M28" s="47" t="n"/>
      <c r="N28" s="47" t="n"/>
      <c r="O28" s="47" t="n"/>
      <c r="P28" s="47" t="n"/>
      <c r="Q28" s="47" t="n"/>
      <c r="R28" s="47" t="n"/>
      <c r="S28" s="47" t="n"/>
      <c r="T28" s="47" t="n"/>
    </row>
    <row r="29">
      <c r="B29" s="10"/>
      <c r="C29" s="17"/>
      <c r="D29" s="10"/>
      <c r="E29" s="17"/>
      <c r="F29" s="11"/>
      <c r="G29" s="18" t="s">
        <v>938</v>
      </c>
      <c r="H29" s="46" t="n"/>
      <c r="I29" s="46" t="n"/>
      <c r="J29" s="46" t="n"/>
      <c r="K29" s="46" t="n"/>
      <c r="L29" s="46" t="n"/>
      <c r="M29" s="46" t="n"/>
      <c r="N29" s="46" t="n"/>
      <c r="O29" s="46" t="n"/>
      <c r="P29" s="46" t="n"/>
      <c r="Q29" s="46" t="n"/>
      <c r="R29" s="46" t="n"/>
      <c r="S29" s="46" t="n"/>
      <c r="T29" s="46" t="n"/>
    </row>
    <row r="30">
      <c r="B30" s="10"/>
      <c r="C30" s="17"/>
      <c r="D30" s="10"/>
      <c r="E30" s="17"/>
      <c r="F30" s="14" t="s">
        <v>861</v>
      </c>
      <c r="G30" s="13"/>
      <c r="H30" s="47" t="n"/>
      <c r="I30" s="47" t="n"/>
      <c r="J30" s="47" t="n"/>
      <c r="K30" s="47" t="n"/>
      <c r="L30" s="47" t="n"/>
      <c r="M30" s="47" t="n"/>
      <c r="N30" s="47" t="n"/>
      <c r="O30" s="47" t="n"/>
      <c r="P30" s="47" t="n"/>
      <c r="Q30" s="47" t="n"/>
      <c r="R30" s="47" t="n"/>
      <c r="S30" s="47" t="n"/>
      <c r="T30" s="47" t="n"/>
    </row>
    <row r="31">
      <c r="B31" s="10"/>
      <c r="C31" s="17"/>
      <c r="D31" s="10"/>
      <c r="E31" s="17"/>
      <c r="F31" s="11" t="s">
        <v>862</v>
      </c>
      <c r="G31" s="9"/>
      <c r="H31" s="46" t="n"/>
      <c r="I31" s="46" t="n"/>
      <c r="J31" s="46" t="n"/>
      <c r="K31" s="46" t="n"/>
      <c r="L31" s="46" t="n"/>
      <c r="M31" s="46" t="n"/>
      <c r="N31" s="46" t="n"/>
      <c r="O31" s="46" t="n"/>
      <c r="P31" s="46" t="n"/>
      <c r="Q31" s="46" t="n"/>
      <c r="R31" s="46" t="n"/>
      <c r="S31" s="46" t="n"/>
      <c r="T31" s="46" t="n"/>
    </row>
    <row r="32">
      <c r="B32" s="10"/>
      <c r="C32" s="17"/>
      <c r="D32" s="10"/>
      <c r="E32" s="17"/>
      <c r="F32" s="14" t="s">
        <v>863</v>
      </c>
      <c r="G32" s="13"/>
      <c r="H32" s="47" t="n"/>
      <c r="I32" s="47" t="n"/>
      <c r="J32" s="47" t="n"/>
      <c r="K32" s="47" t="n"/>
      <c r="L32" s="47" t="n"/>
      <c r="M32" s="47" t="n"/>
      <c r="N32" s="47" t="n"/>
      <c r="O32" s="47" t="n"/>
      <c r="P32" s="47" t="n"/>
      <c r="Q32" s="47" t="n"/>
      <c r="R32" s="47" t="n"/>
      <c r="S32" s="47" t="n"/>
      <c r="T32" s="47" t="n"/>
    </row>
    <row r="33">
      <c r="B33" s="10"/>
      <c r="C33" s="17"/>
      <c r="D33" s="10"/>
      <c r="E33" s="17"/>
      <c r="F33" s="11" t="s">
        <v>864</v>
      </c>
      <c r="G33" s="9"/>
      <c r="H33" s="46" t="n"/>
      <c r="I33" s="46" t="n"/>
      <c r="J33" s="46" t="n"/>
      <c r="K33" s="46" t="n"/>
      <c r="L33" s="46" t="n"/>
      <c r="M33" s="46" t="n"/>
      <c r="N33" s="46" t="n"/>
      <c r="O33" s="46" t="n"/>
      <c r="P33" s="46" t="n"/>
      <c r="Q33" s="46" t="n"/>
      <c r="R33" s="46" t="n"/>
      <c r="S33" s="46" t="n"/>
      <c r="T33" s="46" t="n"/>
    </row>
    <row r="34">
      <c r="B34" s="10"/>
      <c r="C34" s="17"/>
      <c r="D34" s="10"/>
      <c r="E34" s="17"/>
      <c r="F34" s="14" t="s">
        <v>865</v>
      </c>
      <c r="G34" s="13"/>
      <c r="H34" s="47" t="n"/>
      <c r="I34" s="47" t="n"/>
      <c r="J34" s="47" t="n"/>
      <c r="K34" s="47" t="n"/>
      <c r="L34" s="47" t="n"/>
      <c r="M34" s="47" t="n"/>
      <c r="N34" s="47" t="n"/>
      <c r="O34" s="47" t="n"/>
      <c r="P34" s="47" t="n"/>
      <c r="Q34" s="47" t="n"/>
      <c r="R34" s="47" t="n"/>
      <c r="S34" s="47" t="n"/>
      <c r="T34" s="47" t="n"/>
    </row>
    <row r="35">
      <c r="B35" s="10"/>
      <c r="C35" s="17"/>
      <c r="D35" s="10"/>
      <c r="E35" s="17"/>
      <c r="F35" s="11" t="s">
        <v>916</v>
      </c>
      <c r="G35" s="9"/>
      <c r="H35" s="46" t="n"/>
      <c r="I35" s="46" t="n"/>
      <c r="J35" s="46" t="n"/>
      <c r="K35" s="46" t="n"/>
      <c r="L35" s="46" t="n"/>
      <c r="M35" s="46" t="n"/>
      <c r="N35" s="46" t="n"/>
      <c r="O35" s="46" t="n"/>
      <c r="P35" s="46" t="n"/>
      <c r="Q35" s="46" t="n"/>
      <c r="R35" s="46" t="n"/>
      <c r="S35" s="46" t="n"/>
      <c r="T35" s="46" t="n"/>
    </row>
    <row r="36">
      <c r="B36" s="10"/>
      <c r="C36" s="17"/>
      <c r="D36" s="10"/>
      <c r="E36" s="17"/>
      <c r="F36" s="14" t="s">
        <v>917</v>
      </c>
      <c r="G36" s="13"/>
      <c r="H36" s="47" t="n"/>
      <c r="I36" s="47" t="n"/>
      <c r="J36" s="47" t="n"/>
      <c r="K36" s="47" t="n"/>
      <c r="L36" s="47" t="n"/>
      <c r="M36" s="47" t="n"/>
      <c r="N36" s="47" t="n"/>
      <c r="O36" s="47" t="n"/>
      <c r="P36" s="47" t="n"/>
      <c r="Q36" s="47" t="n"/>
      <c r="R36" s="47" t="n"/>
      <c r="S36" s="47" t="n"/>
      <c r="T36" s="47" t="n"/>
    </row>
    <row r="37">
      <c r="B37" s="10"/>
      <c r="C37" s="17"/>
      <c r="D37" s="10"/>
      <c r="E37" s="17"/>
      <c r="F37" s="11" t="s">
        <v>918</v>
      </c>
      <c r="G37" s="9"/>
      <c r="H37" s="46" t="n"/>
      <c r="I37" s="46" t="n"/>
      <c r="J37" s="46" t="n"/>
      <c r="K37" s="46" t="n"/>
      <c r="L37" s="46" t="n"/>
      <c r="M37" s="46" t="n"/>
      <c r="N37" s="46" t="n"/>
      <c r="O37" s="46" t="n"/>
      <c r="P37" s="46" t="n"/>
      <c r="Q37" s="46" t="n"/>
      <c r="R37" s="46" t="n"/>
      <c r="S37" s="46" t="n"/>
      <c r="T37" s="46" t="n"/>
    </row>
    <row r="38">
      <c r="B38" s="10"/>
      <c r="C38" s="17"/>
      <c r="D38" s="10"/>
      <c r="E38" s="17"/>
      <c r="F38" s="14" t="s">
        <v>939</v>
      </c>
      <c r="G38" s="13"/>
      <c r="H38" s="47" t="n"/>
      <c r="I38" s="47" t="n"/>
      <c r="J38" s="47" t="n"/>
      <c r="K38" s="47" t="n"/>
      <c r="L38" s="47" t="n"/>
      <c r="M38" s="47" t="n"/>
      <c r="N38" s="47" t="n"/>
      <c r="O38" s="47" t="n"/>
      <c r="P38" s="47" t="n"/>
      <c r="Q38" s="47" t="n"/>
      <c r="R38" s="47" t="n"/>
      <c r="S38" s="47" t="n"/>
      <c r="T38" s="47" t="n"/>
    </row>
    <row r="39">
      <c r="B39" s="10"/>
      <c r="C39" s="17"/>
      <c r="D39" s="10"/>
      <c r="E39" s="17"/>
      <c r="F39" s="11" t="s">
        <v>940</v>
      </c>
      <c r="G39" s="9"/>
      <c r="H39" s="46" t="n"/>
      <c r="I39" s="46" t="n"/>
      <c r="J39" s="46" t="n"/>
      <c r="K39" s="46" t="n"/>
      <c r="L39" s="46" t="n"/>
      <c r="M39" s="46" t="n"/>
      <c r="N39" s="46" t="n"/>
      <c r="O39" s="46" t="n"/>
      <c r="P39" s="46" t="n"/>
      <c r="Q39" s="46" t="n"/>
      <c r="R39" s="46" t="n"/>
      <c r="S39" s="46" t="n"/>
      <c r="T39" s="46" t="n"/>
    </row>
    <row r="40">
      <c r="B40" s="10"/>
      <c r="C40" s="17"/>
      <c r="D40" s="10"/>
      <c r="E40" s="17"/>
      <c r="F40" s="14" t="s">
        <v>932</v>
      </c>
      <c r="G40" s="13"/>
      <c r="H40" s="47" t="n"/>
      <c r="I40" s="47" t="n"/>
      <c r="J40" s="47" t="n"/>
      <c r="K40" s="47" t="n"/>
      <c r="L40" s="47" t="n"/>
      <c r="M40" s="47" t="n"/>
      <c r="N40" s="47" t="n"/>
      <c r="O40" s="47" t="n"/>
      <c r="P40" s="47" t="n"/>
      <c r="Q40" s="47" t="n"/>
      <c r="R40" s="47" t="n"/>
      <c r="S40" s="47" t="n"/>
      <c r="T40" s="47" t="n"/>
    </row>
    <row r="41">
      <c r="B41" s="10"/>
      <c r="C41" s="17"/>
      <c r="D41" s="10"/>
      <c r="E41" s="17"/>
      <c r="F41" s="11" t="s">
        <v>920</v>
      </c>
      <c r="G41" s="9"/>
      <c r="H41" s="46" t="n"/>
      <c r="I41" s="46" t="n"/>
      <c r="J41" s="46" t="n"/>
      <c r="K41" s="46" t="n"/>
      <c r="L41" s="46" t="n"/>
      <c r="M41" s="46" t="n"/>
      <c r="N41" s="46" t="n"/>
      <c r="O41" s="46" t="n"/>
      <c r="P41" s="46" t="n"/>
      <c r="Q41" s="46" t="n"/>
      <c r="R41" s="46" t="n"/>
      <c r="S41" s="46" t="n"/>
      <c r="T41" s="46" t="n"/>
    </row>
    <row r="42">
      <c r="B42" s="10"/>
      <c r="C42" s="17"/>
      <c r="D42" s="10"/>
      <c r="E42" s="17"/>
      <c r="F42" s="14" t="s">
        <v>804</v>
      </c>
      <c r="G42" s="13"/>
      <c r="H42" s="47" t="n"/>
      <c r="I42" s="47" t="n"/>
      <c r="J42" s="47" t="n"/>
      <c r="K42" s="47" t="n"/>
      <c r="L42" s="47" t="n"/>
      <c r="M42" s="47" t="n"/>
      <c r="N42" s="47" t="n"/>
      <c r="O42" s="47" t="n"/>
      <c r="P42" s="47" t="n"/>
      <c r="Q42" s="47" t="n"/>
      <c r="R42" s="47" t="n"/>
      <c r="S42" s="47" t="n"/>
      <c r="T42" s="47" t="n"/>
    </row>
    <row r="43">
      <c r="B43" s="10"/>
      <c r="C43" s="17"/>
      <c r="D43" s="10"/>
      <c r="E43" s="14"/>
      <c r="F43" s="45" t="s">
        <v>941</v>
      </c>
      <c r="G43" s="44"/>
      <c r="H43" s="46" t="n">
        <f>H27+SUM(H30:H42)</f>
      </c>
      <c r="I43" s="46" t="n">
        <f>I27+SUM(I30:I42)</f>
      </c>
      <c r="J43" s="46" t="n">
        <f>J27+SUM(J30:J42)</f>
      </c>
      <c r="K43" s="46" t="n">
        <f>K27+SUM(K30:K42)</f>
      </c>
      <c r="L43" s="46" t="n">
        <f>L27+SUM(L30:L42)</f>
      </c>
      <c r="M43" s="46" t="n">
        <f>M27+SUM(M30:M42)</f>
      </c>
      <c r="N43" s="46" t="n">
        <f>N27+SUM(N30:N42)</f>
      </c>
      <c r="O43" s="46" t="n">
        <f>O27+SUM(O30:O42)</f>
      </c>
      <c r="P43" s="46" t="n">
        <f>P27+SUM(P30:P42)</f>
      </c>
      <c r="Q43" s="46" t="n">
        <f>Q27+SUM(Q30:Q42)</f>
      </c>
      <c r="R43" s="46" t="n">
        <f>R27+SUM(R30:R42)</f>
      </c>
      <c r="S43" s="46" t="n">
        <f>S27+SUM(S30:S42)</f>
      </c>
      <c r="T43" s="46" t="n">
        <f>T27+SUM(T30:T42)</f>
      </c>
    </row>
    <row r="44">
      <c r="B44" s="10"/>
      <c r="C44" s="14"/>
      <c r="D44" s="11"/>
      <c r="E44" s="40" t="s">
        <v>942</v>
      </c>
      <c r="F44" s="41"/>
      <c r="G44" s="39"/>
      <c r="H44" s="47" t="n">
        <f>H43+H20+H25</f>
      </c>
      <c r="I44" s="47" t="n">
        <f>I43+I20+I25</f>
      </c>
      <c r="J44" s="47" t="n">
        <f>J43+J20+J25</f>
      </c>
      <c r="K44" s="47" t="n">
        <f>K43+K20+K25</f>
      </c>
      <c r="L44" s="47" t="n">
        <f>L43+L20+L25</f>
      </c>
      <c r="M44" s="47" t="n">
        <f>M43+M20+M25</f>
      </c>
      <c r="N44" s="47" t="n">
        <f>N43+N20+N25</f>
      </c>
      <c r="O44" s="47" t="n">
        <f>O43+O20+O25</f>
      </c>
      <c r="P44" s="47" t="n">
        <f>P43+P20+P25</f>
      </c>
      <c r="Q44" s="47" t="n">
        <f>Q43+Q20+Q25</f>
      </c>
      <c r="R44" s="47" t="n">
        <f>R43+R20+R25</f>
      </c>
      <c r="S44" s="47" t="n">
        <f>S43+S20+S25</f>
      </c>
      <c r="T44" s="47" t="n">
        <f>T43+T20+T25</f>
      </c>
    </row>
    <row r="45">
      <c r="B45" s="10"/>
      <c r="C45" s="7" t="s">
        <v>943</v>
      </c>
      <c r="D45" s="8"/>
      <c r="E45" s="8"/>
      <c r="F45" s="8"/>
      <c r="G45" s="9"/>
      <c r="H45" s="22"/>
      <c r="I45" s="22"/>
      <c r="J45" s="22"/>
      <c r="K45" s="22"/>
      <c r="L45" s="22"/>
      <c r="M45" s="22"/>
      <c r="N45" s="22"/>
      <c r="O45" s="22"/>
      <c r="P45" s="22"/>
      <c r="Q45" s="22"/>
      <c r="R45" s="22"/>
      <c r="S45" s="22"/>
      <c r="T45" s="22"/>
    </row>
    <row r="46">
      <c r="B46" s="10"/>
      <c r="C46" s="10"/>
      <c r="D46" s="16" t="s">
        <v>944</v>
      </c>
      <c r="E46" s="37"/>
      <c r="F46" s="37"/>
      <c r="G46" s="13"/>
      <c r="H46" s="23"/>
      <c r="I46" s="23"/>
      <c r="J46" s="23"/>
      <c r="K46" s="23"/>
      <c r="L46" s="23"/>
      <c r="M46" s="23"/>
      <c r="N46" s="23"/>
      <c r="O46" s="23"/>
      <c r="P46" s="23"/>
      <c r="Q46" s="23"/>
      <c r="R46" s="23"/>
      <c r="S46" s="23"/>
      <c r="T46" s="23"/>
    </row>
    <row r="47">
      <c r="B47" s="10"/>
      <c r="C47" s="10"/>
      <c r="D47" s="17"/>
      <c r="E47" s="7" t="s">
        <v>931</v>
      </c>
      <c r="F47" s="8"/>
      <c r="G47" s="9"/>
      <c r="H47" s="22"/>
      <c r="I47" s="22"/>
      <c r="J47" s="22"/>
      <c r="K47" s="22"/>
      <c r="L47" s="22"/>
      <c r="M47" s="22"/>
      <c r="N47" s="22"/>
      <c r="O47" s="22"/>
      <c r="P47" s="22"/>
      <c r="Q47" s="22"/>
      <c r="R47" s="22"/>
      <c r="S47" s="22"/>
      <c r="T47" s="22"/>
    </row>
    <row r="48">
      <c r="B48" s="10"/>
      <c r="C48" s="10"/>
      <c r="D48" s="17"/>
      <c r="E48" s="10"/>
      <c r="F48" s="14" t="s">
        <v>920</v>
      </c>
      <c r="G48" s="13"/>
      <c r="H48" s="47" t="n"/>
      <c r="I48" s="47" t="n"/>
      <c r="J48" s="47" t="n"/>
      <c r="K48" s="47" t="n"/>
      <c r="L48" s="47" t="n"/>
      <c r="M48" s="47" t="n"/>
      <c r="N48" s="47" t="n"/>
      <c r="O48" s="47" t="n"/>
      <c r="P48" s="47" t="n"/>
      <c r="Q48" s="47" t="n"/>
      <c r="R48" s="47" t="n"/>
      <c r="S48" s="47" t="n"/>
      <c r="T48" s="47" t="n"/>
    </row>
    <row r="49">
      <c r="B49" s="10"/>
      <c r="C49" s="10"/>
      <c r="D49" s="17"/>
      <c r="E49" s="10"/>
      <c r="F49" s="11" t="s">
        <v>932</v>
      </c>
      <c r="G49" s="9"/>
      <c r="H49" s="46" t="n"/>
      <c r="I49" s="46" t="n"/>
      <c r="J49" s="46" t="n"/>
      <c r="K49" s="46" t="n"/>
      <c r="L49" s="46" t="n"/>
      <c r="M49" s="46" t="n"/>
      <c r="N49" s="46" t="n"/>
      <c r="O49" s="46" t="n"/>
      <c r="P49" s="46" t="n"/>
      <c r="Q49" s="46" t="n"/>
      <c r="R49" s="46" t="n"/>
      <c r="S49" s="46" t="n"/>
      <c r="T49" s="46" t="n"/>
    </row>
    <row r="50">
      <c r="B50" s="10"/>
      <c r="C50" s="10"/>
      <c r="D50" s="17"/>
      <c r="E50" s="10"/>
      <c r="F50" s="14" t="s">
        <v>804</v>
      </c>
      <c r="G50" s="13"/>
      <c r="H50" s="47" t="n"/>
      <c r="I50" s="47" t="n"/>
      <c r="J50" s="47" t="n"/>
      <c r="K50" s="47" t="n"/>
      <c r="L50" s="47" t="n"/>
      <c r="M50" s="47" t="n"/>
      <c r="N50" s="47" t="n"/>
      <c r="O50" s="47" t="n"/>
      <c r="P50" s="47" t="n"/>
      <c r="Q50" s="47" t="n"/>
      <c r="R50" s="47" t="n"/>
      <c r="S50" s="47" t="n"/>
      <c r="T50" s="47" t="n"/>
    </row>
    <row r="51">
      <c r="B51" s="10"/>
      <c r="C51" s="10"/>
      <c r="D51" s="17"/>
      <c r="E51" s="11"/>
      <c r="F51" s="45" t="s">
        <v>933</v>
      </c>
      <c r="G51" s="44"/>
      <c r="H51" s="46" t="n">
        <f>SUM(H48:H50)</f>
      </c>
      <c r="I51" s="46" t="n">
        <f>SUM(I48:I50)</f>
      </c>
      <c r="J51" s="46" t="n">
        <f>SUM(J48:J50)</f>
      </c>
      <c r="K51" s="46" t="n">
        <f>SUM(K48:K50)</f>
      </c>
      <c r="L51" s="46" t="n">
        <f>SUM(L48:L50)</f>
      </c>
      <c r="M51" s="46" t="n">
        <f>SUM(M48:M50)</f>
      </c>
      <c r="N51" s="46" t="n">
        <f>SUM(N48:N50)</f>
      </c>
      <c r="O51" s="46" t="n">
        <f>SUM(O48:O50)</f>
      </c>
      <c r="P51" s="46" t="n">
        <f>SUM(P48:P50)</f>
      </c>
      <c r="Q51" s="46" t="n">
        <f>SUM(Q48:Q50)</f>
      </c>
      <c r="R51" s="46" t="n">
        <f>SUM(R48:R50)</f>
      </c>
      <c r="S51" s="46" t="n">
        <f>SUM(S48:S50)</f>
      </c>
      <c r="T51" s="46" t="n">
        <f>SUM(T48:T50)</f>
      </c>
    </row>
    <row r="52">
      <c r="B52" s="10"/>
      <c r="C52" s="10"/>
      <c r="D52" s="17"/>
      <c r="E52" s="16" t="s">
        <v>934</v>
      </c>
      <c r="F52" s="37"/>
      <c r="G52" s="13"/>
      <c r="H52" s="23"/>
      <c r="I52" s="23"/>
      <c r="J52" s="23"/>
      <c r="K52" s="23"/>
      <c r="L52" s="23"/>
      <c r="M52" s="23"/>
      <c r="N52" s="23"/>
      <c r="O52" s="23"/>
      <c r="P52" s="23"/>
      <c r="Q52" s="23"/>
      <c r="R52" s="23"/>
      <c r="S52" s="23"/>
      <c r="T52" s="23"/>
    </row>
    <row r="53">
      <c r="B53" s="10"/>
      <c r="C53" s="10"/>
      <c r="D53" s="17"/>
      <c r="E53" s="17"/>
      <c r="F53" s="11" t="s">
        <v>920</v>
      </c>
      <c r="G53" s="9"/>
      <c r="H53" s="46" t="n"/>
      <c r="I53" s="46" t="n"/>
      <c r="J53" s="46" t="n"/>
      <c r="K53" s="46" t="n"/>
      <c r="L53" s="46" t="n"/>
      <c r="M53" s="46" t="n"/>
      <c r="N53" s="46" t="n"/>
      <c r="O53" s="46" t="n"/>
      <c r="P53" s="46" t="n"/>
      <c r="Q53" s="46" t="n"/>
      <c r="R53" s="46" t="n"/>
      <c r="S53" s="46" t="n"/>
      <c r="T53" s="46" t="n"/>
    </row>
    <row r="54">
      <c r="B54" s="10"/>
      <c r="C54" s="10"/>
      <c r="D54" s="17"/>
      <c r="E54" s="17"/>
      <c r="F54" s="14" t="s">
        <v>932</v>
      </c>
      <c r="G54" s="13"/>
      <c r="H54" s="47" t="n"/>
      <c r="I54" s="47" t="n"/>
      <c r="J54" s="47" t="n"/>
      <c r="K54" s="47" t="n"/>
      <c r="L54" s="47" t="n"/>
      <c r="M54" s="47" t="n"/>
      <c r="N54" s="47" t="n"/>
      <c r="O54" s="47" t="n"/>
      <c r="P54" s="47" t="n"/>
      <c r="Q54" s="47" t="n"/>
      <c r="R54" s="47" t="n"/>
      <c r="S54" s="47" t="n"/>
      <c r="T54" s="47" t="n"/>
    </row>
    <row r="55">
      <c r="B55" s="10"/>
      <c r="C55" s="10"/>
      <c r="D55" s="17"/>
      <c r="E55" s="17"/>
      <c r="F55" s="11" t="s">
        <v>804</v>
      </c>
      <c r="G55" s="9"/>
      <c r="H55" s="46" t="n"/>
      <c r="I55" s="46" t="n"/>
      <c r="J55" s="46" t="n"/>
      <c r="K55" s="46" t="n"/>
      <c r="L55" s="46" t="n"/>
      <c r="M55" s="46" t="n"/>
      <c r="N55" s="46" t="n"/>
      <c r="O55" s="46" t="n"/>
      <c r="P55" s="46" t="n"/>
      <c r="Q55" s="46" t="n"/>
      <c r="R55" s="46" t="n"/>
      <c r="S55" s="46" t="n"/>
      <c r="T55" s="46" t="n"/>
    </row>
    <row r="56">
      <c r="B56" s="10"/>
      <c r="C56" s="10"/>
      <c r="D56" s="17"/>
      <c r="E56" s="14"/>
      <c r="F56" s="40" t="s">
        <v>935</v>
      </c>
      <c r="G56" s="39"/>
      <c r="H56" s="47" t="n">
        <f>SUM(H53:H55)</f>
      </c>
      <c r="I56" s="47" t="n">
        <f>SUM(I53:I55)</f>
      </c>
      <c r="J56" s="47" t="n">
        <f>SUM(J53:J55)</f>
      </c>
      <c r="K56" s="47" t="n">
        <f>SUM(K53:K55)</f>
      </c>
      <c r="L56" s="47" t="n">
        <f>SUM(L53:L55)</f>
      </c>
      <c r="M56" s="47" t="n">
        <f>SUM(M53:M55)</f>
      </c>
      <c r="N56" s="47" t="n">
        <f>SUM(N53:N55)</f>
      </c>
      <c r="O56" s="47" t="n">
        <f>SUM(O53:O55)</f>
      </c>
      <c r="P56" s="47" t="n">
        <f>SUM(P53:P55)</f>
      </c>
      <c r="Q56" s="47" t="n">
        <f>SUM(Q53:Q55)</f>
      </c>
      <c r="R56" s="47" t="n">
        <f>SUM(R53:R55)</f>
      </c>
      <c r="S56" s="47" t="n">
        <f>SUM(S53:S55)</f>
      </c>
      <c r="T56" s="47" t="n">
        <f>SUM(T53:T55)</f>
      </c>
    </row>
    <row r="57">
      <c r="B57" s="10"/>
      <c r="C57" s="10"/>
      <c r="D57" s="17"/>
      <c r="E57" s="7" t="s">
        <v>936</v>
      </c>
      <c r="F57" s="8"/>
      <c r="G57" s="9"/>
      <c r="H57" s="22"/>
      <c r="I57" s="22"/>
      <c r="J57" s="22"/>
      <c r="K57" s="22"/>
      <c r="L57" s="22"/>
      <c r="M57" s="22"/>
      <c r="N57" s="22"/>
      <c r="O57" s="22"/>
      <c r="P57" s="22"/>
      <c r="Q57" s="22"/>
      <c r="R57" s="22"/>
      <c r="S57" s="22"/>
      <c r="T57" s="22"/>
    </row>
    <row r="58">
      <c r="B58" s="10"/>
      <c r="C58" s="10"/>
      <c r="D58" s="17"/>
      <c r="E58" s="10"/>
      <c r="F58" s="16" t="s">
        <v>945</v>
      </c>
      <c r="G58" s="13"/>
      <c r="H58" s="47" t="n">
        <f>H59+H60</f>
      </c>
      <c r="I58" s="47" t="n">
        <f>I59+I60</f>
      </c>
      <c r="J58" s="47" t="n">
        <f>J59+J60</f>
      </c>
      <c r="K58" s="47" t="n">
        <f>K59+K60</f>
      </c>
      <c r="L58" s="47" t="n">
        <f>L59+L60</f>
      </c>
      <c r="M58" s="47" t="n">
        <f>M59+M60</f>
      </c>
      <c r="N58" s="47" t="n">
        <f>N59+N60</f>
      </c>
      <c r="O58" s="47" t="n">
        <f>O59+O60</f>
      </c>
      <c r="P58" s="47" t="n">
        <f>P59+P60</f>
      </c>
      <c r="Q58" s="47" t="n">
        <f>Q59+Q60</f>
      </c>
      <c r="R58" s="47" t="n">
        <f>R59+R60</f>
      </c>
      <c r="S58" s="47" t="n">
        <f>S59+S60</f>
      </c>
      <c r="T58" s="47" t="n">
        <f>T59+T60</f>
      </c>
    </row>
    <row r="59">
      <c r="B59" s="10"/>
      <c r="C59" s="10"/>
      <c r="D59" s="17"/>
      <c r="E59" s="10"/>
      <c r="F59" s="17"/>
      <c r="G59" s="18" t="s">
        <v>937</v>
      </c>
      <c r="H59" s="46" t="n"/>
      <c r="I59" s="46" t="n"/>
      <c r="J59" s="46" t="n"/>
      <c r="K59" s="46" t="n"/>
      <c r="L59" s="46" t="n"/>
      <c r="M59" s="46" t="n"/>
      <c r="N59" s="46" t="n"/>
      <c r="O59" s="46" t="n"/>
      <c r="P59" s="46" t="n"/>
      <c r="Q59" s="46" t="n"/>
      <c r="R59" s="46" t="n"/>
      <c r="S59" s="46" t="n"/>
      <c r="T59" s="46" t="n"/>
    </row>
    <row r="60">
      <c r="B60" s="10"/>
      <c r="C60" s="10"/>
      <c r="D60" s="17"/>
      <c r="E60" s="10"/>
      <c r="F60" s="14"/>
      <c r="G60" s="19" t="s">
        <v>938</v>
      </c>
      <c r="H60" s="47" t="n"/>
      <c r="I60" s="47" t="n"/>
      <c r="J60" s="47" t="n"/>
      <c r="K60" s="47" t="n"/>
      <c r="L60" s="47" t="n"/>
      <c r="M60" s="47" t="n"/>
      <c r="N60" s="47" t="n"/>
      <c r="O60" s="47" t="n"/>
      <c r="P60" s="47" t="n"/>
      <c r="Q60" s="47" t="n"/>
      <c r="R60" s="47" t="n"/>
      <c r="S60" s="47" t="n"/>
      <c r="T60" s="47" t="n"/>
    </row>
    <row r="61">
      <c r="B61" s="10"/>
      <c r="C61" s="10"/>
      <c r="D61" s="17"/>
      <c r="E61" s="10"/>
      <c r="F61" s="11" t="s">
        <v>861</v>
      </c>
      <c r="G61" s="9"/>
      <c r="H61" s="46" t="n"/>
      <c r="I61" s="46" t="n"/>
      <c r="J61" s="46" t="n"/>
      <c r="K61" s="46" t="n"/>
      <c r="L61" s="46" t="n"/>
      <c r="M61" s="46" t="n"/>
      <c r="N61" s="46" t="n"/>
      <c r="O61" s="46" t="n"/>
      <c r="P61" s="46" t="n"/>
      <c r="Q61" s="46" t="n"/>
      <c r="R61" s="46" t="n"/>
      <c r="S61" s="46" t="n"/>
      <c r="T61" s="46" t="n"/>
    </row>
    <row r="62">
      <c r="B62" s="10"/>
      <c r="C62" s="10"/>
      <c r="D62" s="17"/>
      <c r="E62" s="10"/>
      <c r="F62" s="14" t="s">
        <v>862</v>
      </c>
      <c r="G62" s="13"/>
      <c r="H62" s="47" t="n"/>
      <c r="I62" s="47" t="n"/>
      <c r="J62" s="47" t="n"/>
      <c r="K62" s="47" t="n"/>
      <c r="L62" s="47" t="n"/>
      <c r="M62" s="47" t="n"/>
      <c r="N62" s="47" t="n"/>
      <c r="O62" s="47" t="n"/>
      <c r="P62" s="47" t="n"/>
      <c r="Q62" s="47" t="n"/>
      <c r="R62" s="47" t="n"/>
      <c r="S62" s="47" t="n"/>
      <c r="T62" s="47" t="n"/>
    </row>
    <row r="63">
      <c r="B63" s="10"/>
      <c r="C63" s="10"/>
      <c r="D63" s="17"/>
      <c r="E63" s="10"/>
      <c r="F63" s="11" t="s">
        <v>863</v>
      </c>
      <c r="G63" s="9"/>
      <c r="H63" s="46" t="n"/>
      <c r="I63" s="46" t="n"/>
      <c r="J63" s="46" t="n"/>
      <c r="K63" s="46" t="n"/>
      <c r="L63" s="46" t="n"/>
      <c r="M63" s="46" t="n"/>
      <c r="N63" s="46" t="n"/>
      <c r="O63" s="46" t="n"/>
      <c r="P63" s="46" t="n"/>
      <c r="Q63" s="46" t="n"/>
      <c r="R63" s="46" t="n"/>
      <c r="S63" s="46" t="n"/>
      <c r="T63" s="46" t="n"/>
    </row>
    <row r="64">
      <c r="B64" s="10"/>
      <c r="C64" s="10"/>
      <c r="D64" s="17"/>
      <c r="E64" s="10"/>
      <c r="F64" s="14" t="s">
        <v>864</v>
      </c>
      <c r="G64" s="13"/>
      <c r="H64" s="47" t="n"/>
      <c r="I64" s="47" t="n"/>
      <c r="J64" s="47" t="n"/>
      <c r="K64" s="47" t="n"/>
      <c r="L64" s="47" t="n"/>
      <c r="M64" s="47" t="n"/>
      <c r="N64" s="47" t="n"/>
      <c r="O64" s="47" t="n"/>
      <c r="P64" s="47" t="n"/>
      <c r="Q64" s="47" t="n"/>
      <c r="R64" s="47" t="n"/>
      <c r="S64" s="47" t="n"/>
      <c r="T64" s="47" t="n"/>
    </row>
    <row r="65">
      <c r="B65" s="10"/>
      <c r="C65" s="10"/>
      <c r="D65" s="17"/>
      <c r="E65" s="10"/>
      <c r="F65" s="11" t="s">
        <v>865</v>
      </c>
      <c r="G65" s="9"/>
      <c r="H65" s="46" t="n"/>
      <c r="I65" s="46" t="n"/>
      <c r="J65" s="46" t="n"/>
      <c r="K65" s="46" t="n"/>
      <c r="L65" s="46" t="n"/>
      <c r="M65" s="46" t="n"/>
      <c r="N65" s="46" t="n"/>
      <c r="O65" s="46" t="n"/>
      <c r="P65" s="46" t="n"/>
      <c r="Q65" s="46" t="n"/>
      <c r="R65" s="46" t="n"/>
      <c r="S65" s="46" t="n"/>
      <c r="T65" s="46" t="n"/>
    </row>
    <row r="66">
      <c r="B66" s="10"/>
      <c r="C66" s="10"/>
      <c r="D66" s="17"/>
      <c r="E66" s="10"/>
      <c r="F66" s="14" t="s">
        <v>916</v>
      </c>
      <c r="G66" s="13"/>
      <c r="H66" s="47" t="n"/>
      <c r="I66" s="47" t="n"/>
      <c r="J66" s="47" t="n"/>
      <c r="K66" s="47" t="n"/>
      <c r="L66" s="47" t="n"/>
      <c r="M66" s="47" t="n"/>
      <c r="N66" s="47" t="n"/>
      <c r="O66" s="47" t="n"/>
      <c r="P66" s="47" t="n"/>
      <c r="Q66" s="47" t="n"/>
      <c r="R66" s="47" t="n"/>
      <c r="S66" s="47" t="n"/>
      <c r="T66" s="47" t="n"/>
    </row>
    <row r="67">
      <c r="B67" s="10"/>
      <c r="C67" s="10"/>
      <c r="D67" s="17"/>
      <c r="E67" s="10"/>
      <c r="F67" s="11" t="s">
        <v>917</v>
      </c>
      <c r="G67" s="9"/>
      <c r="H67" s="46" t="n"/>
      <c r="I67" s="46" t="n"/>
      <c r="J67" s="46" t="n"/>
      <c r="K67" s="46" t="n"/>
      <c r="L67" s="46" t="n"/>
      <c r="M67" s="46" t="n"/>
      <c r="N67" s="46" t="n"/>
      <c r="O67" s="46" t="n"/>
      <c r="P67" s="46" t="n"/>
      <c r="Q67" s="46" t="n"/>
      <c r="R67" s="46" t="n"/>
      <c r="S67" s="46" t="n"/>
      <c r="T67" s="46" t="n"/>
    </row>
    <row r="68">
      <c r="B68" s="10"/>
      <c r="C68" s="10"/>
      <c r="D68" s="17"/>
      <c r="E68" s="10"/>
      <c r="F68" s="14" t="s">
        <v>918</v>
      </c>
      <c r="G68" s="13"/>
      <c r="H68" s="47" t="n"/>
      <c r="I68" s="47" t="n"/>
      <c r="J68" s="47" t="n"/>
      <c r="K68" s="47" t="n"/>
      <c r="L68" s="47" t="n"/>
      <c r="M68" s="47" t="n"/>
      <c r="N68" s="47" t="n"/>
      <c r="O68" s="47" t="n"/>
      <c r="P68" s="47" t="n"/>
      <c r="Q68" s="47" t="n"/>
      <c r="R68" s="47" t="n"/>
      <c r="S68" s="47" t="n"/>
      <c r="T68" s="47" t="n"/>
    </row>
    <row r="69">
      <c r="B69" s="10"/>
      <c r="C69" s="10"/>
      <c r="D69" s="17"/>
      <c r="E69" s="10"/>
      <c r="F69" s="11" t="s">
        <v>939</v>
      </c>
      <c r="G69" s="9"/>
      <c r="H69" s="46" t="n"/>
      <c r="I69" s="46" t="n"/>
      <c r="J69" s="46" t="n"/>
      <c r="K69" s="46" t="n"/>
      <c r="L69" s="46" t="n"/>
      <c r="M69" s="46" t="n"/>
      <c r="N69" s="46" t="n"/>
      <c r="O69" s="46" t="n"/>
      <c r="P69" s="46" t="n"/>
      <c r="Q69" s="46" t="n"/>
      <c r="R69" s="46" t="n"/>
      <c r="S69" s="46" t="n"/>
      <c r="T69" s="46" t="n"/>
    </row>
    <row r="70">
      <c r="B70" s="10"/>
      <c r="C70" s="10"/>
      <c r="D70" s="17"/>
      <c r="E70" s="10"/>
      <c r="F70" s="14" t="s">
        <v>940</v>
      </c>
      <c r="G70" s="13"/>
      <c r="H70" s="47" t="n"/>
      <c r="I70" s="47" t="n"/>
      <c r="J70" s="47" t="n"/>
      <c r="K70" s="47" t="n"/>
      <c r="L70" s="47" t="n"/>
      <c r="M70" s="47" t="n"/>
      <c r="N70" s="47" t="n"/>
      <c r="O70" s="47" t="n"/>
      <c r="P70" s="47" t="n"/>
      <c r="Q70" s="47" t="n"/>
      <c r="R70" s="47" t="n"/>
      <c r="S70" s="47" t="n"/>
      <c r="T70" s="47" t="n"/>
    </row>
    <row r="71">
      <c r="B71" s="10"/>
      <c r="C71" s="10"/>
      <c r="D71" s="17"/>
      <c r="E71" s="10"/>
      <c r="F71" s="11" t="s">
        <v>932</v>
      </c>
      <c r="G71" s="9"/>
      <c r="H71" s="46" t="n"/>
      <c r="I71" s="46" t="n"/>
      <c r="J71" s="46" t="n"/>
      <c r="K71" s="46" t="n"/>
      <c r="L71" s="46" t="n"/>
      <c r="M71" s="46" t="n"/>
      <c r="N71" s="46" t="n"/>
      <c r="O71" s="46" t="n"/>
      <c r="P71" s="46" t="n"/>
      <c r="Q71" s="46" t="n"/>
      <c r="R71" s="46" t="n"/>
      <c r="S71" s="46" t="n"/>
      <c r="T71" s="46" t="n"/>
    </row>
    <row r="72">
      <c r="B72" s="10"/>
      <c r="C72" s="10"/>
      <c r="D72" s="17"/>
      <c r="E72" s="10"/>
      <c r="F72" s="14" t="s">
        <v>920</v>
      </c>
      <c r="G72" s="13"/>
      <c r="H72" s="47" t="n"/>
      <c r="I72" s="47" t="n"/>
      <c r="J72" s="47" t="n"/>
      <c r="K72" s="47" t="n"/>
      <c r="L72" s="47" t="n"/>
      <c r="M72" s="47" t="n"/>
      <c r="N72" s="47" t="n"/>
      <c r="O72" s="47" t="n"/>
      <c r="P72" s="47" t="n"/>
      <c r="Q72" s="47" t="n"/>
      <c r="R72" s="47" t="n"/>
      <c r="S72" s="47" t="n"/>
      <c r="T72" s="47" t="n"/>
    </row>
    <row r="73">
      <c r="B73" s="10"/>
      <c r="C73" s="10"/>
      <c r="D73" s="17"/>
      <c r="E73" s="10"/>
      <c r="F73" s="11" t="s">
        <v>804</v>
      </c>
      <c r="G73" s="9"/>
      <c r="H73" s="46" t="n"/>
      <c r="I73" s="46" t="n"/>
      <c r="J73" s="46" t="n"/>
      <c r="K73" s="46" t="n"/>
      <c r="L73" s="46" t="n"/>
      <c r="M73" s="46" t="n"/>
      <c r="N73" s="46" t="n"/>
      <c r="O73" s="46" t="n"/>
      <c r="P73" s="46" t="n"/>
      <c r="Q73" s="46" t="n"/>
      <c r="R73" s="46" t="n"/>
      <c r="S73" s="46" t="n"/>
      <c r="T73" s="46" t="n"/>
    </row>
    <row r="74">
      <c r="B74" s="10"/>
      <c r="C74" s="10"/>
      <c r="D74" s="17"/>
      <c r="E74" s="11"/>
      <c r="F74" s="40" t="s">
        <v>941</v>
      </c>
      <c r="G74" s="39"/>
      <c r="H74" s="47" t="n">
        <f>H58+SUM(H61:H73)</f>
      </c>
      <c r="I74" s="47" t="n">
        <f>I58+SUM(I61:I73)</f>
      </c>
      <c r="J74" s="47" t="n">
        <f>J58+SUM(J61:J73)</f>
      </c>
      <c r="K74" s="47" t="n">
        <f>K58+SUM(K61:K73)</f>
      </c>
      <c r="L74" s="47" t="n">
        <f>L58+SUM(L61:L73)</f>
      </c>
      <c r="M74" s="47" t="n">
        <f>M58+SUM(M61:M73)</f>
      </c>
      <c r="N74" s="47" t="n">
        <f>N58+SUM(N61:N73)</f>
      </c>
      <c r="O74" s="47" t="n">
        <f>O58+SUM(O61:O73)</f>
      </c>
      <c r="P74" s="47" t="n">
        <f>P58+SUM(P61:P73)</f>
      </c>
      <c r="Q74" s="47" t="n">
        <f>Q58+SUM(Q61:Q73)</f>
      </c>
      <c r="R74" s="47" t="n">
        <f>R58+SUM(R61:R73)</f>
      </c>
      <c r="S74" s="47" t="n">
        <f>S58+SUM(S61:S73)</f>
      </c>
      <c r="T74" s="47" t="n">
        <f>T58+SUM(T61:T73)</f>
      </c>
    </row>
    <row r="75" ht="28.0" customHeight="true">
      <c r="B75" s="10"/>
      <c r="C75" s="11"/>
      <c r="D75" s="14"/>
      <c r="E75" s="45" t="s">
        <v>946</v>
      </c>
      <c r="F75" s="43"/>
      <c r="G75" s="44"/>
      <c r="H75" s="46" t="n">
        <f>H51+H56+H74</f>
      </c>
      <c r="I75" s="46" t="n">
        <f>I51+I56+I74</f>
      </c>
      <c r="J75" s="46" t="n">
        <f>J51+J56+J74</f>
      </c>
      <c r="K75" s="46" t="n">
        <f>K51+K56+K74</f>
      </c>
      <c r="L75" s="46" t="n">
        <f>L51+L56+L74</f>
      </c>
      <c r="M75" s="46" t="n">
        <f>M51+M56+M74</f>
      </c>
      <c r="N75" s="46" t="n">
        <f>N51+N56+N74</f>
      </c>
      <c r="O75" s="46" t="n">
        <f>O51+O56+O74</f>
      </c>
      <c r="P75" s="46" t="n">
        <f>P51+P56+P74</f>
      </c>
      <c r="Q75" s="46" t="n">
        <f>Q51+Q56+Q74</f>
      </c>
      <c r="R75" s="46" t="n">
        <f>R51+R56+R74</f>
      </c>
      <c r="S75" s="46" t="n">
        <f>S51+S56+S74</f>
      </c>
      <c r="T75" s="46" t="n">
        <f>T51+T56+T74</f>
      </c>
    </row>
    <row r="76">
      <c r="B76" s="11"/>
      <c r="C76" s="40" t="s">
        <v>947</v>
      </c>
      <c r="D76" s="41"/>
      <c r="E76" s="41"/>
      <c r="F76" s="41"/>
      <c r="G76" s="39"/>
      <c r="H76" s="53" t="n">
        <f>-H75+H44</f>
      </c>
      <c r="I76" s="53" t="n">
        <f>-I75+I44</f>
      </c>
      <c r="J76" s="53" t="n">
        <f>-J75+J44</f>
      </c>
      <c r="K76" s="53" t="n">
        <f>-K75+K44</f>
      </c>
      <c r="L76" s="53" t="n">
        <f>-L75+L44</f>
      </c>
      <c r="M76" s="53" t="n">
        <f>-M75+M44</f>
      </c>
      <c r="N76" s="53" t="n">
        <f>-N75+N44</f>
      </c>
      <c r="O76" s="53" t="n">
        <f>-O75+O44</f>
      </c>
      <c r="P76" s="53" t="n">
        <f>-P75+P44</f>
      </c>
      <c r="Q76" s="53" t="n">
        <f>-Q75+Q44</f>
      </c>
      <c r="R76" s="53" t="n">
        <f>-R75+R44</f>
      </c>
      <c r="S76" s="53" t="n">
        <f>-S75+S44</f>
      </c>
      <c r="T76" s="53" t="n">
        <f>-T75+T44</f>
      </c>
    </row>
  </sheetData>
  <mergeCells>
    <mergeCell ref="H10:T10"/>
    <mergeCell ref="H11:J11"/>
    <mergeCell ref="K11:T11"/>
    <mergeCell ref="B13:G13"/>
    <mergeCell ref="C14:G14"/>
    <mergeCell ref="D15:G15"/>
    <mergeCell ref="E16:G16"/>
    <mergeCell ref="F17:G17"/>
    <mergeCell ref="F18:G18"/>
    <mergeCell ref="F19:G19"/>
    <mergeCell ref="F20:G20"/>
    <mergeCell ref="E21:G21"/>
    <mergeCell ref="F22:G22"/>
    <mergeCell ref="F23:G23"/>
    <mergeCell ref="F24:G24"/>
    <mergeCell ref="F25:G25"/>
    <mergeCell ref="E26:G26"/>
    <mergeCell ref="F27:G27"/>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E44:G44"/>
    <mergeCell ref="C45:G45"/>
    <mergeCell ref="D46:G46"/>
    <mergeCell ref="E47:G47"/>
    <mergeCell ref="F48:G48"/>
    <mergeCell ref="F49:G49"/>
    <mergeCell ref="F50:G50"/>
    <mergeCell ref="F51:G51"/>
    <mergeCell ref="E52:G52"/>
    <mergeCell ref="F53:G53"/>
    <mergeCell ref="F54:G54"/>
    <mergeCell ref="F55:G55"/>
    <mergeCell ref="F56:G56"/>
    <mergeCell ref="E57:G57"/>
    <mergeCell ref="F58:G58"/>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E75:G75"/>
    <mergeCell ref="C76:G76"/>
  </mergeCells>
  <hyperlinks>
    <hyperlink location="'Indice'!A1" ref="B2"/>
  </hyperlinks>
  <pageMargins bottom="0.75" footer="0.3" header="0.3" left="0.7" right="0.7" top="0.75"/>
</worksheet>
</file>

<file path=xl/worksheets/sheet31.xml><?xml version="1.0" encoding="utf-8"?>
<worksheet xmlns="http://schemas.openxmlformats.org/spreadsheetml/2006/main">
  <dimension ref="B2:T70"/>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s>
  <sheetData>
    <row r="2">
      <c r="B2" t="s" s="2">
        <v>1</v>
      </c>
    </row>
    <row r="3">
      <c r="B3" t="s" s="1">
        <v>3</v>
      </c>
      <c r="C3" t="s">
        <v>4</v>
      </c>
    </row>
    <row r="4">
      <c r="B4" s="1" t="s">
        <v>5</v>
      </c>
      <c r="C4" t="s">
        <v>6</v>
      </c>
    </row>
    <row r="5">
      <c r="B5" t="s" s="1">
        <v>7</v>
      </c>
      <c r="C5" t="s">
        <v>948</v>
      </c>
    </row>
    <row r="6">
      <c r="B6" t="s" s="1">
        <v>8</v>
      </c>
      <c r="C6" t="s">
        <v>9</v>
      </c>
    </row>
    <row r="7">
      <c r="B7" t="s" s="1">
        <v>10</v>
      </c>
      <c r="C7" t="s">
        <v>9</v>
      </c>
    </row>
    <row r="8">
      <c r="B8" t="s" s="1">
        <v>11</v>
      </c>
      <c r="C8" t="s">
        <v>12</v>
      </c>
    </row>
    <row r="10">
      <c r="G10" t="s" s="4">
        <v>949</v>
      </c>
      <c r="H10" s="29"/>
      <c r="I10" s="29"/>
      <c r="J10" s="29"/>
      <c r="K10" s="29"/>
      <c r="L10" s="29"/>
      <c r="M10" s="29"/>
      <c r="N10" s="29"/>
      <c r="O10" s="29"/>
      <c r="P10" s="29"/>
      <c r="Q10" s="29"/>
      <c r="R10" s="29"/>
      <c r="S10" s="30"/>
    </row>
    <row r="11">
      <c r="G11" t="s" s="32">
        <v>843</v>
      </c>
      <c r="H11" s="59"/>
      <c r="I11" s="60"/>
      <c r="J11" t="s" s="4">
        <v>846</v>
      </c>
      <c r="K11" s="29"/>
      <c r="L11" s="29"/>
      <c r="M11" s="29"/>
      <c r="N11" s="29"/>
      <c r="O11" s="29"/>
      <c r="P11" s="29"/>
      <c r="Q11" s="29"/>
      <c r="R11" s="29"/>
      <c r="S11" s="30"/>
    </row>
    <row r="12">
      <c r="G12" t="s" s="6">
        <v>844</v>
      </c>
      <c r="H12" t="s" s="34">
        <v>845</v>
      </c>
      <c r="I12" s="55"/>
      <c r="J12" t="s" s="34">
        <v>847</v>
      </c>
      <c r="K12" t="s" s="6">
        <v>848</v>
      </c>
      <c r="L12" t="s" s="34">
        <v>849</v>
      </c>
      <c r="M12" t="s" s="6">
        <v>850</v>
      </c>
      <c r="N12" t="s" s="34">
        <v>851</v>
      </c>
      <c r="O12" t="s" s="6">
        <v>852</v>
      </c>
      <c r="P12" t="s" s="34">
        <v>853</v>
      </c>
      <c r="Q12" t="s" s="6">
        <v>854</v>
      </c>
      <c r="R12" t="s" s="34">
        <v>855</v>
      </c>
      <c r="S12" s="36"/>
    </row>
    <row r="13" ht="28.0" customHeight="true">
      <c r="B13" s="7" t="s">
        <v>950</v>
      </c>
      <c r="C13" s="8"/>
      <c r="D13" s="8"/>
      <c r="E13" s="8"/>
      <c r="F13" s="9"/>
      <c r="G13" s="22"/>
      <c r="H13" s="22"/>
      <c r="I13" s="22"/>
      <c r="J13" s="22"/>
      <c r="K13" s="22"/>
      <c r="L13" s="22"/>
      <c r="M13" s="22"/>
      <c r="N13" s="22"/>
      <c r="O13" s="22"/>
      <c r="P13" s="22"/>
      <c r="Q13" s="22"/>
      <c r="R13" s="22"/>
      <c r="S13" s="22"/>
    </row>
    <row r="14">
      <c r="B14" s="10"/>
      <c r="C14" s="16" t="s">
        <v>951</v>
      </c>
      <c r="D14" s="37"/>
      <c r="E14" s="37"/>
      <c r="F14" s="13"/>
      <c r="G14" s="23"/>
      <c r="H14" s="23"/>
      <c r="I14" s="23"/>
      <c r="J14" s="23"/>
      <c r="K14" s="23"/>
      <c r="L14" s="23"/>
      <c r="M14" s="23"/>
      <c r="N14" s="23"/>
      <c r="O14" s="23"/>
      <c r="P14" s="23"/>
      <c r="Q14" s="23"/>
      <c r="R14" s="23"/>
      <c r="S14" s="23"/>
    </row>
    <row r="15">
      <c r="B15" s="10"/>
      <c r="C15" s="17"/>
      <c r="D15" s="7" t="s">
        <v>952</v>
      </c>
      <c r="E15" s="8"/>
      <c r="F15" s="9"/>
      <c r="G15" s="22"/>
      <c r="H15" s="22"/>
      <c r="I15" s="22"/>
      <c r="J15" s="22"/>
      <c r="K15" s="22"/>
      <c r="L15" s="22"/>
      <c r="M15" s="22"/>
      <c r="N15" s="22"/>
      <c r="O15" s="22"/>
      <c r="P15" s="22"/>
      <c r="Q15" s="22"/>
      <c r="R15" s="22"/>
      <c r="S15" s="22"/>
    </row>
    <row r="16">
      <c r="B16" s="10"/>
      <c r="C16" s="17"/>
      <c r="D16" s="10"/>
      <c r="E16" s="16" t="s">
        <v>953</v>
      </c>
      <c r="F16" s="13"/>
      <c r="G16" s="23"/>
      <c r="H16" s="23"/>
      <c r="I16" s="23"/>
      <c r="J16" s="23"/>
      <c r="K16" s="23"/>
      <c r="L16" s="23"/>
      <c r="M16" s="23"/>
      <c r="N16" s="23"/>
      <c r="O16" s="23"/>
      <c r="P16" s="23"/>
      <c r="Q16" s="23"/>
      <c r="R16" s="23"/>
      <c r="S16" s="23"/>
    </row>
    <row r="17">
      <c r="B17" s="10"/>
      <c r="C17" s="17"/>
      <c r="D17" s="10"/>
      <c r="E17" s="17"/>
      <c r="F17" s="18" t="s">
        <v>920</v>
      </c>
      <c r="G17" s="46" t="n"/>
      <c r="H17" s="46" t="n"/>
      <c r="I17" s="46" t="n"/>
      <c r="J17" s="46" t="n"/>
      <c r="K17" s="46" t="n"/>
      <c r="L17" s="46" t="n"/>
      <c r="M17" s="46" t="n"/>
      <c r="N17" s="46" t="n"/>
      <c r="O17" s="46" t="n"/>
      <c r="P17" s="46" t="n"/>
      <c r="Q17" s="46" t="n"/>
      <c r="R17" s="46" t="n"/>
      <c r="S17" s="46" t="n"/>
    </row>
    <row r="18">
      <c r="B18" s="10"/>
      <c r="C18" s="17"/>
      <c r="D18" s="10"/>
      <c r="E18" s="17"/>
      <c r="F18" s="19" t="s">
        <v>954</v>
      </c>
      <c r="G18" s="47" t="n"/>
      <c r="H18" s="47" t="n"/>
      <c r="I18" s="47" t="n"/>
      <c r="J18" s="47" t="n"/>
      <c r="K18" s="47" t="n"/>
      <c r="L18" s="47" t="n"/>
      <c r="M18" s="47" t="n"/>
      <c r="N18" s="47" t="n"/>
      <c r="O18" s="47" t="n"/>
      <c r="P18" s="47" t="n"/>
      <c r="Q18" s="47" t="n"/>
      <c r="R18" s="47" t="n"/>
      <c r="S18" s="47" t="n"/>
    </row>
    <row r="19">
      <c r="B19" s="10"/>
      <c r="C19" s="17"/>
      <c r="D19" s="10"/>
      <c r="E19" s="17"/>
      <c r="F19" s="18" t="s">
        <v>804</v>
      </c>
      <c r="G19" s="46" t="n"/>
      <c r="H19" s="46" t="n"/>
      <c r="I19" s="46" t="n"/>
      <c r="J19" s="46" t="n"/>
      <c r="K19" s="46" t="n"/>
      <c r="L19" s="46" t="n"/>
      <c r="M19" s="46" t="n"/>
      <c r="N19" s="46" t="n"/>
      <c r="O19" s="46" t="n"/>
      <c r="P19" s="46" t="n"/>
      <c r="Q19" s="46" t="n"/>
      <c r="R19" s="46" t="n"/>
      <c r="S19" s="46" t="n"/>
    </row>
    <row r="20">
      <c r="B20" s="10"/>
      <c r="C20" s="17"/>
      <c r="D20" s="10"/>
      <c r="E20" s="14"/>
      <c r="F20" s="52" t="s">
        <v>955</v>
      </c>
      <c r="G20" s="47" t="n">
        <f>SUM(G17:G19)</f>
      </c>
      <c r="H20" s="47" t="n">
        <f>SUM(H17:H19)</f>
      </c>
      <c r="I20" s="47" t="n">
        <f>SUM(I17:I19)</f>
      </c>
      <c r="J20" s="47" t="n">
        <f>SUM(J17:J19)</f>
      </c>
      <c r="K20" s="47" t="n">
        <f>SUM(K17:K19)</f>
      </c>
      <c r="L20" s="47" t="n">
        <f>SUM(L17:L19)</f>
      </c>
      <c r="M20" s="47" t="n">
        <f>SUM(M17:M19)</f>
      </c>
      <c r="N20" s="47" t="n">
        <f>SUM(N17:N19)</f>
      </c>
      <c r="O20" s="47" t="n">
        <f>SUM(O17:O19)</f>
      </c>
      <c r="P20" s="47" t="n">
        <f>SUM(P17:P19)</f>
      </c>
      <c r="Q20" s="47" t="n">
        <f>SUM(Q17:Q19)</f>
      </c>
      <c r="R20" s="47" t="n">
        <f>SUM(R17:R19)</f>
      </c>
      <c r="S20" s="47" t="n">
        <f>SUM(S17:S19)</f>
      </c>
    </row>
    <row r="21">
      <c r="B21" s="10"/>
      <c r="C21" s="17"/>
      <c r="D21" s="10"/>
      <c r="E21" s="7" t="s">
        <v>956</v>
      </c>
      <c r="F21" s="9"/>
      <c r="G21" s="22"/>
      <c r="H21" s="22"/>
      <c r="I21" s="22"/>
      <c r="J21" s="22"/>
      <c r="K21" s="22"/>
      <c r="L21" s="22"/>
      <c r="M21" s="22"/>
      <c r="N21" s="22"/>
      <c r="O21" s="22"/>
      <c r="P21" s="22"/>
      <c r="Q21" s="22"/>
      <c r="R21" s="22"/>
      <c r="S21" s="22"/>
    </row>
    <row r="22">
      <c r="B22" s="10"/>
      <c r="C22" s="17"/>
      <c r="D22" s="10"/>
      <c r="E22" s="10"/>
      <c r="F22" s="19" t="s">
        <v>957</v>
      </c>
      <c r="G22" s="47" t="n"/>
      <c r="H22" s="47" t="n"/>
      <c r="I22" s="47" t="n"/>
      <c r="J22" s="47" t="n"/>
      <c r="K22" s="47" t="n"/>
      <c r="L22" s="47" t="n"/>
      <c r="M22" s="47" t="n"/>
      <c r="N22" s="47" t="n"/>
      <c r="O22" s="47" t="n"/>
      <c r="P22" s="47" t="n"/>
      <c r="Q22" s="47" t="n"/>
      <c r="R22" s="47" t="n"/>
      <c r="S22" s="47" t="n"/>
    </row>
    <row r="23">
      <c r="B23" s="10"/>
      <c r="C23" s="17"/>
      <c r="D23" s="10"/>
      <c r="E23" s="10"/>
      <c r="F23" s="18" t="s">
        <v>958</v>
      </c>
      <c r="G23" s="46" t="n"/>
      <c r="H23" s="46" t="n"/>
      <c r="I23" s="46" t="n"/>
      <c r="J23" s="46" t="n"/>
      <c r="K23" s="46" t="n"/>
      <c r="L23" s="46" t="n"/>
      <c r="M23" s="46" t="n"/>
      <c r="N23" s="46" t="n"/>
      <c r="O23" s="46" t="n"/>
      <c r="P23" s="46" t="n"/>
      <c r="Q23" s="46" t="n"/>
      <c r="R23" s="46" t="n"/>
      <c r="S23" s="46" t="n"/>
    </row>
    <row r="24">
      <c r="B24" s="10"/>
      <c r="C24" s="17"/>
      <c r="D24" s="10"/>
      <c r="E24" s="10"/>
      <c r="F24" s="19" t="s">
        <v>954</v>
      </c>
      <c r="G24" s="47" t="n"/>
      <c r="H24" s="47" t="n"/>
      <c r="I24" s="47" t="n"/>
      <c r="J24" s="47" t="n"/>
      <c r="K24" s="47" t="n"/>
      <c r="L24" s="47" t="n"/>
      <c r="M24" s="47" t="n"/>
      <c r="N24" s="47" t="n"/>
      <c r="O24" s="47" t="n"/>
      <c r="P24" s="47" t="n"/>
      <c r="Q24" s="47" t="n"/>
      <c r="R24" s="47" t="n"/>
      <c r="S24" s="47" t="n"/>
    </row>
    <row r="25">
      <c r="B25" s="10"/>
      <c r="C25" s="17"/>
      <c r="D25" s="10"/>
      <c r="E25" s="10"/>
      <c r="F25" s="18" t="s">
        <v>804</v>
      </c>
      <c r="G25" s="46" t="n"/>
      <c r="H25" s="46" t="n"/>
      <c r="I25" s="46" t="n"/>
      <c r="J25" s="46" t="n"/>
      <c r="K25" s="46" t="n"/>
      <c r="L25" s="46" t="n"/>
      <c r="M25" s="46" t="n"/>
      <c r="N25" s="46" t="n"/>
      <c r="O25" s="46" t="n"/>
      <c r="P25" s="46" t="n"/>
      <c r="Q25" s="46" t="n"/>
      <c r="R25" s="46" t="n"/>
      <c r="S25" s="46" t="n"/>
    </row>
    <row r="26">
      <c r="B26" s="10"/>
      <c r="C26" s="17"/>
      <c r="D26" s="10"/>
      <c r="E26" s="11"/>
      <c r="F26" s="52" t="s">
        <v>959</v>
      </c>
      <c r="G26" s="47" t="n">
        <f>SUM(G22:G25)</f>
      </c>
      <c r="H26" s="47" t="n">
        <f>SUM(H22:H25)</f>
      </c>
      <c r="I26" s="47" t="n">
        <f>SUM(I22:I25)</f>
      </c>
      <c r="J26" s="47" t="n">
        <f>SUM(J22:J25)</f>
      </c>
      <c r="K26" s="47" t="n">
        <f>SUM(K22:K25)</f>
      </c>
      <c r="L26" s="47" t="n">
        <f>SUM(L22:L25)</f>
      </c>
      <c r="M26" s="47" t="n">
        <f>SUM(M22:M25)</f>
      </c>
      <c r="N26" s="47" t="n">
        <f>SUM(N22:N25)</f>
      </c>
      <c r="O26" s="47" t="n">
        <f>SUM(O22:O25)</f>
      </c>
      <c r="P26" s="47" t="n">
        <f>SUM(P22:P25)</f>
      </c>
      <c r="Q26" s="47" t="n">
        <f>SUM(Q22:Q25)</f>
      </c>
      <c r="R26" s="47" t="n">
        <f>SUM(R22:R25)</f>
      </c>
      <c r="S26" s="47" t="n">
        <f>SUM(S22:S25)</f>
      </c>
    </row>
    <row r="27">
      <c r="B27" s="10"/>
      <c r="C27" s="17"/>
      <c r="D27" s="10"/>
      <c r="E27" s="7" t="s">
        <v>960</v>
      </c>
      <c r="F27" s="9"/>
      <c r="G27" s="22"/>
      <c r="H27" s="22"/>
      <c r="I27" s="22"/>
      <c r="J27" s="22"/>
      <c r="K27" s="22"/>
      <c r="L27" s="22"/>
      <c r="M27" s="22"/>
      <c r="N27" s="22"/>
      <c r="O27" s="22"/>
      <c r="P27" s="22"/>
      <c r="Q27" s="22"/>
      <c r="R27" s="22"/>
      <c r="S27" s="22"/>
    </row>
    <row r="28">
      <c r="B28" s="10"/>
      <c r="C28" s="17"/>
      <c r="D28" s="10"/>
      <c r="E28" s="10"/>
      <c r="F28" s="19" t="s">
        <v>961</v>
      </c>
      <c r="G28" s="47" t="n"/>
      <c r="H28" s="47" t="n"/>
      <c r="I28" s="47" t="n"/>
      <c r="J28" s="47" t="n"/>
      <c r="K28" s="47" t="n"/>
      <c r="L28" s="47" t="n"/>
      <c r="M28" s="47" t="n"/>
      <c r="N28" s="47" t="n"/>
      <c r="O28" s="47" t="n"/>
      <c r="P28" s="47" t="n"/>
      <c r="Q28" s="47" t="n"/>
      <c r="R28" s="47" t="n"/>
      <c r="S28" s="47" t="n"/>
    </row>
    <row r="29">
      <c r="B29" s="10"/>
      <c r="C29" s="17"/>
      <c r="D29" s="10"/>
      <c r="E29" s="10"/>
      <c r="F29" s="18" t="s">
        <v>962</v>
      </c>
      <c r="G29" s="46" t="n"/>
      <c r="H29" s="46" t="n"/>
      <c r="I29" s="46" t="n"/>
      <c r="J29" s="46" t="n"/>
      <c r="K29" s="46" t="n"/>
      <c r="L29" s="46" t="n"/>
      <c r="M29" s="46" t="n"/>
      <c r="N29" s="46" t="n"/>
      <c r="O29" s="46" t="n"/>
      <c r="P29" s="46" t="n"/>
      <c r="Q29" s="46" t="n"/>
      <c r="R29" s="46" t="n"/>
      <c r="S29" s="46" t="n"/>
    </row>
    <row r="30">
      <c r="B30" s="10"/>
      <c r="C30" s="17"/>
      <c r="D30" s="10"/>
      <c r="E30" s="10"/>
      <c r="F30" s="19" t="s">
        <v>963</v>
      </c>
      <c r="G30" s="47" t="n"/>
      <c r="H30" s="47" t="n"/>
      <c r="I30" s="47" t="n"/>
      <c r="J30" s="47" t="n"/>
      <c r="K30" s="47" t="n"/>
      <c r="L30" s="47" t="n"/>
      <c r="M30" s="47" t="n"/>
      <c r="N30" s="47" t="n"/>
      <c r="O30" s="47" t="n"/>
      <c r="P30" s="47" t="n"/>
      <c r="Q30" s="47" t="n"/>
      <c r="R30" s="47" t="n"/>
      <c r="S30" s="47" t="n"/>
    </row>
    <row r="31">
      <c r="B31" s="10"/>
      <c r="C31" s="17"/>
      <c r="D31" s="10"/>
      <c r="E31" s="10"/>
      <c r="F31" s="18" t="s">
        <v>964</v>
      </c>
      <c r="G31" s="46" t="n"/>
      <c r="H31" s="46" t="n"/>
      <c r="I31" s="46" t="n"/>
      <c r="J31" s="46" t="n"/>
      <c r="K31" s="46" t="n"/>
      <c r="L31" s="46" t="n"/>
      <c r="M31" s="46" t="n"/>
      <c r="N31" s="46" t="n"/>
      <c r="O31" s="46" t="n"/>
      <c r="P31" s="46" t="n"/>
      <c r="Q31" s="46" t="n"/>
      <c r="R31" s="46" t="n"/>
      <c r="S31" s="46" t="n"/>
    </row>
    <row r="32">
      <c r="B32" s="10"/>
      <c r="C32" s="17"/>
      <c r="D32" s="10"/>
      <c r="E32" s="10"/>
      <c r="F32" s="19" t="s">
        <v>965</v>
      </c>
      <c r="G32" s="47" t="n"/>
      <c r="H32" s="47" t="n"/>
      <c r="I32" s="47" t="n"/>
      <c r="J32" s="47" t="n"/>
      <c r="K32" s="47" t="n"/>
      <c r="L32" s="47" t="n"/>
      <c r="M32" s="47" t="n"/>
      <c r="N32" s="47" t="n"/>
      <c r="O32" s="47" t="n"/>
      <c r="P32" s="47" t="n"/>
      <c r="Q32" s="47" t="n"/>
      <c r="R32" s="47" t="n"/>
      <c r="S32" s="47" t="n"/>
    </row>
    <row r="33">
      <c r="B33" s="10"/>
      <c r="C33" s="17"/>
      <c r="D33" s="10"/>
      <c r="E33" s="10"/>
      <c r="F33" s="18" t="s">
        <v>804</v>
      </c>
      <c r="G33" s="46" t="n"/>
      <c r="H33" s="46" t="n"/>
      <c r="I33" s="46" t="n"/>
      <c r="J33" s="46" t="n"/>
      <c r="K33" s="46" t="n"/>
      <c r="L33" s="46" t="n"/>
      <c r="M33" s="46" t="n"/>
      <c r="N33" s="46" t="n"/>
      <c r="O33" s="46" t="n"/>
      <c r="P33" s="46" t="n"/>
      <c r="Q33" s="46" t="n"/>
      <c r="R33" s="46" t="n"/>
      <c r="S33" s="46" t="n"/>
    </row>
    <row r="34">
      <c r="B34" s="10"/>
      <c r="C34" s="17"/>
      <c r="D34" s="10"/>
      <c r="E34" s="11"/>
      <c r="F34" s="52" t="s">
        <v>966</v>
      </c>
      <c r="G34" s="47" t="n">
        <f>SUM(G28:G33)</f>
      </c>
      <c r="H34" s="47" t="n">
        <f>SUM(H28:H33)</f>
      </c>
      <c r="I34" s="47" t="n">
        <f>SUM(I28:I33)</f>
      </c>
      <c r="J34" s="47" t="n">
        <f>SUM(J28:J33)</f>
      </c>
      <c r="K34" s="47" t="n">
        <f>SUM(K28:K33)</f>
      </c>
      <c r="L34" s="47" t="n">
        <f>SUM(L28:L33)</f>
      </c>
      <c r="M34" s="47" t="n">
        <f>SUM(M28:M33)</f>
      </c>
      <c r="N34" s="47" t="n">
        <f>SUM(N28:N33)</f>
      </c>
      <c r="O34" s="47" t="n">
        <f>SUM(O28:O33)</f>
      </c>
      <c r="P34" s="47" t="n">
        <f>SUM(P28:P33)</f>
      </c>
      <c r="Q34" s="47" t="n">
        <f>SUM(Q28:Q33)</f>
      </c>
      <c r="R34" s="47" t="n">
        <f>SUM(R28:R33)</f>
      </c>
      <c r="S34" s="47" t="n">
        <f>SUM(S28:S33)</f>
      </c>
    </row>
    <row r="35">
      <c r="B35" s="10"/>
      <c r="C35" s="17"/>
      <c r="D35" s="10"/>
      <c r="E35" s="7" t="s">
        <v>967</v>
      </c>
      <c r="F35" s="9"/>
      <c r="G35" s="22"/>
      <c r="H35" s="22"/>
      <c r="I35" s="22"/>
      <c r="J35" s="22"/>
      <c r="K35" s="22"/>
      <c r="L35" s="22"/>
      <c r="M35" s="22"/>
      <c r="N35" s="22"/>
      <c r="O35" s="22"/>
      <c r="P35" s="22"/>
      <c r="Q35" s="22"/>
      <c r="R35" s="22"/>
      <c r="S35" s="22"/>
    </row>
    <row r="36">
      <c r="B36" s="10"/>
      <c r="C36" s="17"/>
      <c r="D36" s="10"/>
      <c r="E36" s="10"/>
      <c r="F36" s="19" t="s">
        <v>964</v>
      </c>
      <c r="G36" s="47" t="n"/>
      <c r="H36" s="47" t="n"/>
      <c r="I36" s="47" t="n"/>
      <c r="J36" s="47" t="n"/>
      <c r="K36" s="47" t="n"/>
      <c r="L36" s="47" t="n"/>
      <c r="M36" s="47" t="n"/>
      <c r="N36" s="47" t="n"/>
      <c r="O36" s="47" t="n"/>
      <c r="P36" s="47" t="n"/>
      <c r="Q36" s="47" t="n"/>
      <c r="R36" s="47" t="n"/>
      <c r="S36" s="47" t="n"/>
    </row>
    <row r="37">
      <c r="B37" s="10"/>
      <c r="C37" s="17"/>
      <c r="D37" s="10"/>
      <c r="E37" s="10"/>
      <c r="F37" s="18" t="s">
        <v>965</v>
      </c>
      <c r="G37" s="46" t="n"/>
      <c r="H37" s="46" t="n"/>
      <c r="I37" s="46" t="n"/>
      <c r="J37" s="46" t="n"/>
      <c r="K37" s="46" t="n"/>
      <c r="L37" s="46" t="n"/>
      <c r="M37" s="46" t="n"/>
      <c r="N37" s="46" t="n"/>
      <c r="O37" s="46" t="n"/>
      <c r="P37" s="46" t="n"/>
      <c r="Q37" s="46" t="n"/>
      <c r="R37" s="46" t="n"/>
      <c r="S37" s="46" t="n"/>
    </row>
    <row r="38">
      <c r="B38" s="10"/>
      <c r="C38" s="17"/>
      <c r="D38" s="10"/>
      <c r="E38" s="10"/>
      <c r="F38" s="19" t="s">
        <v>968</v>
      </c>
      <c r="G38" s="47" t="n"/>
      <c r="H38" s="47" t="n"/>
      <c r="I38" s="47" t="n"/>
      <c r="J38" s="47" t="n"/>
      <c r="K38" s="47" t="n"/>
      <c r="L38" s="47" t="n"/>
      <c r="M38" s="47" t="n"/>
      <c r="N38" s="47" t="n"/>
      <c r="O38" s="47" t="n"/>
      <c r="P38" s="47" t="n"/>
      <c r="Q38" s="47" t="n"/>
      <c r="R38" s="47" t="n"/>
      <c r="S38" s="47" t="n"/>
    </row>
    <row r="39">
      <c r="B39" s="10"/>
      <c r="C39" s="17"/>
      <c r="D39" s="10"/>
      <c r="E39" s="10"/>
      <c r="F39" s="18" t="s">
        <v>804</v>
      </c>
      <c r="G39" s="46" t="n"/>
      <c r="H39" s="46" t="n"/>
      <c r="I39" s="46" t="n"/>
      <c r="J39" s="46" t="n"/>
      <c r="K39" s="46" t="n"/>
      <c r="L39" s="46" t="n"/>
      <c r="M39" s="46" t="n"/>
      <c r="N39" s="46" t="n"/>
      <c r="O39" s="46" t="n"/>
      <c r="P39" s="46" t="n"/>
      <c r="Q39" s="46" t="n"/>
      <c r="R39" s="46" t="n"/>
      <c r="S39" s="46" t="n"/>
    </row>
    <row r="40">
      <c r="B40" s="10"/>
      <c r="C40" s="17"/>
      <c r="D40" s="10"/>
      <c r="E40" s="11"/>
      <c r="F40" s="52" t="s">
        <v>969</v>
      </c>
      <c r="G40" s="47" t="n">
        <f>SUM(G36:G39)</f>
      </c>
      <c r="H40" s="47" t="n">
        <f>SUM(H36:H39)</f>
      </c>
      <c r="I40" s="47" t="n">
        <f>SUM(I36:I39)</f>
      </c>
      <c r="J40" s="47" t="n">
        <f>SUM(J36:J39)</f>
      </c>
      <c r="K40" s="47" t="n">
        <f>SUM(K36:K39)</f>
      </c>
      <c r="L40" s="47" t="n">
        <f>SUM(L36:L39)</f>
      </c>
      <c r="M40" s="47" t="n">
        <f>SUM(M36:M39)</f>
      </c>
      <c r="N40" s="47" t="n">
        <f>SUM(N36:N39)</f>
      </c>
      <c r="O40" s="47" t="n">
        <f>SUM(O36:O39)</f>
      </c>
      <c r="P40" s="47" t="n">
        <f>SUM(P36:P39)</f>
      </c>
      <c r="Q40" s="47" t="n">
        <f>SUM(Q36:Q39)</f>
      </c>
      <c r="R40" s="47" t="n">
        <f>SUM(R36:R39)</f>
      </c>
      <c r="S40" s="47" t="n">
        <f>SUM(S36:S39)</f>
      </c>
    </row>
    <row r="41">
      <c r="B41" s="10"/>
      <c r="C41" s="14"/>
      <c r="D41" s="11"/>
      <c r="E41" s="45" t="s">
        <v>970</v>
      </c>
      <c r="F41" s="44"/>
      <c r="G41" s="46" t="n">
        <f>G20+G34+G26+G40</f>
      </c>
      <c r="H41" s="46" t="n">
        <f>H20+H34+H26+H40</f>
      </c>
      <c r="I41" s="46" t="n">
        <f>I20+I34+I26+I40</f>
      </c>
      <c r="J41" s="46" t="n">
        <f>J20+J34+J26+J40</f>
      </c>
      <c r="K41" s="46" t="n">
        <f>K20+K34+K26+K40</f>
      </c>
      <c r="L41" s="46" t="n">
        <f>L20+L34+L26+L40</f>
      </c>
      <c r="M41" s="46" t="n">
        <f>M20+M34+M26+M40</f>
      </c>
      <c r="N41" s="46" t="n">
        <f>N20+N34+N26+N40</f>
      </c>
      <c r="O41" s="46" t="n">
        <f>O20+O34+O26+O40</f>
      </c>
      <c r="P41" s="46" t="n">
        <f>P20+P34+P26+P40</f>
      </c>
      <c r="Q41" s="46" t="n">
        <f>Q20+Q34+Q26+Q40</f>
      </c>
      <c r="R41" s="46" t="n">
        <f>R20+R34+R26+R40</f>
      </c>
      <c r="S41" s="46" t="n">
        <f>S20+S34+S26+S40</f>
      </c>
    </row>
    <row r="42">
      <c r="B42" s="10"/>
      <c r="C42" s="16" t="s">
        <v>971</v>
      </c>
      <c r="D42" s="37"/>
      <c r="E42" s="37"/>
      <c r="F42" s="13"/>
      <c r="G42" s="23"/>
      <c r="H42" s="23"/>
      <c r="I42" s="23"/>
      <c r="J42" s="23"/>
      <c r="K42" s="23"/>
      <c r="L42" s="23"/>
      <c r="M42" s="23"/>
      <c r="N42" s="23"/>
      <c r="O42" s="23"/>
      <c r="P42" s="23"/>
      <c r="Q42" s="23"/>
      <c r="R42" s="23"/>
      <c r="S42" s="23"/>
    </row>
    <row r="43">
      <c r="B43" s="10"/>
      <c r="C43" s="17"/>
      <c r="D43" s="7" t="s">
        <v>944</v>
      </c>
      <c r="E43" s="8"/>
      <c r="F43" s="9"/>
      <c r="G43" s="22"/>
      <c r="H43" s="22"/>
      <c r="I43" s="22"/>
      <c r="J43" s="22"/>
      <c r="K43" s="22"/>
      <c r="L43" s="22"/>
      <c r="M43" s="22"/>
      <c r="N43" s="22"/>
      <c r="O43" s="22"/>
      <c r="P43" s="22"/>
      <c r="Q43" s="22"/>
      <c r="R43" s="22"/>
      <c r="S43" s="22"/>
    </row>
    <row r="44">
      <c r="B44" s="10"/>
      <c r="C44" s="17"/>
      <c r="D44" s="10"/>
      <c r="E44" s="16" t="s">
        <v>953</v>
      </c>
      <c r="F44" s="13"/>
      <c r="G44" s="23"/>
      <c r="H44" s="23"/>
      <c r="I44" s="23"/>
      <c r="J44" s="23"/>
      <c r="K44" s="23"/>
      <c r="L44" s="23"/>
      <c r="M44" s="23"/>
      <c r="N44" s="23"/>
      <c r="O44" s="23"/>
      <c r="P44" s="23"/>
      <c r="Q44" s="23"/>
      <c r="R44" s="23"/>
      <c r="S44" s="23"/>
    </row>
    <row r="45">
      <c r="B45" s="10"/>
      <c r="C45" s="17"/>
      <c r="D45" s="10"/>
      <c r="E45" s="17"/>
      <c r="F45" s="18" t="s">
        <v>920</v>
      </c>
      <c r="G45" s="46" t="n"/>
      <c r="H45" s="46" t="n"/>
      <c r="I45" s="46" t="n"/>
      <c r="J45" s="46" t="n"/>
      <c r="K45" s="46" t="n"/>
      <c r="L45" s="46" t="n"/>
      <c r="M45" s="46" t="n"/>
      <c r="N45" s="46" t="n"/>
      <c r="O45" s="46" t="n"/>
      <c r="P45" s="46" t="n"/>
      <c r="Q45" s="46" t="n"/>
      <c r="R45" s="46" t="n"/>
      <c r="S45" s="46" t="n"/>
    </row>
    <row r="46">
      <c r="B46" s="10"/>
      <c r="C46" s="17"/>
      <c r="D46" s="10"/>
      <c r="E46" s="17"/>
      <c r="F46" s="19" t="s">
        <v>954</v>
      </c>
      <c r="G46" s="47" t="n"/>
      <c r="H46" s="47" t="n"/>
      <c r="I46" s="47" t="n"/>
      <c r="J46" s="47" t="n"/>
      <c r="K46" s="47" t="n"/>
      <c r="L46" s="47" t="n"/>
      <c r="M46" s="47" t="n"/>
      <c r="N46" s="47" t="n"/>
      <c r="O46" s="47" t="n"/>
      <c r="P46" s="47" t="n"/>
      <c r="Q46" s="47" t="n"/>
      <c r="R46" s="47" t="n"/>
      <c r="S46" s="47" t="n"/>
    </row>
    <row r="47">
      <c r="B47" s="10"/>
      <c r="C47" s="17"/>
      <c r="D47" s="10"/>
      <c r="E47" s="17"/>
      <c r="F47" s="18" t="s">
        <v>804</v>
      </c>
      <c r="G47" s="46" t="n"/>
      <c r="H47" s="46" t="n"/>
      <c r="I47" s="46" t="n"/>
      <c r="J47" s="46" t="n"/>
      <c r="K47" s="46" t="n"/>
      <c r="L47" s="46" t="n"/>
      <c r="M47" s="46" t="n"/>
      <c r="N47" s="46" t="n"/>
      <c r="O47" s="46" t="n"/>
      <c r="P47" s="46" t="n"/>
      <c r="Q47" s="46" t="n"/>
      <c r="R47" s="46" t="n"/>
      <c r="S47" s="46" t="n"/>
    </row>
    <row r="48">
      <c r="B48" s="10"/>
      <c r="C48" s="17"/>
      <c r="D48" s="10"/>
      <c r="E48" s="14"/>
      <c r="F48" s="52" t="s">
        <v>955</v>
      </c>
      <c r="G48" s="47" t="n">
        <f>SUM(G45:G47)</f>
      </c>
      <c r="H48" s="47" t="n">
        <f>SUM(H45:H47)</f>
      </c>
      <c r="I48" s="47" t="n">
        <f>SUM(I45:I47)</f>
      </c>
      <c r="J48" s="47" t="n">
        <f>SUM(J45:J47)</f>
      </c>
      <c r="K48" s="47" t="n">
        <f>SUM(K45:K47)</f>
      </c>
      <c r="L48" s="47" t="n">
        <f>SUM(L45:L47)</f>
      </c>
      <c r="M48" s="47" t="n">
        <f>SUM(M45:M47)</f>
      </c>
      <c r="N48" s="47" t="n">
        <f>SUM(N45:N47)</f>
      </c>
      <c r="O48" s="47" t="n">
        <f>SUM(O45:O47)</f>
      </c>
      <c r="P48" s="47" t="n">
        <f>SUM(P45:P47)</f>
      </c>
      <c r="Q48" s="47" t="n">
        <f>SUM(Q45:Q47)</f>
      </c>
      <c r="R48" s="47" t="n">
        <f>SUM(R45:R47)</f>
      </c>
      <c r="S48" s="47" t="n">
        <f>SUM(S45:S47)</f>
      </c>
    </row>
    <row r="49">
      <c r="B49" s="10"/>
      <c r="C49" s="17"/>
      <c r="D49" s="10"/>
      <c r="E49" s="7" t="s">
        <v>956</v>
      </c>
      <c r="F49" s="9"/>
      <c r="G49" s="22"/>
      <c r="H49" s="22"/>
      <c r="I49" s="22"/>
      <c r="J49" s="22"/>
      <c r="K49" s="22"/>
      <c r="L49" s="22"/>
      <c r="M49" s="22"/>
      <c r="N49" s="22"/>
      <c r="O49" s="22"/>
      <c r="P49" s="22"/>
      <c r="Q49" s="22"/>
      <c r="R49" s="22"/>
      <c r="S49" s="22"/>
    </row>
    <row r="50">
      <c r="B50" s="10"/>
      <c r="C50" s="17"/>
      <c r="D50" s="10"/>
      <c r="E50" s="10"/>
      <c r="F50" s="19" t="s">
        <v>957</v>
      </c>
      <c r="G50" s="47" t="n"/>
      <c r="H50" s="47" t="n"/>
      <c r="I50" s="47" t="n"/>
      <c r="J50" s="47" t="n"/>
      <c r="K50" s="47" t="n"/>
      <c r="L50" s="47" t="n"/>
      <c r="M50" s="47" t="n"/>
      <c r="N50" s="47" t="n"/>
      <c r="O50" s="47" t="n"/>
      <c r="P50" s="47" t="n"/>
      <c r="Q50" s="47" t="n"/>
      <c r="R50" s="47" t="n"/>
      <c r="S50" s="47" t="n"/>
    </row>
    <row r="51">
      <c r="B51" s="10"/>
      <c r="C51" s="17"/>
      <c r="D51" s="10"/>
      <c r="E51" s="10"/>
      <c r="F51" s="18" t="s">
        <v>972</v>
      </c>
      <c r="G51" s="46" t="n"/>
      <c r="H51" s="46" t="n"/>
      <c r="I51" s="46" t="n"/>
      <c r="J51" s="46" t="n"/>
      <c r="K51" s="46" t="n"/>
      <c r="L51" s="46" t="n"/>
      <c r="M51" s="46" t="n"/>
      <c r="N51" s="46" t="n"/>
      <c r="O51" s="46" t="n"/>
      <c r="P51" s="46" t="n"/>
      <c r="Q51" s="46" t="n"/>
      <c r="R51" s="46" t="n"/>
      <c r="S51" s="46" t="n"/>
    </row>
    <row r="52">
      <c r="B52" s="10"/>
      <c r="C52" s="17"/>
      <c r="D52" s="10"/>
      <c r="E52" s="10"/>
      <c r="F52" s="19" t="s">
        <v>954</v>
      </c>
      <c r="G52" s="47" t="n"/>
      <c r="H52" s="47" t="n"/>
      <c r="I52" s="47" t="n"/>
      <c r="J52" s="47" t="n"/>
      <c r="K52" s="47" t="n"/>
      <c r="L52" s="47" t="n"/>
      <c r="M52" s="47" t="n"/>
      <c r="N52" s="47" t="n"/>
      <c r="O52" s="47" t="n"/>
      <c r="P52" s="47" t="n"/>
      <c r="Q52" s="47" t="n"/>
      <c r="R52" s="47" t="n"/>
      <c r="S52" s="47" t="n"/>
    </row>
    <row r="53">
      <c r="B53" s="10"/>
      <c r="C53" s="17"/>
      <c r="D53" s="10"/>
      <c r="E53" s="10"/>
      <c r="F53" s="18" t="s">
        <v>804</v>
      </c>
      <c r="G53" s="46" t="n"/>
      <c r="H53" s="46" t="n"/>
      <c r="I53" s="46" t="n"/>
      <c r="J53" s="46" t="n"/>
      <c r="K53" s="46" t="n"/>
      <c r="L53" s="46" t="n"/>
      <c r="M53" s="46" t="n"/>
      <c r="N53" s="46" t="n"/>
      <c r="O53" s="46" t="n"/>
      <c r="P53" s="46" t="n"/>
      <c r="Q53" s="46" t="n"/>
      <c r="R53" s="46" t="n"/>
      <c r="S53" s="46" t="n"/>
    </row>
    <row r="54">
      <c r="B54" s="10"/>
      <c r="C54" s="17"/>
      <c r="D54" s="10"/>
      <c r="E54" s="11"/>
      <c r="F54" s="52" t="s">
        <v>959</v>
      </c>
      <c r="G54" s="47" t="n">
        <f>SUM(G50:G53)</f>
      </c>
      <c r="H54" s="47" t="n">
        <f>SUM(H50:H53)</f>
      </c>
      <c r="I54" s="47" t="n">
        <f>SUM(I50:I53)</f>
      </c>
      <c r="J54" s="47" t="n">
        <f>SUM(J50:J53)</f>
      </c>
      <c r="K54" s="47" t="n">
        <f>SUM(K50:K53)</f>
      </c>
      <c r="L54" s="47" t="n">
        <f>SUM(L50:L53)</f>
      </c>
      <c r="M54" s="47" t="n">
        <f>SUM(M50:M53)</f>
      </c>
      <c r="N54" s="47" t="n">
        <f>SUM(N50:N53)</f>
      </c>
      <c r="O54" s="47" t="n">
        <f>SUM(O50:O53)</f>
      </c>
      <c r="P54" s="47" t="n">
        <f>SUM(P50:P53)</f>
      </c>
      <c r="Q54" s="47" t="n">
        <f>SUM(Q50:Q53)</f>
      </c>
      <c r="R54" s="47" t="n">
        <f>SUM(R50:R53)</f>
      </c>
      <c r="S54" s="47" t="n">
        <f>SUM(S50:S53)</f>
      </c>
    </row>
    <row r="55">
      <c r="B55" s="10"/>
      <c r="C55" s="17"/>
      <c r="D55" s="10"/>
      <c r="E55" s="7" t="s">
        <v>960</v>
      </c>
      <c r="F55" s="9"/>
      <c r="G55" s="22"/>
      <c r="H55" s="22"/>
      <c r="I55" s="22"/>
      <c r="J55" s="22"/>
      <c r="K55" s="22"/>
      <c r="L55" s="22"/>
      <c r="M55" s="22"/>
      <c r="N55" s="22"/>
      <c r="O55" s="22"/>
      <c r="P55" s="22"/>
      <c r="Q55" s="22"/>
      <c r="R55" s="22"/>
      <c r="S55" s="22"/>
    </row>
    <row r="56">
      <c r="B56" s="10"/>
      <c r="C56" s="17"/>
      <c r="D56" s="10"/>
      <c r="E56" s="10"/>
      <c r="F56" s="19" t="s">
        <v>961</v>
      </c>
      <c r="G56" s="47" t="n"/>
      <c r="H56" s="47" t="n"/>
      <c r="I56" s="47" t="n"/>
      <c r="J56" s="47" t="n"/>
      <c r="K56" s="47" t="n"/>
      <c r="L56" s="47" t="n"/>
      <c r="M56" s="47" t="n"/>
      <c r="N56" s="47" t="n"/>
      <c r="O56" s="47" t="n"/>
      <c r="P56" s="47" t="n"/>
      <c r="Q56" s="47" t="n"/>
      <c r="R56" s="47" t="n"/>
      <c r="S56" s="47" t="n"/>
    </row>
    <row r="57">
      <c r="B57" s="10"/>
      <c r="C57" s="17"/>
      <c r="D57" s="10"/>
      <c r="E57" s="10"/>
      <c r="F57" s="18" t="s">
        <v>962</v>
      </c>
      <c r="G57" s="46" t="n"/>
      <c r="H57" s="46" t="n"/>
      <c r="I57" s="46" t="n"/>
      <c r="J57" s="46" t="n"/>
      <c r="K57" s="46" t="n"/>
      <c r="L57" s="46" t="n"/>
      <c r="M57" s="46" t="n"/>
      <c r="N57" s="46" t="n"/>
      <c r="O57" s="46" t="n"/>
      <c r="P57" s="46" t="n"/>
      <c r="Q57" s="46" t="n"/>
      <c r="R57" s="46" t="n"/>
      <c r="S57" s="46" t="n"/>
    </row>
    <row r="58">
      <c r="B58" s="10"/>
      <c r="C58" s="17"/>
      <c r="D58" s="10"/>
      <c r="E58" s="10"/>
      <c r="F58" s="19" t="s">
        <v>963</v>
      </c>
      <c r="G58" s="47" t="n"/>
      <c r="H58" s="47" t="n"/>
      <c r="I58" s="47" t="n"/>
      <c r="J58" s="47" t="n"/>
      <c r="K58" s="47" t="n"/>
      <c r="L58" s="47" t="n"/>
      <c r="M58" s="47" t="n"/>
      <c r="N58" s="47" t="n"/>
      <c r="O58" s="47" t="n"/>
      <c r="P58" s="47" t="n"/>
      <c r="Q58" s="47" t="n"/>
      <c r="R58" s="47" t="n"/>
      <c r="S58" s="47" t="n"/>
    </row>
    <row r="59">
      <c r="B59" s="10"/>
      <c r="C59" s="17"/>
      <c r="D59" s="10"/>
      <c r="E59" s="10"/>
      <c r="F59" s="18" t="s">
        <v>964</v>
      </c>
      <c r="G59" s="46" t="n"/>
      <c r="H59" s="46" t="n"/>
      <c r="I59" s="46" t="n"/>
      <c r="J59" s="46" t="n"/>
      <c r="K59" s="46" t="n"/>
      <c r="L59" s="46" t="n"/>
      <c r="M59" s="46" t="n"/>
      <c r="N59" s="46" t="n"/>
      <c r="O59" s="46" t="n"/>
      <c r="P59" s="46" t="n"/>
      <c r="Q59" s="46" t="n"/>
      <c r="R59" s="46" t="n"/>
      <c r="S59" s="46" t="n"/>
    </row>
    <row r="60">
      <c r="B60" s="10"/>
      <c r="C60" s="17"/>
      <c r="D60" s="10"/>
      <c r="E60" s="10"/>
      <c r="F60" s="19" t="s">
        <v>965</v>
      </c>
      <c r="G60" s="47" t="n"/>
      <c r="H60" s="47" t="n"/>
      <c r="I60" s="47" t="n"/>
      <c r="J60" s="47" t="n"/>
      <c r="K60" s="47" t="n"/>
      <c r="L60" s="47" t="n"/>
      <c r="M60" s="47" t="n"/>
      <c r="N60" s="47" t="n"/>
      <c r="O60" s="47" t="n"/>
      <c r="P60" s="47" t="n"/>
      <c r="Q60" s="47" t="n"/>
      <c r="R60" s="47" t="n"/>
      <c r="S60" s="47" t="n"/>
    </row>
    <row r="61">
      <c r="B61" s="10"/>
      <c r="C61" s="17"/>
      <c r="D61" s="10"/>
      <c r="E61" s="10"/>
      <c r="F61" s="18" t="s">
        <v>804</v>
      </c>
      <c r="G61" s="46" t="n"/>
      <c r="H61" s="46" t="n"/>
      <c r="I61" s="46" t="n"/>
      <c r="J61" s="46" t="n"/>
      <c r="K61" s="46" t="n"/>
      <c r="L61" s="46" t="n"/>
      <c r="M61" s="46" t="n"/>
      <c r="N61" s="46" t="n"/>
      <c r="O61" s="46" t="n"/>
      <c r="P61" s="46" t="n"/>
      <c r="Q61" s="46" t="n"/>
      <c r="R61" s="46" t="n"/>
      <c r="S61" s="46" t="n"/>
    </row>
    <row r="62">
      <c r="B62" s="10"/>
      <c r="C62" s="17"/>
      <c r="D62" s="10"/>
      <c r="E62" s="11"/>
      <c r="F62" s="52" t="s">
        <v>966</v>
      </c>
      <c r="G62" s="47" t="n">
        <f>SUM(G56:G61)</f>
      </c>
      <c r="H62" s="47" t="n">
        <f>SUM(H56:H61)</f>
      </c>
      <c r="I62" s="47" t="n">
        <f>SUM(I56:I61)</f>
      </c>
      <c r="J62" s="47" t="n">
        <f>SUM(J56:J61)</f>
      </c>
      <c r="K62" s="47" t="n">
        <f>SUM(K56:K61)</f>
      </c>
      <c r="L62" s="47" t="n">
        <f>SUM(L56:L61)</f>
      </c>
      <c r="M62" s="47" t="n">
        <f>SUM(M56:M61)</f>
      </c>
      <c r="N62" s="47" t="n">
        <f>SUM(N56:N61)</f>
      </c>
      <c r="O62" s="47" t="n">
        <f>SUM(O56:O61)</f>
      </c>
      <c r="P62" s="47" t="n">
        <f>SUM(P56:P61)</f>
      </c>
      <c r="Q62" s="47" t="n">
        <f>SUM(Q56:Q61)</f>
      </c>
      <c r="R62" s="47" t="n">
        <f>SUM(R56:R61)</f>
      </c>
      <c r="S62" s="47" t="n">
        <f>SUM(S56:S61)</f>
      </c>
    </row>
    <row r="63">
      <c r="B63" s="10"/>
      <c r="C63" s="17"/>
      <c r="D63" s="10"/>
      <c r="E63" s="7" t="s">
        <v>973</v>
      </c>
      <c r="F63" s="9"/>
      <c r="G63" s="22"/>
      <c r="H63" s="22"/>
      <c r="I63" s="22"/>
      <c r="J63" s="22"/>
      <c r="K63" s="22"/>
      <c r="L63" s="22"/>
      <c r="M63" s="22"/>
      <c r="N63" s="22"/>
      <c r="O63" s="22"/>
      <c r="P63" s="22"/>
      <c r="Q63" s="22"/>
      <c r="R63" s="22"/>
      <c r="S63" s="22"/>
    </row>
    <row r="64">
      <c r="B64" s="10"/>
      <c r="C64" s="17"/>
      <c r="D64" s="10"/>
      <c r="E64" s="10"/>
      <c r="F64" s="19" t="s">
        <v>964</v>
      </c>
      <c r="G64" s="47" t="n"/>
      <c r="H64" s="47" t="n"/>
      <c r="I64" s="47" t="n"/>
      <c r="J64" s="47" t="n"/>
      <c r="K64" s="47" t="n"/>
      <c r="L64" s="47" t="n"/>
      <c r="M64" s="47" t="n"/>
      <c r="N64" s="47" t="n"/>
      <c r="O64" s="47" t="n"/>
      <c r="P64" s="47" t="n"/>
      <c r="Q64" s="47" t="n"/>
      <c r="R64" s="47" t="n"/>
      <c r="S64" s="47" t="n"/>
    </row>
    <row r="65">
      <c r="B65" s="10"/>
      <c r="C65" s="17"/>
      <c r="D65" s="10"/>
      <c r="E65" s="10"/>
      <c r="F65" s="18" t="s">
        <v>965</v>
      </c>
      <c r="G65" s="46" t="n"/>
      <c r="H65" s="46" t="n"/>
      <c r="I65" s="46" t="n"/>
      <c r="J65" s="46" t="n"/>
      <c r="K65" s="46" t="n"/>
      <c r="L65" s="46" t="n"/>
      <c r="M65" s="46" t="n"/>
      <c r="N65" s="46" t="n"/>
      <c r="O65" s="46" t="n"/>
      <c r="P65" s="46" t="n"/>
      <c r="Q65" s="46" t="n"/>
      <c r="R65" s="46" t="n"/>
      <c r="S65" s="46" t="n"/>
    </row>
    <row r="66">
      <c r="B66" s="10"/>
      <c r="C66" s="17"/>
      <c r="D66" s="10"/>
      <c r="E66" s="10"/>
      <c r="F66" s="19" t="s">
        <v>968</v>
      </c>
      <c r="G66" s="47" t="n"/>
      <c r="H66" s="47" t="n"/>
      <c r="I66" s="47" t="n"/>
      <c r="J66" s="47" t="n"/>
      <c r="K66" s="47" t="n"/>
      <c r="L66" s="47" t="n"/>
      <c r="M66" s="47" t="n"/>
      <c r="N66" s="47" t="n"/>
      <c r="O66" s="47" t="n"/>
      <c r="P66" s="47" t="n"/>
      <c r="Q66" s="47" t="n"/>
      <c r="R66" s="47" t="n"/>
      <c r="S66" s="47" t="n"/>
    </row>
    <row r="67">
      <c r="B67" s="10"/>
      <c r="C67" s="17"/>
      <c r="D67" s="10"/>
      <c r="E67" s="10"/>
      <c r="F67" s="18" t="s">
        <v>804</v>
      </c>
      <c r="G67" s="46" t="n"/>
      <c r="H67" s="46" t="n"/>
      <c r="I67" s="46" t="n"/>
      <c r="J67" s="46" t="n"/>
      <c r="K67" s="46" t="n"/>
      <c r="L67" s="46" t="n"/>
      <c r="M67" s="46" t="n"/>
      <c r="N67" s="46" t="n"/>
      <c r="O67" s="46" t="n"/>
      <c r="P67" s="46" t="n"/>
      <c r="Q67" s="46" t="n"/>
      <c r="R67" s="46" t="n"/>
      <c r="S67" s="46" t="n"/>
    </row>
    <row r="68">
      <c r="B68" s="10"/>
      <c r="C68" s="17"/>
      <c r="D68" s="10"/>
      <c r="E68" s="11"/>
      <c r="F68" s="52" t="s">
        <v>969</v>
      </c>
      <c r="G68" s="47" t="n">
        <f>SUM(G64:G67)</f>
      </c>
      <c r="H68" s="47" t="n">
        <f>SUM(H64:H67)</f>
      </c>
      <c r="I68" s="47" t="n">
        <f>SUM(I64:I67)</f>
      </c>
      <c r="J68" s="47" t="n">
        <f>SUM(J64:J67)</f>
      </c>
      <c r="K68" s="47" t="n">
        <f>SUM(K64:K67)</f>
      </c>
      <c r="L68" s="47" t="n">
        <f>SUM(L64:L67)</f>
      </c>
      <c r="M68" s="47" t="n">
        <f>SUM(M64:M67)</f>
      </c>
      <c r="N68" s="47" t="n">
        <f>SUM(N64:N67)</f>
      </c>
      <c r="O68" s="47" t="n">
        <f>SUM(O64:O67)</f>
      </c>
      <c r="P68" s="47" t="n">
        <f>SUM(P64:P67)</f>
      </c>
      <c r="Q68" s="47" t="n">
        <f>SUM(Q64:Q67)</f>
      </c>
      <c r="R68" s="47" t="n">
        <f>SUM(R64:R67)</f>
      </c>
      <c r="S68" s="47" t="n">
        <f>SUM(S64:S67)</f>
      </c>
    </row>
    <row r="69">
      <c r="B69" s="10"/>
      <c r="C69" s="14"/>
      <c r="D69" s="11"/>
      <c r="E69" s="45" t="s">
        <v>974</v>
      </c>
      <c r="F69" s="44"/>
      <c r="G69" s="46" t="n">
        <f>G62+G54+G48+G68</f>
      </c>
      <c r="H69" s="46" t="n">
        <f>H62+H54+H48+H68</f>
      </c>
      <c r="I69" s="46" t="n">
        <f>I62+I54+I48+I68</f>
      </c>
      <c r="J69" s="46" t="n">
        <f>J62+J54+J48+J68</f>
      </c>
      <c r="K69" s="46" t="n">
        <f>K62+K54+K48+K68</f>
      </c>
      <c r="L69" s="46" t="n">
        <f>L62+L54+L48+L68</f>
      </c>
      <c r="M69" s="46" t="n">
        <f>M62+M54+M48+M68</f>
      </c>
      <c r="N69" s="46" t="n">
        <f>N62+N54+N48+N68</f>
      </c>
      <c r="O69" s="46" t="n">
        <f>O62+O54+O48+O68</f>
      </c>
      <c r="P69" s="46" t="n">
        <f>P62+P54+P48+P68</f>
      </c>
      <c r="Q69" s="46" t="n">
        <f>Q62+Q54+Q48+Q68</f>
      </c>
      <c r="R69" s="46" t="n">
        <f>R62+R54+R48+R68</f>
      </c>
      <c r="S69" s="46" t="n">
        <f>S62+S54+S48+S68</f>
      </c>
    </row>
    <row r="70">
      <c r="B70" s="11"/>
      <c r="C70" s="40" t="s">
        <v>975</v>
      </c>
      <c r="D70" s="41"/>
      <c r="E70" s="41"/>
      <c r="F70" s="39"/>
      <c r="G70" s="53" t="n">
        <f>G41-G69</f>
      </c>
      <c r="H70" s="53" t="n">
        <f>H41-H69</f>
      </c>
      <c r="I70" s="53" t="n">
        <f>I41-I69</f>
      </c>
      <c r="J70" s="53" t="n">
        <f>J41-J69</f>
      </c>
      <c r="K70" s="53" t="n">
        <f>K41-K69</f>
      </c>
      <c r="L70" s="53" t="n">
        <f>L41-L69</f>
      </c>
      <c r="M70" s="53" t="n">
        <f>M41-M69</f>
      </c>
      <c r="N70" s="53" t="n">
        <f>N41-N69</f>
      </c>
      <c r="O70" s="53" t="n">
        <f>O41-O69</f>
      </c>
      <c r="P70" s="53" t="n">
        <f>P41-P69</f>
      </c>
      <c r="Q70" s="53" t="n">
        <f>Q41-Q69</f>
      </c>
      <c r="R70" s="53" t="n">
        <f>R41-R69</f>
      </c>
      <c r="S70" s="53" t="n">
        <f>S41-S69</f>
      </c>
    </row>
  </sheetData>
  <mergeCells>
    <mergeCell ref="G10:S10"/>
    <mergeCell ref="G11:I11"/>
    <mergeCell ref="J11:S11"/>
    <mergeCell ref="B13:F13"/>
    <mergeCell ref="C14:F14"/>
    <mergeCell ref="D15:F15"/>
    <mergeCell ref="E16:F16"/>
    <mergeCell ref="E21:F21"/>
    <mergeCell ref="E27:F27"/>
    <mergeCell ref="E35:F35"/>
    <mergeCell ref="E41:F41"/>
    <mergeCell ref="C42:F42"/>
    <mergeCell ref="D43:F43"/>
    <mergeCell ref="E44:F44"/>
    <mergeCell ref="E49:F49"/>
    <mergeCell ref="E55:F55"/>
    <mergeCell ref="E63:F63"/>
    <mergeCell ref="E69:F69"/>
    <mergeCell ref="C70:F70"/>
  </mergeCells>
  <hyperlinks>
    <hyperlink location="'Indice'!A1" ref="B2"/>
  </hyperlinks>
  <pageMargins bottom="0.75" footer="0.3" header="0.3" left="0.7" right="0.7" top="0.75"/>
</worksheet>
</file>

<file path=xl/worksheets/sheet32.xml><?xml version="1.0" encoding="utf-8"?>
<worksheet xmlns="http://schemas.openxmlformats.org/spreadsheetml/2006/main">
  <dimension ref="B2:L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976</v>
      </c>
    </row>
    <row r="6">
      <c r="B6" t="s" s="1">
        <v>8</v>
      </c>
      <c r="C6" t="s">
        <v>9</v>
      </c>
    </row>
    <row r="7">
      <c r="B7" t="s" s="1">
        <v>10</v>
      </c>
      <c r="C7" t="s">
        <v>9</v>
      </c>
    </row>
    <row r="8">
      <c r="B8" t="s" s="1">
        <v>11</v>
      </c>
      <c r="C8" t="s">
        <v>12</v>
      </c>
    </row>
    <row r="10">
      <c r="E10" t="s" s="4">
        <v>729</v>
      </c>
      <c r="F10" s="29"/>
      <c r="G10" s="29"/>
      <c r="H10" s="29"/>
      <c r="I10" s="29"/>
      <c r="J10" s="29"/>
      <c r="K10" s="30"/>
    </row>
    <row r="11">
      <c r="E11" t="s" s="34">
        <v>38</v>
      </c>
      <c r="F11" t="s" s="6">
        <v>39</v>
      </c>
      <c r="G11" t="s" s="34">
        <v>40</v>
      </c>
      <c r="H11" t="s" s="6">
        <v>41</v>
      </c>
      <c r="I11" t="s" s="34">
        <v>42</v>
      </c>
      <c r="J11" t="s" s="6">
        <v>43</v>
      </c>
      <c r="K11" s="36"/>
    </row>
    <row r="12">
      <c r="B12" s="7" t="s">
        <v>977</v>
      </c>
      <c r="C12" s="8"/>
      <c r="D12" s="9"/>
      <c r="E12" s="23"/>
      <c r="F12" s="23"/>
      <c r="G12" s="23"/>
      <c r="H12" s="23"/>
      <c r="I12" s="23"/>
      <c r="J12" s="23"/>
      <c r="K12" s="23"/>
    </row>
    <row r="13">
      <c r="B13" s="10"/>
      <c r="C13" s="16" t="s">
        <v>978</v>
      </c>
      <c r="D13" s="13"/>
      <c r="E13" s="22"/>
      <c r="F13" s="22"/>
      <c r="G13" s="22"/>
      <c r="H13" s="22"/>
      <c r="I13" s="22"/>
      <c r="J13" s="22"/>
      <c r="K13" s="22"/>
    </row>
    <row r="14">
      <c r="B14" s="10"/>
      <c r="C14" s="17"/>
      <c r="D14" s="18" t="s">
        <v>979</v>
      </c>
      <c r="E14" s="47" t="n"/>
      <c r="F14" s="47" t="n"/>
      <c r="G14" s="47" t="n"/>
      <c r="H14" s="47" t="n"/>
      <c r="I14" s="47" t="n"/>
      <c r="J14" s="47" t="n"/>
      <c r="K14" s="47" t="n"/>
    </row>
    <row r="15">
      <c r="B15" s="10"/>
      <c r="C15" s="17"/>
      <c r="D15" s="19" t="s">
        <v>980</v>
      </c>
      <c r="E15" s="46" t="n"/>
      <c r="F15" s="46" t="n"/>
      <c r="G15" s="46" t="n"/>
      <c r="H15" s="46" t="n"/>
      <c r="I15" s="46" t="n"/>
      <c r="J15" s="46" t="n"/>
      <c r="K15" s="46" t="n"/>
    </row>
    <row r="16">
      <c r="B16" s="10"/>
      <c r="C16" s="17"/>
      <c r="D16" s="18" t="s">
        <v>981</v>
      </c>
      <c r="E16" s="47" t="n"/>
      <c r="F16" s="47" t="n"/>
      <c r="G16" s="47" t="n"/>
      <c r="H16" s="47" t="n"/>
      <c r="I16" s="47" t="n"/>
      <c r="J16" s="47" t="n"/>
      <c r="K16" s="47" t="n"/>
    </row>
    <row r="17">
      <c r="B17" s="10"/>
      <c r="C17" s="14"/>
      <c r="D17" s="19" t="s">
        <v>982</v>
      </c>
      <c r="E17" s="46" t="n">
        <f>SUM(E14:E16)</f>
      </c>
      <c r="F17" s="46" t="n">
        <f>SUM(F14:F16)</f>
      </c>
      <c r="G17" s="46" t="n">
        <f>SUM(G14:G16)</f>
      </c>
      <c r="H17" s="46" t="n">
        <f>SUM(H14:H16)</f>
      </c>
      <c r="I17" s="46" t="n">
        <f>SUM(I14:I16)</f>
      </c>
      <c r="J17" s="46" t="n">
        <f>SUM(J14:J16)</f>
      </c>
      <c r="K17" s="46" t="n">
        <f>SUM(K14:K16)</f>
      </c>
    </row>
    <row r="18">
      <c r="B18" s="10"/>
      <c r="C18" s="7" t="s">
        <v>983</v>
      </c>
      <c r="D18" s="9"/>
      <c r="E18" s="23"/>
      <c r="F18" s="23"/>
      <c r="G18" s="23"/>
      <c r="H18" s="23"/>
      <c r="I18" s="23"/>
      <c r="J18" s="23"/>
      <c r="K18" s="23"/>
    </row>
    <row r="19">
      <c r="B19" s="10"/>
      <c r="C19" s="10"/>
      <c r="D19" s="19" t="s">
        <v>984</v>
      </c>
      <c r="E19" s="46" t="n"/>
      <c r="F19" s="46" t="n"/>
      <c r="G19" s="46" t="n"/>
      <c r="H19" s="46" t="n"/>
      <c r="I19" s="46" t="n"/>
      <c r="J19" s="46" t="n"/>
      <c r="K19" s="46" t="n"/>
    </row>
    <row r="20">
      <c r="B20" s="10"/>
      <c r="C20" s="10"/>
      <c r="D20" s="18" t="s">
        <v>985</v>
      </c>
      <c r="E20" s="47" t="n"/>
      <c r="F20" s="47" t="n"/>
      <c r="G20" s="47" t="n"/>
      <c r="H20" s="47" t="n"/>
      <c r="I20" s="47" t="n"/>
      <c r="J20" s="47" t="n"/>
      <c r="K20" s="47" t="n"/>
    </row>
    <row r="21">
      <c r="B21" s="10"/>
      <c r="C21" s="10"/>
      <c r="D21" s="19" t="s">
        <v>916</v>
      </c>
      <c r="E21" s="46" t="n"/>
      <c r="F21" s="46" t="n"/>
      <c r="G21" s="46" t="n"/>
      <c r="H21" s="46" t="n"/>
      <c r="I21" s="46" t="n"/>
      <c r="J21" s="46" t="n"/>
      <c r="K21" s="46" t="n"/>
    </row>
    <row r="22">
      <c r="B22" s="10"/>
      <c r="C22" s="10"/>
      <c r="D22" s="18" t="s">
        <v>917</v>
      </c>
      <c r="E22" s="47" t="n"/>
      <c r="F22" s="47" t="n"/>
      <c r="G22" s="47" t="n"/>
      <c r="H22" s="47" t="n"/>
      <c r="I22" s="47" t="n"/>
      <c r="J22" s="47" t="n"/>
      <c r="K22" s="47" t="n"/>
    </row>
    <row r="23">
      <c r="B23" s="10"/>
      <c r="C23" s="10"/>
      <c r="D23" s="19" t="s">
        <v>986</v>
      </c>
      <c r="E23" s="46" t="n">
        <f>SUM(E19:E22)</f>
      </c>
      <c r="F23" s="46" t="n">
        <f>SUM(F19:F22)</f>
      </c>
      <c r="G23" s="46" t="n">
        <f>SUM(G19:G22)</f>
      </c>
      <c r="H23" s="46" t="n">
        <f>SUM(H19:H22)</f>
      </c>
      <c r="I23" s="46" t="n">
        <f>SUM(I19:I22)</f>
      </c>
      <c r="J23" s="46" t="n">
        <f>SUM(J19:J22)</f>
      </c>
      <c r="K23" s="46" t="n">
        <f>SUM(K19:K22)</f>
      </c>
    </row>
    <row r="24">
      <c r="B24" s="10"/>
      <c r="C24" s="11"/>
      <c r="D24" s="18" t="s">
        <v>987</v>
      </c>
      <c r="E24" s="47" t="n">
        <f>-E23+E17</f>
      </c>
      <c r="F24" s="47" t="n">
        <f>-F23+F17</f>
      </c>
      <c r="G24" s="47" t="n">
        <f>-G23+G17</f>
      </c>
      <c r="H24" s="47" t="n">
        <f>-H23+H17</f>
      </c>
      <c r="I24" s="47" t="n">
        <f>-I23+I17</f>
      </c>
      <c r="J24" s="47" t="n">
        <f>-J23+J17</f>
      </c>
      <c r="K24" s="47" t="n">
        <f>-K23+K17</f>
      </c>
    </row>
    <row r="25">
      <c r="B25" s="10"/>
      <c r="C25" s="14" t="s">
        <v>988</v>
      </c>
      <c r="D25" s="13"/>
      <c r="E25" s="46" t="n"/>
      <c r="F25" s="46" t="n"/>
      <c r="G25" s="46" t="n"/>
      <c r="H25" s="46" t="n"/>
      <c r="I25" s="46" t="n"/>
      <c r="J25" s="46" t="n"/>
      <c r="K25" s="46" t="n"/>
    </row>
    <row r="26">
      <c r="B26" s="10"/>
      <c r="C26" s="11" t="s">
        <v>989</v>
      </c>
      <c r="D26" s="9"/>
      <c r="E26" s="23"/>
      <c r="F26" s="23"/>
      <c r="G26" s="23"/>
      <c r="H26" s="47" t="n"/>
      <c r="I26" s="23"/>
      <c r="J26" s="23"/>
      <c r="K26" s="47" t="n"/>
    </row>
    <row r="27">
      <c r="B27" s="10"/>
      <c r="C27" s="14" t="s">
        <v>990</v>
      </c>
      <c r="D27" s="13"/>
      <c r="E27" s="22"/>
      <c r="F27" s="22"/>
      <c r="G27" s="22"/>
      <c r="H27" s="46" t="n"/>
      <c r="I27" s="22"/>
      <c r="J27" s="22"/>
      <c r="K27" s="46" t="n"/>
    </row>
    <row r="28">
      <c r="B28" s="10"/>
      <c r="C28" s="11" t="s">
        <v>991</v>
      </c>
      <c r="D28" s="9"/>
      <c r="E28" s="23"/>
      <c r="F28" s="23"/>
      <c r="G28" s="23"/>
      <c r="H28" s="47" t="n"/>
      <c r="I28" s="23"/>
      <c r="J28" s="23"/>
      <c r="K28" s="47" t="n"/>
    </row>
    <row r="29">
      <c r="B29" s="10"/>
      <c r="C29" s="14" t="s">
        <v>992</v>
      </c>
      <c r="D29" s="13"/>
      <c r="E29" s="22"/>
      <c r="F29" s="22"/>
      <c r="G29" s="22"/>
      <c r="H29" s="46" t="n"/>
      <c r="I29" s="22"/>
      <c r="J29" s="22"/>
      <c r="K29" s="46" t="n"/>
    </row>
    <row r="30">
      <c r="B30" s="10"/>
      <c r="C30" s="11" t="s">
        <v>993</v>
      </c>
      <c r="D30" s="9"/>
      <c r="E30" s="23"/>
      <c r="F30" s="23"/>
      <c r="G30" s="23"/>
      <c r="H30" s="23"/>
      <c r="I30" s="47" t="n"/>
      <c r="J30" s="23"/>
      <c r="K30" s="47" t="n"/>
    </row>
    <row r="31">
      <c r="B31" s="11"/>
      <c r="C31" s="14" t="s">
        <v>994</v>
      </c>
      <c r="D31" s="13"/>
      <c r="E31" s="58"/>
      <c r="F31" s="58"/>
      <c r="G31" s="58"/>
      <c r="H31" s="58"/>
      <c r="I31" s="58"/>
      <c r="J31" s="48" t="n"/>
      <c r="K31" s="48" t="n"/>
    </row>
  </sheetData>
  <mergeCells>
    <mergeCell ref="E10:K10"/>
    <mergeCell ref="B12:D12"/>
    <mergeCell ref="C13:D13"/>
    <mergeCell ref="C18:D18"/>
    <mergeCell ref="C25:D25"/>
    <mergeCell ref="C26:D26"/>
    <mergeCell ref="C27:D27"/>
    <mergeCell ref="C28:D28"/>
    <mergeCell ref="C29:D29"/>
    <mergeCell ref="C30:D30"/>
    <mergeCell ref="C31:D31"/>
  </mergeCells>
  <hyperlinks>
    <hyperlink location="'Indice'!A1" ref="B2"/>
  </hyperlinks>
  <pageMargins bottom="0.75" footer="0.3" header="0.3" left="0.7" right="0.7" top="0.75"/>
</worksheet>
</file>

<file path=xl/worksheets/sheet33.xml><?xml version="1.0" encoding="utf-8"?>
<worksheet xmlns="http://schemas.openxmlformats.org/spreadsheetml/2006/main">
  <dimension ref="B2:U14"/>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s>
  <sheetData>
    <row r="2">
      <c r="B2" t="s" s="2">
        <v>1</v>
      </c>
    </row>
    <row r="3">
      <c r="B3" t="s" s="1">
        <v>3</v>
      </c>
      <c r="C3" t="s">
        <v>4</v>
      </c>
    </row>
    <row r="4">
      <c r="B4" s="1" t="s">
        <v>5</v>
      </c>
      <c r="C4" t="s">
        <v>6</v>
      </c>
    </row>
    <row r="5">
      <c r="B5" t="s" s="1">
        <v>7</v>
      </c>
      <c r="C5" t="s">
        <v>995</v>
      </c>
    </row>
    <row r="6">
      <c r="B6" t="s" s="1">
        <v>8</v>
      </c>
      <c r="C6" t="s">
        <v>9</v>
      </c>
    </row>
    <row r="7">
      <c r="B7" t="s" s="1">
        <v>10</v>
      </c>
      <c r="C7" t="s">
        <v>9</v>
      </c>
    </row>
    <row r="8">
      <c r="B8" t="s" s="1">
        <v>11</v>
      </c>
      <c r="C8" t="s">
        <v>12</v>
      </c>
    </row>
    <row r="10">
      <c r="C10" t="s" s="4">
        <v>996</v>
      </c>
      <c r="D10" s="29"/>
      <c r="E10" s="29"/>
      <c r="F10" s="29"/>
      <c r="G10" s="29"/>
      <c r="H10" s="29"/>
      <c r="I10" s="29"/>
      <c r="J10" s="29"/>
      <c r="K10" s="29"/>
      <c r="L10" s="29"/>
      <c r="M10" s="29"/>
      <c r="N10" s="29"/>
      <c r="O10" s="29"/>
      <c r="P10" s="29"/>
      <c r="Q10" s="29"/>
      <c r="R10" s="29"/>
      <c r="S10" s="29"/>
      <c r="T10" s="30"/>
    </row>
    <row r="11">
      <c r="C11" t="s" s="32">
        <v>997</v>
      </c>
      <c r="D11" s="60"/>
      <c r="E11" t="s" s="61">
        <v>1000</v>
      </c>
      <c r="F11" s="62"/>
      <c r="G11" s="63"/>
      <c r="H11" t="s" s="65">
        <v>1003</v>
      </c>
      <c r="I11" s="66"/>
      <c r="J11" s="66"/>
      <c r="K11" s="66"/>
      <c r="L11" s="66"/>
      <c r="M11" s="66"/>
      <c r="N11" s="66"/>
      <c r="O11" s="66"/>
      <c r="P11" s="66"/>
      <c r="Q11" s="67"/>
      <c r="R11" t="s" s="33">
        <v>1013</v>
      </c>
      <c r="S11" t="s" s="5">
        <v>1014</v>
      </c>
      <c r="T11" s="33" t="s">
        <v>1015</v>
      </c>
    </row>
    <row r="12" ht="28.0" customHeight="true">
      <c r="C12" t="s" s="6">
        <v>998</v>
      </c>
      <c r="D12" s="34" t="s">
        <v>999</v>
      </c>
      <c r="E12" t="s" s="34">
        <v>1001</v>
      </c>
      <c r="F12" s="69"/>
      <c r="G12" s="6" t="s">
        <v>1002</v>
      </c>
      <c r="H12" t="s" s="6">
        <v>1004</v>
      </c>
      <c r="I12" s="69"/>
      <c r="J12" t="s" s="34">
        <v>1005</v>
      </c>
      <c r="K12" t="s" s="6">
        <v>1006</v>
      </c>
      <c r="L12" t="s" s="34">
        <v>1007</v>
      </c>
      <c r="M12" t="s" s="6">
        <v>1008</v>
      </c>
      <c r="N12" t="s" s="34">
        <v>1009</v>
      </c>
      <c r="O12" t="s" s="6">
        <v>1010</v>
      </c>
      <c r="P12" t="s" s="34">
        <v>1011</v>
      </c>
      <c r="Q12" s="6" t="s">
        <v>1012</v>
      </c>
      <c r="R12" s="55"/>
      <c r="S12" s="35"/>
      <c r="T12" s="70"/>
    </row>
    <row r="13">
      <c r="B13" s="18" t="s">
        <v>1016</v>
      </c>
      <c r="C13" s="22"/>
      <c r="D13" s="22"/>
      <c r="E13" s="22"/>
      <c r="F13" s="22"/>
      <c r="G13" s="22"/>
      <c r="H13" s="22"/>
      <c r="I13" s="22"/>
      <c r="J13" s="22"/>
      <c r="K13" s="22"/>
      <c r="L13" s="22"/>
      <c r="M13" s="22"/>
      <c r="N13" s="22"/>
      <c r="O13" s="22"/>
      <c r="P13" s="22"/>
      <c r="Q13" s="22"/>
      <c r="R13" s="22"/>
      <c r="S13" s="22"/>
      <c r="T13" s="22"/>
    </row>
    <row r="14">
      <c r="B14" s="19" t="s">
        <v>1017</v>
      </c>
      <c r="C14" s="58"/>
      <c r="D14" s="58"/>
      <c r="E14" s="53" t="n"/>
      <c r="F14" s="53" t="n"/>
      <c r="G14" s="53" t="n"/>
      <c r="H14" s="53" t="n"/>
      <c r="I14" s="53" t="n"/>
      <c r="J14" s="53" t="n"/>
      <c r="K14" s="53" t="n"/>
      <c r="L14" s="53" t="n"/>
      <c r="M14" s="53" t="n"/>
      <c r="N14" s="53" t="n"/>
      <c r="O14" s="53" t="n"/>
      <c r="P14" s="53" t="n"/>
      <c r="Q14" s="53" t="n"/>
      <c r="R14" s="58"/>
      <c r="S14" s="58"/>
      <c r="T14" s="58"/>
    </row>
  </sheetData>
  <mergeCells>
    <mergeCell ref="C10:T10"/>
    <mergeCell ref="C11:D11"/>
    <mergeCell ref="E11:G11"/>
    <mergeCell ref="H11:Q11"/>
    <mergeCell ref="R11:R12"/>
    <mergeCell ref="S11:S12"/>
    <mergeCell ref="T11:T12"/>
  </mergeCells>
  <hyperlinks>
    <hyperlink location="'Indice'!A1" ref="B2"/>
  </hyperlinks>
  <pageMargins bottom="0.75" footer="0.3" header="0.3" left="0.7" right="0.7" top="0.75"/>
</worksheet>
</file>

<file path=xl/worksheets/sheet34.xml><?xml version="1.0" encoding="utf-8"?>
<worksheet xmlns="http://schemas.openxmlformats.org/spreadsheetml/2006/main">
  <dimension ref="B2:Q30"/>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2">
      <c r="B2" t="s" s="2">
        <v>1</v>
      </c>
    </row>
    <row r="3">
      <c r="B3" t="s" s="1">
        <v>3</v>
      </c>
      <c r="C3" t="s">
        <v>4</v>
      </c>
    </row>
    <row r="4">
      <c r="B4" s="1" t="s">
        <v>5</v>
      </c>
      <c r="C4" t="s">
        <v>6</v>
      </c>
    </row>
    <row r="5">
      <c r="B5" t="s" s="1">
        <v>7</v>
      </c>
      <c r="C5" t="s">
        <v>1018</v>
      </c>
    </row>
    <row r="6">
      <c r="B6" t="s" s="1">
        <v>8</v>
      </c>
      <c r="C6" t="s">
        <v>9</v>
      </c>
    </row>
    <row r="7">
      <c r="B7" t="s" s="1">
        <v>10</v>
      </c>
      <c r="C7" t="s">
        <v>9</v>
      </c>
    </row>
    <row r="8">
      <c r="B8" t="s" s="1">
        <v>11</v>
      </c>
      <c r="C8" t="s">
        <v>12</v>
      </c>
    </row>
    <row r="10">
      <c r="D10" t="s" s="4">
        <v>1019</v>
      </c>
      <c r="E10" s="29"/>
      <c r="F10" s="29"/>
      <c r="G10" s="29"/>
      <c r="H10" s="29"/>
      <c r="I10" s="29"/>
      <c r="J10" s="29"/>
      <c r="K10" s="29"/>
      <c r="L10" s="29"/>
      <c r="M10" s="29"/>
      <c r="N10" s="29"/>
      <c r="O10" s="29"/>
      <c r="P10" s="30"/>
    </row>
    <row r="11">
      <c r="D11" t="s" s="65">
        <v>1000</v>
      </c>
      <c r="E11" s="66"/>
      <c r="F11" s="67"/>
      <c r="G11" t="s" s="61">
        <v>1020</v>
      </c>
      <c r="H11" s="62"/>
      <c r="I11" s="62"/>
      <c r="J11" s="62"/>
      <c r="K11" s="62"/>
      <c r="L11" s="62"/>
      <c r="M11" s="62"/>
      <c r="N11" s="62"/>
      <c r="O11" s="63"/>
      <c r="P11" s="33" t="s">
        <v>1023</v>
      </c>
    </row>
    <row r="12">
      <c r="D12" t="s" s="5">
        <v>1001</v>
      </c>
      <c r="F12" s="33" t="s">
        <v>1002</v>
      </c>
      <c r="G12" t="s" s="33">
        <v>1021</v>
      </c>
      <c r="I12" t="s" s="61">
        <v>1022</v>
      </c>
      <c r="J12" s="62"/>
      <c r="K12" s="62"/>
      <c r="L12" s="62"/>
      <c r="M12" s="62"/>
      <c r="N12" s="62"/>
      <c r="O12" s="63"/>
      <c r="P12" s="71"/>
    </row>
    <row r="13" ht="28.0" customHeight="true">
      <c r="D13" s="35"/>
      <c r="E13" s="69"/>
      <c r="F13" s="55"/>
      <c r="G13" s="55"/>
      <c r="H13" s="69"/>
      <c r="I13" t="s" s="34">
        <v>1005</v>
      </c>
      <c r="J13" s="69"/>
      <c r="K13" t="s" s="6">
        <v>1006</v>
      </c>
      <c r="L13" t="s" s="34">
        <v>1007</v>
      </c>
      <c r="M13" t="s" s="6">
        <v>1010</v>
      </c>
      <c r="N13" t="s" s="34">
        <v>1011</v>
      </c>
      <c r="O13" s="6" t="s">
        <v>1012</v>
      </c>
      <c r="P13" s="70"/>
    </row>
    <row r="14">
      <c r="B14" s="7" t="s">
        <v>1024</v>
      </c>
      <c r="C14" s="9"/>
      <c r="D14" s="23"/>
      <c r="E14" s="23"/>
      <c r="F14" s="23"/>
      <c r="G14" s="23"/>
      <c r="H14" s="23"/>
      <c r="I14" s="23"/>
      <c r="J14" s="23"/>
      <c r="K14" s="23"/>
      <c r="L14" s="23"/>
      <c r="M14" s="23"/>
      <c r="N14" s="23"/>
      <c r="O14" s="23"/>
      <c r="P14" s="23"/>
    </row>
    <row r="15">
      <c r="B15" s="10"/>
      <c r="C15" s="19" t="s">
        <v>1025</v>
      </c>
      <c r="D15" s="46" t="n"/>
      <c r="E15" s="46" t="n"/>
      <c r="F15" s="46" t="n"/>
      <c r="G15" s="46" t="n"/>
      <c r="H15" s="46" t="n"/>
      <c r="I15" s="46" t="n"/>
      <c r="J15" s="46" t="n"/>
      <c r="K15" s="46" t="n"/>
      <c r="L15" s="46" t="n"/>
      <c r="M15" s="46" t="n"/>
      <c r="N15" s="46" t="n"/>
      <c r="O15" s="46" t="n"/>
      <c r="P15" s="21"/>
    </row>
    <row r="16">
      <c r="B16" s="10"/>
      <c r="C16" s="18" t="s">
        <v>1026</v>
      </c>
      <c r="D16" s="47" t="n"/>
      <c r="E16" s="47" t="n"/>
      <c r="F16" s="47" t="n"/>
      <c r="G16" s="47" t="n"/>
      <c r="H16" s="47" t="n"/>
      <c r="I16" s="47" t="n"/>
      <c r="J16" s="47" t="n"/>
      <c r="K16" s="47" t="n"/>
      <c r="L16" s="47" t="n"/>
      <c r="M16" s="47" t="n"/>
      <c r="N16" s="47" t="n"/>
      <c r="O16" s="47" t="n"/>
      <c r="P16" s="20"/>
    </row>
    <row r="17">
      <c r="B17" s="10"/>
      <c r="C17" s="19" t="s">
        <v>1027</v>
      </c>
      <c r="D17" s="46" t="n"/>
      <c r="E17" s="46" t="n"/>
      <c r="F17" s="46" t="n"/>
      <c r="G17" s="46" t="n"/>
      <c r="H17" s="46" t="n"/>
      <c r="I17" s="46" t="n"/>
      <c r="J17" s="46" t="n"/>
      <c r="K17" s="46" t="n"/>
      <c r="L17" s="46" t="n"/>
      <c r="M17" s="46" t="n"/>
      <c r="N17" s="46" t="n"/>
      <c r="O17" s="46" t="n"/>
      <c r="P17" s="21"/>
    </row>
    <row r="18">
      <c r="B18" s="10"/>
      <c r="C18" s="18" t="s">
        <v>1028</v>
      </c>
      <c r="D18" s="47" t="n"/>
      <c r="E18" s="47" t="n"/>
      <c r="F18" s="47" t="n"/>
      <c r="G18" s="47" t="n"/>
      <c r="H18" s="47" t="n"/>
      <c r="I18" s="47" t="n"/>
      <c r="J18" s="47" t="n"/>
      <c r="K18" s="47" t="n"/>
      <c r="L18" s="47" t="n"/>
      <c r="M18" s="47" t="n"/>
      <c r="N18" s="47" t="n"/>
      <c r="O18" s="47" t="n"/>
      <c r="P18" s="20"/>
    </row>
    <row r="19">
      <c r="B19" s="10"/>
      <c r="C19" s="19" t="s">
        <v>1029</v>
      </c>
      <c r="D19" s="46" t="n"/>
      <c r="E19" s="46" t="n"/>
      <c r="F19" s="46" t="n"/>
      <c r="G19" s="46" t="n"/>
      <c r="H19" s="46" t="n"/>
      <c r="I19" s="46" t="n"/>
      <c r="J19" s="46" t="n"/>
      <c r="K19" s="46" t="n"/>
      <c r="L19" s="46" t="n"/>
      <c r="M19" s="46" t="n"/>
      <c r="N19" s="46" t="n"/>
      <c r="O19" s="46" t="n"/>
      <c r="P19" s="21"/>
    </row>
    <row r="20">
      <c r="B20" s="10"/>
      <c r="C20" s="18" t="s">
        <v>1030</v>
      </c>
      <c r="D20" s="47" t="n"/>
      <c r="E20" s="47" t="n"/>
      <c r="F20" s="47" t="n"/>
      <c r="G20" s="47" t="n"/>
      <c r="H20" s="47" t="n"/>
      <c r="I20" s="47" t="n"/>
      <c r="J20" s="47" t="n"/>
      <c r="K20" s="47" t="n"/>
      <c r="L20" s="47" t="n"/>
      <c r="M20" s="47" t="n"/>
      <c r="N20" s="47" t="n"/>
      <c r="O20" s="47" t="n"/>
      <c r="P20" s="20"/>
    </row>
    <row r="21">
      <c r="B21" s="10"/>
      <c r="C21" s="19" t="s">
        <v>1031</v>
      </c>
      <c r="D21" s="46" t="n"/>
      <c r="E21" s="46" t="n"/>
      <c r="F21" s="46" t="n"/>
      <c r="G21" s="46" t="n"/>
      <c r="H21" s="46" t="n"/>
      <c r="I21" s="46" t="n"/>
      <c r="J21" s="46" t="n"/>
      <c r="K21" s="46" t="n"/>
      <c r="L21" s="46" t="n"/>
      <c r="M21" s="46" t="n"/>
      <c r="N21" s="46" t="n"/>
      <c r="O21" s="46" t="n"/>
      <c r="P21" s="21"/>
    </row>
    <row r="22">
      <c r="B22" s="10"/>
      <c r="C22" s="18" t="s">
        <v>1032</v>
      </c>
      <c r="D22" s="47" t="n"/>
      <c r="E22" s="47" t="n"/>
      <c r="F22" s="47" t="n"/>
      <c r="G22" s="47" t="n"/>
      <c r="H22" s="47" t="n"/>
      <c r="I22" s="47" t="n"/>
      <c r="J22" s="47" t="n"/>
      <c r="K22" s="47" t="n"/>
      <c r="L22" s="47" t="n"/>
      <c r="M22" s="47" t="n"/>
      <c r="N22" s="47" t="n"/>
      <c r="O22" s="47" t="n"/>
      <c r="P22" s="20"/>
    </row>
    <row r="23">
      <c r="B23" s="10"/>
      <c r="C23" s="19" t="s">
        <v>1033</v>
      </c>
      <c r="D23" s="46" t="n"/>
      <c r="E23" s="46" t="n"/>
      <c r="F23" s="46" t="n"/>
      <c r="G23" s="46" t="n"/>
      <c r="H23" s="46" t="n"/>
      <c r="I23" s="46" t="n"/>
      <c r="J23" s="46" t="n"/>
      <c r="K23" s="46" t="n"/>
      <c r="L23" s="46" t="n"/>
      <c r="M23" s="46" t="n"/>
      <c r="N23" s="46" t="n"/>
      <c r="O23" s="46" t="n"/>
      <c r="P23" s="21"/>
    </row>
    <row r="24">
      <c r="B24" s="10"/>
      <c r="C24" s="18" t="s">
        <v>1034</v>
      </c>
      <c r="D24" s="47" t="n"/>
      <c r="E24" s="47" t="n"/>
      <c r="F24" s="47" t="n"/>
      <c r="G24" s="47" t="n"/>
      <c r="H24" s="47" t="n"/>
      <c r="I24" s="47" t="n"/>
      <c r="J24" s="47" t="n"/>
      <c r="K24" s="47" t="n"/>
      <c r="L24" s="47" t="n"/>
      <c r="M24" s="47" t="n"/>
      <c r="N24" s="47" t="n"/>
      <c r="O24" s="47" t="n"/>
      <c r="P24" s="20"/>
    </row>
    <row r="25">
      <c r="B25" s="10"/>
      <c r="C25" s="19" t="s">
        <v>1035</v>
      </c>
      <c r="D25" s="46" t="n"/>
      <c r="E25" s="46" t="n"/>
      <c r="F25" s="46" t="n"/>
      <c r="G25" s="46" t="n"/>
      <c r="H25" s="46" t="n"/>
      <c r="I25" s="46" t="n"/>
      <c r="J25" s="46" t="n"/>
      <c r="K25" s="46" t="n"/>
      <c r="L25" s="46" t="n"/>
      <c r="M25" s="46" t="n"/>
      <c r="N25" s="46" t="n"/>
      <c r="O25" s="46" t="n"/>
      <c r="P25" s="21"/>
    </row>
    <row r="26">
      <c r="B26" s="10"/>
      <c r="C26" s="18" t="s">
        <v>1036</v>
      </c>
      <c r="D26" s="47" t="n"/>
      <c r="E26" s="47" t="n"/>
      <c r="F26" s="47" t="n"/>
      <c r="G26" s="47" t="n"/>
      <c r="H26" s="47" t="n"/>
      <c r="I26" s="47" t="n"/>
      <c r="J26" s="47" t="n"/>
      <c r="K26" s="47" t="n"/>
      <c r="L26" s="47" t="n"/>
      <c r="M26" s="47" t="n"/>
      <c r="N26" s="47" t="n"/>
      <c r="O26" s="47" t="n"/>
      <c r="P26" s="20"/>
    </row>
    <row r="27">
      <c r="B27" s="10"/>
      <c r="C27" s="19" t="s">
        <v>1037</v>
      </c>
      <c r="D27" s="46" t="n"/>
      <c r="E27" s="46" t="n"/>
      <c r="F27" s="46" t="n"/>
      <c r="G27" s="46" t="n"/>
      <c r="H27" s="46" t="n"/>
      <c r="I27" s="46" t="n"/>
      <c r="J27" s="46" t="n"/>
      <c r="K27" s="46" t="n"/>
      <c r="L27" s="46" t="n"/>
      <c r="M27" s="46" t="n"/>
      <c r="N27" s="46" t="n"/>
      <c r="O27" s="46" t="n"/>
      <c r="P27" s="21"/>
    </row>
    <row r="28">
      <c r="B28" s="10"/>
      <c r="C28" s="18" t="s">
        <v>1038</v>
      </c>
      <c r="D28" s="47" t="n"/>
      <c r="E28" s="47" t="n"/>
      <c r="F28" s="47" t="n"/>
      <c r="G28" s="47" t="n"/>
      <c r="H28" s="47" t="n"/>
      <c r="I28" s="47" t="n"/>
      <c r="J28" s="47" t="n"/>
      <c r="K28" s="47" t="n"/>
      <c r="L28" s="47" t="n"/>
      <c r="M28" s="47" t="n"/>
      <c r="N28" s="47" t="n"/>
      <c r="O28" s="47" t="n"/>
      <c r="P28" s="20"/>
    </row>
    <row r="29">
      <c r="B29" s="10"/>
      <c r="C29" s="19" t="s">
        <v>1039</v>
      </c>
      <c r="D29" s="46" t="n"/>
      <c r="E29" s="46" t="n"/>
      <c r="F29" s="46" t="n"/>
      <c r="G29" s="46" t="n"/>
      <c r="H29" s="46" t="n"/>
      <c r="I29" s="46" t="n"/>
      <c r="J29" s="46" t="n"/>
      <c r="K29" s="46" t="n"/>
      <c r="L29" s="46" t="n"/>
      <c r="M29" s="46" t="n"/>
      <c r="N29" s="46" t="n"/>
      <c r="O29" s="46" t="n"/>
      <c r="P29" s="21"/>
    </row>
    <row r="30">
      <c r="B30" s="11"/>
      <c r="C30" s="18" t="s">
        <v>1040</v>
      </c>
      <c r="D30" s="53" t="n"/>
      <c r="E30" s="53" t="n"/>
      <c r="F30" s="53" t="n"/>
      <c r="G30" s="53" t="n"/>
      <c r="H30" s="53" t="n"/>
      <c r="I30" s="53" t="n"/>
      <c r="J30" s="53" t="n"/>
      <c r="K30" s="53" t="n"/>
      <c r="L30" s="53" t="n"/>
      <c r="M30" s="53" t="n"/>
      <c r="N30" s="53" t="n"/>
      <c r="O30" s="53" t="n"/>
      <c r="P30" s="58"/>
    </row>
  </sheetData>
  <mergeCells>
    <mergeCell ref="D10:P10"/>
    <mergeCell ref="D11:F11"/>
    <mergeCell ref="D12:D13"/>
    <mergeCell ref="F12:F13"/>
    <mergeCell ref="G11:O11"/>
    <mergeCell ref="G12:G13"/>
    <mergeCell ref="I12:O12"/>
    <mergeCell ref="P11:P13"/>
    <mergeCell ref="B14:C14"/>
  </mergeCells>
  <hyperlinks>
    <hyperlink location="'Indice'!A1" ref="B2"/>
  </hyperlinks>
  <pageMargins bottom="0.75" footer="0.3" header="0.3" left="0.7" right="0.7" top="0.75"/>
</worksheet>
</file>

<file path=xl/worksheets/sheet35.xml><?xml version="1.0" encoding="utf-8"?>
<worksheet xmlns="http://schemas.openxmlformats.org/spreadsheetml/2006/main">
  <dimension ref="B2:H15"/>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 min="7" max="7" width="15.0" customWidth="true"/>
  </cols>
  <sheetData>
    <row r="2">
      <c r="B2" t="s" s="2">
        <v>1</v>
      </c>
    </row>
    <row r="3">
      <c r="B3" t="s" s="1">
        <v>3</v>
      </c>
      <c r="C3" t="s">
        <v>4</v>
      </c>
    </row>
    <row r="4">
      <c r="B4" s="1" t="s">
        <v>5</v>
      </c>
      <c r="C4" t="s">
        <v>6</v>
      </c>
    </row>
    <row r="5">
      <c r="B5" t="s" s="1">
        <v>7</v>
      </c>
      <c r="C5" t="s">
        <v>1041</v>
      </c>
    </row>
    <row r="6">
      <c r="B6" t="s" s="1">
        <v>8</v>
      </c>
      <c r="C6" t="s">
        <v>9</v>
      </c>
    </row>
    <row r="7">
      <c r="B7" t="s" s="1">
        <v>10</v>
      </c>
      <c r="C7" t="s">
        <v>9</v>
      </c>
    </row>
    <row r="8">
      <c r="B8" t="s" s="1">
        <v>11</v>
      </c>
      <c r="C8" t="s">
        <v>12</v>
      </c>
    </row>
    <row r="10">
      <c r="D10" t="s" s="4">
        <v>1042</v>
      </c>
      <c r="E10" s="29"/>
      <c r="F10" s="29"/>
      <c r="G10" s="30"/>
    </row>
    <row r="11">
      <c r="D11" t="s" s="34">
        <v>1043</v>
      </c>
      <c r="E11" t="s" s="6">
        <v>1044</v>
      </c>
      <c r="F11" t="s" s="34">
        <v>1045</v>
      </c>
      <c r="G11" s="6" t="s">
        <v>1046</v>
      </c>
    </row>
    <row r="12" ht="28.0" customHeight="true">
      <c r="B12" s="7" t="s">
        <v>1047</v>
      </c>
      <c r="C12" s="9"/>
      <c r="D12" s="23"/>
      <c r="E12" s="23"/>
      <c r="F12" s="23"/>
      <c r="G12" s="23"/>
    </row>
    <row r="13">
      <c r="B13" s="10"/>
      <c r="C13" s="19" t="s">
        <v>1048</v>
      </c>
      <c r="D13" s="46" t="n"/>
      <c r="E13" s="46" t="n"/>
      <c r="F13" s="46" t="n"/>
      <c r="G13" s="46" t="n"/>
    </row>
    <row r="14">
      <c r="B14" s="10"/>
      <c r="C14" s="18" t="s">
        <v>1049</v>
      </c>
      <c r="D14" s="47" t="n"/>
      <c r="E14" s="47" t="n"/>
      <c r="F14" s="47" t="n"/>
      <c r="G14" s="47" t="n"/>
    </row>
    <row r="15">
      <c r="B15" s="11"/>
      <c r="C15" s="19" t="s">
        <v>1050</v>
      </c>
      <c r="D15" s="48" t="n"/>
      <c r="E15" s="48" t="n"/>
      <c r="F15" s="48" t="n"/>
      <c r="G15" s="48" t="n"/>
    </row>
  </sheetData>
  <mergeCells>
    <mergeCell ref="D10:G10"/>
    <mergeCell ref="B12:C12"/>
  </mergeCells>
  <hyperlinks>
    <hyperlink location="'Indice'!A1" ref="B2"/>
  </hyperlinks>
  <pageMargins bottom="0.75" footer="0.3" header="0.3" left="0.7" right="0.7" top="0.75"/>
</worksheet>
</file>

<file path=xl/worksheets/sheet36.xml><?xml version="1.0" encoding="utf-8"?>
<worksheet xmlns="http://schemas.openxmlformats.org/spreadsheetml/2006/main">
  <dimension ref="B2:F31"/>
  <sheetViews>
    <sheetView workbookViewId="0" showGridLines="false"/>
  </sheetViews>
  <sheetFormatPr defaultRowHeight="15.0"/>
  <cols>
    <col min="2" max="2" width="2.70703125" customWidth="true"/>
    <col min="3" max="3" width="2.70703125" customWidth="true"/>
    <col min="4" max="4" width="50.0" customWidth="true"/>
    <col min="5" max="5" width="15.0" customWidth="true"/>
  </cols>
  <sheetData>
    <row r="2">
      <c r="B2" t="s" s="2">
        <v>1</v>
      </c>
    </row>
    <row r="3">
      <c r="B3" t="s" s="1">
        <v>3</v>
      </c>
      <c r="C3" t="s">
        <v>4</v>
      </c>
    </row>
    <row r="4">
      <c r="B4" s="1" t="s">
        <v>5</v>
      </c>
      <c r="C4" t="s">
        <v>6</v>
      </c>
    </row>
    <row r="5">
      <c r="B5" t="s" s="1">
        <v>7</v>
      </c>
      <c r="C5" t="s">
        <v>1051</v>
      </c>
    </row>
    <row r="6">
      <c r="B6" t="s" s="1">
        <v>8</v>
      </c>
      <c r="C6" t="s">
        <v>9</v>
      </c>
    </row>
    <row r="7">
      <c r="B7" t="s" s="1">
        <v>10</v>
      </c>
      <c r="C7" t="s">
        <v>9</v>
      </c>
    </row>
    <row r="8">
      <c r="B8" t="s" s="1">
        <v>11</v>
      </c>
      <c r="C8" t="s">
        <v>9</v>
      </c>
    </row>
    <row r="10">
      <c r="E10" t="s" s="6">
        <v>12</v>
      </c>
    </row>
    <row r="11">
      <c r="B11" s="7" t="s">
        <v>1052</v>
      </c>
      <c r="C11" s="8"/>
      <c r="D11" s="9"/>
      <c r="E11" s="22"/>
    </row>
    <row r="12">
      <c r="B12" s="10"/>
      <c r="C12" s="16" t="s">
        <v>1053</v>
      </c>
      <c r="D12" s="13"/>
      <c r="E12" s="23"/>
    </row>
    <row r="13">
      <c r="B13" s="10"/>
      <c r="C13" s="17"/>
      <c r="D13" s="18" t="s">
        <v>1054</v>
      </c>
      <c r="E13" s="21"/>
    </row>
    <row r="14">
      <c r="B14" s="10"/>
      <c r="C14" s="17"/>
      <c r="D14" s="19" t="s">
        <v>16</v>
      </c>
      <c r="E14" s="20"/>
    </row>
    <row r="15">
      <c r="B15" s="10"/>
      <c r="C15" s="17"/>
      <c r="D15" s="51" t="s">
        <v>1055</v>
      </c>
      <c r="E15" s="21"/>
    </row>
    <row r="16">
      <c r="B16" s="10"/>
      <c r="C16" s="17"/>
      <c r="D16" s="19" t="s">
        <v>1056</v>
      </c>
      <c r="E16" s="20"/>
    </row>
    <row r="17">
      <c r="B17" s="10"/>
      <c r="C17" s="17"/>
      <c r="D17" s="18" t="s">
        <v>1057</v>
      </c>
      <c r="E17" s="21"/>
    </row>
    <row r="18">
      <c r="B18" s="10"/>
      <c r="C18" s="14"/>
      <c r="D18" s="19" t="s">
        <v>1058</v>
      </c>
      <c r="E18" s="20"/>
    </row>
    <row r="19">
      <c r="B19" s="10"/>
      <c r="C19" s="7" t="s">
        <v>1059</v>
      </c>
      <c r="D19" s="9"/>
      <c r="E19" s="22"/>
    </row>
    <row r="20">
      <c r="B20" s="10"/>
      <c r="C20" s="10"/>
      <c r="D20" s="19" t="s">
        <v>1060</v>
      </c>
      <c r="E20" s="20"/>
    </row>
    <row r="21">
      <c r="B21" s="10"/>
      <c r="C21" s="10"/>
      <c r="D21" s="18" t="s">
        <v>1061</v>
      </c>
      <c r="E21" s="21"/>
    </row>
    <row r="22">
      <c r="B22" s="10"/>
      <c r="C22" s="10"/>
      <c r="D22" s="19" t="s">
        <v>1062</v>
      </c>
      <c r="E22" s="20"/>
    </row>
    <row r="23">
      <c r="B23" s="10"/>
      <c r="C23" s="10"/>
      <c r="D23" s="18" t="s">
        <v>1063</v>
      </c>
      <c r="E23" s="21"/>
    </row>
    <row r="24">
      <c r="B24" s="10"/>
      <c r="C24" s="10"/>
      <c r="D24" s="19" t="s">
        <v>1064</v>
      </c>
      <c r="E24" s="20"/>
    </row>
    <row r="25">
      <c r="B25" s="10"/>
      <c r="C25" s="11"/>
      <c r="D25" s="18" t="s">
        <v>1065</v>
      </c>
      <c r="E25" s="21"/>
    </row>
    <row r="26">
      <c r="B26" s="10"/>
      <c r="C26" s="16" t="s">
        <v>1066</v>
      </c>
      <c r="D26" s="13"/>
      <c r="E26" s="23"/>
    </row>
    <row r="27">
      <c r="B27" s="10"/>
      <c r="C27" s="17"/>
      <c r="D27" s="18" t="s">
        <v>1067</v>
      </c>
      <c r="E27" s="46" t="n"/>
    </row>
    <row r="28">
      <c r="B28" s="10"/>
      <c r="C28" s="17"/>
      <c r="D28" s="19" t="s">
        <v>1068</v>
      </c>
      <c r="E28" s="20"/>
    </row>
    <row r="29">
      <c r="B29" s="10"/>
      <c r="C29" s="17"/>
      <c r="D29" s="18" t="s">
        <v>1069</v>
      </c>
      <c r="E29" s="21"/>
    </row>
    <row r="30">
      <c r="B30" s="10"/>
      <c r="C30" s="17"/>
      <c r="D30" s="19" t="s">
        <v>1070</v>
      </c>
      <c r="E30" s="47" t="n"/>
    </row>
    <row r="31">
      <c r="B31" s="11"/>
      <c r="C31" s="14"/>
      <c r="D31" s="18" t="s">
        <v>1071</v>
      </c>
      <c r="E31" s="48" t="n"/>
    </row>
  </sheetData>
  <mergeCells>
    <mergeCell ref="B11:D11"/>
    <mergeCell ref="C12:D12"/>
    <mergeCell ref="C19:D19"/>
    <mergeCell ref="C26:D26"/>
  </mergeCells>
  <hyperlinks>
    <hyperlink location="'Indice'!A1" ref="B2"/>
  </hyperlinks>
  <pageMargins bottom="0.75" footer="0.3" header="0.3" left="0.7" right="0.7" top="0.75"/>
</worksheet>
</file>

<file path=xl/worksheets/sheet37.xml><?xml version="1.0" encoding="utf-8"?>
<worksheet xmlns="http://schemas.openxmlformats.org/spreadsheetml/2006/main">
  <dimension ref="B2:M59"/>
  <sheetViews>
    <sheetView workbookViewId="0" showGridLines="false"/>
  </sheetViews>
  <sheetFormatPr defaultRowHeight="15.0"/>
  <cols>
    <col min="2" max="2" width="2.70703125" customWidth="true"/>
    <col min="3" max="3" width="2.70703125" customWidth="true"/>
    <col min="4" max="4" width="2.70703125" customWidth="true"/>
    <col min="5" max="5" width="2.70703125" customWidth="true"/>
    <col min="6" max="6" width="50.0" customWidth="true"/>
    <col min="7" max="7" width="15.0" customWidth="true"/>
    <col min="8" max="8" width="15.0" customWidth="true"/>
    <col min="9" max="9" width="15.0" customWidth="true"/>
    <col min="10" max="10" width="15.0" customWidth="true"/>
    <col min="11" max="11" width="15.0" customWidth="true"/>
    <col min="12" max="12" width="15.0" customWidth="true"/>
  </cols>
  <sheetData>
    <row r="2">
      <c r="B2" t="s" s="2">
        <v>1</v>
      </c>
    </row>
    <row r="3">
      <c r="B3" t="s" s="1">
        <v>3</v>
      </c>
      <c r="C3" t="s">
        <v>4</v>
      </c>
    </row>
    <row r="4">
      <c r="B4" s="1" t="s">
        <v>5</v>
      </c>
      <c r="C4" t="s">
        <v>6</v>
      </c>
    </row>
    <row r="5">
      <c r="B5" t="s" s="1">
        <v>7</v>
      </c>
      <c r="C5" t="s">
        <v>1072</v>
      </c>
    </row>
    <row r="6">
      <c r="B6" t="s" s="1">
        <v>8</v>
      </c>
      <c r="C6" t="s">
        <v>9</v>
      </c>
    </row>
    <row r="7">
      <c r="B7" t="s" s="1">
        <v>10</v>
      </c>
      <c r="C7" t="s">
        <v>9</v>
      </c>
    </row>
    <row r="8">
      <c r="B8" t="s" s="1">
        <v>11</v>
      </c>
      <c r="C8" t="s">
        <v>12</v>
      </c>
    </row>
    <row r="10" ht="28.0" customHeight="true">
      <c r="G10" t="s" s="4">
        <v>1073</v>
      </c>
      <c r="H10" s="29"/>
      <c r="I10" s="29"/>
      <c r="J10" s="29"/>
      <c r="K10" s="29"/>
      <c r="L10" s="30"/>
    </row>
    <row r="11">
      <c r="G11" t="s" s="32">
        <v>1074</v>
      </c>
      <c r="H11" s="59"/>
      <c r="I11" s="59"/>
      <c r="J11" s="59"/>
      <c r="K11" s="59"/>
      <c r="L11" s="60"/>
    </row>
    <row r="12">
      <c r="G12" t="s" s="6">
        <v>38</v>
      </c>
      <c r="H12" t="s" s="34">
        <v>39</v>
      </c>
      <c r="I12" t="s" s="6">
        <v>40</v>
      </c>
      <c r="J12" t="s" s="34">
        <v>41</v>
      </c>
      <c r="K12" t="s" s="6">
        <v>42</v>
      </c>
      <c r="L12" s="34" t="s">
        <v>43</v>
      </c>
    </row>
    <row r="13">
      <c r="B13" s="7" t="s">
        <v>1075</v>
      </c>
      <c r="C13" s="8"/>
      <c r="D13" s="8"/>
      <c r="E13" s="8"/>
      <c r="F13" s="9"/>
      <c r="G13" s="22"/>
      <c r="H13" s="22"/>
      <c r="I13" s="22"/>
      <c r="J13" s="22"/>
      <c r="K13" s="22"/>
      <c r="L13" s="22"/>
    </row>
    <row r="14">
      <c r="B14" s="10"/>
      <c r="C14" s="16" t="s">
        <v>1076</v>
      </c>
      <c r="D14" s="37"/>
      <c r="E14" s="37"/>
      <c r="F14" s="13"/>
      <c r="G14" s="23"/>
      <c r="H14" s="23"/>
      <c r="I14" s="23"/>
      <c r="J14" s="23"/>
      <c r="K14" s="23"/>
      <c r="L14" s="23"/>
    </row>
    <row r="15" ht="28.0" customHeight="true">
      <c r="B15" s="10"/>
      <c r="C15" s="17"/>
      <c r="D15" s="7" t="s">
        <v>1077</v>
      </c>
      <c r="E15" s="8"/>
      <c r="F15" s="9"/>
      <c r="G15" s="22"/>
      <c r="H15" s="22"/>
      <c r="I15" s="22"/>
      <c r="J15" s="22"/>
      <c r="K15" s="22"/>
      <c r="L15" s="22"/>
    </row>
    <row r="16" ht="28.0" customHeight="true">
      <c r="B16" s="10"/>
      <c r="C16" s="17"/>
      <c r="D16" s="10"/>
      <c r="E16" s="14" t="s">
        <v>1078</v>
      </c>
      <c r="F16" s="13"/>
      <c r="G16" s="47" t="n"/>
      <c r="H16" s="47" t="n"/>
      <c r="I16" s="47" t="n"/>
      <c r="J16" s="47" t="n"/>
      <c r="K16" s="47" t="n"/>
      <c r="L16" s="47" t="n"/>
    </row>
    <row r="17" ht="28.0" customHeight="true">
      <c r="B17" s="10"/>
      <c r="C17" s="17"/>
      <c r="D17" s="10"/>
      <c r="E17" s="11" t="s">
        <v>1079</v>
      </c>
      <c r="F17" s="9"/>
      <c r="G17" s="46" t="n"/>
      <c r="H17" s="46" t="n"/>
      <c r="I17" s="46" t="n"/>
      <c r="J17" s="46" t="n"/>
      <c r="K17" s="46" t="n"/>
      <c r="L17" s="46" t="n"/>
    </row>
    <row r="18" ht="28.0" customHeight="true">
      <c r="B18" s="10"/>
      <c r="C18" s="17"/>
      <c r="D18" s="10"/>
      <c r="E18" s="14" t="s">
        <v>1080</v>
      </c>
      <c r="F18" s="13"/>
      <c r="G18" s="47" t="n"/>
      <c r="H18" s="47" t="n"/>
      <c r="I18" s="47" t="n"/>
      <c r="J18" s="47" t="n"/>
      <c r="K18" s="47" t="n"/>
      <c r="L18" s="47" t="n"/>
    </row>
    <row r="19" ht="28.0" customHeight="true">
      <c r="B19" s="10"/>
      <c r="C19" s="17"/>
      <c r="D19" s="10"/>
      <c r="E19" s="11" t="s">
        <v>1081</v>
      </c>
      <c r="F19" s="9"/>
      <c r="G19" s="46" t="n"/>
      <c r="H19" s="46" t="n"/>
      <c r="I19" s="46" t="n"/>
      <c r="J19" s="46" t="n"/>
      <c r="K19" s="46" t="n"/>
      <c r="L19" s="46" t="n"/>
    </row>
    <row r="20">
      <c r="B20" s="10"/>
      <c r="C20" s="17"/>
      <c r="D20" s="10"/>
      <c r="E20" s="14" t="s">
        <v>1082</v>
      </c>
      <c r="F20" s="13"/>
      <c r="G20" s="47" t="n"/>
      <c r="H20" s="47" t="n"/>
      <c r="I20" s="47" t="n"/>
      <c r="J20" s="47" t="n"/>
      <c r="K20" s="47" t="n"/>
      <c r="L20" s="47" t="n"/>
    </row>
    <row r="21">
      <c r="B21" s="10"/>
      <c r="C21" s="17"/>
      <c r="D21" s="10"/>
      <c r="E21" s="11" t="s">
        <v>1083</v>
      </c>
      <c r="F21" s="9"/>
      <c r="G21" s="46" t="n"/>
      <c r="H21" s="46" t="n"/>
      <c r="I21" s="46" t="n"/>
      <c r="J21" s="46" t="n"/>
      <c r="K21" s="46" t="n"/>
      <c r="L21" s="46" t="n"/>
    </row>
    <row r="22" ht="28.0" customHeight="true">
      <c r="B22" s="10"/>
      <c r="C22" s="17"/>
      <c r="D22" s="10"/>
      <c r="E22" s="16" t="s">
        <v>1084</v>
      </c>
      <c r="F22" s="13"/>
      <c r="G22" s="47" t="n"/>
      <c r="H22" s="47" t="n"/>
      <c r="I22" s="47" t="n"/>
      <c r="J22" s="47" t="n"/>
      <c r="K22" s="47" t="n"/>
      <c r="L22" s="47" t="n"/>
    </row>
    <row r="23">
      <c r="B23" s="10"/>
      <c r="C23" s="17"/>
      <c r="D23" s="10"/>
      <c r="E23" s="14"/>
      <c r="F23" s="18" t="s">
        <v>1085</v>
      </c>
      <c r="G23" s="21"/>
      <c r="H23" s="21"/>
      <c r="I23" s="21"/>
      <c r="J23" s="21"/>
      <c r="K23" s="21"/>
      <c r="L23" s="21"/>
    </row>
    <row r="24">
      <c r="B24" s="10"/>
      <c r="C24" s="17"/>
      <c r="D24" s="11"/>
      <c r="E24" s="40" t="s">
        <v>1086</v>
      </c>
      <c r="F24" s="39"/>
      <c r="G24" s="47" t="n">
        <f>SUM(G16:G22)</f>
      </c>
      <c r="H24" s="47" t="n">
        <f>SUM(H16:H22)</f>
      </c>
      <c r="I24" s="47" t="n">
        <f>SUM(I16:I22)</f>
      </c>
      <c r="J24" s="47" t="n">
        <f>SUM(J16:J22)</f>
      </c>
      <c r="K24" s="47" t="n">
        <f>SUM(K16:K22)</f>
      </c>
      <c r="L24" s="47" t="n">
        <f>SUM(L16:L22)</f>
      </c>
    </row>
    <row r="25" ht="28.0" customHeight="true">
      <c r="B25" s="10"/>
      <c r="C25" s="17"/>
      <c r="D25" s="7" t="s">
        <v>1087</v>
      </c>
      <c r="E25" s="8"/>
      <c r="F25" s="9"/>
      <c r="G25" s="22"/>
      <c r="H25" s="22"/>
      <c r="I25" s="22"/>
      <c r="J25" s="22"/>
      <c r="K25" s="22"/>
      <c r="L25" s="22"/>
    </row>
    <row r="26" ht="28.0" customHeight="true">
      <c r="B26" s="10"/>
      <c r="C26" s="17"/>
      <c r="D26" s="10"/>
      <c r="E26" s="14" t="s">
        <v>1088</v>
      </c>
      <c r="F26" s="13"/>
      <c r="G26" s="47" t="n"/>
      <c r="H26" s="47" t="n"/>
      <c r="I26" s="47" t="n"/>
      <c r="J26" s="47" t="n"/>
      <c r="K26" s="47" t="n"/>
      <c r="L26" s="47" t="n"/>
    </row>
    <row r="27" ht="28.0" customHeight="true">
      <c r="B27" s="10"/>
      <c r="C27" s="17"/>
      <c r="D27" s="10"/>
      <c r="E27" s="11" t="s">
        <v>1089</v>
      </c>
      <c r="F27" s="9"/>
      <c r="G27" s="46" t="n"/>
      <c r="H27" s="46" t="n"/>
      <c r="I27" s="46" t="n"/>
      <c r="J27" s="46" t="n"/>
      <c r="K27" s="46" t="n"/>
      <c r="L27" s="46" t="n"/>
    </row>
    <row r="28" ht="28.0" customHeight="true">
      <c r="B28" s="10"/>
      <c r="C28" s="17"/>
      <c r="D28" s="10"/>
      <c r="E28" s="14" t="s">
        <v>1090</v>
      </c>
      <c r="F28" s="13"/>
      <c r="G28" s="47" t="n"/>
      <c r="H28" s="47" t="n"/>
      <c r="I28" s="47" t="n"/>
      <c r="J28" s="47" t="n"/>
      <c r="K28" s="47" t="n"/>
      <c r="L28" s="47" t="n"/>
    </row>
    <row r="29" ht="28.0" customHeight="true">
      <c r="B29" s="10"/>
      <c r="C29" s="17"/>
      <c r="D29" s="10"/>
      <c r="E29" s="11" t="s">
        <v>1091</v>
      </c>
      <c r="F29" s="9"/>
      <c r="G29" s="46" t="n"/>
      <c r="H29" s="46" t="n"/>
      <c r="I29" s="46" t="n"/>
      <c r="J29" s="46" t="n"/>
      <c r="K29" s="46" t="n"/>
      <c r="L29" s="46" t="n"/>
    </row>
    <row r="30" ht="28.0" customHeight="true">
      <c r="B30" s="10"/>
      <c r="C30" s="17"/>
      <c r="D30" s="10"/>
      <c r="E30" s="14" t="s">
        <v>1092</v>
      </c>
      <c r="F30" s="13"/>
      <c r="G30" s="47" t="n"/>
      <c r="H30" s="47" t="n"/>
      <c r="I30" s="47" t="n"/>
      <c r="J30" s="47" t="n"/>
      <c r="K30" s="47" t="n"/>
      <c r="L30" s="47" t="n"/>
    </row>
    <row r="31">
      <c r="B31" s="10"/>
      <c r="C31" s="17"/>
      <c r="D31" s="10"/>
      <c r="E31" s="11" t="s">
        <v>1093</v>
      </c>
      <c r="F31" s="9"/>
      <c r="G31" s="46" t="n"/>
      <c r="H31" s="46" t="n"/>
      <c r="I31" s="46" t="n"/>
      <c r="J31" s="46" t="n"/>
      <c r="K31" s="46" t="n"/>
      <c r="L31" s="46" t="n"/>
    </row>
    <row r="32" ht="28.0" customHeight="true">
      <c r="B32" s="10"/>
      <c r="C32" s="17"/>
      <c r="D32" s="10"/>
      <c r="E32" s="14" t="s">
        <v>1094</v>
      </c>
      <c r="F32" s="13"/>
      <c r="G32" s="47" t="n"/>
      <c r="H32" s="47" t="n"/>
      <c r="I32" s="47" t="n"/>
      <c r="J32" s="47" t="n"/>
      <c r="K32" s="47" t="n"/>
      <c r="L32" s="47" t="n"/>
    </row>
    <row r="33">
      <c r="B33" s="10"/>
      <c r="C33" s="17"/>
      <c r="D33" s="10"/>
      <c r="E33" s="11" t="s">
        <v>1095</v>
      </c>
      <c r="F33" s="9"/>
      <c r="G33" s="46" t="n"/>
      <c r="H33" s="46" t="n"/>
      <c r="I33" s="46" t="n"/>
      <c r="J33" s="46" t="n"/>
      <c r="K33" s="46" t="n"/>
      <c r="L33" s="46" t="n"/>
    </row>
    <row r="34">
      <c r="B34" s="10"/>
      <c r="C34" s="17"/>
      <c r="D34" s="10"/>
      <c r="E34" s="14" t="s">
        <v>1096</v>
      </c>
      <c r="F34" s="13"/>
      <c r="G34" s="47" t="n"/>
      <c r="H34" s="47" t="n"/>
      <c r="I34" s="47" t="n"/>
      <c r="J34" s="47" t="n"/>
      <c r="K34" s="47" t="n"/>
      <c r="L34" s="47" t="n"/>
    </row>
    <row r="35" ht="28.0" customHeight="true">
      <c r="B35" s="10"/>
      <c r="C35" s="17"/>
      <c r="D35" s="10"/>
      <c r="E35" s="11" t="s">
        <v>1097</v>
      </c>
      <c r="F35" s="9"/>
      <c r="G35" s="46" t="n"/>
      <c r="H35" s="46" t="n"/>
      <c r="I35" s="46" t="n"/>
      <c r="J35" s="46" t="n"/>
      <c r="K35" s="46" t="n"/>
      <c r="L35" s="46" t="n"/>
    </row>
    <row r="36" ht="28.0" customHeight="true">
      <c r="B36" s="10"/>
      <c r="C36" s="17"/>
      <c r="D36" s="10"/>
      <c r="E36" s="14" t="s">
        <v>1098</v>
      </c>
      <c r="F36" s="13"/>
      <c r="G36" s="47" t="n"/>
      <c r="H36" s="47" t="n"/>
      <c r="I36" s="47" t="n"/>
      <c r="J36" s="47" t="n"/>
      <c r="K36" s="47" t="n"/>
      <c r="L36" s="47" t="n"/>
    </row>
    <row r="37">
      <c r="B37" s="10"/>
      <c r="C37" s="17"/>
      <c r="D37" s="10"/>
      <c r="E37" s="11" t="s">
        <v>1099</v>
      </c>
      <c r="F37" s="9"/>
      <c r="G37" s="46" t="n"/>
      <c r="H37" s="46" t="n"/>
      <c r="I37" s="46" t="n"/>
      <c r="J37" s="46" t="n"/>
      <c r="K37" s="46" t="n"/>
      <c r="L37" s="46" t="n"/>
    </row>
    <row r="38" ht="28.0" customHeight="true">
      <c r="B38" s="10"/>
      <c r="C38" s="17"/>
      <c r="D38" s="10"/>
      <c r="E38" s="14" t="s">
        <v>1100</v>
      </c>
      <c r="F38" s="13"/>
      <c r="G38" s="47" t="n"/>
      <c r="H38" s="47" t="n"/>
      <c r="I38" s="47" t="n"/>
      <c r="J38" s="47" t="n"/>
      <c r="K38" s="47" t="n"/>
      <c r="L38" s="47" t="n"/>
    </row>
    <row r="39">
      <c r="B39" s="10"/>
      <c r="C39" s="17"/>
      <c r="D39" s="10"/>
      <c r="E39" s="11" t="s">
        <v>1101</v>
      </c>
      <c r="F39" s="9"/>
      <c r="G39" s="46" t="n"/>
      <c r="H39" s="46" t="n"/>
      <c r="I39" s="46" t="n"/>
      <c r="J39" s="46" t="n"/>
      <c r="K39" s="46" t="n"/>
      <c r="L39" s="46" t="n"/>
    </row>
    <row r="40">
      <c r="B40" s="10"/>
      <c r="C40" s="17"/>
      <c r="D40" s="10"/>
      <c r="E40" s="14" t="s">
        <v>1102</v>
      </c>
      <c r="F40" s="13"/>
      <c r="G40" s="47" t="n"/>
      <c r="H40" s="47" t="n"/>
      <c r="I40" s="47" t="n"/>
      <c r="J40" s="47" t="n"/>
      <c r="K40" s="47" t="n"/>
      <c r="L40" s="47" t="n"/>
    </row>
    <row r="41" ht="28.0" customHeight="true">
      <c r="B41" s="10"/>
      <c r="C41" s="17"/>
      <c r="D41" s="10"/>
      <c r="E41" s="7" t="s">
        <v>1103</v>
      </c>
      <c r="F41" s="9"/>
      <c r="G41" s="46" t="n"/>
      <c r="H41" s="46" t="n"/>
      <c r="I41" s="46" t="n"/>
      <c r="J41" s="46" t="n"/>
      <c r="K41" s="46" t="n"/>
      <c r="L41" s="46" t="n"/>
    </row>
    <row r="42">
      <c r="B42" s="10"/>
      <c r="C42" s="17"/>
      <c r="D42" s="10"/>
      <c r="E42" s="11"/>
      <c r="F42" s="19" t="s">
        <v>1104</v>
      </c>
      <c r="G42" s="20"/>
      <c r="H42" s="20"/>
      <c r="I42" s="20"/>
      <c r="J42" s="20"/>
      <c r="K42" s="20"/>
      <c r="L42" s="20"/>
    </row>
    <row r="43" ht="28.0" customHeight="true">
      <c r="B43" s="10"/>
      <c r="C43" s="17"/>
      <c r="D43" s="11"/>
      <c r="E43" s="45" t="s">
        <v>1105</v>
      </c>
      <c r="F43" s="44"/>
      <c r="G43" s="46" t="n">
        <f>SUM(G26:G41)</f>
      </c>
      <c r="H43" s="46" t="n">
        <f>SUM(H26:H41)</f>
      </c>
      <c r="I43" s="46" t="n">
        <f>SUM(I26:I41)</f>
      </c>
      <c r="J43" s="46" t="n">
        <f>SUM(J26:J41)</f>
      </c>
      <c r="K43" s="46" t="n">
        <f>SUM(K26:K41)</f>
      </c>
      <c r="L43" s="46" t="n">
        <f>SUM(L26:L41)</f>
      </c>
    </row>
    <row r="44">
      <c r="B44" s="10"/>
      <c r="C44" s="17"/>
      <c r="D44" s="16" t="s">
        <v>1106</v>
      </c>
      <c r="E44" s="37"/>
      <c r="F44" s="13"/>
      <c r="G44" s="23"/>
      <c r="H44" s="23"/>
      <c r="I44" s="23"/>
      <c r="J44" s="23"/>
      <c r="K44" s="23"/>
      <c r="L44" s="23"/>
    </row>
    <row r="45">
      <c r="B45" s="10"/>
      <c r="C45" s="17"/>
      <c r="D45" s="17"/>
      <c r="E45" s="11" t="s">
        <v>1107</v>
      </c>
      <c r="F45" s="9"/>
      <c r="G45" s="46" t="n"/>
      <c r="H45" s="46" t="n"/>
      <c r="I45" s="46" t="n"/>
      <c r="J45" s="46" t="n"/>
      <c r="K45" s="46" t="n"/>
      <c r="L45" s="46" t="n"/>
    </row>
    <row r="46">
      <c r="B46" s="10"/>
      <c r="C46" s="17"/>
      <c r="D46" s="17"/>
      <c r="E46" s="14" t="s">
        <v>1108</v>
      </c>
      <c r="F46" s="13"/>
      <c r="G46" s="47" t="n"/>
      <c r="H46" s="47" t="n"/>
      <c r="I46" s="47" t="n"/>
      <c r="J46" s="47" t="n"/>
      <c r="K46" s="47" t="n"/>
      <c r="L46" s="47" t="n"/>
    </row>
    <row r="47">
      <c r="B47" s="10"/>
      <c r="C47" s="17"/>
      <c r="D47" s="14"/>
      <c r="E47" s="45" t="s">
        <v>1109</v>
      </c>
      <c r="F47" s="44"/>
      <c r="G47" s="46" t="n">
        <f>G45+G46</f>
      </c>
      <c r="H47" s="46" t="n">
        <f>H45+H46</f>
      </c>
      <c r="I47" s="46" t="n">
        <f>I45+I46</f>
      </c>
      <c r="J47" s="46" t="n">
        <f>J45+J46</f>
      </c>
      <c r="K47" s="46" t="n">
        <f>K45+K46</f>
      </c>
      <c r="L47" s="46" t="n">
        <f>L45+L46</f>
      </c>
    </row>
    <row r="48">
      <c r="B48" s="10"/>
      <c r="C48" s="17"/>
      <c r="D48" s="14" t="s">
        <v>1110</v>
      </c>
      <c r="E48" s="37"/>
      <c r="F48" s="13"/>
      <c r="G48" s="47" t="n"/>
      <c r="H48" s="47" t="n"/>
      <c r="I48" s="47" t="n"/>
      <c r="J48" s="47" t="n"/>
      <c r="K48" s="47" t="n"/>
      <c r="L48" s="47" t="n"/>
    </row>
    <row r="49" ht="42.0" customHeight="true">
      <c r="B49" s="10"/>
      <c r="C49" s="17"/>
      <c r="D49" s="11" t="s">
        <v>1111</v>
      </c>
      <c r="E49" s="8"/>
      <c r="F49" s="9"/>
      <c r="G49" s="46" t="n"/>
      <c r="H49" s="46" t="n"/>
      <c r="I49" s="46" t="n"/>
      <c r="J49" s="46" t="n"/>
      <c r="K49" s="46" t="n"/>
      <c r="L49" s="46" t="n"/>
    </row>
    <row r="50">
      <c r="B50" s="10"/>
      <c r="C50" s="17"/>
      <c r="D50" s="14" t="s">
        <v>1112</v>
      </c>
      <c r="E50" s="37"/>
      <c r="F50" s="13"/>
      <c r="G50" s="47" t="n"/>
      <c r="H50" s="47" t="n"/>
      <c r="I50" s="47" t="n"/>
      <c r="J50" s="47" t="n"/>
      <c r="K50" s="47" t="n"/>
      <c r="L50" s="47" t="n"/>
    </row>
    <row r="51">
      <c r="B51" s="10"/>
      <c r="C51" s="17"/>
      <c r="D51" s="11" t="s">
        <v>1113</v>
      </c>
      <c r="E51" s="8"/>
      <c r="F51" s="9"/>
      <c r="G51" s="46" t="n"/>
      <c r="H51" s="46" t="n"/>
      <c r="I51" s="46" t="n"/>
      <c r="J51" s="46" t="n"/>
      <c r="K51" s="46" t="n"/>
      <c r="L51" s="46" t="n"/>
    </row>
    <row r="52">
      <c r="B52" s="10"/>
      <c r="C52" s="17"/>
      <c r="D52" s="14" t="s">
        <v>1114</v>
      </c>
      <c r="E52" s="37"/>
      <c r="F52" s="13"/>
      <c r="G52" s="47" t="n"/>
      <c r="H52" s="47" t="n"/>
      <c r="I52" s="47" t="n"/>
      <c r="J52" s="47" t="n"/>
      <c r="K52" s="47" t="n"/>
      <c r="L52" s="47" t="n"/>
    </row>
    <row r="53">
      <c r="B53" s="10"/>
      <c r="C53" s="17"/>
      <c r="D53" s="11" t="s">
        <v>1115</v>
      </c>
      <c r="E53" s="8"/>
      <c r="F53" s="9"/>
      <c r="G53" s="46" t="n"/>
      <c r="H53" s="46" t="n"/>
      <c r="I53" s="46" t="n"/>
      <c r="J53" s="46" t="n"/>
      <c r="K53" s="46" t="n"/>
      <c r="L53" s="46" t="n"/>
    </row>
    <row r="54">
      <c r="B54" s="10"/>
      <c r="C54" s="17"/>
      <c r="D54" s="16" t="s">
        <v>1116</v>
      </c>
      <c r="E54" s="37"/>
      <c r="F54" s="13"/>
      <c r="G54" s="47" t="n"/>
      <c r="H54" s="47" t="n"/>
      <c r="I54" s="47" t="n"/>
      <c r="J54" s="47" t="n"/>
      <c r="K54" s="47" t="n"/>
      <c r="L54" s="47" t="n"/>
    </row>
    <row r="55" ht="28.0" customHeight="true">
      <c r="B55" s="10"/>
      <c r="C55" s="17"/>
      <c r="D55" s="14"/>
      <c r="E55" s="11" t="s">
        <v>1117</v>
      </c>
      <c r="F55" s="9"/>
      <c r="G55" s="21"/>
      <c r="H55" s="21"/>
      <c r="I55" s="21"/>
      <c r="J55" s="21"/>
      <c r="K55" s="21"/>
      <c r="L55" s="21"/>
    </row>
    <row r="56">
      <c r="B56" s="10"/>
      <c r="C56" s="14"/>
      <c r="D56" s="40" t="s">
        <v>1118</v>
      </c>
      <c r="E56" s="41"/>
      <c r="F56" s="39"/>
      <c r="G56" s="47" t="n">
        <f>G24+G43+SUM(G47:G54)</f>
      </c>
      <c r="H56" s="47" t="n">
        <f>H24+H43+SUM(H47:H54)</f>
      </c>
      <c r="I56" s="47" t="n">
        <f>I24+I43+SUM(I47:I54)</f>
      </c>
      <c r="J56" s="47" t="n">
        <f>J24+J43+SUM(J47:J54)</f>
      </c>
      <c r="K56" s="47" t="n">
        <f>K24+K43+SUM(K47:K54)</f>
      </c>
      <c r="L56" s="47" t="n">
        <f>L24+L43+SUM(L47:L54)</f>
      </c>
    </row>
    <row r="57">
      <c r="B57" s="10"/>
      <c r="C57" s="7" t="s">
        <v>1119</v>
      </c>
      <c r="D57" s="8"/>
      <c r="E57" s="8"/>
      <c r="F57" s="9"/>
      <c r="G57" s="22"/>
      <c r="H57" s="22"/>
      <c r="I57" s="22"/>
      <c r="J57" s="22"/>
      <c r="K57" s="22"/>
      <c r="L57" s="22"/>
    </row>
    <row r="58">
      <c r="B58" s="10"/>
      <c r="C58" s="11"/>
      <c r="D58" s="14" t="s">
        <v>1120</v>
      </c>
      <c r="E58" s="37"/>
      <c r="F58" s="13"/>
      <c r="G58" s="47" t="n"/>
      <c r="H58" s="47" t="n"/>
      <c r="I58" s="47" t="n"/>
      <c r="J58" s="47" t="n"/>
      <c r="K58" s="47" t="n"/>
      <c r="L58" s="47" t="n"/>
    </row>
    <row r="59">
      <c r="B59" s="11"/>
      <c r="C59" s="45" t="s">
        <v>840</v>
      </c>
      <c r="D59" s="43"/>
      <c r="E59" s="43"/>
      <c r="F59" s="44"/>
      <c r="G59" s="48" t="n">
        <f>G58+G56</f>
      </c>
      <c r="H59" s="48" t="n">
        <f>H58+H56</f>
      </c>
      <c r="I59" s="48" t="n">
        <f>I58+I56</f>
      </c>
      <c r="J59" s="48" t="n">
        <f>J58+J56</f>
      </c>
      <c r="K59" s="48" t="n">
        <f>K58+K56</f>
      </c>
      <c r="L59" s="48" t="n">
        <f>L58+L56</f>
      </c>
    </row>
  </sheetData>
  <mergeCells>
    <mergeCell ref="G10:L10"/>
    <mergeCell ref="G11:L11"/>
    <mergeCell ref="B13:F13"/>
    <mergeCell ref="C14:F14"/>
    <mergeCell ref="D15:F15"/>
    <mergeCell ref="E16:F16"/>
    <mergeCell ref="E17:F17"/>
    <mergeCell ref="E18:F18"/>
    <mergeCell ref="E19:F19"/>
    <mergeCell ref="E20:F20"/>
    <mergeCell ref="E21:F21"/>
    <mergeCell ref="E22:F22"/>
    <mergeCell ref="E24:F24"/>
    <mergeCell ref="D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3:F43"/>
    <mergeCell ref="D44:F44"/>
    <mergeCell ref="E45:F45"/>
    <mergeCell ref="E46:F46"/>
    <mergeCell ref="E47:F47"/>
    <mergeCell ref="D48:F48"/>
    <mergeCell ref="D49:F49"/>
    <mergeCell ref="D50:F50"/>
    <mergeCell ref="D51:F51"/>
    <mergeCell ref="D52:F52"/>
    <mergeCell ref="D53:F53"/>
    <mergeCell ref="D54:F54"/>
    <mergeCell ref="E55:F55"/>
    <mergeCell ref="D56:F56"/>
    <mergeCell ref="C57:F57"/>
    <mergeCell ref="D58:F58"/>
    <mergeCell ref="C59:F59"/>
  </mergeCells>
  <hyperlinks>
    <hyperlink location="'Indice'!A1" ref="B2"/>
  </hyperlinks>
  <pageMargins bottom="0.75" footer="0.3" header="0.3" left="0.7" right="0.7" top="0.75"/>
</worksheet>
</file>

<file path=xl/worksheets/sheet38.xml><?xml version="1.0" encoding="utf-8"?>
<worksheet xmlns="http://schemas.openxmlformats.org/spreadsheetml/2006/main">
  <dimension ref="B2:L86"/>
  <sheetViews>
    <sheetView workbookViewId="0" showGridLines="false"/>
  </sheetViews>
  <sheetFormatPr defaultRowHeight="15.0"/>
  <cols>
    <col min="2" max="2" width="2.70703125" customWidth="true"/>
    <col min="3" max="3" width="2.70703125" customWidth="true"/>
    <col min="4" max="4" width="2.70703125" customWidth="true"/>
    <col min="5" max="5" width="50.0" customWidth="true"/>
    <col min="6" max="6" width="15.0" customWidth="true"/>
    <col min="7" max="7" width="15.0" customWidth="true"/>
    <col min="8" max="8" width="15.0" customWidth="true"/>
    <col min="9" max="9" width="15.0" customWidth="true"/>
    <col min="10" max="10" width="15.0" customWidth="true"/>
    <col min="11" max="11" width="15.0" customWidth="true"/>
  </cols>
  <sheetData>
    <row r="2">
      <c r="B2" t="s" s="2">
        <v>1</v>
      </c>
    </row>
    <row r="3">
      <c r="B3" t="s" s="1">
        <v>3</v>
      </c>
      <c r="C3" t="s">
        <v>4</v>
      </c>
    </row>
    <row r="4">
      <c r="B4" s="1" t="s">
        <v>5</v>
      </c>
      <c r="C4" t="s">
        <v>6</v>
      </c>
    </row>
    <row r="5">
      <c r="B5" t="s" s="1">
        <v>7</v>
      </c>
      <c r="C5" t="s">
        <v>1121</v>
      </c>
    </row>
    <row r="6">
      <c r="B6" t="s" s="1">
        <v>8</v>
      </c>
      <c r="C6" t="s">
        <v>9</v>
      </c>
    </row>
    <row r="7">
      <c r="B7" t="s" s="1">
        <v>10</v>
      </c>
      <c r="C7" t="s">
        <v>9</v>
      </c>
    </row>
    <row r="8">
      <c r="B8" t="s" s="1">
        <v>11</v>
      </c>
      <c r="C8" t="s">
        <v>12</v>
      </c>
    </row>
    <row r="10" ht="28.0" customHeight="true">
      <c r="F10" t="s" s="4">
        <v>1122</v>
      </c>
      <c r="G10" s="29"/>
      <c r="H10" s="29"/>
      <c r="I10" s="29"/>
      <c r="J10" s="29"/>
      <c r="K10" s="30"/>
    </row>
    <row r="11">
      <c r="F11" t="s" s="32">
        <v>1074</v>
      </c>
      <c r="G11" s="59"/>
      <c r="H11" s="59"/>
      <c r="I11" s="59"/>
      <c r="J11" s="59"/>
      <c r="K11" s="60"/>
    </row>
    <row r="12">
      <c r="F12" t="s" s="6">
        <v>38</v>
      </c>
      <c r="G12" t="s" s="34">
        <v>39</v>
      </c>
      <c r="H12" t="s" s="6">
        <v>40</v>
      </c>
      <c r="I12" t="s" s="34">
        <v>41</v>
      </c>
      <c r="J12" t="s" s="6">
        <v>42</v>
      </c>
      <c r="K12" s="34" t="s">
        <v>43</v>
      </c>
    </row>
    <row r="13">
      <c r="B13" s="7" t="s">
        <v>1123</v>
      </c>
      <c r="C13" s="8"/>
      <c r="D13" s="8"/>
      <c r="E13" s="9"/>
      <c r="F13" s="22"/>
      <c r="G13" s="22"/>
      <c r="H13" s="22"/>
      <c r="I13" s="22"/>
      <c r="J13" s="22"/>
      <c r="K13" s="22"/>
    </row>
    <row r="14">
      <c r="B14" s="10"/>
      <c r="C14" s="16" t="s">
        <v>1124</v>
      </c>
      <c r="D14" s="37"/>
      <c r="E14" s="13"/>
      <c r="F14" s="23"/>
      <c r="G14" s="23"/>
      <c r="H14" s="23"/>
      <c r="I14" s="23"/>
      <c r="J14" s="23"/>
      <c r="K14" s="23"/>
    </row>
    <row r="15">
      <c r="B15" s="10"/>
      <c r="C15" s="14"/>
      <c r="D15" s="11" t="s">
        <v>173</v>
      </c>
      <c r="E15" s="9"/>
      <c r="F15" s="46" t="n"/>
      <c r="G15" s="46" t="n"/>
      <c r="H15" s="46" t="n"/>
      <c r="I15" s="46" t="n"/>
      <c r="J15" s="46" t="n"/>
      <c r="K15" s="46" t="n"/>
    </row>
    <row r="16">
      <c r="B16" s="10"/>
      <c r="C16" s="16" t="s">
        <v>591</v>
      </c>
      <c r="D16" s="37"/>
      <c r="E16" s="13"/>
      <c r="F16" s="23"/>
      <c r="G16" s="23"/>
      <c r="H16" s="23"/>
      <c r="I16" s="23"/>
      <c r="J16" s="23"/>
      <c r="K16" s="23"/>
    </row>
    <row r="17">
      <c r="B17" s="10"/>
      <c r="C17" s="17"/>
      <c r="D17" s="11" t="s">
        <v>592</v>
      </c>
      <c r="E17" s="9"/>
      <c r="F17" s="46" t="n"/>
      <c r="G17" s="46" t="n"/>
      <c r="H17" s="46" t="n"/>
      <c r="I17" s="46" t="n"/>
      <c r="J17" s="46" t="n"/>
      <c r="K17" s="46" t="n"/>
    </row>
    <row r="18">
      <c r="B18" s="10"/>
      <c r="C18" s="17"/>
      <c r="D18" s="14" t="s">
        <v>593</v>
      </c>
      <c r="E18" s="13"/>
      <c r="F18" s="47" t="n"/>
      <c r="G18" s="47" t="n"/>
      <c r="H18" s="47" t="n"/>
      <c r="I18" s="47" t="n"/>
      <c r="J18" s="47" t="n"/>
      <c r="K18" s="47" t="n"/>
    </row>
    <row r="19">
      <c r="B19" s="10"/>
      <c r="C19" s="17"/>
      <c r="D19" s="11" t="s">
        <v>594</v>
      </c>
      <c r="E19" s="9"/>
      <c r="F19" s="46" t="n"/>
      <c r="G19" s="46" t="n"/>
      <c r="H19" s="46" t="n"/>
      <c r="I19" s="46" t="n"/>
      <c r="J19" s="46" t="n"/>
      <c r="K19" s="46" t="n"/>
    </row>
    <row r="20">
      <c r="B20" s="10"/>
      <c r="C20" s="17"/>
      <c r="D20" s="14" t="s">
        <v>595</v>
      </c>
      <c r="E20" s="13"/>
      <c r="F20" s="47" t="n"/>
      <c r="G20" s="47" t="n"/>
      <c r="H20" s="47" t="n"/>
      <c r="I20" s="47" t="n"/>
      <c r="J20" s="47" t="n"/>
      <c r="K20" s="47" t="n"/>
    </row>
    <row r="21">
      <c r="B21" s="10"/>
      <c r="C21" s="17"/>
      <c r="D21" s="11" t="s">
        <v>596</v>
      </c>
      <c r="E21" s="9"/>
      <c r="F21" s="46" t="n"/>
      <c r="G21" s="46" t="n"/>
      <c r="H21" s="46" t="n"/>
      <c r="I21" s="46" t="n"/>
      <c r="J21" s="46" t="n"/>
      <c r="K21" s="46" t="n"/>
    </row>
    <row r="22">
      <c r="B22" s="10"/>
      <c r="C22" s="17"/>
      <c r="D22" s="14" t="s">
        <v>597</v>
      </c>
      <c r="E22" s="13"/>
      <c r="F22" s="47" t="n"/>
      <c r="G22" s="47" t="n"/>
      <c r="H22" s="47" t="n"/>
      <c r="I22" s="47" t="n"/>
      <c r="J22" s="47" t="n"/>
      <c r="K22" s="47" t="n"/>
    </row>
    <row r="23">
      <c r="B23" s="10"/>
      <c r="C23" s="17"/>
      <c r="D23" s="11" t="s">
        <v>598</v>
      </c>
      <c r="E23" s="9"/>
      <c r="F23" s="46" t="n"/>
      <c r="G23" s="46" t="n"/>
      <c r="H23" s="46" t="n"/>
      <c r="I23" s="46" t="n"/>
      <c r="J23" s="46" t="n"/>
      <c r="K23" s="46" t="n"/>
    </row>
    <row r="24">
      <c r="B24" s="10"/>
      <c r="C24" s="17"/>
      <c r="D24" s="16" t="s">
        <v>599</v>
      </c>
      <c r="E24" s="13"/>
      <c r="F24" s="23"/>
      <c r="G24" s="23"/>
      <c r="H24" s="23"/>
      <c r="I24" s="23"/>
      <c r="J24" s="23"/>
      <c r="K24" s="23"/>
    </row>
    <row r="25">
      <c r="B25" s="10"/>
      <c r="C25" s="17"/>
      <c r="D25" s="17"/>
      <c r="E25" s="18" t="s">
        <v>600</v>
      </c>
      <c r="F25" s="46" t="n"/>
      <c r="G25" s="46" t="n"/>
      <c r="H25" s="46" t="n"/>
      <c r="I25" s="46" t="n"/>
      <c r="J25" s="46" t="n"/>
      <c r="K25" s="46" t="n"/>
    </row>
    <row r="26">
      <c r="B26" s="10"/>
      <c r="C26" s="17"/>
      <c r="D26" s="17"/>
      <c r="E26" s="19" t="s">
        <v>601</v>
      </c>
      <c r="F26" s="47" t="n"/>
      <c r="G26" s="47" t="n"/>
      <c r="H26" s="47" t="n"/>
      <c r="I26" s="47" t="n"/>
      <c r="J26" s="47" t="n"/>
      <c r="K26" s="47" t="n"/>
    </row>
    <row r="27">
      <c r="B27" s="10"/>
      <c r="C27" s="17"/>
      <c r="D27" s="17"/>
      <c r="E27" s="18" t="s">
        <v>602</v>
      </c>
      <c r="F27" s="46" t="n"/>
      <c r="G27" s="46" t="n"/>
      <c r="H27" s="46" t="n"/>
      <c r="I27" s="46" t="n"/>
      <c r="J27" s="46" t="n"/>
      <c r="K27" s="46" t="n"/>
    </row>
    <row r="28">
      <c r="B28" s="10"/>
      <c r="C28" s="17"/>
      <c r="D28" s="14"/>
      <c r="E28" s="52" t="s">
        <v>603</v>
      </c>
      <c r="F28" s="47" t="n">
        <f>SUM(F25:F27)</f>
      </c>
      <c r="G28" s="47" t="n">
        <f>SUM(G25:G27)</f>
      </c>
      <c r="H28" s="47" t="n">
        <f>SUM(H25:H27)</f>
      </c>
      <c r="I28" s="47" t="n">
        <f>SUM(I25:I27)</f>
      </c>
      <c r="J28" s="47" t="n">
        <f>SUM(J25:J27)</f>
      </c>
      <c r="K28" s="47" t="n">
        <f>SUM(K25:K27)</f>
      </c>
    </row>
    <row r="29">
      <c r="B29" s="10"/>
      <c r="C29" s="17"/>
      <c r="D29" s="11" t="s">
        <v>604</v>
      </c>
      <c r="E29" s="9"/>
      <c r="F29" s="46" t="n"/>
      <c r="G29" s="46" t="n"/>
      <c r="H29" s="46" t="n"/>
      <c r="I29" s="46" t="n"/>
      <c r="J29" s="46" t="n"/>
      <c r="K29" s="46" t="n"/>
    </row>
    <row r="30">
      <c r="B30" s="10"/>
      <c r="C30" s="17"/>
      <c r="D30" s="16" t="s">
        <v>605</v>
      </c>
      <c r="E30" s="13"/>
      <c r="F30" s="23"/>
      <c r="G30" s="23"/>
      <c r="H30" s="23"/>
      <c r="I30" s="23"/>
      <c r="J30" s="23"/>
      <c r="K30" s="23"/>
    </row>
    <row r="31">
      <c r="B31" s="10"/>
      <c r="C31" s="17"/>
      <c r="D31" s="17"/>
      <c r="E31" s="18" t="s">
        <v>606</v>
      </c>
      <c r="F31" s="46" t="n"/>
      <c r="G31" s="46" t="n"/>
      <c r="H31" s="46" t="n"/>
      <c r="I31" s="46" t="n"/>
      <c r="J31" s="46" t="n"/>
      <c r="K31" s="46" t="n"/>
    </row>
    <row r="32">
      <c r="B32" s="10"/>
      <c r="C32" s="17"/>
      <c r="D32" s="17"/>
      <c r="E32" s="19" t="s">
        <v>607</v>
      </c>
      <c r="F32" s="47" t="n"/>
      <c r="G32" s="47" t="n"/>
      <c r="H32" s="47" t="n"/>
      <c r="I32" s="47" t="n"/>
      <c r="J32" s="47" t="n"/>
      <c r="K32" s="47" t="n"/>
    </row>
    <row r="33">
      <c r="B33" s="10"/>
      <c r="C33" s="17"/>
      <c r="D33" s="17"/>
      <c r="E33" s="18" t="s">
        <v>608</v>
      </c>
      <c r="F33" s="46" t="n"/>
      <c r="G33" s="46" t="n"/>
      <c r="H33" s="46" t="n"/>
      <c r="I33" s="46" t="n"/>
      <c r="J33" s="46" t="n"/>
      <c r="K33" s="46" t="n"/>
    </row>
    <row r="34">
      <c r="B34" s="10"/>
      <c r="C34" s="17"/>
      <c r="D34" s="17"/>
      <c r="E34" s="19" t="s">
        <v>609</v>
      </c>
      <c r="F34" s="47" t="n"/>
      <c r="G34" s="47" t="n"/>
      <c r="H34" s="47" t="n"/>
      <c r="I34" s="47" t="n"/>
      <c r="J34" s="47" t="n"/>
      <c r="K34" s="47" t="n"/>
    </row>
    <row r="35">
      <c r="B35" s="10"/>
      <c r="C35" s="17"/>
      <c r="D35" s="17"/>
      <c r="E35" s="18" t="s">
        <v>610</v>
      </c>
      <c r="F35" s="46" t="n"/>
      <c r="G35" s="46" t="n"/>
      <c r="H35" s="46" t="n"/>
      <c r="I35" s="46" t="n"/>
      <c r="J35" s="46" t="n"/>
      <c r="K35" s="46" t="n"/>
    </row>
    <row r="36">
      <c r="B36" s="10"/>
      <c r="C36" s="17"/>
      <c r="D36" s="17"/>
      <c r="E36" s="19" t="s">
        <v>611</v>
      </c>
      <c r="F36" s="47" t="n"/>
      <c r="G36" s="47" t="n"/>
      <c r="H36" s="47" t="n"/>
      <c r="I36" s="47" t="n"/>
      <c r="J36" s="47" t="n"/>
      <c r="K36" s="47" t="n"/>
    </row>
    <row r="37">
      <c r="B37" s="10"/>
      <c r="C37" s="17"/>
      <c r="D37" s="14"/>
      <c r="E37" s="51" t="s">
        <v>612</v>
      </c>
      <c r="F37" s="46" t="n">
        <f>SUM(F31:F36)</f>
      </c>
      <c r="G37" s="46" t="n">
        <f>SUM(G31:G36)</f>
      </c>
      <c r="H37" s="46" t="n">
        <f>SUM(H31:H36)</f>
      </c>
      <c r="I37" s="46" t="n">
        <f>SUM(I31:I36)</f>
      </c>
      <c r="J37" s="46" t="n">
        <f>SUM(J31:J36)</f>
      </c>
      <c r="K37" s="46" t="n">
        <f>SUM(K31:K36)</f>
      </c>
    </row>
    <row r="38">
      <c r="B38" s="10"/>
      <c r="C38" s="17"/>
      <c r="D38" s="14" t="s">
        <v>613</v>
      </c>
      <c r="E38" s="13"/>
      <c r="F38" s="47" t="n"/>
      <c r="G38" s="47" t="n"/>
      <c r="H38" s="47" t="n"/>
      <c r="I38" s="47" t="n"/>
      <c r="J38" s="47" t="n"/>
      <c r="K38" s="47" t="n"/>
    </row>
    <row r="39">
      <c r="B39" s="10"/>
      <c r="C39" s="17"/>
      <c r="D39" s="11" t="s">
        <v>614</v>
      </c>
      <c r="E39" s="9"/>
      <c r="F39" s="46" t="n"/>
      <c r="G39" s="46" t="n"/>
      <c r="H39" s="46" t="n"/>
      <c r="I39" s="46" t="n"/>
      <c r="J39" s="46" t="n"/>
      <c r="K39" s="46" t="n"/>
    </row>
    <row r="40">
      <c r="B40" s="10"/>
      <c r="C40" s="17"/>
      <c r="D40" s="16" t="s">
        <v>615</v>
      </c>
      <c r="E40" s="13"/>
      <c r="F40" s="23"/>
      <c r="G40" s="23"/>
      <c r="H40" s="23"/>
      <c r="I40" s="23"/>
      <c r="J40" s="23"/>
      <c r="K40" s="23"/>
    </row>
    <row r="41">
      <c r="B41" s="10"/>
      <c r="C41" s="17"/>
      <c r="D41" s="17"/>
      <c r="E41" s="18" t="s">
        <v>616</v>
      </c>
      <c r="F41" s="46" t="n"/>
      <c r="G41" s="46" t="n"/>
      <c r="H41" s="46" t="n"/>
      <c r="I41" s="46" t="n"/>
      <c r="J41" s="46" t="n"/>
      <c r="K41" s="46" t="n"/>
    </row>
    <row r="42">
      <c r="B42" s="10"/>
      <c r="C42" s="17"/>
      <c r="D42" s="17"/>
      <c r="E42" s="19" t="s">
        <v>617</v>
      </c>
      <c r="F42" s="47" t="n"/>
      <c r="G42" s="47" t="n"/>
      <c r="H42" s="47" t="n"/>
      <c r="I42" s="47" t="n"/>
      <c r="J42" s="47" t="n"/>
      <c r="K42" s="47" t="n"/>
    </row>
    <row r="43">
      <c r="B43" s="10"/>
      <c r="C43" s="17"/>
      <c r="D43" s="17"/>
      <c r="E43" s="18" t="s">
        <v>618</v>
      </c>
      <c r="F43" s="46" t="n"/>
      <c r="G43" s="46" t="n"/>
      <c r="H43" s="46" t="n"/>
      <c r="I43" s="46" t="n"/>
      <c r="J43" s="46" t="n"/>
      <c r="K43" s="46" t="n"/>
    </row>
    <row r="44">
      <c r="B44" s="10"/>
      <c r="C44" s="17"/>
      <c r="D44" s="17"/>
      <c r="E44" s="19" t="s">
        <v>619</v>
      </c>
      <c r="F44" s="47" t="n"/>
      <c r="G44" s="47" t="n"/>
      <c r="H44" s="47" t="n"/>
      <c r="I44" s="47" t="n"/>
      <c r="J44" s="47" t="n"/>
      <c r="K44" s="47" t="n"/>
    </row>
    <row r="45">
      <c r="B45" s="10"/>
      <c r="C45" s="17"/>
      <c r="D45" s="17"/>
      <c r="E45" s="18" t="s">
        <v>620</v>
      </c>
      <c r="F45" s="46" t="n"/>
      <c r="G45" s="46" t="n"/>
      <c r="H45" s="46" t="n"/>
      <c r="I45" s="46" t="n"/>
      <c r="J45" s="46" t="n"/>
      <c r="K45" s="46" t="n"/>
    </row>
    <row r="46">
      <c r="B46" s="10"/>
      <c r="C46" s="17"/>
      <c r="D46" s="17"/>
      <c r="E46" s="19" t="s">
        <v>621</v>
      </c>
      <c r="F46" s="47" t="n"/>
      <c r="G46" s="47" t="n"/>
      <c r="H46" s="47" t="n"/>
      <c r="I46" s="47" t="n"/>
      <c r="J46" s="47" t="n"/>
      <c r="K46" s="47" t="n"/>
    </row>
    <row r="47">
      <c r="B47" s="10"/>
      <c r="C47" s="17"/>
      <c r="D47" s="17"/>
      <c r="E47" s="18" t="s">
        <v>622</v>
      </c>
      <c r="F47" s="46" t="n"/>
      <c r="G47" s="46" t="n"/>
      <c r="H47" s="46" t="n"/>
      <c r="I47" s="46" t="n"/>
      <c r="J47" s="46" t="n"/>
      <c r="K47" s="46" t="n"/>
    </row>
    <row r="48">
      <c r="B48" s="10"/>
      <c r="C48" s="17"/>
      <c r="D48" s="17"/>
      <c r="E48" s="19" t="s">
        <v>623</v>
      </c>
      <c r="F48" s="47" t="n"/>
      <c r="G48" s="47" t="n"/>
      <c r="H48" s="47" t="n"/>
      <c r="I48" s="47" t="n"/>
      <c r="J48" s="47" t="n"/>
      <c r="K48" s="47" t="n"/>
    </row>
    <row r="49">
      <c r="B49" s="10"/>
      <c r="C49" s="17"/>
      <c r="D49" s="17"/>
      <c r="E49" s="18" t="s">
        <v>624</v>
      </c>
      <c r="F49" s="46" t="n"/>
      <c r="G49" s="46" t="n"/>
      <c r="H49" s="46" t="n"/>
      <c r="I49" s="46" t="n"/>
      <c r="J49" s="46" t="n"/>
      <c r="K49" s="46" t="n"/>
    </row>
    <row r="50">
      <c r="B50" s="10"/>
      <c r="C50" s="17"/>
      <c r="D50" s="17"/>
      <c r="E50" s="19" t="s">
        <v>625</v>
      </c>
      <c r="F50" s="47" t="n"/>
      <c r="G50" s="47" t="n"/>
      <c r="H50" s="47" t="n"/>
      <c r="I50" s="47" t="n"/>
      <c r="J50" s="47" t="n"/>
      <c r="K50" s="47" t="n"/>
    </row>
    <row r="51">
      <c r="B51" s="10"/>
      <c r="C51" s="17"/>
      <c r="D51" s="17"/>
      <c r="E51" s="18" t="s">
        <v>626</v>
      </c>
      <c r="F51" s="46" t="n"/>
      <c r="G51" s="46" t="n"/>
      <c r="H51" s="46" t="n"/>
      <c r="I51" s="46" t="n"/>
      <c r="J51" s="46" t="n"/>
      <c r="K51" s="46" t="n"/>
    </row>
    <row r="52">
      <c r="B52" s="10"/>
      <c r="C52" s="17"/>
      <c r="D52" s="17"/>
      <c r="E52" s="19" t="s">
        <v>627</v>
      </c>
      <c r="F52" s="47" t="n"/>
      <c r="G52" s="47" t="n"/>
      <c r="H52" s="47" t="n"/>
      <c r="I52" s="47" t="n"/>
      <c r="J52" s="47" t="n"/>
      <c r="K52" s="47" t="n"/>
    </row>
    <row r="53">
      <c r="B53" s="10"/>
      <c r="C53" s="17"/>
      <c r="D53" s="17"/>
      <c r="E53" s="18" t="s">
        <v>628</v>
      </c>
      <c r="F53" s="46" t="n"/>
      <c r="G53" s="46" t="n"/>
      <c r="H53" s="46" t="n"/>
      <c r="I53" s="46" t="n"/>
      <c r="J53" s="46" t="n"/>
      <c r="K53" s="46" t="n"/>
    </row>
    <row r="54">
      <c r="B54" s="10"/>
      <c r="C54" s="17"/>
      <c r="D54" s="14"/>
      <c r="E54" s="19" t="s">
        <v>629</v>
      </c>
      <c r="F54" s="47" t="n">
        <f>SUM(F41:F53)</f>
      </c>
      <c r="G54" s="47" t="n">
        <f>SUM(G41:G53)</f>
      </c>
      <c r="H54" s="47" t="n">
        <f>SUM(H41:H53)</f>
      </c>
      <c r="I54" s="47" t="n">
        <f>SUM(I41:I53)</f>
      </c>
      <c r="J54" s="47" t="n">
        <f>SUM(J41:J53)</f>
      </c>
      <c r="K54" s="47" t="n">
        <f>SUM(K41:K53)</f>
      </c>
    </row>
    <row r="55">
      <c r="B55" s="10"/>
      <c r="C55" s="17"/>
      <c r="D55" s="7" t="s">
        <v>630</v>
      </c>
      <c r="E55" s="9"/>
      <c r="F55" s="22"/>
      <c r="G55" s="22"/>
      <c r="H55" s="22"/>
      <c r="I55" s="22"/>
      <c r="J55" s="22"/>
      <c r="K55" s="22"/>
    </row>
    <row r="56">
      <c r="B56" s="10"/>
      <c r="C56" s="17"/>
      <c r="D56" s="10"/>
      <c r="E56" s="19" t="s">
        <v>631</v>
      </c>
      <c r="F56" s="47" t="n"/>
      <c r="G56" s="47" t="n"/>
      <c r="H56" s="47" t="n"/>
      <c r="I56" s="47" t="n"/>
      <c r="J56" s="47" t="n"/>
      <c r="K56" s="47" t="n"/>
    </row>
    <row r="57">
      <c r="B57" s="10"/>
      <c r="C57" s="17"/>
      <c r="D57" s="10"/>
      <c r="E57" s="18" t="s">
        <v>632</v>
      </c>
      <c r="F57" s="46" t="n"/>
      <c r="G57" s="46" t="n"/>
      <c r="H57" s="46" t="n"/>
      <c r="I57" s="46" t="n"/>
      <c r="J57" s="46" t="n"/>
      <c r="K57" s="46" t="n"/>
    </row>
    <row r="58">
      <c r="B58" s="10"/>
      <c r="C58" s="17"/>
      <c r="D58" s="10"/>
      <c r="E58" s="19" t="s">
        <v>633</v>
      </c>
      <c r="F58" s="47" t="n"/>
      <c r="G58" s="47" t="n"/>
      <c r="H58" s="47" t="n"/>
      <c r="I58" s="47" t="n"/>
      <c r="J58" s="47" t="n"/>
      <c r="K58" s="47" t="n"/>
    </row>
    <row r="59">
      <c r="B59" s="10"/>
      <c r="C59" s="17"/>
      <c r="D59" s="10"/>
      <c r="E59" s="18" t="s">
        <v>634</v>
      </c>
      <c r="F59" s="46" t="n"/>
      <c r="G59" s="46" t="n"/>
      <c r="H59" s="46" t="n"/>
      <c r="I59" s="46" t="n"/>
      <c r="J59" s="46" t="n"/>
      <c r="K59" s="46" t="n"/>
    </row>
    <row r="60">
      <c r="B60" s="10"/>
      <c r="C60" s="17"/>
      <c r="D60" s="10"/>
      <c r="E60" s="19" t="s">
        <v>635</v>
      </c>
      <c r="F60" s="47" t="n"/>
      <c r="G60" s="47" t="n"/>
      <c r="H60" s="47" t="n"/>
      <c r="I60" s="47" t="n"/>
      <c r="J60" s="47" t="n"/>
      <c r="K60" s="47" t="n"/>
    </row>
    <row r="61">
      <c r="B61" s="10"/>
      <c r="C61" s="17"/>
      <c r="D61" s="10"/>
      <c r="E61" s="18" t="s">
        <v>636</v>
      </c>
      <c r="F61" s="46" t="n"/>
      <c r="G61" s="46" t="n"/>
      <c r="H61" s="46" t="n"/>
      <c r="I61" s="46" t="n"/>
      <c r="J61" s="46" t="n"/>
      <c r="K61" s="46" t="n"/>
    </row>
    <row r="62">
      <c r="B62" s="10"/>
      <c r="C62" s="17"/>
      <c r="D62" s="10"/>
      <c r="E62" s="19" t="s">
        <v>637</v>
      </c>
      <c r="F62" s="47" t="n"/>
      <c r="G62" s="47" t="n"/>
      <c r="H62" s="47" t="n"/>
      <c r="I62" s="47" t="n"/>
      <c r="J62" s="47" t="n"/>
      <c r="K62" s="47" t="n"/>
    </row>
    <row r="63">
      <c r="B63" s="10"/>
      <c r="C63" s="17"/>
      <c r="D63" s="10"/>
      <c r="E63" s="18" t="s">
        <v>638</v>
      </c>
      <c r="F63" s="46" t="n"/>
      <c r="G63" s="46" t="n"/>
      <c r="H63" s="46" t="n"/>
      <c r="I63" s="46" t="n"/>
      <c r="J63" s="46" t="n"/>
      <c r="K63" s="46" t="n"/>
    </row>
    <row r="64">
      <c r="B64" s="10"/>
      <c r="C64" s="17"/>
      <c r="D64" s="10"/>
      <c r="E64" s="19" t="s">
        <v>639</v>
      </c>
      <c r="F64" s="47" t="n"/>
      <c r="G64" s="47" t="n"/>
      <c r="H64" s="47" t="n"/>
      <c r="I64" s="47" t="n"/>
      <c r="J64" s="47" t="n"/>
      <c r="K64" s="47" t="n"/>
    </row>
    <row r="65">
      <c r="B65" s="10"/>
      <c r="C65" s="17"/>
      <c r="D65" s="10"/>
      <c r="E65" s="18" t="s">
        <v>640</v>
      </c>
      <c r="F65" s="46" t="n"/>
      <c r="G65" s="46" t="n"/>
      <c r="H65" s="46" t="n"/>
      <c r="I65" s="46" t="n"/>
      <c r="J65" s="46" t="n"/>
      <c r="K65" s="46" t="n"/>
    </row>
    <row r="66">
      <c r="B66" s="10"/>
      <c r="C66" s="17"/>
      <c r="D66" s="10"/>
      <c r="E66" s="19" t="s">
        <v>641</v>
      </c>
      <c r="F66" s="47" t="n"/>
      <c r="G66" s="47" t="n"/>
      <c r="H66" s="47" t="n"/>
      <c r="I66" s="47" t="n"/>
      <c r="J66" s="47" t="n"/>
      <c r="K66" s="47" t="n"/>
    </row>
    <row r="67">
      <c r="B67" s="10"/>
      <c r="C67" s="17"/>
      <c r="D67" s="11"/>
      <c r="E67" s="51" t="s">
        <v>642</v>
      </c>
      <c r="F67" s="46" t="n">
        <f>SUM(F56:F66)</f>
      </c>
      <c r="G67" s="46" t="n">
        <f>SUM(G56:G66)</f>
      </c>
      <c r="H67" s="46" t="n">
        <f>SUM(H56:H66)</f>
      </c>
      <c r="I67" s="46" t="n">
        <f>SUM(I56:I66)</f>
      </c>
      <c r="J67" s="46" t="n">
        <f>SUM(J56:J66)</f>
      </c>
      <c r="K67" s="46" t="n">
        <f>SUM(K56:K66)</f>
      </c>
    </row>
    <row r="68">
      <c r="B68" s="10"/>
      <c r="C68" s="17"/>
      <c r="D68" s="16" t="s">
        <v>643</v>
      </c>
      <c r="E68" s="13"/>
      <c r="F68" s="23"/>
      <c r="G68" s="23"/>
      <c r="H68" s="23"/>
      <c r="I68" s="23"/>
      <c r="J68" s="23"/>
      <c r="K68" s="23"/>
    </row>
    <row r="69">
      <c r="B69" s="10"/>
      <c r="C69" s="17"/>
      <c r="D69" s="17"/>
      <c r="E69" s="18" t="s">
        <v>644</v>
      </c>
      <c r="F69" s="46" t="n"/>
      <c r="G69" s="46" t="n"/>
      <c r="H69" s="46" t="n"/>
      <c r="I69" s="46" t="n"/>
      <c r="J69" s="46" t="n"/>
      <c r="K69" s="46" t="n"/>
    </row>
    <row r="70">
      <c r="B70" s="10"/>
      <c r="C70" s="17"/>
      <c r="D70" s="17"/>
      <c r="E70" s="19" t="s">
        <v>645</v>
      </c>
      <c r="F70" s="47" t="n"/>
      <c r="G70" s="47" t="n"/>
      <c r="H70" s="47" t="n"/>
      <c r="I70" s="47" t="n"/>
      <c r="J70" s="47" t="n"/>
      <c r="K70" s="47" t="n"/>
    </row>
    <row r="71">
      <c r="B71" s="10"/>
      <c r="C71" s="17"/>
      <c r="D71" s="17"/>
      <c r="E71" s="18" t="s">
        <v>646</v>
      </c>
      <c r="F71" s="46" t="n"/>
      <c r="G71" s="46" t="n"/>
      <c r="H71" s="46" t="n"/>
      <c r="I71" s="46" t="n"/>
      <c r="J71" s="46" t="n"/>
      <c r="K71" s="46" t="n"/>
    </row>
    <row r="72">
      <c r="B72" s="10"/>
      <c r="C72" s="17"/>
      <c r="D72" s="17"/>
      <c r="E72" s="19" t="s">
        <v>647</v>
      </c>
      <c r="F72" s="47" t="n"/>
      <c r="G72" s="47" t="n"/>
      <c r="H72" s="47" t="n"/>
      <c r="I72" s="47" t="n"/>
      <c r="J72" s="47" t="n"/>
      <c r="K72" s="47" t="n"/>
    </row>
    <row r="73">
      <c r="B73" s="10"/>
      <c r="C73" s="17"/>
      <c r="D73" s="17"/>
      <c r="E73" s="18" t="s">
        <v>648</v>
      </c>
      <c r="F73" s="46" t="n"/>
      <c r="G73" s="46" t="n"/>
      <c r="H73" s="46" t="n"/>
      <c r="I73" s="46" t="n"/>
      <c r="J73" s="46" t="n"/>
      <c r="K73" s="46" t="n"/>
    </row>
    <row r="74">
      <c r="B74" s="10"/>
      <c r="C74" s="17"/>
      <c r="D74" s="17"/>
      <c r="E74" s="19" t="s">
        <v>649</v>
      </c>
      <c r="F74" s="47" t="n"/>
      <c r="G74" s="47" t="n"/>
      <c r="H74" s="47" t="n"/>
      <c r="I74" s="47" t="n"/>
      <c r="J74" s="47" t="n"/>
      <c r="K74" s="47" t="n"/>
    </row>
    <row r="75">
      <c r="B75" s="10"/>
      <c r="C75" s="17"/>
      <c r="D75" s="14"/>
      <c r="E75" s="51" t="s">
        <v>650</v>
      </c>
      <c r="F75" s="46" t="n">
        <f>SUM(F69:F74)</f>
      </c>
      <c r="G75" s="46" t="n">
        <f>SUM(G69:G74)</f>
      </c>
      <c r="H75" s="46" t="n">
        <f>SUM(H69:H74)</f>
      </c>
      <c r="I75" s="46" t="n">
        <f>SUM(I69:I74)</f>
      </c>
      <c r="J75" s="46" t="n">
        <f>SUM(J69:J74)</f>
      </c>
      <c r="K75" s="46" t="n">
        <f>SUM(K69:K74)</f>
      </c>
    </row>
    <row r="76">
      <c r="B76" s="10"/>
      <c r="C76" s="17"/>
      <c r="D76" s="14" t="s">
        <v>651</v>
      </c>
      <c r="E76" s="13"/>
      <c r="F76" s="47" t="n"/>
      <c r="G76" s="47" t="n"/>
      <c r="H76" s="47" t="n"/>
      <c r="I76" s="47" t="n"/>
      <c r="J76" s="47" t="n"/>
      <c r="K76" s="47" t="n"/>
    </row>
    <row r="77">
      <c r="B77" s="10"/>
      <c r="C77" s="17"/>
      <c r="D77" s="11" t="s">
        <v>652</v>
      </c>
      <c r="E77" s="9"/>
      <c r="F77" s="46" t="n"/>
      <c r="G77" s="46" t="n"/>
      <c r="H77" s="46" t="n"/>
      <c r="I77" s="46" t="n"/>
      <c r="J77" s="46" t="n"/>
      <c r="K77" s="46" t="n"/>
    </row>
    <row r="78">
      <c r="B78" s="10"/>
      <c r="C78" s="17"/>
      <c r="D78" s="14" t="s">
        <v>653</v>
      </c>
      <c r="E78" s="13"/>
      <c r="F78" s="47" t="n"/>
      <c r="G78" s="47" t="n"/>
      <c r="H78" s="47" t="n"/>
      <c r="I78" s="47" t="n"/>
      <c r="J78" s="47" t="n"/>
      <c r="K78" s="47" t="n"/>
    </row>
    <row r="79">
      <c r="B79" s="10"/>
      <c r="C79" s="17"/>
      <c r="D79" s="11" t="s">
        <v>654</v>
      </c>
      <c r="E79" s="9"/>
      <c r="F79" s="46" t="n"/>
      <c r="G79" s="46" t="n"/>
      <c r="H79" s="46" t="n"/>
      <c r="I79" s="46" t="n"/>
      <c r="J79" s="46" t="n"/>
      <c r="K79" s="46" t="n"/>
    </row>
    <row r="80">
      <c r="B80" s="10"/>
      <c r="C80" s="17"/>
      <c r="D80" s="14" t="s">
        <v>655</v>
      </c>
      <c r="E80" s="13"/>
      <c r="F80" s="47" t="n"/>
      <c r="G80" s="47" t="n"/>
      <c r="H80" s="47" t="n"/>
      <c r="I80" s="47" t="n"/>
      <c r="J80" s="47" t="n"/>
      <c r="K80" s="47" t="n"/>
    </row>
    <row r="81">
      <c r="B81" s="10"/>
      <c r="C81" s="17"/>
      <c r="D81" s="11" t="s">
        <v>656</v>
      </c>
      <c r="E81" s="9"/>
      <c r="F81" s="46" t="n"/>
      <c r="G81" s="46" t="n"/>
      <c r="H81" s="46" t="n"/>
      <c r="I81" s="46" t="n"/>
      <c r="J81" s="46" t="n"/>
      <c r="K81" s="46" t="n"/>
    </row>
    <row r="82">
      <c r="B82" s="10"/>
      <c r="C82" s="17"/>
      <c r="D82" s="14" t="s">
        <v>657</v>
      </c>
      <c r="E82" s="13"/>
      <c r="F82" s="47" t="n"/>
      <c r="G82" s="47" t="n"/>
      <c r="H82" s="47" t="n"/>
      <c r="I82" s="47" t="n"/>
      <c r="J82" s="47" t="n"/>
      <c r="K82" s="47" t="n"/>
    </row>
    <row r="83">
      <c r="B83" s="10"/>
      <c r="C83" s="17"/>
      <c r="D83" s="11" t="s">
        <v>658</v>
      </c>
      <c r="E83" s="9"/>
      <c r="F83" s="46" t="n"/>
      <c r="G83" s="46" t="n"/>
      <c r="H83" s="46" t="n"/>
      <c r="I83" s="46" t="n"/>
      <c r="J83" s="46" t="n"/>
      <c r="K83" s="46" t="n"/>
    </row>
    <row r="84">
      <c r="B84" s="10"/>
      <c r="C84" s="17"/>
      <c r="D84" s="14" t="s">
        <v>659</v>
      </c>
      <c r="E84" s="13"/>
      <c r="F84" s="47" t="n"/>
      <c r="G84" s="47" t="n"/>
      <c r="H84" s="47" t="n"/>
      <c r="I84" s="47" t="n"/>
      <c r="J84" s="47" t="n"/>
      <c r="K84" s="47" t="n"/>
    </row>
    <row r="85">
      <c r="B85" s="10"/>
      <c r="C85" s="17"/>
      <c r="D85" s="11" t="s">
        <v>660</v>
      </c>
      <c r="E85" s="9"/>
      <c r="F85" s="46" t="n"/>
      <c r="G85" s="46" t="n"/>
      <c r="H85" s="46" t="n"/>
      <c r="I85" s="46" t="n"/>
      <c r="J85" s="46" t="n"/>
      <c r="K85" s="46" t="n"/>
    </row>
    <row r="86">
      <c r="B86" s="11"/>
      <c r="C86" s="14"/>
      <c r="D86" s="40" t="s">
        <v>661</v>
      </c>
      <c r="E86" s="39"/>
      <c r="F86" s="53" t="n">
        <f>SUM(F17:F23)+F28+F29+SUM(F37:F39)+F54+F67+SUM(F75:F85)</f>
      </c>
      <c r="G86" s="53" t="n">
        <f>SUM(G17:G23)+G28+G29+SUM(G37:G39)+G54+G67+SUM(G75:G85)</f>
      </c>
      <c r="H86" s="53" t="n">
        <f>SUM(H17:H23)+H28+H29+SUM(H37:H39)+H54+H67+SUM(H75:H85)</f>
      </c>
      <c r="I86" s="53" t="n">
        <f>SUM(I17:I23)+I28+I29+SUM(I37:I39)+I54+I67+SUM(I75:I85)</f>
      </c>
      <c r="J86" s="53" t="n">
        <f>SUM(J17:J23)+J28+J29+SUM(J37:J39)+J54+J67+SUM(J75:J85)</f>
      </c>
      <c r="K86" s="53" t="n">
        <f>SUM(K17:K23)+K28+K29+SUM(K37:K39)+K54+K67+SUM(K75:K85)</f>
      </c>
    </row>
  </sheetData>
  <mergeCells>
    <mergeCell ref="F10:K10"/>
    <mergeCell ref="F11:K11"/>
    <mergeCell ref="B13:E13"/>
    <mergeCell ref="C14:E14"/>
    <mergeCell ref="D15:E15"/>
    <mergeCell ref="C16:E16"/>
    <mergeCell ref="D17:E17"/>
    <mergeCell ref="D18:E18"/>
    <mergeCell ref="D19:E19"/>
    <mergeCell ref="D20:E20"/>
    <mergeCell ref="D21:E21"/>
    <mergeCell ref="D22:E22"/>
    <mergeCell ref="D23:E23"/>
    <mergeCell ref="D24:E24"/>
    <mergeCell ref="D29:E29"/>
    <mergeCell ref="D30:E30"/>
    <mergeCell ref="D38:E38"/>
    <mergeCell ref="D39:E39"/>
    <mergeCell ref="D40:E40"/>
    <mergeCell ref="D55:E55"/>
    <mergeCell ref="D68:E68"/>
    <mergeCell ref="D76:E76"/>
    <mergeCell ref="D77:E77"/>
    <mergeCell ref="D78:E78"/>
    <mergeCell ref="D79:E79"/>
    <mergeCell ref="D80:E80"/>
    <mergeCell ref="D81:E81"/>
    <mergeCell ref="D82:E82"/>
    <mergeCell ref="D83:E83"/>
    <mergeCell ref="D84:E84"/>
    <mergeCell ref="D85:E85"/>
    <mergeCell ref="D86:E86"/>
  </mergeCells>
  <hyperlinks>
    <hyperlink location="'Indice'!A1" ref="B2"/>
  </hyperlinks>
  <pageMargins bottom="0.75" footer="0.3" header="0.3" left="0.7" right="0.7" top="0.75"/>
</worksheet>
</file>

<file path=xl/worksheets/sheet39.xml><?xml version="1.0" encoding="utf-8"?>
<worksheet xmlns="http://schemas.openxmlformats.org/spreadsheetml/2006/main">
  <dimension ref="B2:I27"/>
  <sheetViews>
    <sheetView workbookViewId="0" showGridLines="false"/>
  </sheetViews>
  <sheetFormatPr defaultRowHeight="15.0"/>
  <cols>
    <col min="2" max="2" width="2.70703125" customWidth="true"/>
    <col min="3" max="3" width="2.70703125" customWidth="true"/>
    <col min="4" max="4" width="50.0" customWidth="true"/>
    <col min="5" max="5" width="15.0" customWidth="true"/>
    <col min="6" max="6" width="15.0" customWidth="true"/>
    <col min="7" max="7" width="15.0" customWidth="true"/>
    <col min="8" max="8" width="15.0" customWidth="true"/>
  </cols>
  <sheetData>
    <row r="2">
      <c r="B2" t="s" s="2">
        <v>1</v>
      </c>
    </row>
    <row r="3">
      <c r="B3" t="s" s="1">
        <v>3</v>
      </c>
      <c r="C3" t="s">
        <v>4</v>
      </c>
    </row>
    <row r="4">
      <c r="B4" s="1" t="s">
        <v>5</v>
      </c>
      <c r="C4" t="s">
        <v>6</v>
      </c>
    </row>
    <row r="5">
      <c r="B5" t="s" s="1">
        <v>7</v>
      </c>
      <c r="C5" t="s">
        <v>1125</v>
      </c>
    </row>
    <row r="6">
      <c r="B6" t="s" s="1">
        <v>8</v>
      </c>
      <c r="C6" t="s">
        <v>9</v>
      </c>
    </row>
    <row r="7">
      <c r="B7" t="s" s="1">
        <v>10</v>
      </c>
      <c r="C7" t="s">
        <v>9</v>
      </c>
    </row>
    <row r="8">
      <c r="B8" t="s" s="1">
        <v>11</v>
      </c>
      <c r="C8" t="s">
        <v>12</v>
      </c>
    </row>
    <row r="10" ht="42.0" customHeight="true">
      <c r="E10" t="s" s="4">
        <v>1126</v>
      </c>
      <c r="F10" s="29"/>
      <c r="G10" s="29"/>
      <c r="H10" s="30"/>
    </row>
    <row r="11">
      <c r="E11" t="s" s="32">
        <v>1074</v>
      </c>
      <c r="F11" s="59"/>
      <c r="G11" s="60"/>
      <c r="H11" s="33" t="s">
        <v>1128</v>
      </c>
    </row>
    <row r="12">
      <c r="E12" t="s" s="6">
        <v>38</v>
      </c>
      <c r="F12" t="s" s="34">
        <v>39</v>
      </c>
      <c r="G12" s="6" t="s">
        <v>1127</v>
      </c>
      <c r="H12" s="70"/>
    </row>
    <row r="13">
      <c r="B13" s="7" t="s">
        <v>1129</v>
      </c>
      <c r="C13" s="8"/>
      <c r="D13" s="9"/>
      <c r="E13" s="22"/>
      <c r="F13" s="22"/>
      <c r="G13" s="22"/>
      <c r="H13" s="22"/>
    </row>
    <row r="14">
      <c r="B14" s="10"/>
      <c r="C14" s="16" t="s">
        <v>1130</v>
      </c>
      <c r="D14" s="13"/>
      <c r="E14" s="23"/>
      <c r="F14" s="23"/>
      <c r="G14" s="23"/>
      <c r="H14" s="23"/>
    </row>
    <row r="15">
      <c r="B15" s="10"/>
      <c r="C15" s="17"/>
      <c r="D15" s="18" t="s">
        <v>1131</v>
      </c>
      <c r="E15" s="22"/>
      <c r="F15" s="22"/>
      <c r="G15" s="22"/>
      <c r="H15" s="21"/>
    </row>
    <row r="16">
      <c r="B16" s="10"/>
      <c r="C16" s="14"/>
      <c r="D16" s="19" t="s">
        <v>1132</v>
      </c>
      <c r="E16" s="23"/>
      <c r="F16" s="23"/>
      <c r="G16" s="23"/>
      <c r="H16" s="20"/>
    </row>
    <row r="17">
      <c r="B17" s="10"/>
      <c r="C17" s="7" t="s">
        <v>1133</v>
      </c>
      <c r="D17" s="9"/>
      <c r="E17" s="22"/>
      <c r="F17" s="22"/>
      <c r="G17" s="22"/>
      <c r="H17" s="22"/>
    </row>
    <row r="18">
      <c r="B18" s="10"/>
      <c r="C18" s="10"/>
      <c r="D18" s="19" t="s">
        <v>1134</v>
      </c>
      <c r="E18" s="47" t="n"/>
      <c r="F18" s="47" t="n"/>
      <c r="G18" s="23"/>
      <c r="H18" s="23"/>
    </row>
    <row r="19">
      <c r="B19" s="10"/>
      <c r="C19" s="10"/>
      <c r="D19" s="18" t="s">
        <v>1135</v>
      </c>
      <c r="E19" s="46" t="n"/>
      <c r="F19" s="46" t="n"/>
      <c r="G19" s="22"/>
      <c r="H19" s="22"/>
    </row>
    <row r="20">
      <c r="B20" s="10"/>
      <c r="C20" s="10"/>
      <c r="D20" s="19" t="s">
        <v>1136</v>
      </c>
      <c r="E20" s="47" t="n"/>
      <c r="F20" s="47" t="n"/>
      <c r="G20" s="23"/>
      <c r="H20" s="23"/>
    </row>
    <row r="21">
      <c r="B21" s="10"/>
      <c r="C21" s="10"/>
      <c r="D21" s="18" t="s">
        <v>1137</v>
      </c>
      <c r="E21" s="46" t="n"/>
      <c r="F21" s="46" t="n"/>
      <c r="G21" s="22"/>
      <c r="H21" s="22"/>
    </row>
    <row r="22">
      <c r="B22" s="10"/>
      <c r="C22" s="10"/>
      <c r="D22" s="19" t="s">
        <v>1138</v>
      </c>
      <c r="E22" s="47" t="n"/>
      <c r="F22" s="47" t="n"/>
      <c r="G22" s="23"/>
      <c r="H22" s="23"/>
    </row>
    <row r="23">
      <c r="B23" s="10"/>
      <c r="C23" s="10"/>
      <c r="D23" s="18" t="s">
        <v>1139</v>
      </c>
      <c r="E23" s="46" t="n"/>
      <c r="F23" s="46" t="n"/>
      <c r="G23" s="22"/>
      <c r="H23" s="22"/>
    </row>
    <row r="24">
      <c r="B24" s="10"/>
      <c r="C24" s="10"/>
      <c r="D24" s="19" t="s">
        <v>1140</v>
      </c>
      <c r="E24" s="47" t="n"/>
      <c r="F24" s="23"/>
      <c r="G24" s="23"/>
      <c r="H24" s="23"/>
    </row>
    <row r="25">
      <c r="B25" s="10"/>
      <c r="C25" s="10"/>
      <c r="D25" s="18" t="s">
        <v>1141</v>
      </c>
      <c r="E25" s="22"/>
      <c r="F25" s="46" t="n"/>
      <c r="G25" s="22"/>
      <c r="H25" s="22"/>
    </row>
    <row r="26">
      <c r="B26" s="10"/>
      <c r="C26" s="10"/>
      <c r="D26" s="19" t="s">
        <v>1142</v>
      </c>
      <c r="E26" s="47" t="n"/>
      <c r="F26" s="47" t="n"/>
      <c r="G26" s="23"/>
      <c r="H26" s="23"/>
    </row>
    <row r="27">
      <c r="B27" s="11"/>
      <c r="C27" s="11"/>
      <c r="D27" s="18" t="s">
        <v>1143</v>
      </c>
      <c r="E27" s="48" t="n"/>
      <c r="F27" s="48" t="n"/>
      <c r="G27" s="58"/>
      <c r="H27" s="58"/>
    </row>
  </sheetData>
  <mergeCells>
    <mergeCell ref="E10:H10"/>
    <mergeCell ref="E11:G11"/>
    <mergeCell ref="H11:H12"/>
    <mergeCell ref="B13:D13"/>
    <mergeCell ref="C14:D14"/>
    <mergeCell ref="C17:D17"/>
  </mergeCells>
  <dataValidations count="2">
    <dataValidation type="list" sqref="H15" allowBlank="true" errorStyle="stop" showErrorMessage="true" showDropDown="false">
      <formula1>sspdtipos_TipoClasificacionEmpresarialSegunResolucionCRA906Del2019</formula1>
    </dataValidation>
    <dataValidation type="list" sqref="H16" allowBlank="true" errorStyle="stop" showErrorMessage="true" showDropDown="false">
      <formula1>sspdtipos_TipoSiNo</formula1>
    </dataValidation>
  </dataValidations>
  <hyperlinks>
    <hyperlink location="'Indice'!A1" ref="B2"/>
  </hyperlinks>
  <pageMargins bottom="0.75" footer="0.3" header="0.3" left="0.7" right="0.7" top="0.75"/>
</worksheet>
</file>

<file path=xl/worksheets/sheet40.xml><?xml version="1.0" encoding="utf-8"?>
<worksheet xmlns="http://schemas.openxmlformats.org/spreadsheetml/2006/main">
  <dimension ref="B2:F25"/>
  <sheetViews>
    <sheetView workbookViewId="0" showGridLines="false"/>
  </sheetViews>
  <sheetFormatPr defaultRowHeight="15.0"/>
  <cols>
    <col min="2" max="2" width="2.70703125" customWidth="true"/>
    <col min="3" max="3" width="50.0" customWidth="true"/>
    <col min="4" max="4" width="15.0" customWidth="true"/>
    <col min="5" max="5" width="15.0" customWidth="true"/>
  </cols>
  <sheetData>
    <row r="2">
      <c r="B2" t="s" s="2">
        <v>1</v>
      </c>
    </row>
    <row r="3">
      <c r="B3" t="s" s="1">
        <v>3</v>
      </c>
      <c r="C3" t="s">
        <v>4</v>
      </c>
    </row>
    <row r="4">
      <c r="B4" s="1" t="s">
        <v>5</v>
      </c>
      <c r="C4" t="s">
        <v>6</v>
      </c>
    </row>
    <row r="5">
      <c r="B5" t="s" s="1">
        <v>7</v>
      </c>
      <c r="C5" t="s">
        <v>1148</v>
      </c>
    </row>
    <row r="6">
      <c r="B6" t="s" s="1">
        <v>8</v>
      </c>
      <c r="C6" t="s">
        <v>9</v>
      </c>
    </row>
    <row r="7">
      <c r="B7" t="s" s="1">
        <v>10</v>
      </c>
      <c r="C7" t="s">
        <v>9</v>
      </c>
    </row>
    <row r="8">
      <c r="B8" t="s" s="1">
        <v>11</v>
      </c>
      <c r="C8" t="s">
        <v>12</v>
      </c>
    </row>
    <row r="10" ht="42.0" customHeight="true">
      <c r="D10" t="s" s="4">
        <v>1149</v>
      </c>
      <c r="E10" s="30"/>
    </row>
    <row r="11">
      <c r="D11" t="s" s="32">
        <v>1150</v>
      </c>
      <c r="E11" s="60"/>
    </row>
    <row r="12">
      <c r="D12" t="s" s="6">
        <v>1151</v>
      </c>
      <c r="E12" s="34" t="s">
        <v>1152</v>
      </c>
    </row>
    <row r="13">
      <c r="B13" s="7" t="s">
        <v>1153</v>
      </c>
      <c r="C13" s="9"/>
      <c r="D13" s="22"/>
      <c r="E13" s="22"/>
    </row>
    <row r="14">
      <c r="B14" s="10"/>
      <c r="C14" s="19" t="s">
        <v>1154</v>
      </c>
      <c r="D14" s="47" t="n"/>
      <c r="E14" s="47" t="n"/>
    </row>
    <row r="15">
      <c r="B15" s="10"/>
      <c r="C15" s="18" t="s">
        <v>1155</v>
      </c>
      <c r="D15" s="46" t="n"/>
      <c r="E15" s="46" t="n"/>
    </row>
    <row r="16">
      <c r="B16" s="10"/>
      <c r="C16" s="19" t="s">
        <v>1156</v>
      </c>
      <c r="D16" s="47" t="n"/>
      <c r="E16" s="47" t="n"/>
    </row>
    <row r="17">
      <c r="B17" s="10"/>
      <c r="C17" s="18" t="s">
        <v>1157</v>
      </c>
      <c r="D17" s="46" t="n"/>
      <c r="E17" s="46" t="n"/>
    </row>
    <row r="18">
      <c r="B18" s="10"/>
      <c r="C18" s="19" t="s">
        <v>1158</v>
      </c>
      <c r="D18" s="47" t="n"/>
      <c r="E18" s="47" t="n"/>
    </row>
    <row r="19">
      <c r="B19" s="10"/>
      <c r="C19" s="18" t="s">
        <v>1159</v>
      </c>
      <c r="D19" s="46" t="n"/>
      <c r="E19" s="46" t="n"/>
    </row>
    <row r="20">
      <c r="B20" s="10"/>
      <c r="C20" s="19" t="s">
        <v>1160</v>
      </c>
      <c r="D20" s="47" t="n"/>
      <c r="E20" s="47" t="n"/>
    </row>
    <row r="21">
      <c r="B21" s="10"/>
      <c r="C21" s="18" t="s">
        <v>1161</v>
      </c>
      <c r="D21" s="46" t="n"/>
      <c r="E21" s="46" t="n"/>
    </row>
    <row r="22">
      <c r="B22" s="10"/>
      <c r="C22" s="19" t="s">
        <v>1162</v>
      </c>
      <c r="D22" s="47" t="n"/>
      <c r="E22" s="47" t="n"/>
    </row>
    <row r="23">
      <c r="B23" s="10"/>
      <c r="C23" s="18" t="s">
        <v>1163</v>
      </c>
      <c r="D23" s="46" t="n"/>
      <c r="E23" s="46" t="n"/>
    </row>
    <row r="24">
      <c r="B24" s="10"/>
      <c r="C24" s="19" t="s">
        <v>1164</v>
      </c>
      <c r="D24" s="47" t="n"/>
      <c r="E24" s="47" t="n"/>
    </row>
    <row r="25">
      <c r="B25" s="11"/>
      <c r="C25" s="18" t="s">
        <v>1165</v>
      </c>
      <c r="D25" s="48" t="n"/>
      <c r="E25" s="48" t="n"/>
    </row>
  </sheetData>
  <mergeCells>
    <mergeCell ref="D10:E10"/>
    <mergeCell ref="D11:E11"/>
    <mergeCell ref="B13:C13"/>
  </mergeCells>
  <hyperlinks>
    <hyperlink location="'Indice'!A1" ref="B2"/>
  </hyperlinks>
  <pageMargins bottom="0.75" footer="0.3" header="0.3" left="0.7" right="0.7" top="0.75"/>
</worksheet>
</file>

<file path=xl/worksheets/sheet41.xml><?xml version="1.0" encoding="utf-8"?>
<worksheet xmlns="http://schemas.openxmlformats.org/spreadsheetml/2006/main">
  <dimension ref="B2:E25"/>
  <sheetViews>
    <sheetView workbookViewId="0" showGridLines="false"/>
  </sheetViews>
  <sheetFormatPr defaultRowHeight="15.0"/>
  <cols>
    <col min="2" max="2" width="2.70703125" customWidth="true"/>
    <col min="3" max="3" width="50.0" customWidth="true"/>
    <col min="4" max="4" width="15.0" customWidth="true"/>
  </cols>
  <sheetData>
    <row r="2">
      <c r="B2" t="s" s="2">
        <v>1</v>
      </c>
    </row>
    <row r="3">
      <c r="B3" t="s" s="1">
        <v>3</v>
      </c>
      <c r="C3" t="s">
        <v>4</v>
      </c>
    </row>
    <row r="4">
      <c r="B4" s="1" t="s">
        <v>5</v>
      </c>
      <c r="C4" t="s">
        <v>6</v>
      </c>
    </row>
    <row r="5">
      <c r="B5" t="s" s="1">
        <v>7</v>
      </c>
      <c r="C5" t="s">
        <v>1166</v>
      </c>
    </row>
    <row r="6">
      <c r="B6" t="s" s="1">
        <v>8</v>
      </c>
      <c r="C6" t="s">
        <v>9</v>
      </c>
    </row>
    <row r="7">
      <c r="B7" t="s" s="1">
        <v>10</v>
      </c>
      <c r="C7" t="s">
        <v>9</v>
      </c>
    </row>
    <row r="8">
      <c r="B8" t="s" s="1">
        <v>11</v>
      </c>
      <c r="C8" t="s">
        <v>12</v>
      </c>
    </row>
    <row r="10">
      <c r="D10" t="s" s="5">
        <v>1149</v>
      </c>
    </row>
    <row r="11">
      <c r="D11" s="33" t="s">
        <v>1150</v>
      </c>
    </row>
    <row r="12">
      <c r="D12" s="6" t="s">
        <v>1167</v>
      </c>
    </row>
    <row r="13" ht="28.0" customHeight="true">
      <c r="B13" s="7" t="s">
        <v>1168</v>
      </c>
      <c r="C13" s="9"/>
      <c r="D13" s="22"/>
    </row>
    <row r="14">
      <c r="B14" s="10"/>
      <c r="C14" s="19" t="s">
        <v>1154</v>
      </c>
      <c r="D14" s="47" t="n"/>
    </row>
    <row r="15">
      <c r="B15" s="10"/>
      <c r="C15" s="18" t="s">
        <v>1155</v>
      </c>
      <c r="D15" s="46" t="n"/>
    </row>
    <row r="16">
      <c r="B16" s="10"/>
      <c r="C16" s="19" t="s">
        <v>1156</v>
      </c>
      <c r="D16" s="47" t="n"/>
    </row>
    <row r="17">
      <c r="B17" s="10"/>
      <c r="C17" s="18" t="s">
        <v>1157</v>
      </c>
      <c r="D17" s="46" t="n"/>
    </row>
    <row r="18">
      <c r="B18" s="10"/>
      <c r="C18" s="19" t="s">
        <v>1158</v>
      </c>
      <c r="D18" s="47" t="n"/>
    </row>
    <row r="19">
      <c r="B19" s="10"/>
      <c r="C19" s="18" t="s">
        <v>1159</v>
      </c>
      <c r="D19" s="46" t="n"/>
    </row>
    <row r="20">
      <c r="B20" s="10"/>
      <c r="C20" s="19" t="s">
        <v>1160</v>
      </c>
      <c r="D20" s="47" t="n"/>
    </row>
    <row r="21">
      <c r="B21" s="10"/>
      <c r="C21" s="18" t="s">
        <v>1161</v>
      </c>
      <c r="D21" s="46" t="n"/>
    </row>
    <row r="22">
      <c r="B22" s="10"/>
      <c r="C22" s="19" t="s">
        <v>1162</v>
      </c>
      <c r="D22" s="47" t="n"/>
    </row>
    <row r="23">
      <c r="B23" s="10"/>
      <c r="C23" s="18" t="s">
        <v>1163</v>
      </c>
      <c r="D23" s="46" t="n"/>
    </row>
    <row r="24">
      <c r="B24" s="10"/>
      <c r="C24" s="19" t="s">
        <v>1164</v>
      </c>
      <c r="D24" s="47" t="n"/>
    </row>
    <row r="25">
      <c r="B25" s="11"/>
      <c r="C25" s="18" t="s">
        <v>1165</v>
      </c>
      <c r="D25" s="48" t="n"/>
    </row>
  </sheetData>
  <mergeCells>
    <mergeCell ref="B13:C13"/>
  </mergeCells>
  <hyperlinks>
    <hyperlink location="'Indice'!A1" ref="B2"/>
  </hyperlinks>
  <pageMargins bottom="0.75" footer="0.3" header="0.3" left="0.7" right="0.7" top="0.75"/>
</worksheet>
</file>

<file path=xl/worksheets/sheet42.xml><?xml version="1.0" encoding="utf-8"?>
<worksheet xmlns="http://schemas.openxmlformats.org/spreadsheetml/2006/main">
  <dimension ref="B2:R12"/>
  <sheetViews>
    <sheetView workbookViewId="0" showGridLines="false"/>
  </sheetViews>
  <sheetFormatPr defaultRowHeight="15.0"/>
  <cols>
    <col min="2" max="2" width="50.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s>
  <sheetData>
    <row r="2">
      <c r="B2" t="s" s="2">
        <v>1</v>
      </c>
    </row>
    <row r="3">
      <c r="B3" t="s" s="1">
        <v>3</v>
      </c>
      <c r="C3" t="s">
        <v>4</v>
      </c>
    </row>
    <row r="4">
      <c r="B4" s="1" t="s">
        <v>5</v>
      </c>
      <c r="C4" t="s">
        <v>6</v>
      </c>
    </row>
    <row r="5">
      <c r="B5" t="s" s="1">
        <v>7</v>
      </c>
      <c r="C5" t="s">
        <v>1169</v>
      </c>
    </row>
    <row r="6">
      <c r="B6" t="s" s="1">
        <v>8</v>
      </c>
      <c r="C6" t="s">
        <v>9</v>
      </c>
    </row>
    <row r="7">
      <c r="B7" t="s" s="1">
        <v>10</v>
      </c>
      <c r="C7" t="s">
        <v>9</v>
      </c>
    </row>
    <row r="8">
      <c r="B8" t="s" s="1">
        <v>11</v>
      </c>
      <c r="C8" t="s">
        <v>12</v>
      </c>
    </row>
    <row r="10">
      <c r="C10" t="s" s="4">
        <v>1170</v>
      </c>
      <c r="D10" s="29"/>
      <c r="E10" s="29"/>
      <c r="F10" s="29"/>
      <c r="G10" s="29"/>
      <c r="H10" s="29"/>
      <c r="I10" s="29"/>
      <c r="J10" s="29"/>
      <c r="K10" s="29"/>
      <c r="L10" s="29"/>
      <c r="M10" s="29"/>
      <c r="N10" s="29"/>
      <c r="O10" s="29"/>
      <c r="P10" s="29"/>
      <c r="Q10" s="30"/>
    </row>
    <row r="11">
      <c r="C11" t="s" s="34">
        <v>1171</v>
      </c>
      <c r="D11" t="s" s="6">
        <v>1172</v>
      </c>
      <c r="E11" t="s" s="34">
        <v>1173</v>
      </c>
      <c r="F11" t="s" s="6">
        <v>1154</v>
      </c>
      <c r="G11" t="s" s="34">
        <v>1155</v>
      </c>
      <c r="H11" t="s" s="6">
        <v>1156</v>
      </c>
      <c r="I11" t="s" s="34">
        <v>1157</v>
      </c>
      <c r="J11" t="s" s="6">
        <v>1158</v>
      </c>
      <c r="K11" t="s" s="34">
        <v>1159</v>
      </c>
      <c r="L11" t="s" s="6">
        <v>1160</v>
      </c>
      <c r="M11" t="s" s="34">
        <v>1161</v>
      </c>
      <c r="N11" t="s" s="6">
        <v>1162</v>
      </c>
      <c r="O11" t="s" s="34">
        <v>1163</v>
      </c>
      <c r="P11" t="s" s="6">
        <v>1164</v>
      </c>
      <c r="Q11" s="34" t="s">
        <v>1165</v>
      </c>
    </row>
    <row r="12">
      <c r="B12" s="18" t="s">
        <v>1174</v>
      </c>
      <c r="C12" s="58"/>
      <c r="D12" s="58"/>
      <c r="E12" s="58"/>
      <c r="F12" s="58"/>
      <c r="G12" s="58"/>
      <c r="H12" s="58"/>
      <c r="I12" s="58"/>
      <c r="J12" s="58"/>
      <c r="K12" s="58"/>
      <c r="L12" s="58"/>
      <c r="M12" s="58"/>
      <c r="N12" s="58"/>
      <c r="O12" s="58"/>
      <c r="P12" s="58"/>
      <c r="Q12" s="58"/>
    </row>
  </sheetData>
  <mergeCells>
    <mergeCell ref="C10:Q10"/>
  </mergeCells>
  <hyperlinks>
    <hyperlink location="'Indice'!A1" ref="B2"/>
  </hyperlinks>
  <pageMargins bottom="0.75" footer="0.3" header="0.3" left="0.7" right="0.7" top="0.75"/>
</worksheet>
</file>

<file path=xl/worksheets/sheet43.xml><?xml version="1.0" encoding="utf-8"?>
<worksheet xmlns="http://schemas.openxmlformats.org/spreadsheetml/2006/main">
  <dimension ref="B2:G16"/>
  <sheetViews>
    <sheetView workbookViewId="0" showGridLines="false"/>
  </sheetViews>
  <sheetFormatPr defaultRowHeight="15.0"/>
  <cols>
    <col min="2" max="2" width="2.70703125" customWidth="true"/>
    <col min="3" max="3" width="50.0" customWidth="true"/>
    <col min="4" max="4" width="15.0" customWidth="true"/>
    <col min="5" max="5" width="15.0" customWidth="true"/>
    <col min="6" max="6" width="15.0" customWidth="true"/>
  </cols>
  <sheetData>
    <row r="2">
      <c r="B2" t="s" s="2">
        <v>1</v>
      </c>
    </row>
    <row r="3">
      <c r="B3" t="s" s="1">
        <v>3</v>
      </c>
      <c r="C3" t="s">
        <v>4</v>
      </c>
    </row>
    <row r="4">
      <c r="B4" s="1" t="s">
        <v>5</v>
      </c>
      <c r="C4" t="s">
        <v>6</v>
      </c>
    </row>
    <row r="5">
      <c r="B5" t="s" s="1">
        <v>7</v>
      </c>
      <c r="C5" t="s">
        <v>1175</v>
      </c>
    </row>
    <row r="6">
      <c r="B6" t="s" s="1">
        <v>8</v>
      </c>
      <c r="C6" t="s">
        <v>9</v>
      </c>
    </row>
    <row r="7">
      <c r="B7" t="s" s="1">
        <v>10</v>
      </c>
      <c r="C7" t="s">
        <v>9</v>
      </c>
    </row>
    <row r="8">
      <c r="B8" t="s" s="1">
        <v>11</v>
      </c>
      <c r="C8" t="s">
        <v>12</v>
      </c>
    </row>
    <row r="10" ht="28.0" customHeight="true">
      <c r="D10" t="s" s="4">
        <v>1176</v>
      </c>
      <c r="E10" s="29"/>
      <c r="F10" s="30"/>
    </row>
    <row r="11">
      <c r="D11" t="s" s="34">
        <v>998</v>
      </c>
      <c r="E11" t="s" s="6">
        <v>1177</v>
      </c>
      <c r="F11" s="34" t="s">
        <v>1178</v>
      </c>
    </row>
    <row r="12">
      <c r="B12" s="7" t="s">
        <v>1179</v>
      </c>
      <c r="C12" s="9"/>
      <c r="D12" s="23"/>
      <c r="E12" s="23"/>
      <c r="F12" s="23"/>
    </row>
    <row r="13">
      <c r="B13" s="10"/>
      <c r="C13" s="19" t="s">
        <v>1180</v>
      </c>
      <c r="D13" s="21"/>
      <c r="E13" s="46" t="n"/>
      <c r="F13" s="46" t="n"/>
    </row>
    <row r="14">
      <c r="B14" s="10"/>
      <c r="C14" s="18" t="s">
        <v>1181</v>
      </c>
      <c r="D14" s="20"/>
      <c r="E14" s="47" t="n"/>
      <c r="F14" s="47" t="n"/>
    </row>
    <row r="15">
      <c r="B15" s="10"/>
      <c r="C15" s="19" t="s">
        <v>1182</v>
      </c>
      <c r="D15" s="21"/>
      <c r="E15" s="46" t="n"/>
      <c r="F15" s="46" t="n"/>
    </row>
    <row r="16">
      <c r="B16" s="11"/>
      <c r="C16" s="18" t="s">
        <v>1183</v>
      </c>
      <c r="D16" s="28"/>
      <c r="E16" s="53" t="n"/>
      <c r="F16" s="53" t="n"/>
    </row>
  </sheetData>
  <mergeCells>
    <mergeCell ref="D10:F10"/>
    <mergeCell ref="B12:C12"/>
  </mergeCells>
  <dataValidations count="4">
    <dataValidation type="list" sqref="D13" allowBlank="true" errorStyle="stop" showErrorMessage="true" showDropDown="false">
      <formula1>sspdtipos_TipoPeriodoFaseDeProgresividad</formula1>
    </dataValidation>
    <dataValidation type="list" sqref="D14" allowBlank="true" errorStyle="stop" showErrorMessage="true" showDropDown="false">
      <formula1>sspdtipos_TipoPeriodoFaseDeProgresividad</formula1>
    </dataValidation>
    <dataValidation type="list" sqref="D15" allowBlank="true" errorStyle="stop" showErrorMessage="true" showDropDown="false">
      <formula1>sspdtipos_TipoPeriodoFaseDeProgresividad</formula1>
    </dataValidation>
    <dataValidation type="list" sqref="D16" allowBlank="true" errorStyle="stop" showErrorMessage="true" showDropDown="false">
      <formula1>sspdtipos_TipoPeriodoFaseDeProgresividad</formula1>
    </dataValidation>
  </dataValidations>
  <hyperlinks>
    <hyperlink location="'Indice'!A1" ref="B2"/>
  </hyperlinks>
  <pageMargins bottom="0.75" footer="0.3" header="0.3" left="0.7" right="0.7" top="0.75"/>
</worksheet>
</file>

<file path=docProps/app.xml><?xml version="1.0" encoding="utf-8"?>
<Properties xmlns="http://schemas.openxmlformats.org/officeDocument/2006/extended-properties">
  <Application>XBRL Editor Express - Editor rápido de informes XBRL</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2025-11-21T23:09:00Z</dcterms:created>
  <dc:creator>20037 miembro de 20037</dc:creator>
  <dc:subject>Reporting Standard S.L. - Exportación a Excel de XBRL</dc:subject>
</cp:coreProperties>
</file>