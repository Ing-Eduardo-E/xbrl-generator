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dice" r:id="rId3" sheetId="1"/>
    <sheet name="Hoja1" r:id="rId4" sheetId="2"/>
    <sheet name="Lists" r:id="rId5" sheetId="3" state="hidden"/>
    <sheet name="Hoja2" r:id="rId6" sheetId="4"/>
    <sheet name="Hoja3" r:id="rId7" sheetId="5"/>
    <sheet name="Hoja4" r:id="rId8" sheetId="6"/>
    <sheet name="Hoja5" r:id="rId9" sheetId="7"/>
    <sheet name="Hoja6" r:id="rId10" sheetId="8"/>
    <sheet name="Hoja7" r:id="rId11" sheetId="9"/>
    <sheet name="Hoja8" r:id="rId12" sheetId="10"/>
  </sheets>
  <definedNames>
    <definedName name="sspdtipos_TipoIdentificacion">Lists!$B$3:$B$5</definedName>
    <definedName name="sspdtipos_TipoGrupoMarcoNormativo">Lists!$D$3:$D$5</definedName>
    <definedName name="sspdtipos_TipoDeclaracionCumplimientoMarcoNormativo">Lists!$F$3:$F$4</definedName>
    <definedName name="sspdtipos_TipoSiNo">Lists!$H$3:$H$4</definedName>
  </definedNames>
</workbook>
</file>

<file path=xl/sharedStrings.xml><?xml version="1.0" encoding="utf-8"?>
<sst xmlns="http://schemas.openxmlformats.org/spreadsheetml/2006/main" count="525" uniqueCount="270">
  <si>
    <t>Tabla de contenidos</t>
  </si>
  <si>
    <t>Indice</t>
  </si>
  <si>
    <t>[110000t] Información a revelar sobre la Entidad Informante</t>
  </si>
  <si>
    <t>Archivo:</t>
  </si>
  <si>
    <t>C:\Users\rekin\OneDrive\1. Documentos 2025\Empocruz ESP\Taxonomías\Taxo202502\IFE_SegundoTrimestre_ID20037_2025-06-30.xbrl</t>
  </si>
  <si>
    <t>Empresa:</t>
  </si>
  <si>
    <t>20037</t>
  </si>
  <si>
    <t>Vista:</t>
  </si>
  <si>
    <t>Eje X:</t>
  </si>
  <si>
    <t>N/A</t>
  </si>
  <si>
    <t>Eje Y:</t>
  </si>
  <si>
    <t>Eje Z:</t>
  </si>
  <si>
    <t>Periodo Actual</t>
  </si>
  <si>
    <t>Información a revelar sobre la Entidad Informante [Abstracto]</t>
  </si>
  <si>
    <t>Datos Básicos [Abstracto]</t>
  </si>
  <si>
    <t>NIT</t>
  </si>
  <si>
    <t>Identificación de la Empresa (ID RUPS)</t>
  </si>
  <si>
    <t>Nombre de la entidad que informa u otras formas de identificación</t>
  </si>
  <si>
    <t>Fecha de cierre del periodo sobre el que se informa</t>
  </si>
  <si>
    <t>Datos de Ubicación [Abstracto]</t>
  </si>
  <si>
    <t>Dirección de la sede administrativa de la entidad</t>
  </si>
  <si>
    <t>Ciudad donde se encuentra ubicada la sede administrativa</t>
  </si>
  <si>
    <t>Número de teléfono fijo de la sede administrativa</t>
  </si>
  <si>
    <t>Número de teléfono celular de la sede administrativa</t>
  </si>
  <si>
    <t>Email Corporativo</t>
  </si>
  <si>
    <t>Información sobre empleados [Abstracto]</t>
  </si>
  <si>
    <t>Numero de empleados y contratistas al comienzo del periodo</t>
  </si>
  <si>
    <t>Numero de empleados y contratistas al final del periodo</t>
  </si>
  <si>
    <t>Numero promedio de empleados y contratistas</t>
  </si>
  <si>
    <t>Representación legal [Abstracto]</t>
  </si>
  <si>
    <t>Tipo de documento</t>
  </si>
  <si>
    <t>Número de documento</t>
  </si>
  <si>
    <t>Nombres</t>
  </si>
  <si>
    <t>Apellidos</t>
  </si>
  <si>
    <t>Marco normativo [Abstracto]</t>
  </si>
  <si>
    <t>Grupo en que se encuentra clasificada la Entidad</t>
  </si>
  <si>
    <t>Declaración de cumplimiento del marco normativo</t>
  </si>
  <si>
    <t>Información a revelar sobre incertidumbres sobre la capacidad de la entidad para continuar como negocio en marcha</t>
  </si>
  <si>
    <t>Explicación de la razón por la que no se considera a la entidad como negocio en marcha</t>
  </si>
  <si>
    <t>Información a revelar sobre finalización de la prestación de los servicios inscritos en RUPS [Abstracto]</t>
  </si>
  <si>
    <t>Información a revelar sobre incertidumbres sobre la capacidad de dar continuidad a la prestación de uno o más servicios inscritos en RUPS</t>
  </si>
  <si>
    <t>¿Durante el periodo sobre el que se informa se finalizó la prestación de uno o más servicios inscritos en RUPS?</t>
  </si>
  <si>
    <t>Detalle sobre la finalización de la prestación de los servicios inscritos en RUPS. (indicar servicio y fecha de finalización del servicio, indicar si otra empresa tomó la prestación, ¿cuál?)</t>
  </si>
  <si>
    <t>814005646</t>
  </si>
  <si>
    <t>EMPRESA DE SERVICIOS PUBLICOS DE LA CRUZ - EMPOCRUZ E.S.P</t>
  </si>
  <si>
    <t>2025-06-30</t>
  </si>
  <si>
    <t>Calle 6 Nro. 8-02</t>
  </si>
  <si>
    <t>LA-CRUZ-NARINO</t>
  </si>
  <si>
    <t>3116151373</t>
  </si>
  <si>
    <t>gerencia@empocruz.gov.co</t>
  </si>
  <si>
    <t>01 - CÉDULA DE CIUDADANÍA</t>
  </si>
  <si>
    <t>02 - CÉDULA DE EXTRANJERÍA</t>
  </si>
  <si>
    <t>03 - PASAPORTE</t>
  </si>
  <si>
    <t>87249156</t>
  </si>
  <si>
    <t xml:space="preserve">JONATHAN ALEXANDER </t>
  </si>
  <si>
    <t>BOLAÑOS MUÑOZ</t>
  </si>
  <si>
    <t>R. 414</t>
  </si>
  <si>
    <t>Grupo 1</t>
  </si>
  <si>
    <t>Grupo 2</t>
  </si>
  <si>
    <t>1. Si cumple</t>
  </si>
  <si>
    <t>2. No cumple</t>
  </si>
  <si>
    <t>NA</t>
  </si>
  <si>
    <t>2. No</t>
  </si>
  <si>
    <t>1. Si</t>
  </si>
  <si>
    <t>[120000t] Información adicional a revelar</t>
  </si>
  <si>
    <t>Información adicional a revelar [Abstracto]</t>
  </si>
  <si>
    <t>Variaciones en el flujo de efectivo [Abstracto]</t>
  </si>
  <si>
    <t>Efectivo y equivalentes al efectivo al comienzo del periodo</t>
  </si>
  <si>
    <t>Información a revelar variaciones de flujo de efectivo</t>
  </si>
  <si>
    <t>Incrementos (disminuciones)</t>
  </si>
  <si>
    <t>Efectivo y equivalentes al efectivo al final del periodo</t>
  </si>
  <si>
    <t>Otra información a revelar [Abstracto]</t>
  </si>
  <si>
    <t>Información relevante a revelar sobre el periodo cubierto por este informe</t>
  </si>
  <si>
    <t>Información a revelar sobre los activos</t>
  </si>
  <si>
    <t>Información a revelar sobre los pasivos</t>
  </si>
  <si>
    <t>Información a revelar sobre el patrimonio</t>
  </si>
  <si>
    <t>Información a revelar sobre ingresos</t>
  </si>
  <si>
    <t>Información a revelar sobre gastos</t>
  </si>
  <si>
    <t>Información a revelar en relación con modificaciones a trimestres anteriores [Abstracto]</t>
  </si>
  <si>
    <t>¿Ha habido ajustes a información certificada en SUI de trimestres anteriores?</t>
  </si>
  <si>
    <t>¿Los ajustes corresponden a cuarto trimestre del año anterior?</t>
  </si>
  <si>
    <t>Explique los ajustes efectuados a la información certificada en el cuarto trimestre</t>
  </si>
  <si>
    <t>¿Los ajustes corresponden a primer trimestre de este año?</t>
  </si>
  <si>
    <t>Explique los ajustes efectuados a la información certificada en el primer trimestre</t>
  </si>
  <si>
    <t>¿Los ajustes corresponden a segundo trimestre de este año?</t>
  </si>
  <si>
    <t>Explique los ajustes efectuados a la información certificada en el segundo trimestre</t>
  </si>
  <si>
    <t>¿Los ajustes corresponden a tercer trimestre de este año?</t>
  </si>
  <si>
    <t>Explique los ajustes efectuados a la información certificada en el tercer trimestre</t>
  </si>
  <si>
    <t>ND</t>
  </si>
  <si>
    <t>[210000t] Estado de situación financiera</t>
  </si>
  <si>
    <t>Total por servicios [miembro]</t>
  </si>
  <si>
    <t>Acueducto [miembro]</t>
  </si>
  <si>
    <t>Alcantarillado [miembro]</t>
  </si>
  <si>
    <t>Aseo [miembro]</t>
  </si>
  <si>
    <t>Energía Eléctrica [miembro]</t>
  </si>
  <si>
    <t>Gas combustible por redes [miembro]</t>
  </si>
  <si>
    <t>Gas Licuado de Petróleo [miembro]</t>
  </si>
  <si>
    <t>Operador del sistema y Administrador del mercado de energia (XM) [miembro]</t>
  </si>
  <si>
    <t>Otras actividades no vigiladas por la SSPD [miembro]</t>
  </si>
  <si>
    <t>Estado de situación financiera por servicio [partidas]</t>
  </si>
  <si>
    <t>Activos [resumen]</t>
  </si>
  <si>
    <t>Activos corrientes [resumen]</t>
  </si>
  <si>
    <t>Efectivo y equivalentes al efectivo</t>
  </si>
  <si>
    <t>Efectivo y equivalente al efectivo de uso restringido corrientes</t>
  </si>
  <si>
    <t>Cuentas comerciales por cobrar y otras cuentas por cobrar corrientes [Resumen]</t>
  </si>
  <si>
    <t>Cuentas comerciales por cobrar por prestación de servicios públicos corrientes [Resumen]</t>
  </si>
  <si>
    <t>Cuentas comerciales por cobrar corrientes por prestación de servicios públicos corrientes (Sin incluir subsidios ni actividades de aprovechamiento)</t>
  </si>
  <si>
    <t>Cuentas comerciales por cobrar por subsidios corrientes</t>
  </si>
  <si>
    <t>Cuentas comerciales por cobrar corrientes del servicio público al Ministerio de Minas por concepto de subsidios</t>
  </si>
  <si>
    <t>Cuentas comerciales por cobrar por actividad de aprovechamiento corrientes</t>
  </si>
  <si>
    <t>Total cuentas comerciales por cobrar por prestación de servicios públicos corrientes</t>
  </si>
  <si>
    <t>Cuentas comerciales por cobrar por venta de bienes corrientes</t>
  </si>
  <si>
    <t>Otras cuentas por cobrar corrientes</t>
  </si>
  <si>
    <t>Total cuentas comerciales por cobrar y otras cuentas por cobrar corrientes</t>
  </si>
  <si>
    <t>Inventarios corrientes</t>
  </si>
  <si>
    <t>Inversiones corrientes</t>
  </si>
  <si>
    <t>Anticipo de impuestos</t>
  </si>
  <si>
    <t>Otros activos financieros corrientes</t>
  </si>
  <si>
    <t>Otros activos no financieros corrientes</t>
  </si>
  <si>
    <t>Activos corrientes totales</t>
  </si>
  <si>
    <t>Activos no corrientes [resumen]</t>
  </si>
  <si>
    <t>Propiedades, planta y equipo</t>
  </si>
  <si>
    <t>Propiedades de inversión</t>
  </si>
  <si>
    <t>Activos intangibles distintos a la plusvalía</t>
  </si>
  <si>
    <t>Inversiones no corrientes</t>
  </si>
  <si>
    <t>Cuentas comerciales por cobrar y otras cuentas por cobrar no corrientes [Resumen]</t>
  </si>
  <si>
    <t>Cuentas comerciales por cobrar por prestación de servicios públicos no corrientes [Resumen]</t>
  </si>
  <si>
    <t>Cuentas comerciales por cobrar no corrientes por prestación de servicios públicos corrientes (Sin incluir subsidios ni actividades de aprovechamiento)</t>
  </si>
  <si>
    <t>Cuentas comerciales por cobrar por subsidios no corrientes</t>
  </si>
  <si>
    <t>Cuentas comerciales por cobrar no corrientes del servicio público al Ministerio de Minas por concepto de subsidios</t>
  </si>
  <si>
    <t>Cuentas comerciales por cobrar por actividad de aprovechamiento no corrientes</t>
  </si>
  <si>
    <t>Total cuentas comerciales por cobrar por prestación de servicios públicos no corrientes</t>
  </si>
  <si>
    <t>Cuentas comerciales por cobrar por venta de bienes no corrientes</t>
  </si>
  <si>
    <t>Otras cuentas comerciales por cobrar y otras cuentas por cobrar no corrientes</t>
  </si>
  <si>
    <t>Total cuentas comerciales por cobrar y otras cuentas por cobrar no corrientes</t>
  </si>
  <si>
    <t>Inventarios no corrientes</t>
  </si>
  <si>
    <t>Otros activos financieros no corrientes</t>
  </si>
  <si>
    <t>Otros activos no financieros no corrientes</t>
  </si>
  <si>
    <t>Activos no corrientes totales</t>
  </si>
  <si>
    <t>Total de activos</t>
  </si>
  <si>
    <t>Patrimonio y pasivos [resumen]</t>
  </si>
  <si>
    <t>Pasivos [resumen]</t>
  </si>
  <si>
    <t>Pasivos corrientes [resumen]</t>
  </si>
  <si>
    <t>Provisiones Corrientes</t>
  </si>
  <si>
    <t>Cuentas por pagar y otras cuentas por pagar corrientes</t>
  </si>
  <si>
    <t>Cuentas por pagar para la adquisición de bienes corrientes</t>
  </si>
  <si>
    <t>Cuentas por pagar para la adquisición de servicios corrientes</t>
  </si>
  <si>
    <t>Obligaciones financieras corrientes</t>
  </si>
  <si>
    <t>Obligaciones laborales corrientes</t>
  </si>
  <si>
    <t>Pasivo por impuestos corrientes, corriente</t>
  </si>
  <si>
    <t>Otros pasivos corrientes</t>
  </si>
  <si>
    <t>Pasivos corrientes totales</t>
  </si>
  <si>
    <t>Pasivos no corrientes [resumen]</t>
  </si>
  <si>
    <t>Provisiones no Corrientes</t>
  </si>
  <si>
    <t>Cuentas comerciales por pagar y otras cuentas por pagar no corrientes</t>
  </si>
  <si>
    <t>Cuentas por pagar para la adquisición de bienes no corrientes</t>
  </si>
  <si>
    <t>Cuentas por pagar para la adquisición de servicios no corrientes</t>
  </si>
  <si>
    <t>Obligaciones financieras no corrientes</t>
  </si>
  <si>
    <t>Obligaciones laborales no corrientes</t>
  </si>
  <si>
    <t>Pasivo por impuestos corrientes, no corriente</t>
  </si>
  <si>
    <t>Otros pasivos no corrientes</t>
  </si>
  <si>
    <t>Total de pasivos no corrientes</t>
  </si>
  <si>
    <t>Total pasivos</t>
  </si>
  <si>
    <t>Patrimonio [resumen]</t>
  </si>
  <si>
    <t>Capital</t>
  </si>
  <si>
    <t>Inversión suplementaria al capital asignado</t>
  </si>
  <si>
    <t>Otras participaciones en el patrimonio</t>
  </si>
  <si>
    <t>Superavit por revaluación</t>
  </si>
  <si>
    <t>Otras Reservas</t>
  </si>
  <si>
    <t>Ganancias acumuladas</t>
  </si>
  <si>
    <t>Efectos por adopción NIF</t>
  </si>
  <si>
    <t>Patrimonio total</t>
  </si>
  <si>
    <t>Total de patrimonio y pasivos</t>
  </si>
  <si>
    <t>Periodo Comparado</t>
  </si>
  <si>
    <t>[310000t] Estado de resultados</t>
  </si>
  <si>
    <t>Estado de resultados por servicio [partidas]</t>
  </si>
  <si>
    <t>Ganancia (pérdida) [resumen]</t>
  </si>
  <si>
    <t>Ingresos de actividades ordinarias</t>
  </si>
  <si>
    <t>Costo de ventas</t>
  </si>
  <si>
    <t>Ganancia bruta</t>
  </si>
  <si>
    <t>Gastos de administración, operación y ventas</t>
  </si>
  <si>
    <t>Otros ingresos</t>
  </si>
  <si>
    <t>Otros gastos</t>
  </si>
  <si>
    <t>Ganancia (pérdida) por actividades de operación</t>
  </si>
  <si>
    <t>Ingresos financieros</t>
  </si>
  <si>
    <t>Costos financieros</t>
  </si>
  <si>
    <t>Otras ganancias (pérdidas)</t>
  </si>
  <si>
    <t>Ganancia (pérdida), antes de impuestos</t>
  </si>
  <si>
    <t>Gasto (ingreso) por impuesto de operaciones continuadas</t>
  </si>
  <si>
    <t>Ganancia (pérdida) procedente de operaciones continuadas</t>
  </si>
  <si>
    <t>Ganancia (pérdida) procedente de operaciones discontinuadas</t>
  </si>
  <si>
    <t>Ganancia (pérdida)</t>
  </si>
  <si>
    <t>[900020t] FC03t - Cuentas comerciales por cobrar y otras cuentas por cobrar</t>
  </si>
  <si>
    <t>Valor cuentas comerciales por cobrar y otras cuentas por cobrar [miembro]</t>
  </si>
  <si>
    <t>Total [miembro]</t>
  </si>
  <si>
    <t>No vencidas [miembro]</t>
  </si>
  <si>
    <t>Vencidas [miembro]</t>
  </si>
  <si>
    <t>Vencidas de 1 a 90 días [miembro]</t>
  </si>
  <si>
    <t>Vencidas de 91 a 180 días [miembro]</t>
  </si>
  <si>
    <t>Vencidas de 181 a 360 días  [miembro]</t>
  </si>
  <si>
    <t>Vencidas de mas de 360 días [miembro]</t>
  </si>
  <si>
    <t>Detalle de cuentas comerciales por cobrar y otras cuentas por cobrar por prestación de servicios públicos [abstracto]</t>
  </si>
  <si>
    <t>Cuentas comerciales por cobrar corrientes por prestación de servicios públicos y otras cuentas por cobrar corrientes [abstracto]</t>
  </si>
  <si>
    <t>Cuentas comerciales por cobrar corrientes por prestación de servicios públicos [abstracto]</t>
  </si>
  <si>
    <t>Acueducto</t>
  </si>
  <si>
    <t>Alcantarillado</t>
  </si>
  <si>
    <t>Aseo</t>
  </si>
  <si>
    <t>Energía</t>
  </si>
  <si>
    <t>Gas Combustible por redes</t>
  </si>
  <si>
    <t>Gas Licuado de Petróleo</t>
  </si>
  <si>
    <t>Operador del sistema y administrador del mercado de energia (XM)</t>
  </si>
  <si>
    <t>Deterioro de cuentas comerciales por cobrar corrientes por prestación de servicios públicos</t>
  </si>
  <si>
    <t>Total cuentas comerciales por cobrar corrientes netas por prestación de servicios públicos</t>
  </si>
  <si>
    <t>Cuentas comerciales por cobrar corrientes por venta de bienes [abstracto]</t>
  </si>
  <si>
    <t>Cuentas comerciales por cobrar corrientes brutas por venta de bienes</t>
  </si>
  <si>
    <t>Deterioro de cuentas por cobrar corrientes por venta de bienes</t>
  </si>
  <si>
    <t>Total cuentas comerciales por cobrar corrientes netas por venta de bienes</t>
  </si>
  <si>
    <t>Otras cuentas comerciales por cobrar corrientes [abstracto]</t>
  </si>
  <si>
    <t>Otras cuentas comerciales por cobrar corrientes brutas</t>
  </si>
  <si>
    <t>Deterioro de otras cuentas por cobrar corrientes</t>
  </si>
  <si>
    <t>Total otras cuentas comerciales por cobrar corrientes netas</t>
  </si>
  <si>
    <t>Total cuentas comerciales por cobrar corrientes netas por prestación de servicios públicos y otras cuentas comerciales por cobrar corrientes netas</t>
  </si>
  <si>
    <t>Cuentas comerciales por cobrar no corrientes por prestación de servicios públicos y otras cuentas por cobrar no corrientes [abstracto]</t>
  </si>
  <si>
    <t>Cuentas comerciales por cobrar no corrientes por prestación de servicios públicos [abstracto]</t>
  </si>
  <si>
    <t>Deterioro de cuentas comerciales por cobrar por prestación de servicios públicos no corrientes</t>
  </si>
  <si>
    <t>Total cuentas comerciales por cobrar no corrientes netas por prestación de servicios públicos</t>
  </si>
  <si>
    <t>Cuentas comerciales por cobrar no corrientes por venta de bienes [abstracto]</t>
  </si>
  <si>
    <t>Cuentas comerciales por cobrar no corrientes brutas por venta de bienes</t>
  </si>
  <si>
    <t>Deterioro de cuentas por cobrar no corrientes por venta de bienes</t>
  </si>
  <si>
    <t>Total cuentas comerciales por cobrar no corrientes netas por venta de bienes</t>
  </si>
  <si>
    <t>Otras cuentas comerciales por cobrar no corrientes [abstracto]</t>
  </si>
  <si>
    <t>Otras cuentas comerciales por cobrar brutas no corrientes</t>
  </si>
  <si>
    <t>Deterioro de otras cuentas por cobrar no corrientes</t>
  </si>
  <si>
    <t>Total otras cuentas comerciales por cobrar netas no corrientes</t>
  </si>
  <si>
    <t>Total cuentas comerciales por cobrar netas no corrientes por prestación de servicios públicos y otras cuentas comerciales por cobrar netas no corrientes</t>
  </si>
  <si>
    <t>Total cuentas comerciales por cobrar y otras cuentas por cobrar netas</t>
  </si>
  <si>
    <t>[900028t] FC05t - Cuentas comerciales por pagar, otras cuentas por pagar y otros pasivos</t>
  </si>
  <si>
    <t>Valor cuentas comerciales por pagar y otros pasivos financieros [miembro]</t>
  </si>
  <si>
    <t>Detalle de cuentas comerciales por pagar, otras cuentas por pagar y otros pasivos financieros [abstracto]</t>
  </si>
  <si>
    <t>Cuentas comerciales por pagar</t>
  </si>
  <si>
    <t>Otras cuentas por pagar</t>
  </si>
  <si>
    <t>Total cuentas comerciales por pagar y otras cuentas por pagar</t>
  </si>
  <si>
    <t>Obligaciones financieras</t>
  </si>
  <si>
    <t>Obligaciones laborales</t>
  </si>
  <si>
    <t>Total cuentas comerciales por pagar, otras cuentas por pagar y otros pasivos financieros</t>
  </si>
  <si>
    <t>[900050t] FC08t - Información de ingresos y gastos de la entidad</t>
  </si>
  <si>
    <t>Detalle de ingresos y gastos del periodo [abstracto]</t>
  </si>
  <si>
    <t>Detalle de ingresos [abstracto]</t>
  </si>
  <si>
    <t>Todos los demás ingresos</t>
  </si>
  <si>
    <t>Total ingresos</t>
  </si>
  <si>
    <t>Detalle de gastos [abstracto]</t>
  </si>
  <si>
    <t>Costos y gastos totales</t>
  </si>
  <si>
    <t>Impuestos, tasas y contribuciones</t>
  </si>
  <si>
    <t>Gastos financieros</t>
  </si>
  <si>
    <t>Gasto por deterioro</t>
  </si>
  <si>
    <t>Gasto por depreciación</t>
  </si>
  <si>
    <t>Gasto por amortización</t>
  </si>
  <si>
    <t>Gasto por provisiones</t>
  </si>
  <si>
    <t>[900060t] FC09t - Deterioro de activos</t>
  </si>
  <si>
    <t>Deterioro de activos [miembro]</t>
  </si>
  <si>
    <t>Activos intangibles distintos de la plusvalía [miembro]</t>
  </si>
  <si>
    <t>Cuentas comerciales por cobrar [miembro]</t>
  </si>
  <si>
    <t>Inversiones [miembro]</t>
  </si>
  <si>
    <t>Propiedades, planta y equipo [miembro]</t>
  </si>
  <si>
    <t>Inventarios [miembro]</t>
  </si>
  <si>
    <t>Otros activos [miembro]</t>
  </si>
  <si>
    <t>Información a revelar sobre pérdidas por deterioro [abstracto]</t>
  </si>
  <si>
    <t>Pérdidas por deterioro de valor reconocidas en el resultado del periodo</t>
  </si>
  <si>
    <t>Reversión de pérdidas por deterioro de valor reconocidas en el resultado del periodo</t>
  </si>
  <si>
    <t>Total pérdidas por deterioro de valor</t>
  </si>
</sst>
</file>

<file path=xl/styles.xml><?xml version="1.0" encoding="utf-8"?>
<styleSheet xmlns="http://schemas.openxmlformats.org/spreadsheetml/2006/main">
  <numFmts count="2">
    <numFmt numFmtId="164" formatCode="#,##0.00 &quot;&quot;"/>
    <numFmt numFmtId="165" formatCode="#,##0.00 &quot;COP&quot;"/>
  </numFmts>
  <fonts count="7">
    <font>
      <sz val="11.0"/>
      <color indexed="8"/>
      <name val="Calibri"/>
      <family val="2"/>
      <scheme val="minor"/>
    </font>
    <font>
      <name val="Microsoft Sans Serif"/>
      <sz val="11.0"/>
      <u val="single"/>
      <color indexed="12"/>
    </font>
    <font>
      <name val="Microsoft Sans Serif"/>
      <sz val="11.0"/>
      <u val="single"/>
      <color indexed="12"/>
    </font>
    <font>
      <name val="Microsoft Sans Serif"/>
      <sz val="9.0"/>
    </font>
    <font>
      <name val="Calibri"/>
      <sz val="11.0"/>
      <color rgb="0000FF"/>
      <u val="single"/>
    </font>
    <font>
      <name val="Microsoft Sans Serif"/>
      <sz val="9.0"/>
      <b val="true"/>
    </font>
    <font>
      <name val="Microsoft Sans Serif"/>
      <sz val="9.0"/>
      <color indexed="10"/>
    </font>
  </fonts>
  <fills count="10">
    <fill>
      <patternFill patternType="none"/>
    </fill>
    <fill>
      <patternFill patternType="darkGray"/>
    </fill>
    <fill>
      <patternFill patternType="none">
        <fgColor rgb="CCCCCC"/>
      </patternFill>
    </fill>
    <fill>
      <patternFill patternType="solid">
        <fgColor rgb="CCCCCC"/>
      </patternFill>
    </fill>
    <fill>
      <patternFill patternType="none">
        <fgColor rgb="FFFFCC"/>
      </patternFill>
    </fill>
    <fill>
      <patternFill patternType="solid">
        <fgColor rgb="FFFFCC"/>
      </patternFill>
    </fill>
    <fill>
      <patternFill patternType="solid"/>
    </fill>
    <fill>
      <patternFill patternType="solid">
        <fgColor rgb="F2F2F2"/>
      </patternFill>
    </fill>
    <fill>
      <patternFill patternType="none">
        <fgColor rgb="000000"/>
      </patternFill>
    </fill>
    <fill>
      <patternFill patternType="darkDown">
        <fgColor rgb="000000"/>
      </patternFill>
    </fill>
  </fills>
  <borders count="14">
    <border>
      <left/>
      <right/>
      <top/>
      <bottom/>
      <diagonal/>
    </border>
    <border>
      <top style="thin"/>
    </border>
    <border>
      <left style="thin"/>
      <top style="thin"/>
    </border>
    <border>
      <left style="thin"/>
      <right style="thin"/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right style="thin"/>
      <top style="thin"/>
      <bottom style="thin"/>
    </border>
    <border>
      <left style="thin"/>
    </border>
    <border>
      <left style="thin"/>
      <right style="thin"/>
    </border>
    <border>
      <bottom style="thin"/>
    </border>
    <border>
      <left style="thin"/>
      <bottom style="thin"/>
    </border>
    <border>
      <left style="thin"/>
      <right style="thin"/>
      <bottom style="thin"/>
    </border>
    <border>
      <right style="thin"/>
      <top style="thin"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>
      <alignment horizontal="right"/>
    </xf>
    <xf numFmtId="0" fontId="1" fillId="0" borderId="0" xfId="0" applyFont="true"/>
    <xf numFmtId="0" fontId="2" fillId="0" borderId="0" xfId="0" applyFont="true">
      <alignment indent="1"/>
    </xf>
    <xf numFmtId="0" fontId="3" fillId="3" borderId="2" xfId="0" applyFill="true" applyFont="true" applyBorder="true">
      <alignment horizontal="center" vertical="center" wrapText="true"/>
    </xf>
    <xf numFmtId="0" fontId="3" fillId="3" borderId="3" xfId="0" applyFill="true" applyFont="true" applyBorder="true">
      <alignment horizontal="center" vertical="center" wrapText="true"/>
    </xf>
    <xf numFmtId="0" fontId="3" fillId="3" borderId="6" xfId="0" applyFill="true" applyFont="true" applyBorder="true">
      <alignment horizontal="center" vertical="center" wrapText="true"/>
    </xf>
    <xf numFmtId="0" fontId="3" fillId="3" borderId="2" xfId="0" applyFill="true" applyFont="true" applyBorder="true">
      <alignment horizontal="left" vertical="center" wrapText="true"/>
    </xf>
    <xf numFmtId="0" fontId="3" fillId="3" borderId="4" xfId="0" applyFill="true" applyFont="true" applyBorder="true">
      <alignment horizontal="left" vertical="center" wrapText="true"/>
    </xf>
    <xf numFmtId="0" fontId="3" fillId="3" borderId="7" xfId="0" applyFill="true" applyFont="true" applyBorder="true">
      <alignment horizontal="left" vertical="center" wrapText="true"/>
    </xf>
    <xf numFmtId="0" fontId="3" fillId="3" borderId="9" xfId="0" applyFill="true" applyFont="true" applyBorder="true">
      <alignment horizontal="left" vertical="center" wrapText="true"/>
    </xf>
    <xf numFmtId="0" fontId="3" fillId="3" borderId="12" xfId="0" applyFill="true" applyFont="true" applyBorder="true">
      <alignment horizontal="left" vertical="center" wrapText="true"/>
    </xf>
    <xf numFmtId="0" fontId="3" fillId="5" borderId="2" xfId="0" applyFill="true" applyFont="true" applyBorder="true">
      <alignment horizontal="left" vertical="center" wrapText="true"/>
    </xf>
    <xf numFmtId="0" fontId="3" fillId="5" borderId="7" xfId="0" applyFill="true" applyFont="true" applyBorder="true">
      <alignment horizontal="left" vertical="center" wrapText="true"/>
    </xf>
    <xf numFmtId="0" fontId="3" fillId="5" borderId="9" xfId="0" applyFill="true" applyFont="true" applyBorder="true">
      <alignment horizontal="left" vertical="center" wrapText="true"/>
    </xf>
    <xf numFmtId="0" fontId="3" fillId="5" borderId="12" xfId="0" applyFill="true" applyFont="true" applyBorder="true">
      <alignment horizontal="left" vertical="center" wrapText="true"/>
    </xf>
    <xf numFmtId="0" fontId="3" fillId="3" borderId="5" xfId="0" applyFill="true" applyFont="true" applyBorder="true">
      <alignment horizontal="left" vertical="center" wrapText="true"/>
    </xf>
    <xf numFmtId="0" fontId="3" fillId="5" borderId="5" xfId="0" applyFill="true" applyFont="true" applyBorder="true">
      <alignment horizontal="left" vertical="center" wrapText="true"/>
    </xf>
    <xf numFmtId="0" fontId="3" fillId="3" borderId="6" xfId="0" applyFill="true" applyFont="true" applyBorder="true">
      <alignment horizontal="left" vertical="center" wrapText="true"/>
    </xf>
    <xf numFmtId="0" fontId="3" fillId="5" borderId="6" xfId="0" applyFill="true" applyFont="true" applyBorder="true">
      <alignment horizontal="left" vertical="center" wrapText="true"/>
    </xf>
    <xf numFmtId="0" fontId="0" fillId="7" borderId="9" xfId="0" applyFill="true" applyBorder="true">
      <alignment vertical="center"/>
    </xf>
    <xf numFmtId="0" fontId="0" fillId="0" borderId="9" xfId="0" applyBorder="true">
      <alignment vertical="center"/>
    </xf>
    <xf numFmtId="0" fontId="0" fillId="9" borderId="6" xfId="0" applyBorder="true" applyFill="true">
      <alignment vertical="center"/>
    </xf>
    <xf numFmtId="0" fontId="0" fillId="9" borderId="6" xfId="0" applyBorder="true" applyFill="true">
      <alignment vertical="center"/>
    </xf>
    <xf numFmtId="0" fontId="0" fillId="7" borderId="9" xfId="0" applyBorder="true" applyFill="true">
      <alignment horizontal="center"/>
    </xf>
    <xf numFmtId="0" fontId="0" fillId="0" borderId="9" xfId="0" applyBorder="true">
      <alignment horizontal="center"/>
    </xf>
    <xf numFmtId="164" fontId="0" fillId="7" borderId="9" xfId="0" applyFill="true" applyBorder="true" applyNumberFormat="true">
      <alignment vertical="center"/>
    </xf>
    <xf numFmtId="164" fontId="0" fillId="0" borderId="9" xfId="0" applyBorder="true" applyNumberFormat="true">
      <alignment vertical="center"/>
    </xf>
    <xf numFmtId="0" fontId="0" fillId="7" borderId="12" xfId="0" applyFill="true" applyBorder="true">
      <alignment vertical="center"/>
    </xf>
    <xf numFmtId="0" fontId="3" fillId="5" borderId="4" xfId="0" applyFill="true" applyFont="true" applyBorder="true">
      <alignment horizontal="left" vertical="center" wrapText="true"/>
    </xf>
    <xf numFmtId="165" fontId="0" fillId="0" borderId="9" xfId="0" applyBorder="true" applyNumberFormat="true">
      <alignment vertical="center"/>
    </xf>
    <xf numFmtId="165" fontId="0" fillId="7" borderId="9" xfId="0" applyFill="true" applyBorder="true" applyNumberFormat="true">
      <alignment vertical="center"/>
    </xf>
    <xf numFmtId="0" fontId="0" fillId="0" borderId="12" xfId="0" applyBorder="true">
      <alignment vertical="center"/>
    </xf>
    <xf numFmtId="0" fontId="3" fillId="3" borderId="1" xfId="0" applyFill="true" applyFont="true" applyBorder="true">
      <alignment horizontal="center" vertical="center" wrapText="true"/>
    </xf>
    <xf numFmtId="0" fontId="3" fillId="3" borderId="13" xfId="0" applyFill="true" applyFont="true" applyBorder="true">
      <alignment horizontal="center" vertical="center" wrapText="true"/>
    </xf>
    <xf numFmtId="0" fontId="3" fillId="3" borderId="8" xfId="0" applyFill="true" applyFont="true" applyBorder="true">
      <alignment horizontal="center" vertical="center" wrapText="true"/>
    </xf>
    <xf numFmtId="0" fontId="3" fillId="5" borderId="2" xfId="0" applyFill="true" applyFont="true" applyBorder="true">
      <alignment horizontal="center" vertical="center" wrapText="true"/>
    </xf>
    <xf numFmtId="0" fontId="3" fillId="5" borderId="3" xfId="0" applyFill="true" applyFont="true" applyBorder="true">
      <alignment horizontal="center" vertical="center" wrapText="true"/>
    </xf>
    <xf numFmtId="0" fontId="3" fillId="5" borderId="6" xfId="0" applyFill="true" applyFont="true" applyBorder="true">
      <alignment horizontal="center" vertical="center" wrapText="true"/>
    </xf>
    <xf numFmtId="0" fontId="3" fillId="3" borderId="11" xfId="0" applyFill="true" applyFont="true" applyBorder="true">
      <alignment horizontal="center" vertical="center" wrapText="true"/>
    </xf>
    <xf numFmtId="0" fontId="3" fillId="3" borderId="12" xfId="0" applyFill="true" applyFont="true" applyBorder="true">
      <alignment horizontal="center" vertical="center" wrapText="true"/>
    </xf>
    <xf numFmtId="0" fontId="5" fillId="5" borderId="5" xfId="0" applyFill="true" applyFont="true" applyBorder="true">
      <alignment horizontal="left" vertical="center" wrapText="true"/>
    </xf>
    <xf numFmtId="0" fontId="5" fillId="5" borderId="4" xfId="0" applyFill="true" applyFont="true" applyBorder="true">
      <alignment horizontal="left" vertical="center" wrapText="true"/>
    </xf>
    <xf numFmtId="0" fontId="5" fillId="5" borderId="7" xfId="0" applyFill="true" applyFont="true" applyBorder="true">
      <alignment horizontal="left" vertical="center" wrapText="true"/>
    </xf>
    <xf numFmtId="0" fontId="5" fillId="5" borderId="12" xfId="0" applyFill="true" applyFont="true" applyBorder="true">
      <alignment horizontal="left" vertical="center" wrapText="true"/>
    </xf>
    <xf numFmtId="0" fontId="5" fillId="3" borderId="5" xfId="0" applyFill="true" applyFont="true" applyBorder="true">
      <alignment horizontal="left" vertical="center" wrapText="true"/>
    </xf>
    <xf numFmtId="0" fontId="5" fillId="3" borderId="4" xfId="0" applyFill="true" applyFont="true" applyBorder="true">
      <alignment horizontal="left" vertical="center" wrapText="true"/>
    </xf>
    <xf numFmtId="0" fontId="5" fillId="3" borderId="7" xfId="0" applyFill="true" applyFont="true" applyBorder="true">
      <alignment horizontal="left" vertical="center" wrapText="true"/>
    </xf>
    <xf numFmtId="0" fontId="5" fillId="3" borderId="12" xfId="0" applyFill="true" applyFont="true" applyBorder="true">
      <alignment horizontal="left" vertical="center" wrapText="true"/>
    </xf>
    <xf numFmtId="4" fontId="0" fillId="0" borderId="9" xfId="0" applyBorder="true" applyNumberFormat="true">
      <alignment vertical="center"/>
    </xf>
    <xf numFmtId="4" fontId="0" fillId="7" borderId="9" xfId="0" applyFill="true" applyBorder="true" applyNumberFormat="true">
      <alignment vertical="center"/>
    </xf>
    <xf numFmtId="165" fontId="0" fillId="0" borderId="12" xfId="0" applyBorder="true" applyNumberFormat="true">
      <alignment vertical="center"/>
    </xf>
    <xf numFmtId="4" fontId="0" fillId="0" borderId="12" xfId="0" applyBorder="true" applyNumberFormat="true">
      <alignment vertical="center"/>
    </xf>
    <xf numFmtId="0" fontId="6" fillId="5" borderId="5" xfId="0" applyFill="true" applyFont="true" applyBorder="true">
      <alignment horizontal="left" vertical="center" wrapText="true"/>
    </xf>
    <xf numFmtId="0" fontId="6" fillId="3" borderId="5" xfId="0" applyFill="true" applyFont="true" applyBorder="true">
      <alignment horizontal="left" vertical="center" wrapText="true"/>
    </xf>
    <xf numFmtId="0" fontId="5" fillId="3" borderId="6" xfId="0" applyFill="true" applyFont="true" applyBorder="true">
      <alignment horizontal="left" vertical="center" wrapText="true"/>
    </xf>
    <xf numFmtId="165" fontId="0" fillId="7" borderId="12" xfId="0" applyFill="true" applyBorder="true" applyNumberFormat="true">
      <alignment vertical="center"/>
    </xf>
    <xf numFmtId="4" fontId="0" fillId="7" borderId="12" xfId="0" applyFill="true" applyBorder="true" applyNumberFormat="true">
      <alignment vertical="center"/>
    </xf>
    <xf numFmtId="0" fontId="3" fillId="5" borderId="1" xfId="0" applyFill="true" applyFont="true" applyBorder="true">
      <alignment horizontal="center" vertical="center" wrapText="true"/>
    </xf>
    <xf numFmtId="0" fontId="3" fillId="5" borderId="13" xfId="0" applyFill="true" applyFont="true" applyBorder="true">
      <alignment horizontal="center" vertical="center" wrapText="true"/>
    </xf>
    <xf numFmtId="0" fontId="3" fillId="5" borderId="8" xfId="0" applyFill="true" applyFont="true" applyBorder="true">
      <alignment horizontal="center" vertical="center" wrapText="true"/>
    </xf>
    <xf numFmtId="0" fontId="3" fillId="5" borderId="11" xfId="0" applyFill="true" applyFont="true" applyBorder="true">
      <alignment horizontal="center" vertical="center" wrapText="true"/>
    </xf>
    <xf numFmtId="0" fontId="3" fillId="5" borderId="9" xfId="0" applyFill="true" applyFont="true" applyBorder="true">
      <alignment horizontal="center" vertical="center" wrapText="true"/>
    </xf>
    <xf numFmtId="0" fontId="3" fillId="5" borderId="12" xfId="0" applyFill="true" applyFont="true" applyBorder="true">
      <alignment horizontal="center" vertical="center" wrapText="true"/>
    </xf>
    <xf numFmtId="0" fontId="5" fillId="5" borderId="6" xfId="0" applyFill="true" applyFont="true" applyBorder="true">
      <alignment horizontal="left" vertical="center"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B2:C10"/>
  <sheetViews>
    <sheetView workbookViewId="0" tabSelected="true"/>
  </sheetViews>
  <sheetFormatPr defaultRowHeight="15.0"/>
  <sheetData>
    <row r="2">
      <c r="B2" t="s">
        <v>0</v>
      </c>
    </row>
    <row r="3">
      <c r="B3" t="s" s="3">
        <v>2</v>
      </c>
    </row>
    <row r="4">
      <c r="B4" t="s" s="3">
        <v>64</v>
      </c>
    </row>
    <row r="5">
      <c r="B5" t="s" s="3">
        <v>89</v>
      </c>
    </row>
    <row r="6">
      <c r="B6" t="s" s="3">
        <v>174</v>
      </c>
    </row>
    <row r="7">
      <c r="B7" t="s" s="3">
        <v>192</v>
      </c>
    </row>
    <row r="8">
      <c r="B8" t="s" s="3">
        <v>236</v>
      </c>
    </row>
    <row r="9">
      <c r="B9" t="s" s="3">
        <v>245</v>
      </c>
    </row>
    <row r="10">
      <c r="B10" t="s" s="3">
        <v>258</v>
      </c>
    </row>
  </sheetData>
  <hyperlinks>
    <hyperlink location="Hoja1!B2" ref="B3"/>
    <hyperlink location="Hoja2!B2" ref="B4"/>
    <hyperlink location="Hoja3!B2" ref="B5"/>
    <hyperlink location="Hoja4!B2" ref="B6"/>
    <hyperlink location="Hoja5!B2" ref="B7"/>
    <hyperlink location="Hoja6!B2" ref="B8"/>
    <hyperlink location="Hoja7!B2" ref="B9"/>
    <hyperlink location="Hoja8!B2" ref="B10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B2:F40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50.0" customWidth="true"/>
    <col min="5" max="5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2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9</v>
      </c>
    </row>
    <row r="10">
      <c r="E10" t="s" s="6">
        <v>12</v>
      </c>
    </row>
    <row r="11">
      <c r="B11" s="7" t="s">
        <v>13</v>
      </c>
      <c r="C11" s="8"/>
      <c r="D11" s="9"/>
      <c r="E11" s="22"/>
    </row>
    <row r="12">
      <c r="B12" s="10"/>
      <c r="C12" s="12" t="s">
        <v>14</v>
      </c>
      <c r="D12" s="13"/>
      <c r="E12" s="23"/>
    </row>
    <row r="13">
      <c r="B13" s="10"/>
      <c r="C13" s="14"/>
      <c r="D13" s="18" t="s">
        <v>15</v>
      </c>
      <c r="E13" t="s" s="21">
        <v>43</v>
      </c>
    </row>
    <row r="14">
      <c r="B14" s="10"/>
      <c r="C14" s="14"/>
      <c r="D14" s="19" t="s">
        <v>16</v>
      </c>
      <c r="E14" t="s" s="20">
        <v>6</v>
      </c>
    </row>
    <row r="15">
      <c r="B15" s="10"/>
      <c r="C15" s="14"/>
      <c r="D15" s="18" t="s">
        <v>17</v>
      </c>
      <c r="E15" t="s" s="21">
        <v>44</v>
      </c>
    </row>
    <row r="16">
      <c r="B16" s="10"/>
      <c r="C16" s="15"/>
      <c r="D16" s="19" t="s">
        <v>18</v>
      </c>
      <c r="E16" t="s" s="20">
        <v>45</v>
      </c>
    </row>
    <row r="17">
      <c r="B17" s="10"/>
      <c r="C17" s="7" t="s">
        <v>19</v>
      </c>
      <c r="D17" s="9"/>
      <c r="E17" s="22"/>
    </row>
    <row r="18">
      <c r="B18" s="10"/>
      <c r="C18" s="10"/>
      <c r="D18" s="19" t="s">
        <v>20</v>
      </c>
      <c r="E18" t="s" s="20">
        <v>46</v>
      </c>
    </row>
    <row r="19">
      <c r="B19" s="10"/>
      <c r="C19" s="10"/>
      <c r="D19" s="18" t="s">
        <v>21</v>
      </c>
      <c r="E19" t="s" s="21">
        <v>47</v>
      </c>
    </row>
    <row r="20">
      <c r="B20" s="10"/>
      <c r="C20" s="10"/>
      <c r="D20" s="19" t="s">
        <v>22</v>
      </c>
      <c r="E20" t="s" s="20">
        <v>48</v>
      </c>
    </row>
    <row r="21">
      <c r="B21" s="10"/>
      <c r="C21" s="10"/>
      <c r="D21" s="18" t="s">
        <v>23</v>
      </c>
      <c r="E21" t="s" s="21">
        <v>48</v>
      </c>
    </row>
    <row r="22">
      <c r="B22" s="10"/>
      <c r="C22" s="11"/>
      <c r="D22" s="19" t="s">
        <v>24</v>
      </c>
      <c r="E22" t="s" s="20">
        <v>49</v>
      </c>
    </row>
    <row r="23">
      <c r="B23" s="10"/>
      <c r="C23" s="7" t="s">
        <v>25</v>
      </c>
      <c r="D23" s="9"/>
      <c r="E23" s="22"/>
    </row>
    <row r="24">
      <c r="B24" s="10"/>
      <c r="C24" s="10"/>
      <c r="D24" s="19" t="s">
        <v>26</v>
      </c>
      <c r="E24" t="n" s="26">
        <v>35.0</v>
      </c>
    </row>
    <row r="25">
      <c r="B25" s="10"/>
      <c r="C25" s="10"/>
      <c r="D25" s="18" t="s">
        <v>27</v>
      </c>
      <c r="E25" t="n" s="27">
        <v>35.0</v>
      </c>
    </row>
    <row r="26">
      <c r="B26" s="10"/>
      <c r="C26" s="11"/>
      <c r="D26" s="19" t="s">
        <v>28</v>
      </c>
      <c r="E26" t="n" s="26">
        <v>35.0</v>
      </c>
    </row>
    <row r="27">
      <c r="B27" s="10"/>
      <c r="C27" s="7" t="s">
        <v>29</v>
      </c>
      <c r="D27" s="9"/>
      <c r="E27" s="22"/>
    </row>
    <row r="28">
      <c r="B28" s="10"/>
      <c r="C28" s="10"/>
      <c r="D28" s="19" t="s">
        <v>30</v>
      </c>
      <c r="E28" t="s" s="20">
        <v>50</v>
      </c>
    </row>
    <row r="29">
      <c r="B29" s="10"/>
      <c r="C29" s="10"/>
      <c r="D29" s="18" t="s">
        <v>31</v>
      </c>
      <c r="E29" t="s" s="21">
        <v>53</v>
      </c>
    </row>
    <row r="30">
      <c r="B30" s="10"/>
      <c r="C30" s="10"/>
      <c r="D30" s="19" t="s">
        <v>32</v>
      </c>
      <c r="E30" t="s" s="20">
        <v>54</v>
      </c>
    </row>
    <row r="31">
      <c r="B31" s="10"/>
      <c r="C31" s="11"/>
      <c r="D31" s="18" t="s">
        <v>33</v>
      </c>
      <c r="E31" t="s" s="21">
        <v>55</v>
      </c>
    </row>
    <row r="32">
      <c r="B32" s="10"/>
      <c r="C32" s="12" t="s">
        <v>34</v>
      </c>
      <c r="D32" s="13"/>
      <c r="E32" s="23"/>
    </row>
    <row r="33">
      <c r="B33" s="10"/>
      <c r="C33" s="14"/>
      <c r="D33" s="18" t="s">
        <v>35</v>
      </c>
      <c r="E33" t="s" s="21">
        <v>56</v>
      </c>
    </row>
    <row r="34">
      <c r="B34" s="10"/>
      <c r="C34" s="14"/>
      <c r="D34" s="19" t="s">
        <v>36</v>
      </c>
      <c r="E34" t="s" s="20">
        <v>59</v>
      </c>
    </row>
    <row r="35">
      <c r="B35" s="10"/>
      <c r="C35" s="14"/>
      <c r="D35" s="18" t="s">
        <v>37</v>
      </c>
      <c r="E35" t="s" s="21">
        <v>61</v>
      </c>
    </row>
    <row r="36">
      <c r="B36" s="10"/>
      <c r="C36" s="15"/>
      <c r="D36" s="19" t="s">
        <v>38</v>
      </c>
      <c r="E36" t="s" s="20">
        <v>61</v>
      </c>
    </row>
    <row r="37" ht="28.0" customHeight="true">
      <c r="B37" s="10"/>
      <c r="C37" s="7" t="s">
        <v>39</v>
      </c>
      <c r="D37" s="9"/>
      <c r="E37" s="22"/>
    </row>
    <row r="38">
      <c r="B38" s="10"/>
      <c r="C38" s="10"/>
      <c r="D38" s="19" t="s">
        <v>40</v>
      </c>
      <c r="E38" t="s" s="20">
        <v>61</v>
      </c>
    </row>
    <row r="39">
      <c r="B39" s="10"/>
      <c r="C39" s="10"/>
      <c r="D39" s="18" t="s">
        <v>41</v>
      </c>
      <c r="E39" t="s" s="21">
        <v>62</v>
      </c>
    </row>
    <row r="40">
      <c r="B40" s="11"/>
      <c r="C40" s="11"/>
      <c r="D40" s="19" t="s">
        <v>42</v>
      </c>
      <c r="E40" s="28"/>
    </row>
  </sheetData>
  <mergeCells>
    <mergeCell ref="B11:D11"/>
    <mergeCell ref="C12:D12"/>
    <mergeCell ref="C17:D17"/>
    <mergeCell ref="C23:D23"/>
    <mergeCell ref="C27:D27"/>
    <mergeCell ref="C32:D32"/>
    <mergeCell ref="C37:D37"/>
  </mergeCells>
  <dataValidations count="4">
    <dataValidation type="list" sqref="E28" allowBlank="true" errorStyle="stop" showErrorMessage="true" showDropDown="false">
      <formula1>sspdtipos_TipoIdentificacion</formula1>
    </dataValidation>
    <dataValidation type="list" sqref="E33" allowBlank="true" errorStyle="stop" showErrorMessage="true" showDropDown="false">
      <formula1>sspdtipos_TipoGrupoMarcoNormativo</formula1>
    </dataValidation>
    <dataValidation type="list" sqref="E34" allowBlank="true" errorStyle="stop" showErrorMessage="true" showDropDown="false">
      <formula1>sspdtipos_TipoDeclaracionCumplimientoMarcoNormativo</formula1>
    </dataValidation>
    <dataValidation type="list" sqref="E39" allowBlank="true" errorStyle="stop" showErrorMessage="true" showDropDown="false">
      <formula1>sspdtipos_TipoSiNo</formula1>
    </dataValidation>
  </dataValidations>
  <hyperlinks>
    <hyperlink location="'Indice'!A1" ref="B2"/>
  </hyperlink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B3:I5"/>
  <sheetViews>
    <sheetView workbookViewId="0"/>
  </sheetViews>
  <sheetFormatPr defaultRowHeight="15.0"/>
  <sheetData>
    <row r="3">
      <c r="B3" t="s">
        <v>50</v>
      </c>
      <c r="D3" t="s">
        <v>57</v>
      </c>
      <c r="F3" t="s">
        <v>59</v>
      </c>
      <c r="H3" t="s">
        <v>63</v>
      </c>
    </row>
    <row r="4">
      <c r="B4" t="s">
        <v>51</v>
      </c>
      <c r="D4" t="s">
        <v>58</v>
      </c>
      <c r="F4" t="s">
        <v>60</v>
      </c>
      <c r="H4" t="s">
        <v>62</v>
      </c>
    </row>
    <row r="5">
      <c r="B5" t="s">
        <v>52</v>
      </c>
      <c r="D5" t="s">
        <v>56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B2:H33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2.70703125" customWidth="true"/>
    <col min="5" max="5" width="2.70703125" customWidth="true"/>
    <col min="6" max="6" width="50.0" customWidth="true"/>
    <col min="7" max="7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64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9</v>
      </c>
    </row>
    <row r="10">
      <c r="G10" t="s" s="6">
        <v>12</v>
      </c>
    </row>
    <row r="11">
      <c r="B11" s="7" t="s">
        <v>65</v>
      </c>
      <c r="C11" s="8"/>
      <c r="D11" s="8"/>
      <c r="E11" s="8"/>
      <c r="F11" s="9"/>
      <c r="G11" s="22"/>
    </row>
    <row r="12">
      <c r="B12" s="10"/>
      <c r="C12" s="12" t="s">
        <v>66</v>
      </c>
      <c r="D12" s="29"/>
      <c r="E12" s="29"/>
      <c r="F12" s="13"/>
      <c r="G12" s="23"/>
    </row>
    <row r="13">
      <c r="B13" s="10"/>
      <c r="C13" s="14"/>
      <c r="D13" s="7" t="s">
        <v>67</v>
      </c>
      <c r="E13" s="8"/>
      <c r="F13" s="9"/>
      <c r="G13" t="n" s="30">
        <v>9.7671293E7</v>
      </c>
    </row>
    <row r="14">
      <c r="B14" s="10"/>
      <c r="C14" s="14"/>
      <c r="D14" s="11"/>
      <c r="E14" s="15" t="s">
        <v>68</v>
      </c>
      <c r="F14" s="13"/>
      <c r="G14" t="s" s="20">
        <v>88</v>
      </c>
    </row>
    <row r="15">
      <c r="B15" s="10"/>
      <c r="C15" s="14"/>
      <c r="D15" s="11" t="s">
        <v>69</v>
      </c>
      <c r="E15" s="8"/>
      <c r="F15" s="9"/>
      <c r="G15" t="n" s="30">
        <v>1.4097404E7</v>
      </c>
    </row>
    <row r="16">
      <c r="B16" s="10"/>
      <c r="C16" s="15"/>
      <c r="D16" s="15" t="s">
        <v>70</v>
      </c>
      <c r="E16" s="29"/>
      <c r="F16" s="13"/>
      <c r="G16" t="n" s="31">
        <v>1.11768697E8</v>
      </c>
    </row>
    <row r="17">
      <c r="B17" s="10"/>
      <c r="C17" s="7" t="s">
        <v>71</v>
      </c>
      <c r="D17" s="8"/>
      <c r="E17" s="8"/>
      <c r="F17" s="9"/>
      <c r="G17" s="22"/>
    </row>
    <row r="18">
      <c r="B18" s="10"/>
      <c r="C18" s="10"/>
      <c r="D18" s="15" t="s">
        <v>72</v>
      </c>
      <c r="E18" s="29"/>
      <c r="F18" s="13"/>
      <c r="G18" t="s" s="20">
        <v>88</v>
      </c>
    </row>
    <row r="19">
      <c r="B19" s="10"/>
      <c r="C19" s="10"/>
      <c r="D19" s="11" t="s">
        <v>73</v>
      </c>
      <c r="E19" s="8"/>
      <c r="F19" s="9"/>
      <c r="G19" t="s" s="21">
        <v>88</v>
      </c>
    </row>
    <row r="20">
      <c r="B20" s="10"/>
      <c r="C20" s="10"/>
      <c r="D20" s="15" t="s">
        <v>74</v>
      </c>
      <c r="E20" s="29"/>
      <c r="F20" s="13"/>
      <c r="G20" t="s" s="20">
        <v>88</v>
      </c>
    </row>
    <row r="21">
      <c r="B21" s="10"/>
      <c r="C21" s="10"/>
      <c r="D21" s="11" t="s">
        <v>75</v>
      </c>
      <c r="E21" s="8"/>
      <c r="F21" s="9"/>
      <c r="G21" t="s" s="21">
        <v>88</v>
      </c>
    </row>
    <row r="22">
      <c r="B22" s="10"/>
      <c r="C22" s="10"/>
      <c r="D22" s="15" t="s">
        <v>76</v>
      </c>
      <c r="E22" s="29"/>
      <c r="F22" s="13"/>
      <c r="G22" t="s" s="20">
        <v>88</v>
      </c>
    </row>
    <row r="23">
      <c r="B23" s="10"/>
      <c r="C23" s="11"/>
      <c r="D23" s="11" t="s">
        <v>77</v>
      </c>
      <c r="E23" s="8"/>
      <c r="F23" s="9"/>
      <c r="G23" t="s" s="21">
        <v>88</v>
      </c>
    </row>
    <row r="24" ht="28.0" customHeight="true">
      <c r="B24" s="10"/>
      <c r="C24" s="12" t="s">
        <v>78</v>
      </c>
      <c r="D24" s="29"/>
      <c r="E24" s="29"/>
      <c r="F24" s="13"/>
      <c r="G24" s="23"/>
    </row>
    <row r="25" ht="28.0" customHeight="true">
      <c r="B25" s="10"/>
      <c r="C25" s="14"/>
      <c r="D25" s="7" t="s">
        <v>79</v>
      </c>
      <c r="E25" s="8"/>
      <c r="F25" s="9"/>
      <c r="G25" t="s" s="21">
        <v>62</v>
      </c>
    </row>
    <row r="26">
      <c r="B26" s="10"/>
      <c r="C26" s="14"/>
      <c r="D26" s="10"/>
      <c r="E26" s="12" t="s">
        <v>80</v>
      </c>
      <c r="F26" s="13"/>
      <c r="G26" s="20"/>
    </row>
    <row r="27">
      <c r="B27" s="10"/>
      <c r="C27" s="14"/>
      <c r="D27" s="10"/>
      <c r="E27" s="15"/>
      <c r="F27" s="18" t="s">
        <v>81</v>
      </c>
      <c r="G27" s="21"/>
    </row>
    <row r="28">
      <c r="B28" s="10"/>
      <c r="C28" s="14"/>
      <c r="D28" s="10"/>
      <c r="E28" s="12" t="s">
        <v>82</v>
      </c>
      <c r="F28" s="13"/>
      <c r="G28" s="20"/>
    </row>
    <row r="29">
      <c r="B29" s="10"/>
      <c r="C29" s="14"/>
      <c r="D29" s="10"/>
      <c r="E29" s="15"/>
      <c r="F29" s="18" t="s">
        <v>83</v>
      </c>
      <c r="G29" s="21"/>
    </row>
    <row r="30">
      <c r="B30" s="10"/>
      <c r="C30" s="14"/>
      <c r="D30" s="10"/>
      <c r="E30" s="12" t="s">
        <v>84</v>
      </c>
      <c r="F30" s="13"/>
      <c r="G30" s="20"/>
    </row>
    <row r="31">
      <c r="B31" s="10"/>
      <c r="C31" s="14"/>
      <c r="D31" s="10"/>
      <c r="E31" s="15"/>
      <c r="F31" s="18" t="s">
        <v>85</v>
      </c>
      <c r="G31" s="21"/>
    </row>
    <row r="32">
      <c r="B32" s="10"/>
      <c r="C32" s="14"/>
      <c r="D32" s="10"/>
      <c r="E32" s="12" t="s">
        <v>86</v>
      </c>
      <c r="F32" s="13"/>
      <c r="G32" s="20"/>
    </row>
    <row r="33">
      <c r="B33" s="11"/>
      <c r="C33" s="15"/>
      <c r="D33" s="11"/>
      <c r="E33" s="15"/>
      <c r="F33" s="18" t="s">
        <v>87</v>
      </c>
      <c r="G33" s="32"/>
    </row>
  </sheetData>
  <mergeCells>
    <mergeCell ref="B11:F11"/>
    <mergeCell ref="C12:F12"/>
    <mergeCell ref="D13:F13"/>
    <mergeCell ref="E14:F14"/>
    <mergeCell ref="D15:F15"/>
    <mergeCell ref="D16:F16"/>
    <mergeCell ref="C17:F17"/>
    <mergeCell ref="D18:F18"/>
    <mergeCell ref="D19:F19"/>
    <mergeCell ref="D20:F20"/>
    <mergeCell ref="D21:F21"/>
    <mergeCell ref="D22:F22"/>
    <mergeCell ref="D23:F23"/>
    <mergeCell ref="C24:F24"/>
    <mergeCell ref="D25:F25"/>
    <mergeCell ref="E26:F26"/>
    <mergeCell ref="E28:F28"/>
    <mergeCell ref="E30:F30"/>
    <mergeCell ref="E32:F32"/>
  </mergeCells>
  <dataValidations count="5">
    <dataValidation type="list" sqref="G25" allowBlank="true" errorStyle="stop" showErrorMessage="true" showDropDown="false">
      <formula1>sspdtipos_TipoSiNo</formula1>
    </dataValidation>
    <dataValidation type="list" sqref="G26" allowBlank="true" errorStyle="stop" showErrorMessage="true" showDropDown="false">
      <formula1>sspdtipos_TipoSiNo</formula1>
    </dataValidation>
    <dataValidation type="list" sqref="G28" allowBlank="true" errorStyle="stop" showErrorMessage="true" showDropDown="false">
      <formula1>sspdtipos_TipoSiNo</formula1>
    </dataValidation>
    <dataValidation type="list" sqref="G30" allowBlank="true" errorStyle="stop" showErrorMessage="true" showDropDown="false">
      <formula1>sspdtipos_TipoSiNo</formula1>
    </dataValidation>
    <dataValidation type="list" sqref="G32" allowBlank="true" errorStyle="stop" showErrorMessage="true" showDropDown="false">
      <formula1>sspdtipos_TipoSiNo</formula1>
    </dataValidation>
  </dataValidations>
  <hyperlinks>
    <hyperlink location="'Indice'!A1" ref="B2"/>
  </hyperlinks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B2:R163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2.70703125" customWidth="true"/>
    <col min="5" max="5" width="2.70703125" customWidth="true"/>
    <col min="6" max="6" width="2.70703125" customWidth="true"/>
    <col min="7" max="7" width="2.70703125" customWidth="true"/>
    <col min="8" max="8" width="50.0" customWidth="true"/>
    <col min="9" max="9" width="15.0" customWidth="true"/>
    <col min="10" max="10" width="15.0" customWidth="true"/>
    <col min="11" max="11" width="15.0" customWidth="true"/>
    <col min="12" max="12" width="15.0" customWidth="true"/>
    <col min="13" max="13" width="15.0" customWidth="true"/>
    <col min="14" max="14" width="15.0" customWidth="true"/>
    <col min="15" max="15" width="15.0" customWidth="true"/>
    <col min="16" max="16" width="15.0" customWidth="true"/>
    <col min="17" max="17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89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9">
      <c r="B9" t="s" s="1">
        <v>11</v>
      </c>
      <c r="C9" t="s">
        <v>12</v>
      </c>
    </row>
    <row r="10">
      <c r="I10" t="s" s="4">
        <v>90</v>
      </c>
      <c r="J10" s="33"/>
      <c r="K10" s="33"/>
      <c r="L10" s="33"/>
      <c r="M10" s="33"/>
      <c r="N10" s="33"/>
      <c r="O10" s="33"/>
      <c r="P10" s="33"/>
      <c r="Q10" s="34"/>
    </row>
    <row r="11">
      <c r="I11" t="s" s="38">
        <v>91</v>
      </c>
      <c r="J11" t="s" s="6">
        <v>92</v>
      </c>
      <c r="K11" t="s" s="38">
        <v>93</v>
      </c>
      <c r="L11" t="s" s="6">
        <v>94</v>
      </c>
      <c r="M11" t="s" s="38">
        <v>95</v>
      </c>
      <c r="N11" t="s" s="6">
        <v>96</v>
      </c>
      <c r="O11" t="s" s="38">
        <v>97</v>
      </c>
      <c r="P11" t="s" s="6">
        <v>98</v>
      </c>
      <c r="Q11" s="40"/>
    </row>
    <row r="12">
      <c r="B12" s="7" t="s">
        <v>99</v>
      </c>
      <c r="C12" s="8"/>
      <c r="D12" s="8"/>
      <c r="E12" s="8"/>
      <c r="F12" s="8"/>
      <c r="G12" s="8"/>
      <c r="H12" s="9"/>
      <c r="I12" s="23"/>
      <c r="J12" s="23"/>
      <c r="K12" s="23"/>
      <c r="L12" s="23"/>
      <c r="M12" s="23"/>
      <c r="N12" s="23"/>
      <c r="O12" s="23"/>
      <c r="P12" s="23"/>
      <c r="Q12" s="23"/>
    </row>
    <row r="13">
      <c r="B13" s="10"/>
      <c r="C13" s="12" t="s">
        <v>100</v>
      </c>
      <c r="D13" s="29"/>
      <c r="E13" s="29"/>
      <c r="F13" s="29"/>
      <c r="G13" s="29"/>
      <c r="H13" s="13"/>
      <c r="I13" s="22"/>
      <c r="J13" s="22"/>
      <c r="K13" s="22"/>
      <c r="L13" s="22"/>
      <c r="M13" s="22"/>
      <c r="N13" s="22"/>
      <c r="O13" s="22"/>
      <c r="P13" s="22"/>
      <c r="Q13" s="22"/>
    </row>
    <row r="14">
      <c r="B14" s="10"/>
      <c r="C14" s="14"/>
      <c r="D14" s="7" t="s">
        <v>101</v>
      </c>
      <c r="E14" s="8"/>
      <c r="F14" s="8"/>
      <c r="G14" s="8"/>
      <c r="H14" s="9"/>
      <c r="I14" s="23"/>
      <c r="J14" s="23"/>
      <c r="K14" s="23"/>
      <c r="L14" s="23"/>
      <c r="M14" s="23"/>
      <c r="N14" s="23"/>
      <c r="O14" s="23"/>
      <c r="P14" s="23"/>
      <c r="Q14" s="23"/>
    </row>
    <row r="15">
      <c r="B15" s="10"/>
      <c r="C15" s="14"/>
      <c r="D15" s="10"/>
      <c r="E15" s="12" t="s">
        <v>102</v>
      </c>
      <c r="F15" s="29"/>
      <c r="G15" s="29"/>
      <c r="H15" s="13"/>
      <c r="I15" t="n" s="30">
        <v>3.2439054E7</v>
      </c>
      <c r="J15" t="n" s="30">
        <v>2.6996806E7</v>
      </c>
      <c r="K15" t="n" s="30">
        <v>5.2332837E7</v>
      </c>
      <c r="L15" s="49" t="n"/>
      <c r="M15" s="49" t="n"/>
      <c r="N15" s="49" t="n"/>
      <c r="O15" s="49" t="n"/>
      <c r="P15" s="49" t="n"/>
      <c r="Q15" t="n" s="30">
        <f>Hoja2!G16</f>
      </c>
    </row>
    <row r="16">
      <c r="B16" s="10"/>
      <c r="C16" s="14"/>
      <c r="D16" s="10"/>
      <c r="E16" s="15"/>
      <c r="F16" s="11" t="s">
        <v>103</v>
      </c>
      <c r="G16" s="8"/>
      <c r="H16" s="9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</row>
    <row r="17" ht="28.0" customHeight="true">
      <c r="B17" s="10"/>
      <c r="C17" s="14"/>
      <c r="D17" s="10"/>
      <c r="E17" s="12" t="s">
        <v>104</v>
      </c>
      <c r="F17" s="29"/>
      <c r="G17" s="29"/>
      <c r="H17" s="13"/>
      <c r="I17" s="22"/>
      <c r="J17" s="22"/>
      <c r="K17" s="22"/>
      <c r="L17" s="22"/>
      <c r="M17" s="22"/>
      <c r="N17" s="22"/>
      <c r="O17" s="22"/>
      <c r="P17" s="22"/>
      <c r="Q17" s="22"/>
    </row>
    <row r="18" ht="28.0" customHeight="true">
      <c r="B18" s="10"/>
      <c r="C18" s="14"/>
      <c r="D18" s="10"/>
      <c r="E18" s="14"/>
      <c r="F18" s="7" t="s">
        <v>105</v>
      </c>
      <c r="G18" s="8"/>
      <c r="H18" s="9"/>
      <c r="I18" s="23"/>
      <c r="J18" s="23"/>
      <c r="K18" s="23"/>
      <c r="L18" s="23"/>
      <c r="M18" s="23"/>
      <c r="N18" s="23"/>
      <c r="O18" s="23"/>
      <c r="P18" s="23"/>
      <c r="Q18" s="23"/>
    </row>
    <row r="19" ht="42.0" customHeight="true">
      <c r="B19" s="10"/>
      <c r="C19" s="14"/>
      <c r="D19" s="10"/>
      <c r="E19" s="14"/>
      <c r="F19" s="10"/>
      <c r="G19" s="15" t="s">
        <v>106</v>
      </c>
      <c r="H19" s="13"/>
      <c r="I19" t="n" s="30">
        <v>1.9322948E7</v>
      </c>
      <c r="J19" t="n" s="30">
        <v>9102524.0</v>
      </c>
      <c r="K19" t="n" s="30">
        <v>1.2982174E7</v>
      </c>
      <c r="L19" s="49" t="n"/>
      <c r="M19" s="49" t="n"/>
      <c r="N19" s="49" t="n"/>
      <c r="O19" s="22"/>
      <c r="P19" s="49" t="n"/>
      <c r="Q19" t="n" s="30">
        <v>4.1407646E7</v>
      </c>
    </row>
    <row r="20">
      <c r="B20" s="10"/>
      <c r="C20" s="14"/>
      <c r="D20" s="10"/>
      <c r="E20" s="14"/>
      <c r="F20" s="10"/>
      <c r="G20" s="7" t="s">
        <v>107</v>
      </c>
      <c r="H20" s="9"/>
      <c r="I20" t="n" s="31">
        <v>2.4469246E7</v>
      </c>
      <c r="J20" t="n" s="31">
        <v>1.3141929E7</v>
      </c>
      <c r="K20" t="n" s="31">
        <v>1.5333256E7</v>
      </c>
      <c r="L20" s="50" t="n"/>
      <c r="M20" s="50" t="n"/>
      <c r="N20" s="50" t="n"/>
      <c r="O20" s="23"/>
      <c r="P20" s="50" t="n"/>
      <c r="Q20" t="n" s="31">
        <v>5.2944431E7</v>
      </c>
    </row>
    <row r="21">
      <c r="B21" s="10"/>
      <c r="C21" s="14"/>
      <c r="D21" s="10"/>
      <c r="E21" s="14"/>
      <c r="F21" s="10"/>
      <c r="G21" s="11"/>
      <c r="H21" s="19" t="s">
        <v>108</v>
      </c>
      <c r="I21" s="22"/>
      <c r="J21" s="22"/>
      <c r="K21" s="22"/>
      <c r="L21" s="49" t="n"/>
      <c r="M21" s="49" t="n"/>
      <c r="N21" s="49" t="n"/>
      <c r="O21" s="22"/>
      <c r="P21" s="22"/>
      <c r="Q21" s="49" t="n"/>
    </row>
    <row r="22" ht="28.0" customHeight="true">
      <c r="B22" s="10"/>
      <c r="C22" s="14"/>
      <c r="D22" s="10"/>
      <c r="E22" s="14"/>
      <c r="F22" s="11"/>
      <c r="G22" s="11" t="s">
        <v>109</v>
      </c>
      <c r="H22" s="9"/>
      <c r="I22" s="23"/>
      <c r="J22" s="23"/>
      <c r="K22" s="50" t="n"/>
      <c r="L22" s="23"/>
      <c r="M22" s="23"/>
      <c r="N22" s="23"/>
      <c r="O22" s="23"/>
      <c r="P22" s="23"/>
      <c r="Q22" s="50" t="n"/>
    </row>
    <row r="23" ht="28.0" customHeight="true">
      <c r="B23" s="10"/>
      <c r="C23" s="14"/>
      <c r="D23" s="10"/>
      <c r="E23" s="14"/>
      <c r="F23" s="44" t="s">
        <v>110</v>
      </c>
      <c r="G23" s="42"/>
      <c r="H23" s="43"/>
      <c r="I23" t="n" s="30">
        <f>I19+I20</f>
      </c>
      <c r="J23" t="n" s="30">
        <f>J19+J20</f>
      </c>
      <c r="K23" t="n" s="30">
        <f>K19+K20+K22</f>
      </c>
      <c r="L23" s="49" t="n">
        <f>L19+L20</f>
      </c>
      <c r="M23" s="49" t="n">
        <f>M19+M20</f>
      </c>
      <c r="N23" s="49" t="n">
        <f>N19+N20</f>
      </c>
      <c r="O23" s="49" t="n"/>
      <c r="P23" s="49" t="n">
        <f>P19+P20</f>
      </c>
      <c r="Q23" t="n" s="30">
        <f>Q19+Q20+Q22</f>
      </c>
    </row>
    <row r="24">
      <c r="B24" s="10"/>
      <c r="C24" s="14"/>
      <c r="D24" s="10"/>
      <c r="E24" s="14"/>
      <c r="F24" s="11" t="s">
        <v>111</v>
      </c>
      <c r="G24" s="8"/>
      <c r="H24" s="9"/>
      <c r="I24" t="n" s="31">
        <v>118030.0</v>
      </c>
      <c r="J24" s="50" t="n"/>
      <c r="K24" s="50" t="n"/>
      <c r="L24" s="50" t="n"/>
      <c r="M24" s="50" t="n"/>
      <c r="N24" s="50" t="n"/>
      <c r="O24" s="50" t="n"/>
      <c r="P24" s="50" t="n"/>
      <c r="Q24" t="n" s="31">
        <f>-Hoja5!L28+Hoja5!L27</f>
      </c>
    </row>
    <row r="25">
      <c r="B25" s="10"/>
      <c r="C25" s="14"/>
      <c r="D25" s="10"/>
      <c r="E25" s="14"/>
      <c r="F25" s="15" t="s">
        <v>112</v>
      </c>
      <c r="G25" s="29"/>
      <c r="H25" s="13"/>
      <c r="I25" t="n" s="30">
        <v>1.0011109E7</v>
      </c>
      <c r="J25" s="49" t="n"/>
      <c r="K25" s="49" t="n"/>
      <c r="L25" s="49" t="n"/>
      <c r="M25" s="49" t="n"/>
      <c r="N25" s="49" t="n"/>
      <c r="O25" s="49" t="n"/>
      <c r="P25" s="49" t="n"/>
      <c r="Q25" t="n" s="30">
        <f>Hoja5!L31-Hoja5!L32</f>
      </c>
    </row>
    <row r="26" ht="28.0" customHeight="true">
      <c r="B26" s="10"/>
      <c r="C26" s="14"/>
      <c r="D26" s="10"/>
      <c r="E26" s="15"/>
      <c r="F26" s="48" t="s">
        <v>113</v>
      </c>
      <c r="G26" s="46"/>
      <c r="H26" s="47"/>
      <c r="I26" t="n" s="31">
        <f>SUM(I23:I25)</f>
      </c>
      <c r="J26" t="n" s="31">
        <f>SUM(J23:J25)</f>
      </c>
      <c r="K26" t="n" s="31">
        <f>SUM(K23:K25)</f>
      </c>
      <c r="L26" s="50" t="n">
        <f>SUM(L23:L25)</f>
      </c>
      <c r="M26" s="50" t="n">
        <f>SUM(M23:M25)</f>
      </c>
      <c r="N26" s="50" t="n">
        <f>SUM(N23:N25)</f>
      </c>
      <c r="O26" s="50" t="n">
        <f>SUM(O23:O25)</f>
      </c>
      <c r="P26" s="50" t="n">
        <f>SUM(P23:P25)</f>
      </c>
      <c r="Q26" t="n" s="31">
        <f>SUM(Q23:Q25)</f>
      </c>
    </row>
    <row r="27">
      <c r="B27" s="10"/>
      <c r="C27" s="14"/>
      <c r="D27" s="10"/>
      <c r="E27" s="15" t="s">
        <v>114</v>
      </c>
      <c r="F27" s="29"/>
      <c r="G27" s="29"/>
      <c r="H27" s="13"/>
      <c r="I27" t="n" s="30">
        <v>1.5974333E7</v>
      </c>
      <c r="J27" s="49" t="n"/>
      <c r="K27" s="49" t="n"/>
      <c r="L27" s="49" t="n"/>
      <c r="M27" s="49" t="n"/>
      <c r="N27" s="49" t="n"/>
      <c r="O27" s="49" t="n"/>
      <c r="P27" s="49" t="n"/>
      <c r="Q27" t="n" s="30">
        <v>1.5974333E7</v>
      </c>
    </row>
    <row r="28">
      <c r="B28" s="10"/>
      <c r="C28" s="14"/>
      <c r="D28" s="10"/>
      <c r="E28" s="11" t="s">
        <v>115</v>
      </c>
      <c r="F28" s="8"/>
      <c r="G28" s="8"/>
      <c r="H28" s="9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</row>
    <row r="29">
      <c r="B29" s="10"/>
      <c r="C29" s="14"/>
      <c r="D29" s="10"/>
      <c r="E29" s="15" t="s">
        <v>116</v>
      </c>
      <c r="F29" s="29"/>
      <c r="G29" s="29"/>
      <c r="H29" s="13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</row>
    <row r="30">
      <c r="B30" s="10"/>
      <c r="C30" s="14"/>
      <c r="D30" s="10"/>
      <c r="E30" s="11" t="s">
        <v>117</v>
      </c>
      <c r="F30" s="8"/>
      <c r="G30" s="8"/>
      <c r="H30" s="9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</row>
    <row r="31">
      <c r="B31" s="10"/>
      <c r="C31" s="14"/>
      <c r="D31" s="10"/>
      <c r="E31" s="15" t="s">
        <v>118</v>
      </c>
      <c r="F31" s="29"/>
      <c r="G31" s="29"/>
      <c r="H31" s="13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</row>
    <row r="32">
      <c r="B32" s="10"/>
      <c r="C32" s="14"/>
      <c r="D32" s="11"/>
      <c r="E32" s="48" t="s">
        <v>119</v>
      </c>
      <c r="F32" s="46"/>
      <c r="G32" s="46"/>
      <c r="H32" s="47"/>
      <c r="I32" t="n" s="31">
        <f>I15+SUM(I26:I31)</f>
      </c>
      <c r="J32" t="n" s="31">
        <f>J15+SUM(J26:J31)</f>
      </c>
      <c r="K32" t="n" s="31">
        <f>K15+SUM(K26:K31)</f>
      </c>
      <c r="L32" s="50" t="n">
        <f>L15+SUM(L26:L31)</f>
      </c>
      <c r="M32" s="50" t="n">
        <f>M15+SUM(M26:M31)</f>
      </c>
      <c r="N32" s="50" t="n">
        <f>N15+SUM(N26:N31)</f>
      </c>
      <c r="O32" s="50" t="n">
        <f>O15+SUM(O26:O31)</f>
      </c>
      <c r="P32" s="50" t="n">
        <f>P15+SUM(P26:P31)</f>
      </c>
      <c r="Q32" t="n" s="31">
        <f>Q15+SUM(Q26:Q31)</f>
      </c>
    </row>
    <row r="33">
      <c r="B33" s="10"/>
      <c r="C33" s="14"/>
      <c r="D33" s="12" t="s">
        <v>120</v>
      </c>
      <c r="E33" s="29"/>
      <c r="F33" s="29"/>
      <c r="G33" s="29"/>
      <c r="H33" s="13"/>
      <c r="I33" s="22"/>
      <c r="J33" s="22"/>
      <c r="K33" s="22"/>
      <c r="L33" s="22"/>
      <c r="M33" s="22"/>
      <c r="N33" s="22"/>
      <c r="O33" s="22"/>
      <c r="P33" s="22"/>
      <c r="Q33" s="22"/>
    </row>
    <row r="34">
      <c r="B34" s="10"/>
      <c r="C34" s="14"/>
      <c r="D34" s="14"/>
      <c r="E34" s="11" t="s">
        <v>121</v>
      </c>
      <c r="F34" s="8"/>
      <c r="G34" s="8"/>
      <c r="H34" s="9"/>
      <c r="I34" t="n" s="31">
        <v>7.18819563E8</v>
      </c>
      <c r="J34" t="n" s="31">
        <v>4882168.0</v>
      </c>
      <c r="K34" t="n" s="31">
        <v>1.0966643E7</v>
      </c>
      <c r="L34" s="50" t="n"/>
      <c r="M34" s="50" t="n"/>
      <c r="N34" s="50" t="n"/>
      <c r="O34" s="50" t="n"/>
      <c r="P34" s="50" t="n"/>
      <c r="Q34" t="n" s="31">
        <v>7.34668374E8</v>
      </c>
    </row>
    <row r="35">
      <c r="B35" s="10"/>
      <c r="C35" s="14"/>
      <c r="D35" s="14"/>
      <c r="E35" s="15" t="s">
        <v>122</v>
      </c>
      <c r="F35" s="29"/>
      <c r="G35" s="29"/>
      <c r="H35" s="13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</row>
    <row r="36">
      <c r="B36" s="10"/>
      <c r="C36" s="14"/>
      <c r="D36" s="14"/>
      <c r="E36" s="11" t="s">
        <v>123</v>
      </c>
      <c r="F36" s="8"/>
      <c r="G36" s="8"/>
      <c r="H36" s="9"/>
      <c r="I36" t="n" s="31">
        <v>1.5380134E7</v>
      </c>
      <c r="J36" s="50" t="n"/>
      <c r="K36" s="50" t="n"/>
      <c r="L36" s="50" t="n"/>
      <c r="M36" s="50" t="n"/>
      <c r="N36" s="50" t="n"/>
      <c r="O36" s="50" t="n"/>
      <c r="P36" s="50" t="n"/>
      <c r="Q36" t="n" s="31">
        <v>1.5380134E7</v>
      </c>
    </row>
    <row r="37">
      <c r="B37" s="10"/>
      <c r="C37" s="14"/>
      <c r="D37" s="14"/>
      <c r="E37" s="15" t="s">
        <v>124</v>
      </c>
      <c r="F37" s="29"/>
      <c r="G37" s="29"/>
      <c r="H37" s="13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</row>
    <row r="38" ht="28.0" customHeight="true">
      <c r="B38" s="10"/>
      <c r="C38" s="14"/>
      <c r="D38" s="14"/>
      <c r="E38" s="7" t="s">
        <v>125</v>
      </c>
      <c r="F38" s="8"/>
      <c r="G38" s="8"/>
      <c r="H38" s="9"/>
      <c r="I38" s="23"/>
      <c r="J38" s="23"/>
      <c r="K38" s="23"/>
      <c r="L38" s="23"/>
      <c r="M38" s="23"/>
      <c r="N38" s="23"/>
      <c r="O38" s="23"/>
      <c r="P38" s="23"/>
      <c r="Q38" s="23"/>
    </row>
    <row r="39" ht="28.0" customHeight="true">
      <c r="B39" s="10"/>
      <c r="C39" s="14"/>
      <c r="D39" s="14"/>
      <c r="E39" s="10"/>
      <c r="F39" s="12" t="s">
        <v>126</v>
      </c>
      <c r="G39" s="29"/>
      <c r="H39" s="13"/>
      <c r="I39" s="22"/>
      <c r="J39" s="22"/>
      <c r="K39" s="22"/>
      <c r="L39" s="22"/>
      <c r="M39" s="22"/>
      <c r="N39" s="22"/>
      <c r="O39" s="22"/>
      <c r="P39" s="22"/>
      <c r="Q39" s="22"/>
    </row>
    <row r="40" ht="42.0" customHeight="true">
      <c r="B40" s="10"/>
      <c r="C40" s="14"/>
      <c r="D40" s="14"/>
      <c r="E40" s="10"/>
      <c r="F40" s="14"/>
      <c r="G40" s="11" t="s">
        <v>127</v>
      </c>
      <c r="H40" s="9"/>
      <c r="I40" s="50" t="n"/>
      <c r="J40" s="50" t="n"/>
      <c r="K40" s="50" t="n"/>
      <c r="L40" s="50" t="n"/>
      <c r="M40" s="50" t="n"/>
      <c r="N40" s="50" t="n"/>
      <c r="O40" s="23"/>
      <c r="P40" s="50" t="n"/>
      <c r="Q40" s="50" t="n"/>
    </row>
    <row r="41">
      <c r="B41" s="10"/>
      <c r="C41" s="14"/>
      <c r="D41" s="14"/>
      <c r="E41" s="10"/>
      <c r="F41" s="14"/>
      <c r="G41" s="12" t="s">
        <v>128</v>
      </c>
      <c r="H41" s="13"/>
      <c r="I41" s="49" t="n"/>
      <c r="J41" s="49" t="n"/>
      <c r="K41" s="49" t="n"/>
      <c r="L41" s="49" t="n"/>
      <c r="M41" s="49" t="n"/>
      <c r="N41" s="49" t="n"/>
      <c r="O41" s="22"/>
      <c r="P41" s="49" t="n"/>
      <c r="Q41" s="49" t="n"/>
    </row>
    <row r="42">
      <c r="B42" s="10"/>
      <c r="C42" s="14"/>
      <c r="D42" s="14"/>
      <c r="E42" s="10"/>
      <c r="F42" s="14"/>
      <c r="G42" s="15"/>
      <c r="H42" s="18" t="s">
        <v>129</v>
      </c>
      <c r="I42" s="23"/>
      <c r="J42" s="23"/>
      <c r="K42" s="23"/>
      <c r="L42" s="50" t="n"/>
      <c r="M42" s="50" t="n"/>
      <c r="N42" s="50" t="n"/>
      <c r="O42" s="23"/>
      <c r="P42" s="23"/>
      <c r="Q42" s="50" t="n"/>
    </row>
    <row r="43" ht="28.0" customHeight="true">
      <c r="B43" s="10"/>
      <c r="C43" s="14"/>
      <c r="D43" s="14"/>
      <c r="E43" s="10"/>
      <c r="F43" s="15"/>
      <c r="G43" s="15" t="s">
        <v>130</v>
      </c>
      <c r="H43" s="13"/>
      <c r="I43" s="22"/>
      <c r="J43" s="22"/>
      <c r="K43" s="49" t="n"/>
      <c r="L43" s="22"/>
      <c r="M43" s="22"/>
      <c r="N43" s="22"/>
      <c r="O43" s="22"/>
      <c r="P43" s="22"/>
      <c r="Q43" s="49" t="n"/>
    </row>
    <row r="44" ht="28.0" customHeight="true">
      <c r="B44" s="10"/>
      <c r="C44" s="14"/>
      <c r="D44" s="14"/>
      <c r="E44" s="10"/>
      <c r="F44" s="48" t="s">
        <v>131</v>
      </c>
      <c r="G44" s="46"/>
      <c r="H44" s="47"/>
      <c r="I44" s="50" t="n">
        <f>I40+I41</f>
      </c>
      <c r="J44" s="50" t="n">
        <f>J40+J41</f>
      </c>
      <c r="K44" s="50" t="n">
        <f>K40+K41+K43</f>
      </c>
      <c r="L44" s="50" t="n">
        <f>L40+L41</f>
      </c>
      <c r="M44" s="50" t="n">
        <f>M40+M41</f>
      </c>
      <c r="N44" s="50" t="n">
        <f>N40+N41</f>
      </c>
      <c r="O44" s="50" t="n"/>
      <c r="P44" s="50" t="n">
        <f>P40+P41</f>
      </c>
      <c r="Q44" s="50" t="n">
        <f>Q40+Q41+Q43</f>
      </c>
    </row>
    <row r="45">
      <c r="B45" s="10"/>
      <c r="C45" s="14"/>
      <c r="D45" s="14"/>
      <c r="E45" s="10"/>
      <c r="F45" s="15" t="s">
        <v>132</v>
      </c>
      <c r="G45" s="29"/>
      <c r="H45" s="13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>
        <f>Hoja5!L47-Hoja5!L48</f>
      </c>
    </row>
    <row r="46" ht="28.0" customHeight="true">
      <c r="B46" s="10"/>
      <c r="C46" s="14"/>
      <c r="D46" s="14"/>
      <c r="E46" s="10"/>
      <c r="F46" s="11" t="s">
        <v>133</v>
      </c>
      <c r="G46" s="8"/>
      <c r="H46" s="9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>
        <f>Hoja5!L51-Hoja5!L52</f>
      </c>
    </row>
    <row r="47" ht="28.0" customHeight="true">
      <c r="B47" s="10"/>
      <c r="C47" s="14"/>
      <c r="D47" s="14"/>
      <c r="E47" s="11"/>
      <c r="F47" s="44" t="s">
        <v>134</v>
      </c>
      <c r="G47" s="42"/>
      <c r="H47" s="43"/>
      <c r="I47" s="49" t="n">
        <f>SUM(I44:I46)</f>
      </c>
      <c r="J47" s="49" t="n">
        <f>SUM(J44:J46)</f>
      </c>
      <c r="K47" s="49" t="n">
        <f>SUM(K44:K46)</f>
      </c>
      <c r="L47" s="49" t="n">
        <f>SUM(L44:L46)</f>
      </c>
      <c r="M47" s="49" t="n">
        <f>SUM(M44:M46)</f>
      </c>
      <c r="N47" s="49" t="n">
        <f>SUM(N44:N46)</f>
      </c>
      <c r="O47" s="49" t="n">
        <f>SUM(O44:O46)</f>
      </c>
      <c r="P47" s="49" t="n">
        <f>SUM(P44:P46)</f>
      </c>
      <c r="Q47" s="49" t="n">
        <f>SUM(Q44:Q46)</f>
      </c>
    </row>
    <row r="48">
      <c r="B48" s="10"/>
      <c r="C48" s="14"/>
      <c r="D48" s="14"/>
      <c r="E48" s="11" t="s">
        <v>135</v>
      </c>
      <c r="F48" s="8"/>
      <c r="G48" s="8"/>
      <c r="H48" s="9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</row>
    <row r="49">
      <c r="B49" s="10"/>
      <c r="C49" s="14"/>
      <c r="D49" s="14"/>
      <c r="E49" s="15" t="s">
        <v>136</v>
      </c>
      <c r="F49" s="29"/>
      <c r="G49" s="29"/>
      <c r="H49" s="13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</row>
    <row r="50">
      <c r="B50" s="10"/>
      <c r="C50" s="14"/>
      <c r="D50" s="14"/>
      <c r="E50" s="11" t="s">
        <v>137</v>
      </c>
      <c r="F50" s="8"/>
      <c r="G50" s="8"/>
      <c r="H50" s="9"/>
      <c r="I50" t="n" s="31">
        <v>2.43257273E8</v>
      </c>
      <c r="J50" s="50" t="n"/>
      <c r="K50" s="50" t="n"/>
      <c r="L50" s="50" t="n"/>
      <c r="M50" s="50" t="n"/>
      <c r="N50" s="50" t="n"/>
      <c r="O50" s="50" t="n"/>
      <c r="P50" s="50" t="n"/>
      <c r="Q50" t="n" s="31">
        <v>2.43257273E8</v>
      </c>
    </row>
    <row r="51">
      <c r="B51" s="10"/>
      <c r="C51" s="14"/>
      <c r="D51" s="15"/>
      <c r="E51" s="44" t="s">
        <v>138</v>
      </c>
      <c r="F51" s="42"/>
      <c r="G51" s="42"/>
      <c r="H51" s="43"/>
      <c r="I51" t="n" s="30">
        <f>SUM(I34:I37)+SUM(I47:I50)</f>
      </c>
      <c r="J51" t="n" s="30">
        <f>SUM(J34:J37)+SUM(J47:J50)</f>
      </c>
      <c r="K51" t="n" s="30">
        <f>SUM(K34:K37)+SUM(K47:K50)</f>
      </c>
      <c r="L51" s="49" t="n">
        <f>SUM(L34:L37)+SUM(L47:L50)</f>
      </c>
      <c r="M51" s="49" t="n">
        <f>SUM(M34:M37)+SUM(M47:M50)</f>
      </c>
      <c r="N51" s="49" t="n">
        <f>SUM(N34:N37)+SUM(N47:N50)</f>
      </c>
      <c r="O51" s="49" t="n">
        <f>SUM(O34:O37)+SUM(O47:O50)</f>
      </c>
      <c r="P51" s="49" t="n">
        <f>SUM(P34:P37)+SUM(P47:P50)</f>
      </c>
      <c r="Q51" t="n" s="30">
        <f>SUM(Q34:Q37)+SUM(Q47:Q50)</f>
      </c>
    </row>
    <row r="52">
      <c r="B52" s="10"/>
      <c r="C52" s="15"/>
      <c r="D52" s="48" t="s">
        <v>139</v>
      </c>
      <c r="E52" s="46"/>
      <c r="F52" s="46"/>
      <c r="G52" s="46"/>
      <c r="H52" s="47"/>
      <c r="I52" t="n" s="31">
        <f>I32+I51</f>
      </c>
      <c r="J52" t="n" s="31">
        <f>J32+J51</f>
      </c>
      <c r="K52" t="n" s="31">
        <f>K32+K51</f>
      </c>
      <c r="L52" s="50" t="n">
        <f>L32+L51</f>
      </c>
      <c r="M52" s="50" t="n">
        <f>M32+M51</f>
      </c>
      <c r="N52" s="50" t="n">
        <f>N32+N51</f>
      </c>
      <c r="O52" s="50" t="n">
        <f>O32+O51</f>
      </c>
      <c r="P52" s="50" t="n">
        <f>P32+P51</f>
      </c>
      <c r="Q52" t="n" s="31">
        <f>Q32+Q51</f>
      </c>
    </row>
    <row r="53">
      <c r="B53" s="10"/>
      <c r="C53" s="12" t="s">
        <v>140</v>
      </c>
      <c r="D53" s="29"/>
      <c r="E53" s="29"/>
      <c r="F53" s="29"/>
      <c r="G53" s="29"/>
      <c r="H53" s="13"/>
      <c r="I53" s="22"/>
      <c r="J53" s="22"/>
      <c r="K53" s="22"/>
      <c r="L53" s="22"/>
      <c r="M53" s="22"/>
      <c r="N53" s="22"/>
      <c r="O53" s="22"/>
      <c r="P53" s="22"/>
      <c r="Q53" s="22"/>
    </row>
    <row r="54">
      <c r="B54" s="10"/>
      <c r="C54" s="14"/>
      <c r="D54" s="7" t="s">
        <v>141</v>
      </c>
      <c r="E54" s="8"/>
      <c r="F54" s="8"/>
      <c r="G54" s="8"/>
      <c r="H54" s="9"/>
      <c r="I54" s="23"/>
      <c r="J54" s="23"/>
      <c r="K54" s="23"/>
      <c r="L54" s="23"/>
      <c r="M54" s="23"/>
      <c r="N54" s="23"/>
      <c r="O54" s="23"/>
      <c r="P54" s="23"/>
      <c r="Q54" s="23"/>
    </row>
    <row r="55">
      <c r="B55" s="10"/>
      <c r="C55" s="14"/>
      <c r="D55" s="10"/>
      <c r="E55" s="12" t="s">
        <v>142</v>
      </c>
      <c r="F55" s="29"/>
      <c r="G55" s="29"/>
      <c r="H55" s="13"/>
      <c r="I55" s="22"/>
      <c r="J55" s="22"/>
      <c r="K55" s="22"/>
      <c r="L55" s="22"/>
      <c r="M55" s="22"/>
      <c r="N55" s="22"/>
      <c r="O55" s="22"/>
      <c r="P55" s="22"/>
      <c r="Q55" s="22"/>
    </row>
    <row r="56">
      <c r="B56" s="10"/>
      <c r="C56" s="14"/>
      <c r="D56" s="10"/>
      <c r="E56" s="14"/>
      <c r="F56" s="11" t="s">
        <v>143</v>
      </c>
      <c r="G56" s="8"/>
      <c r="H56" s="9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</row>
    <row r="57">
      <c r="B57" s="10"/>
      <c r="C57" s="14"/>
      <c r="D57" s="10"/>
      <c r="E57" s="14"/>
      <c r="F57" s="12" t="s">
        <v>144</v>
      </c>
      <c r="G57" s="29"/>
      <c r="H57" s="13"/>
      <c r="I57" t="n" s="30">
        <v>2638563.0</v>
      </c>
      <c r="J57" t="n" s="30">
        <v>1268565.0</v>
      </c>
      <c r="K57" t="n" s="30">
        <v>3.1307349E7</v>
      </c>
      <c r="L57" s="49" t="n"/>
      <c r="M57" s="49" t="n"/>
      <c r="N57" s="49" t="n"/>
      <c r="O57" s="49" t="n"/>
      <c r="P57" s="49" t="n"/>
      <c r="Q57" t="n" s="30">
        <v>3.5214477E7</v>
      </c>
    </row>
    <row r="58">
      <c r="B58" s="10"/>
      <c r="C58" s="14"/>
      <c r="D58" s="10"/>
      <c r="E58" s="14"/>
      <c r="F58" s="14"/>
      <c r="G58" s="11" t="s">
        <v>145</v>
      </c>
      <c r="H58" s="9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</row>
    <row r="59">
      <c r="B59" s="10"/>
      <c r="C59" s="14"/>
      <c r="D59" s="10"/>
      <c r="E59" s="14"/>
      <c r="F59" s="15"/>
      <c r="G59" s="15" t="s">
        <v>146</v>
      </c>
      <c r="H59" s="13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</row>
    <row r="60">
      <c r="B60" s="10"/>
      <c r="C60" s="14"/>
      <c r="D60" s="10"/>
      <c r="E60" s="14"/>
      <c r="F60" s="11" t="s">
        <v>147</v>
      </c>
      <c r="G60" s="8"/>
      <c r="H60" s="9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</row>
    <row r="61">
      <c r="B61" s="10"/>
      <c r="C61" s="14"/>
      <c r="D61" s="10"/>
      <c r="E61" s="14"/>
      <c r="F61" s="15" t="s">
        <v>148</v>
      </c>
      <c r="G61" s="29"/>
      <c r="H61" s="13"/>
      <c r="I61" t="n" s="30">
        <v>5855640.0</v>
      </c>
      <c r="J61" t="n" s="30">
        <v>4028832.0</v>
      </c>
      <c r="K61" t="n" s="30">
        <v>4904455.0</v>
      </c>
      <c r="L61" s="49" t="n"/>
      <c r="M61" s="49" t="n"/>
      <c r="N61" s="49" t="n"/>
      <c r="O61" s="49" t="n"/>
      <c r="P61" s="49" t="n"/>
      <c r="Q61" t="n" s="30">
        <v>1.4788927E7</v>
      </c>
    </row>
    <row r="62">
      <c r="B62" s="10"/>
      <c r="C62" s="14"/>
      <c r="D62" s="10"/>
      <c r="E62" s="14"/>
      <c r="F62" s="11" t="s">
        <v>149</v>
      </c>
      <c r="G62" s="8"/>
      <c r="H62" s="9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</row>
    <row r="63">
      <c r="B63" s="10"/>
      <c r="C63" s="14"/>
      <c r="D63" s="10"/>
      <c r="E63" s="14"/>
      <c r="F63" s="15" t="s">
        <v>150</v>
      </c>
      <c r="G63" s="29"/>
      <c r="H63" s="13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</row>
    <row r="64">
      <c r="B64" s="10"/>
      <c r="C64" s="14"/>
      <c r="D64" s="10"/>
      <c r="E64" s="15"/>
      <c r="F64" s="48" t="s">
        <v>151</v>
      </c>
      <c r="G64" s="46"/>
      <c r="H64" s="47"/>
      <c r="I64" t="n" s="31">
        <f>I56+I57+SUM(I60:I63)</f>
      </c>
      <c r="J64" t="n" s="31">
        <f>J56+J57+SUM(J60:J63)</f>
      </c>
      <c r="K64" t="n" s="31">
        <f>K56+K57+SUM(K60:K63)</f>
      </c>
      <c r="L64" s="50" t="n">
        <f>L56+L57+SUM(L60:L63)</f>
      </c>
      <c r="M64" s="50" t="n">
        <f>M56+M57+SUM(M60:M63)</f>
      </c>
      <c r="N64" s="50" t="n">
        <f>N56+N57+SUM(N60:N63)</f>
      </c>
      <c r="O64" s="50" t="n">
        <f>O56+O57+SUM(O60:O63)</f>
      </c>
      <c r="P64" s="50" t="n">
        <f>P56+P57+SUM(P60:P63)</f>
      </c>
      <c r="Q64" t="n" s="31">
        <f>Q56+Q57+SUM(Q60:Q63)</f>
      </c>
    </row>
    <row r="65">
      <c r="B65" s="10"/>
      <c r="C65" s="14"/>
      <c r="D65" s="10"/>
      <c r="E65" s="12" t="s">
        <v>152</v>
      </c>
      <c r="F65" s="29"/>
      <c r="G65" s="29"/>
      <c r="H65" s="13"/>
      <c r="I65" s="22"/>
      <c r="J65" s="22"/>
      <c r="K65" s="22"/>
      <c r="L65" s="22"/>
      <c r="M65" s="22"/>
      <c r="N65" s="22"/>
      <c r="O65" s="22"/>
      <c r="P65" s="22"/>
      <c r="Q65" s="22"/>
    </row>
    <row r="66">
      <c r="B66" s="10"/>
      <c r="C66" s="14"/>
      <c r="D66" s="10"/>
      <c r="E66" s="14"/>
      <c r="F66" s="11" t="s">
        <v>153</v>
      </c>
      <c r="G66" s="8"/>
      <c r="H66" s="9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</row>
    <row r="67">
      <c r="B67" s="10"/>
      <c r="C67" s="14"/>
      <c r="D67" s="10"/>
      <c r="E67" s="14"/>
      <c r="F67" s="12" t="s">
        <v>154</v>
      </c>
      <c r="G67" s="29"/>
      <c r="H67" s="13"/>
      <c r="I67" s="49" t="n"/>
      <c r="J67" s="49" t="n"/>
      <c r="K67" s="49" t="n"/>
      <c r="L67" s="49" t="n"/>
      <c r="M67" s="49" t="n"/>
      <c r="N67" s="49" t="n"/>
      <c r="O67" s="49" t="n"/>
      <c r="P67" s="49" t="n"/>
      <c r="Q67" s="49" t="n"/>
    </row>
    <row r="68">
      <c r="B68" s="10"/>
      <c r="C68" s="14"/>
      <c r="D68" s="10"/>
      <c r="E68" s="14"/>
      <c r="F68" s="14"/>
      <c r="G68" s="11" t="s">
        <v>155</v>
      </c>
      <c r="H68" s="9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</row>
    <row r="69">
      <c r="B69" s="10"/>
      <c r="C69" s="14"/>
      <c r="D69" s="10"/>
      <c r="E69" s="14"/>
      <c r="F69" s="15"/>
      <c r="G69" s="15" t="s">
        <v>156</v>
      </c>
      <c r="H69" s="13"/>
      <c r="I69" s="49" t="n"/>
      <c r="J69" s="49" t="n"/>
      <c r="K69" s="49" t="n"/>
      <c r="L69" s="49" t="n"/>
      <c r="M69" s="49" t="n"/>
      <c r="N69" s="49" t="n"/>
      <c r="O69" s="49" t="n"/>
      <c r="P69" s="49" t="n"/>
      <c r="Q69" s="49" t="n"/>
    </row>
    <row r="70">
      <c r="B70" s="10"/>
      <c r="C70" s="14"/>
      <c r="D70" s="10"/>
      <c r="E70" s="14"/>
      <c r="F70" s="11" t="s">
        <v>157</v>
      </c>
      <c r="G70" s="8"/>
      <c r="H70" s="9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</row>
    <row r="71">
      <c r="B71" s="10"/>
      <c r="C71" s="14"/>
      <c r="D71" s="10"/>
      <c r="E71" s="14"/>
      <c r="F71" s="15" t="s">
        <v>158</v>
      </c>
      <c r="G71" s="29"/>
      <c r="H71" s="13"/>
      <c r="I71" s="49" t="n"/>
      <c r="J71" s="49" t="n"/>
      <c r="K71" s="49" t="n"/>
      <c r="L71" s="49" t="n"/>
      <c r="M71" s="49" t="n"/>
      <c r="N71" s="49" t="n"/>
      <c r="O71" s="49" t="n"/>
      <c r="P71" s="49" t="n"/>
      <c r="Q71" s="49" t="n"/>
    </row>
    <row r="72">
      <c r="B72" s="10"/>
      <c r="C72" s="14"/>
      <c r="D72" s="10"/>
      <c r="E72" s="14"/>
      <c r="F72" s="11" t="s">
        <v>159</v>
      </c>
      <c r="G72" s="8"/>
      <c r="H72" s="9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</row>
    <row r="73">
      <c r="B73" s="10"/>
      <c r="C73" s="14"/>
      <c r="D73" s="10"/>
      <c r="E73" s="14"/>
      <c r="F73" s="15" t="s">
        <v>160</v>
      </c>
      <c r="G73" s="29"/>
      <c r="H73" s="13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</row>
    <row r="74">
      <c r="B74" s="10"/>
      <c r="C74" s="14"/>
      <c r="D74" s="10"/>
      <c r="E74" s="15"/>
      <c r="F74" s="48" t="s">
        <v>161</v>
      </c>
      <c r="G74" s="46"/>
      <c r="H74" s="47"/>
      <c r="I74" s="50" t="n">
        <f>I66+I67+SUM(I70:I73)</f>
      </c>
      <c r="J74" s="50" t="n">
        <f>J66+J67+SUM(J70:J73)</f>
      </c>
      <c r="K74" s="50" t="n">
        <f>K66+K67+SUM(K70:K73)</f>
      </c>
      <c r="L74" s="50" t="n">
        <f>L66+L67+SUM(L70:L73)</f>
      </c>
      <c r="M74" s="50" t="n">
        <f>M66+M67+SUM(M70:M73)</f>
      </c>
      <c r="N74" s="50" t="n">
        <f>N66+N67+SUM(N70:N73)</f>
      </c>
      <c r="O74" s="50" t="n">
        <f>O66+O67+SUM(O70:O73)</f>
      </c>
      <c r="P74" s="50" t="n">
        <f>P66+P67+SUM(P70:P73)</f>
      </c>
      <c r="Q74" s="50" t="n">
        <f>Q66+Q67+SUM(Q70:Q73)</f>
      </c>
    </row>
    <row r="75">
      <c r="B75" s="10"/>
      <c r="C75" s="14"/>
      <c r="D75" s="11"/>
      <c r="E75" s="44" t="s">
        <v>162</v>
      </c>
      <c r="F75" s="42"/>
      <c r="G75" s="42"/>
      <c r="H75" s="43"/>
      <c r="I75" t="n" s="30">
        <f>I64+I74</f>
      </c>
      <c r="J75" t="n" s="30">
        <f>J64+J74</f>
      </c>
      <c r="K75" t="n" s="30">
        <f>K64+K74</f>
      </c>
      <c r="L75" s="49" t="n">
        <f>L64+L74</f>
      </c>
      <c r="M75" s="49" t="n">
        <f>M64+M74</f>
      </c>
      <c r="N75" s="49" t="n">
        <f>N64+N74</f>
      </c>
      <c r="O75" s="49" t="n">
        <f>O64+O74</f>
      </c>
      <c r="P75" s="49" t="n">
        <f>P64+P74</f>
      </c>
      <c r="Q75" t="n" s="30">
        <f>Q64+Q74</f>
      </c>
    </row>
    <row r="76">
      <c r="B76" s="10"/>
      <c r="C76" s="14"/>
      <c r="D76" s="7" t="s">
        <v>163</v>
      </c>
      <c r="E76" s="8"/>
      <c r="F76" s="8"/>
      <c r="G76" s="8"/>
      <c r="H76" s="9"/>
      <c r="I76" s="23"/>
      <c r="J76" s="23"/>
      <c r="K76" s="23"/>
      <c r="L76" s="23"/>
      <c r="M76" s="23"/>
      <c r="N76" s="23"/>
      <c r="O76" s="23"/>
      <c r="P76" s="23"/>
      <c r="Q76" s="23"/>
    </row>
    <row r="77">
      <c r="B77" s="10"/>
      <c r="C77" s="14"/>
      <c r="D77" s="10"/>
      <c r="E77" s="15" t="s">
        <v>164</v>
      </c>
      <c r="F77" s="29"/>
      <c r="G77" s="29"/>
      <c r="H77" s="13"/>
      <c r="I77" t="n" s="30">
        <v>1.041350874E9</v>
      </c>
      <c r="J77" t="n" s="30">
        <v>9845150.0</v>
      </c>
      <c r="K77" t="n" s="30">
        <v>1.017079E7</v>
      </c>
      <c r="L77" s="49" t="n"/>
      <c r="M77" s="49" t="n"/>
      <c r="N77" s="49" t="n"/>
      <c r="O77" s="49" t="n"/>
      <c r="P77" s="49" t="n"/>
      <c r="Q77" t="n" s="30">
        <v>1.061366814E9</v>
      </c>
    </row>
    <row r="78">
      <c r="B78" s="10"/>
      <c r="C78" s="14"/>
      <c r="D78" s="10"/>
      <c r="E78" s="11" t="s">
        <v>165</v>
      </c>
      <c r="F78" s="8"/>
      <c r="G78" s="8"/>
      <c r="H78" s="9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</row>
    <row r="79">
      <c r="B79" s="10"/>
      <c r="C79" s="14"/>
      <c r="D79" s="10"/>
      <c r="E79" s="15" t="s">
        <v>166</v>
      </c>
      <c r="F79" s="29"/>
      <c r="G79" s="29"/>
      <c r="H79" s="13"/>
      <c r="I79" s="49" t="n"/>
      <c r="J79" s="49" t="n"/>
      <c r="K79" s="49" t="n"/>
      <c r="L79" s="49" t="n"/>
      <c r="M79" s="49" t="n"/>
      <c r="N79" s="49" t="n"/>
      <c r="O79" s="49" t="n"/>
      <c r="P79" s="49" t="n"/>
      <c r="Q79" s="49" t="n"/>
    </row>
    <row r="80">
      <c r="B80" s="10"/>
      <c r="C80" s="14"/>
      <c r="D80" s="10"/>
      <c r="E80" s="11" t="s">
        <v>167</v>
      </c>
      <c r="F80" s="8"/>
      <c r="G80" s="8"/>
      <c r="H80" s="9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</row>
    <row r="81">
      <c r="B81" s="10"/>
      <c r="C81" s="14"/>
      <c r="D81" s="10"/>
      <c r="E81" s="15" t="s">
        <v>168</v>
      </c>
      <c r="F81" s="29"/>
      <c r="G81" s="29"/>
      <c r="H81" s="13"/>
      <c r="I81" s="49" t="n"/>
      <c r="J81" s="49" t="n"/>
      <c r="K81" s="49" t="n"/>
      <c r="L81" s="49" t="n"/>
      <c r="M81" s="49" t="n"/>
      <c r="N81" s="49" t="n"/>
      <c r="O81" s="49" t="n"/>
      <c r="P81" s="49" t="n"/>
      <c r="Q81" s="49" t="n"/>
    </row>
    <row r="82">
      <c r="B82" s="10"/>
      <c r="C82" s="14"/>
      <c r="D82" s="10"/>
      <c r="E82" s="7" t="s">
        <v>169</v>
      </c>
      <c r="F82" s="8"/>
      <c r="G82" s="8"/>
      <c r="H82" s="9"/>
      <c r="I82" t="n" s="31">
        <v>2.9946613E7</v>
      </c>
      <c r="J82" t="n" s="31">
        <v>3.898088E7</v>
      </c>
      <c r="K82" t="n" s="31">
        <v>4.5232316E7</v>
      </c>
      <c r="L82" s="50" t="n"/>
      <c r="M82" s="50" t="n"/>
      <c r="N82" s="50" t="n"/>
      <c r="O82" s="50" t="n"/>
      <c r="P82" s="50" t="n"/>
      <c r="Q82" t="n" s="31">
        <v>1.14159809E8</v>
      </c>
    </row>
    <row r="83">
      <c r="B83" s="10"/>
      <c r="C83" s="14"/>
      <c r="D83" s="10"/>
      <c r="E83" s="11"/>
      <c r="F83" s="15" t="s">
        <v>170</v>
      </c>
      <c r="G83" s="29"/>
      <c r="H83" s="13"/>
      <c r="I83" t="n" s="30">
        <v>2.9946613E7</v>
      </c>
      <c r="J83" t="n" s="30">
        <v>3.898088E7</v>
      </c>
      <c r="K83" t="n" s="30">
        <v>4.5232316E7</v>
      </c>
      <c r="L83" s="49" t="n"/>
      <c r="M83" s="49" t="n"/>
      <c r="N83" s="49" t="n"/>
      <c r="O83" s="49" t="n"/>
      <c r="P83" s="49" t="n"/>
      <c r="Q83" t="n" s="30">
        <v>1.14159809E8</v>
      </c>
    </row>
    <row r="84">
      <c r="B84" s="10"/>
      <c r="C84" s="14"/>
      <c r="D84" s="11"/>
      <c r="E84" s="48" t="s">
        <v>171</v>
      </c>
      <c r="F84" s="46"/>
      <c r="G84" s="46"/>
      <c r="H84" s="47"/>
      <c r="I84" t="n" s="31">
        <f>SUM(I77:I82)</f>
      </c>
      <c r="J84" t="n" s="31">
        <f>SUM(J77:J82)</f>
      </c>
      <c r="K84" t="n" s="31">
        <f>SUM(K77:K82)</f>
      </c>
      <c r="L84" s="50" t="n">
        <f>SUM(L77:L82)</f>
      </c>
      <c r="M84" s="50" t="n">
        <f>SUM(M77:M82)</f>
      </c>
      <c r="N84" s="50" t="n">
        <f>SUM(N77:N82)</f>
      </c>
      <c r="O84" s="50" t="n">
        <f>SUM(O77:O82)</f>
      </c>
      <c r="P84" s="50" t="n">
        <f>SUM(P77:P82)</f>
      </c>
      <c r="Q84" t="n" s="31">
        <f>SUM(Q77:Q82)</f>
      </c>
    </row>
    <row r="85">
      <c r="B85" s="11"/>
      <c r="C85" s="15"/>
      <c r="D85" s="44" t="s">
        <v>172</v>
      </c>
      <c r="E85" s="42"/>
      <c r="F85" s="42"/>
      <c r="G85" s="42"/>
      <c r="H85" s="43"/>
      <c r="I85" t="n" s="51">
        <f>I84+I75</f>
      </c>
      <c r="J85" t="n" s="51">
        <f>J84+J75</f>
      </c>
      <c r="K85" t="n" s="51">
        <f>K84+K75</f>
      </c>
      <c r="L85" s="52" t="n">
        <f>L84+L75</f>
      </c>
      <c r="M85" s="52" t="n">
        <f>M84+M75</f>
      </c>
      <c r="N85" s="52" t="n">
        <f>N84+N75</f>
      </c>
      <c r="O85" s="52" t="n">
        <f>O84+O75</f>
      </c>
      <c r="P85" s="52" t="n">
        <f>P84+P75</f>
      </c>
      <c r="Q85" t="n" s="51">
        <f>Q84+Q75</f>
      </c>
    </row>
    <row r="87">
      <c r="B87" t="s" s="1">
        <v>11</v>
      </c>
      <c r="C87" t="s">
        <v>173</v>
      </c>
    </row>
    <row r="88">
      <c r="I88" t="s" s="4">
        <v>90</v>
      </c>
      <c r="J88" s="33"/>
      <c r="K88" s="33"/>
      <c r="L88" s="33"/>
      <c r="M88" s="33"/>
      <c r="N88" s="33"/>
      <c r="O88" s="33"/>
      <c r="P88" s="33"/>
      <c r="Q88" s="34"/>
    </row>
    <row r="89">
      <c r="I89" t="s" s="38">
        <v>91</v>
      </c>
      <c r="J89" t="s" s="6">
        <v>92</v>
      </c>
      <c r="K89" t="s" s="38">
        <v>93</v>
      </c>
      <c r="L89" t="s" s="6">
        <v>94</v>
      </c>
      <c r="M89" t="s" s="38">
        <v>95</v>
      </c>
      <c r="N89" t="s" s="6">
        <v>96</v>
      </c>
      <c r="O89" t="s" s="38">
        <v>97</v>
      </c>
      <c r="P89" t="s" s="6">
        <v>98</v>
      </c>
      <c r="Q89" s="40"/>
    </row>
    <row r="90">
      <c r="B90" s="7" t="s">
        <v>99</v>
      </c>
      <c r="C90" s="8"/>
      <c r="D90" s="8"/>
      <c r="E90" s="8"/>
      <c r="F90" s="8"/>
      <c r="G90" s="8"/>
      <c r="H90" s="9"/>
      <c r="I90" s="23"/>
      <c r="J90" s="23"/>
      <c r="K90" s="23"/>
      <c r="L90" s="23"/>
      <c r="M90" s="23"/>
      <c r="N90" s="23"/>
      <c r="O90" s="23"/>
      <c r="P90" s="23"/>
      <c r="Q90" s="23"/>
    </row>
    <row r="91">
      <c r="B91" s="10"/>
      <c r="C91" s="12" t="s">
        <v>100</v>
      </c>
      <c r="D91" s="29"/>
      <c r="E91" s="29"/>
      <c r="F91" s="29"/>
      <c r="G91" s="29"/>
      <c r="H91" s="13"/>
      <c r="I91" s="22"/>
      <c r="J91" s="22"/>
      <c r="K91" s="22"/>
      <c r="L91" s="22"/>
      <c r="M91" s="22"/>
      <c r="N91" s="22"/>
      <c r="O91" s="22"/>
      <c r="P91" s="22"/>
      <c r="Q91" s="22"/>
    </row>
    <row r="92">
      <c r="B92" s="10"/>
      <c r="C92" s="14"/>
      <c r="D92" s="7" t="s">
        <v>101</v>
      </c>
      <c r="E92" s="8"/>
      <c r="F92" s="8"/>
      <c r="G92" s="8"/>
      <c r="H92" s="9"/>
      <c r="I92" s="23"/>
      <c r="J92" s="23"/>
      <c r="K92" s="23"/>
      <c r="L92" s="23"/>
      <c r="M92" s="23"/>
      <c r="N92" s="23"/>
      <c r="O92" s="23"/>
      <c r="P92" s="23"/>
      <c r="Q92" s="23"/>
    </row>
    <row r="93">
      <c r="B93" s="10"/>
      <c r="C93" s="14"/>
      <c r="D93" s="10"/>
      <c r="E93" s="12" t="s">
        <v>102</v>
      </c>
      <c r="F93" s="29"/>
      <c r="G93" s="29"/>
      <c r="H93" s="13"/>
      <c r="I93" t="n" s="30">
        <v>5.4599853E7</v>
      </c>
      <c r="J93" t="n" s="30">
        <v>2.4639652E7</v>
      </c>
      <c r="K93" t="n" s="30">
        <v>1.8431788E7</v>
      </c>
      <c r="L93" s="49" t="n"/>
      <c r="M93" s="49" t="n"/>
      <c r="N93" s="49" t="n"/>
      <c r="O93" s="49" t="n"/>
      <c r="P93" s="49" t="n"/>
      <c r="Q93" t="n" s="30">
        <f>Hoja2!G13</f>
      </c>
    </row>
    <row r="94">
      <c r="B94" s="10"/>
      <c r="C94" s="14"/>
      <c r="D94" s="10"/>
      <c r="E94" s="15"/>
      <c r="F94" s="11" t="s">
        <v>103</v>
      </c>
      <c r="G94" s="8"/>
      <c r="H94" s="9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</row>
    <row r="95" ht="28.0" customHeight="true">
      <c r="B95" s="10"/>
      <c r="C95" s="14"/>
      <c r="D95" s="10"/>
      <c r="E95" s="12" t="s">
        <v>104</v>
      </c>
      <c r="F95" s="29"/>
      <c r="G95" s="29"/>
      <c r="H95" s="13"/>
      <c r="I95" s="22"/>
      <c r="J95" s="22"/>
      <c r="K95" s="22"/>
      <c r="L95" s="22"/>
      <c r="M95" s="22"/>
      <c r="N95" s="22"/>
      <c r="O95" s="22"/>
      <c r="P95" s="22"/>
      <c r="Q95" s="22"/>
    </row>
    <row r="96" ht="28.0" customHeight="true">
      <c r="B96" s="10"/>
      <c r="C96" s="14"/>
      <c r="D96" s="10"/>
      <c r="E96" s="14"/>
      <c r="F96" s="7" t="s">
        <v>105</v>
      </c>
      <c r="G96" s="8"/>
      <c r="H96" s="9"/>
      <c r="I96" s="23"/>
      <c r="J96" s="23"/>
      <c r="K96" s="23"/>
      <c r="L96" s="23"/>
      <c r="M96" s="23"/>
      <c r="N96" s="23"/>
      <c r="O96" s="23"/>
      <c r="P96" s="23"/>
      <c r="Q96" s="23"/>
    </row>
    <row r="97" ht="42.0" customHeight="true">
      <c r="B97" s="10"/>
      <c r="C97" s="14"/>
      <c r="D97" s="10"/>
      <c r="E97" s="14"/>
      <c r="F97" s="10"/>
      <c r="G97" s="15" t="s">
        <v>106</v>
      </c>
      <c r="H97" s="13"/>
      <c r="I97" t="n" s="30">
        <v>4715976.0</v>
      </c>
      <c r="J97" t="n" s="30">
        <v>6756306.0</v>
      </c>
      <c r="K97" t="n" s="30">
        <v>9883529.0</v>
      </c>
      <c r="L97" s="49" t="n"/>
      <c r="M97" s="49" t="n"/>
      <c r="N97" s="49" t="n"/>
      <c r="O97" s="22"/>
      <c r="P97" s="49" t="n"/>
      <c r="Q97" t="n" s="30">
        <v>2.1355811E7</v>
      </c>
    </row>
    <row r="98">
      <c r="B98" s="10"/>
      <c r="C98" s="14"/>
      <c r="D98" s="10"/>
      <c r="E98" s="14"/>
      <c r="F98" s="10"/>
      <c r="G98" s="7" t="s">
        <v>107</v>
      </c>
      <c r="H98" s="9"/>
      <c r="I98" t="n" s="31">
        <v>1.0954273E7</v>
      </c>
      <c r="J98" t="n" s="31">
        <v>7391147.0</v>
      </c>
      <c r="K98" t="n" s="31">
        <v>1.1712651E7</v>
      </c>
      <c r="L98" s="50" t="n"/>
      <c r="M98" s="50" t="n"/>
      <c r="N98" s="50" t="n"/>
      <c r="O98" s="23"/>
      <c r="P98" s="50" t="n"/>
      <c r="Q98" t="n" s="31">
        <v>3.0058071E7</v>
      </c>
    </row>
    <row r="99">
      <c r="B99" s="10"/>
      <c r="C99" s="14"/>
      <c r="D99" s="10"/>
      <c r="E99" s="14"/>
      <c r="F99" s="10"/>
      <c r="G99" s="11"/>
      <c r="H99" s="19" t="s">
        <v>108</v>
      </c>
      <c r="I99" s="22"/>
      <c r="J99" s="22"/>
      <c r="K99" s="22"/>
      <c r="L99" s="49" t="n"/>
      <c r="M99" s="49" t="n"/>
      <c r="N99" s="49" t="n"/>
      <c r="O99" s="22"/>
      <c r="P99" s="22"/>
      <c r="Q99" s="49" t="n"/>
    </row>
    <row r="100" ht="28.0" customHeight="true">
      <c r="B100" s="10"/>
      <c r="C100" s="14"/>
      <c r="D100" s="10"/>
      <c r="E100" s="14"/>
      <c r="F100" s="11"/>
      <c r="G100" s="11" t="s">
        <v>109</v>
      </c>
      <c r="H100" s="9"/>
      <c r="I100" s="23"/>
      <c r="J100" s="23"/>
      <c r="K100" s="50" t="n"/>
      <c r="L100" s="23"/>
      <c r="M100" s="23"/>
      <c r="N100" s="23"/>
      <c r="O100" s="23"/>
      <c r="P100" s="23"/>
      <c r="Q100" s="50" t="n"/>
    </row>
    <row r="101" ht="28.0" customHeight="true">
      <c r="B101" s="10"/>
      <c r="C101" s="14"/>
      <c r="D101" s="10"/>
      <c r="E101" s="14"/>
      <c r="F101" s="44" t="s">
        <v>110</v>
      </c>
      <c r="G101" s="42"/>
      <c r="H101" s="43"/>
      <c r="I101" t="n" s="30">
        <f>I97+I98</f>
      </c>
      <c r="J101" t="n" s="30">
        <f>J97+J98</f>
      </c>
      <c r="K101" t="n" s="30">
        <f>K97+K98+K100</f>
      </c>
      <c r="L101" s="49" t="n">
        <f>L97+L98</f>
      </c>
      <c r="M101" s="49" t="n">
        <f>M97+M98</f>
      </c>
      <c r="N101" s="49" t="n">
        <f>N97+N98</f>
      </c>
      <c r="O101" s="49" t="n"/>
      <c r="P101" s="49" t="n">
        <f>P97+P98</f>
      </c>
      <c r="Q101" t="n" s="30">
        <f>Q97+Q98+Q100</f>
      </c>
    </row>
    <row r="102">
      <c r="B102" s="10"/>
      <c r="C102" s="14"/>
      <c r="D102" s="10"/>
      <c r="E102" s="14"/>
      <c r="F102" s="11" t="s">
        <v>111</v>
      </c>
      <c r="G102" s="8"/>
      <c r="H102" s="9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</row>
    <row r="103">
      <c r="B103" s="10"/>
      <c r="C103" s="14"/>
      <c r="D103" s="10"/>
      <c r="E103" s="14"/>
      <c r="F103" s="15" t="s">
        <v>112</v>
      </c>
      <c r="G103" s="29"/>
      <c r="H103" s="13"/>
      <c r="I103" s="49" t="n"/>
      <c r="J103" s="49" t="n"/>
      <c r="K103" s="49" t="n"/>
      <c r="L103" s="49" t="n"/>
      <c r="M103" s="49" t="n"/>
      <c r="N103" s="49" t="n"/>
      <c r="O103" s="49" t="n"/>
      <c r="P103" s="49" t="n"/>
      <c r="Q103" s="49" t="n"/>
    </row>
    <row r="104" ht="28.0" customHeight="true">
      <c r="B104" s="10"/>
      <c r="C104" s="14"/>
      <c r="D104" s="10"/>
      <c r="E104" s="15"/>
      <c r="F104" s="48" t="s">
        <v>113</v>
      </c>
      <c r="G104" s="46"/>
      <c r="H104" s="47"/>
      <c r="I104" t="n" s="31">
        <f>SUM(I101:I103)</f>
      </c>
      <c r="J104" t="n" s="31">
        <f>SUM(J101:J103)</f>
      </c>
      <c r="K104" t="n" s="31">
        <f>SUM(K101:K103)</f>
      </c>
      <c r="L104" s="50" t="n">
        <f>SUM(L101:L103)</f>
      </c>
      <c r="M104" s="50" t="n">
        <f>SUM(M101:M103)</f>
      </c>
      <c r="N104" s="50" t="n">
        <f>SUM(N101:N103)</f>
      </c>
      <c r="O104" s="50" t="n">
        <f>SUM(O101:O103)</f>
      </c>
      <c r="P104" s="50" t="n">
        <f>SUM(P101:P103)</f>
      </c>
      <c r="Q104" t="n" s="31">
        <f>SUM(Q101:Q103)</f>
      </c>
    </row>
    <row r="105">
      <c r="B105" s="10"/>
      <c r="C105" s="14"/>
      <c r="D105" s="10"/>
      <c r="E105" s="15" t="s">
        <v>114</v>
      </c>
      <c r="F105" s="29"/>
      <c r="G105" s="29"/>
      <c r="H105" s="13"/>
      <c r="I105" t="n" s="30">
        <v>1.6475333E7</v>
      </c>
      <c r="J105" s="49" t="n"/>
      <c r="K105" s="49" t="n"/>
      <c r="L105" s="49" t="n"/>
      <c r="M105" s="49" t="n"/>
      <c r="N105" s="49" t="n"/>
      <c r="O105" s="49" t="n"/>
      <c r="P105" s="49" t="n"/>
      <c r="Q105" t="n" s="30">
        <v>1.6475333E7</v>
      </c>
    </row>
    <row r="106">
      <c r="B106" s="10"/>
      <c r="C106" s="14"/>
      <c r="D106" s="10"/>
      <c r="E106" s="11" t="s">
        <v>115</v>
      </c>
      <c r="F106" s="8"/>
      <c r="G106" s="8"/>
      <c r="H106" s="9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</row>
    <row r="107">
      <c r="B107" s="10"/>
      <c r="C107" s="14"/>
      <c r="D107" s="10"/>
      <c r="E107" s="15" t="s">
        <v>116</v>
      </c>
      <c r="F107" s="29"/>
      <c r="G107" s="29"/>
      <c r="H107" s="13"/>
      <c r="I107" s="49" t="n"/>
      <c r="J107" s="49" t="n"/>
      <c r="K107" s="49" t="n"/>
      <c r="L107" s="49" t="n"/>
      <c r="M107" s="49" t="n"/>
      <c r="N107" s="49" t="n"/>
      <c r="O107" s="49" t="n"/>
      <c r="P107" s="49" t="n"/>
      <c r="Q107" s="49" t="n"/>
    </row>
    <row r="108">
      <c r="B108" s="10"/>
      <c r="C108" s="14"/>
      <c r="D108" s="10"/>
      <c r="E108" s="11" t="s">
        <v>117</v>
      </c>
      <c r="F108" s="8"/>
      <c r="G108" s="8"/>
      <c r="H108" s="9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</row>
    <row r="109">
      <c r="B109" s="10"/>
      <c r="C109" s="14"/>
      <c r="D109" s="10"/>
      <c r="E109" s="15" t="s">
        <v>118</v>
      </c>
      <c r="F109" s="29"/>
      <c r="G109" s="29"/>
      <c r="H109" s="13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</row>
    <row r="110">
      <c r="B110" s="10"/>
      <c r="C110" s="14"/>
      <c r="D110" s="11"/>
      <c r="E110" s="48" t="s">
        <v>119</v>
      </c>
      <c r="F110" s="46"/>
      <c r="G110" s="46"/>
      <c r="H110" s="47"/>
      <c r="I110" t="n" s="31">
        <f>I93+SUM(I104:I109)</f>
      </c>
      <c r="J110" t="n" s="31">
        <f>J93+SUM(J104:J109)</f>
      </c>
      <c r="K110" t="n" s="31">
        <f>K93+SUM(K104:K109)</f>
      </c>
      <c r="L110" s="50" t="n">
        <f>L93+SUM(L104:L109)</f>
      </c>
      <c r="M110" s="50" t="n">
        <f>M93+SUM(M104:M109)</f>
      </c>
      <c r="N110" s="50" t="n">
        <f>N93+SUM(N104:N109)</f>
      </c>
      <c r="O110" s="50" t="n">
        <f>O93+SUM(O104:O109)</f>
      </c>
      <c r="P110" s="50" t="n">
        <f>P93+SUM(P104:P109)</f>
      </c>
      <c r="Q110" t="n" s="31">
        <f>Q93+SUM(Q104:Q109)</f>
      </c>
    </row>
    <row r="111">
      <c r="B111" s="10"/>
      <c r="C111" s="14"/>
      <c r="D111" s="12" t="s">
        <v>120</v>
      </c>
      <c r="E111" s="29"/>
      <c r="F111" s="29"/>
      <c r="G111" s="29"/>
      <c r="H111" s="13"/>
      <c r="I111" s="22"/>
      <c r="J111" s="22"/>
      <c r="K111" s="22"/>
      <c r="L111" s="22"/>
      <c r="M111" s="22"/>
      <c r="N111" s="22"/>
      <c r="O111" s="22"/>
      <c r="P111" s="22"/>
      <c r="Q111" s="22"/>
    </row>
    <row r="112">
      <c r="B112" s="10"/>
      <c r="C112" s="14"/>
      <c r="D112" s="14"/>
      <c r="E112" s="11" t="s">
        <v>121</v>
      </c>
      <c r="F112" s="8"/>
      <c r="G112" s="8"/>
      <c r="H112" s="9"/>
      <c r="I112" t="n" s="31">
        <v>7.18819563E8</v>
      </c>
      <c r="J112" t="n" s="31">
        <v>4882168.0</v>
      </c>
      <c r="K112" t="n" s="31">
        <v>1.0966643E7</v>
      </c>
      <c r="L112" s="50" t="n"/>
      <c r="M112" s="50" t="n"/>
      <c r="N112" s="50" t="n"/>
      <c r="O112" s="50" t="n"/>
      <c r="P112" s="50" t="n"/>
      <c r="Q112" t="n" s="31">
        <v>7.34668374E8</v>
      </c>
    </row>
    <row r="113">
      <c r="B113" s="10"/>
      <c r="C113" s="14"/>
      <c r="D113" s="14"/>
      <c r="E113" s="15" t="s">
        <v>122</v>
      </c>
      <c r="F113" s="29"/>
      <c r="G113" s="29"/>
      <c r="H113" s="13"/>
      <c r="I113" s="49" t="n"/>
      <c r="J113" s="49" t="n"/>
      <c r="K113" s="49" t="n"/>
      <c r="L113" s="49" t="n"/>
      <c r="M113" s="49" t="n"/>
      <c r="N113" s="49" t="n"/>
      <c r="O113" s="49" t="n"/>
      <c r="P113" s="49" t="n"/>
      <c r="Q113" s="49" t="n"/>
    </row>
    <row r="114">
      <c r="B114" s="10"/>
      <c r="C114" s="14"/>
      <c r="D114" s="14"/>
      <c r="E114" s="11" t="s">
        <v>123</v>
      </c>
      <c r="F114" s="8"/>
      <c r="G114" s="8"/>
      <c r="H114" s="9"/>
      <c r="I114" t="n" s="31">
        <v>7436858.0</v>
      </c>
      <c r="J114" s="50" t="n"/>
      <c r="K114" s="50" t="n"/>
      <c r="L114" s="50" t="n"/>
      <c r="M114" s="50" t="n"/>
      <c r="N114" s="50" t="n"/>
      <c r="O114" s="50" t="n"/>
      <c r="P114" s="50" t="n"/>
      <c r="Q114" t="n" s="31">
        <v>7436858.0</v>
      </c>
    </row>
    <row r="115">
      <c r="B115" s="10"/>
      <c r="C115" s="14"/>
      <c r="D115" s="14"/>
      <c r="E115" s="15" t="s">
        <v>124</v>
      </c>
      <c r="F115" s="29"/>
      <c r="G115" s="29"/>
      <c r="H115" s="13"/>
      <c r="I115" s="49" t="n"/>
      <c r="J115" s="49" t="n"/>
      <c r="K115" s="49" t="n"/>
      <c r="L115" s="49" t="n"/>
      <c r="M115" s="49" t="n"/>
      <c r="N115" s="49" t="n"/>
      <c r="O115" s="49" t="n"/>
      <c r="P115" s="49" t="n"/>
      <c r="Q115" s="49" t="n"/>
    </row>
    <row r="116" ht="28.0" customHeight="true">
      <c r="B116" s="10"/>
      <c r="C116" s="14"/>
      <c r="D116" s="14"/>
      <c r="E116" s="7" t="s">
        <v>125</v>
      </c>
      <c r="F116" s="8"/>
      <c r="G116" s="8"/>
      <c r="H116" s="9"/>
      <c r="I116" s="23"/>
      <c r="J116" s="23"/>
      <c r="K116" s="23"/>
      <c r="L116" s="23"/>
      <c r="M116" s="23"/>
      <c r="N116" s="23"/>
      <c r="O116" s="23"/>
      <c r="P116" s="23"/>
      <c r="Q116" s="23"/>
    </row>
    <row r="117" ht="28.0" customHeight="true">
      <c r="B117" s="10"/>
      <c r="C117" s="14"/>
      <c r="D117" s="14"/>
      <c r="E117" s="10"/>
      <c r="F117" s="12" t="s">
        <v>126</v>
      </c>
      <c r="G117" s="29"/>
      <c r="H117" s="13"/>
      <c r="I117" s="22"/>
      <c r="J117" s="22"/>
      <c r="K117" s="22"/>
      <c r="L117" s="22"/>
      <c r="M117" s="22"/>
      <c r="N117" s="22"/>
      <c r="O117" s="22"/>
      <c r="P117" s="22"/>
      <c r="Q117" s="22"/>
    </row>
    <row r="118" ht="42.0" customHeight="true">
      <c r="B118" s="10"/>
      <c r="C118" s="14"/>
      <c r="D118" s="14"/>
      <c r="E118" s="10"/>
      <c r="F118" s="14"/>
      <c r="G118" s="11" t="s">
        <v>127</v>
      </c>
      <c r="H118" s="9"/>
      <c r="I118" s="50" t="n"/>
      <c r="J118" s="50" t="n"/>
      <c r="K118" s="50" t="n"/>
      <c r="L118" s="50" t="n"/>
      <c r="M118" s="50" t="n"/>
      <c r="N118" s="50" t="n"/>
      <c r="O118" s="23"/>
      <c r="P118" s="50" t="n"/>
      <c r="Q118" s="50" t="n"/>
    </row>
    <row r="119">
      <c r="B119" s="10"/>
      <c r="C119" s="14"/>
      <c r="D119" s="14"/>
      <c r="E119" s="10"/>
      <c r="F119" s="14"/>
      <c r="G119" s="12" t="s">
        <v>128</v>
      </c>
      <c r="H119" s="13"/>
      <c r="I119" s="49" t="n"/>
      <c r="J119" s="49" t="n"/>
      <c r="K119" s="49" t="n"/>
      <c r="L119" s="49" t="n"/>
      <c r="M119" s="49" t="n"/>
      <c r="N119" s="49" t="n"/>
      <c r="O119" s="22"/>
      <c r="P119" s="49" t="n"/>
      <c r="Q119" s="49" t="n"/>
    </row>
    <row r="120">
      <c r="B120" s="10"/>
      <c r="C120" s="14"/>
      <c r="D120" s="14"/>
      <c r="E120" s="10"/>
      <c r="F120" s="14"/>
      <c r="G120" s="15"/>
      <c r="H120" s="18" t="s">
        <v>129</v>
      </c>
      <c r="I120" s="23"/>
      <c r="J120" s="23"/>
      <c r="K120" s="23"/>
      <c r="L120" s="50" t="n"/>
      <c r="M120" s="50" t="n"/>
      <c r="N120" s="50" t="n"/>
      <c r="O120" s="23"/>
      <c r="P120" s="23"/>
      <c r="Q120" s="50" t="n"/>
    </row>
    <row r="121" ht="28.0" customHeight="true">
      <c r="B121" s="10"/>
      <c r="C121" s="14"/>
      <c r="D121" s="14"/>
      <c r="E121" s="10"/>
      <c r="F121" s="15"/>
      <c r="G121" s="15" t="s">
        <v>130</v>
      </c>
      <c r="H121" s="13"/>
      <c r="I121" s="22"/>
      <c r="J121" s="22"/>
      <c r="K121" s="49" t="n"/>
      <c r="L121" s="22"/>
      <c r="M121" s="22"/>
      <c r="N121" s="22"/>
      <c r="O121" s="22"/>
      <c r="P121" s="22"/>
      <c r="Q121" s="49" t="n"/>
    </row>
    <row r="122" ht="28.0" customHeight="true">
      <c r="B122" s="10"/>
      <c r="C122" s="14"/>
      <c r="D122" s="14"/>
      <c r="E122" s="10"/>
      <c r="F122" s="48" t="s">
        <v>131</v>
      </c>
      <c r="G122" s="46"/>
      <c r="H122" s="47"/>
      <c r="I122" s="50" t="n">
        <f>I118+I119</f>
      </c>
      <c r="J122" s="50" t="n">
        <f>J118+J119</f>
      </c>
      <c r="K122" s="50" t="n">
        <f>K118+K119+K121</f>
      </c>
      <c r="L122" s="50" t="n">
        <f>L118+L119</f>
      </c>
      <c r="M122" s="50" t="n">
        <f>M118+M119</f>
      </c>
      <c r="N122" s="50" t="n">
        <f>N118+N119</f>
      </c>
      <c r="O122" s="50" t="n"/>
      <c r="P122" s="50" t="n">
        <f>P118+P119</f>
      </c>
      <c r="Q122" s="50" t="n">
        <f>Q118+Q119+Q121</f>
      </c>
    </row>
    <row r="123">
      <c r="B123" s="10"/>
      <c r="C123" s="14"/>
      <c r="D123" s="14"/>
      <c r="E123" s="10"/>
      <c r="F123" s="15" t="s">
        <v>132</v>
      </c>
      <c r="G123" s="29"/>
      <c r="H123" s="13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</row>
    <row r="124" ht="28.0" customHeight="true">
      <c r="B124" s="10"/>
      <c r="C124" s="14"/>
      <c r="D124" s="14"/>
      <c r="E124" s="10"/>
      <c r="F124" s="11" t="s">
        <v>133</v>
      </c>
      <c r="G124" s="8"/>
      <c r="H124" s="9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</row>
    <row r="125" ht="28.0" customHeight="true">
      <c r="B125" s="10"/>
      <c r="C125" s="14"/>
      <c r="D125" s="14"/>
      <c r="E125" s="11"/>
      <c r="F125" s="44" t="s">
        <v>134</v>
      </c>
      <c r="G125" s="42"/>
      <c r="H125" s="43"/>
      <c r="I125" s="49" t="n">
        <f>SUM(I122:I124)</f>
      </c>
      <c r="J125" s="49" t="n">
        <f>SUM(J122:J124)</f>
      </c>
      <c r="K125" s="49" t="n">
        <f>SUM(K122:K124)</f>
      </c>
      <c r="L125" s="49" t="n">
        <f>SUM(L122:L124)</f>
      </c>
      <c r="M125" s="49" t="n">
        <f>SUM(M122:M124)</f>
      </c>
      <c r="N125" s="49" t="n">
        <f>SUM(N122:N124)</f>
      </c>
      <c r="O125" s="49" t="n">
        <f>SUM(O122:O124)</f>
      </c>
      <c r="P125" s="49" t="n">
        <f>SUM(P122:P124)</f>
      </c>
      <c r="Q125" s="49" t="n">
        <f>SUM(Q122:Q124)</f>
      </c>
    </row>
    <row r="126">
      <c r="B126" s="10"/>
      <c r="C126" s="14"/>
      <c r="D126" s="14"/>
      <c r="E126" s="11" t="s">
        <v>135</v>
      </c>
      <c r="F126" s="8"/>
      <c r="G126" s="8"/>
      <c r="H126" s="9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</row>
    <row r="127">
      <c r="B127" s="10"/>
      <c r="C127" s="14"/>
      <c r="D127" s="14"/>
      <c r="E127" s="15" t="s">
        <v>136</v>
      </c>
      <c r="F127" s="29"/>
      <c r="G127" s="29"/>
      <c r="H127" s="13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</row>
    <row r="128">
      <c r="B128" s="10"/>
      <c r="C128" s="14"/>
      <c r="D128" s="14"/>
      <c r="E128" s="11" t="s">
        <v>137</v>
      </c>
      <c r="F128" s="8"/>
      <c r="G128" s="8"/>
      <c r="H128" s="9"/>
      <c r="I128" t="n" s="31">
        <v>2.43257273E8</v>
      </c>
      <c r="J128" s="50" t="n"/>
      <c r="K128" s="50" t="n"/>
      <c r="L128" s="50" t="n"/>
      <c r="M128" s="50" t="n"/>
      <c r="N128" s="50" t="n"/>
      <c r="O128" s="50" t="n"/>
      <c r="P128" s="50" t="n"/>
      <c r="Q128" t="n" s="31">
        <v>2.43257273E8</v>
      </c>
    </row>
    <row r="129">
      <c r="B129" s="10"/>
      <c r="C129" s="14"/>
      <c r="D129" s="15"/>
      <c r="E129" s="44" t="s">
        <v>138</v>
      </c>
      <c r="F129" s="42"/>
      <c r="G129" s="42"/>
      <c r="H129" s="43"/>
      <c r="I129" t="n" s="30">
        <f>SUM(I112:I115)+SUM(I125:I128)</f>
      </c>
      <c r="J129" t="n" s="30">
        <f>SUM(J112:J115)+SUM(J125:J128)</f>
      </c>
      <c r="K129" t="n" s="30">
        <f>SUM(K112:K115)+SUM(K125:K128)</f>
      </c>
      <c r="L129" s="49" t="n">
        <f>SUM(L112:L115)+SUM(L125:L128)</f>
      </c>
      <c r="M129" s="49" t="n">
        <f>SUM(M112:M115)+SUM(M125:M128)</f>
      </c>
      <c r="N129" s="49" t="n">
        <f>SUM(N112:N115)+SUM(N125:N128)</f>
      </c>
      <c r="O129" s="49" t="n">
        <f>SUM(O112:O115)+SUM(O125:O128)</f>
      </c>
      <c r="P129" s="49" t="n">
        <f>SUM(P112:P115)+SUM(P125:P128)</f>
      </c>
      <c r="Q129" t="n" s="30">
        <f>SUM(Q112:Q115)+SUM(Q125:Q128)</f>
      </c>
    </row>
    <row r="130">
      <c r="B130" s="10"/>
      <c r="C130" s="15"/>
      <c r="D130" s="48" t="s">
        <v>139</v>
      </c>
      <c r="E130" s="46"/>
      <c r="F130" s="46"/>
      <c r="G130" s="46"/>
      <c r="H130" s="47"/>
      <c r="I130" t="n" s="31">
        <f>I110+I129</f>
      </c>
      <c r="J130" t="n" s="31">
        <f>J110+J129</f>
      </c>
      <c r="K130" t="n" s="31">
        <f>K110+K129</f>
      </c>
      <c r="L130" s="50" t="n">
        <f>L110+L129</f>
      </c>
      <c r="M130" s="50" t="n">
        <f>M110+M129</f>
      </c>
      <c r="N130" s="50" t="n">
        <f>N110+N129</f>
      </c>
      <c r="O130" s="50" t="n">
        <f>O110+O129</f>
      </c>
      <c r="P130" s="50" t="n">
        <f>P110+P129</f>
      </c>
      <c r="Q130" t="n" s="31">
        <f>Q110+Q129</f>
      </c>
    </row>
    <row r="131">
      <c r="B131" s="10"/>
      <c r="C131" s="12" t="s">
        <v>140</v>
      </c>
      <c r="D131" s="29"/>
      <c r="E131" s="29"/>
      <c r="F131" s="29"/>
      <c r="G131" s="29"/>
      <c r="H131" s="13"/>
      <c r="I131" s="22"/>
      <c r="J131" s="22"/>
      <c r="K131" s="22"/>
      <c r="L131" s="22"/>
      <c r="M131" s="22"/>
      <c r="N131" s="22"/>
      <c r="O131" s="22"/>
      <c r="P131" s="22"/>
      <c r="Q131" s="22"/>
    </row>
    <row r="132">
      <c r="B132" s="10"/>
      <c r="C132" s="14"/>
      <c r="D132" s="7" t="s">
        <v>141</v>
      </c>
      <c r="E132" s="8"/>
      <c r="F132" s="8"/>
      <c r="G132" s="8"/>
      <c r="H132" s="9"/>
      <c r="I132" s="23"/>
      <c r="J132" s="23"/>
      <c r="K132" s="23"/>
      <c r="L132" s="23"/>
      <c r="M132" s="23"/>
      <c r="N132" s="23"/>
      <c r="O132" s="23"/>
      <c r="P132" s="23"/>
      <c r="Q132" s="23"/>
    </row>
    <row r="133">
      <c r="B133" s="10"/>
      <c r="C133" s="14"/>
      <c r="D133" s="10"/>
      <c r="E133" s="12" t="s">
        <v>142</v>
      </c>
      <c r="F133" s="29"/>
      <c r="G133" s="29"/>
      <c r="H133" s="13"/>
      <c r="I133" s="22"/>
      <c r="J133" s="22"/>
      <c r="K133" s="22"/>
      <c r="L133" s="22"/>
      <c r="M133" s="22"/>
      <c r="N133" s="22"/>
      <c r="O133" s="22"/>
      <c r="P133" s="22"/>
      <c r="Q133" s="22"/>
    </row>
    <row r="134">
      <c r="B134" s="10"/>
      <c r="C134" s="14"/>
      <c r="D134" s="10"/>
      <c r="E134" s="14"/>
      <c r="F134" s="11" t="s">
        <v>143</v>
      </c>
      <c r="G134" s="8"/>
      <c r="H134" s="9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</row>
    <row r="135">
      <c r="B135" s="10"/>
      <c r="C135" s="14"/>
      <c r="D135" s="10"/>
      <c r="E135" s="14"/>
      <c r="F135" s="12" t="s">
        <v>144</v>
      </c>
      <c r="G135" s="29"/>
      <c r="H135" s="13"/>
      <c r="I135" t="n" s="30">
        <v>1.2048807E7</v>
      </c>
      <c r="J135" t="n" s="30">
        <v>8725643.0</v>
      </c>
      <c r="K135" t="n" s="30">
        <v>3.6332539E7</v>
      </c>
      <c r="L135" s="49" t="n"/>
      <c r="M135" s="49" t="n"/>
      <c r="N135" s="49" t="n"/>
      <c r="O135" s="49" t="n"/>
      <c r="P135" s="49" t="n"/>
      <c r="Q135" t="n" s="30">
        <v>5.7106989E7</v>
      </c>
    </row>
    <row r="136">
      <c r="B136" s="10"/>
      <c r="C136" s="14"/>
      <c r="D136" s="10"/>
      <c r="E136" s="14"/>
      <c r="F136" s="14"/>
      <c r="G136" s="11" t="s">
        <v>145</v>
      </c>
      <c r="H136" s="9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</row>
    <row r="137">
      <c r="B137" s="10"/>
      <c r="C137" s="14"/>
      <c r="D137" s="10"/>
      <c r="E137" s="14"/>
      <c r="F137" s="15"/>
      <c r="G137" s="15" t="s">
        <v>146</v>
      </c>
      <c r="H137" s="13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</row>
    <row r="138">
      <c r="B138" s="10"/>
      <c r="C138" s="14"/>
      <c r="D138" s="10"/>
      <c r="E138" s="14"/>
      <c r="F138" s="11" t="s">
        <v>147</v>
      </c>
      <c r="G138" s="8"/>
      <c r="H138" s="9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</row>
    <row r="139">
      <c r="B139" s="10"/>
      <c r="C139" s="14"/>
      <c r="D139" s="10"/>
      <c r="E139" s="14"/>
      <c r="F139" s="15" t="s">
        <v>148</v>
      </c>
      <c r="G139" s="29"/>
      <c r="H139" s="13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</row>
    <row r="140">
      <c r="B140" s="10"/>
      <c r="C140" s="14"/>
      <c r="D140" s="10"/>
      <c r="E140" s="14"/>
      <c r="F140" s="11" t="s">
        <v>149</v>
      </c>
      <c r="G140" s="8"/>
      <c r="H140" s="9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</row>
    <row r="141">
      <c r="B141" s="10"/>
      <c r="C141" s="14"/>
      <c r="D141" s="10"/>
      <c r="E141" s="14"/>
      <c r="F141" s="15" t="s">
        <v>150</v>
      </c>
      <c r="G141" s="29"/>
      <c r="H141" s="13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</row>
    <row r="142">
      <c r="B142" s="10"/>
      <c r="C142" s="14"/>
      <c r="D142" s="10"/>
      <c r="E142" s="15"/>
      <c r="F142" s="48" t="s">
        <v>151</v>
      </c>
      <c r="G142" s="46"/>
      <c r="H142" s="47"/>
      <c r="I142" t="n" s="31">
        <f>I134+I135+SUM(I138:I141)</f>
      </c>
      <c r="J142" t="n" s="31">
        <f>J134+J135+SUM(J138:J141)</f>
      </c>
      <c r="K142" t="n" s="31">
        <f>K134+K135+SUM(K138:K141)</f>
      </c>
      <c r="L142" s="50" t="n">
        <f>L134+L135+SUM(L138:L141)</f>
      </c>
      <c r="M142" s="50" t="n">
        <f>M134+M135+SUM(M138:M141)</f>
      </c>
      <c r="N142" s="50" t="n">
        <f>N134+N135+SUM(N138:N141)</f>
      </c>
      <c r="O142" s="50" t="n">
        <f>O134+O135+SUM(O138:O141)</f>
      </c>
      <c r="P142" s="50" t="n">
        <f>P134+P135+SUM(P138:P141)</f>
      </c>
      <c r="Q142" t="n" s="31">
        <f>Q134+Q135+SUM(Q138:Q141)</f>
      </c>
    </row>
    <row r="143">
      <c r="B143" s="10"/>
      <c r="C143" s="14"/>
      <c r="D143" s="10"/>
      <c r="E143" s="12" t="s">
        <v>152</v>
      </c>
      <c r="F143" s="29"/>
      <c r="G143" s="29"/>
      <c r="H143" s="13"/>
      <c r="I143" s="22"/>
      <c r="J143" s="22"/>
      <c r="K143" s="22"/>
      <c r="L143" s="22"/>
      <c r="M143" s="22"/>
      <c r="N143" s="22"/>
      <c r="O143" s="22"/>
      <c r="P143" s="22"/>
      <c r="Q143" s="22"/>
    </row>
    <row r="144">
      <c r="B144" s="10"/>
      <c r="C144" s="14"/>
      <c r="D144" s="10"/>
      <c r="E144" s="14"/>
      <c r="F144" s="11" t="s">
        <v>153</v>
      </c>
      <c r="G144" s="8"/>
      <c r="H144" s="9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</row>
    <row r="145">
      <c r="B145" s="10"/>
      <c r="C145" s="14"/>
      <c r="D145" s="10"/>
      <c r="E145" s="14"/>
      <c r="F145" s="12" t="s">
        <v>154</v>
      </c>
      <c r="G145" s="29"/>
      <c r="H145" s="13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</row>
    <row r="146">
      <c r="B146" s="10"/>
      <c r="C146" s="14"/>
      <c r="D146" s="10"/>
      <c r="E146" s="14"/>
      <c r="F146" s="14"/>
      <c r="G146" s="11" t="s">
        <v>155</v>
      </c>
      <c r="H146" s="9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</row>
    <row r="147">
      <c r="B147" s="10"/>
      <c r="C147" s="14"/>
      <c r="D147" s="10"/>
      <c r="E147" s="14"/>
      <c r="F147" s="15"/>
      <c r="G147" s="15" t="s">
        <v>156</v>
      </c>
      <c r="H147" s="13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</row>
    <row r="148">
      <c r="B148" s="10"/>
      <c r="C148" s="14"/>
      <c r="D148" s="10"/>
      <c r="E148" s="14"/>
      <c r="F148" s="11" t="s">
        <v>157</v>
      </c>
      <c r="G148" s="8"/>
      <c r="H148" s="9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</row>
    <row r="149">
      <c r="B149" s="10"/>
      <c r="C149" s="14"/>
      <c r="D149" s="10"/>
      <c r="E149" s="14"/>
      <c r="F149" s="15" t="s">
        <v>158</v>
      </c>
      <c r="G149" s="29"/>
      <c r="H149" s="13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</row>
    <row r="150">
      <c r="B150" s="10"/>
      <c r="C150" s="14"/>
      <c r="D150" s="10"/>
      <c r="E150" s="14"/>
      <c r="F150" s="11" t="s">
        <v>159</v>
      </c>
      <c r="G150" s="8"/>
      <c r="H150" s="9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</row>
    <row r="151">
      <c r="B151" s="10"/>
      <c r="C151" s="14"/>
      <c r="D151" s="10"/>
      <c r="E151" s="14"/>
      <c r="F151" s="15" t="s">
        <v>160</v>
      </c>
      <c r="G151" s="29"/>
      <c r="H151" s="13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</row>
    <row r="152">
      <c r="B152" s="10"/>
      <c r="C152" s="14"/>
      <c r="D152" s="10"/>
      <c r="E152" s="15"/>
      <c r="F152" s="48" t="s">
        <v>161</v>
      </c>
      <c r="G152" s="46"/>
      <c r="H152" s="47"/>
      <c r="I152" s="50" t="n">
        <f>I144+I145+SUM(I148:I151)</f>
      </c>
      <c r="J152" s="50" t="n">
        <f>J144+J145+SUM(J148:J151)</f>
      </c>
      <c r="K152" s="50" t="n">
        <f>K144+K145+SUM(K148:K151)</f>
      </c>
      <c r="L152" s="50" t="n">
        <f>L144+L145+SUM(L148:L151)</f>
      </c>
      <c r="M152" s="50" t="n">
        <f>M144+M145+SUM(M148:M151)</f>
      </c>
      <c r="N152" s="50" t="n">
        <f>N144+N145+SUM(N148:N151)</f>
      </c>
      <c r="O152" s="50" t="n">
        <f>O144+O145+SUM(O148:O151)</f>
      </c>
      <c r="P152" s="50" t="n">
        <f>P144+P145+SUM(P148:P151)</f>
      </c>
      <c r="Q152" s="50" t="n">
        <f>Q144+Q145+SUM(Q148:Q151)</f>
      </c>
    </row>
    <row r="153">
      <c r="B153" s="10"/>
      <c r="C153" s="14"/>
      <c r="D153" s="11"/>
      <c r="E153" s="44" t="s">
        <v>162</v>
      </c>
      <c r="F153" s="42"/>
      <c r="G153" s="42"/>
      <c r="H153" s="43"/>
      <c r="I153" t="n" s="30">
        <f>I142+I152</f>
      </c>
      <c r="J153" t="n" s="30">
        <f>J142+J152</f>
      </c>
      <c r="K153" t="n" s="30">
        <f>K142+K152</f>
      </c>
      <c r="L153" s="49" t="n">
        <f>L142+L152</f>
      </c>
      <c r="M153" s="49" t="n">
        <f>M142+M152</f>
      </c>
      <c r="N153" s="49" t="n">
        <f>N142+N152</f>
      </c>
      <c r="O153" s="49" t="n">
        <f>O142+O152</f>
      </c>
      <c r="P153" s="49" t="n">
        <f>P142+P152</f>
      </c>
      <c r="Q153" t="n" s="30">
        <f>Q142+Q152</f>
      </c>
    </row>
    <row r="154">
      <c r="B154" s="10"/>
      <c r="C154" s="14"/>
      <c r="D154" s="7" t="s">
        <v>163</v>
      </c>
      <c r="E154" s="8"/>
      <c r="F154" s="8"/>
      <c r="G154" s="8"/>
      <c r="H154" s="9"/>
      <c r="I154" s="23"/>
      <c r="J154" s="23"/>
      <c r="K154" s="23"/>
      <c r="L154" s="23"/>
      <c r="M154" s="23"/>
      <c r="N154" s="23"/>
      <c r="O154" s="23"/>
      <c r="P154" s="23"/>
      <c r="Q154" s="23"/>
    </row>
    <row r="155">
      <c r="B155" s="10"/>
      <c r="C155" s="14"/>
      <c r="D155" s="10"/>
      <c r="E155" s="15" t="s">
        <v>164</v>
      </c>
      <c r="F155" s="29"/>
      <c r="G155" s="29"/>
      <c r="H155" s="13"/>
      <c r="I155" t="n" s="30">
        <v>1.041350874E9</v>
      </c>
      <c r="J155" t="n" s="30">
        <v>9845150.0</v>
      </c>
      <c r="K155" t="n" s="30">
        <v>1.012254E7</v>
      </c>
      <c r="L155" s="49" t="n"/>
      <c r="M155" s="49" t="n"/>
      <c r="N155" s="49" t="n"/>
      <c r="O155" s="49" t="n"/>
      <c r="P155" s="49" t="n"/>
      <c r="Q155" t="n" s="30">
        <v>1.061318564E9</v>
      </c>
    </row>
    <row r="156">
      <c r="B156" s="10"/>
      <c r="C156" s="14"/>
      <c r="D156" s="10"/>
      <c r="E156" s="11" t="s">
        <v>165</v>
      </c>
      <c r="F156" s="8"/>
      <c r="G156" s="8"/>
      <c r="H156" s="9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</row>
    <row r="157">
      <c r="B157" s="10"/>
      <c r="C157" s="14"/>
      <c r="D157" s="10"/>
      <c r="E157" s="15" t="s">
        <v>166</v>
      </c>
      <c r="F157" s="29"/>
      <c r="G157" s="29"/>
      <c r="H157" s="13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</row>
    <row r="158">
      <c r="B158" s="10"/>
      <c r="C158" s="14"/>
      <c r="D158" s="10"/>
      <c r="E158" s="11" t="s">
        <v>167</v>
      </c>
      <c r="F158" s="8"/>
      <c r="G158" s="8"/>
      <c r="H158" s="9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</row>
    <row r="159">
      <c r="B159" s="10"/>
      <c r="C159" s="14"/>
      <c r="D159" s="10"/>
      <c r="E159" s="15" t="s">
        <v>168</v>
      </c>
      <c r="F159" s="29"/>
      <c r="G159" s="29"/>
      <c r="H159" s="13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</row>
    <row r="160">
      <c r="B160" s="10"/>
      <c r="C160" s="14"/>
      <c r="D160" s="10"/>
      <c r="E160" s="7" t="s">
        <v>169</v>
      </c>
      <c r="F160" s="8"/>
      <c r="G160" s="8"/>
      <c r="H160" s="9"/>
      <c r="I160" t="n" s="31">
        <v>2859448.0</v>
      </c>
      <c r="J160" t="n" s="31">
        <v>2.509848E7</v>
      </c>
      <c r="K160" t="n" s="31">
        <v>4539532.0</v>
      </c>
      <c r="L160" s="50" t="n"/>
      <c r="M160" s="50" t="n"/>
      <c r="N160" s="50" t="n"/>
      <c r="O160" s="50" t="n"/>
      <c r="P160" s="50" t="n"/>
      <c r="Q160" t="n" s="31">
        <v>3.249746E7</v>
      </c>
    </row>
    <row r="161">
      <c r="B161" s="10"/>
      <c r="C161" s="14"/>
      <c r="D161" s="10"/>
      <c r="E161" s="11"/>
      <c r="F161" s="15" t="s">
        <v>170</v>
      </c>
      <c r="G161" s="29"/>
      <c r="H161" s="13"/>
      <c r="I161" t="n" s="30">
        <v>2859448.0</v>
      </c>
      <c r="J161" t="n" s="30">
        <v>2.509848E7</v>
      </c>
      <c r="K161" t="n" s="30">
        <v>4539532.0</v>
      </c>
      <c r="L161" s="49" t="n"/>
      <c r="M161" s="49" t="n"/>
      <c r="N161" s="49" t="n"/>
      <c r="O161" s="49" t="n"/>
      <c r="P161" s="49" t="n"/>
      <c r="Q161" t="n" s="30">
        <v>3.249746E7</v>
      </c>
    </row>
    <row r="162">
      <c r="B162" s="10"/>
      <c r="C162" s="14"/>
      <c r="D162" s="11"/>
      <c r="E162" s="48" t="s">
        <v>171</v>
      </c>
      <c r="F162" s="46"/>
      <c r="G162" s="46"/>
      <c r="H162" s="47"/>
      <c r="I162" t="n" s="31">
        <f>SUM(I155:I160)</f>
      </c>
      <c r="J162" t="n" s="31">
        <f>SUM(J155:J160)</f>
      </c>
      <c r="K162" t="n" s="31">
        <f>SUM(K155:K160)</f>
      </c>
      <c r="L162" s="50" t="n">
        <f>SUM(L155:L160)</f>
      </c>
      <c r="M162" s="50" t="n">
        <f>SUM(M155:M160)</f>
      </c>
      <c r="N162" s="50" t="n">
        <f>SUM(N155:N160)</f>
      </c>
      <c r="O162" s="50" t="n">
        <f>SUM(O155:O160)</f>
      </c>
      <c r="P162" s="50" t="n">
        <f>SUM(P155:P160)</f>
      </c>
      <c r="Q162" t="n" s="31">
        <f>SUM(Q155:Q160)</f>
      </c>
    </row>
    <row r="163">
      <c r="B163" s="11"/>
      <c r="C163" s="15"/>
      <c r="D163" s="44" t="s">
        <v>172</v>
      </c>
      <c r="E163" s="42"/>
      <c r="F163" s="42"/>
      <c r="G163" s="42"/>
      <c r="H163" s="43"/>
      <c r="I163" t="n" s="51">
        <f>I162+I153</f>
      </c>
      <c r="J163" t="n" s="51">
        <f>J162+J153</f>
      </c>
      <c r="K163" t="n" s="51">
        <f>K162+K153</f>
      </c>
      <c r="L163" s="52" t="n">
        <f>L162+L153</f>
      </c>
      <c r="M163" s="52" t="n">
        <f>M162+M153</f>
      </c>
      <c r="N163" s="52" t="n">
        <f>N162+N153</f>
      </c>
      <c r="O163" s="52" t="n">
        <f>O162+O153</f>
      </c>
      <c r="P163" s="52" t="n">
        <f>P162+P153</f>
      </c>
      <c r="Q163" t="n" s="51">
        <f>Q162+Q153</f>
      </c>
    </row>
  </sheetData>
  <mergeCells>
    <mergeCell ref="I10:Q10"/>
    <mergeCell ref="B12:H12"/>
    <mergeCell ref="C13:H13"/>
    <mergeCell ref="D14:H14"/>
    <mergeCell ref="E15:H15"/>
    <mergeCell ref="F16:H16"/>
    <mergeCell ref="E17:H17"/>
    <mergeCell ref="F18:H18"/>
    <mergeCell ref="G19:H19"/>
    <mergeCell ref="G20:H20"/>
    <mergeCell ref="G22:H22"/>
    <mergeCell ref="F23:H23"/>
    <mergeCell ref="F24:H24"/>
    <mergeCell ref="F25:H25"/>
    <mergeCell ref="F26:H26"/>
    <mergeCell ref="E27:H27"/>
    <mergeCell ref="E28:H28"/>
    <mergeCell ref="E29:H29"/>
    <mergeCell ref="E30:H30"/>
    <mergeCell ref="E31:H31"/>
    <mergeCell ref="E32:H32"/>
    <mergeCell ref="D33:H33"/>
    <mergeCell ref="E34:H34"/>
    <mergeCell ref="E35:H35"/>
    <mergeCell ref="E36:H36"/>
    <mergeCell ref="E37:H37"/>
    <mergeCell ref="E38:H38"/>
    <mergeCell ref="F39:H39"/>
    <mergeCell ref="G40:H40"/>
    <mergeCell ref="G41:H41"/>
    <mergeCell ref="G43:H43"/>
    <mergeCell ref="F44:H44"/>
    <mergeCell ref="F45:H45"/>
    <mergeCell ref="F46:H46"/>
    <mergeCell ref="F47:H47"/>
    <mergeCell ref="E48:H48"/>
    <mergeCell ref="E49:H49"/>
    <mergeCell ref="E50:H50"/>
    <mergeCell ref="E51:H51"/>
    <mergeCell ref="D52:H52"/>
    <mergeCell ref="C53:H53"/>
    <mergeCell ref="D54:H54"/>
    <mergeCell ref="E55:H55"/>
    <mergeCell ref="F56:H56"/>
    <mergeCell ref="F57:H57"/>
    <mergeCell ref="G58:H58"/>
    <mergeCell ref="G59:H59"/>
    <mergeCell ref="F60:H60"/>
    <mergeCell ref="F61:H61"/>
    <mergeCell ref="F62:H62"/>
    <mergeCell ref="F63:H63"/>
    <mergeCell ref="F64:H64"/>
    <mergeCell ref="E65:H65"/>
    <mergeCell ref="F66:H66"/>
    <mergeCell ref="F67:H67"/>
    <mergeCell ref="G68:H68"/>
    <mergeCell ref="G69:H69"/>
    <mergeCell ref="F70:H70"/>
    <mergeCell ref="F71:H71"/>
    <mergeCell ref="F72:H72"/>
    <mergeCell ref="F73:H73"/>
    <mergeCell ref="F74:H74"/>
    <mergeCell ref="E75:H75"/>
    <mergeCell ref="D76:H76"/>
    <mergeCell ref="E77:H77"/>
    <mergeCell ref="E78:H78"/>
    <mergeCell ref="E79:H79"/>
    <mergeCell ref="E80:H80"/>
    <mergeCell ref="E81:H81"/>
    <mergeCell ref="E82:H82"/>
    <mergeCell ref="F83:H83"/>
    <mergeCell ref="E84:H84"/>
    <mergeCell ref="D85:H85"/>
    <mergeCell ref="I88:Q88"/>
    <mergeCell ref="B90:H90"/>
    <mergeCell ref="C91:H91"/>
    <mergeCell ref="D92:H92"/>
    <mergeCell ref="E93:H93"/>
    <mergeCell ref="F94:H94"/>
    <mergeCell ref="E95:H95"/>
    <mergeCell ref="F96:H96"/>
    <mergeCell ref="G97:H97"/>
    <mergeCell ref="G98:H98"/>
    <mergeCell ref="G100:H100"/>
    <mergeCell ref="F101:H101"/>
    <mergeCell ref="F102:H102"/>
    <mergeCell ref="F103:H103"/>
    <mergeCell ref="F104:H104"/>
    <mergeCell ref="E105:H105"/>
    <mergeCell ref="E106:H106"/>
    <mergeCell ref="E107:H107"/>
    <mergeCell ref="E108:H108"/>
    <mergeCell ref="E109:H109"/>
    <mergeCell ref="E110:H110"/>
    <mergeCell ref="D111:H111"/>
    <mergeCell ref="E112:H112"/>
    <mergeCell ref="E113:H113"/>
    <mergeCell ref="E114:H114"/>
    <mergeCell ref="E115:H115"/>
    <mergeCell ref="E116:H116"/>
    <mergeCell ref="F117:H117"/>
    <mergeCell ref="G118:H118"/>
    <mergeCell ref="G119:H119"/>
    <mergeCell ref="G121:H121"/>
    <mergeCell ref="F122:H122"/>
    <mergeCell ref="F123:H123"/>
    <mergeCell ref="F124:H124"/>
    <mergeCell ref="F125:H125"/>
    <mergeCell ref="E126:H126"/>
    <mergeCell ref="E127:H127"/>
    <mergeCell ref="E128:H128"/>
    <mergeCell ref="E129:H129"/>
    <mergeCell ref="D130:H130"/>
    <mergeCell ref="C131:H131"/>
    <mergeCell ref="D132:H132"/>
    <mergeCell ref="E133:H133"/>
    <mergeCell ref="F134:H134"/>
    <mergeCell ref="F135:H135"/>
    <mergeCell ref="G136:H136"/>
    <mergeCell ref="G137:H137"/>
    <mergeCell ref="F138:H138"/>
    <mergeCell ref="F139:H139"/>
    <mergeCell ref="F140:H140"/>
    <mergeCell ref="F141:H141"/>
    <mergeCell ref="F142:H142"/>
    <mergeCell ref="E143:H143"/>
    <mergeCell ref="F144:H144"/>
    <mergeCell ref="F145:H145"/>
    <mergeCell ref="G146:H146"/>
    <mergeCell ref="G147:H147"/>
    <mergeCell ref="F148:H148"/>
    <mergeCell ref="F149:H149"/>
    <mergeCell ref="F150:H150"/>
    <mergeCell ref="F151:H151"/>
    <mergeCell ref="F152:H152"/>
    <mergeCell ref="E153:H153"/>
    <mergeCell ref="D154:H154"/>
    <mergeCell ref="E155:H155"/>
    <mergeCell ref="E156:H156"/>
    <mergeCell ref="E157:H157"/>
    <mergeCell ref="E158:H158"/>
    <mergeCell ref="E159:H159"/>
    <mergeCell ref="E160:H160"/>
    <mergeCell ref="F161:H161"/>
    <mergeCell ref="E162:H162"/>
    <mergeCell ref="D163:H163"/>
  </mergeCells>
  <hyperlinks>
    <hyperlink location="'Indice'!A1" ref="B2"/>
  </hyperlink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B2:N49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50.0" customWidth="true"/>
    <col min="5" max="5" width="15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  <col min="11" max="11" width="15.0" customWidth="true"/>
    <col min="12" max="12" width="15.0" customWidth="true"/>
    <col min="13" max="13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174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9">
      <c r="B9" t="s" s="1">
        <v>11</v>
      </c>
      <c r="C9" t="s">
        <v>12</v>
      </c>
    </row>
    <row r="10">
      <c r="E10" t="s" s="4">
        <v>90</v>
      </c>
      <c r="F10" s="33"/>
      <c r="G10" s="33"/>
      <c r="H10" s="33"/>
      <c r="I10" s="33"/>
      <c r="J10" s="33"/>
      <c r="K10" s="33"/>
      <c r="L10" s="33"/>
      <c r="M10" s="34"/>
    </row>
    <row r="11">
      <c r="E11" t="s" s="38">
        <v>91</v>
      </c>
      <c r="F11" t="s" s="6">
        <v>92</v>
      </c>
      <c r="G11" t="s" s="38">
        <v>93</v>
      </c>
      <c r="H11" t="s" s="6">
        <v>94</v>
      </c>
      <c r="I11" t="s" s="38">
        <v>95</v>
      </c>
      <c r="J11" t="s" s="6">
        <v>96</v>
      </c>
      <c r="K11" t="s" s="38">
        <v>97</v>
      </c>
      <c r="L11" t="s" s="6">
        <v>98</v>
      </c>
      <c r="M11" s="40"/>
    </row>
    <row r="12">
      <c r="B12" s="7" t="s">
        <v>175</v>
      </c>
      <c r="C12" s="8"/>
      <c r="D12" s="9"/>
      <c r="E12" s="23"/>
      <c r="F12" s="23"/>
      <c r="G12" s="23"/>
      <c r="H12" s="23"/>
      <c r="I12" s="23"/>
      <c r="J12" s="23"/>
      <c r="K12" s="23"/>
      <c r="L12" s="23"/>
      <c r="M12" s="23"/>
    </row>
    <row r="13">
      <c r="B13" s="10"/>
      <c r="C13" s="12" t="s">
        <v>176</v>
      </c>
      <c r="D13" s="13"/>
      <c r="E13" s="22"/>
      <c r="F13" s="22"/>
      <c r="G13" s="22"/>
      <c r="H13" s="22"/>
      <c r="I13" s="22"/>
      <c r="J13" s="22"/>
      <c r="K13" s="22"/>
      <c r="L13" s="22"/>
      <c r="M13" s="22"/>
    </row>
    <row r="14">
      <c r="B14" s="10"/>
      <c r="C14" s="14"/>
      <c r="D14" s="18" t="s">
        <v>177</v>
      </c>
      <c r="E14" t="n" s="31">
        <v>5.49440143E8</v>
      </c>
      <c r="F14" t="n" s="31">
        <v>1.80509891E8</v>
      </c>
      <c r="G14" t="n" s="31">
        <v>2.6120769E8</v>
      </c>
      <c r="H14" s="50" t="n"/>
      <c r="I14" s="50" t="n"/>
      <c r="J14" s="50" t="n"/>
      <c r="K14" s="50" t="n"/>
      <c r="L14" s="50" t="n"/>
      <c r="M14" t="n" s="31">
        <v>9.91157724E8</v>
      </c>
    </row>
    <row r="15">
      <c r="B15" s="10"/>
      <c r="C15" s="14"/>
      <c r="D15" s="19" t="s">
        <v>178</v>
      </c>
      <c r="E15" t="n" s="30">
        <v>3.56426319E8</v>
      </c>
      <c r="F15" t="n" s="30">
        <v>1.80483023E8</v>
      </c>
      <c r="G15" t="n" s="30">
        <v>1.96249412E8</v>
      </c>
      <c r="H15" s="49" t="n"/>
      <c r="I15" s="49" t="n"/>
      <c r="J15" s="49" t="n"/>
      <c r="K15" s="49" t="n"/>
      <c r="L15" s="49" t="n"/>
      <c r="M15" t="n" s="30">
        <v>7.33158754E8</v>
      </c>
    </row>
    <row r="16">
      <c r="B16" s="10"/>
      <c r="C16" s="14"/>
      <c r="D16" s="55" t="s">
        <v>179</v>
      </c>
      <c r="E16" t="n" s="31">
        <f>E14-E15</f>
      </c>
      <c r="F16" t="n" s="31">
        <f>F14-F15</f>
      </c>
      <c r="G16" t="n" s="31">
        <f>G14-G15</f>
      </c>
      <c r="H16" s="50" t="n">
        <f>H14-H15</f>
      </c>
      <c r="I16" s="50" t="n">
        <f>I14-I15</f>
      </c>
      <c r="J16" s="50" t="n">
        <f>J14-J15</f>
      </c>
      <c r="K16" s="50" t="n">
        <f>K14-K15</f>
      </c>
      <c r="L16" s="50" t="n">
        <f>L14-L15</f>
      </c>
      <c r="M16" t="n" s="31">
        <f>M14-M15</f>
      </c>
    </row>
    <row r="17">
      <c r="B17" s="10"/>
      <c r="C17" s="14"/>
      <c r="D17" s="19" t="s">
        <v>180</v>
      </c>
      <c r="E17" t="n" s="30">
        <v>1.44077842E8</v>
      </c>
      <c r="F17" t="n" s="30">
        <v>1.01584033E8</v>
      </c>
      <c r="G17" t="n" s="30">
        <v>1.7202774E7</v>
      </c>
      <c r="H17" s="49" t="n"/>
      <c r="I17" s="49" t="n"/>
      <c r="J17" s="49" t="n"/>
      <c r="K17" s="49" t="n"/>
      <c r="L17" s="49" t="n"/>
      <c r="M17" t="n" s="30">
        <v>2.62864649E8</v>
      </c>
    </row>
    <row r="18">
      <c r="B18" s="10"/>
      <c r="C18" s="14"/>
      <c r="D18" s="18" t="s">
        <v>181</v>
      </c>
      <c r="E18" t="n" s="31">
        <v>346590.0</v>
      </c>
      <c r="F18" t="n" s="31">
        <v>1.5E8</v>
      </c>
      <c r="G18" s="50" t="n"/>
      <c r="H18" s="50" t="n"/>
      <c r="I18" s="50" t="n"/>
      <c r="J18" s="50" t="n"/>
      <c r="K18" s="50" t="n"/>
      <c r="L18" s="50" t="n"/>
      <c r="M18" t="n" s="31">
        <v>1.5034659E8</v>
      </c>
    </row>
    <row r="19">
      <c r="B19" s="10"/>
      <c r="C19" s="14"/>
      <c r="D19" s="19" t="s">
        <v>182</v>
      </c>
      <c r="E19" t="n" s="30">
        <v>3.5659238E7</v>
      </c>
      <c r="F19" t="n" s="30">
        <v>6600000.0</v>
      </c>
      <c r="G19" t="n" s="30">
        <v>1760000.0</v>
      </c>
      <c r="H19" s="49" t="n"/>
      <c r="I19" s="49" t="n"/>
      <c r="J19" s="49" t="n"/>
      <c r="K19" s="49" t="n"/>
      <c r="L19" s="49" t="n"/>
      <c r="M19" t="n" s="30">
        <v>4.4019238E7</v>
      </c>
    </row>
    <row r="20">
      <c r="B20" s="10"/>
      <c r="C20" s="14"/>
      <c r="D20" s="55" t="s">
        <v>183</v>
      </c>
      <c r="E20" t="n" s="31">
        <f>E16-E17-E19+E18</f>
      </c>
      <c r="F20" t="n" s="31">
        <f>F16-F17-F19+F18</f>
      </c>
      <c r="G20" t="n" s="31">
        <f>G16-G17-G19+G18</f>
      </c>
      <c r="H20" s="50" t="n">
        <f>H16-H17-H19+H18</f>
      </c>
      <c r="I20" s="50" t="n">
        <f>I16-I17-I19+I18</f>
      </c>
      <c r="J20" s="50" t="n">
        <f>J16-J17-J19+J18</f>
      </c>
      <c r="K20" s="50" t="n">
        <f>K16-K17-K19+K18</f>
      </c>
      <c r="L20" s="50" t="n">
        <f>L16-L17-L19+L18</f>
      </c>
      <c r="M20" t="n" s="31">
        <f>M16-M17-M19+M18</f>
      </c>
    </row>
    <row r="21">
      <c r="B21" s="10"/>
      <c r="C21" s="14"/>
      <c r="D21" s="19" t="s">
        <v>184</v>
      </c>
      <c r="E21" t="n" s="30">
        <v>2.2237136E7</v>
      </c>
      <c r="F21" s="49" t="n"/>
      <c r="G21" s="49" t="n"/>
      <c r="H21" s="49" t="n"/>
      <c r="I21" s="49" t="n"/>
      <c r="J21" s="49" t="n"/>
      <c r="K21" s="49" t="n"/>
      <c r="L21" s="49" t="n"/>
      <c r="M21" t="n" s="30">
        <v>2.2237136E7</v>
      </c>
    </row>
    <row r="22">
      <c r="B22" s="10"/>
      <c r="C22" s="14"/>
      <c r="D22" s="18" t="s">
        <v>185</v>
      </c>
      <c r="E22" t="n" s="31">
        <v>5913857.0</v>
      </c>
      <c r="F22" t="n" s="31">
        <v>2861955.0</v>
      </c>
      <c r="G22" t="n" s="31">
        <v>763188.0</v>
      </c>
      <c r="H22" s="50" t="n"/>
      <c r="I22" s="50" t="n"/>
      <c r="J22" s="50" t="n"/>
      <c r="K22" s="50" t="n"/>
      <c r="L22" s="50" t="n"/>
      <c r="M22" t="n" s="31">
        <v>9539000.0</v>
      </c>
    </row>
    <row r="23">
      <c r="B23" s="10"/>
      <c r="C23" s="14"/>
      <c r="D23" s="19" t="s">
        <v>186</v>
      </c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</row>
    <row r="24">
      <c r="B24" s="10"/>
      <c r="C24" s="14"/>
      <c r="D24" s="55" t="s">
        <v>187</v>
      </c>
      <c r="E24" t="n" s="31">
        <f>E20+E21-E22+E23</f>
      </c>
      <c r="F24" t="n" s="31">
        <f>F20+F21-F22+F23</f>
      </c>
      <c r="G24" t="n" s="31">
        <f>G20+G21-G22+G23</f>
      </c>
      <c r="H24" s="50" t="n">
        <f>H20+H21-H22+H23</f>
      </c>
      <c r="I24" s="50" t="n">
        <f>I20+I21-I22+I23</f>
      </c>
      <c r="J24" s="50" t="n">
        <f>J20+J21-J22+J23</f>
      </c>
      <c r="K24" s="50" t="n">
        <f>K20+K21-K22+K23</f>
      </c>
      <c r="L24" s="50" t="n">
        <f>L20+L21-L22+L23</f>
      </c>
      <c r="M24" t="n" s="31">
        <f>M20+M21-M22+M23</f>
      </c>
    </row>
    <row r="25">
      <c r="B25" s="10"/>
      <c r="C25" s="14"/>
      <c r="D25" s="19" t="s">
        <v>188</v>
      </c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</row>
    <row r="26">
      <c r="B26" s="10"/>
      <c r="C26" s="14"/>
      <c r="D26" s="55" t="s">
        <v>189</v>
      </c>
      <c r="E26" t="n" s="31">
        <f>E24-E25</f>
      </c>
      <c r="F26" t="n" s="31">
        <f>F24-F25</f>
      </c>
      <c r="G26" t="n" s="31">
        <f>G24-G25</f>
      </c>
      <c r="H26" s="50" t="n">
        <f>H24-H25</f>
      </c>
      <c r="I26" s="50" t="n">
        <f>I24-I25</f>
      </c>
      <c r="J26" s="50" t="n">
        <f>J24-J25</f>
      </c>
      <c r="K26" s="50" t="n">
        <f>K24-K25</f>
      </c>
      <c r="L26" s="50" t="n">
        <f>L24-L25</f>
      </c>
      <c r="M26" t="n" s="31">
        <f>M24-M25</f>
      </c>
    </row>
    <row r="27">
      <c r="B27" s="10"/>
      <c r="C27" s="14"/>
      <c r="D27" s="19" t="s">
        <v>190</v>
      </c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</row>
    <row r="28">
      <c r="B28" s="11"/>
      <c r="C28" s="15"/>
      <c r="D28" s="55" t="s">
        <v>191</v>
      </c>
      <c r="E28" t="n" s="56">
        <f>E26+E27</f>
      </c>
      <c r="F28" t="n" s="56">
        <f>F26+F27</f>
      </c>
      <c r="G28" t="n" s="56">
        <f>G26+G27</f>
      </c>
      <c r="H28" s="57" t="n">
        <f>H26+H27</f>
      </c>
      <c r="I28" s="57" t="n">
        <f>I26+I27</f>
      </c>
      <c r="J28" s="57" t="n">
        <f>J26+J27</f>
      </c>
      <c r="K28" s="57" t="n">
        <f>K26+K27</f>
      </c>
      <c r="L28" s="57" t="n">
        <f>L26+L27</f>
      </c>
      <c r="M28" t="n" s="56">
        <f>M26+M27</f>
      </c>
    </row>
    <row r="30">
      <c r="B30" t="s" s="1">
        <v>11</v>
      </c>
      <c r="C30" t="s">
        <v>173</v>
      </c>
    </row>
    <row r="31">
      <c r="E31" t="s" s="4">
        <v>90</v>
      </c>
      <c r="F31" s="33"/>
      <c r="G31" s="33"/>
      <c r="H31" s="33"/>
      <c r="I31" s="33"/>
      <c r="J31" s="33"/>
      <c r="K31" s="33"/>
      <c r="L31" s="33"/>
      <c r="M31" s="34"/>
    </row>
    <row r="32">
      <c r="E32" t="s" s="38">
        <v>91</v>
      </c>
      <c r="F32" t="s" s="6">
        <v>92</v>
      </c>
      <c r="G32" t="s" s="38">
        <v>93</v>
      </c>
      <c r="H32" t="s" s="6">
        <v>94</v>
      </c>
      <c r="I32" t="s" s="38">
        <v>95</v>
      </c>
      <c r="J32" t="s" s="6">
        <v>96</v>
      </c>
      <c r="K32" t="s" s="38">
        <v>97</v>
      </c>
      <c r="L32" t="s" s="6">
        <v>98</v>
      </c>
      <c r="M32" s="40"/>
    </row>
    <row r="33">
      <c r="B33" s="7" t="s">
        <v>175</v>
      </c>
      <c r="C33" s="8"/>
      <c r="D33" s="9"/>
      <c r="E33" s="22"/>
      <c r="F33" s="22"/>
      <c r="G33" s="22"/>
      <c r="H33" s="22"/>
      <c r="I33" s="22"/>
      <c r="J33" s="22"/>
      <c r="K33" s="22"/>
      <c r="L33" s="22"/>
      <c r="M33" s="22"/>
    </row>
    <row r="34">
      <c r="B34" s="10"/>
      <c r="C34" s="12" t="s">
        <v>176</v>
      </c>
      <c r="D34" s="13"/>
      <c r="E34" s="23"/>
      <c r="F34" s="23"/>
      <c r="G34" s="23"/>
      <c r="H34" s="23"/>
      <c r="I34" s="23"/>
      <c r="J34" s="23"/>
      <c r="K34" s="23"/>
      <c r="L34" s="23"/>
      <c r="M34" s="23"/>
    </row>
    <row r="35">
      <c r="B35" s="10"/>
      <c r="C35" s="14"/>
      <c r="D35" s="18" t="s">
        <v>177</v>
      </c>
      <c r="E35" t="n" s="30">
        <v>2.88598804E8</v>
      </c>
      <c r="F35" t="n" s="30">
        <v>6.4899827E7</v>
      </c>
      <c r="G35" t="n" s="30">
        <v>1.12430345E8</v>
      </c>
      <c r="H35" s="49" t="n"/>
      <c r="I35" s="49" t="n"/>
      <c r="J35" s="49" t="n"/>
      <c r="K35" s="49" t="n"/>
      <c r="L35" s="49" t="n"/>
      <c r="M35" t="n" s="30">
        <v>4.65928976E8</v>
      </c>
    </row>
    <row r="36">
      <c r="B36" s="10"/>
      <c r="C36" s="14"/>
      <c r="D36" s="19" t="s">
        <v>178</v>
      </c>
      <c r="E36" t="n" s="31">
        <v>1.80846963E8</v>
      </c>
      <c r="F36" t="n" s="31">
        <v>7.4147725E7</v>
      </c>
      <c r="G36" t="n" s="31">
        <v>9.723406E7</v>
      </c>
      <c r="H36" s="50" t="n"/>
      <c r="I36" s="50" t="n"/>
      <c r="J36" s="50" t="n"/>
      <c r="K36" s="50" t="n"/>
      <c r="L36" s="50" t="n"/>
      <c r="M36" t="n" s="31">
        <v>3.52228748E8</v>
      </c>
    </row>
    <row r="37">
      <c r="B37" s="10"/>
      <c r="C37" s="14"/>
      <c r="D37" s="55" t="s">
        <v>179</v>
      </c>
      <c r="E37" t="n" s="30">
        <f>E35-E36</f>
      </c>
      <c r="F37" t="n" s="30">
        <f>F35-F36</f>
      </c>
      <c r="G37" t="n" s="30">
        <f>G35-G36</f>
      </c>
      <c r="H37" s="49" t="n">
        <f>H35-H36</f>
      </c>
      <c r="I37" s="49" t="n">
        <f>I35-I36</f>
      </c>
      <c r="J37" s="49" t="n">
        <f>J35-J36</f>
      </c>
      <c r="K37" s="49" t="n">
        <f>K35-K36</f>
      </c>
      <c r="L37" s="49" t="n">
        <f>L35-L36</f>
      </c>
      <c r="M37" t="n" s="30">
        <f>M35-M36</f>
      </c>
    </row>
    <row r="38">
      <c r="B38" s="10"/>
      <c r="C38" s="14"/>
      <c r="D38" s="19" t="s">
        <v>180</v>
      </c>
      <c r="E38" t="n" s="31">
        <v>5.0494231E7</v>
      </c>
      <c r="F38" t="n" s="31">
        <v>2.4432692E7</v>
      </c>
      <c r="G38" t="n" s="31">
        <v>6515385.0</v>
      </c>
      <c r="H38" s="50" t="n"/>
      <c r="I38" s="50" t="n"/>
      <c r="J38" s="50" t="n"/>
      <c r="K38" s="50" t="n"/>
      <c r="L38" s="50" t="n"/>
      <c r="M38" t="n" s="31">
        <v>8.1442308E7</v>
      </c>
    </row>
    <row r="39">
      <c r="B39" s="10"/>
      <c r="C39" s="14"/>
      <c r="D39" s="18" t="s">
        <v>181</v>
      </c>
      <c r="E39" t="n" s="30">
        <v>7013179.0</v>
      </c>
      <c r="F39" t="n" s="30">
        <v>7.5E7</v>
      </c>
      <c r="G39" s="49" t="n"/>
      <c r="H39" s="49" t="n"/>
      <c r="I39" s="49" t="n"/>
      <c r="J39" s="49" t="n"/>
      <c r="K39" s="49" t="n"/>
      <c r="L39" s="49" t="n"/>
      <c r="M39" t="n" s="30">
        <v>8.2013179E7</v>
      </c>
    </row>
    <row r="40">
      <c r="B40" s="10"/>
      <c r="C40" s="14"/>
      <c r="D40" s="19" t="s">
        <v>182</v>
      </c>
      <c r="E40" t="n" s="31">
        <v>6.1411341E7</v>
      </c>
      <c r="F40" t="n" s="31">
        <v>1.622093E7</v>
      </c>
      <c r="G40" t="n" s="31">
        <v>4141368.0</v>
      </c>
      <c r="H40" s="50" t="n"/>
      <c r="I40" s="50" t="n"/>
      <c r="J40" s="50" t="n"/>
      <c r="K40" s="50" t="n"/>
      <c r="L40" s="50" t="n"/>
      <c r="M40" t="n" s="31">
        <v>8.1773639E7</v>
      </c>
    </row>
    <row r="41">
      <c r="B41" s="10"/>
      <c r="C41" s="14"/>
      <c r="D41" s="55" t="s">
        <v>183</v>
      </c>
      <c r="E41" t="n" s="30">
        <f>E37-E38-E40+E39</f>
      </c>
      <c r="F41" t="n" s="30">
        <f>F37-F38-F40+F39</f>
      </c>
      <c r="G41" t="n" s="30">
        <f>G37-G38-G40+G39</f>
      </c>
      <c r="H41" s="49" t="n">
        <f>H37-H38-H40+H39</f>
      </c>
      <c r="I41" s="49" t="n">
        <f>I37-I38-I40+I39</f>
      </c>
      <c r="J41" s="49" t="n">
        <f>J37-J38-J40+J39</f>
      </c>
      <c r="K41" s="49" t="n">
        <f>K37-K38-K40+K39</f>
      </c>
      <c r="L41" s="49" t="n">
        <f>L37-L38-L40+L39</f>
      </c>
      <c r="M41" t="n" s="30">
        <f>M37-M38-M40+M39</f>
      </c>
    </row>
    <row r="42">
      <c r="B42" s="10"/>
      <c r="C42" s="14"/>
      <c r="D42" s="19" t="s">
        <v>184</v>
      </c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</row>
    <row r="43">
      <c r="B43" s="10"/>
      <c r="C43" s="14"/>
      <c r="D43" s="18" t="s">
        <v>185</v>
      </c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</row>
    <row r="44">
      <c r="B44" s="10"/>
      <c r="C44" s="14"/>
      <c r="D44" s="19" t="s">
        <v>186</v>
      </c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</row>
    <row r="45">
      <c r="B45" s="10"/>
      <c r="C45" s="14"/>
      <c r="D45" s="55" t="s">
        <v>187</v>
      </c>
      <c r="E45" t="n" s="30">
        <f>E41+E42-E43+E44</f>
      </c>
      <c r="F45" t="n" s="30">
        <f>F41+F42-F43+F44</f>
      </c>
      <c r="G45" t="n" s="30">
        <f>G41+G42-G43+G44</f>
      </c>
      <c r="H45" s="49" t="n">
        <f>H41+H42-H43+H44</f>
      </c>
      <c r="I45" s="49" t="n">
        <f>I41+I42-I43+I44</f>
      </c>
      <c r="J45" s="49" t="n">
        <f>J41+J42-J43+J44</f>
      </c>
      <c r="K45" s="49" t="n">
        <f>K41+K42-K43+K44</f>
      </c>
      <c r="L45" s="49" t="n">
        <f>L41+L42-L43+L44</f>
      </c>
      <c r="M45" t="n" s="30">
        <f>M41+M42-M43+M44</f>
      </c>
    </row>
    <row r="46">
      <c r="B46" s="10"/>
      <c r="C46" s="14"/>
      <c r="D46" s="19" t="s">
        <v>188</v>
      </c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</row>
    <row r="47">
      <c r="B47" s="10"/>
      <c r="C47" s="14"/>
      <c r="D47" s="55" t="s">
        <v>189</v>
      </c>
      <c r="E47" t="n" s="30">
        <f>E45-E46</f>
      </c>
      <c r="F47" t="n" s="30">
        <f>F45-F46</f>
      </c>
      <c r="G47" t="n" s="30">
        <f>G45-G46</f>
      </c>
      <c r="H47" s="49" t="n">
        <f>H45-H46</f>
      </c>
      <c r="I47" s="49" t="n">
        <f>I45-I46</f>
      </c>
      <c r="J47" s="49" t="n">
        <f>J45-J46</f>
      </c>
      <c r="K47" s="49" t="n">
        <f>K45-K46</f>
      </c>
      <c r="L47" s="49" t="n">
        <f>L45-L46</f>
      </c>
      <c r="M47" t="n" s="30">
        <f>M45-M46</f>
      </c>
    </row>
    <row r="48">
      <c r="B48" s="10"/>
      <c r="C48" s="14"/>
      <c r="D48" s="19" t="s">
        <v>190</v>
      </c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</row>
    <row r="49">
      <c r="B49" s="11"/>
      <c r="C49" s="15"/>
      <c r="D49" s="55" t="s">
        <v>191</v>
      </c>
      <c r="E49" t="n" s="51">
        <f>E47+E48</f>
      </c>
      <c r="F49" t="n" s="51">
        <f>F47+F48</f>
      </c>
      <c r="G49" t="n" s="51">
        <f>G47+G48</f>
      </c>
      <c r="H49" s="52" t="n">
        <f>H47+H48</f>
      </c>
      <c r="I49" s="52" t="n">
        <f>I47+I48</f>
      </c>
      <c r="J49" s="52" t="n">
        <f>J47+J48</f>
      </c>
      <c r="K49" s="52" t="n">
        <f>K47+K48</f>
      </c>
      <c r="L49" s="52" t="n">
        <f>L47+L48</f>
      </c>
      <c r="M49" t="n" s="51">
        <f>M47+M48</f>
      </c>
    </row>
  </sheetData>
  <mergeCells>
    <mergeCell ref="E10:M10"/>
    <mergeCell ref="B12:D12"/>
    <mergeCell ref="C13:D13"/>
    <mergeCell ref="E31:M31"/>
    <mergeCell ref="B33:D33"/>
    <mergeCell ref="C34:D34"/>
  </mergeCells>
  <hyperlinks>
    <hyperlink location="'Indice'!A1" ref="B2"/>
  </hyperlinks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B2:M55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2.70703125" customWidth="true"/>
    <col min="5" max="5" width="50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  <col min="11" max="11" width="15.0" customWidth="true"/>
    <col min="12" max="12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192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12</v>
      </c>
    </row>
    <row r="10">
      <c r="F10" t="s" s="4">
        <v>193</v>
      </c>
      <c r="G10" s="33"/>
      <c r="H10" s="33"/>
      <c r="I10" s="33"/>
      <c r="J10" s="33"/>
      <c r="K10" s="33"/>
      <c r="L10" s="34"/>
    </row>
    <row r="11">
      <c r="F11" t="s" s="36">
        <v>194</v>
      </c>
      <c r="G11" s="58"/>
      <c r="H11" s="58"/>
      <c r="I11" s="58"/>
      <c r="J11" s="58"/>
      <c r="K11" s="58"/>
      <c r="L11" s="59"/>
    </row>
    <row r="12">
      <c r="F12" t="s" s="5">
        <v>195</v>
      </c>
      <c r="G12" t="s" s="36">
        <v>196</v>
      </c>
      <c r="H12" s="58"/>
      <c r="I12" s="58"/>
      <c r="J12" s="58"/>
      <c r="K12" s="59"/>
      <c r="L12" s="62"/>
    </row>
    <row r="13">
      <c r="F13" s="39"/>
      <c r="G13" t="s" s="6">
        <v>197</v>
      </c>
      <c r="H13" t="s" s="38">
        <v>198</v>
      </c>
      <c r="I13" t="s" s="6">
        <v>199</v>
      </c>
      <c r="J13" t="s" s="38">
        <v>200</v>
      </c>
      <c r="K13" s="61"/>
      <c r="L13" s="63"/>
    </row>
    <row r="14" ht="28.0" customHeight="true">
      <c r="B14" s="7" t="s">
        <v>201</v>
      </c>
      <c r="C14" s="8"/>
      <c r="D14" s="8"/>
      <c r="E14" s="9"/>
      <c r="F14" s="23"/>
      <c r="G14" s="23"/>
      <c r="H14" s="23"/>
      <c r="I14" s="23"/>
      <c r="J14" s="23"/>
      <c r="K14" s="23"/>
      <c r="L14" s="23"/>
    </row>
    <row r="15" ht="28.0" customHeight="true">
      <c r="B15" s="10"/>
      <c r="C15" s="12" t="s">
        <v>202</v>
      </c>
      <c r="D15" s="29"/>
      <c r="E15" s="13"/>
      <c r="F15" s="22"/>
      <c r="G15" s="22"/>
      <c r="H15" s="22"/>
      <c r="I15" s="22"/>
      <c r="J15" s="22"/>
      <c r="K15" s="22"/>
      <c r="L15" s="22"/>
    </row>
    <row r="16" ht="28.0" customHeight="true">
      <c r="B16" s="10"/>
      <c r="C16" s="14"/>
      <c r="D16" s="7" t="s">
        <v>203</v>
      </c>
      <c r="E16" s="9"/>
      <c r="F16" s="23"/>
      <c r="G16" s="23"/>
      <c r="H16" s="23"/>
      <c r="I16" s="23"/>
      <c r="J16" s="23"/>
      <c r="K16" s="23"/>
      <c r="L16" s="23"/>
    </row>
    <row r="17">
      <c r="B17" s="10"/>
      <c r="C17" s="14"/>
      <c r="D17" s="10"/>
      <c r="E17" s="19" t="s">
        <v>204</v>
      </c>
      <c r="F17" s="49" t="n"/>
      <c r="G17" s="49" t="n"/>
      <c r="H17" t="n" s="30">
        <v>4.3792194E7</v>
      </c>
      <c r="I17" s="49" t="n"/>
      <c r="J17" s="49" t="n"/>
      <c r="K17" t="n" s="30">
        <v>4.3792194E7</v>
      </c>
      <c r="L17" t="n" s="30">
        <v>4.3792194E7</v>
      </c>
    </row>
    <row r="18">
      <c r="B18" s="10"/>
      <c r="C18" s="14"/>
      <c r="D18" s="10"/>
      <c r="E18" s="18" t="s">
        <v>205</v>
      </c>
      <c r="F18" s="50" t="n"/>
      <c r="G18" s="50" t="n"/>
      <c r="H18" t="n" s="31">
        <v>2.2244453E7</v>
      </c>
      <c r="I18" s="50" t="n"/>
      <c r="J18" s="50" t="n"/>
      <c r="K18" t="n" s="31">
        <v>2.2244453E7</v>
      </c>
      <c r="L18" t="n" s="31">
        <v>2.2244453E7</v>
      </c>
    </row>
    <row r="19">
      <c r="B19" s="10"/>
      <c r="C19" s="14"/>
      <c r="D19" s="10"/>
      <c r="E19" s="19" t="s">
        <v>206</v>
      </c>
      <c r="F19" s="49" t="n"/>
      <c r="G19" s="49" t="n"/>
      <c r="H19" t="n" s="30">
        <v>2.831543E7</v>
      </c>
      <c r="I19" s="49" t="n"/>
      <c r="J19" s="49" t="n"/>
      <c r="K19" t="n" s="30">
        <v>2.831543E7</v>
      </c>
      <c r="L19" t="n" s="30">
        <v>2.831543E7</v>
      </c>
    </row>
    <row r="20">
      <c r="B20" s="10"/>
      <c r="C20" s="14"/>
      <c r="D20" s="10"/>
      <c r="E20" s="18" t="s">
        <v>207</v>
      </c>
      <c r="F20" s="50" t="n"/>
      <c r="G20" s="50" t="n"/>
      <c r="H20" s="50" t="n"/>
      <c r="I20" s="50" t="n"/>
      <c r="J20" s="50" t="n"/>
      <c r="K20" s="50" t="n"/>
      <c r="L20" s="50" t="n"/>
    </row>
    <row r="21">
      <c r="B21" s="10"/>
      <c r="C21" s="14"/>
      <c r="D21" s="10"/>
      <c r="E21" s="19" t="s">
        <v>208</v>
      </c>
      <c r="F21" s="49" t="n"/>
      <c r="G21" s="49" t="n"/>
      <c r="H21" s="49" t="n"/>
      <c r="I21" s="49" t="n"/>
      <c r="J21" s="49" t="n"/>
      <c r="K21" s="49" t="n"/>
      <c r="L21" s="49" t="n"/>
    </row>
    <row r="22">
      <c r="B22" s="10"/>
      <c r="C22" s="14"/>
      <c r="D22" s="10"/>
      <c r="E22" s="18" t="s">
        <v>209</v>
      </c>
      <c r="F22" s="50" t="n"/>
      <c r="G22" s="50" t="n"/>
      <c r="H22" s="50" t="n"/>
      <c r="I22" s="50" t="n"/>
      <c r="J22" s="50" t="n"/>
      <c r="K22" s="50" t="n"/>
      <c r="L22" s="50" t="n"/>
    </row>
    <row r="23">
      <c r="B23" s="10"/>
      <c r="C23" s="14"/>
      <c r="D23" s="10"/>
      <c r="E23" s="19" t="s">
        <v>210</v>
      </c>
      <c r="F23" s="49" t="n"/>
      <c r="G23" s="49" t="n"/>
      <c r="H23" s="49" t="n"/>
      <c r="I23" s="49" t="n"/>
      <c r="J23" s="49" t="n"/>
      <c r="K23" s="49" t="n"/>
      <c r="L23" s="49" t="n"/>
    </row>
    <row r="24">
      <c r="B24" s="10"/>
      <c r="C24" s="14"/>
      <c r="D24" s="10"/>
      <c r="E24" s="18" t="s">
        <v>211</v>
      </c>
      <c r="F24" s="50" t="n"/>
      <c r="G24" s="50" t="n"/>
      <c r="H24" s="50" t="n"/>
      <c r="I24" s="50" t="n"/>
      <c r="J24" s="50" t="n"/>
      <c r="K24" s="50" t="n"/>
      <c r="L24" s="50" t="n"/>
    </row>
    <row r="25">
      <c r="B25" s="10"/>
      <c r="C25" s="14"/>
      <c r="D25" s="11"/>
      <c r="E25" s="19" t="s">
        <v>212</v>
      </c>
      <c r="F25" s="49" t="n">
        <f>SUM(F17:F23)-F24</f>
      </c>
      <c r="G25" s="49" t="n">
        <f>SUM(G17:G23)-G24</f>
      </c>
      <c r="H25" t="n" s="30">
        <f>SUM(H17:H23)-H24</f>
      </c>
      <c r="I25" s="49" t="n">
        <f>SUM(I17:I23)-I24</f>
      </c>
      <c r="J25" s="49" t="n">
        <f>SUM(J17:J23)-J24</f>
      </c>
      <c r="K25" t="n" s="30">
        <f>SUM(K17:K23)-K24</f>
      </c>
      <c r="L25" t="n" s="30">
        <f>SUM(L17:L23)-L24</f>
      </c>
    </row>
    <row r="26" ht="28.0" customHeight="true">
      <c r="B26" s="10"/>
      <c r="C26" s="14"/>
      <c r="D26" s="7" t="s">
        <v>213</v>
      </c>
      <c r="E26" s="9"/>
      <c r="F26" s="23"/>
      <c r="G26" s="23"/>
      <c r="H26" s="23"/>
      <c r="I26" s="23"/>
      <c r="J26" s="23"/>
      <c r="K26" s="23"/>
      <c r="L26" s="23"/>
    </row>
    <row r="27">
      <c r="B27" s="10"/>
      <c r="C27" s="14"/>
      <c r="D27" s="10"/>
      <c r="E27" s="19" t="s">
        <v>214</v>
      </c>
      <c r="F27" s="49" t="n"/>
      <c r="G27" s="49" t="n"/>
      <c r="H27" t="n" s="30">
        <v>118030.0</v>
      </c>
      <c r="I27" s="49" t="n"/>
      <c r="J27" s="49" t="n"/>
      <c r="K27" t="n" s="30">
        <v>118030.0</v>
      </c>
      <c r="L27" t="n" s="30">
        <v>118030.0</v>
      </c>
    </row>
    <row r="28">
      <c r="B28" s="10"/>
      <c r="C28" s="14"/>
      <c r="D28" s="10"/>
      <c r="E28" s="18" t="s">
        <v>215</v>
      </c>
      <c r="F28" s="50" t="n"/>
      <c r="G28" s="50" t="n"/>
      <c r="H28" s="50" t="n"/>
      <c r="I28" s="50" t="n"/>
      <c r="J28" s="50" t="n"/>
      <c r="K28" s="50" t="n"/>
      <c r="L28" s="50" t="n"/>
    </row>
    <row r="29">
      <c r="B29" s="10"/>
      <c r="C29" s="14"/>
      <c r="D29" s="11"/>
      <c r="E29" s="64" t="s">
        <v>216</v>
      </c>
      <c r="F29" s="49" t="n">
        <f>-F28+F27</f>
      </c>
      <c r="G29" s="49" t="n">
        <f>-G28+G27</f>
      </c>
      <c r="H29" t="n" s="30">
        <f>-H28+H27</f>
      </c>
      <c r="I29" s="49" t="n">
        <f>-I28+I27</f>
      </c>
      <c r="J29" s="49" t="n">
        <f>-J28+J27</f>
      </c>
      <c r="K29" t="n" s="30">
        <f>-K28+K27</f>
      </c>
      <c r="L29" t="n" s="30">
        <f>-L28+L27</f>
      </c>
    </row>
    <row r="30">
      <c r="B30" s="10"/>
      <c r="C30" s="14"/>
      <c r="D30" s="7" t="s">
        <v>217</v>
      </c>
      <c r="E30" s="9"/>
      <c r="F30" s="23"/>
      <c r="G30" s="23"/>
      <c r="H30" s="23"/>
      <c r="I30" s="23"/>
      <c r="J30" s="23"/>
      <c r="K30" s="23"/>
      <c r="L30" s="23"/>
    </row>
    <row r="31">
      <c r="B31" s="10"/>
      <c r="C31" s="14"/>
      <c r="D31" s="10"/>
      <c r="E31" s="19" t="s">
        <v>218</v>
      </c>
      <c r="F31" s="49" t="n"/>
      <c r="G31" s="49" t="n"/>
      <c r="H31" t="n" s="30">
        <v>1.0011109E7</v>
      </c>
      <c r="I31" s="49" t="n"/>
      <c r="J31" s="49" t="n"/>
      <c r="K31" t="n" s="30">
        <v>1.0011109E7</v>
      </c>
      <c r="L31" t="n" s="30">
        <v>1.0011109E7</v>
      </c>
    </row>
    <row r="32">
      <c r="B32" s="10"/>
      <c r="C32" s="14"/>
      <c r="D32" s="10"/>
      <c r="E32" s="18" t="s">
        <v>219</v>
      </c>
      <c r="F32" s="50" t="n"/>
      <c r="G32" s="50" t="n"/>
      <c r="H32" s="50" t="n"/>
      <c r="I32" s="50" t="n"/>
      <c r="J32" s="50" t="n"/>
      <c r="K32" s="50" t="n"/>
      <c r="L32" s="50" t="n"/>
    </row>
    <row r="33">
      <c r="B33" s="10"/>
      <c r="C33" s="14"/>
      <c r="D33" s="11"/>
      <c r="E33" s="19" t="s">
        <v>220</v>
      </c>
      <c r="F33" s="49" t="n">
        <f>F31-F32</f>
      </c>
      <c r="G33" s="49" t="n">
        <f>G31-G32</f>
      </c>
      <c r="H33" t="n" s="30">
        <f>H31-H32</f>
      </c>
      <c r="I33" s="49" t="n">
        <f>I31-I32</f>
      </c>
      <c r="J33" s="49" t="n">
        <f>J31-J32</f>
      </c>
      <c r="K33" t="n" s="30">
        <f>K31-K32</f>
      </c>
      <c r="L33" t="n" s="30">
        <f>L31-L32</f>
      </c>
    </row>
    <row r="34" ht="42.0" customHeight="true">
      <c r="B34" s="10"/>
      <c r="C34" s="15"/>
      <c r="D34" s="11" t="s">
        <v>221</v>
      </c>
      <c r="E34" s="9"/>
      <c r="F34" s="50" t="n">
        <f>F25+F29+F33</f>
      </c>
      <c r="G34" s="50" t="n">
        <f>G25+G29+G33</f>
      </c>
      <c r="H34" t="n" s="31">
        <f>H25+H29+H33</f>
      </c>
      <c r="I34" s="50" t="n">
        <f>I25+I29+I33</f>
      </c>
      <c r="J34" s="50" t="n">
        <f>J25+J29+J33</f>
      </c>
      <c r="K34" t="n" s="31">
        <f>K25+K29+K33</f>
      </c>
      <c r="L34" t="n" s="31">
        <f>L25+L29+L33</f>
      </c>
    </row>
    <row r="35" ht="28.0" customHeight="true">
      <c r="B35" s="10"/>
      <c r="C35" s="12" t="s">
        <v>222</v>
      </c>
      <c r="D35" s="29"/>
      <c r="E35" s="13"/>
      <c r="F35" s="22"/>
      <c r="G35" s="22"/>
      <c r="H35" s="22"/>
      <c r="I35" s="22"/>
      <c r="J35" s="22"/>
      <c r="K35" s="22"/>
      <c r="L35" s="22"/>
    </row>
    <row r="36" ht="28.0" customHeight="true">
      <c r="B36" s="10"/>
      <c r="C36" s="14"/>
      <c r="D36" s="7" t="s">
        <v>223</v>
      </c>
      <c r="E36" s="9"/>
      <c r="F36" s="23"/>
      <c r="G36" s="23"/>
      <c r="H36" s="23"/>
      <c r="I36" s="23"/>
      <c r="J36" s="23"/>
      <c r="K36" s="23"/>
      <c r="L36" s="23"/>
    </row>
    <row r="37">
      <c r="B37" s="10"/>
      <c r="C37" s="14"/>
      <c r="D37" s="10"/>
      <c r="E37" s="19" t="s">
        <v>204</v>
      </c>
      <c r="F37" s="49" t="n"/>
      <c r="G37" s="49" t="n"/>
      <c r="H37" s="49" t="n"/>
      <c r="I37" s="49" t="n"/>
      <c r="J37" s="49" t="n"/>
      <c r="K37" s="49" t="n"/>
      <c r="L37" s="49" t="n"/>
    </row>
    <row r="38">
      <c r="B38" s="10"/>
      <c r="C38" s="14"/>
      <c r="D38" s="10"/>
      <c r="E38" s="18" t="s">
        <v>205</v>
      </c>
      <c r="F38" s="50" t="n"/>
      <c r="G38" s="50" t="n"/>
      <c r="H38" s="50" t="n"/>
      <c r="I38" s="50" t="n"/>
      <c r="J38" s="50" t="n"/>
      <c r="K38" s="50" t="n"/>
      <c r="L38" s="50" t="n"/>
    </row>
    <row r="39">
      <c r="B39" s="10"/>
      <c r="C39" s="14"/>
      <c r="D39" s="10"/>
      <c r="E39" s="19" t="s">
        <v>206</v>
      </c>
      <c r="F39" s="49" t="n"/>
      <c r="G39" s="49" t="n"/>
      <c r="H39" s="49" t="n"/>
      <c r="I39" s="49" t="n"/>
      <c r="J39" s="49" t="n"/>
      <c r="K39" s="49" t="n"/>
      <c r="L39" s="49" t="n"/>
    </row>
    <row r="40">
      <c r="B40" s="10"/>
      <c r="C40" s="14"/>
      <c r="D40" s="10"/>
      <c r="E40" s="18" t="s">
        <v>207</v>
      </c>
      <c r="F40" s="50" t="n"/>
      <c r="G40" s="50" t="n"/>
      <c r="H40" s="50" t="n"/>
      <c r="I40" s="50" t="n"/>
      <c r="J40" s="50" t="n"/>
      <c r="K40" s="50" t="n"/>
      <c r="L40" s="50" t="n"/>
    </row>
    <row r="41">
      <c r="B41" s="10"/>
      <c r="C41" s="14"/>
      <c r="D41" s="10"/>
      <c r="E41" s="19" t="s">
        <v>208</v>
      </c>
      <c r="F41" s="49" t="n"/>
      <c r="G41" s="49" t="n"/>
      <c r="H41" s="49" t="n"/>
      <c r="I41" s="49" t="n"/>
      <c r="J41" s="49" t="n"/>
      <c r="K41" s="49" t="n"/>
      <c r="L41" s="49" t="n"/>
    </row>
    <row r="42">
      <c r="B42" s="10"/>
      <c r="C42" s="14"/>
      <c r="D42" s="10"/>
      <c r="E42" s="18" t="s">
        <v>209</v>
      </c>
      <c r="F42" s="50" t="n"/>
      <c r="G42" s="50" t="n"/>
      <c r="H42" s="50" t="n"/>
      <c r="I42" s="50" t="n"/>
      <c r="J42" s="50" t="n"/>
      <c r="K42" s="50" t="n"/>
      <c r="L42" s="50" t="n"/>
    </row>
    <row r="43">
      <c r="B43" s="10"/>
      <c r="C43" s="14"/>
      <c r="D43" s="10"/>
      <c r="E43" s="19" t="s">
        <v>210</v>
      </c>
      <c r="F43" s="49" t="n"/>
      <c r="G43" s="49" t="n"/>
      <c r="H43" s="49" t="n"/>
      <c r="I43" s="49" t="n"/>
      <c r="J43" s="49" t="n"/>
      <c r="K43" s="49" t="n"/>
      <c r="L43" s="49" t="n"/>
    </row>
    <row r="44">
      <c r="B44" s="10"/>
      <c r="C44" s="14"/>
      <c r="D44" s="10"/>
      <c r="E44" s="18" t="s">
        <v>224</v>
      </c>
      <c r="F44" s="50" t="n"/>
      <c r="G44" s="50" t="n"/>
      <c r="H44" s="50" t="n"/>
      <c r="I44" s="50" t="n"/>
      <c r="J44" s="50" t="n"/>
      <c r="K44" s="50" t="n"/>
      <c r="L44" s="50" t="n"/>
    </row>
    <row r="45">
      <c r="B45" s="10"/>
      <c r="C45" s="14"/>
      <c r="D45" s="11"/>
      <c r="E45" s="19" t="s">
        <v>225</v>
      </c>
      <c r="F45" s="49" t="n">
        <f>SUM(F37:F43)-F44</f>
      </c>
      <c r="G45" s="49" t="n">
        <f>SUM(G37:G43)-G44</f>
      </c>
      <c r="H45" s="49" t="n">
        <f>SUM(H37:H43)-H44</f>
      </c>
      <c r="I45" s="49" t="n">
        <f>SUM(I37:I43)-I44</f>
      </c>
      <c r="J45" s="49" t="n">
        <f>SUM(J37:J43)-J44</f>
      </c>
      <c r="K45" s="49" t="n">
        <f>SUM(K37:K43)-K44</f>
      </c>
      <c r="L45" s="49" t="n">
        <f>SUM(L37:L43)-L44</f>
      </c>
    </row>
    <row r="46" ht="28.0" customHeight="true">
      <c r="B46" s="10"/>
      <c r="C46" s="14"/>
      <c r="D46" s="7" t="s">
        <v>226</v>
      </c>
      <c r="E46" s="9"/>
      <c r="F46" s="23"/>
      <c r="G46" s="23"/>
      <c r="H46" s="23"/>
      <c r="I46" s="23"/>
      <c r="J46" s="23"/>
      <c r="K46" s="23"/>
      <c r="L46" s="23"/>
    </row>
    <row r="47">
      <c r="B47" s="10"/>
      <c r="C47" s="14"/>
      <c r="D47" s="10"/>
      <c r="E47" s="19" t="s">
        <v>227</v>
      </c>
      <c r="F47" s="49" t="n"/>
      <c r="G47" s="49" t="n"/>
      <c r="H47" s="49" t="n"/>
      <c r="I47" s="49" t="n"/>
      <c r="J47" s="49" t="n"/>
      <c r="K47" s="49" t="n"/>
      <c r="L47" s="49" t="n"/>
    </row>
    <row r="48">
      <c r="B48" s="10"/>
      <c r="C48" s="14"/>
      <c r="D48" s="10"/>
      <c r="E48" s="18" t="s">
        <v>228</v>
      </c>
      <c r="F48" s="50" t="n"/>
      <c r="G48" s="50" t="n"/>
      <c r="H48" s="50" t="n"/>
      <c r="I48" s="50" t="n"/>
      <c r="J48" s="50" t="n"/>
      <c r="K48" s="50" t="n"/>
      <c r="L48" s="50" t="n"/>
    </row>
    <row r="49">
      <c r="B49" s="10"/>
      <c r="C49" s="14"/>
      <c r="D49" s="11"/>
      <c r="E49" s="64" t="s">
        <v>229</v>
      </c>
      <c r="F49" s="49" t="n">
        <f>F47-F48</f>
      </c>
      <c r="G49" s="49" t="n">
        <f>G47-G48</f>
      </c>
      <c r="H49" s="49" t="n">
        <f>H47-H48</f>
      </c>
      <c r="I49" s="49" t="n">
        <f>I47-I48</f>
      </c>
      <c r="J49" s="49" t="n">
        <f>J47-J48</f>
      </c>
      <c r="K49" s="49" t="n">
        <f>K47-K48</f>
      </c>
      <c r="L49" s="49" t="n">
        <f>L47-L48</f>
      </c>
    </row>
    <row r="50">
      <c r="B50" s="10"/>
      <c r="C50" s="14"/>
      <c r="D50" s="7" t="s">
        <v>230</v>
      </c>
      <c r="E50" s="9"/>
      <c r="F50" s="23"/>
      <c r="G50" s="23"/>
      <c r="H50" s="23"/>
      <c r="I50" s="23"/>
      <c r="J50" s="23"/>
      <c r="K50" s="23"/>
      <c r="L50" s="23"/>
    </row>
    <row r="51">
      <c r="B51" s="10"/>
      <c r="C51" s="14"/>
      <c r="D51" s="10"/>
      <c r="E51" s="19" t="s">
        <v>231</v>
      </c>
      <c r="F51" s="49" t="n"/>
      <c r="G51" s="49" t="n"/>
      <c r="H51" s="49" t="n"/>
      <c r="I51" s="49" t="n"/>
      <c r="J51" s="49" t="n"/>
      <c r="K51" s="49" t="n"/>
      <c r="L51" s="49" t="n"/>
    </row>
    <row r="52">
      <c r="B52" s="10"/>
      <c r="C52" s="14"/>
      <c r="D52" s="10"/>
      <c r="E52" s="18" t="s">
        <v>232</v>
      </c>
      <c r="F52" s="50" t="n"/>
      <c r="G52" s="50" t="n"/>
      <c r="H52" s="50" t="n"/>
      <c r="I52" s="50" t="n"/>
      <c r="J52" s="50" t="n"/>
      <c r="K52" s="50" t="n"/>
      <c r="L52" s="50" t="n"/>
    </row>
    <row r="53">
      <c r="B53" s="10"/>
      <c r="C53" s="14"/>
      <c r="D53" s="11"/>
      <c r="E53" s="19" t="s">
        <v>233</v>
      </c>
      <c r="F53" s="49" t="n">
        <f>F51-F52</f>
      </c>
      <c r="G53" s="49" t="n">
        <f>G51-G52</f>
      </c>
      <c r="H53" s="49" t="n">
        <f>H51-H52</f>
      </c>
      <c r="I53" s="49" t="n">
        <f>I51-I52</f>
      </c>
      <c r="J53" s="49" t="n">
        <f>J51-J52</f>
      </c>
      <c r="K53" s="49" t="n">
        <f>K51-K52</f>
      </c>
      <c r="L53" s="49" t="n">
        <f>L51-L52</f>
      </c>
    </row>
    <row r="54" ht="42.0" customHeight="true">
      <c r="B54" s="10"/>
      <c r="C54" s="15"/>
      <c r="D54" s="11" t="s">
        <v>234</v>
      </c>
      <c r="E54" s="9"/>
      <c r="F54" s="50" t="n">
        <f>F49+F45+F53</f>
      </c>
      <c r="G54" s="50" t="n">
        <f>G49+G45+G53</f>
      </c>
      <c r="H54" s="50" t="n">
        <f>H49+H45+H53</f>
      </c>
      <c r="I54" s="50" t="n">
        <f>I49+I45+I53</f>
      </c>
      <c r="J54" s="50" t="n">
        <f>J49+J45+J53</f>
      </c>
      <c r="K54" s="50" t="n">
        <f>K49+K45+K53</f>
      </c>
      <c r="L54" s="50" t="n">
        <f>L49+L45+L53</f>
      </c>
    </row>
    <row r="55" ht="28.0" customHeight="true">
      <c r="B55" s="11"/>
      <c r="C55" s="44" t="s">
        <v>235</v>
      </c>
      <c r="D55" s="42"/>
      <c r="E55" s="43"/>
      <c r="F55" s="52" t="n">
        <f>F34+F54</f>
      </c>
      <c r="G55" s="52" t="n">
        <f>G34+G54</f>
      </c>
      <c r="H55" t="n" s="51">
        <f>H34+H54</f>
      </c>
      <c r="I55" s="52" t="n">
        <f>I34+I54</f>
      </c>
      <c r="J55" s="52" t="n">
        <f>J34+J54</f>
      </c>
      <c r="K55" t="n" s="51">
        <f>K34+K54</f>
      </c>
      <c r="L55" t="n" s="51">
        <f>L34+L54</f>
      </c>
    </row>
  </sheetData>
  <mergeCells>
    <mergeCell ref="F10:L10"/>
    <mergeCell ref="F11:L11"/>
    <mergeCell ref="F12:F13"/>
    <mergeCell ref="G12:K12"/>
    <mergeCell ref="B14:E14"/>
    <mergeCell ref="C15:E15"/>
    <mergeCell ref="D16:E16"/>
    <mergeCell ref="D26:E26"/>
    <mergeCell ref="D30:E30"/>
    <mergeCell ref="D34:E34"/>
    <mergeCell ref="C35:E35"/>
    <mergeCell ref="D36:E36"/>
    <mergeCell ref="D46:E46"/>
    <mergeCell ref="D50:E50"/>
    <mergeCell ref="D54:E54"/>
    <mergeCell ref="C55:E55"/>
  </mergeCells>
  <hyperlinks>
    <hyperlink location="'Indice'!A1" ref="B2"/>
  </hyperlink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B2:K20"/>
  <sheetViews>
    <sheetView workbookViewId="0" showGridLines="false"/>
  </sheetViews>
  <sheetFormatPr defaultRowHeight="15.0"/>
  <cols>
    <col min="2" max="2" width="2.70703125" customWidth="true"/>
    <col min="3" max="3" width="50.0" customWidth="true"/>
    <col min="4" max="4" width="15.0" customWidth="true"/>
    <col min="5" max="5" width="15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236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12</v>
      </c>
    </row>
    <row r="10">
      <c r="D10" t="s" s="4">
        <v>237</v>
      </c>
      <c r="E10" s="33"/>
      <c r="F10" s="33"/>
      <c r="G10" s="33"/>
      <c r="H10" s="33"/>
      <c r="I10" s="33"/>
      <c r="J10" s="34"/>
    </row>
    <row r="11">
      <c r="D11" t="s" s="36">
        <v>194</v>
      </c>
      <c r="E11" s="58"/>
      <c r="F11" s="58"/>
      <c r="G11" s="58"/>
      <c r="H11" s="58"/>
      <c r="I11" s="58"/>
      <c r="J11" s="59"/>
    </row>
    <row r="12">
      <c r="D12" t="s" s="5">
        <v>195</v>
      </c>
      <c r="E12" t="s" s="36">
        <v>196</v>
      </c>
      <c r="F12" s="58"/>
      <c r="G12" s="58"/>
      <c r="H12" s="58"/>
      <c r="I12" s="59"/>
      <c r="J12" s="62"/>
    </row>
    <row r="13">
      <c r="D13" s="39"/>
      <c r="E13" t="s" s="6">
        <v>197</v>
      </c>
      <c r="F13" t="s" s="38">
        <v>198</v>
      </c>
      <c r="G13" t="s" s="6">
        <v>199</v>
      </c>
      <c r="H13" t="s" s="38">
        <v>200</v>
      </c>
      <c r="I13" s="61"/>
      <c r="J13" s="63"/>
    </row>
    <row r="14" ht="28.0" customHeight="true">
      <c r="B14" s="7" t="s">
        <v>238</v>
      </c>
      <c r="C14" s="9"/>
      <c r="D14" s="23"/>
      <c r="E14" s="23"/>
      <c r="F14" s="23"/>
      <c r="G14" s="23"/>
      <c r="H14" s="23"/>
      <c r="I14" s="23"/>
      <c r="J14" s="23"/>
    </row>
    <row r="15">
      <c r="B15" s="10"/>
      <c r="C15" s="19" t="s">
        <v>239</v>
      </c>
      <c r="D15" t="n" s="30">
        <v>3.5214477E7</v>
      </c>
      <c r="E15" s="49" t="n"/>
      <c r="F15" s="49" t="n"/>
      <c r="G15" s="49" t="n"/>
      <c r="H15" s="49" t="n"/>
      <c r="I15" s="49" t="n"/>
      <c r="J15" t="n" s="30">
        <v>3.5214477E7</v>
      </c>
    </row>
    <row r="16">
      <c r="B16" s="10"/>
      <c r="C16" s="18" t="s">
        <v>240</v>
      </c>
      <c r="D16" s="50" t="n"/>
      <c r="E16" s="50" t="n"/>
      <c r="F16" s="50" t="n"/>
      <c r="G16" s="50" t="n"/>
      <c r="H16" s="50" t="n"/>
      <c r="I16" s="50" t="n"/>
      <c r="J16" s="50" t="n"/>
    </row>
    <row r="17">
      <c r="B17" s="10"/>
      <c r="C17" s="64" t="s">
        <v>241</v>
      </c>
      <c r="D17" t="n" s="30">
        <f>D15+D16</f>
      </c>
      <c r="E17" s="49" t="n">
        <f>E15+E16</f>
      </c>
      <c r="F17" s="49" t="n">
        <f>F15+F16</f>
      </c>
      <c r="G17" s="49" t="n">
        <f>G15+G16</f>
      </c>
      <c r="H17" s="49" t="n">
        <f>H15+H16</f>
      </c>
      <c r="I17" s="49" t="n">
        <f>I15+I16</f>
      </c>
      <c r="J17" t="n" s="30">
        <f>J15+J16</f>
      </c>
    </row>
    <row r="18">
      <c r="B18" s="10"/>
      <c r="C18" s="18" t="s">
        <v>242</v>
      </c>
      <c r="D18" s="50" t="n"/>
      <c r="E18" s="50" t="n"/>
      <c r="F18" s="50" t="n"/>
      <c r="G18" s="50" t="n"/>
      <c r="H18" s="50" t="n"/>
      <c r="I18" s="50" t="n"/>
      <c r="J18" s="50" t="n"/>
    </row>
    <row r="19">
      <c r="B19" s="10"/>
      <c r="C19" s="19" t="s">
        <v>243</v>
      </c>
      <c r="D19" t="n" s="30">
        <v>1.4788927E7</v>
      </c>
      <c r="E19" s="49" t="n"/>
      <c r="F19" s="49" t="n"/>
      <c r="G19" s="49" t="n"/>
      <c r="H19" s="49" t="n"/>
      <c r="I19" s="49" t="n"/>
      <c r="J19" t="n" s="30">
        <v>1.4788927E7</v>
      </c>
    </row>
    <row r="20">
      <c r="B20" s="11"/>
      <c r="C20" s="55" t="s">
        <v>244</v>
      </c>
      <c r="D20" t="n" s="56">
        <f>SUM(D17:D19)</f>
      </c>
      <c r="E20" s="57" t="n">
        <f>SUM(E17:E19)</f>
      </c>
      <c r="F20" s="57" t="n">
        <f>SUM(F17:F19)</f>
      </c>
      <c r="G20" s="57" t="n">
        <f>SUM(G17:G19)</f>
      </c>
      <c r="H20" s="57" t="n">
        <f>SUM(H17:H19)</f>
      </c>
      <c r="I20" s="57" t="n">
        <f>SUM(I17:I19)</f>
      </c>
      <c r="J20" t="n" s="56">
        <f>SUM(J17:J19)</f>
      </c>
    </row>
  </sheetData>
  <mergeCells>
    <mergeCell ref="D10:J10"/>
    <mergeCell ref="D11:J11"/>
    <mergeCell ref="D12:D13"/>
    <mergeCell ref="E12:I12"/>
    <mergeCell ref="B14:C14"/>
  </mergeCells>
  <hyperlinks>
    <hyperlink location="'Indice'!A1" ref="B2"/>
  </hyperlinks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B2:O24"/>
  <sheetViews>
    <sheetView workbookViewId="0" showGridLines="false"/>
  </sheetViews>
  <sheetFormatPr defaultRowHeight="15.0"/>
  <cols>
    <col min="2" max="2" width="2.70703125" customWidth="true"/>
    <col min="3" max="3" width="2.70703125" customWidth="true"/>
    <col min="4" max="4" width="2.70703125" customWidth="true"/>
    <col min="5" max="5" width="50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  <col min="11" max="11" width="15.0" customWidth="true"/>
    <col min="12" max="12" width="15.0" customWidth="true"/>
    <col min="13" max="13" width="15.0" customWidth="true"/>
    <col min="14" max="14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245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12</v>
      </c>
    </row>
    <row r="10">
      <c r="F10" t="s" s="4">
        <v>90</v>
      </c>
      <c r="G10" s="33"/>
      <c r="H10" s="33"/>
      <c r="I10" s="33"/>
      <c r="J10" s="33"/>
      <c r="K10" s="33"/>
      <c r="L10" s="33"/>
      <c r="M10" s="33"/>
      <c r="N10" s="34"/>
    </row>
    <row r="11">
      <c r="F11" t="s" s="38">
        <v>91</v>
      </c>
      <c r="G11" t="s" s="6">
        <v>92</v>
      </c>
      <c r="H11" t="s" s="38">
        <v>93</v>
      </c>
      <c r="I11" t="s" s="6">
        <v>94</v>
      </c>
      <c r="J11" t="s" s="38">
        <v>95</v>
      </c>
      <c r="K11" t="s" s="6">
        <v>96</v>
      </c>
      <c r="L11" t="s" s="38">
        <v>97</v>
      </c>
      <c r="M11" t="s" s="6">
        <v>98</v>
      </c>
      <c r="N11" s="40"/>
    </row>
    <row r="12">
      <c r="B12" s="7" t="s">
        <v>246</v>
      </c>
      <c r="C12" s="8"/>
      <c r="D12" s="8"/>
      <c r="E12" s="9"/>
      <c r="F12" s="23"/>
      <c r="G12" s="23"/>
      <c r="H12" s="23"/>
      <c r="I12" s="23"/>
      <c r="J12" s="23"/>
      <c r="K12" s="23"/>
      <c r="L12" s="23"/>
      <c r="M12" s="23"/>
      <c r="N12" s="23"/>
    </row>
    <row r="13">
      <c r="B13" s="10"/>
      <c r="C13" s="12" t="s">
        <v>247</v>
      </c>
      <c r="D13" s="29"/>
      <c r="E13" s="13"/>
      <c r="F13" s="22"/>
      <c r="G13" s="22"/>
      <c r="H13" s="22"/>
      <c r="I13" s="22"/>
      <c r="J13" s="22"/>
      <c r="K13" s="22"/>
      <c r="L13" s="22"/>
      <c r="M13" s="22"/>
      <c r="N13" s="22"/>
    </row>
    <row r="14">
      <c r="B14" s="10"/>
      <c r="C14" s="14"/>
      <c r="D14" s="11" t="s">
        <v>177</v>
      </c>
      <c r="E14" s="9"/>
      <c r="F14" t="n" s="31">
        <v>5.49440143E8</v>
      </c>
      <c r="G14" t="n" s="31">
        <v>1.80509891E8</v>
      </c>
      <c r="H14" t="n" s="31">
        <v>2.6120769E8</v>
      </c>
      <c r="I14" s="50" t="n"/>
      <c r="J14" s="50" t="n"/>
      <c r="K14" s="50" t="n"/>
      <c r="L14" s="50" t="n"/>
      <c r="M14" s="50" t="n"/>
      <c r="N14" t="n" s="31">
        <f>Hoja4!M14</f>
      </c>
    </row>
    <row r="15">
      <c r="B15" s="10"/>
      <c r="C15" s="14"/>
      <c r="D15" s="15" t="s">
        <v>248</v>
      </c>
      <c r="E15" s="13"/>
      <c r="F15" t="n" s="30">
        <v>2.2583726E7</v>
      </c>
      <c r="G15" t="n" s="30">
        <v>1.5E8</v>
      </c>
      <c r="H15" s="49" t="n"/>
      <c r="I15" s="49" t="n"/>
      <c r="J15" s="49" t="n"/>
      <c r="K15" s="49" t="n"/>
      <c r="L15" s="49" t="n"/>
      <c r="M15" s="49" t="n"/>
      <c r="N15" t="n" s="30">
        <v>1.72583726E8</v>
      </c>
    </row>
    <row r="16">
      <c r="B16" s="10"/>
      <c r="C16" s="15"/>
      <c r="D16" s="48" t="s">
        <v>249</v>
      </c>
      <c r="E16" s="47"/>
      <c r="F16" t="n" s="31">
        <f>F14+F15</f>
      </c>
      <c r="G16" t="n" s="31">
        <f>G14+G15</f>
      </c>
      <c r="H16" t="n" s="31">
        <f>H14+H15</f>
      </c>
      <c r="I16" s="50" t="n">
        <f>I14+I15</f>
      </c>
      <c r="J16" s="50" t="n">
        <f>J14+J15</f>
      </c>
      <c r="K16" s="50" t="n">
        <f>K14+K15</f>
      </c>
      <c r="L16" s="50" t="n">
        <f>L14+L15</f>
      </c>
      <c r="M16" s="50" t="n">
        <f>M14+M15</f>
      </c>
      <c r="N16" t="n" s="31">
        <f>N14+N15</f>
      </c>
    </row>
    <row r="17">
      <c r="B17" s="10"/>
      <c r="C17" s="12" t="s">
        <v>250</v>
      </c>
      <c r="D17" s="29"/>
      <c r="E17" s="13"/>
      <c r="F17" s="22"/>
      <c r="G17" s="22"/>
      <c r="H17" s="22"/>
      <c r="I17" s="22"/>
      <c r="J17" s="22"/>
      <c r="K17" s="22"/>
      <c r="L17" s="22"/>
      <c r="M17" s="22"/>
      <c r="N17" s="22"/>
    </row>
    <row r="18">
      <c r="B18" s="10"/>
      <c r="C18" s="14"/>
      <c r="D18" s="7" t="s">
        <v>251</v>
      </c>
      <c r="E18" s="9"/>
      <c r="F18" t="n" s="31">
        <v>5.42077256E8</v>
      </c>
      <c r="G18" t="n" s="31">
        <v>2.91529011E8</v>
      </c>
      <c r="H18" t="n" s="31">
        <v>2.15975374E8</v>
      </c>
      <c r="I18" s="50" t="n"/>
      <c r="J18" s="50" t="n"/>
      <c r="K18" s="50" t="n"/>
      <c r="L18" s="50" t="n"/>
      <c r="M18" s="50" t="n"/>
      <c r="N18" t="n" s="31">
        <v>1.049581641E9</v>
      </c>
    </row>
    <row r="19">
      <c r="B19" s="10"/>
      <c r="C19" s="14"/>
      <c r="D19" s="10"/>
      <c r="E19" s="19" t="s">
        <v>252</v>
      </c>
      <c r="F19" t="n" s="30">
        <v>0.0</v>
      </c>
      <c r="G19" t="n" s="30">
        <v>0.0</v>
      </c>
      <c r="H19" t="n" s="30">
        <v>0.0</v>
      </c>
      <c r="I19" s="49" t="n"/>
      <c r="J19" s="49" t="n"/>
      <c r="K19" s="49" t="n"/>
      <c r="L19" s="49" t="n"/>
      <c r="M19" s="49" t="n"/>
      <c r="N19" t="n" s="30">
        <v>0.0</v>
      </c>
    </row>
    <row r="20">
      <c r="B20" s="10"/>
      <c r="C20" s="14"/>
      <c r="D20" s="10"/>
      <c r="E20" s="18" t="s">
        <v>253</v>
      </c>
      <c r="F20" t="n" s="31">
        <v>5913857.0</v>
      </c>
      <c r="G20" t="n" s="31">
        <v>2861955.0</v>
      </c>
      <c r="H20" t="n" s="31">
        <v>763188.0</v>
      </c>
      <c r="I20" s="50" t="n"/>
      <c r="J20" s="50" t="n"/>
      <c r="K20" s="50" t="n"/>
      <c r="L20" s="50" t="n"/>
      <c r="M20" s="50" t="n"/>
      <c r="N20" t="n" s="31">
        <v>9539000.0</v>
      </c>
    </row>
    <row r="21">
      <c r="B21" s="10"/>
      <c r="C21" s="14"/>
      <c r="D21" s="10"/>
      <c r="E21" s="19" t="s">
        <v>254</v>
      </c>
      <c r="F21" t="n" s="30">
        <v>0.0</v>
      </c>
      <c r="G21" t="n" s="30">
        <v>0.0</v>
      </c>
      <c r="H21" t="n" s="30">
        <v>0.0</v>
      </c>
      <c r="I21" s="49" t="n"/>
      <c r="J21" s="49" t="n"/>
      <c r="K21" s="49" t="n"/>
      <c r="L21" s="49" t="n"/>
      <c r="M21" s="49" t="n"/>
      <c r="N21" t="n" s="30">
        <v>0.0</v>
      </c>
    </row>
    <row r="22">
      <c r="B22" s="10"/>
      <c r="C22" s="14"/>
      <c r="D22" s="10"/>
      <c r="E22" s="18" t="s">
        <v>255</v>
      </c>
      <c r="F22" t="n" s="31">
        <v>0.0</v>
      </c>
      <c r="G22" t="n" s="31">
        <v>0.0</v>
      </c>
      <c r="H22" t="n" s="31">
        <v>0.0</v>
      </c>
      <c r="I22" s="50" t="n"/>
      <c r="J22" s="50" t="n"/>
      <c r="K22" s="50" t="n"/>
      <c r="L22" s="50" t="n"/>
      <c r="M22" s="50" t="n"/>
      <c r="N22" t="n" s="31">
        <v>0.0</v>
      </c>
    </row>
    <row r="23">
      <c r="B23" s="10"/>
      <c r="C23" s="14"/>
      <c r="D23" s="10"/>
      <c r="E23" s="19" t="s">
        <v>256</v>
      </c>
      <c r="F23" t="n" s="30">
        <v>0.0</v>
      </c>
      <c r="G23" t="n" s="30">
        <v>0.0</v>
      </c>
      <c r="H23" t="n" s="30">
        <v>0.0</v>
      </c>
      <c r="I23" s="49" t="n"/>
      <c r="J23" s="49" t="n"/>
      <c r="K23" s="49" t="n"/>
      <c r="L23" s="49" t="n"/>
      <c r="M23" s="49" t="n"/>
      <c r="N23" t="n" s="30">
        <v>0.0</v>
      </c>
    </row>
    <row r="24">
      <c r="B24" s="11"/>
      <c r="C24" s="15"/>
      <c r="D24" s="11"/>
      <c r="E24" s="18" t="s">
        <v>257</v>
      </c>
      <c r="F24" t="n" s="56">
        <v>0.0</v>
      </c>
      <c r="G24" t="n" s="56">
        <v>0.0</v>
      </c>
      <c r="H24" t="n" s="56">
        <v>0.0</v>
      </c>
      <c r="I24" s="57" t="n"/>
      <c r="J24" s="57" t="n"/>
      <c r="K24" s="57" t="n"/>
      <c r="L24" s="57" t="n"/>
      <c r="M24" s="57" t="n"/>
      <c r="N24" t="n" s="56">
        <v>0.0</v>
      </c>
    </row>
  </sheetData>
  <mergeCells>
    <mergeCell ref="F10:N10"/>
    <mergeCell ref="B12:E12"/>
    <mergeCell ref="C13:E13"/>
    <mergeCell ref="D14:E14"/>
    <mergeCell ref="D15:E15"/>
    <mergeCell ref="D16:E16"/>
    <mergeCell ref="C17:E17"/>
    <mergeCell ref="D18:E18"/>
  </mergeCells>
  <hyperlinks>
    <hyperlink location="'Indice'!A1" ref="B2"/>
  </hyperlink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B2:K15"/>
  <sheetViews>
    <sheetView workbookViewId="0" showGridLines="false"/>
  </sheetViews>
  <sheetFormatPr defaultRowHeight="15.0"/>
  <cols>
    <col min="2" max="2" width="2.70703125" customWidth="true"/>
    <col min="3" max="3" width="50.0" customWidth="true"/>
    <col min="4" max="4" width="15.0" customWidth="true"/>
    <col min="5" max="5" width="15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</cols>
  <sheetData>
    <row r="2">
      <c r="B2" t="s" s="2">
        <v>1</v>
      </c>
    </row>
    <row r="3">
      <c r="B3" t="s" s="1">
        <v>3</v>
      </c>
      <c r="C3" t="s">
        <v>4</v>
      </c>
    </row>
    <row r="4">
      <c r="B4" s="1" t="s">
        <v>5</v>
      </c>
      <c r="C4" t="s">
        <v>6</v>
      </c>
    </row>
    <row r="5">
      <c r="B5" t="s" s="1">
        <v>7</v>
      </c>
      <c r="C5" t="s">
        <v>258</v>
      </c>
    </row>
    <row r="6">
      <c r="B6" t="s" s="1">
        <v>8</v>
      </c>
      <c r="C6" t="s">
        <v>9</v>
      </c>
    </row>
    <row r="7">
      <c r="B7" t="s" s="1">
        <v>10</v>
      </c>
      <c r="C7" t="s">
        <v>9</v>
      </c>
    </row>
    <row r="8">
      <c r="B8" t="s" s="1">
        <v>11</v>
      </c>
      <c r="C8" t="s">
        <v>12</v>
      </c>
    </row>
    <row r="10">
      <c r="D10" t="s" s="4">
        <v>259</v>
      </c>
      <c r="E10" s="33"/>
      <c r="F10" s="33"/>
      <c r="G10" s="33"/>
      <c r="H10" s="33"/>
      <c r="I10" s="33"/>
      <c r="J10" s="34"/>
    </row>
    <row r="11">
      <c r="D11" t="s" s="38">
        <v>260</v>
      </c>
      <c r="E11" t="s" s="6">
        <v>261</v>
      </c>
      <c r="F11" t="s" s="38">
        <v>262</v>
      </c>
      <c r="G11" t="s" s="6">
        <v>263</v>
      </c>
      <c r="H11" t="s" s="38">
        <v>264</v>
      </c>
      <c r="I11" t="s" s="6">
        <v>265</v>
      </c>
      <c r="J11" s="40"/>
    </row>
    <row r="12">
      <c r="B12" s="7" t="s">
        <v>266</v>
      </c>
      <c r="C12" s="9"/>
      <c r="D12" s="23"/>
      <c r="E12" s="23"/>
      <c r="F12" s="23"/>
      <c r="G12" s="23"/>
      <c r="H12" s="23"/>
      <c r="I12" s="23"/>
      <c r="J12" s="23"/>
    </row>
    <row r="13">
      <c r="B13" s="10"/>
      <c r="C13" s="19" t="s">
        <v>267</v>
      </c>
      <c r="D13" s="49" t="n"/>
      <c r="E13" s="49" t="n"/>
      <c r="F13" s="49" t="n"/>
      <c r="G13" s="49" t="n"/>
      <c r="H13" s="49" t="n"/>
      <c r="I13" s="49" t="n"/>
      <c r="J13" s="49" t="n"/>
    </row>
    <row r="14">
      <c r="B14" s="10"/>
      <c r="C14" s="18" t="s">
        <v>268</v>
      </c>
      <c r="D14" s="50" t="n"/>
      <c r="E14" s="50" t="n"/>
      <c r="F14" s="50" t="n"/>
      <c r="G14" s="50" t="n"/>
      <c r="H14" s="50" t="n"/>
      <c r="I14" s="50" t="n"/>
      <c r="J14" s="50" t="n"/>
    </row>
    <row r="15">
      <c r="B15" s="11"/>
      <c r="C15" s="64" t="s">
        <v>269</v>
      </c>
      <c r="D15" s="52" t="n">
        <f>-D14+D13</f>
      </c>
      <c r="E15" s="52" t="n">
        <f>-E14+E13</f>
      </c>
      <c r="F15" s="52" t="n">
        <f>-F14+F13</f>
      </c>
      <c r="G15" s="52" t="n">
        <f>-G14+G13</f>
      </c>
      <c r="H15" s="52" t="n">
        <f>-H14+H13</f>
      </c>
      <c r="I15" s="52" t="n">
        <f>-I14+I13</f>
      </c>
      <c r="J15" s="52" t="n">
        <f>-J14+J13</f>
      </c>
    </row>
  </sheetData>
  <mergeCells>
    <mergeCell ref="D10:J10"/>
    <mergeCell ref="B12:C12"/>
  </mergeCells>
  <hyperlinks>
    <hyperlink location="'Indice'!A1" ref="B2"/>
  </hyperlink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XBRL Editor Express - Editor rápido de informes XBRL</Applicat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 xmlns:xsi="http://www.w3.org/2001/XMLSchema-instance">
  <dcterms:created xsi:type="dcterms:W3CDTF">2025-09-22T22:13:08Z</dcterms:created>
  <dc:creator>20037 miembro de 20037</dc:creator>
  <dc:subject>Reporting Standard S.L. - Exportación a Excel de XBRL</dc:subject>
</cp:coreProperties>
</file>