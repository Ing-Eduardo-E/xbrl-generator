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Indice" state="visible" r:id="rId4"/>
    <sheet sheetId="2" name="Hoja1" state="visible" r:id="rId5"/>
    <sheet sheetId="3" name="Lists" state="hidden" r:id="rId6"/>
    <sheet sheetId="4" name="Hoja2" state="visible" r:id="rId7"/>
    <sheet sheetId="5" name="Hoja3" state="visible" r:id="rId8"/>
    <sheet sheetId="6" name="Hoja4" state="visible" r:id="rId9"/>
    <sheet sheetId="7" name="Hoja5" state="visible" r:id="rId10"/>
    <sheet sheetId="8" name="Hoja6" state="visible" r:id="rId11"/>
    <sheet sheetId="9" name="Hoja7" state="visible" r:id="rId12"/>
    <sheet sheetId="10" name="Hoja8" state="visible" r:id="rId13"/>
  </sheets>
  <definedNames>
    <definedName name="sspdtipos_TipoIdentificacion">Lists!$B$3:$B$5</definedName>
    <definedName name="sspdtipos_TipoGrupoMarcoNormativo">Lists!$D$3:$D$5</definedName>
    <definedName name="sspdtipos_TipoDeclaracionCumplimientoMarcoNormativo">Lists!$F$3:$F$4</definedName>
    <definedName name="sspdtipos_TipoSiNo">Lists!$H$3:$H$4</definedName>
  </definedNames>
  <calcPr calcId="171027"/>
</workbook>
</file>

<file path=xl/sharedStrings.xml><?xml version="1.0" encoding="utf-8"?>
<sst xmlns="http://schemas.openxmlformats.org/spreadsheetml/2006/main" count="525" uniqueCount="270">
  <si>
    <t>Tabla de contenidos</t>
  </si>
  <si>
    <t>[110000t] Información a revelar sobre la Entidad Informante</t>
  </si>
  <si>
    <t>[120000t] Información adicional a revelar</t>
  </si>
  <si>
    <t>[210000t] Estado de situación financiera</t>
  </si>
  <si>
    <t>[310000t] Estado de resultados</t>
  </si>
  <si>
    <t>[900020t] FC03t - Cuentas comerciales por cobrar y otras cuentas por cobrar</t>
  </si>
  <si>
    <t>[900028t] FC05t - Cuentas comerciales por pagar, otras cuentas por pagar y otros pasivos</t>
  </si>
  <si>
    <t>[900050t] FC08t - Información de ingresos y gastos de la entidad</t>
  </si>
  <si>
    <t>[900060t] FC09t - Deterioro de activos</t>
  </si>
  <si>
    <t>Indice</t>
  </si>
  <si>
    <t>Archivo:</t>
  </si>
  <si>
    <t>C:\Users\rekin\OneDrive\1. Documentos 2025\Empocruz ESP\Taxonomías\Taxo202502\IFE_SegundoTrimestre_ID20037_2025-06-30.xbrl</t>
  </si>
  <si>
    <t>Empresa:</t>
  </si>
  <si>
    <t>20037</t>
  </si>
  <si>
    <t>Vista:</t>
  </si>
  <si>
    <t>Eje X:</t>
  </si>
  <si>
    <t>N/A</t>
  </si>
  <si>
    <t>Eje Y:</t>
  </si>
  <si>
    <t>Eje Z:</t>
  </si>
  <si>
    <t>Periodo Actual</t>
  </si>
  <si>
    <t>Información a revelar sobre la Entidad Informante [Abstracto]</t>
  </si>
  <si>
    <t>Datos Básicos [Abstracto]</t>
  </si>
  <si>
    <t>NIT</t>
  </si>
  <si>
    <t>814005646</t>
  </si>
  <si>
    <t>Identificación de la Empresa (ID RUPS)</t>
  </si>
  <si>
    <t>Nombre de la entidad que informa u otras formas de identificación</t>
  </si>
  <si>
    <t>EMPRESA DE SERVICIOS PUBLICOS DE LA CRUZ - EMPOCRUZ E.S.P</t>
  </si>
  <si>
    <t>Fecha de cierre del periodo sobre el que se informa</t>
  </si>
  <si>
    <t>2025-06-30</t>
  </si>
  <si>
    <t>Datos de Ubicación [Abstracto]</t>
  </si>
  <si>
    <t>Dirección de la sede administrativa de la entidad</t>
  </si>
  <si>
    <t>Calle 6 Nro. 8-02</t>
  </si>
  <si>
    <t>Ciudad donde se encuentra ubicada la sede administrativa</t>
  </si>
  <si>
    <t>LA-CRUZ-NARINO</t>
  </si>
  <si>
    <t>Número de teléfono fijo de la sede administrativa</t>
  </si>
  <si>
    <t>3116151373</t>
  </si>
  <si>
    <t>Número de teléfono celular de la sede administrativa</t>
  </si>
  <si>
    <t>Email Corporativo</t>
  </si>
  <si>
    <t>gerencia@empocruz.gov.co</t>
  </si>
  <si>
    <t>Información sobre empleados [Abstracto]</t>
  </si>
  <si>
    <t>Numero de empleados y contratistas al comienzo del periodo</t>
  </si>
  <si>
    <t>Numero de empleados y contratistas al final del periodo</t>
  </si>
  <si>
    <t>Numero promedio de empleados y contratistas</t>
  </si>
  <si>
    <t>Representación legal [Abstracto]</t>
  </si>
  <si>
    <t>Tipo de documento</t>
  </si>
  <si>
    <t>01 - CÉDULA DE CIUDADANÍA</t>
  </si>
  <si>
    <t>Número de documento</t>
  </si>
  <si>
    <t>87249156</t>
  </si>
  <si>
    <t>Nombres</t>
  </si>
  <si>
    <t xml:space="preserve">JONATHAN ALEXANDER </t>
  </si>
  <si>
    <t>Apellidos</t>
  </si>
  <si>
    <t>BOLAÑOS MUÑOZ</t>
  </si>
  <si>
    <t>Marco normativo [Abstracto]</t>
  </si>
  <si>
    <t>Grupo en que se encuentra clasificada la Entidad</t>
  </si>
  <si>
    <t>R. 414</t>
  </si>
  <si>
    <t>Declaración de cumplimiento del marco normativo</t>
  </si>
  <si>
    <t>1. Si cumple</t>
  </si>
  <si>
    <t>Información a revelar sobre incertidumbres sobre la capacidad de la entidad para continuar como negocio en marcha</t>
  </si>
  <si>
    <t>NA</t>
  </si>
  <si>
    <t>Explicación de la razón por la que no se considera a la entidad como negocio en marcha</t>
  </si>
  <si>
    <t>Información a revelar sobre finalización de la prestación de los servicios inscritos en RUPS [Abstracto]</t>
  </si>
  <si>
    <t>Información a revelar sobre incertidumbres sobre la capacidad de dar continuidad a la prestación de uno o más servicios inscritos en RUPS</t>
  </si>
  <si>
    <t>¿Durante el periodo sobre el que se informa se finalizó la prestación de uno o más servicios inscritos en RUPS?</t>
  </si>
  <si>
    <t>2. No</t>
  </si>
  <si>
    <t>Detalle sobre la finalización de la prestación de los servicios inscritos en RUPS. (indicar servicio y fecha de finalización del servicio, indicar si otra empresa tomó la prestación, ¿cuál?)</t>
  </si>
  <si>
    <t>Grupo 1</t>
  </si>
  <si>
    <t>1. Si</t>
  </si>
  <si>
    <t>02 - CÉDULA DE EXTRANJERÍA</t>
  </si>
  <si>
    <t>Grupo 2</t>
  </si>
  <si>
    <t>2. No cumple</t>
  </si>
  <si>
    <t>03 - PASAPORTE</t>
  </si>
  <si>
    <t>Información adicional a revelar [Abstracto]</t>
  </si>
  <si>
    <t>Variaciones en el flujo de efectivo [Abstracto]</t>
  </si>
  <si>
    <t>Efectivo y equivalentes al efectivo al comienzo del periodo</t>
  </si>
  <si>
    <t>Información a revelar variaciones de flujo de efectivo</t>
  </si>
  <si>
    <t>ND</t>
  </si>
  <si>
    <t>Incrementos (disminuciones)</t>
  </si>
  <si>
    <t>Efectivo y equivalentes al efectivo al final del periodo</t>
  </si>
  <si>
    <t>Otra información a revelar [Abstracto]</t>
  </si>
  <si>
    <t>Información relevante a revelar sobre el periodo cubierto por este informe</t>
  </si>
  <si>
    <t>Información a revelar sobre los activos</t>
  </si>
  <si>
    <t>Información a revelar sobre los pasivos</t>
  </si>
  <si>
    <t>Información a revelar sobre el patrimonio</t>
  </si>
  <si>
    <t>Información a revelar sobre ingresos</t>
  </si>
  <si>
    <t>Información a revelar sobre gastos</t>
  </si>
  <si>
    <t>Información a revelar en relación con modificaciones a trimestres anteriores [Abstracto]</t>
  </si>
  <si>
    <t>¿Ha habido ajustes a información certificada en SUI de trimestres anteriores?</t>
  </si>
  <si>
    <t>¿Los ajustes corresponden a cuarto trimestre del año anterior?</t>
  </si>
  <si>
    <t>Explique los ajustes efectuados a la información certificada en el cuarto trimestre</t>
  </si>
  <si>
    <t>¿Los ajustes corresponden a primer trimestre de este año?</t>
  </si>
  <si>
    <t>Explique los ajustes efectuados a la información certificada en el primer trimestre</t>
  </si>
  <si>
    <t>¿Los ajustes corresponden a segundo trimestre de este año?</t>
  </si>
  <si>
    <t>Explique los ajustes efectuados a la información certificada en el segundo trimestre</t>
  </si>
  <si>
    <t>¿Los ajustes corresponden a tercer trimestre de este año?</t>
  </si>
  <si>
    <t>Explique los ajustes efectuados a la información certificada en el tercer trimestre</t>
  </si>
  <si>
    <t>Total por servicios [miembro]</t>
  </si>
  <si>
    <t>Acueducto [miembro]</t>
  </si>
  <si>
    <t>Alcantarillado [miembro]</t>
  </si>
  <si>
    <t>Aseo [miembro]</t>
  </si>
  <si>
    <t>Energía Eléctrica [miembro]</t>
  </si>
  <si>
    <t>Gas combustible por redes [miembro]</t>
  </si>
  <si>
    <t>Gas Licuado de Petróleo [miembro]</t>
  </si>
  <si>
    <t>Operador del sistema y Administrador del mercado de energia (XM) [miembro]</t>
  </si>
  <si>
    <t>Otras actividades no vigiladas por la SSPD [miembro]</t>
  </si>
  <si>
    <t>Estado de situación financiera por servicio [partidas]</t>
  </si>
  <si>
    <t>Activos [resumen]</t>
  </si>
  <si>
    <t>Activos corrientes [resumen]</t>
  </si>
  <si>
    <t>Efectivo y equivalentes al efectivo</t>
  </si>
  <si>
    <t>Efectivo y equivalente al efectivo de uso restringido corrientes</t>
  </si>
  <si>
    <t>Cuentas comerciales por cobrar y otras cuentas por cobrar corrientes [Resumen]</t>
  </si>
  <si>
    <t>Cuentas comerciales por cobrar por prestación de servicios públicos corrientes [Resumen]</t>
  </si>
  <si>
    <t>Cuentas comerciales por cobrar corrientes por prestación de servicios públicos corrientes (Sin incluir subsidios ni actividades de aprovechamiento)</t>
  </si>
  <si>
    <t>Cuentas comerciales por cobrar por subsidios corrientes</t>
  </si>
  <si>
    <t>Cuentas comerciales por cobrar corrientes del servicio público al Ministerio de Minas por concepto de subsidios</t>
  </si>
  <si>
    <t>Cuentas comerciales por cobrar por actividad de aprovechamiento corrientes</t>
  </si>
  <si>
    <t>Total cuentas comerciales por cobrar por prestación de servicios públicos corrientes</t>
  </si>
  <si>
    <t>Cuentas comerciales por cobrar por venta de bienes corrientes</t>
  </si>
  <si>
    <t>Otras cuentas por cobrar corrientes</t>
  </si>
  <si>
    <t>Total cuentas comerciales por cobrar y otras cuentas por cobrar corrientes</t>
  </si>
  <si>
    <t>Inventarios corrientes</t>
  </si>
  <si>
    <t>Inversiones corrientes</t>
  </si>
  <si>
    <t>Anticipo de impuestos</t>
  </si>
  <si>
    <t>Otros activos financieros corrientes</t>
  </si>
  <si>
    <t>Otros activos no financieros corrientes</t>
  </si>
  <si>
    <t>Activos corrientes totales</t>
  </si>
  <si>
    <t>Activos no corrientes [resumen]</t>
  </si>
  <si>
    <t>Propiedades, planta y equipo</t>
  </si>
  <si>
    <t>Propiedades de inversión</t>
  </si>
  <si>
    <t>Activos intangibles distintos a la plusvalía</t>
  </si>
  <si>
    <t>Inversiones no corrientes</t>
  </si>
  <si>
    <t>Cuentas comerciales por cobrar y otras cuentas por cobrar no corrientes [Resumen]</t>
  </si>
  <si>
    <t>Cuentas comerciales por cobrar por prestación de servicios públicos no corrientes [Resumen]</t>
  </si>
  <si>
    <t>Cuentas comerciales por cobrar no corrientes por prestación de servicios públicos corrientes (Sin incluir subsidios ni actividades de aprovechamiento)</t>
  </si>
  <si>
    <t>Cuentas comerciales por cobrar por subsidios no corrientes</t>
  </si>
  <si>
    <t>Cuentas comerciales por cobrar no corrientes del servicio público al Ministerio de Minas por concepto de subsidios</t>
  </si>
  <si>
    <t>Cuentas comerciales por cobrar por actividad de aprovechamiento no corrientes</t>
  </si>
  <si>
    <t>Total cuentas comerciales por cobrar por prestación de servicios públicos no corrientes</t>
  </si>
  <si>
    <t>Cuentas comerciales por cobrar por venta de bienes no corrientes</t>
  </si>
  <si>
    <t>Otras cuentas comerciales por cobrar y otras cuentas por cobrar no corrientes</t>
  </si>
  <si>
    <t>Total cuentas comerciales por cobrar y otras cuentas por cobrar no corrientes</t>
  </si>
  <si>
    <t>Inventarios no corrientes</t>
  </si>
  <si>
    <t>Otros activos financieros no corrientes</t>
  </si>
  <si>
    <t>Otros activos no financieros no corrientes</t>
  </si>
  <si>
    <t>Activos no corrientes totales</t>
  </si>
  <si>
    <t>Total de activos</t>
  </si>
  <si>
    <t>Patrimonio y pasivos [resumen]</t>
  </si>
  <si>
    <t>Pasivos [resumen]</t>
  </si>
  <si>
    <t>Pasivos corrientes [resumen]</t>
  </si>
  <si>
    <t>Provisiones Corrientes</t>
  </si>
  <si>
    <t>Cuentas por pagar y otras cuentas por pagar corrientes</t>
  </si>
  <si>
    <t>Cuentas por pagar para la adquisición de bienes corrientes</t>
  </si>
  <si>
    <t>Cuentas por pagar para la adquisición de servicios corrientes</t>
  </si>
  <si>
    <t>Obligaciones financieras corrientes</t>
  </si>
  <si>
    <t>Obligaciones laborales corrientes</t>
  </si>
  <si>
    <t>Pasivo por impuestos corrientes, corriente</t>
  </si>
  <si>
    <t>Otros pasivos corrientes</t>
  </si>
  <si>
    <t>Pasivos corrientes totales</t>
  </si>
  <si>
    <t>Pasivos no corrientes [resumen]</t>
  </si>
  <si>
    <t>Provisiones no Corrientes</t>
  </si>
  <si>
    <t>Cuentas comerciales por pagar y otras cuentas por pagar no corrientes</t>
  </si>
  <si>
    <t>Cuentas por pagar para la adquisición de bienes no corrientes</t>
  </si>
  <si>
    <t>Cuentas por pagar para la adquisición de servicios no corrientes</t>
  </si>
  <si>
    <t>Obligaciones financieras no corrientes</t>
  </si>
  <si>
    <t>Obligaciones laborales no corrientes</t>
  </si>
  <si>
    <t>Pasivo por impuestos corrientes, no corriente</t>
  </si>
  <si>
    <t>Otros pasivos no corrientes</t>
  </si>
  <si>
    <t>Total de pasivos no corrientes</t>
  </si>
  <si>
    <t>Total pasivos</t>
  </si>
  <si>
    <t>Patrimonio [resumen]</t>
  </si>
  <si>
    <t>Capital</t>
  </si>
  <si>
    <t>Inversión suplementaria al capital asignado</t>
  </si>
  <si>
    <t>Otras participaciones en el patrimonio</t>
  </si>
  <si>
    <t>Superavit por revaluación</t>
  </si>
  <si>
    <t>Otras Reservas</t>
  </si>
  <si>
    <t>Ganancias acumuladas</t>
  </si>
  <si>
    <t>Efectos por adopción NIF</t>
  </si>
  <si>
    <t>Patrimonio total</t>
  </si>
  <si>
    <t>Total de patrimonio y pasivos</t>
  </si>
  <si>
    <t>Periodo Comparado</t>
  </si>
  <si>
    <t>Estado de resultados por servicio [partidas]</t>
  </si>
  <si>
    <t>Ganancia (pérdida) [resumen]</t>
  </si>
  <si>
    <t>Ingresos de actividades ordinarias</t>
  </si>
  <si>
    <t>Costo de ventas</t>
  </si>
  <si>
    <t>Ganancia bruta</t>
  </si>
  <si>
    <t>Gastos de administración, operación y ventas</t>
  </si>
  <si>
    <t>Otros ingresos</t>
  </si>
  <si>
    <t>Otros gastos</t>
  </si>
  <si>
    <t>Ganancia (pérdida) por actividades de operación</t>
  </si>
  <si>
    <t>Ingresos financieros</t>
  </si>
  <si>
    <t>Costos financieros</t>
  </si>
  <si>
    <t>Otras ganancias (pérdidas)</t>
  </si>
  <si>
    <t>Ganancia (pérdida), antes de impuestos</t>
  </si>
  <si>
    <t>Gasto (ingreso) por impuesto de operaciones continuadas</t>
  </si>
  <si>
    <t>Ganancia (pérdida) procedente de operaciones continuadas</t>
  </si>
  <si>
    <t>Ganancia (pérdida) procedente de operaciones discontinuadas</t>
  </si>
  <si>
    <t>Ganancia (pérdida)</t>
  </si>
  <si>
    <t>Valor cuentas comerciales por cobrar y otras cuentas por cobrar [miembro]</t>
  </si>
  <si>
    <t>Total [miembro]</t>
  </si>
  <si>
    <t>No vencidas [miembro]</t>
  </si>
  <si>
    <t>Vencidas [miembro]</t>
  </si>
  <si>
    <t>Vencidas de 1 a 90 días [miembro]</t>
  </si>
  <si>
    <t>Vencidas de 91 a 180 días [miembro]</t>
  </si>
  <si>
    <t>Vencidas de 181 a 360 días  [miembro]</t>
  </si>
  <si>
    <t>Vencidas de mas de 360 días [miembro]</t>
  </si>
  <si>
    <t>Detalle de cuentas comerciales por cobrar y otras cuentas por cobrar por prestación de servicios públicos [abstracto]</t>
  </si>
  <si>
    <t>Cuentas comerciales por cobrar corrientes por prestación de servicios públicos y otras cuentas por cobrar corrientes [abstracto]</t>
  </si>
  <si>
    <t>Cuentas comerciales por cobrar corrientes por prestación de servicios públicos [abstracto]</t>
  </si>
  <si>
    <t>Acueducto</t>
  </si>
  <si>
    <t>Alcantarillado</t>
  </si>
  <si>
    <t>Aseo</t>
  </si>
  <si>
    <t>Energía</t>
  </si>
  <si>
    <t>Gas Combustible por redes</t>
  </si>
  <si>
    <t>Gas Licuado de Petróleo</t>
  </si>
  <si>
    <t>Operador del sistema y administrador del mercado de energia (XM)</t>
  </si>
  <si>
    <t>Deterioro de cuentas comerciales por cobrar corrientes por prestación de servicios públicos</t>
  </si>
  <si>
    <t>Total cuentas comerciales por cobrar corrientes netas por prestación de servicios públicos</t>
  </si>
  <si>
    <t>Cuentas comerciales por cobrar corrientes por venta de bienes [abstracto]</t>
  </si>
  <si>
    <t>Cuentas comerciales por cobrar corrientes brutas por venta de bienes</t>
  </si>
  <si>
    <t>Deterioro de cuentas por cobrar corrientes por venta de bienes</t>
  </si>
  <si>
    <t>Total cuentas comerciales por cobrar corrientes netas por venta de bienes</t>
  </si>
  <si>
    <t>Otras cuentas comerciales por cobrar corrientes [abstracto]</t>
  </si>
  <si>
    <t>Otras cuentas comerciales por cobrar corrientes brutas</t>
  </si>
  <si>
    <t>Deterioro de otras cuentas por cobrar corrientes</t>
  </si>
  <si>
    <t>Total otras cuentas comerciales por cobrar corrientes netas</t>
  </si>
  <si>
    <t>Total cuentas comerciales por cobrar corrientes netas por prestación de servicios públicos y otras cuentas comerciales por cobrar corrientes netas</t>
  </si>
  <si>
    <t>Cuentas comerciales por cobrar no corrientes por prestación de servicios públicos y otras cuentas por cobrar no corrientes [abstracto]</t>
  </si>
  <si>
    <t>Cuentas comerciales por cobrar no corrientes por prestación de servicios públicos [abstracto]</t>
  </si>
  <si>
    <t>Deterioro de cuentas comerciales por cobrar por prestación de servicios públicos no corrientes</t>
  </si>
  <si>
    <t>Total cuentas comerciales por cobrar no corrientes netas por prestación de servicios públicos</t>
  </si>
  <si>
    <t>Cuentas comerciales por cobrar no corrientes por venta de bienes [abstracto]</t>
  </si>
  <si>
    <t>Cuentas comerciales por cobrar no corrientes brutas por venta de bienes</t>
  </si>
  <si>
    <t>Deterioro de cuentas por cobrar no corrientes por venta de bienes</t>
  </si>
  <si>
    <t>Total cuentas comerciales por cobrar no corrientes netas por venta de bienes</t>
  </si>
  <si>
    <t>Otras cuentas comerciales por cobrar no corrientes [abstracto]</t>
  </si>
  <si>
    <t>Otras cuentas comerciales por cobrar brutas no corrientes</t>
  </si>
  <si>
    <t>Deterioro de otras cuentas por cobrar no corrientes</t>
  </si>
  <si>
    <t>Total otras cuentas comerciales por cobrar netas no corrientes</t>
  </si>
  <si>
    <t>Total cuentas comerciales por cobrar netas no corrientes por prestación de servicios públicos y otras cuentas comerciales por cobrar netas no corrientes</t>
  </si>
  <si>
    <t>Total cuentas comerciales por cobrar y otras cuentas por cobrar netas</t>
  </si>
  <si>
    <t>Valor cuentas comerciales por pagar y otros pasivos financieros [miembro]</t>
  </si>
  <si>
    <t>Detalle de cuentas comerciales por pagar, otras cuentas por pagar y otros pasivos financieros [abstracto]</t>
  </si>
  <si>
    <t>Cuentas comerciales por pagar</t>
  </si>
  <si>
    <t>Otras cuentas por pagar</t>
  </si>
  <si>
    <t>Total cuentas comerciales por pagar y otras cuentas por pagar</t>
  </si>
  <si>
    <t>Obligaciones financieras</t>
  </si>
  <si>
    <t>Obligaciones laborales</t>
  </si>
  <si>
    <t>Total cuentas comerciales por pagar, otras cuentas por pagar y otros pasivos financieros</t>
  </si>
  <si>
    <t>Detalle de ingresos y gastos del periodo [abstracto]</t>
  </si>
  <si>
    <t>Detalle de ingresos [abstracto]</t>
  </si>
  <si>
    <t>Todos los demás ingresos</t>
  </si>
  <si>
    <t>Total ingresos</t>
  </si>
  <si>
    <t>Detalle de gastos [abstracto]</t>
  </si>
  <si>
    <t>Costos y gastos totales</t>
  </si>
  <si>
    <t>Impuestos, tasas y contribuciones</t>
  </si>
  <si>
    <t>Gastos financieros</t>
  </si>
  <si>
    <t>Gasto por deterioro</t>
  </si>
  <si>
    <t>Gasto por depreciación</t>
  </si>
  <si>
    <t>Gasto por amortización</t>
  </si>
  <si>
    <t>Gasto por provisiones</t>
  </si>
  <si>
    <t>Deterioro de activos [miembro]</t>
  </si>
  <si>
    <t>Activos intangibles distintos de la plusvalía [miembro]</t>
  </si>
  <si>
    <t>Cuentas comerciales por cobrar [miembro]</t>
  </si>
  <si>
    <t>Inversiones [miembro]</t>
  </si>
  <si>
    <t>Propiedades, planta y equipo [miembro]</t>
  </si>
  <si>
    <t>Inventarios [miembro]</t>
  </si>
  <si>
    <t>Otros activos [miembro]</t>
  </si>
  <si>
    <t>Información a revelar sobre pérdidas por deterioro [abstracto]</t>
  </si>
  <si>
    <t>Pérdidas por deterioro de valor reconocidas en el resultado del periodo</t>
  </si>
  <si>
    <t>Reversión de pérdidas por deterioro de valor reconocidas en el resultado del periodo</t>
  </si>
  <si>
    <t>Total pérdidas por deterioro de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</si>
</sst>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&quot;&quot;"/>
    <numFmt numFmtId="165" formatCode="#,##0.00 &quot;COP&quot;"/>
  </numFmts>
  <fonts count="5" x14ac:knownFonts="1">
    <font>
      <color theme="1"/>
      <family val="2"/>
      <scheme val="minor"/>
      <sz val="11"/>
      <name val="Calibri"/>
    </font>
    <font>
      <u/>
      <color indexed="12"/>
      <sz val="11"/>
      <name val="Microsoft Sans Serif"/>
    </font>
    <font>
      <color indexed="8"/>
      <family val="2"/>
      <scheme val="minor"/>
      <sz val="11"/>
      <name val="Calibri"/>
    </font>
    <font>
      <sz val="9"/>
      <name val="Microsoft Sans Serif"/>
    </font>
    <font>
      <b/>
      <sz val="9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rgb="CCCCCC"/>
      </patternFill>
    </fill>
    <fill>
      <patternFill patternType="darkDown">
        <fgColor rgb="000000"/>
      </patternFill>
    </fill>
    <fill>
      <patternFill patternType="solid">
        <fgColor rgb="FFFFCC"/>
      </patternFill>
    </fill>
    <fill>
      <patternFill patternType="solid">
        <fgColor rgb="F2F2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indent="1"/>
    </xf>
    <xf numFmtId="0" fontId="1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164" fontId="2" fillId="5" borderId="5" xfId="0" applyNumberFormat="1" applyFont="1" applyFill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left" vertical="center" wrapText="1"/>
    </xf>
    <xf numFmtId="165" fontId="2" fillId="0" borderId="5" xfId="0" applyNumberFormat="1" applyFont="1" applyBorder="1" applyAlignment="1">
      <alignment vertical="center"/>
    </xf>
    <xf numFmtId="165" fontId="2" fillId="5" borderId="5" xfId="0" applyNumberFormat="1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4" fontId="2" fillId="0" borderId="5" xfId="0" applyNumberFormat="1" applyFont="1" applyBorder="1" applyAlignment="1">
      <alignment vertical="center"/>
    </xf>
    <xf numFmtId="4" fontId="2" fillId="5" borderId="5" xfId="0" applyNumberFormat="1" applyFont="1" applyFill="1" applyBorder="1" applyAlignment="1">
      <alignment vertical="center"/>
    </xf>
    <xf numFmtId="0" fontId="4" fillId="4" borderId="6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165" fontId="2" fillId="0" borderId="6" xfId="0" applyNumberFormat="1" applyFont="1" applyBorder="1" applyAlignment="1">
      <alignment vertical="center"/>
    </xf>
    <xf numFmtId="4" fontId="2" fillId="0" borderId="6" xfId="0" applyNumberFormat="1" applyFont="1" applyBorder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165" fontId="2" fillId="5" borderId="6" xfId="0" applyNumberFormat="1" applyFont="1" applyFill="1" applyBorder="1" applyAlignment="1">
      <alignment vertical="center"/>
    </xf>
    <xf numFmtId="4" fontId="2" fillId="5" borderId="6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"/>
  <sheetViews>
    <sheetView workbookViewId="0" zoomScale="100" zoomScaleNormal="100"/>
  </sheetViews>
  <sheetFormatPr defaultRowHeight="15" outlineLevelRow="0" outlineLevelCol="0" x14ac:dyDescent="0"/>
  <sheetData>
    <row r="1" spans="6:13" x14ac:dyDescent="0.25"/>
    <row r="2" spans="2:13" x14ac:dyDescent="0.25">
      <c r="B2" t="s">
        <v>0</v>
      </c>
    </row>
    <row r="3" spans="2:13" x14ac:dyDescent="0.25">
      <c r="B3" s="1" t="s">
        <v>1</v>
      </c>
    </row>
    <row r="4" spans="2:13" x14ac:dyDescent="0.25">
      <c r="B4" s="1" t="s">
        <v>2</v>
      </c>
    </row>
    <row r="5" spans="2:13" x14ac:dyDescent="0.25">
      <c r="B5" s="1" t="s">
        <v>3</v>
      </c>
    </row>
    <row r="6" spans="2:13" x14ac:dyDescent="0.25">
      <c r="B6" s="1" t="s">
        <v>4</v>
      </c>
    </row>
    <row r="7" spans="2:13" x14ac:dyDescent="0.25">
      <c r="B7" s="1" t="s">
        <v>5</v>
      </c>
    </row>
    <row r="8" spans="2:13" x14ac:dyDescent="0.25">
      <c r="B8" s="1" t="s">
        <v>6</v>
      </c>
    </row>
    <row r="9" spans="2:13" x14ac:dyDescent="0.25">
      <c r="B9" s="1" t="s">
        <v>7</v>
      </c>
    </row>
    <row r="10" spans="2:13" x14ac:dyDescent="0.25">
      <c r="B10" s="1" t="s">
        <v>8</v>
      </c>
    </row>
    <row r="11" spans="6:13" x14ac:dyDescent="0.25"/>
    <row r="12" spans="6:13" x14ac:dyDescent="0.25"/>
    <row r="13" spans="6:13" x14ac:dyDescent="0.25"/>
    <row r="14" spans="6:13" x14ac:dyDescent="0.25"/>
    <row r="15" spans="6:13" x14ac:dyDescent="0.25"/>
    <row r="16" spans="6:13" x14ac:dyDescent="0.25"/>
    <row r="17" spans="6:13" x14ac:dyDescent="0.25"/>
    <row r="18" spans="6:13" x14ac:dyDescent="0.25"/>
    <row r="19" spans="6:13" x14ac:dyDescent="0.25"/>
    <row r="20" spans="6:13" x14ac:dyDescent="0.25"/>
    <row r="21" spans="6:13" x14ac:dyDescent="0.25"/>
    <row r="22" spans="6:13" x14ac:dyDescent="0.25"/>
    <row r="23" spans="6:13" x14ac:dyDescent="0.25"/>
    <row r="24" spans="6:13" x14ac:dyDescent="0.25"/>
    <row r="25" spans="6:13" x14ac:dyDescent="0.25"/>
    <row r="26" spans="6:13" x14ac:dyDescent="0.25"/>
    <row r="27" spans="6:13" x14ac:dyDescent="0.25"/>
    <row r="28" spans="6:13" x14ac:dyDescent="0.25"/>
    <row r="29" spans="6:13" x14ac:dyDescent="0.25"/>
    <row r="30" spans="6:13" x14ac:dyDescent="0.25"/>
    <row r="31" spans="6:13" x14ac:dyDescent="0.25"/>
    <row r="32" spans="6:13" x14ac:dyDescent="0.25"/>
    <row r="33" spans="6:13" x14ac:dyDescent="0.25"/>
    <row r="34" spans="6:13" x14ac:dyDescent="0.25"/>
    <row r="35" spans="6:13" x14ac:dyDescent="0.25"/>
    <row r="36" spans="6:13" x14ac:dyDescent="0.25"/>
    <row r="37" spans="6:13" x14ac:dyDescent="0.25"/>
    <row r="38" spans="6:13" x14ac:dyDescent="0.25"/>
    <row r="39" spans="6:13" x14ac:dyDescent="0.25"/>
    <row r="40" spans="6:13" x14ac:dyDescent="0.25"/>
    <row r="41" spans="6:13" x14ac:dyDescent="0.25"/>
    <row r="42" spans="6:13" x14ac:dyDescent="0.25"/>
    <row r="43" spans="6:13" x14ac:dyDescent="0.25"/>
    <row r="44" spans="6:13" x14ac:dyDescent="0.25"/>
    <row r="45" spans="6:13" x14ac:dyDescent="0.25"/>
    <row r="46" spans="6:13" x14ac:dyDescent="0.25"/>
    <row r="47" spans="6:13" x14ac:dyDescent="0.25"/>
    <row r="48" spans="6:13" x14ac:dyDescent="0.25"/>
    <row r="49" spans="6:13" x14ac:dyDescent="0.25"/>
    <row r="50" spans="6:13" x14ac:dyDescent="0.25"/>
    <row r="51" spans="6:13" x14ac:dyDescent="0.25"/>
    <row r="52" spans="6:13" x14ac:dyDescent="0.25"/>
    <row r="53" spans="6:13" x14ac:dyDescent="0.25"/>
    <row r="54" spans="6:13" x14ac:dyDescent="0.25"/>
    <row r="55" spans="6:13" x14ac:dyDescent="0.25"/>
    <row r="56" spans="6:13" x14ac:dyDescent="0.25"/>
    <row r="57" spans="6:13" x14ac:dyDescent="0.25"/>
    <row r="58" spans="6:13" x14ac:dyDescent="0.25"/>
    <row r="59" spans="6:13" x14ac:dyDescent="0.25"/>
    <row r="60" spans="6:13" x14ac:dyDescent="0.25"/>
    <row r="61" spans="6:13" x14ac:dyDescent="0.25"/>
    <row r="62" spans="6:13" x14ac:dyDescent="0.25"/>
    <row r="63" spans="6:13" x14ac:dyDescent="0.25"/>
    <row r="64" spans="6:13" x14ac:dyDescent="0.25"/>
    <row r="65" spans="6:13" x14ac:dyDescent="0.25"/>
    <row r="66" spans="6:13" x14ac:dyDescent="0.25"/>
    <row r="67" spans="6:13" x14ac:dyDescent="0.25"/>
    <row r="68" spans="6:13" x14ac:dyDescent="0.25"/>
    <row r="69" spans="6:13" x14ac:dyDescent="0.25"/>
    <row r="70" spans="6:13" x14ac:dyDescent="0.25"/>
    <row r="71" spans="6:13" x14ac:dyDescent="0.25"/>
    <row r="72" spans="6:13" x14ac:dyDescent="0.25"/>
    <row r="73" spans="6:13" x14ac:dyDescent="0.25"/>
    <row r="74" spans="6:13" x14ac:dyDescent="0.25"/>
    <row r="75" spans="6:13" x14ac:dyDescent="0.25"/>
    <row r="76" spans="6:13" x14ac:dyDescent="0.25"/>
    <row r="77" spans="6:13" x14ac:dyDescent="0.25"/>
    <row r="78" spans="6:13" x14ac:dyDescent="0.25"/>
    <row r="79" spans="6:13" x14ac:dyDescent="0.25"/>
    <row r="80" spans="6:13" x14ac:dyDescent="0.25"/>
    <row r="81" spans="6:13" x14ac:dyDescent="0.25"/>
    <row r="82" spans="6:13" x14ac:dyDescent="0.25"/>
    <row r="83" spans="6:13" x14ac:dyDescent="0.25"/>
    <row r="84" spans="6:13" x14ac:dyDescent="0.25"/>
    <row r="85" spans="6:13" x14ac:dyDescent="0.25"/>
    <row r="86" spans="6:13" x14ac:dyDescent="0.25"/>
    <row r="87" spans="6:13" x14ac:dyDescent="0.25"/>
    <row r="88" spans="6:13" x14ac:dyDescent="0.25"/>
    <row r="89" spans="6:13" x14ac:dyDescent="0.25"/>
    <row r="90" spans="6:13" x14ac:dyDescent="0.25"/>
    <row r="91" spans="6:13" x14ac:dyDescent="0.25"/>
    <row r="92" spans="6:13" x14ac:dyDescent="0.25"/>
    <row r="93" spans="6:13" x14ac:dyDescent="0.25"/>
    <row r="94" spans="6:13" x14ac:dyDescent="0.25"/>
    <row r="95" spans="6:13" x14ac:dyDescent="0.25"/>
    <row r="96" spans="6:13" x14ac:dyDescent="0.25"/>
    <row r="97" spans="6:13" x14ac:dyDescent="0.25"/>
    <row r="98" spans="6:13" x14ac:dyDescent="0.25"/>
    <row r="99" spans="6:13" x14ac:dyDescent="0.25"/>
    <row r="100" spans="6:13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"/>
  <sheetViews>
    <sheetView workbookViewId="0" zoomScale="100" zoomScaleNormal="100"/>
  </sheetViews>
  <sheetFormatPr defaultRowHeight="15" outlineLevelRow="0" outlineLevelCol="0" x14ac:dyDescent="0"/>
  <cols>
    <col min="2" max="3" width="2.70703125" customWidth="1"/>
    <col min="4" max="4" width="50" customWidth="1"/>
    <col min="5" max="5" width="15" customWidth="1"/>
  </cols>
  <sheetData>
    <row r="1" spans="6:13" x14ac:dyDescent="0.25"/>
    <row r="2" spans="2:13" x14ac:dyDescent="0.25">
      <c r="B2" s="2" t="s">
        <v>9</v>
      </c>
    </row>
    <row r="3" spans="2:13" x14ac:dyDescent="0.25">
      <c r="B3" s="3" t="s">
        <v>10</v>
      </c>
      <c r="C3" t="s">
        <v>11</v>
      </c>
    </row>
    <row r="4" spans="2:13" x14ac:dyDescent="0.25">
      <c r="B4" s="3" t="s">
        <v>12</v>
      </c>
      <c r="C4" t="s">
        <v>13</v>
      </c>
    </row>
    <row r="5" spans="2:13" x14ac:dyDescent="0.25">
      <c r="B5" s="3" t="s">
        <v>14</v>
      </c>
      <c r="C5" t="s">
        <v>1</v>
      </c>
    </row>
    <row r="6" spans="2:13" x14ac:dyDescent="0.25">
      <c r="B6" s="3" t="s">
        <v>15</v>
      </c>
      <c r="C6" t="s">
        <v>16</v>
      </c>
    </row>
    <row r="7" spans="2:13" x14ac:dyDescent="0.25">
      <c r="B7" s="3" t="s">
        <v>17</v>
      </c>
      <c r="C7" t="s">
        <v>16</v>
      </c>
    </row>
    <row r="8" spans="2:13" x14ac:dyDescent="0.25">
      <c r="B8" s="3" t="s">
        <v>18</v>
      </c>
      <c r="C8" t="s">
        <v>16</v>
      </c>
    </row>
    <row r="9" spans="6:13" x14ac:dyDescent="0.25"/>
    <row r="10" spans="5:13" x14ac:dyDescent="0.25">
      <c r="E10" s="4" t="s">
        <v>19</v>
      </c>
    </row>
    <row r="11" spans="2:13" x14ac:dyDescent="0.25">
      <c r="B11" s="5" t="s">
        <v>20</v>
      </c>
      <c r="C11" s="6"/>
      <c r="D11" s="7"/>
      <c r="E11" s="8"/>
    </row>
    <row r="12" spans="2:13" x14ac:dyDescent="0.25">
      <c r="B12" s="9"/>
      <c r="C12" s="10" t="s">
        <v>21</v>
      </c>
      <c r="D12" s="11"/>
      <c r="E12" s="8"/>
    </row>
    <row r="13" spans="2:13" x14ac:dyDescent="0.25">
      <c r="B13" s="9"/>
      <c r="C13" s="12"/>
      <c r="D13" s="13" t="s">
        <v>22</v>
      </c>
      <c r="E13" s="14" t="s">
        <v>23</v>
      </c>
    </row>
    <row r="14" spans="2:13" x14ac:dyDescent="0.25">
      <c r="B14" s="9"/>
      <c r="C14" s="12"/>
      <c r="D14" s="15" t="s">
        <v>24</v>
      </c>
      <c r="E14" s="16" t="s">
        <v>13</v>
      </c>
    </row>
    <row r="15" spans="2:13" x14ac:dyDescent="0.25">
      <c r="B15" s="9"/>
      <c r="C15" s="12"/>
      <c r="D15" s="13" t="s">
        <v>25</v>
      </c>
      <c r="E15" s="14" t="s">
        <v>26</v>
      </c>
    </row>
    <row r="16" spans="2:13" x14ac:dyDescent="0.25">
      <c r="B16" s="9"/>
      <c r="C16" s="17"/>
      <c r="D16" s="15" t="s">
        <v>27</v>
      </c>
      <c r="E16" s="16" t="s">
        <v>28</v>
      </c>
    </row>
    <row r="17" spans="2:13" x14ac:dyDescent="0.25">
      <c r="B17" s="9"/>
      <c r="C17" s="5" t="s">
        <v>29</v>
      </c>
      <c r="D17" s="7"/>
      <c r="E17" s="8"/>
    </row>
    <row r="18" spans="2:13" x14ac:dyDescent="0.25">
      <c r="B18" s="9"/>
      <c r="C18" s="9"/>
      <c r="D18" s="15" t="s">
        <v>30</v>
      </c>
      <c r="E18" s="16" t="s">
        <v>31</v>
      </c>
    </row>
    <row r="19" spans="2:13" x14ac:dyDescent="0.25">
      <c r="B19" s="9"/>
      <c r="C19" s="9"/>
      <c r="D19" s="13" t="s">
        <v>32</v>
      </c>
      <c r="E19" s="14" t="s">
        <v>33</v>
      </c>
    </row>
    <row r="20" spans="2:13" x14ac:dyDescent="0.25">
      <c r="B20" s="9"/>
      <c r="C20" s="9"/>
      <c r="D20" s="15" t="s">
        <v>34</v>
      </c>
      <c r="E20" s="16" t="s">
        <v>35</v>
      </c>
    </row>
    <row r="21" spans="2:13" x14ac:dyDescent="0.25">
      <c r="B21" s="9"/>
      <c r="C21" s="9"/>
      <c r="D21" s="13" t="s">
        <v>36</v>
      </c>
      <c r="E21" s="14" t="s">
        <v>35</v>
      </c>
    </row>
    <row r="22" spans="2:13" x14ac:dyDescent="0.25">
      <c r="B22" s="9"/>
      <c r="C22" s="18"/>
      <c r="D22" s="15" t="s">
        <v>37</v>
      </c>
      <c r="E22" s="16" t="s">
        <v>38</v>
      </c>
    </row>
    <row r="23" spans="2:13" x14ac:dyDescent="0.25">
      <c r="B23" s="9"/>
      <c r="C23" s="5" t="s">
        <v>39</v>
      </c>
      <c r="D23" s="7"/>
      <c r="E23" s="8"/>
    </row>
    <row r="24" spans="2:13" x14ac:dyDescent="0.25">
      <c r="B24" s="9"/>
      <c r="C24" s="9"/>
      <c r="D24" s="15" t="s">
        <v>40</v>
      </c>
      <c r="E24" s="19">
        <v>35</v>
      </c>
    </row>
    <row r="25" spans="2:13" x14ac:dyDescent="0.25">
      <c r="B25" s="9"/>
      <c r="C25" s="9"/>
      <c r="D25" s="13" t="s">
        <v>41</v>
      </c>
      <c r="E25" s="20">
        <v>35</v>
      </c>
    </row>
    <row r="26" spans="2:13" x14ac:dyDescent="0.25">
      <c r="B26" s="9"/>
      <c r="C26" s="18"/>
      <c r="D26" s="15" t="s">
        <v>42</v>
      </c>
      <c r="E26" s="19">
        <v>35</v>
      </c>
    </row>
    <row r="27" spans="2:13" x14ac:dyDescent="0.25">
      <c r="B27" s="9"/>
      <c r="C27" s="5" t="s">
        <v>43</v>
      </c>
      <c r="D27" s="7"/>
      <c r="E27" s="8"/>
    </row>
    <row r="28" spans="2:13" x14ac:dyDescent="0.25">
      <c r="B28" s="9"/>
      <c r="C28" s="9"/>
      <c r="D28" s="15" t="s">
        <v>44</v>
      </c>
      <c r="E28" s="16" t="s">
        <v>45</v>
      </c>
    </row>
    <row r="29" spans="2:13" x14ac:dyDescent="0.25">
      <c r="B29" s="9"/>
      <c r="C29" s="9"/>
      <c r="D29" s="13" t="s">
        <v>46</v>
      </c>
      <c r="E29" s="14" t="s">
        <v>47</v>
      </c>
    </row>
    <row r="30" spans="2:13" x14ac:dyDescent="0.25">
      <c r="B30" s="9"/>
      <c r="C30" s="9"/>
      <c r="D30" s="15" t="s">
        <v>48</v>
      </c>
      <c r="E30" s="16" t="s">
        <v>49</v>
      </c>
    </row>
    <row r="31" spans="2:13" x14ac:dyDescent="0.25">
      <c r="B31" s="9"/>
      <c r="C31" s="18"/>
      <c r="D31" s="13" t="s">
        <v>50</v>
      </c>
      <c r="E31" s="14" t="s">
        <v>51</v>
      </c>
    </row>
    <row r="32" spans="2:13" x14ac:dyDescent="0.25">
      <c r="B32" s="9"/>
      <c r="C32" s="10" t="s">
        <v>52</v>
      </c>
      <c r="D32" s="11"/>
      <c r="E32" s="8"/>
    </row>
    <row r="33" spans="2:13" x14ac:dyDescent="0.25">
      <c r="B33" s="9"/>
      <c r="C33" s="12"/>
      <c r="D33" s="13" t="s">
        <v>53</v>
      </c>
      <c r="E33" s="14" t="s">
        <v>54</v>
      </c>
    </row>
    <row r="34" spans="2:13" x14ac:dyDescent="0.25">
      <c r="B34" s="9"/>
      <c r="C34" s="12"/>
      <c r="D34" s="15" t="s">
        <v>55</v>
      </c>
      <c r="E34" s="16" t="s">
        <v>56</v>
      </c>
    </row>
    <row r="35" spans="2:13" x14ac:dyDescent="0.25">
      <c r="B35" s="9"/>
      <c r="C35" s="12"/>
      <c r="D35" s="13" t="s">
        <v>57</v>
      </c>
      <c r="E35" s="14" t="s">
        <v>58</v>
      </c>
    </row>
    <row r="36" spans="2:13" x14ac:dyDescent="0.25">
      <c r="B36" s="9"/>
      <c r="C36" s="17"/>
      <c r="D36" s="15" t="s">
        <v>59</v>
      </c>
      <c r="E36" s="16" t="s">
        <v>58</v>
      </c>
    </row>
    <row r="37" ht="28" customHeight="1" spans="2:13" x14ac:dyDescent="0.25">
      <c r="B37" s="9"/>
      <c r="C37" s="5" t="s">
        <v>60</v>
      </c>
      <c r="D37" s="7"/>
      <c r="E37" s="8"/>
    </row>
    <row r="38" spans="2:13" x14ac:dyDescent="0.25">
      <c r="B38" s="9"/>
      <c r="C38" s="9"/>
      <c r="D38" s="15" t="s">
        <v>61</v>
      </c>
      <c r="E38" s="16" t="s">
        <v>58</v>
      </c>
    </row>
    <row r="39" spans="2:13" x14ac:dyDescent="0.25">
      <c r="B39" s="9"/>
      <c r="C39" s="9"/>
      <c r="D39" s="13" t="s">
        <v>62</v>
      </c>
      <c r="E39" s="14" t="s">
        <v>63</v>
      </c>
    </row>
    <row r="40" spans="2:13" x14ac:dyDescent="0.25">
      <c r="B40" s="18"/>
      <c r="C40" s="18"/>
      <c r="D40" s="15" t="s">
        <v>64</v>
      </c>
      <c r="E40" s="21"/>
    </row>
    <row r="41" spans="6:13" x14ac:dyDescent="0.25"/>
    <row r="42" spans="6:13" x14ac:dyDescent="0.25"/>
    <row r="43" spans="6:13" x14ac:dyDescent="0.25"/>
    <row r="44" spans="6:13" x14ac:dyDescent="0.25"/>
    <row r="45" spans="6:13" x14ac:dyDescent="0.25"/>
    <row r="46" spans="6:13" x14ac:dyDescent="0.25"/>
    <row r="47" spans="6:13" x14ac:dyDescent="0.25"/>
    <row r="48" spans="6:13" x14ac:dyDescent="0.25"/>
    <row r="49" spans="6:13" x14ac:dyDescent="0.25"/>
    <row r="50" spans="6:13" x14ac:dyDescent="0.25"/>
    <row r="51" spans="6:13" x14ac:dyDescent="0.25"/>
    <row r="52" spans="6:13" x14ac:dyDescent="0.25"/>
    <row r="53" spans="6:13" x14ac:dyDescent="0.25"/>
    <row r="54" spans="6:13" x14ac:dyDescent="0.25"/>
    <row r="55" spans="6:13" x14ac:dyDescent="0.25"/>
    <row r="56" spans="6:13" x14ac:dyDescent="0.25"/>
    <row r="57" spans="6:13" x14ac:dyDescent="0.25"/>
    <row r="58" spans="6:13" x14ac:dyDescent="0.25"/>
    <row r="59" spans="6:13" x14ac:dyDescent="0.25"/>
    <row r="60" spans="6:13" x14ac:dyDescent="0.25"/>
    <row r="61" spans="6:13" x14ac:dyDescent="0.25"/>
    <row r="62" spans="6:13" x14ac:dyDescent="0.25"/>
    <row r="63" spans="6:13" x14ac:dyDescent="0.25"/>
    <row r="64" spans="6:13" x14ac:dyDescent="0.25"/>
    <row r="65" spans="6:13" x14ac:dyDescent="0.25"/>
    <row r="66" spans="6:13" x14ac:dyDescent="0.25"/>
    <row r="67" spans="6:13" x14ac:dyDescent="0.25"/>
    <row r="68" spans="6:13" x14ac:dyDescent="0.25"/>
    <row r="69" spans="6:13" x14ac:dyDescent="0.25"/>
    <row r="70" spans="6:13" x14ac:dyDescent="0.25"/>
    <row r="71" spans="6:13" x14ac:dyDescent="0.25"/>
    <row r="72" spans="6:13" x14ac:dyDescent="0.25"/>
    <row r="73" spans="6:13" x14ac:dyDescent="0.25"/>
    <row r="74" spans="6:13" x14ac:dyDescent="0.25"/>
    <row r="75" spans="6:13" x14ac:dyDescent="0.25"/>
    <row r="76" spans="6:13" x14ac:dyDescent="0.25"/>
    <row r="77" spans="6:13" x14ac:dyDescent="0.25"/>
    <row r="78" spans="6:13" x14ac:dyDescent="0.25"/>
    <row r="79" spans="6:13" x14ac:dyDescent="0.25"/>
    <row r="80" spans="6:13" x14ac:dyDescent="0.25"/>
    <row r="81" spans="6:13" x14ac:dyDescent="0.25"/>
    <row r="82" spans="6:13" x14ac:dyDescent="0.25"/>
    <row r="83" spans="6:13" x14ac:dyDescent="0.25"/>
    <row r="84" spans="6:13" x14ac:dyDescent="0.25"/>
    <row r="85" spans="6:13" x14ac:dyDescent="0.25"/>
    <row r="86" spans="6:13" x14ac:dyDescent="0.25"/>
    <row r="87" spans="6:13" x14ac:dyDescent="0.25"/>
    <row r="88" spans="6:13" x14ac:dyDescent="0.25"/>
    <row r="89" spans="6:13" x14ac:dyDescent="0.25"/>
    <row r="90" spans="6:13" x14ac:dyDescent="0.25"/>
    <row r="91" spans="6:13" x14ac:dyDescent="0.25"/>
    <row r="92" spans="6:13" x14ac:dyDescent="0.25"/>
    <row r="93" spans="6:13" x14ac:dyDescent="0.25"/>
    <row r="94" spans="6:13" x14ac:dyDescent="0.25"/>
    <row r="95" spans="6:13" x14ac:dyDescent="0.25"/>
    <row r="96" spans="6:13" x14ac:dyDescent="0.25"/>
    <row r="97" spans="6:13" x14ac:dyDescent="0.25"/>
    <row r="98" spans="6:13" x14ac:dyDescent="0.25"/>
    <row r="99" spans="6:13" x14ac:dyDescent="0.25"/>
    <row r="100" spans="6:13" x14ac:dyDescent="0.25"/>
  </sheetData>
  <mergeCells count="7">
    <mergeCell ref="B11:D11"/>
    <mergeCell ref="C12:D12"/>
    <mergeCell ref="C17:D17"/>
    <mergeCell ref="C23:D23"/>
    <mergeCell ref="C27:D27"/>
    <mergeCell ref="C32:D32"/>
    <mergeCell ref="C37:D37"/>
  </mergeCells>
  <dataValidations count="4">
    <dataValidation type="list" allowBlank="1" showErrorMessage="1" errorStyle="stop" sqref="E28">
      <formula1>sspdtipos_TipoIdentificacion</formula1>
    </dataValidation>
    <dataValidation type="list" allowBlank="1" showErrorMessage="1" errorStyle="stop" sqref="E33">
      <formula1>sspdtipos_TipoGrupoMarcoNormativo</formula1>
    </dataValidation>
    <dataValidation type="list" allowBlank="1" showErrorMessage="1" errorStyle="stop" sqref="E34">
      <formula1>sspdtipos_TipoDeclaracionCumplimientoMarcoNormativo</formula1>
    </dataValidation>
    <dataValidation type="list" allowBlank="1" showErrorMessage="1" errorStyle="stop" sqref="E39">
      <formula1>sspdtipos_TipoSiNo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"/>
  <sheetViews>
    <sheetView workbookViewId="0" zoomScale="100" zoomScaleNormal="100"/>
  </sheetViews>
  <sheetFormatPr defaultRowHeight="15" outlineLevelRow="0" outlineLevelCol="0" x14ac:dyDescent="0"/>
  <sheetData>
    <row r="1" spans="6:13" x14ac:dyDescent="0.25"/>
    <row r="2" spans="6:13" x14ac:dyDescent="0.25"/>
    <row r="3" spans="2:13" x14ac:dyDescent="0.25">
      <c r="B3" t="s">
        <v>45</v>
      </c>
      <c r="D3" t="s">
        <v>65</v>
      </c>
      <c r="F3" t="s">
        <v>56</v>
      </c>
      <c r="H3" t="s">
        <v>66</v>
      </c>
    </row>
    <row r="4" spans="2:13" x14ac:dyDescent="0.25">
      <c r="B4" t="s">
        <v>67</v>
      </c>
      <c r="D4" t="s">
        <v>68</v>
      </c>
      <c r="F4" t="s">
        <v>69</v>
      </c>
      <c r="H4" t="s">
        <v>63</v>
      </c>
    </row>
    <row r="5" spans="2:13" x14ac:dyDescent="0.25">
      <c r="B5" t="s">
        <v>70</v>
      </c>
      <c r="D5" t="s">
        <v>54</v>
      </c>
    </row>
    <row r="6" spans="6:13" x14ac:dyDescent="0.25"/>
    <row r="7" spans="6:13" x14ac:dyDescent="0.25"/>
    <row r="8" spans="6:13" x14ac:dyDescent="0.25"/>
    <row r="9" spans="6:13" x14ac:dyDescent="0.25"/>
    <row r="10" spans="6:13" x14ac:dyDescent="0.25"/>
    <row r="11" spans="6:13" x14ac:dyDescent="0.25"/>
    <row r="12" spans="6:13" x14ac:dyDescent="0.25"/>
    <row r="13" spans="6:13" x14ac:dyDescent="0.25"/>
    <row r="14" spans="6:13" x14ac:dyDescent="0.25"/>
    <row r="15" spans="6:13" x14ac:dyDescent="0.25"/>
    <row r="16" spans="6:13" x14ac:dyDescent="0.25"/>
    <row r="17" spans="6:13" x14ac:dyDescent="0.25"/>
    <row r="18" spans="6:13" x14ac:dyDescent="0.25"/>
    <row r="19" spans="6:13" x14ac:dyDescent="0.25"/>
    <row r="20" spans="6:13" x14ac:dyDescent="0.25"/>
    <row r="21" spans="6:13" x14ac:dyDescent="0.25"/>
    <row r="22" spans="6:13" x14ac:dyDescent="0.25"/>
    <row r="23" spans="6:13" x14ac:dyDescent="0.25"/>
    <row r="24" spans="6:13" x14ac:dyDescent="0.25"/>
    <row r="25" spans="6:13" x14ac:dyDescent="0.25"/>
    <row r="26" spans="6:13" x14ac:dyDescent="0.25"/>
    <row r="27" spans="6:13" x14ac:dyDescent="0.25"/>
    <row r="28" spans="6:13" x14ac:dyDescent="0.25"/>
    <row r="29" spans="6:13" x14ac:dyDescent="0.25"/>
    <row r="30" spans="6:13" x14ac:dyDescent="0.25"/>
    <row r="31" spans="6:13" x14ac:dyDescent="0.25"/>
    <row r="32" spans="6:13" x14ac:dyDescent="0.25"/>
    <row r="33" spans="6:13" x14ac:dyDescent="0.25"/>
    <row r="34" spans="6:13" x14ac:dyDescent="0.25"/>
    <row r="35" spans="6:13" x14ac:dyDescent="0.25"/>
    <row r="36" spans="6:13" x14ac:dyDescent="0.25"/>
    <row r="37" spans="6:13" x14ac:dyDescent="0.25"/>
    <row r="38" spans="6:13" x14ac:dyDescent="0.25"/>
    <row r="39" spans="6:13" x14ac:dyDescent="0.25"/>
    <row r="40" spans="6:13" x14ac:dyDescent="0.25"/>
    <row r="41" spans="6:13" x14ac:dyDescent="0.25"/>
    <row r="42" spans="6:13" x14ac:dyDescent="0.25"/>
    <row r="43" spans="6:13" x14ac:dyDescent="0.25"/>
    <row r="44" spans="6:13" x14ac:dyDescent="0.25"/>
    <row r="45" spans="6:13" x14ac:dyDescent="0.25"/>
    <row r="46" spans="6:13" x14ac:dyDescent="0.25"/>
    <row r="47" spans="6:13" x14ac:dyDescent="0.25"/>
    <row r="48" spans="6:13" x14ac:dyDescent="0.25"/>
    <row r="49" spans="6:13" x14ac:dyDescent="0.25"/>
    <row r="50" spans="6:13" x14ac:dyDescent="0.25"/>
    <row r="51" spans="6:13" x14ac:dyDescent="0.25"/>
    <row r="52" spans="6:13" x14ac:dyDescent="0.25"/>
    <row r="53" spans="6:13" x14ac:dyDescent="0.25"/>
    <row r="54" spans="6:13" x14ac:dyDescent="0.25"/>
    <row r="55" spans="6:13" x14ac:dyDescent="0.25"/>
    <row r="56" spans="6:13" x14ac:dyDescent="0.25"/>
    <row r="57" spans="6:13" x14ac:dyDescent="0.25"/>
    <row r="58" spans="6:13" x14ac:dyDescent="0.25"/>
    <row r="59" spans="6:13" x14ac:dyDescent="0.25"/>
    <row r="60" spans="6:13" x14ac:dyDescent="0.25"/>
    <row r="61" spans="6:13" x14ac:dyDescent="0.25"/>
    <row r="62" spans="6:13" x14ac:dyDescent="0.25"/>
    <row r="63" spans="6:13" x14ac:dyDescent="0.25"/>
    <row r="64" spans="6:13" x14ac:dyDescent="0.25"/>
    <row r="65" spans="6:13" x14ac:dyDescent="0.25"/>
    <row r="66" spans="6:13" x14ac:dyDescent="0.25"/>
    <row r="67" spans="6:13" x14ac:dyDescent="0.25"/>
    <row r="68" spans="6:13" x14ac:dyDescent="0.25"/>
    <row r="69" spans="6:13" x14ac:dyDescent="0.25"/>
    <row r="70" spans="6:13" x14ac:dyDescent="0.25"/>
    <row r="71" spans="6:13" x14ac:dyDescent="0.25"/>
    <row r="72" spans="6:13" x14ac:dyDescent="0.25"/>
    <row r="73" spans="6:13" x14ac:dyDescent="0.25"/>
    <row r="74" spans="6:13" x14ac:dyDescent="0.25"/>
    <row r="75" spans="6:13" x14ac:dyDescent="0.25"/>
    <row r="76" spans="6:13" x14ac:dyDescent="0.25"/>
    <row r="77" spans="6:13" x14ac:dyDescent="0.25"/>
    <row r="78" spans="6:13" x14ac:dyDescent="0.25"/>
    <row r="79" spans="6:13" x14ac:dyDescent="0.25"/>
    <row r="80" spans="6:13" x14ac:dyDescent="0.25"/>
    <row r="81" spans="6:13" x14ac:dyDescent="0.25"/>
    <row r="82" spans="6:13" x14ac:dyDescent="0.25"/>
    <row r="83" spans="6:13" x14ac:dyDescent="0.25"/>
    <row r="84" spans="6:13" x14ac:dyDescent="0.25"/>
    <row r="85" spans="6:13" x14ac:dyDescent="0.25"/>
    <row r="86" spans="6:13" x14ac:dyDescent="0.25"/>
    <row r="87" spans="6:13" x14ac:dyDescent="0.25"/>
    <row r="88" spans="6:13" x14ac:dyDescent="0.25"/>
    <row r="89" spans="6:13" x14ac:dyDescent="0.25"/>
    <row r="90" spans="6:13" x14ac:dyDescent="0.25"/>
    <row r="91" spans="6:13" x14ac:dyDescent="0.25"/>
    <row r="92" spans="6:13" x14ac:dyDescent="0.25"/>
    <row r="93" spans="6:13" x14ac:dyDescent="0.25"/>
    <row r="94" spans="6:13" x14ac:dyDescent="0.25"/>
    <row r="95" spans="6:13" x14ac:dyDescent="0.25"/>
    <row r="96" spans="6:13" x14ac:dyDescent="0.25"/>
    <row r="97" spans="6:13" x14ac:dyDescent="0.25"/>
    <row r="98" spans="6:13" x14ac:dyDescent="0.25"/>
    <row r="99" spans="6:13" x14ac:dyDescent="0.25"/>
    <row r="100" spans="6:13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"/>
  <sheetViews>
    <sheetView workbookViewId="0" zoomScale="100" zoomScaleNormal="100"/>
  </sheetViews>
  <sheetFormatPr defaultRowHeight="15" outlineLevelRow="0" outlineLevelCol="0" x14ac:dyDescent="0"/>
  <cols>
    <col min="2" max="5" width="2.70703125" customWidth="1"/>
    <col min="6" max="6" width="50" customWidth="1"/>
    <col min="7" max="7" width="15" customWidth="1"/>
  </cols>
  <sheetData>
    <row r="1" spans="6:13" x14ac:dyDescent="0.25"/>
    <row r="2" spans="2:13" x14ac:dyDescent="0.25">
      <c r="B2" s="2" t="s">
        <v>9</v>
      </c>
    </row>
    <row r="3" spans="2:13" x14ac:dyDescent="0.25">
      <c r="B3" s="3" t="s">
        <v>10</v>
      </c>
      <c r="C3" t="s">
        <v>11</v>
      </c>
    </row>
    <row r="4" spans="2:13" x14ac:dyDescent="0.25">
      <c r="B4" s="3" t="s">
        <v>12</v>
      </c>
      <c r="C4" t="s">
        <v>13</v>
      </c>
    </row>
    <row r="5" spans="2:13" x14ac:dyDescent="0.25">
      <c r="B5" s="3" t="s">
        <v>14</v>
      </c>
      <c r="C5" t="s">
        <v>2</v>
      </c>
    </row>
    <row r="6" spans="2:13" x14ac:dyDescent="0.25">
      <c r="B6" s="3" t="s">
        <v>15</v>
      </c>
      <c r="C6" t="s">
        <v>16</v>
      </c>
    </row>
    <row r="7" spans="2:13" x14ac:dyDescent="0.25">
      <c r="B7" s="3" t="s">
        <v>17</v>
      </c>
      <c r="C7" t="s">
        <v>16</v>
      </c>
    </row>
    <row r="8" spans="2:13" x14ac:dyDescent="0.25">
      <c r="B8" s="3" t="s">
        <v>18</v>
      </c>
      <c r="C8" t="s">
        <v>16</v>
      </c>
    </row>
    <row r="9" spans="6:13" x14ac:dyDescent="0.25"/>
    <row r="10" spans="6:13" x14ac:dyDescent="0.25">
      <c r="G10" s="4" t="s">
        <v>19</v>
      </c>
    </row>
    <row r="11" spans="2:13" x14ac:dyDescent="0.25">
      <c r="B11" s="5" t="s">
        <v>71</v>
      </c>
      <c r="C11" s="6"/>
      <c r="D11" s="6"/>
      <c r="E11" s="6"/>
      <c r="F11" s="7"/>
      <c r="G11" s="8"/>
    </row>
    <row r="12" spans="2:13" x14ac:dyDescent="0.25">
      <c r="B12" s="9"/>
      <c r="C12" s="10" t="s">
        <v>72</v>
      </c>
      <c r="D12" s="22"/>
      <c r="E12" s="22"/>
      <c r="F12" s="11"/>
      <c r="G12" s="8"/>
    </row>
    <row r="13" spans="2:13" x14ac:dyDescent="0.25">
      <c r="B13" s="9"/>
      <c r="C13" s="12"/>
      <c r="D13" s="5" t="s">
        <v>73</v>
      </c>
      <c r="E13" s="6"/>
      <c r="F13" s="7"/>
      <c r="G13" s="23">
        <v>97671293</v>
      </c>
    </row>
    <row r="14" spans="2:13" x14ac:dyDescent="0.25">
      <c r="B14" s="9"/>
      <c r="C14" s="12"/>
      <c r="D14" s="18"/>
      <c r="E14" s="17" t="s">
        <v>74</v>
      </c>
      <c r="F14" s="11"/>
      <c r="G14" s="16" t="s">
        <v>75</v>
      </c>
    </row>
    <row r="15" spans="2:13" x14ac:dyDescent="0.25">
      <c r="B15" s="9"/>
      <c r="C15" s="12"/>
      <c r="D15" s="18" t="s">
        <v>76</v>
      </c>
      <c r="E15" s="6"/>
      <c r="F15" s="7"/>
      <c r="G15" s="23">
        <v>14097404</v>
      </c>
    </row>
    <row r="16" spans="2:13" x14ac:dyDescent="0.25">
      <c r="B16" s="9"/>
      <c r="C16" s="17"/>
      <c r="D16" s="17" t="s">
        <v>77</v>
      </c>
      <c r="E16" s="22"/>
      <c r="F16" s="11"/>
      <c r="G16" s="24">
        <v>111768697</v>
      </c>
    </row>
    <row r="17" spans="2:13" x14ac:dyDescent="0.25">
      <c r="B17" s="9"/>
      <c r="C17" s="5" t="s">
        <v>78</v>
      </c>
      <c r="D17" s="6"/>
      <c r="E17" s="6"/>
      <c r="F17" s="7"/>
      <c r="G17" s="8"/>
    </row>
    <row r="18" spans="2:13" x14ac:dyDescent="0.25">
      <c r="B18" s="9"/>
      <c r="C18" s="9"/>
      <c r="D18" s="17" t="s">
        <v>79</v>
      </c>
      <c r="E18" s="22"/>
      <c r="F18" s="11"/>
      <c r="G18" s="16" t="s">
        <v>75</v>
      </c>
    </row>
    <row r="19" spans="2:13" x14ac:dyDescent="0.25">
      <c r="B19" s="9"/>
      <c r="C19" s="9"/>
      <c r="D19" s="18" t="s">
        <v>80</v>
      </c>
      <c r="E19" s="6"/>
      <c r="F19" s="7"/>
      <c r="G19" s="14" t="s">
        <v>75</v>
      </c>
    </row>
    <row r="20" spans="2:13" x14ac:dyDescent="0.25">
      <c r="B20" s="9"/>
      <c r="C20" s="9"/>
      <c r="D20" s="17" t="s">
        <v>81</v>
      </c>
      <c r="E20" s="22"/>
      <c r="F20" s="11"/>
      <c r="G20" s="16" t="s">
        <v>75</v>
      </c>
    </row>
    <row r="21" spans="2:13" x14ac:dyDescent="0.25">
      <c r="B21" s="9"/>
      <c r="C21" s="9"/>
      <c r="D21" s="18" t="s">
        <v>82</v>
      </c>
      <c r="E21" s="6"/>
      <c r="F21" s="7"/>
      <c r="G21" s="14" t="s">
        <v>75</v>
      </c>
    </row>
    <row r="22" spans="2:13" x14ac:dyDescent="0.25">
      <c r="B22" s="9"/>
      <c r="C22" s="9"/>
      <c r="D22" s="17" t="s">
        <v>83</v>
      </c>
      <c r="E22" s="22"/>
      <c r="F22" s="11"/>
      <c r="G22" s="16" t="s">
        <v>75</v>
      </c>
    </row>
    <row r="23" spans="2:13" x14ac:dyDescent="0.25">
      <c r="B23" s="9"/>
      <c r="C23" s="18"/>
      <c r="D23" s="18" t="s">
        <v>84</v>
      </c>
      <c r="E23" s="6"/>
      <c r="F23" s="7"/>
      <c r="G23" s="14" t="s">
        <v>75</v>
      </c>
    </row>
    <row r="24" ht="28" customHeight="1" spans="2:13" x14ac:dyDescent="0.25">
      <c r="B24" s="9"/>
      <c r="C24" s="10" t="s">
        <v>85</v>
      </c>
      <c r="D24" s="22"/>
      <c r="E24" s="22"/>
      <c r="F24" s="11"/>
      <c r="G24" s="8"/>
    </row>
    <row r="25" ht="28" customHeight="1" spans="2:13" x14ac:dyDescent="0.25">
      <c r="B25" s="9"/>
      <c r="C25" s="12"/>
      <c r="D25" s="5" t="s">
        <v>86</v>
      </c>
      <c r="E25" s="6"/>
      <c r="F25" s="7"/>
      <c r="G25" s="14" t="s">
        <v>63</v>
      </c>
    </row>
    <row r="26" spans="2:13" x14ac:dyDescent="0.25">
      <c r="B26" s="9"/>
      <c r="C26" s="12"/>
      <c r="D26" s="9"/>
      <c r="E26" s="10" t="s">
        <v>87</v>
      </c>
      <c r="F26" s="11"/>
      <c r="G26" s="16"/>
    </row>
    <row r="27" spans="2:13" x14ac:dyDescent="0.25">
      <c r="B27" s="9"/>
      <c r="C27" s="12"/>
      <c r="D27" s="9"/>
      <c r="E27" s="17"/>
      <c r="F27" s="13" t="s">
        <v>88</v>
      </c>
      <c r="G27" s="14"/>
    </row>
    <row r="28" spans="2:13" x14ac:dyDescent="0.25">
      <c r="B28" s="9"/>
      <c r="C28" s="12"/>
      <c r="D28" s="9"/>
      <c r="E28" s="10" t="s">
        <v>89</v>
      </c>
      <c r="F28" s="11"/>
      <c r="G28" s="16"/>
    </row>
    <row r="29" spans="2:13" x14ac:dyDescent="0.25">
      <c r="B29" s="9"/>
      <c r="C29" s="12"/>
      <c r="D29" s="9"/>
      <c r="E29" s="17"/>
      <c r="F29" s="13" t="s">
        <v>90</v>
      </c>
      <c r="G29" s="14"/>
    </row>
    <row r="30" spans="2:13" x14ac:dyDescent="0.25">
      <c r="B30" s="9"/>
      <c r="C30" s="12"/>
      <c r="D30" s="9"/>
      <c r="E30" s="10" t="s">
        <v>91</v>
      </c>
      <c r="F30" s="11"/>
      <c r="G30" s="16"/>
    </row>
    <row r="31" spans="2:13" x14ac:dyDescent="0.25">
      <c r="B31" s="9"/>
      <c r="C31" s="12"/>
      <c r="D31" s="9"/>
      <c r="E31" s="17"/>
      <c r="F31" s="13" t="s">
        <v>92</v>
      </c>
      <c r="G31" s="14"/>
    </row>
    <row r="32" spans="2:13" x14ac:dyDescent="0.25">
      <c r="B32" s="9"/>
      <c r="C32" s="12"/>
      <c r="D32" s="9"/>
      <c r="E32" s="10" t="s">
        <v>93</v>
      </c>
      <c r="F32" s="11"/>
      <c r="G32" s="16"/>
    </row>
    <row r="33" spans="2:13" x14ac:dyDescent="0.25">
      <c r="B33" s="18"/>
      <c r="C33" s="17"/>
      <c r="D33" s="18"/>
      <c r="E33" s="17"/>
      <c r="F33" s="13" t="s">
        <v>94</v>
      </c>
      <c r="G33" s="25"/>
    </row>
    <row r="34" spans="6:13" x14ac:dyDescent="0.25"/>
    <row r="35" spans="6:13" x14ac:dyDescent="0.25"/>
    <row r="36" spans="6:13" x14ac:dyDescent="0.25"/>
    <row r="37" spans="6:13" x14ac:dyDescent="0.25"/>
    <row r="38" spans="6:13" x14ac:dyDescent="0.25"/>
    <row r="39" spans="6:13" x14ac:dyDescent="0.25"/>
    <row r="40" spans="6:13" x14ac:dyDescent="0.25"/>
    <row r="41" spans="6:13" x14ac:dyDescent="0.25"/>
    <row r="42" spans="6:13" x14ac:dyDescent="0.25"/>
    <row r="43" spans="6:13" x14ac:dyDescent="0.25"/>
    <row r="44" spans="6:13" x14ac:dyDescent="0.25"/>
    <row r="45" spans="6:13" x14ac:dyDescent="0.25"/>
    <row r="46" spans="6:13" x14ac:dyDescent="0.25"/>
    <row r="47" spans="6:13" x14ac:dyDescent="0.25"/>
    <row r="48" spans="6:13" x14ac:dyDescent="0.25"/>
    <row r="49" spans="6:13" x14ac:dyDescent="0.25"/>
    <row r="50" spans="6:13" x14ac:dyDescent="0.25"/>
    <row r="51" spans="6:13" x14ac:dyDescent="0.25"/>
    <row r="52" spans="6:13" x14ac:dyDescent="0.25"/>
    <row r="53" spans="6:13" x14ac:dyDescent="0.25"/>
    <row r="54" spans="6:13" x14ac:dyDescent="0.25"/>
    <row r="55" spans="6:13" x14ac:dyDescent="0.25"/>
    <row r="56" spans="6:13" x14ac:dyDescent="0.25"/>
    <row r="57" spans="6:13" x14ac:dyDescent="0.25"/>
    <row r="58" spans="6:13" x14ac:dyDescent="0.25"/>
    <row r="59" spans="6:13" x14ac:dyDescent="0.25"/>
    <row r="60" spans="6:13" x14ac:dyDescent="0.25"/>
    <row r="61" spans="6:13" x14ac:dyDescent="0.25"/>
    <row r="62" spans="6:13" x14ac:dyDescent="0.25"/>
    <row r="63" spans="6:13" x14ac:dyDescent="0.25"/>
    <row r="64" spans="6:13" x14ac:dyDescent="0.25"/>
    <row r="65" spans="6:13" x14ac:dyDescent="0.25"/>
    <row r="66" spans="6:13" x14ac:dyDescent="0.25"/>
    <row r="67" spans="6:13" x14ac:dyDescent="0.25"/>
    <row r="68" spans="6:13" x14ac:dyDescent="0.25"/>
    <row r="69" spans="6:13" x14ac:dyDescent="0.25"/>
    <row r="70" spans="6:13" x14ac:dyDescent="0.25"/>
    <row r="71" spans="6:13" x14ac:dyDescent="0.25"/>
    <row r="72" spans="6:13" x14ac:dyDescent="0.25"/>
    <row r="73" spans="6:13" x14ac:dyDescent="0.25"/>
    <row r="74" spans="6:13" x14ac:dyDescent="0.25"/>
    <row r="75" spans="6:13" x14ac:dyDescent="0.25"/>
    <row r="76" spans="6:13" x14ac:dyDescent="0.25"/>
    <row r="77" spans="6:13" x14ac:dyDescent="0.25"/>
    <row r="78" spans="6:13" x14ac:dyDescent="0.25"/>
    <row r="79" spans="6:13" x14ac:dyDescent="0.25"/>
    <row r="80" spans="6:13" x14ac:dyDescent="0.25"/>
    <row r="81" spans="6:13" x14ac:dyDescent="0.25"/>
    <row r="82" spans="6:13" x14ac:dyDescent="0.25"/>
    <row r="83" spans="6:13" x14ac:dyDescent="0.25"/>
    <row r="84" spans="6:13" x14ac:dyDescent="0.25"/>
    <row r="85" spans="6:13" x14ac:dyDescent="0.25"/>
    <row r="86" spans="6:13" x14ac:dyDescent="0.25"/>
    <row r="87" spans="6:13" x14ac:dyDescent="0.25"/>
    <row r="88" spans="6:13" x14ac:dyDescent="0.25"/>
    <row r="89" spans="6:13" x14ac:dyDescent="0.25"/>
    <row r="90" spans="6:13" x14ac:dyDescent="0.25"/>
    <row r="91" spans="6:13" x14ac:dyDescent="0.25"/>
    <row r="92" spans="6:13" x14ac:dyDescent="0.25"/>
    <row r="93" spans="6:13" x14ac:dyDescent="0.25"/>
    <row r="94" spans="6:13" x14ac:dyDescent="0.25"/>
    <row r="95" spans="6:13" x14ac:dyDescent="0.25"/>
    <row r="96" spans="6:13" x14ac:dyDescent="0.25"/>
    <row r="97" spans="6:13" x14ac:dyDescent="0.25"/>
    <row r="98" spans="6:13" x14ac:dyDescent="0.25"/>
    <row r="99" spans="6:13" x14ac:dyDescent="0.25"/>
    <row r="100" spans="6:13" x14ac:dyDescent="0.25"/>
  </sheetData>
  <mergeCells count="19">
    <mergeCell ref="B11:F11"/>
    <mergeCell ref="C12:F12"/>
    <mergeCell ref="D13:F13"/>
    <mergeCell ref="E14:F14"/>
    <mergeCell ref="D15:F15"/>
    <mergeCell ref="D16:F16"/>
    <mergeCell ref="C17:F17"/>
    <mergeCell ref="D18:F18"/>
    <mergeCell ref="D19:F19"/>
    <mergeCell ref="D20:F20"/>
    <mergeCell ref="D21:F21"/>
    <mergeCell ref="D22:F22"/>
    <mergeCell ref="D23:F23"/>
    <mergeCell ref="C24:F24"/>
    <mergeCell ref="D25:F25"/>
    <mergeCell ref="E26:F26"/>
    <mergeCell ref="E28:F28"/>
    <mergeCell ref="E30:F30"/>
    <mergeCell ref="E32:F32"/>
  </mergeCells>
  <dataValidations count="4">
    <dataValidation type="list" allowBlank="1" showErrorMessage="1" errorStyle="stop" sqref="G25:G26">
      <formula1>sspdtipos_TipoSiNo</formula1>
    </dataValidation>
    <dataValidation type="list" allowBlank="1" showErrorMessage="1" errorStyle="stop" sqref="G28">
      <formula1>sspdtipos_TipoSiNo</formula1>
    </dataValidation>
    <dataValidation type="list" allowBlank="1" showErrorMessage="1" errorStyle="stop" sqref="G30">
      <formula1>sspdtipos_TipoSiNo</formula1>
    </dataValidation>
    <dataValidation type="list" allowBlank="1" showErrorMessage="1" errorStyle="stop" sqref="G32">
      <formula1>sspdtipos_TipoSiNo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63"/>
  <sheetViews>
    <sheetView workbookViewId="0" zoomScale="100" zoomScaleNormal="100"/>
  </sheetViews>
  <sheetFormatPr defaultRowHeight="15" outlineLevelRow="0" outlineLevelCol="0" x14ac:dyDescent="0"/>
  <cols>
    <col min="2" max="7" width="2.70703125" customWidth="1"/>
    <col min="8" max="8" width="50" customWidth="1"/>
    <col min="9" max="17" width="15" customWidth="1"/>
  </cols>
  <sheetData>
    <row r="1" spans="6:13" x14ac:dyDescent="0.25"/>
    <row r="2" spans="2:13" x14ac:dyDescent="0.25">
      <c r="B2" s="2" t="s">
        <v>9</v>
      </c>
    </row>
    <row r="3" spans="2:13" x14ac:dyDescent="0.25">
      <c r="B3" s="3" t="s">
        <v>10</v>
      </c>
      <c r="C3" t="s">
        <v>11</v>
      </c>
    </row>
    <row r="4" spans="2:13" x14ac:dyDescent="0.25">
      <c r="B4" s="3" t="s">
        <v>12</v>
      </c>
      <c r="C4" t="s">
        <v>13</v>
      </c>
    </row>
    <row r="5" spans="2:13" x14ac:dyDescent="0.25">
      <c r="B5" s="3" t="s">
        <v>14</v>
      </c>
      <c r="C5" t="s">
        <v>3</v>
      </c>
    </row>
    <row r="6" spans="2:13" x14ac:dyDescent="0.25">
      <c r="B6" s="3" t="s">
        <v>15</v>
      </c>
      <c r="C6" t="s">
        <v>16</v>
      </c>
    </row>
    <row r="7" spans="2:13" x14ac:dyDescent="0.25">
      <c r="B7" s="3" t="s">
        <v>17</v>
      </c>
      <c r="C7" t="s">
        <v>16</v>
      </c>
    </row>
    <row r="8" spans="6:13" x14ac:dyDescent="0.25"/>
    <row r="9" spans="2:13" x14ac:dyDescent="0.25">
      <c r="B9" s="3" t="s">
        <v>18</v>
      </c>
      <c r="C9" t="s">
        <v>19</v>
      </c>
    </row>
    <row r="10" spans="6:17" x14ac:dyDescent="0.25">
      <c r="I10" s="26" t="s">
        <v>95</v>
      </c>
      <c r="J10" s="27"/>
      <c r="K10" s="27"/>
      <c r="L10" s="27"/>
      <c r="M10" s="27"/>
      <c r="N10" s="27"/>
      <c r="O10" s="27"/>
      <c r="P10" s="27"/>
      <c r="Q10" s="28"/>
    </row>
    <row r="11" spans="6:17" x14ac:dyDescent="0.25">
      <c r="I11" s="29" t="s">
        <v>96</v>
      </c>
      <c r="J11" s="4" t="s">
        <v>97</v>
      </c>
      <c r="K11" s="29" t="s">
        <v>98</v>
      </c>
      <c r="L11" s="4" t="s">
        <v>99</v>
      </c>
      <c r="M11" s="29" t="s">
        <v>100</v>
      </c>
      <c r="N11" s="4" t="s">
        <v>101</v>
      </c>
      <c r="O11" s="29" t="s">
        <v>102</v>
      </c>
      <c r="P11" s="4" t="s">
        <v>103</v>
      </c>
      <c r="Q11" s="30"/>
    </row>
    <row r="12" spans="2:17" x14ac:dyDescent="0.25">
      <c r="B12" s="5" t="s">
        <v>104</v>
      </c>
      <c r="C12" s="6"/>
      <c r="D12" s="6"/>
      <c r="E12" s="6"/>
      <c r="F12" s="6"/>
      <c r="G12" s="6"/>
      <c r="H12" s="7"/>
      <c r="I12" s="8"/>
      <c r="J12" s="8"/>
      <c r="K12" s="8"/>
      <c r="L12" s="8"/>
      <c r="M12" s="8"/>
      <c r="N12" s="8"/>
      <c r="O12" s="8"/>
      <c r="P12" s="8"/>
      <c r="Q12" s="8"/>
    </row>
    <row r="13" spans="2:17" x14ac:dyDescent="0.25">
      <c r="B13" s="9"/>
      <c r="C13" s="10" t="s">
        <v>105</v>
      </c>
      <c r="D13" s="22"/>
      <c r="E13" s="22"/>
      <c r="F13" s="22"/>
      <c r="G13" s="22"/>
      <c r="H13" s="11"/>
      <c r="I13" s="8"/>
      <c r="J13" s="8"/>
      <c r="K13" s="8"/>
      <c r="L13" s="8"/>
      <c r="M13" s="8"/>
      <c r="N13" s="8"/>
      <c r="O13" s="8"/>
      <c r="P13" s="8"/>
      <c r="Q13" s="8"/>
    </row>
    <row r="14" spans="2:17" x14ac:dyDescent="0.25">
      <c r="B14" s="9"/>
      <c r="C14" s="12"/>
      <c r="D14" s="5" t="s">
        <v>106</v>
      </c>
      <c r="E14" s="6"/>
      <c r="F14" s="6"/>
      <c r="G14" s="6"/>
      <c r="H14" s="7"/>
      <c r="I14" s="8"/>
      <c r="J14" s="8"/>
      <c r="K14" s="8"/>
      <c r="L14" s="8"/>
      <c r="M14" s="8"/>
      <c r="N14" s="8"/>
      <c r="O14" s="8"/>
      <c r="P14" s="8"/>
      <c r="Q14" s="8"/>
    </row>
    <row r="15" spans="2:17" x14ac:dyDescent="0.25">
      <c r="B15" s="9"/>
      <c r="C15" s="12"/>
      <c r="D15" s="9"/>
      <c r="E15" s="10" t="s">
        <v>107</v>
      </c>
      <c r="F15" s="22"/>
      <c r="G15" s="22"/>
      <c r="H15" s="11"/>
      <c r="I15" s="23">
        <v>32439054</v>
      </c>
      <c r="J15" s="23">
        <v>26996806</v>
      </c>
      <c r="K15" s="23">
        <v>52332837</v>
      </c>
      <c r="L15" s="31"/>
      <c r="M15" s="31"/>
      <c r="N15" s="31"/>
      <c r="O15" s="31"/>
      <c r="P15" s="31"/>
      <c r="Q15" s="23">
        <f>Hoja2!G16</f>
      </c>
    </row>
    <row r="16" spans="2:17" x14ac:dyDescent="0.25">
      <c r="B16" s="9"/>
      <c r="C16" s="12"/>
      <c r="D16" s="9"/>
      <c r="E16" s="17"/>
      <c r="F16" s="18" t="s">
        <v>108</v>
      </c>
      <c r="G16" s="6"/>
      <c r="H16" s="7"/>
      <c r="I16" s="32"/>
      <c r="J16" s="32"/>
      <c r="K16" s="32"/>
      <c r="L16" s="32"/>
      <c r="M16" s="32"/>
      <c r="N16" s="32"/>
      <c r="O16" s="32"/>
      <c r="P16" s="32"/>
      <c r="Q16" s="32"/>
    </row>
    <row r="17" ht="28" customHeight="1" spans="2:17" x14ac:dyDescent="0.25">
      <c r="B17" s="9"/>
      <c r="C17" s="12"/>
      <c r="D17" s="9"/>
      <c r="E17" s="10" t="s">
        <v>109</v>
      </c>
      <c r="F17" s="22"/>
      <c r="G17" s="22"/>
      <c r="H17" s="11"/>
      <c r="I17" s="8"/>
      <c r="J17" s="8"/>
      <c r="K17" s="8"/>
      <c r="L17" s="8"/>
      <c r="M17" s="8"/>
      <c r="N17" s="8"/>
      <c r="O17" s="8"/>
      <c r="P17" s="8"/>
      <c r="Q17" s="8"/>
    </row>
    <row r="18" ht="28" customHeight="1" spans="2:17" x14ac:dyDescent="0.25">
      <c r="B18" s="9"/>
      <c r="C18" s="12"/>
      <c r="D18" s="9"/>
      <c r="E18" s="12"/>
      <c r="F18" s="5" t="s">
        <v>110</v>
      </c>
      <c r="G18" s="6"/>
      <c r="H18" s="7"/>
      <c r="I18" s="8"/>
      <c r="J18" s="8"/>
      <c r="K18" s="8"/>
      <c r="L18" s="8"/>
      <c r="M18" s="8"/>
      <c r="N18" s="8"/>
      <c r="O18" s="8"/>
      <c r="P18" s="8"/>
      <c r="Q18" s="8"/>
    </row>
    <row r="19" ht="42" customHeight="1" spans="2:17" x14ac:dyDescent="0.25">
      <c r="B19" s="9"/>
      <c r="C19" s="12"/>
      <c r="D19" s="9"/>
      <c r="E19" s="12"/>
      <c r="F19" s="9"/>
      <c r="G19" s="17" t="s">
        <v>111</v>
      </c>
      <c r="H19" s="11"/>
      <c r="I19" s="23">
        <v>19322948</v>
      </c>
      <c r="J19" s="23">
        <v>9102524</v>
      </c>
      <c r="K19" s="23">
        <v>12982174</v>
      </c>
      <c r="L19" s="31"/>
      <c r="M19" s="31"/>
      <c r="N19" s="31"/>
      <c r="O19" s="8"/>
      <c r="P19" s="31"/>
      <c r="Q19" s="23">
        <v>41407646</v>
      </c>
    </row>
    <row r="20" spans="2:17" x14ac:dyDescent="0.25">
      <c r="B20" s="9"/>
      <c r="C20" s="12"/>
      <c r="D20" s="9"/>
      <c r="E20" s="12"/>
      <c r="F20" s="9"/>
      <c r="G20" s="5" t="s">
        <v>112</v>
      </c>
      <c r="H20" s="7"/>
      <c r="I20" s="24">
        <v>24469246</v>
      </c>
      <c r="J20" s="24">
        <v>13141929</v>
      </c>
      <c r="K20" s="24">
        <v>15333256</v>
      </c>
      <c r="L20" s="32"/>
      <c r="M20" s="32"/>
      <c r="N20" s="32"/>
      <c r="O20" s="8"/>
      <c r="P20" s="32"/>
      <c r="Q20" s="24">
        <v>52944431</v>
      </c>
    </row>
    <row r="21" spans="2:17" x14ac:dyDescent="0.25">
      <c r="B21" s="9"/>
      <c r="C21" s="12"/>
      <c r="D21" s="9"/>
      <c r="E21" s="12"/>
      <c r="F21" s="9"/>
      <c r="G21" s="18"/>
      <c r="H21" s="15" t="s">
        <v>113</v>
      </c>
      <c r="I21" s="8"/>
      <c r="J21" s="8"/>
      <c r="K21" s="8"/>
      <c r="L21" s="31"/>
      <c r="M21" s="31"/>
      <c r="N21" s="31"/>
      <c r="O21" s="8"/>
      <c r="P21" s="8"/>
      <c r="Q21" s="31"/>
    </row>
    <row r="22" ht="28" customHeight="1" spans="2:17" x14ac:dyDescent="0.25">
      <c r="B22" s="9"/>
      <c r="C22" s="12"/>
      <c r="D22" s="9"/>
      <c r="E22" s="12"/>
      <c r="F22" s="18"/>
      <c r="G22" s="18" t="s">
        <v>114</v>
      </c>
      <c r="H22" s="7"/>
      <c r="I22" s="8"/>
      <c r="J22" s="8"/>
      <c r="K22" s="32"/>
      <c r="L22" s="8"/>
      <c r="M22" s="8"/>
      <c r="N22" s="8"/>
      <c r="O22" s="8"/>
      <c r="P22" s="8"/>
      <c r="Q22" s="32"/>
    </row>
    <row r="23" ht="28" customHeight="1" spans="2:17" x14ac:dyDescent="0.25">
      <c r="B23" s="9"/>
      <c r="C23" s="12"/>
      <c r="D23" s="9"/>
      <c r="E23" s="12"/>
      <c r="F23" s="33" t="s">
        <v>115</v>
      </c>
      <c r="G23" s="34"/>
      <c r="H23" s="35"/>
      <c r="I23" s="23">
        <v>0</v>
      </c>
      <c r="J23" s="23">
        <v>0</v>
      </c>
      <c r="K23" s="23">
        <v>0</v>
      </c>
      <c r="L23" s="31">
        <v>0</v>
      </c>
      <c r="M23" s="31">
        <v>0</v>
      </c>
      <c r="N23" s="31">
        <f>N19+N20</f>
      </c>
      <c r="O23" s="31"/>
      <c r="P23" s="31">
        <f>P19+P20</f>
      </c>
      <c r="Q23" s="23">
        <f>Q19+Q20+Q22</f>
      </c>
    </row>
    <row r="24" spans="2:17" x14ac:dyDescent="0.25">
      <c r="B24" s="9"/>
      <c r="C24" s="12"/>
      <c r="D24" s="9"/>
      <c r="E24" s="12"/>
      <c r="F24" s="18" t="s">
        <v>116</v>
      </c>
      <c r="G24" s="6"/>
      <c r="H24" s="7"/>
      <c r="I24" s="24">
        <v>118030</v>
      </c>
      <c r="J24" s="32"/>
      <c r="K24" s="32"/>
      <c r="L24" s="32"/>
      <c r="M24" s="32"/>
      <c r="N24" s="32"/>
      <c r="O24" s="32"/>
      <c r="P24" s="32"/>
      <c r="Q24" s="24">
        <f>-Hoja5!L28+Hoja5!L27</f>
      </c>
    </row>
    <row r="25" spans="2:17" x14ac:dyDescent="0.25">
      <c r="B25" s="9"/>
      <c r="C25" s="12"/>
      <c r="D25" s="9"/>
      <c r="E25" s="12"/>
      <c r="F25" s="17" t="s">
        <v>117</v>
      </c>
      <c r="G25" s="22"/>
      <c r="H25" s="11"/>
      <c r="I25" s="23">
        <v>10011109</v>
      </c>
      <c r="J25" s="31"/>
      <c r="K25" s="31"/>
      <c r="L25" s="31"/>
      <c r="M25" s="31"/>
      <c r="N25" s="31"/>
      <c r="O25" s="31"/>
      <c r="P25" s="31"/>
      <c r="Q25" s="23">
        <f>Hoja5!L31-Hoja5!L32</f>
      </c>
    </row>
    <row r="26" ht="28" customHeight="1" spans="2:17" x14ac:dyDescent="0.25">
      <c r="B26" s="9"/>
      <c r="C26" s="12"/>
      <c r="D26" s="9"/>
      <c r="E26" s="17"/>
      <c r="F26" s="36" t="s">
        <v>118</v>
      </c>
      <c r="G26" s="37"/>
      <c r="H26" s="38"/>
      <c r="I26" s="24">
        <v>0</v>
      </c>
      <c r="J26" s="24">
        <v>0</v>
      </c>
      <c r="K26" s="24">
        <v>0</v>
      </c>
      <c r="L26" s="32">
        <v>0</v>
      </c>
      <c r="M26" s="32">
        <v>0</v>
      </c>
      <c r="N26" s="32">
        <f>SUM(N23:N25)</f>
      </c>
      <c r="O26" s="32">
        <f>SUM(O23:O25)</f>
      </c>
      <c r="P26" s="32">
        <f>SUM(P23:P25)</f>
      </c>
      <c r="Q26" s="24">
        <f>SUM(Q23:Q25)</f>
      </c>
    </row>
    <row r="27" spans="2:17" x14ac:dyDescent="0.25">
      <c r="B27" s="9"/>
      <c r="C27" s="12"/>
      <c r="D27" s="9"/>
      <c r="E27" s="17" t="s">
        <v>119</v>
      </c>
      <c r="F27" s="22"/>
      <c r="G27" s="22"/>
      <c r="H27" s="11"/>
      <c r="I27" s="23">
        <v>15974333</v>
      </c>
      <c r="J27" s="31"/>
      <c r="K27" s="31"/>
      <c r="L27" s="31"/>
      <c r="M27" s="31"/>
      <c r="N27" s="31"/>
      <c r="O27" s="31"/>
      <c r="P27" s="31"/>
      <c r="Q27" s="23">
        <v>15974333</v>
      </c>
    </row>
    <row r="28" spans="2:17" x14ac:dyDescent="0.25">
      <c r="B28" s="9"/>
      <c r="C28" s="12"/>
      <c r="D28" s="9"/>
      <c r="E28" s="18" t="s">
        <v>120</v>
      </c>
      <c r="F28" s="6"/>
      <c r="G28" s="6"/>
      <c r="H28" s="7"/>
      <c r="I28" s="32"/>
      <c r="J28" s="32"/>
      <c r="K28" s="32"/>
      <c r="L28" s="32"/>
      <c r="M28" s="32"/>
      <c r="N28" s="32"/>
      <c r="O28" s="32"/>
      <c r="P28" s="32"/>
      <c r="Q28" s="32"/>
    </row>
    <row r="29" spans="2:17" x14ac:dyDescent="0.25">
      <c r="B29" s="9"/>
      <c r="C29" s="12"/>
      <c r="D29" s="9"/>
      <c r="E29" s="17" t="s">
        <v>121</v>
      </c>
      <c r="F29" s="22"/>
      <c r="G29" s="22"/>
      <c r="H29" s="11"/>
      <c r="I29" s="31"/>
      <c r="J29" s="31"/>
      <c r="K29" s="31"/>
      <c r="L29" s="31"/>
      <c r="M29" s="31"/>
      <c r="N29" s="31"/>
      <c r="O29" s="31"/>
      <c r="P29" s="31"/>
      <c r="Q29" s="31"/>
    </row>
    <row r="30" spans="2:17" x14ac:dyDescent="0.25">
      <c r="B30" s="9"/>
      <c r="C30" s="12"/>
      <c r="D30" s="9"/>
      <c r="E30" s="18" t="s">
        <v>122</v>
      </c>
      <c r="F30" s="6"/>
      <c r="G30" s="6"/>
      <c r="H30" s="7"/>
      <c r="I30" s="32"/>
      <c r="J30" s="32"/>
      <c r="K30" s="32"/>
      <c r="L30" s="32"/>
      <c r="M30" s="32"/>
      <c r="N30" s="32"/>
      <c r="O30" s="32"/>
      <c r="P30" s="32"/>
      <c r="Q30" s="32"/>
    </row>
    <row r="31" spans="2:17" x14ac:dyDescent="0.25">
      <c r="B31" s="9"/>
      <c r="C31" s="12"/>
      <c r="D31" s="9"/>
      <c r="E31" s="17" t="s">
        <v>123</v>
      </c>
      <c r="F31" s="22"/>
      <c r="G31" s="22"/>
      <c r="H31" s="11"/>
      <c r="I31" s="31"/>
      <c r="J31" s="31"/>
      <c r="K31" s="31"/>
      <c r="L31" s="31"/>
      <c r="M31" s="31"/>
      <c r="N31" s="31"/>
      <c r="O31" s="31"/>
      <c r="P31" s="31"/>
      <c r="Q31" s="31"/>
    </row>
    <row r="32" spans="2:17" x14ac:dyDescent="0.25">
      <c r="B32" s="9"/>
      <c r="C32" s="12"/>
      <c r="D32" s="18"/>
      <c r="E32" s="36" t="s">
        <v>124</v>
      </c>
      <c r="F32" s="37"/>
      <c r="G32" s="37"/>
      <c r="H32" s="38"/>
      <c r="I32" s="24">
        <v>0</v>
      </c>
      <c r="J32" s="24">
        <v>0</v>
      </c>
      <c r="K32" s="24">
        <v>0</v>
      </c>
      <c r="L32" s="32">
        <v>0</v>
      </c>
      <c r="M32" s="32">
        <v>0</v>
      </c>
      <c r="N32" s="32">
        <f>N15+SUM(N26:N31)</f>
      </c>
      <c r="O32" s="32">
        <f>O15+SUM(O26:O31)</f>
      </c>
      <c r="P32" s="32">
        <f>P15+SUM(P26:P31)</f>
      </c>
      <c r="Q32" s="24">
        <f>Q15+SUM(Q26:Q31)</f>
      </c>
    </row>
    <row r="33" spans="2:17" x14ac:dyDescent="0.25">
      <c r="B33" s="9"/>
      <c r="C33" s="12"/>
      <c r="D33" s="10" t="s">
        <v>125</v>
      </c>
      <c r="E33" s="22"/>
      <c r="F33" s="22"/>
      <c r="G33" s="22"/>
      <c r="H33" s="11"/>
      <c r="I33" s="8"/>
      <c r="J33" s="8"/>
      <c r="K33" s="8"/>
      <c r="L33" s="8"/>
      <c r="M33" s="8"/>
      <c r="N33" s="8"/>
      <c r="O33" s="8"/>
      <c r="P33" s="8"/>
      <c r="Q33" s="8"/>
    </row>
    <row r="34" spans="2:17" x14ac:dyDescent="0.25">
      <c r="B34" s="9"/>
      <c r="C34" s="12"/>
      <c r="D34" s="12"/>
      <c r="E34" s="18" t="s">
        <v>126</v>
      </c>
      <c r="F34" s="6"/>
      <c r="G34" s="6"/>
      <c r="H34" s="7"/>
      <c r="I34" s="24">
        <v>718819563</v>
      </c>
      <c r="J34" s="24">
        <v>4882168</v>
      </c>
      <c r="K34" s="24">
        <v>10966643</v>
      </c>
      <c r="L34" s="32"/>
      <c r="M34" s="32"/>
      <c r="N34" s="32"/>
      <c r="O34" s="32"/>
      <c r="P34" s="32"/>
      <c r="Q34" s="24">
        <v>734668374</v>
      </c>
    </row>
    <row r="35" spans="2:17" x14ac:dyDescent="0.25">
      <c r="B35" s="9"/>
      <c r="C35" s="12"/>
      <c r="D35" s="12"/>
      <c r="E35" s="17" t="s">
        <v>127</v>
      </c>
      <c r="F35" s="22"/>
      <c r="G35" s="22"/>
      <c r="H35" s="11"/>
      <c r="I35" s="31"/>
      <c r="J35" s="31"/>
      <c r="K35" s="31"/>
      <c r="L35" s="31"/>
      <c r="M35" s="31"/>
      <c r="N35" s="31"/>
      <c r="O35" s="31"/>
      <c r="P35" s="31"/>
      <c r="Q35" s="31"/>
    </row>
    <row r="36" spans="2:17" x14ac:dyDescent="0.25">
      <c r="B36" s="9"/>
      <c r="C36" s="12"/>
      <c r="D36" s="12"/>
      <c r="E36" s="18" t="s">
        <v>128</v>
      </c>
      <c r="F36" s="6"/>
      <c r="G36" s="6"/>
      <c r="H36" s="7"/>
      <c r="I36" s="24">
        <v>15380134</v>
      </c>
      <c r="J36" s="32"/>
      <c r="K36" s="32"/>
      <c r="L36" s="32"/>
      <c r="M36" s="32"/>
      <c r="N36" s="32"/>
      <c r="O36" s="32"/>
      <c r="P36" s="32"/>
      <c r="Q36" s="24">
        <v>15380134</v>
      </c>
    </row>
    <row r="37" spans="2:17" x14ac:dyDescent="0.25">
      <c r="B37" s="9"/>
      <c r="C37" s="12"/>
      <c r="D37" s="12"/>
      <c r="E37" s="17" t="s">
        <v>129</v>
      </c>
      <c r="F37" s="22"/>
      <c r="G37" s="22"/>
      <c r="H37" s="11"/>
      <c r="I37" s="31"/>
      <c r="J37" s="31"/>
      <c r="K37" s="31"/>
      <c r="L37" s="31"/>
      <c r="M37" s="31"/>
      <c r="N37" s="31"/>
      <c r="O37" s="31"/>
      <c r="P37" s="31"/>
      <c r="Q37" s="31"/>
    </row>
    <row r="38" ht="28" customHeight="1" spans="2:17" x14ac:dyDescent="0.25">
      <c r="B38" s="9"/>
      <c r="C38" s="12"/>
      <c r="D38" s="12"/>
      <c r="E38" s="5" t="s">
        <v>130</v>
      </c>
      <c r="F38" s="6"/>
      <c r="G38" s="6"/>
      <c r="H38" s="7"/>
      <c r="I38" s="8"/>
      <c r="J38" s="8"/>
      <c r="K38" s="8"/>
      <c r="L38" s="8"/>
      <c r="M38" s="8"/>
      <c r="N38" s="8"/>
      <c r="O38" s="8"/>
      <c r="P38" s="8"/>
      <c r="Q38" s="8"/>
    </row>
    <row r="39" ht="28" customHeight="1" spans="2:17" x14ac:dyDescent="0.25">
      <c r="B39" s="9"/>
      <c r="C39" s="12"/>
      <c r="D39" s="12"/>
      <c r="E39" s="9"/>
      <c r="F39" s="10" t="s">
        <v>131</v>
      </c>
      <c r="G39" s="22"/>
      <c r="H39" s="11"/>
      <c r="I39" s="8"/>
      <c r="J39" s="8"/>
      <c r="K39" s="8"/>
      <c r="L39" s="8"/>
      <c r="M39" s="8"/>
      <c r="N39" s="8"/>
      <c r="O39" s="8"/>
      <c r="P39" s="8"/>
      <c r="Q39" s="8"/>
    </row>
    <row r="40" ht="42" customHeight="1" spans="2:17" x14ac:dyDescent="0.25">
      <c r="B40" s="9"/>
      <c r="C40" s="12"/>
      <c r="D40" s="12"/>
      <c r="E40" s="9"/>
      <c r="F40" s="12"/>
      <c r="G40" s="18" t="s">
        <v>132</v>
      </c>
      <c r="H40" s="7"/>
      <c r="I40" s="32"/>
      <c r="J40" s="32"/>
      <c r="K40" s="32"/>
      <c r="L40" s="32"/>
      <c r="M40" s="32"/>
      <c r="N40" s="32"/>
      <c r="O40" s="8"/>
      <c r="P40" s="32"/>
      <c r="Q40" s="32"/>
    </row>
    <row r="41" spans="2:17" x14ac:dyDescent="0.25">
      <c r="B41" s="9"/>
      <c r="C41" s="12"/>
      <c r="D41" s="12"/>
      <c r="E41" s="9"/>
      <c r="F41" s="12"/>
      <c r="G41" s="10" t="s">
        <v>133</v>
      </c>
      <c r="H41" s="11"/>
      <c r="I41" s="31"/>
      <c r="J41" s="31"/>
      <c r="K41" s="31"/>
      <c r="L41" s="31"/>
      <c r="M41" s="31"/>
      <c r="N41" s="31"/>
      <c r="O41" s="8"/>
      <c r="P41" s="31"/>
      <c r="Q41" s="31"/>
    </row>
    <row r="42" spans="2:17" x14ac:dyDescent="0.25">
      <c r="B42" s="9"/>
      <c r="C42" s="12"/>
      <c r="D42" s="12"/>
      <c r="E42" s="9"/>
      <c r="F42" s="12"/>
      <c r="G42" s="17"/>
      <c r="H42" s="13" t="s">
        <v>134</v>
      </c>
      <c r="I42" s="8"/>
      <c r="J42" s="8"/>
      <c r="K42" s="8"/>
      <c r="L42" s="32"/>
      <c r="M42" s="32"/>
      <c r="N42" s="32"/>
      <c r="O42" s="8"/>
      <c r="P42" s="8"/>
      <c r="Q42" s="32"/>
    </row>
    <row r="43" ht="28" customHeight="1" spans="2:17" x14ac:dyDescent="0.25">
      <c r="B43" s="9"/>
      <c r="C43" s="12"/>
      <c r="D43" s="12"/>
      <c r="E43" s="9"/>
      <c r="F43" s="17"/>
      <c r="G43" s="17" t="s">
        <v>135</v>
      </c>
      <c r="H43" s="11"/>
      <c r="I43" s="8"/>
      <c r="J43" s="8"/>
      <c r="K43" s="31"/>
      <c r="L43" s="8"/>
      <c r="M43" s="8"/>
      <c r="N43" s="8"/>
      <c r="O43" s="8"/>
      <c r="P43" s="8"/>
      <c r="Q43" s="31"/>
    </row>
    <row r="44" ht="28" customHeight="1" spans="2:17" x14ac:dyDescent="0.25">
      <c r="B44" s="9"/>
      <c r="C44" s="12"/>
      <c r="D44" s="12"/>
      <c r="E44" s="9"/>
      <c r="F44" s="36" t="s">
        <v>136</v>
      </c>
      <c r="G44" s="37"/>
      <c r="H44" s="38"/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f>N40+N41</f>
      </c>
      <c r="O44" s="32"/>
      <c r="P44" s="32">
        <f>P40+P41</f>
      </c>
      <c r="Q44" s="32">
        <f>Q40+Q41+Q43</f>
      </c>
    </row>
    <row r="45" spans="2:17" x14ac:dyDescent="0.25">
      <c r="B45" s="9"/>
      <c r="C45" s="12"/>
      <c r="D45" s="12"/>
      <c r="E45" s="9"/>
      <c r="F45" s="17" t="s">
        <v>137</v>
      </c>
      <c r="G45" s="22"/>
      <c r="H45" s="11"/>
      <c r="I45" s="31"/>
      <c r="J45" s="31"/>
      <c r="K45" s="31"/>
      <c r="L45" s="31"/>
      <c r="M45" s="31"/>
      <c r="N45" s="31"/>
      <c r="O45" s="31"/>
      <c r="P45" s="31"/>
      <c r="Q45" s="31">
        <f>Hoja5!L47-Hoja5!L48</f>
      </c>
    </row>
    <row r="46" ht="28" customHeight="1" spans="2:17" x14ac:dyDescent="0.25">
      <c r="B46" s="9"/>
      <c r="C46" s="12"/>
      <c r="D46" s="12"/>
      <c r="E46" s="9"/>
      <c r="F46" s="18" t="s">
        <v>138</v>
      </c>
      <c r="G46" s="6"/>
      <c r="H46" s="7"/>
      <c r="I46" s="32"/>
      <c r="J46" s="32"/>
      <c r="K46" s="32"/>
      <c r="L46" s="32"/>
      <c r="M46" s="32"/>
      <c r="N46" s="32"/>
      <c r="O46" s="32"/>
      <c r="P46" s="32"/>
      <c r="Q46" s="32">
        <f>Hoja5!L51-Hoja5!L52</f>
      </c>
    </row>
    <row r="47" ht="28" customHeight="1" spans="2:17" x14ac:dyDescent="0.25">
      <c r="B47" s="9"/>
      <c r="C47" s="12"/>
      <c r="D47" s="12"/>
      <c r="E47" s="18"/>
      <c r="F47" s="33" t="s">
        <v>139</v>
      </c>
      <c r="G47" s="34"/>
      <c r="H47" s="35"/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f>SUM(N44:N46)</f>
      </c>
      <c r="O47" s="31">
        <f>SUM(O44:O46)</f>
      </c>
      <c r="P47" s="31">
        <f>SUM(P44:P46)</f>
      </c>
      <c r="Q47" s="31">
        <f>SUM(Q44:Q46)</f>
      </c>
    </row>
    <row r="48" spans="2:17" x14ac:dyDescent="0.25">
      <c r="B48" s="9"/>
      <c r="C48" s="12"/>
      <c r="D48" s="12"/>
      <c r="E48" s="18" t="s">
        <v>140</v>
      </c>
      <c r="F48" s="6"/>
      <c r="G48" s="6"/>
      <c r="H48" s="7"/>
      <c r="I48" s="32"/>
      <c r="J48" s="32"/>
      <c r="K48" s="32"/>
      <c r="L48" s="32"/>
      <c r="M48" s="32"/>
      <c r="N48" s="32"/>
      <c r="O48" s="32"/>
      <c r="P48" s="32"/>
      <c r="Q48" s="32"/>
    </row>
    <row r="49" spans="2:17" x14ac:dyDescent="0.25">
      <c r="B49" s="9"/>
      <c r="C49" s="12"/>
      <c r="D49" s="12"/>
      <c r="E49" s="17" t="s">
        <v>141</v>
      </c>
      <c r="F49" s="22"/>
      <c r="G49" s="22"/>
      <c r="H49" s="11"/>
      <c r="I49" s="31"/>
      <c r="J49" s="31"/>
      <c r="K49" s="31"/>
      <c r="L49" s="31"/>
      <c r="M49" s="31"/>
      <c r="N49" s="31"/>
      <c r="O49" s="31"/>
      <c r="P49" s="31"/>
      <c r="Q49" s="31"/>
    </row>
    <row r="50" spans="2:17" x14ac:dyDescent="0.25">
      <c r="B50" s="9"/>
      <c r="C50" s="12"/>
      <c r="D50" s="12"/>
      <c r="E50" s="18" t="s">
        <v>142</v>
      </c>
      <c r="F50" s="6"/>
      <c r="G50" s="6"/>
      <c r="H50" s="7"/>
      <c r="I50" s="24">
        <v>243257273</v>
      </c>
      <c r="J50" s="32"/>
      <c r="K50" s="32"/>
      <c r="L50" s="32"/>
      <c r="M50" s="32"/>
      <c r="N50" s="32"/>
      <c r="O50" s="32"/>
      <c r="P50" s="32"/>
      <c r="Q50" s="24">
        <v>243257273</v>
      </c>
    </row>
    <row r="51" spans="2:17" x14ac:dyDescent="0.25">
      <c r="B51" s="9"/>
      <c r="C51" s="12"/>
      <c r="D51" s="17"/>
      <c r="E51" s="33" t="s">
        <v>143</v>
      </c>
      <c r="F51" s="34"/>
      <c r="G51" s="34"/>
      <c r="H51" s="35"/>
      <c r="I51" s="23">
        <v>0</v>
      </c>
      <c r="J51" s="23">
        <v>0</v>
      </c>
      <c r="K51" s="23">
        <v>0</v>
      </c>
      <c r="L51" s="31">
        <v>0</v>
      </c>
      <c r="M51" s="31">
        <v>0</v>
      </c>
      <c r="N51" s="31">
        <f>SUM(N34:N37)+SUM(N47:N50)</f>
      </c>
      <c r="O51" s="31">
        <f>SUM(O34:O37)+SUM(O47:O50)</f>
      </c>
      <c r="P51" s="31">
        <f>SUM(P34:P37)+SUM(P47:P50)</f>
      </c>
      <c r="Q51" s="23">
        <f>SUM(Q34:Q37)+SUM(Q47:Q50)</f>
      </c>
    </row>
    <row r="52" spans="2:17" x14ac:dyDescent="0.25">
      <c r="B52" s="9"/>
      <c r="C52" s="17"/>
      <c r="D52" s="36" t="s">
        <v>144</v>
      </c>
      <c r="E52" s="37"/>
      <c r="F52" s="37"/>
      <c r="G52" s="37"/>
      <c r="H52" s="38"/>
      <c r="I52" s="24">
        <v>0</v>
      </c>
      <c r="J52" s="24">
        <v>0</v>
      </c>
      <c r="K52" s="24">
        <v>0</v>
      </c>
      <c r="L52" s="32">
        <v>0</v>
      </c>
      <c r="M52" s="32">
        <v>0</v>
      </c>
      <c r="N52" s="32">
        <f>N32+N51</f>
      </c>
      <c r="O52" s="32">
        <f>O32+O51</f>
      </c>
      <c r="P52" s="32">
        <f>P32+P51</f>
      </c>
      <c r="Q52" s="24">
        <f>Q32+Q51</f>
      </c>
    </row>
    <row r="53" spans="2:17" x14ac:dyDescent="0.25">
      <c r="B53" s="9"/>
      <c r="C53" s="10" t="s">
        <v>145</v>
      </c>
      <c r="D53" s="22"/>
      <c r="E53" s="22"/>
      <c r="F53" s="22"/>
      <c r="G53" s="22"/>
      <c r="H53" s="11"/>
      <c r="I53" s="8"/>
      <c r="J53" s="8"/>
      <c r="K53" s="8"/>
      <c r="L53" s="8"/>
      <c r="M53" s="8"/>
      <c r="N53" s="8"/>
      <c r="O53" s="8"/>
      <c r="P53" s="8"/>
      <c r="Q53" s="8"/>
    </row>
    <row r="54" spans="2:17" x14ac:dyDescent="0.25">
      <c r="B54" s="9"/>
      <c r="C54" s="12"/>
      <c r="D54" s="5" t="s">
        <v>146</v>
      </c>
      <c r="E54" s="6"/>
      <c r="F54" s="6"/>
      <c r="G54" s="6"/>
      <c r="H54" s="7"/>
      <c r="I54" s="8"/>
      <c r="J54" s="8"/>
      <c r="K54" s="8"/>
      <c r="L54" s="8"/>
      <c r="M54" s="8"/>
      <c r="N54" s="8"/>
      <c r="O54" s="8"/>
      <c r="P54" s="8"/>
      <c r="Q54" s="8"/>
    </row>
    <row r="55" spans="2:17" x14ac:dyDescent="0.25">
      <c r="B55" s="9"/>
      <c r="C55" s="12"/>
      <c r="D55" s="9"/>
      <c r="E55" s="10" t="s">
        <v>147</v>
      </c>
      <c r="F55" s="22"/>
      <c r="G55" s="22"/>
      <c r="H55" s="11"/>
      <c r="I55" s="8"/>
      <c r="J55" s="8"/>
      <c r="K55" s="8"/>
      <c r="L55" s="8"/>
      <c r="M55" s="8"/>
      <c r="N55" s="8"/>
      <c r="O55" s="8"/>
      <c r="P55" s="8"/>
      <c r="Q55" s="8"/>
    </row>
    <row r="56" spans="2:17" x14ac:dyDescent="0.25">
      <c r="B56" s="9"/>
      <c r="C56" s="12"/>
      <c r="D56" s="9"/>
      <c r="E56" s="12"/>
      <c r="F56" s="18" t="s">
        <v>148</v>
      </c>
      <c r="G56" s="6"/>
      <c r="H56" s="7"/>
      <c r="I56" s="32"/>
      <c r="J56" s="32"/>
      <c r="K56" s="32"/>
      <c r="L56" s="32"/>
      <c r="M56" s="32"/>
      <c r="N56" s="32"/>
      <c r="O56" s="32"/>
      <c r="P56" s="32"/>
      <c r="Q56" s="32"/>
    </row>
    <row r="57" spans="2:17" x14ac:dyDescent="0.25">
      <c r="B57" s="9"/>
      <c r="C57" s="12"/>
      <c r="D57" s="9"/>
      <c r="E57" s="12"/>
      <c r="F57" s="10" t="s">
        <v>149</v>
      </c>
      <c r="G57" s="22"/>
      <c r="H57" s="11"/>
      <c r="I57" s="23">
        <v>2638563</v>
      </c>
      <c r="J57" s="23">
        <v>1268565</v>
      </c>
      <c r="K57" s="23">
        <v>31307349</v>
      </c>
      <c r="L57" s="31"/>
      <c r="M57" s="31"/>
      <c r="N57" s="31"/>
      <c r="O57" s="31"/>
      <c r="P57" s="31"/>
      <c r="Q57" s="23">
        <v>35214477</v>
      </c>
    </row>
    <row r="58" spans="2:17" x14ac:dyDescent="0.25">
      <c r="B58" s="9"/>
      <c r="C58" s="12"/>
      <c r="D58" s="9"/>
      <c r="E58" s="12"/>
      <c r="F58" s="12"/>
      <c r="G58" s="18" t="s">
        <v>150</v>
      </c>
      <c r="H58" s="7"/>
      <c r="I58" s="32"/>
      <c r="J58" s="32"/>
      <c r="K58" s="32"/>
      <c r="L58" s="32"/>
      <c r="M58" s="32"/>
      <c r="N58" s="32"/>
      <c r="O58" s="32"/>
      <c r="P58" s="32"/>
      <c r="Q58" s="32"/>
    </row>
    <row r="59" spans="2:17" x14ac:dyDescent="0.25">
      <c r="B59" s="9"/>
      <c r="C59" s="12"/>
      <c r="D59" s="9"/>
      <c r="E59" s="12"/>
      <c r="F59" s="17"/>
      <c r="G59" s="17" t="s">
        <v>151</v>
      </c>
      <c r="H59" s="11"/>
      <c r="I59" s="31"/>
      <c r="J59" s="31"/>
      <c r="K59" s="31"/>
      <c r="L59" s="31"/>
      <c r="M59" s="31"/>
      <c r="N59" s="31"/>
      <c r="O59" s="31"/>
      <c r="P59" s="31"/>
      <c r="Q59" s="31"/>
    </row>
    <row r="60" spans="2:17" x14ac:dyDescent="0.25">
      <c r="B60" s="9"/>
      <c r="C60" s="12"/>
      <c r="D60" s="9"/>
      <c r="E60" s="12"/>
      <c r="F60" s="18" t="s">
        <v>152</v>
      </c>
      <c r="G60" s="6"/>
      <c r="H60" s="7"/>
      <c r="I60" s="32"/>
      <c r="J60" s="32"/>
      <c r="K60" s="32"/>
      <c r="L60" s="32"/>
      <c r="M60" s="32"/>
      <c r="N60" s="32"/>
      <c r="O60" s="32"/>
      <c r="P60" s="32"/>
      <c r="Q60" s="32"/>
    </row>
    <row r="61" spans="2:17" x14ac:dyDescent="0.25">
      <c r="B61" s="9"/>
      <c r="C61" s="12"/>
      <c r="D61" s="9"/>
      <c r="E61" s="12"/>
      <c r="F61" s="17" t="s">
        <v>153</v>
      </c>
      <c r="G61" s="22"/>
      <c r="H61" s="11"/>
      <c r="I61" s="23">
        <v>5855640</v>
      </c>
      <c r="J61" s="23">
        <v>4028832</v>
      </c>
      <c r="K61" s="23">
        <v>4904455</v>
      </c>
      <c r="L61" s="31"/>
      <c r="M61" s="31"/>
      <c r="N61" s="31"/>
      <c r="O61" s="31"/>
      <c r="P61" s="31"/>
      <c r="Q61" s="23">
        <v>14788927</v>
      </c>
    </row>
    <row r="62" spans="2:17" x14ac:dyDescent="0.25">
      <c r="B62" s="9"/>
      <c r="C62" s="12"/>
      <c r="D62" s="9"/>
      <c r="E62" s="12"/>
      <c r="F62" s="18" t="s">
        <v>154</v>
      </c>
      <c r="G62" s="6"/>
      <c r="H62" s="7"/>
      <c r="I62" s="32"/>
      <c r="J62" s="32"/>
      <c r="K62" s="32"/>
      <c r="L62" s="32"/>
      <c r="M62" s="32"/>
      <c r="N62" s="32"/>
      <c r="O62" s="32"/>
      <c r="P62" s="32"/>
      <c r="Q62" s="32"/>
    </row>
    <row r="63" spans="2:17" x14ac:dyDescent="0.25">
      <c r="B63" s="9"/>
      <c r="C63" s="12"/>
      <c r="D63" s="9"/>
      <c r="E63" s="12"/>
      <c r="F63" s="17" t="s">
        <v>155</v>
      </c>
      <c r="G63" s="22"/>
      <c r="H63" s="11"/>
      <c r="I63" s="31"/>
      <c r="J63" s="31"/>
      <c r="K63" s="31"/>
      <c r="L63" s="31"/>
      <c r="M63" s="31"/>
      <c r="N63" s="31"/>
      <c r="O63" s="31"/>
      <c r="P63" s="31"/>
      <c r="Q63" s="31"/>
    </row>
    <row r="64" spans="2:17" x14ac:dyDescent="0.25">
      <c r="B64" s="9"/>
      <c r="C64" s="12"/>
      <c r="D64" s="9"/>
      <c r="E64" s="17"/>
      <c r="F64" s="36" t="s">
        <v>156</v>
      </c>
      <c r="G64" s="37"/>
      <c r="H64" s="38"/>
      <c r="I64" s="24">
        <v>0</v>
      </c>
      <c r="J64" s="24">
        <v>0</v>
      </c>
      <c r="K64" s="24">
        <v>0</v>
      </c>
      <c r="L64" s="32">
        <v>0</v>
      </c>
      <c r="M64" s="32">
        <v>0</v>
      </c>
      <c r="N64" s="32">
        <f>N56+N57+SUM(N60:N63)</f>
      </c>
      <c r="O64" s="32">
        <f>O56+O57+SUM(O60:O63)</f>
      </c>
      <c r="P64" s="32">
        <f>P56+P57+SUM(P60:P63)</f>
      </c>
      <c r="Q64" s="24">
        <f>Q56+Q57+SUM(Q60:Q63)</f>
      </c>
    </row>
    <row r="65" spans="2:17" x14ac:dyDescent="0.25">
      <c r="B65" s="9"/>
      <c r="C65" s="12"/>
      <c r="D65" s="9"/>
      <c r="E65" s="10" t="s">
        <v>157</v>
      </c>
      <c r="F65" s="22"/>
      <c r="G65" s="22"/>
      <c r="H65" s="11"/>
      <c r="I65" s="8"/>
      <c r="J65" s="8"/>
      <c r="K65" s="8"/>
      <c r="L65" s="8"/>
      <c r="M65" s="8"/>
      <c r="N65" s="8"/>
      <c r="O65" s="8"/>
      <c r="P65" s="8"/>
      <c r="Q65" s="8"/>
    </row>
    <row r="66" spans="2:17" x14ac:dyDescent="0.25">
      <c r="B66" s="9"/>
      <c r="C66" s="12"/>
      <c r="D66" s="9"/>
      <c r="E66" s="12"/>
      <c r="F66" s="18" t="s">
        <v>158</v>
      </c>
      <c r="G66" s="6"/>
      <c r="H66" s="7"/>
      <c r="I66" s="32"/>
      <c r="J66" s="32"/>
      <c r="K66" s="32"/>
      <c r="L66" s="32"/>
      <c r="M66" s="32"/>
      <c r="N66" s="32"/>
      <c r="O66" s="32"/>
      <c r="P66" s="32"/>
      <c r="Q66" s="32"/>
    </row>
    <row r="67" spans="2:17" x14ac:dyDescent="0.25">
      <c r="B67" s="9"/>
      <c r="C67" s="12"/>
      <c r="D67" s="9"/>
      <c r="E67" s="12"/>
      <c r="F67" s="10" t="s">
        <v>159</v>
      </c>
      <c r="G67" s="22"/>
      <c r="H67" s="11"/>
      <c r="I67" s="31"/>
      <c r="J67" s="31"/>
      <c r="K67" s="31"/>
      <c r="L67" s="31"/>
      <c r="M67" s="31"/>
      <c r="N67" s="31"/>
      <c r="O67" s="31"/>
      <c r="P67" s="31"/>
      <c r="Q67" s="31"/>
    </row>
    <row r="68" spans="2:17" x14ac:dyDescent="0.25">
      <c r="B68" s="9"/>
      <c r="C68" s="12"/>
      <c r="D68" s="9"/>
      <c r="E68" s="12"/>
      <c r="F68" s="12"/>
      <c r="G68" s="18" t="s">
        <v>160</v>
      </c>
      <c r="H68" s="7"/>
      <c r="I68" s="32"/>
      <c r="J68" s="32"/>
      <c r="K68" s="32"/>
      <c r="L68" s="32"/>
      <c r="M68" s="32"/>
      <c r="N68" s="32"/>
      <c r="O68" s="32"/>
      <c r="P68" s="32"/>
      <c r="Q68" s="32"/>
    </row>
    <row r="69" spans="2:17" x14ac:dyDescent="0.25">
      <c r="B69" s="9"/>
      <c r="C69" s="12"/>
      <c r="D69" s="9"/>
      <c r="E69" s="12"/>
      <c r="F69" s="17"/>
      <c r="G69" s="17" t="s">
        <v>161</v>
      </c>
      <c r="H69" s="11"/>
      <c r="I69" s="31"/>
      <c r="J69" s="31"/>
      <c r="K69" s="31"/>
      <c r="L69" s="31"/>
      <c r="M69" s="31"/>
      <c r="N69" s="31"/>
      <c r="O69" s="31"/>
      <c r="P69" s="31"/>
      <c r="Q69" s="31"/>
    </row>
    <row r="70" spans="2:17" x14ac:dyDescent="0.25">
      <c r="B70" s="9"/>
      <c r="C70" s="12"/>
      <c r="D70" s="9"/>
      <c r="E70" s="12"/>
      <c r="F70" s="18" t="s">
        <v>162</v>
      </c>
      <c r="G70" s="6"/>
      <c r="H70" s="7"/>
      <c r="I70" s="32"/>
      <c r="J70" s="32"/>
      <c r="K70" s="32"/>
      <c r="L70" s="32"/>
      <c r="M70" s="32"/>
      <c r="N70" s="32"/>
      <c r="O70" s="32"/>
      <c r="P70" s="32"/>
      <c r="Q70" s="32"/>
    </row>
    <row r="71" spans="2:17" x14ac:dyDescent="0.25">
      <c r="B71" s="9"/>
      <c r="C71" s="12"/>
      <c r="D71" s="9"/>
      <c r="E71" s="12"/>
      <c r="F71" s="17" t="s">
        <v>163</v>
      </c>
      <c r="G71" s="22"/>
      <c r="H71" s="11"/>
      <c r="I71" s="31"/>
      <c r="J71" s="31"/>
      <c r="K71" s="31"/>
      <c r="L71" s="31"/>
      <c r="M71" s="31"/>
      <c r="N71" s="31"/>
      <c r="O71" s="31"/>
      <c r="P71" s="31"/>
      <c r="Q71" s="31"/>
    </row>
    <row r="72" spans="2:17" x14ac:dyDescent="0.25">
      <c r="B72" s="9"/>
      <c r="C72" s="12"/>
      <c r="D72" s="9"/>
      <c r="E72" s="12"/>
      <c r="F72" s="18" t="s">
        <v>164</v>
      </c>
      <c r="G72" s="6"/>
      <c r="H72" s="7"/>
      <c r="I72" s="32"/>
      <c r="J72" s="32"/>
      <c r="K72" s="32"/>
      <c r="L72" s="32"/>
      <c r="M72" s="32"/>
      <c r="N72" s="32"/>
      <c r="O72" s="32"/>
      <c r="P72" s="32"/>
      <c r="Q72" s="32"/>
    </row>
    <row r="73" spans="2:17" x14ac:dyDescent="0.25">
      <c r="B73" s="9"/>
      <c r="C73" s="12"/>
      <c r="D73" s="9"/>
      <c r="E73" s="12"/>
      <c r="F73" s="17" t="s">
        <v>165</v>
      </c>
      <c r="G73" s="22"/>
      <c r="H73" s="11"/>
      <c r="I73" s="31"/>
      <c r="J73" s="31"/>
      <c r="K73" s="31"/>
      <c r="L73" s="31"/>
      <c r="M73" s="31"/>
      <c r="N73" s="31"/>
      <c r="O73" s="31"/>
      <c r="P73" s="31"/>
      <c r="Q73" s="31"/>
    </row>
    <row r="74" spans="2:17" x14ac:dyDescent="0.25">
      <c r="B74" s="9"/>
      <c r="C74" s="12"/>
      <c r="D74" s="9"/>
      <c r="E74" s="17"/>
      <c r="F74" s="36" t="s">
        <v>166</v>
      </c>
      <c r="G74" s="37"/>
      <c r="H74" s="38"/>
      <c r="I74" s="32">
        <v>0</v>
      </c>
      <c r="J74" s="32">
        <v>0</v>
      </c>
      <c r="K74" s="32">
        <v>0</v>
      </c>
      <c r="L74" s="32">
        <v>0</v>
      </c>
      <c r="M74" s="32">
        <v>0</v>
      </c>
      <c r="N74" s="32">
        <f>N66+N67+SUM(N70:N73)</f>
      </c>
      <c r="O74" s="32">
        <f>O66+O67+SUM(O70:O73)</f>
      </c>
      <c r="P74" s="32">
        <f>P66+P67+SUM(P70:P73)</f>
      </c>
      <c r="Q74" s="32">
        <f>Q66+Q67+SUM(Q70:Q73)</f>
      </c>
    </row>
    <row r="75" spans="2:17" x14ac:dyDescent="0.25">
      <c r="B75" s="9"/>
      <c r="C75" s="12"/>
      <c r="D75" s="18"/>
      <c r="E75" s="33" t="s">
        <v>167</v>
      </c>
      <c r="F75" s="34"/>
      <c r="G75" s="34"/>
      <c r="H75" s="35"/>
      <c r="I75" s="23">
        <v>0</v>
      </c>
      <c r="J75" s="23">
        <v>0</v>
      </c>
      <c r="K75" s="23">
        <v>0</v>
      </c>
      <c r="L75" s="31">
        <v>0</v>
      </c>
      <c r="M75" s="31">
        <v>0</v>
      </c>
      <c r="N75" s="31">
        <f>N64+N74</f>
      </c>
      <c r="O75" s="31">
        <f>O64+O74</f>
      </c>
      <c r="P75" s="31">
        <f>P64+P74</f>
      </c>
      <c r="Q75" s="23">
        <f>Q64+Q74</f>
      </c>
    </row>
    <row r="76" spans="2:17" x14ac:dyDescent="0.25">
      <c r="B76" s="9"/>
      <c r="C76" s="12"/>
      <c r="D76" s="5" t="s">
        <v>168</v>
      </c>
      <c r="E76" s="6"/>
      <c r="F76" s="6"/>
      <c r="G76" s="6"/>
      <c r="H76" s="7"/>
      <c r="I76" s="8"/>
      <c r="J76" s="8"/>
      <c r="K76" s="8"/>
      <c r="L76" s="8"/>
      <c r="M76" s="8"/>
      <c r="N76" s="8"/>
      <c r="O76" s="8"/>
      <c r="P76" s="8"/>
      <c r="Q76" s="8"/>
    </row>
    <row r="77" spans="2:17" x14ac:dyDescent="0.25">
      <c r="B77" s="9"/>
      <c r="C77" s="12"/>
      <c r="D77" s="9"/>
      <c r="E77" s="17" t="s">
        <v>169</v>
      </c>
      <c r="F77" s="22"/>
      <c r="G77" s="22"/>
      <c r="H77" s="11"/>
      <c r="I77" s="23">
        <v>1041350874</v>
      </c>
      <c r="J77" s="23">
        <v>9845150</v>
      </c>
      <c r="K77" s="23">
        <v>10170790</v>
      </c>
      <c r="L77" s="31"/>
      <c r="M77" s="31"/>
      <c r="N77" s="31"/>
      <c r="O77" s="31"/>
      <c r="P77" s="31"/>
      <c r="Q77" s="23">
        <v>1061366814</v>
      </c>
    </row>
    <row r="78" spans="2:17" x14ac:dyDescent="0.25">
      <c r="B78" s="9"/>
      <c r="C78" s="12"/>
      <c r="D78" s="9"/>
      <c r="E78" s="18" t="s">
        <v>170</v>
      </c>
      <c r="F78" s="6"/>
      <c r="G78" s="6"/>
      <c r="H78" s="7"/>
      <c r="I78" s="32"/>
      <c r="J78" s="32"/>
      <c r="K78" s="32"/>
      <c r="L78" s="32"/>
      <c r="M78" s="32"/>
      <c r="N78" s="32"/>
      <c r="O78" s="32"/>
      <c r="P78" s="32"/>
      <c r="Q78" s="32"/>
    </row>
    <row r="79" spans="2:17" x14ac:dyDescent="0.25">
      <c r="B79" s="9"/>
      <c r="C79" s="12"/>
      <c r="D79" s="9"/>
      <c r="E79" s="17" t="s">
        <v>171</v>
      </c>
      <c r="F79" s="22"/>
      <c r="G79" s="22"/>
      <c r="H79" s="11"/>
      <c r="I79" s="31"/>
      <c r="J79" s="31"/>
      <c r="K79" s="31"/>
      <c r="L79" s="31"/>
      <c r="M79" s="31"/>
      <c r="N79" s="31"/>
      <c r="O79" s="31"/>
      <c r="P79" s="31"/>
      <c r="Q79" s="31"/>
    </row>
    <row r="80" spans="2:17" x14ac:dyDescent="0.25">
      <c r="B80" s="9"/>
      <c r="C80" s="12"/>
      <c r="D80" s="9"/>
      <c r="E80" s="18" t="s">
        <v>172</v>
      </c>
      <c r="F80" s="6"/>
      <c r="G80" s="6"/>
      <c r="H80" s="7"/>
      <c r="I80" s="32"/>
      <c r="J80" s="32"/>
      <c r="K80" s="32"/>
      <c r="L80" s="32"/>
      <c r="M80" s="32"/>
      <c r="N80" s="32"/>
      <c r="O80" s="32"/>
      <c r="P80" s="32"/>
      <c r="Q80" s="32"/>
    </row>
    <row r="81" spans="2:17" x14ac:dyDescent="0.25">
      <c r="B81" s="9"/>
      <c r="C81" s="12"/>
      <c r="D81" s="9"/>
      <c r="E81" s="17" t="s">
        <v>173</v>
      </c>
      <c r="F81" s="22"/>
      <c r="G81" s="22"/>
      <c r="H81" s="11"/>
      <c r="I81" s="31"/>
      <c r="J81" s="31"/>
      <c r="K81" s="31"/>
      <c r="L81" s="31"/>
      <c r="M81" s="31"/>
      <c r="N81" s="31"/>
      <c r="O81" s="31"/>
      <c r="P81" s="31"/>
      <c r="Q81" s="31"/>
    </row>
    <row r="82" spans="2:17" x14ac:dyDescent="0.25">
      <c r="B82" s="9"/>
      <c r="C82" s="12"/>
      <c r="D82" s="9"/>
      <c r="E82" s="5" t="s">
        <v>174</v>
      </c>
      <c r="F82" s="6"/>
      <c r="G82" s="6"/>
      <c r="H82" s="7"/>
      <c r="I82" s="24">
        <v>29946613</v>
      </c>
      <c r="J82" s="24">
        <v>38980880</v>
      </c>
      <c r="K82" s="24">
        <v>45232316</v>
      </c>
      <c r="L82" s="32"/>
      <c r="M82" s="32"/>
      <c r="N82" s="32"/>
      <c r="O82" s="32"/>
      <c r="P82" s="32"/>
      <c r="Q82" s="24">
        <v>114159809</v>
      </c>
    </row>
    <row r="83" spans="2:17" x14ac:dyDescent="0.25">
      <c r="B83" s="9"/>
      <c r="C83" s="12"/>
      <c r="D83" s="9"/>
      <c r="E83" s="18"/>
      <c r="F83" s="17" t="s">
        <v>175</v>
      </c>
      <c r="G83" s="22"/>
      <c r="H83" s="11"/>
      <c r="I83" s="23">
        <v>29946613</v>
      </c>
      <c r="J83" s="23">
        <v>38980880</v>
      </c>
      <c r="K83" s="23">
        <v>45232316</v>
      </c>
      <c r="L83" s="31"/>
      <c r="M83" s="31"/>
      <c r="N83" s="31"/>
      <c r="O83" s="31"/>
      <c r="P83" s="31"/>
      <c r="Q83" s="23">
        <v>114159809</v>
      </c>
    </row>
    <row r="84" spans="2:17" x14ac:dyDescent="0.25">
      <c r="B84" s="9"/>
      <c r="C84" s="12"/>
      <c r="D84" s="18"/>
      <c r="E84" s="36" t="s">
        <v>176</v>
      </c>
      <c r="F84" s="37"/>
      <c r="G84" s="37"/>
      <c r="H84" s="38"/>
      <c r="I84" s="24">
        <v>0</v>
      </c>
      <c r="J84" s="24">
        <v>0</v>
      </c>
      <c r="K84" s="24">
        <v>0</v>
      </c>
      <c r="L84" s="32">
        <v>0</v>
      </c>
      <c r="M84" s="32">
        <v>0</v>
      </c>
      <c r="N84" s="32">
        <f>SUM(N77:N82)</f>
      </c>
      <c r="O84" s="32">
        <f>SUM(O77:O82)</f>
      </c>
      <c r="P84" s="32">
        <f>SUM(P77:P82)</f>
      </c>
      <c r="Q84" s="24">
        <f>SUM(Q77:Q82)</f>
      </c>
    </row>
    <row r="85" spans="2:17" x14ac:dyDescent="0.25">
      <c r="B85" s="18"/>
      <c r="C85" s="17"/>
      <c r="D85" s="33" t="s">
        <v>177</v>
      </c>
      <c r="E85" s="34"/>
      <c r="F85" s="34"/>
      <c r="G85" s="34"/>
      <c r="H85" s="35"/>
      <c r="I85" s="39">
        <v>0</v>
      </c>
      <c r="J85" s="39">
        <v>0</v>
      </c>
      <c r="K85" s="39">
        <v>0</v>
      </c>
      <c r="L85" s="40">
        <v>0</v>
      </c>
      <c r="M85" s="40">
        <v>0</v>
      </c>
      <c r="N85" s="40">
        <f>N84+N75</f>
      </c>
      <c r="O85" s="40">
        <f>O84+O75</f>
      </c>
      <c r="P85" s="40">
        <f>P84+P75</f>
      </c>
      <c r="Q85" s="39">
        <f>Q84+Q75</f>
      </c>
    </row>
    <row r="86" spans="6:13" x14ac:dyDescent="0.25"/>
    <row r="87" spans="2:13" x14ac:dyDescent="0.25">
      <c r="B87" s="3" t="s">
        <v>18</v>
      </c>
      <c r="C87" t="s">
        <v>178</v>
      </c>
    </row>
    <row r="88" spans="6:17" x14ac:dyDescent="0.25">
      <c r="I88" s="26" t="s">
        <v>95</v>
      </c>
      <c r="J88" s="27"/>
      <c r="K88" s="27"/>
      <c r="L88" s="27"/>
      <c r="M88" s="27"/>
      <c r="N88" s="27"/>
      <c r="O88" s="27"/>
      <c r="P88" s="27"/>
      <c r="Q88" s="28"/>
    </row>
    <row r="89" spans="6:17" x14ac:dyDescent="0.25">
      <c r="I89" s="29" t="s">
        <v>96</v>
      </c>
      <c r="J89" s="4" t="s">
        <v>97</v>
      </c>
      <c r="K89" s="29" t="s">
        <v>98</v>
      </c>
      <c r="L89" s="4" t="s">
        <v>99</v>
      </c>
      <c r="M89" s="29" t="s">
        <v>100</v>
      </c>
      <c r="N89" s="4" t="s">
        <v>101</v>
      </c>
      <c r="O89" s="29" t="s">
        <v>102</v>
      </c>
      <c r="P89" s="4" t="s">
        <v>103</v>
      </c>
      <c r="Q89" s="30"/>
    </row>
    <row r="90" spans="2:17" x14ac:dyDescent="0.25">
      <c r="B90" s="5" t="s">
        <v>104</v>
      </c>
      <c r="C90" s="6"/>
      <c r="D90" s="6"/>
      <c r="E90" s="6"/>
      <c r="F90" s="6"/>
      <c r="G90" s="6"/>
      <c r="H90" s="7"/>
      <c r="I90" s="8"/>
      <c r="J90" s="8"/>
      <c r="K90" s="8"/>
      <c r="L90" s="8"/>
      <c r="M90" s="8"/>
      <c r="N90" s="8"/>
      <c r="O90" s="8"/>
      <c r="P90" s="8"/>
      <c r="Q90" s="8"/>
    </row>
    <row r="91" spans="2:17" x14ac:dyDescent="0.25">
      <c r="B91" s="9"/>
      <c r="C91" s="10" t="s">
        <v>105</v>
      </c>
      <c r="D91" s="22"/>
      <c r="E91" s="22"/>
      <c r="F91" s="22"/>
      <c r="G91" s="22"/>
      <c r="H91" s="11"/>
      <c r="I91" s="8"/>
      <c r="J91" s="8"/>
      <c r="K91" s="8"/>
      <c r="L91" s="8"/>
      <c r="M91" s="8"/>
      <c r="N91" s="8"/>
      <c r="O91" s="8"/>
      <c r="P91" s="8"/>
      <c r="Q91" s="8"/>
    </row>
    <row r="92" spans="2:17" x14ac:dyDescent="0.25">
      <c r="B92" s="9"/>
      <c r="C92" s="12"/>
      <c r="D92" s="5" t="s">
        <v>106</v>
      </c>
      <c r="E92" s="6"/>
      <c r="F92" s="6"/>
      <c r="G92" s="6"/>
      <c r="H92" s="7"/>
      <c r="I92" s="8"/>
      <c r="J92" s="8"/>
      <c r="K92" s="8"/>
      <c r="L92" s="8"/>
      <c r="M92" s="8"/>
      <c r="N92" s="8"/>
      <c r="O92" s="8"/>
      <c r="P92" s="8"/>
      <c r="Q92" s="8"/>
    </row>
    <row r="93" spans="2:17" x14ac:dyDescent="0.25">
      <c r="B93" s="9"/>
      <c r="C93" s="12"/>
      <c r="D93" s="9"/>
      <c r="E93" s="10" t="s">
        <v>107</v>
      </c>
      <c r="F93" s="22"/>
      <c r="G93" s="22"/>
      <c r="H93" s="11"/>
      <c r="I93" s="23">
        <v>54599853</v>
      </c>
      <c r="J93" s="23">
        <v>24639652</v>
      </c>
      <c r="K93" s="23">
        <v>18431788</v>
      </c>
      <c r="L93" s="31"/>
      <c r="M93" s="31"/>
      <c r="N93" s="31"/>
      <c r="O93" s="31"/>
      <c r="P93" s="31"/>
      <c r="Q93" s="23">
        <f>Hoja2!G13</f>
      </c>
    </row>
    <row r="94" spans="2:17" x14ac:dyDescent="0.25">
      <c r="B94" s="9"/>
      <c r="C94" s="12"/>
      <c r="D94" s="9"/>
      <c r="E94" s="17"/>
      <c r="F94" s="18" t="s">
        <v>108</v>
      </c>
      <c r="G94" s="6"/>
      <c r="H94" s="7"/>
      <c r="I94" s="32"/>
      <c r="J94" s="32"/>
      <c r="K94" s="32"/>
      <c r="L94" s="32"/>
      <c r="M94" s="32"/>
      <c r="N94" s="32"/>
      <c r="O94" s="32"/>
      <c r="P94" s="32"/>
      <c r="Q94" s="32"/>
    </row>
    <row r="95" ht="28" customHeight="1" spans="2:17" x14ac:dyDescent="0.25">
      <c r="B95" s="9"/>
      <c r="C95" s="12"/>
      <c r="D95" s="9"/>
      <c r="E95" s="10" t="s">
        <v>109</v>
      </c>
      <c r="F95" s="22"/>
      <c r="G95" s="22"/>
      <c r="H95" s="11"/>
      <c r="I95" s="8"/>
      <c r="J95" s="8"/>
      <c r="K95" s="8"/>
      <c r="L95" s="8"/>
      <c r="M95" s="8"/>
      <c r="N95" s="8"/>
      <c r="O95" s="8"/>
      <c r="P95" s="8"/>
      <c r="Q95" s="8"/>
    </row>
    <row r="96" ht="28" customHeight="1" spans="2:17" x14ac:dyDescent="0.25">
      <c r="B96" s="9"/>
      <c r="C96" s="12"/>
      <c r="D96" s="9"/>
      <c r="E96" s="12"/>
      <c r="F96" s="5" t="s">
        <v>110</v>
      </c>
      <c r="G96" s="6"/>
      <c r="H96" s="7"/>
      <c r="I96" s="8"/>
      <c r="J96" s="8"/>
      <c r="K96" s="8"/>
      <c r="L96" s="8"/>
      <c r="M96" s="8"/>
      <c r="N96" s="8"/>
      <c r="O96" s="8"/>
      <c r="P96" s="8"/>
      <c r="Q96" s="8"/>
    </row>
    <row r="97" ht="42" customHeight="1" spans="2:17" x14ac:dyDescent="0.25">
      <c r="B97" s="9"/>
      <c r="C97" s="12"/>
      <c r="D97" s="9"/>
      <c r="E97" s="12"/>
      <c r="F97" s="9"/>
      <c r="G97" s="17" t="s">
        <v>111</v>
      </c>
      <c r="H97" s="11"/>
      <c r="I97" s="23">
        <v>4715976</v>
      </c>
      <c r="J97" s="23">
        <v>6756306</v>
      </c>
      <c r="K97" s="23">
        <v>9883529</v>
      </c>
      <c r="L97" s="31"/>
      <c r="M97" s="31"/>
      <c r="N97" s="31"/>
      <c r="O97" s="8"/>
      <c r="P97" s="31"/>
      <c r="Q97" s="23">
        <v>21355811</v>
      </c>
    </row>
    <row r="98" spans="2:17" x14ac:dyDescent="0.25">
      <c r="B98" s="9"/>
      <c r="C98" s="12"/>
      <c r="D98" s="9"/>
      <c r="E98" s="12"/>
      <c r="F98" s="9"/>
      <c r="G98" s="5" t="s">
        <v>112</v>
      </c>
      <c r="H98" s="7"/>
      <c r="I98" s="24">
        <v>10954273</v>
      </c>
      <c r="J98" s="24">
        <v>7391147</v>
      </c>
      <c r="K98" s="24">
        <v>11712651</v>
      </c>
      <c r="L98" s="32"/>
      <c r="M98" s="32"/>
      <c r="N98" s="32"/>
      <c r="O98" s="8"/>
      <c r="P98" s="32"/>
      <c r="Q98" s="24">
        <v>30058071</v>
      </c>
    </row>
    <row r="99" spans="2:17" x14ac:dyDescent="0.25">
      <c r="B99" s="9"/>
      <c r="C99" s="12"/>
      <c r="D99" s="9"/>
      <c r="E99" s="12"/>
      <c r="F99" s="9"/>
      <c r="G99" s="18"/>
      <c r="H99" s="15" t="s">
        <v>113</v>
      </c>
      <c r="I99" s="8"/>
      <c r="J99" s="8"/>
      <c r="K99" s="8"/>
      <c r="L99" s="31"/>
      <c r="M99" s="31"/>
      <c r="N99" s="31"/>
      <c r="O99" s="8"/>
      <c r="P99" s="8"/>
      <c r="Q99" s="31"/>
    </row>
    <row r="100" ht="28" customHeight="1" spans="2:17" x14ac:dyDescent="0.25">
      <c r="B100" s="9"/>
      <c r="C100" s="12"/>
      <c r="D100" s="9"/>
      <c r="E100" s="12"/>
      <c r="F100" s="18"/>
      <c r="G100" s="18" t="s">
        <v>114</v>
      </c>
      <c r="H100" s="7"/>
      <c r="I100" s="8"/>
      <c r="J100" s="8"/>
      <c r="K100" s="32"/>
      <c r="L100" s="8"/>
      <c r="M100" s="8"/>
      <c r="N100" s="8"/>
      <c r="O100" s="8"/>
      <c r="P100" s="8"/>
      <c r="Q100" s="32"/>
    </row>
    <row r="101" ht="28" customHeight="1" spans="2:17" x14ac:dyDescent="0.25">
      <c r="B101" s="9"/>
      <c r="C101" s="12"/>
      <c r="D101" s="9"/>
      <c r="E101" s="12"/>
      <c r="F101" s="33" t="s">
        <v>115</v>
      </c>
      <c r="G101" s="34"/>
      <c r="H101" s="35"/>
      <c r="I101" s="23">
        <f>I97+I98</f>
      </c>
      <c r="J101" s="23">
        <f>J97+J98</f>
      </c>
      <c r="K101" s="23">
        <f>K97+K98+K100</f>
      </c>
      <c r="L101" s="31">
        <f>L97+L98</f>
      </c>
      <c r="M101" s="31">
        <f>M97+M98</f>
      </c>
      <c r="N101" s="31">
        <f>N97+N98</f>
      </c>
      <c r="O101" s="31"/>
      <c r="P101" s="31">
        <f>P97+P98</f>
      </c>
      <c r="Q101" s="23">
        <f>Q97+Q98+Q100</f>
      </c>
    </row>
    <row r="102" spans="2:17" x14ac:dyDescent="0.25">
      <c r="B102" s="9"/>
      <c r="C102" s="12"/>
      <c r="D102" s="9"/>
      <c r="E102" s="12"/>
      <c r="F102" s="18" t="s">
        <v>116</v>
      </c>
      <c r="G102" s="6"/>
      <c r="H102" s="7"/>
      <c r="I102" s="32"/>
      <c r="J102" s="32"/>
      <c r="K102" s="32"/>
      <c r="L102" s="32"/>
      <c r="M102" s="32"/>
      <c r="N102" s="32"/>
      <c r="O102" s="32"/>
      <c r="P102" s="32"/>
      <c r="Q102" s="32"/>
    </row>
    <row r="103" spans="2:17" x14ac:dyDescent="0.25">
      <c r="B103" s="9"/>
      <c r="C103" s="12"/>
      <c r="D103" s="9"/>
      <c r="E103" s="12"/>
      <c r="F103" s="17" t="s">
        <v>117</v>
      </c>
      <c r="G103" s="22"/>
      <c r="H103" s="11"/>
      <c r="I103" s="31"/>
      <c r="J103" s="31"/>
      <c r="K103" s="31"/>
      <c r="L103" s="31"/>
      <c r="M103" s="31"/>
      <c r="N103" s="31"/>
      <c r="O103" s="31"/>
      <c r="P103" s="31"/>
      <c r="Q103" s="31"/>
    </row>
    <row r="104" ht="28" customHeight="1" spans="2:17" x14ac:dyDescent="0.25">
      <c r="B104" s="9"/>
      <c r="C104" s="12"/>
      <c r="D104" s="9"/>
      <c r="E104" s="17"/>
      <c r="F104" s="36" t="s">
        <v>118</v>
      </c>
      <c r="G104" s="37"/>
      <c r="H104" s="38"/>
      <c r="I104" s="24">
        <f>SUM(I101:I103)</f>
      </c>
      <c r="J104" s="24">
        <f>SUM(J101:J103)</f>
      </c>
      <c r="K104" s="24">
        <f>SUM(K101:K103)</f>
      </c>
      <c r="L104" s="32">
        <f>SUM(L101:L103)</f>
      </c>
      <c r="M104" s="32">
        <f>SUM(M101:M103)</f>
      </c>
      <c r="N104" s="32">
        <f>SUM(N101:N103)</f>
      </c>
      <c r="O104" s="32">
        <f>SUM(O101:O103)</f>
      </c>
      <c r="P104" s="32">
        <f>SUM(P101:P103)</f>
      </c>
      <c r="Q104" s="24">
        <f>SUM(Q101:Q103)</f>
      </c>
    </row>
    <row r="105" spans="2:17" x14ac:dyDescent="0.25">
      <c r="B105" s="9"/>
      <c r="C105" s="12"/>
      <c r="D105" s="9"/>
      <c r="E105" s="17" t="s">
        <v>119</v>
      </c>
      <c r="F105" s="22"/>
      <c r="G105" s="22"/>
      <c r="H105" s="11"/>
      <c r="I105" s="23">
        <v>16475333</v>
      </c>
      <c r="J105" s="31"/>
      <c r="K105" s="31"/>
      <c r="L105" s="31"/>
      <c r="M105" s="31"/>
      <c r="N105" s="31"/>
      <c r="O105" s="31"/>
      <c r="P105" s="31"/>
      <c r="Q105" s="23">
        <v>16475333</v>
      </c>
    </row>
    <row r="106" spans="2:17" x14ac:dyDescent="0.25">
      <c r="B106" s="9"/>
      <c r="C106" s="12"/>
      <c r="D106" s="9"/>
      <c r="E106" s="18" t="s">
        <v>120</v>
      </c>
      <c r="F106" s="6"/>
      <c r="G106" s="6"/>
      <c r="H106" s="7"/>
      <c r="I106" s="32"/>
      <c r="J106" s="32"/>
      <c r="K106" s="32"/>
      <c r="L106" s="32"/>
      <c r="M106" s="32"/>
      <c r="N106" s="32"/>
      <c r="O106" s="32"/>
      <c r="P106" s="32"/>
      <c r="Q106" s="32"/>
    </row>
    <row r="107" spans="2:17" x14ac:dyDescent="0.25">
      <c r="B107" s="9"/>
      <c r="C107" s="12"/>
      <c r="D107" s="9"/>
      <c r="E107" s="17" t="s">
        <v>121</v>
      </c>
      <c r="F107" s="22"/>
      <c r="G107" s="22"/>
      <c r="H107" s="11"/>
      <c r="I107" s="31"/>
      <c r="J107" s="31"/>
      <c r="K107" s="31"/>
      <c r="L107" s="31"/>
      <c r="M107" s="31"/>
      <c r="N107" s="31"/>
      <c r="O107" s="31"/>
      <c r="P107" s="31"/>
      <c r="Q107" s="31"/>
    </row>
    <row r="108" spans="2:17" x14ac:dyDescent="0.25">
      <c r="B108" s="9"/>
      <c r="C108" s="12"/>
      <c r="D108" s="9"/>
      <c r="E108" s="18" t="s">
        <v>122</v>
      </c>
      <c r="F108" s="6"/>
      <c r="G108" s="6"/>
      <c r="H108" s="7"/>
      <c r="I108" s="32"/>
      <c r="J108" s="32"/>
      <c r="K108" s="32"/>
      <c r="L108" s="32"/>
      <c r="M108" s="32"/>
      <c r="N108" s="32"/>
      <c r="O108" s="32"/>
      <c r="P108" s="32"/>
      <c r="Q108" s="32"/>
    </row>
    <row r="109" spans="2:17" x14ac:dyDescent="0.25">
      <c r="B109" s="9"/>
      <c r="C109" s="12"/>
      <c r="D109" s="9"/>
      <c r="E109" s="17" t="s">
        <v>123</v>
      </c>
      <c r="F109" s="22"/>
      <c r="G109" s="22"/>
      <c r="H109" s="11"/>
      <c r="I109" s="31"/>
      <c r="J109" s="31"/>
      <c r="K109" s="31"/>
      <c r="L109" s="31"/>
      <c r="M109" s="31"/>
      <c r="N109" s="31"/>
      <c r="O109" s="31"/>
      <c r="P109" s="31"/>
      <c r="Q109" s="31"/>
    </row>
    <row r="110" spans="2:17" x14ac:dyDescent="0.25">
      <c r="B110" s="9"/>
      <c r="C110" s="12"/>
      <c r="D110" s="18"/>
      <c r="E110" s="36" t="s">
        <v>124</v>
      </c>
      <c r="F110" s="37"/>
      <c r="G110" s="37"/>
      <c r="H110" s="38"/>
      <c r="I110" s="24">
        <f>I93+SUM(I104:I109)</f>
      </c>
      <c r="J110" s="24">
        <f>J93+SUM(J104:J109)</f>
      </c>
      <c r="K110" s="24">
        <f>K93+SUM(K104:K109)</f>
      </c>
      <c r="L110" s="32">
        <f>L93+SUM(L104:L109)</f>
      </c>
      <c r="M110" s="32">
        <f>M93+SUM(M104:M109)</f>
      </c>
      <c r="N110" s="32">
        <f>N93+SUM(N104:N109)</f>
      </c>
      <c r="O110" s="32">
        <f>O93+SUM(O104:O109)</f>
      </c>
      <c r="P110" s="32">
        <f>P93+SUM(P104:P109)</f>
      </c>
      <c r="Q110" s="24">
        <f>Q93+SUM(Q104:Q109)</f>
      </c>
    </row>
    <row r="111" spans="2:17" x14ac:dyDescent="0.25">
      <c r="B111" s="9"/>
      <c r="C111" s="12"/>
      <c r="D111" s="10" t="s">
        <v>125</v>
      </c>
      <c r="E111" s="22"/>
      <c r="F111" s="22"/>
      <c r="G111" s="22"/>
      <c r="H111" s="11"/>
      <c r="I111" s="8"/>
      <c r="J111" s="8"/>
      <c r="K111" s="8"/>
      <c r="L111" s="8"/>
      <c r="M111" s="8"/>
      <c r="N111" s="8"/>
      <c r="O111" s="8"/>
      <c r="P111" s="8"/>
      <c r="Q111" s="8"/>
    </row>
    <row r="112" spans="2:17" x14ac:dyDescent="0.25">
      <c r="B112" s="9"/>
      <c r="C112" s="12"/>
      <c r="D112" s="12"/>
      <c r="E112" s="18" t="s">
        <v>126</v>
      </c>
      <c r="F112" s="6"/>
      <c r="G112" s="6"/>
      <c r="H112" s="7"/>
      <c r="I112" s="24">
        <v>718819563</v>
      </c>
      <c r="J112" s="24">
        <v>4882168</v>
      </c>
      <c r="K112" s="24">
        <v>10966643</v>
      </c>
      <c r="L112" s="32"/>
      <c r="M112" s="32"/>
      <c r="N112" s="32"/>
      <c r="O112" s="32"/>
      <c r="P112" s="32"/>
      <c r="Q112" s="24">
        <v>734668374</v>
      </c>
    </row>
    <row r="113" spans="2:17" x14ac:dyDescent="0.25">
      <c r="B113" s="9"/>
      <c r="C113" s="12"/>
      <c r="D113" s="12"/>
      <c r="E113" s="17" t="s">
        <v>127</v>
      </c>
      <c r="F113" s="22"/>
      <c r="G113" s="22"/>
      <c r="H113" s="11"/>
      <c r="I113" s="31"/>
      <c r="J113" s="31"/>
      <c r="K113" s="31"/>
      <c r="L113" s="31"/>
      <c r="M113" s="31"/>
      <c r="N113" s="31"/>
      <c r="O113" s="31"/>
      <c r="P113" s="31"/>
      <c r="Q113" s="31"/>
    </row>
    <row r="114" spans="2:17" x14ac:dyDescent="0.25">
      <c r="B114" s="9"/>
      <c r="C114" s="12"/>
      <c r="D114" s="12"/>
      <c r="E114" s="18" t="s">
        <v>128</v>
      </c>
      <c r="F114" s="6"/>
      <c r="G114" s="6"/>
      <c r="H114" s="7"/>
      <c r="I114" s="24">
        <v>7436858</v>
      </c>
      <c r="J114" s="32"/>
      <c r="K114" s="32"/>
      <c r="L114" s="32"/>
      <c r="M114" s="32"/>
      <c r="N114" s="32"/>
      <c r="O114" s="32"/>
      <c r="P114" s="32"/>
      <c r="Q114" s="24">
        <v>7436858</v>
      </c>
    </row>
    <row r="115" spans="2:17" x14ac:dyDescent="0.25">
      <c r="B115" s="9"/>
      <c r="C115" s="12"/>
      <c r="D115" s="12"/>
      <c r="E115" s="17" t="s">
        <v>129</v>
      </c>
      <c r="F115" s="22"/>
      <c r="G115" s="22"/>
      <c r="H115" s="11"/>
      <c r="I115" s="31"/>
      <c r="J115" s="31"/>
      <c r="K115" s="31"/>
      <c r="L115" s="31"/>
      <c r="M115" s="31"/>
      <c r="N115" s="31"/>
      <c r="O115" s="31"/>
      <c r="P115" s="31"/>
      <c r="Q115" s="31"/>
    </row>
    <row r="116" ht="28" customHeight="1" spans="2:17" x14ac:dyDescent="0.25">
      <c r="B116" s="9"/>
      <c r="C116" s="12"/>
      <c r="D116" s="12"/>
      <c r="E116" s="5" t="s">
        <v>130</v>
      </c>
      <c r="F116" s="6"/>
      <c r="G116" s="6"/>
      <c r="H116" s="7"/>
      <c r="I116" s="8"/>
      <c r="J116" s="8"/>
      <c r="K116" s="8"/>
      <c r="L116" s="8"/>
      <c r="M116" s="8"/>
      <c r="N116" s="8"/>
      <c r="O116" s="8"/>
      <c r="P116" s="8"/>
      <c r="Q116" s="8"/>
    </row>
    <row r="117" ht="28" customHeight="1" spans="2:17" x14ac:dyDescent="0.25">
      <c r="B117" s="9"/>
      <c r="C117" s="12"/>
      <c r="D117" s="12"/>
      <c r="E117" s="9"/>
      <c r="F117" s="10" t="s">
        <v>131</v>
      </c>
      <c r="G117" s="22"/>
      <c r="H117" s="11"/>
      <c r="I117" s="8"/>
      <c r="J117" s="8"/>
      <c r="K117" s="8"/>
      <c r="L117" s="8"/>
      <c r="M117" s="8"/>
      <c r="N117" s="8"/>
      <c r="O117" s="8"/>
      <c r="P117" s="8"/>
      <c r="Q117" s="8"/>
    </row>
    <row r="118" ht="42" customHeight="1" spans="2:17" x14ac:dyDescent="0.25">
      <c r="B118" s="9"/>
      <c r="C118" s="12"/>
      <c r="D118" s="12"/>
      <c r="E118" s="9"/>
      <c r="F118" s="12"/>
      <c r="G118" s="18" t="s">
        <v>132</v>
      </c>
      <c r="H118" s="7"/>
      <c r="I118" s="32"/>
      <c r="J118" s="32"/>
      <c r="K118" s="32"/>
      <c r="L118" s="32"/>
      <c r="M118" s="32"/>
      <c r="N118" s="32"/>
      <c r="O118" s="8"/>
      <c r="P118" s="32"/>
      <c r="Q118" s="32"/>
    </row>
    <row r="119" spans="2:17" x14ac:dyDescent="0.25">
      <c r="B119" s="9"/>
      <c r="C119" s="12"/>
      <c r="D119" s="12"/>
      <c r="E119" s="9"/>
      <c r="F119" s="12"/>
      <c r="G119" s="10" t="s">
        <v>133</v>
      </c>
      <c r="H119" s="11"/>
      <c r="I119" s="31"/>
      <c r="J119" s="31"/>
      <c r="K119" s="31"/>
      <c r="L119" s="31"/>
      <c r="M119" s="31"/>
      <c r="N119" s="31"/>
      <c r="O119" s="8"/>
      <c r="P119" s="31"/>
      <c r="Q119" s="31"/>
    </row>
    <row r="120" spans="2:17" x14ac:dyDescent="0.25">
      <c r="B120" s="9"/>
      <c r="C120" s="12"/>
      <c r="D120" s="12"/>
      <c r="E120" s="9"/>
      <c r="F120" s="12"/>
      <c r="G120" s="17"/>
      <c r="H120" s="13" t="s">
        <v>134</v>
      </c>
      <c r="I120" s="8"/>
      <c r="J120" s="8"/>
      <c r="K120" s="8"/>
      <c r="L120" s="32"/>
      <c r="M120" s="32"/>
      <c r="N120" s="32"/>
      <c r="O120" s="8"/>
      <c r="P120" s="8"/>
      <c r="Q120" s="32"/>
    </row>
    <row r="121" ht="28" customHeight="1" spans="2:17" x14ac:dyDescent="0.25">
      <c r="B121" s="9"/>
      <c r="C121" s="12"/>
      <c r="D121" s="12"/>
      <c r="E121" s="9"/>
      <c r="F121" s="17"/>
      <c r="G121" s="17" t="s">
        <v>135</v>
      </c>
      <c r="H121" s="11"/>
      <c r="I121" s="8"/>
      <c r="J121" s="8"/>
      <c r="K121" s="31"/>
      <c r="L121" s="8"/>
      <c r="M121" s="8"/>
      <c r="N121" s="8"/>
      <c r="O121" s="8"/>
      <c r="P121" s="8"/>
      <c r="Q121" s="31"/>
    </row>
    <row r="122" ht="28" customHeight="1" spans="2:17" x14ac:dyDescent="0.25">
      <c r="B122" s="9"/>
      <c r="C122" s="12"/>
      <c r="D122" s="12"/>
      <c r="E122" s="9"/>
      <c r="F122" s="36" t="s">
        <v>136</v>
      </c>
      <c r="G122" s="37"/>
      <c r="H122" s="38"/>
      <c r="I122" s="32">
        <f>I118+I119</f>
      </c>
      <c r="J122" s="32">
        <f>J118+J119</f>
      </c>
      <c r="K122" s="32">
        <f>K118+K119+K121</f>
      </c>
      <c r="L122" s="32">
        <f>L118+L119</f>
      </c>
      <c r="M122" s="32">
        <f>M118+M119</f>
      </c>
      <c r="N122" s="32">
        <f>N118+N119</f>
      </c>
      <c r="O122" s="32"/>
      <c r="P122" s="32">
        <f>P118+P119</f>
      </c>
      <c r="Q122" s="32">
        <f>Q118+Q119+Q121</f>
      </c>
    </row>
    <row r="123" spans="2:17" x14ac:dyDescent="0.25">
      <c r="B123" s="9"/>
      <c r="C123" s="12"/>
      <c r="D123" s="12"/>
      <c r="E123" s="9"/>
      <c r="F123" s="17" t="s">
        <v>137</v>
      </c>
      <c r="G123" s="22"/>
      <c r="H123" s="11"/>
      <c r="I123" s="31"/>
      <c r="J123" s="31"/>
      <c r="K123" s="31"/>
      <c r="L123" s="31"/>
      <c r="M123" s="31"/>
      <c r="N123" s="31"/>
      <c r="O123" s="31"/>
      <c r="P123" s="31"/>
      <c r="Q123" s="31"/>
    </row>
    <row r="124" ht="28" customHeight="1" spans="2:17" x14ac:dyDescent="0.25">
      <c r="B124" s="9"/>
      <c r="C124" s="12"/>
      <c r="D124" s="12"/>
      <c r="E124" s="9"/>
      <c r="F124" s="18" t="s">
        <v>138</v>
      </c>
      <c r="G124" s="6"/>
      <c r="H124" s="7"/>
      <c r="I124" s="32"/>
      <c r="J124" s="32"/>
      <c r="K124" s="32"/>
      <c r="L124" s="32"/>
      <c r="M124" s="32"/>
      <c r="N124" s="32"/>
      <c r="O124" s="32"/>
      <c r="P124" s="32"/>
      <c r="Q124" s="32"/>
    </row>
    <row r="125" ht="28" customHeight="1" spans="2:17" x14ac:dyDescent="0.25">
      <c r="B125" s="9"/>
      <c r="C125" s="12"/>
      <c r="D125" s="12"/>
      <c r="E125" s="18"/>
      <c r="F125" s="33" t="s">
        <v>139</v>
      </c>
      <c r="G125" s="34"/>
      <c r="H125" s="35"/>
      <c r="I125" s="31">
        <f>SUM(I122:I124)</f>
      </c>
      <c r="J125" s="31">
        <f>SUM(J122:J124)</f>
      </c>
      <c r="K125" s="31">
        <f>SUM(K122:K124)</f>
      </c>
      <c r="L125" s="31">
        <f>SUM(L122:L124)</f>
      </c>
      <c r="M125" s="31">
        <f>SUM(M122:M124)</f>
      </c>
      <c r="N125" s="31">
        <f>SUM(N122:N124)</f>
      </c>
      <c r="O125" s="31">
        <f>SUM(O122:O124)</f>
      </c>
      <c r="P125" s="31">
        <f>SUM(P122:P124)</f>
      </c>
      <c r="Q125" s="31">
        <f>SUM(Q122:Q124)</f>
      </c>
    </row>
    <row r="126" spans="2:17" x14ac:dyDescent="0.25">
      <c r="B126" s="9"/>
      <c r="C126" s="12"/>
      <c r="D126" s="12"/>
      <c r="E126" s="18" t="s">
        <v>140</v>
      </c>
      <c r="F126" s="6"/>
      <c r="G126" s="6"/>
      <c r="H126" s="7"/>
      <c r="I126" s="32"/>
      <c r="J126" s="32"/>
      <c r="K126" s="32"/>
      <c r="L126" s="32"/>
      <c r="M126" s="32"/>
      <c r="N126" s="32"/>
      <c r="O126" s="32"/>
      <c r="P126" s="32"/>
      <c r="Q126" s="32"/>
    </row>
    <row r="127" spans="2:17" x14ac:dyDescent="0.25">
      <c r="B127" s="9"/>
      <c r="C127" s="12"/>
      <c r="D127" s="12"/>
      <c r="E127" s="17" t="s">
        <v>141</v>
      </c>
      <c r="F127" s="22"/>
      <c r="G127" s="22"/>
      <c r="H127" s="11"/>
      <c r="I127" s="31"/>
      <c r="J127" s="31"/>
      <c r="K127" s="31"/>
      <c r="L127" s="31"/>
      <c r="M127" s="31"/>
      <c r="N127" s="31"/>
      <c r="O127" s="31"/>
      <c r="P127" s="31"/>
      <c r="Q127" s="31"/>
    </row>
    <row r="128" spans="2:17" x14ac:dyDescent="0.25">
      <c r="B128" s="9"/>
      <c r="C128" s="12"/>
      <c r="D128" s="12"/>
      <c r="E128" s="18" t="s">
        <v>142</v>
      </c>
      <c r="F128" s="6"/>
      <c r="G128" s="6"/>
      <c r="H128" s="7"/>
      <c r="I128" s="24">
        <v>243257273</v>
      </c>
      <c r="J128" s="32"/>
      <c r="K128" s="32"/>
      <c r="L128" s="32"/>
      <c r="M128" s="32"/>
      <c r="N128" s="32"/>
      <c r="O128" s="32"/>
      <c r="P128" s="32"/>
      <c r="Q128" s="24">
        <v>243257273</v>
      </c>
    </row>
    <row r="129" spans="2:17" x14ac:dyDescent="0.25">
      <c r="B129" s="9"/>
      <c r="C129" s="12"/>
      <c r="D129" s="17"/>
      <c r="E129" s="33" t="s">
        <v>143</v>
      </c>
      <c r="F129" s="34"/>
      <c r="G129" s="34"/>
      <c r="H129" s="35"/>
      <c r="I129" s="23">
        <f>SUM(I112:I115)+SUM(I125:I128)</f>
      </c>
      <c r="J129" s="23">
        <f>SUM(J112:J115)+SUM(J125:J128)</f>
      </c>
      <c r="K129" s="23">
        <f>SUM(K112:K115)+SUM(K125:K128)</f>
      </c>
      <c r="L129" s="31">
        <f>SUM(L112:L115)+SUM(L125:L128)</f>
      </c>
      <c r="M129" s="31">
        <f>SUM(M112:M115)+SUM(M125:M128)</f>
      </c>
      <c r="N129" s="31">
        <f>SUM(N112:N115)+SUM(N125:N128)</f>
      </c>
      <c r="O129" s="31">
        <f>SUM(O112:O115)+SUM(O125:O128)</f>
      </c>
      <c r="P129" s="31">
        <f>SUM(P112:P115)+SUM(P125:P128)</f>
      </c>
      <c r="Q129" s="23">
        <f>SUM(Q112:Q115)+SUM(Q125:Q128)</f>
      </c>
    </row>
    <row r="130" spans="2:17" x14ac:dyDescent="0.25">
      <c r="B130" s="9"/>
      <c r="C130" s="17"/>
      <c r="D130" s="36" t="s">
        <v>144</v>
      </c>
      <c r="E130" s="37"/>
      <c r="F130" s="37"/>
      <c r="G130" s="37"/>
      <c r="H130" s="38"/>
      <c r="I130" s="24">
        <f>I110+I129</f>
      </c>
      <c r="J130" s="24">
        <f>J110+J129</f>
      </c>
      <c r="K130" s="24">
        <f>K110+K129</f>
      </c>
      <c r="L130" s="32">
        <f>L110+L129</f>
      </c>
      <c r="M130" s="32">
        <f>M110+M129</f>
      </c>
      <c r="N130" s="32">
        <f>N110+N129</f>
      </c>
      <c r="O130" s="32">
        <f>O110+O129</f>
      </c>
      <c r="P130" s="32">
        <f>P110+P129</f>
      </c>
      <c r="Q130" s="24">
        <f>Q110+Q129</f>
      </c>
    </row>
    <row r="131" spans="2:17" x14ac:dyDescent="0.25">
      <c r="B131" s="9"/>
      <c r="C131" s="10" t="s">
        <v>145</v>
      </c>
      <c r="D131" s="22"/>
      <c r="E131" s="22"/>
      <c r="F131" s="22"/>
      <c r="G131" s="22"/>
      <c r="H131" s="11"/>
      <c r="I131" s="8"/>
      <c r="J131" s="8"/>
      <c r="K131" s="8"/>
      <c r="L131" s="8"/>
      <c r="M131" s="8"/>
      <c r="N131" s="8"/>
      <c r="O131" s="8"/>
      <c r="P131" s="8"/>
      <c r="Q131" s="8"/>
    </row>
    <row r="132" spans="2:17" x14ac:dyDescent="0.25">
      <c r="B132" s="9"/>
      <c r="C132" s="12"/>
      <c r="D132" s="5" t="s">
        <v>146</v>
      </c>
      <c r="E132" s="6"/>
      <c r="F132" s="6"/>
      <c r="G132" s="6"/>
      <c r="H132" s="7"/>
      <c r="I132" s="8"/>
      <c r="J132" s="8"/>
      <c r="K132" s="8"/>
      <c r="L132" s="8"/>
      <c r="M132" s="8"/>
      <c r="N132" s="8"/>
      <c r="O132" s="8"/>
      <c r="P132" s="8"/>
      <c r="Q132" s="8"/>
    </row>
    <row r="133" spans="2:17" x14ac:dyDescent="0.25">
      <c r="B133" s="9"/>
      <c r="C133" s="12"/>
      <c r="D133" s="9"/>
      <c r="E133" s="10" t="s">
        <v>147</v>
      </c>
      <c r="F133" s="22"/>
      <c r="G133" s="22"/>
      <c r="H133" s="11"/>
      <c r="I133" s="8"/>
      <c r="J133" s="8"/>
      <c r="K133" s="8"/>
      <c r="L133" s="8"/>
      <c r="M133" s="8"/>
      <c r="N133" s="8"/>
      <c r="O133" s="8"/>
      <c r="P133" s="8"/>
      <c r="Q133" s="8"/>
    </row>
    <row r="134" spans="2:17" x14ac:dyDescent="0.25">
      <c r="B134" s="9"/>
      <c r="C134" s="12"/>
      <c r="D134" s="9"/>
      <c r="E134" s="12"/>
      <c r="F134" s="18" t="s">
        <v>148</v>
      </c>
      <c r="G134" s="6"/>
      <c r="H134" s="7"/>
      <c r="I134" s="32"/>
      <c r="J134" s="32"/>
      <c r="K134" s="32"/>
      <c r="L134" s="32"/>
      <c r="M134" s="32"/>
      <c r="N134" s="32"/>
      <c r="O134" s="32"/>
      <c r="P134" s="32"/>
      <c r="Q134" s="32"/>
    </row>
    <row r="135" spans="2:17" x14ac:dyDescent="0.25">
      <c r="B135" s="9"/>
      <c r="C135" s="12"/>
      <c r="D135" s="9"/>
      <c r="E135" s="12"/>
      <c r="F135" s="10" t="s">
        <v>149</v>
      </c>
      <c r="G135" s="22"/>
      <c r="H135" s="11"/>
      <c r="I135" s="23">
        <v>12048807</v>
      </c>
      <c r="J135" s="23">
        <v>8725643</v>
      </c>
      <c r="K135" s="23">
        <v>36332539</v>
      </c>
      <c r="L135" s="31"/>
      <c r="M135" s="31"/>
      <c r="N135" s="31"/>
      <c r="O135" s="31"/>
      <c r="P135" s="31"/>
      <c r="Q135" s="23">
        <v>57106989</v>
      </c>
    </row>
    <row r="136" spans="2:17" x14ac:dyDescent="0.25">
      <c r="B136" s="9"/>
      <c r="C136" s="12"/>
      <c r="D136" s="9"/>
      <c r="E136" s="12"/>
      <c r="F136" s="12"/>
      <c r="G136" s="18" t="s">
        <v>150</v>
      </c>
      <c r="H136" s="7"/>
      <c r="I136" s="32"/>
      <c r="J136" s="32"/>
      <c r="K136" s="32"/>
      <c r="L136" s="32"/>
      <c r="M136" s="32"/>
      <c r="N136" s="32"/>
      <c r="O136" s="32"/>
      <c r="P136" s="32"/>
      <c r="Q136" s="32"/>
    </row>
    <row r="137" spans="2:17" x14ac:dyDescent="0.25">
      <c r="B137" s="9"/>
      <c r="C137" s="12"/>
      <c r="D137" s="9"/>
      <c r="E137" s="12"/>
      <c r="F137" s="17"/>
      <c r="G137" s="17" t="s">
        <v>151</v>
      </c>
      <c r="H137" s="11"/>
      <c r="I137" s="31"/>
      <c r="J137" s="31"/>
      <c r="K137" s="31"/>
      <c r="L137" s="31"/>
      <c r="M137" s="31"/>
      <c r="N137" s="31"/>
      <c r="O137" s="31"/>
      <c r="P137" s="31"/>
      <c r="Q137" s="31"/>
    </row>
    <row r="138" spans="2:17" x14ac:dyDescent="0.25">
      <c r="B138" s="9"/>
      <c r="C138" s="12"/>
      <c r="D138" s="9"/>
      <c r="E138" s="12"/>
      <c r="F138" s="18" t="s">
        <v>152</v>
      </c>
      <c r="G138" s="6"/>
      <c r="H138" s="7"/>
      <c r="I138" s="32"/>
      <c r="J138" s="32"/>
      <c r="K138" s="32"/>
      <c r="L138" s="32"/>
      <c r="M138" s="32"/>
      <c r="N138" s="32"/>
      <c r="O138" s="32"/>
      <c r="P138" s="32"/>
      <c r="Q138" s="32"/>
    </row>
    <row r="139" spans="2:17" x14ac:dyDescent="0.25">
      <c r="B139" s="9"/>
      <c r="C139" s="12"/>
      <c r="D139" s="9"/>
      <c r="E139" s="12"/>
      <c r="F139" s="17" t="s">
        <v>153</v>
      </c>
      <c r="G139" s="22"/>
      <c r="H139" s="11"/>
      <c r="I139" s="31"/>
      <c r="J139" s="31"/>
      <c r="K139" s="31"/>
      <c r="L139" s="31"/>
      <c r="M139" s="31"/>
      <c r="N139" s="31"/>
      <c r="O139" s="31"/>
      <c r="P139" s="31"/>
      <c r="Q139" s="31"/>
    </row>
    <row r="140" spans="2:17" x14ac:dyDescent="0.25">
      <c r="B140" s="9"/>
      <c r="C140" s="12"/>
      <c r="D140" s="9"/>
      <c r="E140" s="12"/>
      <c r="F140" s="18" t="s">
        <v>154</v>
      </c>
      <c r="G140" s="6"/>
      <c r="H140" s="7"/>
      <c r="I140" s="32"/>
      <c r="J140" s="32"/>
      <c r="K140" s="32"/>
      <c r="L140" s="32"/>
      <c r="M140" s="32"/>
      <c r="N140" s="32"/>
      <c r="O140" s="32"/>
      <c r="P140" s="32"/>
      <c r="Q140" s="32"/>
    </row>
    <row r="141" spans="2:17" x14ac:dyDescent="0.25">
      <c r="B141" s="9"/>
      <c r="C141" s="12"/>
      <c r="D141" s="9"/>
      <c r="E141" s="12"/>
      <c r="F141" s="17" t="s">
        <v>155</v>
      </c>
      <c r="G141" s="22"/>
      <c r="H141" s="11"/>
      <c r="I141" s="31"/>
      <c r="J141" s="31"/>
      <c r="K141" s="31"/>
      <c r="L141" s="31"/>
      <c r="M141" s="31"/>
      <c r="N141" s="31"/>
      <c r="O141" s="31"/>
      <c r="P141" s="31"/>
      <c r="Q141" s="31"/>
    </row>
    <row r="142" spans="2:17" x14ac:dyDescent="0.25">
      <c r="B142" s="9"/>
      <c r="C142" s="12"/>
      <c r="D142" s="9"/>
      <c r="E142" s="17"/>
      <c r="F142" s="36" t="s">
        <v>156</v>
      </c>
      <c r="G142" s="37"/>
      <c r="H142" s="38"/>
      <c r="I142" s="24">
        <f>I134+I135+SUM(I138:I141)</f>
      </c>
      <c r="J142" s="24">
        <f>J134+J135+SUM(J138:J141)</f>
      </c>
      <c r="K142" s="24">
        <f>K134+K135+SUM(K138:K141)</f>
      </c>
      <c r="L142" s="32">
        <f>L134+L135+SUM(L138:L141)</f>
      </c>
      <c r="M142" s="32">
        <f>M134+M135+SUM(M138:M141)</f>
      </c>
      <c r="N142" s="32">
        <f>N134+N135+SUM(N138:N141)</f>
      </c>
      <c r="O142" s="32">
        <f>O134+O135+SUM(O138:O141)</f>
      </c>
      <c r="P142" s="32">
        <f>P134+P135+SUM(P138:P141)</f>
      </c>
      <c r="Q142" s="24">
        <f>Q134+Q135+SUM(Q138:Q141)</f>
      </c>
    </row>
    <row r="143" spans="2:17" x14ac:dyDescent="0.25">
      <c r="B143" s="9"/>
      <c r="C143" s="12"/>
      <c r="D143" s="9"/>
      <c r="E143" s="10" t="s">
        <v>157</v>
      </c>
      <c r="F143" s="22"/>
      <c r="G143" s="22"/>
      <c r="H143" s="11"/>
      <c r="I143" s="8"/>
      <c r="J143" s="8"/>
      <c r="K143" s="8"/>
      <c r="L143" s="8"/>
      <c r="M143" s="8"/>
      <c r="N143" s="8"/>
      <c r="O143" s="8"/>
      <c r="P143" s="8"/>
      <c r="Q143" s="8"/>
    </row>
    <row r="144" spans="2:17" x14ac:dyDescent="0.25">
      <c r="B144" s="9"/>
      <c r="C144" s="12"/>
      <c r="D144" s="9"/>
      <c r="E144" s="12"/>
      <c r="F144" s="18" t="s">
        <v>158</v>
      </c>
      <c r="G144" s="6"/>
      <c r="H144" s="7"/>
      <c r="I144" s="32"/>
      <c r="J144" s="32"/>
      <c r="K144" s="32"/>
      <c r="L144" s="32"/>
      <c r="M144" s="32"/>
      <c r="N144" s="32"/>
      <c r="O144" s="32"/>
      <c r="P144" s="32"/>
      <c r="Q144" s="32"/>
    </row>
    <row r="145" spans="2:17" x14ac:dyDescent="0.25">
      <c r="B145" s="9"/>
      <c r="C145" s="12"/>
      <c r="D145" s="9"/>
      <c r="E145" s="12"/>
      <c r="F145" s="10" t="s">
        <v>159</v>
      </c>
      <c r="G145" s="22"/>
      <c r="H145" s="11"/>
      <c r="I145" s="31"/>
      <c r="J145" s="31"/>
      <c r="K145" s="31"/>
      <c r="L145" s="31"/>
      <c r="M145" s="31"/>
      <c r="N145" s="31"/>
      <c r="O145" s="31"/>
      <c r="P145" s="31"/>
      <c r="Q145" s="31"/>
    </row>
    <row r="146" spans="2:17" x14ac:dyDescent="0.25">
      <c r="B146" s="9"/>
      <c r="C146" s="12"/>
      <c r="D146" s="9"/>
      <c r="E146" s="12"/>
      <c r="F146" s="12"/>
      <c r="G146" s="18" t="s">
        <v>160</v>
      </c>
      <c r="H146" s="7"/>
      <c r="I146" s="32"/>
      <c r="J146" s="32"/>
      <c r="K146" s="32"/>
      <c r="L146" s="32"/>
      <c r="M146" s="32"/>
      <c r="N146" s="32"/>
      <c r="O146" s="32"/>
      <c r="P146" s="32"/>
      <c r="Q146" s="32"/>
    </row>
    <row r="147" spans="2:17" x14ac:dyDescent="0.25">
      <c r="B147" s="9"/>
      <c r="C147" s="12"/>
      <c r="D147" s="9"/>
      <c r="E147" s="12"/>
      <c r="F147" s="17"/>
      <c r="G147" s="17" t="s">
        <v>161</v>
      </c>
      <c r="H147" s="11"/>
      <c r="I147" s="31"/>
      <c r="J147" s="31"/>
      <c r="K147" s="31"/>
      <c r="L147" s="31"/>
      <c r="M147" s="31"/>
      <c r="N147" s="31"/>
      <c r="O147" s="31"/>
      <c r="P147" s="31"/>
      <c r="Q147" s="31"/>
    </row>
    <row r="148" spans="2:17" x14ac:dyDescent="0.25">
      <c r="B148" s="9"/>
      <c r="C148" s="12"/>
      <c r="D148" s="9"/>
      <c r="E148" s="12"/>
      <c r="F148" s="18" t="s">
        <v>162</v>
      </c>
      <c r="G148" s="6"/>
      <c r="H148" s="7"/>
      <c r="I148" s="32"/>
      <c r="J148" s="32"/>
      <c r="K148" s="32"/>
      <c r="L148" s="32"/>
      <c r="M148" s="32"/>
      <c r="N148" s="32"/>
      <c r="O148" s="32"/>
      <c r="P148" s="32"/>
      <c r="Q148" s="32"/>
    </row>
    <row r="149" spans="2:17" x14ac:dyDescent="0.25">
      <c r="B149" s="9"/>
      <c r="C149" s="12"/>
      <c r="D149" s="9"/>
      <c r="E149" s="12"/>
      <c r="F149" s="17" t="s">
        <v>163</v>
      </c>
      <c r="G149" s="22"/>
      <c r="H149" s="11"/>
      <c r="I149" s="31"/>
      <c r="J149" s="31"/>
      <c r="K149" s="31"/>
      <c r="L149" s="31"/>
      <c r="M149" s="31"/>
      <c r="N149" s="31"/>
      <c r="O149" s="31"/>
      <c r="P149" s="31"/>
      <c r="Q149" s="31"/>
    </row>
    <row r="150" spans="2:17" x14ac:dyDescent="0.25">
      <c r="B150" s="9"/>
      <c r="C150" s="12"/>
      <c r="D150" s="9"/>
      <c r="E150" s="12"/>
      <c r="F150" s="18" t="s">
        <v>164</v>
      </c>
      <c r="G150" s="6"/>
      <c r="H150" s="7"/>
      <c r="I150" s="32"/>
      <c r="J150" s="32"/>
      <c r="K150" s="32"/>
      <c r="L150" s="32"/>
      <c r="M150" s="32"/>
      <c r="N150" s="32"/>
      <c r="O150" s="32"/>
      <c r="P150" s="32"/>
      <c r="Q150" s="32"/>
    </row>
    <row r="151" spans="2:17" x14ac:dyDescent="0.25">
      <c r="B151" s="9"/>
      <c r="C151" s="12"/>
      <c r="D151" s="9"/>
      <c r="E151" s="12"/>
      <c r="F151" s="17" t="s">
        <v>165</v>
      </c>
      <c r="G151" s="22"/>
      <c r="H151" s="11"/>
      <c r="I151" s="31"/>
      <c r="J151" s="31"/>
      <c r="K151" s="31"/>
      <c r="L151" s="31"/>
      <c r="M151" s="31"/>
      <c r="N151" s="31"/>
      <c r="O151" s="31"/>
      <c r="P151" s="31"/>
      <c r="Q151" s="31"/>
    </row>
    <row r="152" spans="2:17" x14ac:dyDescent="0.25">
      <c r="B152" s="9"/>
      <c r="C152" s="12"/>
      <c r="D152" s="9"/>
      <c r="E152" s="17"/>
      <c r="F152" s="36" t="s">
        <v>166</v>
      </c>
      <c r="G152" s="37"/>
      <c r="H152" s="38"/>
      <c r="I152" s="32">
        <f>I144+I145+SUM(I148:I151)</f>
      </c>
      <c r="J152" s="32">
        <f>J144+J145+SUM(J148:J151)</f>
      </c>
      <c r="K152" s="32">
        <f>K144+K145+SUM(K148:K151)</f>
      </c>
      <c r="L152" s="32">
        <f>L144+L145+SUM(L148:L151)</f>
      </c>
      <c r="M152" s="32">
        <f>M144+M145+SUM(M148:M151)</f>
      </c>
      <c r="N152" s="32">
        <f>N144+N145+SUM(N148:N151)</f>
      </c>
      <c r="O152" s="32">
        <f>O144+O145+SUM(O148:O151)</f>
      </c>
      <c r="P152" s="32">
        <f>P144+P145+SUM(P148:P151)</f>
      </c>
      <c r="Q152" s="32">
        <f>Q144+Q145+SUM(Q148:Q151)</f>
      </c>
    </row>
    <row r="153" spans="2:17" x14ac:dyDescent="0.25">
      <c r="B153" s="9"/>
      <c r="C153" s="12"/>
      <c r="D153" s="18"/>
      <c r="E153" s="33" t="s">
        <v>167</v>
      </c>
      <c r="F153" s="34"/>
      <c r="G153" s="34"/>
      <c r="H153" s="35"/>
      <c r="I153" s="23">
        <f>I142+I152</f>
      </c>
      <c r="J153" s="23">
        <f>J142+J152</f>
      </c>
      <c r="K153" s="23">
        <f>K142+K152</f>
      </c>
      <c r="L153" s="31">
        <f>L142+L152</f>
      </c>
      <c r="M153" s="31">
        <f>M142+M152</f>
      </c>
      <c r="N153" s="31">
        <f>N142+N152</f>
      </c>
      <c r="O153" s="31">
        <f>O142+O152</f>
      </c>
      <c r="P153" s="31">
        <f>P142+P152</f>
      </c>
      <c r="Q153" s="23">
        <f>Q142+Q152</f>
      </c>
    </row>
    <row r="154" spans="2:17" x14ac:dyDescent="0.25">
      <c r="B154" s="9"/>
      <c r="C154" s="12"/>
      <c r="D154" s="5" t="s">
        <v>168</v>
      </c>
      <c r="E154" s="6"/>
      <c r="F154" s="6"/>
      <c r="G154" s="6"/>
      <c r="H154" s="7"/>
      <c r="I154" s="8"/>
      <c r="J154" s="8"/>
      <c r="K154" s="8"/>
      <c r="L154" s="8"/>
      <c r="M154" s="8"/>
      <c r="N154" s="8"/>
      <c r="O154" s="8"/>
      <c r="P154" s="8"/>
      <c r="Q154" s="8"/>
    </row>
    <row r="155" spans="2:17" x14ac:dyDescent="0.25">
      <c r="B155" s="9"/>
      <c r="C155" s="12"/>
      <c r="D155" s="9"/>
      <c r="E155" s="17" t="s">
        <v>169</v>
      </c>
      <c r="F155" s="22"/>
      <c r="G155" s="22"/>
      <c r="H155" s="11"/>
      <c r="I155" s="23">
        <v>1041350874</v>
      </c>
      <c r="J155" s="23">
        <v>9845150</v>
      </c>
      <c r="K155" s="23">
        <v>10122540</v>
      </c>
      <c r="L155" s="31"/>
      <c r="M155" s="31"/>
      <c r="N155" s="31"/>
      <c r="O155" s="31"/>
      <c r="P155" s="31"/>
      <c r="Q155" s="23">
        <v>1061318564</v>
      </c>
    </row>
    <row r="156" spans="2:17" x14ac:dyDescent="0.25">
      <c r="B156" s="9"/>
      <c r="C156" s="12"/>
      <c r="D156" s="9"/>
      <c r="E156" s="18" t="s">
        <v>170</v>
      </c>
      <c r="F156" s="6"/>
      <c r="G156" s="6"/>
      <c r="H156" s="7"/>
      <c r="I156" s="32"/>
      <c r="J156" s="32"/>
      <c r="K156" s="32"/>
      <c r="L156" s="32"/>
      <c r="M156" s="32"/>
      <c r="N156" s="32"/>
      <c r="O156" s="32"/>
      <c r="P156" s="32"/>
      <c r="Q156" s="32"/>
    </row>
    <row r="157" spans="2:17" x14ac:dyDescent="0.25">
      <c r="B157" s="9"/>
      <c r="C157" s="12"/>
      <c r="D157" s="9"/>
      <c r="E157" s="17" t="s">
        <v>171</v>
      </c>
      <c r="F157" s="22"/>
      <c r="G157" s="22"/>
      <c r="H157" s="11"/>
      <c r="I157" s="31"/>
      <c r="J157" s="31"/>
      <c r="K157" s="31"/>
      <c r="L157" s="31"/>
      <c r="M157" s="31"/>
      <c r="N157" s="31"/>
      <c r="O157" s="31"/>
      <c r="P157" s="31"/>
      <c r="Q157" s="31"/>
    </row>
    <row r="158" spans="2:17" x14ac:dyDescent="0.25">
      <c r="B158" s="9"/>
      <c r="C158" s="12"/>
      <c r="D158" s="9"/>
      <c r="E158" s="18" t="s">
        <v>172</v>
      </c>
      <c r="F158" s="6"/>
      <c r="G158" s="6"/>
      <c r="H158" s="7"/>
      <c r="I158" s="32"/>
      <c r="J158" s="32"/>
      <c r="K158" s="32"/>
      <c r="L158" s="32"/>
      <c r="M158" s="32"/>
      <c r="N158" s="32"/>
      <c r="O158" s="32"/>
      <c r="P158" s="32"/>
      <c r="Q158" s="32"/>
    </row>
    <row r="159" spans="2:17" x14ac:dyDescent="0.25">
      <c r="B159" s="9"/>
      <c r="C159" s="12"/>
      <c r="D159" s="9"/>
      <c r="E159" s="17" t="s">
        <v>173</v>
      </c>
      <c r="F159" s="22"/>
      <c r="G159" s="22"/>
      <c r="H159" s="11"/>
      <c r="I159" s="31"/>
      <c r="J159" s="31"/>
      <c r="K159" s="31"/>
      <c r="L159" s="31"/>
      <c r="M159" s="31"/>
      <c r="N159" s="31"/>
      <c r="O159" s="31"/>
      <c r="P159" s="31"/>
      <c r="Q159" s="31"/>
    </row>
    <row r="160" spans="2:17" x14ac:dyDescent="0.25">
      <c r="B160" s="9"/>
      <c r="C160" s="12"/>
      <c r="D160" s="9"/>
      <c r="E160" s="5" t="s">
        <v>174</v>
      </c>
      <c r="F160" s="6"/>
      <c r="G160" s="6"/>
      <c r="H160" s="7"/>
      <c r="I160" s="24">
        <v>2859448</v>
      </c>
      <c r="J160" s="24">
        <v>25098480</v>
      </c>
      <c r="K160" s="24">
        <v>4539532</v>
      </c>
      <c r="L160" s="32"/>
      <c r="M160" s="32"/>
      <c r="N160" s="32"/>
      <c r="O160" s="32"/>
      <c r="P160" s="32"/>
      <c r="Q160" s="24">
        <v>32497460</v>
      </c>
    </row>
    <row r="161" spans="2:17" x14ac:dyDescent="0.25">
      <c r="B161" s="9"/>
      <c r="C161" s="12"/>
      <c r="D161" s="9"/>
      <c r="E161" s="18"/>
      <c r="F161" s="17" t="s">
        <v>175</v>
      </c>
      <c r="G161" s="22"/>
      <c r="H161" s="11"/>
      <c r="I161" s="23">
        <v>2859448</v>
      </c>
      <c r="J161" s="23">
        <v>25098480</v>
      </c>
      <c r="K161" s="23">
        <v>4539532</v>
      </c>
      <c r="L161" s="31"/>
      <c r="M161" s="31"/>
      <c r="N161" s="31"/>
      <c r="O161" s="31"/>
      <c r="P161" s="31"/>
      <c r="Q161" s="23">
        <v>32497460</v>
      </c>
    </row>
    <row r="162" spans="2:17" x14ac:dyDescent="0.25">
      <c r="B162" s="9"/>
      <c r="C162" s="12"/>
      <c r="D162" s="18"/>
      <c r="E162" s="36" t="s">
        <v>176</v>
      </c>
      <c r="F162" s="37"/>
      <c r="G162" s="37"/>
      <c r="H162" s="38"/>
      <c r="I162" s="24">
        <f>SUM(I155:I160)</f>
      </c>
      <c r="J162" s="24">
        <f>SUM(J155:J160)</f>
      </c>
      <c r="K162" s="24">
        <f>SUM(K155:K160)</f>
      </c>
      <c r="L162" s="32">
        <f>SUM(L155:L160)</f>
      </c>
      <c r="M162" s="32">
        <f>SUM(M155:M160)</f>
      </c>
      <c r="N162" s="32">
        <f>SUM(N155:N160)</f>
      </c>
      <c r="O162" s="32">
        <f>SUM(O155:O160)</f>
      </c>
      <c r="P162" s="32">
        <f>SUM(P155:P160)</f>
      </c>
      <c r="Q162" s="24">
        <f>SUM(Q155:Q160)</f>
      </c>
    </row>
    <row r="163" spans="2:17" x14ac:dyDescent="0.25">
      <c r="B163" s="18"/>
      <c r="C163" s="17"/>
      <c r="D163" s="33" t="s">
        <v>177</v>
      </c>
      <c r="E163" s="34"/>
      <c r="F163" s="34"/>
      <c r="G163" s="34"/>
      <c r="H163" s="35"/>
      <c r="I163" s="39">
        <f>I162+I153</f>
      </c>
      <c r="J163" s="39">
        <f>J162+J153</f>
      </c>
      <c r="K163" s="39">
        <f>K162+K153</f>
      </c>
      <c r="L163" s="40">
        <f>L162+L153</f>
      </c>
      <c r="M163" s="40">
        <f>M162+M153</f>
      </c>
      <c r="N163" s="40">
        <f>N162+N153</f>
      </c>
      <c r="O163" s="40">
        <f>O162+O153</f>
      </c>
      <c r="P163" s="40">
        <f>P162+P153</f>
      </c>
      <c r="Q163" s="39">
        <f>Q162+Q153</f>
      </c>
    </row>
  </sheetData>
  <mergeCells count="146">
    <mergeCell ref="I10:Q10"/>
    <mergeCell ref="B12:H12"/>
    <mergeCell ref="C13:H13"/>
    <mergeCell ref="D14:H14"/>
    <mergeCell ref="E15:H15"/>
    <mergeCell ref="F16:H16"/>
    <mergeCell ref="E17:H17"/>
    <mergeCell ref="F18:H18"/>
    <mergeCell ref="G19:H19"/>
    <mergeCell ref="G20:H20"/>
    <mergeCell ref="G22:H22"/>
    <mergeCell ref="F23:H23"/>
    <mergeCell ref="F24:H24"/>
    <mergeCell ref="F25:H25"/>
    <mergeCell ref="F26:H26"/>
    <mergeCell ref="E27:H27"/>
    <mergeCell ref="E28:H28"/>
    <mergeCell ref="E29:H29"/>
    <mergeCell ref="E30:H30"/>
    <mergeCell ref="E31:H31"/>
    <mergeCell ref="E32:H32"/>
    <mergeCell ref="D33:H33"/>
    <mergeCell ref="E34:H34"/>
    <mergeCell ref="E35:H35"/>
    <mergeCell ref="E36:H36"/>
    <mergeCell ref="E37:H37"/>
    <mergeCell ref="E38:H38"/>
    <mergeCell ref="F39:H39"/>
    <mergeCell ref="G40:H40"/>
    <mergeCell ref="G41:H41"/>
    <mergeCell ref="G43:H43"/>
    <mergeCell ref="F44:H44"/>
    <mergeCell ref="F45:H45"/>
    <mergeCell ref="F46:H46"/>
    <mergeCell ref="F47:H47"/>
    <mergeCell ref="E48:H48"/>
    <mergeCell ref="E49:H49"/>
    <mergeCell ref="E50:H50"/>
    <mergeCell ref="E51:H51"/>
    <mergeCell ref="D52:H52"/>
    <mergeCell ref="C53:H53"/>
    <mergeCell ref="D54:H54"/>
    <mergeCell ref="E55:H55"/>
    <mergeCell ref="F56:H56"/>
    <mergeCell ref="F57:H57"/>
    <mergeCell ref="G58:H58"/>
    <mergeCell ref="G59:H59"/>
    <mergeCell ref="F60:H60"/>
    <mergeCell ref="F61:H61"/>
    <mergeCell ref="F62:H62"/>
    <mergeCell ref="F63:H63"/>
    <mergeCell ref="F64:H64"/>
    <mergeCell ref="E65:H65"/>
    <mergeCell ref="F66:H66"/>
    <mergeCell ref="F67:H67"/>
    <mergeCell ref="G68:H68"/>
    <mergeCell ref="G69:H69"/>
    <mergeCell ref="F70:H70"/>
    <mergeCell ref="F71:H71"/>
    <mergeCell ref="F72:H72"/>
    <mergeCell ref="F73:H73"/>
    <mergeCell ref="F74:H74"/>
    <mergeCell ref="E75:H75"/>
    <mergeCell ref="D76:H76"/>
    <mergeCell ref="E77:H77"/>
    <mergeCell ref="E78:H78"/>
    <mergeCell ref="E79:H79"/>
    <mergeCell ref="E80:H80"/>
    <mergeCell ref="E81:H81"/>
    <mergeCell ref="E82:H82"/>
    <mergeCell ref="F83:H83"/>
    <mergeCell ref="E84:H84"/>
    <mergeCell ref="D85:H85"/>
    <mergeCell ref="I88:Q88"/>
    <mergeCell ref="B90:H90"/>
    <mergeCell ref="C91:H91"/>
    <mergeCell ref="D92:H92"/>
    <mergeCell ref="E93:H93"/>
    <mergeCell ref="F94:H94"/>
    <mergeCell ref="E95:H95"/>
    <mergeCell ref="F96:H96"/>
    <mergeCell ref="G97:H97"/>
    <mergeCell ref="G98:H98"/>
    <mergeCell ref="G100:H100"/>
    <mergeCell ref="F101:H101"/>
    <mergeCell ref="F102:H102"/>
    <mergeCell ref="F103:H103"/>
    <mergeCell ref="F104:H104"/>
    <mergeCell ref="E105:H105"/>
    <mergeCell ref="E106:H106"/>
    <mergeCell ref="E107:H107"/>
    <mergeCell ref="E108:H108"/>
    <mergeCell ref="E109:H109"/>
    <mergeCell ref="E110:H110"/>
    <mergeCell ref="D111:H111"/>
    <mergeCell ref="E112:H112"/>
    <mergeCell ref="E113:H113"/>
    <mergeCell ref="E114:H114"/>
    <mergeCell ref="E115:H115"/>
    <mergeCell ref="E116:H116"/>
    <mergeCell ref="F117:H117"/>
    <mergeCell ref="G118:H118"/>
    <mergeCell ref="G119:H119"/>
    <mergeCell ref="G121:H121"/>
    <mergeCell ref="F122:H122"/>
    <mergeCell ref="F123:H123"/>
    <mergeCell ref="F124:H124"/>
    <mergeCell ref="F125:H125"/>
    <mergeCell ref="E126:H126"/>
    <mergeCell ref="E127:H127"/>
    <mergeCell ref="E128:H128"/>
    <mergeCell ref="E129:H129"/>
    <mergeCell ref="D130:H130"/>
    <mergeCell ref="C131:H131"/>
    <mergeCell ref="D132:H132"/>
    <mergeCell ref="E133:H133"/>
    <mergeCell ref="F134:H134"/>
    <mergeCell ref="F135:H135"/>
    <mergeCell ref="G136:H136"/>
    <mergeCell ref="G137:H137"/>
    <mergeCell ref="F138:H138"/>
    <mergeCell ref="F139:H139"/>
    <mergeCell ref="F140:H140"/>
    <mergeCell ref="F141:H141"/>
    <mergeCell ref="F142:H142"/>
    <mergeCell ref="E143:H143"/>
    <mergeCell ref="F144:H144"/>
    <mergeCell ref="F145:H145"/>
    <mergeCell ref="G146:H146"/>
    <mergeCell ref="G147:H147"/>
    <mergeCell ref="F148:H148"/>
    <mergeCell ref="F149:H149"/>
    <mergeCell ref="F150:H150"/>
    <mergeCell ref="F151:H151"/>
    <mergeCell ref="F152:H152"/>
    <mergeCell ref="E153:H153"/>
    <mergeCell ref="D154:H154"/>
    <mergeCell ref="E155:H155"/>
    <mergeCell ref="E156:H156"/>
    <mergeCell ref="E157:H157"/>
    <mergeCell ref="E158:H158"/>
    <mergeCell ref="E159:H159"/>
    <mergeCell ref="E160:H160"/>
    <mergeCell ref="F161:H161"/>
    <mergeCell ref="E162:H162"/>
    <mergeCell ref="D163:H16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"/>
  <sheetViews>
    <sheetView workbookViewId="0" zoomScale="100" zoomScaleNormal="100"/>
  </sheetViews>
  <sheetFormatPr defaultRowHeight="15" outlineLevelRow="0" outlineLevelCol="0" x14ac:dyDescent="0"/>
  <cols>
    <col min="2" max="3" width="2.70703125" customWidth="1"/>
    <col min="4" max="4" width="50" customWidth="1"/>
    <col min="5" max="13" width="15" customWidth="1"/>
  </cols>
  <sheetData>
    <row r="1" spans="6:13" x14ac:dyDescent="0.25"/>
    <row r="2" spans="2:13" x14ac:dyDescent="0.25">
      <c r="B2" s="2" t="s">
        <v>9</v>
      </c>
    </row>
    <row r="3" spans="2:13" x14ac:dyDescent="0.25">
      <c r="B3" s="3" t="s">
        <v>10</v>
      </c>
      <c r="C3" t="s">
        <v>11</v>
      </c>
    </row>
    <row r="4" spans="2:13" x14ac:dyDescent="0.25">
      <c r="B4" s="3" t="s">
        <v>12</v>
      </c>
      <c r="C4" t="s">
        <v>13</v>
      </c>
    </row>
    <row r="5" spans="2:13" x14ac:dyDescent="0.25">
      <c r="B5" s="3" t="s">
        <v>14</v>
      </c>
      <c r="C5" t="s">
        <v>4</v>
      </c>
    </row>
    <row r="6" spans="2:13" x14ac:dyDescent="0.25">
      <c r="B6" s="3" t="s">
        <v>15</v>
      </c>
      <c r="C6" t="s">
        <v>16</v>
      </c>
    </row>
    <row r="7" spans="2:13" x14ac:dyDescent="0.25">
      <c r="B7" s="3" t="s">
        <v>17</v>
      </c>
      <c r="C7" t="s">
        <v>16</v>
      </c>
    </row>
    <row r="8" spans="6:13" x14ac:dyDescent="0.25"/>
    <row r="9" spans="2:13" x14ac:dyDescent="0.25">
      <c r="B9" s="3" t="s">
        <v>18</v>
      </c>
      <c r="C9" t="s">
        <v>19</v>
      </c>
    </row>
    <row r="10" spans="5:13" x14ac:dyDescent="0.25">
      <c r="E10" s="26" t="s">
        <v>95</v>
      </c>
      <c r="F10" s="27"/>
      <c r="G10" s="27"/>
      <c r="H10" s="27"/>
      <c r="I10" s="27"/>
      <c r="J10" s="27"/>
      <c r="K10" s="27"/>
      <c r="L10" s="27"/>
      <c r="M10" s="28"/>
    </row>
    <row r="11" spans="5:13" x14ac:dyDescent="0.25">
      <c r="E11" s="29" t="s">
        <v>96</v>
      </c>
      <c r="F11" s="4" t="s">
        <v>97</v>
      </c>
      <c r="G11" s="29" t="s">
        <v>98</v>
      </c>
      <c r="H11" s="4" t="s">
        <v>99</v>
      </c>
      <c r="I11" s="29" t="s">
        <v>100</v>
      </c>
      <c r="J11" s="4" t="s">
        <v>101</v>
      </c>
      <c r="K11" s="29" t="s">
        <v>102</v>
      </c>
      <c r="L11" s="4" t="s">
        <v>103</v>
      </c>
      <c r="M11" s="30"/>
    </row>
    <row r="12" spans="2:13" x14ac:dyDescent="0.25">
      <c r="B12" s="5" t="s">
        <v>179</v>
      </c>
      <c r="C12" s="6"/>
      <c r="D12" s="7"/>
      <c r="E12" s="8"/>
      <c r="F12" s="8"/>
      <c r="G12" s="8"/>
      <c r="H12" s="8"/>
      <c r="I12" s="8"/>
      <c r="J12" s="8"/>
      <c r="K12" s="8"/>
      <c r="L12" s="8"/>
      <c r="M12" s="8"/>
    </row>
    <row r="13" spans="2:13" x14ac:dyDescent="0.25">
      <c r="B13" s="9"/>
      <c r="C13" s="10" t="s">
        <v>180</v>
      </c>
      <c r="D13" s="11"/>
      <c r="E13" s="8"/>
      <c r="F13" s="8"/>
      <c r="G13" s="8"/>
      <c r="H13" s="8"/>
      <c r="I13" s="8"/>
      <c r="J13" s="8"/>
      <c r="K13" s="8"/>
      <c r="L13" s="8"/>
      <c r="M13" s="8"/>
    </row>
    <row r="14" spans="2:13" x14ac:dyDescent="0.25">
      <c r="B14" s="9"/>
      <c r="C14" s="12"/>
      <c r="D14" s="13" t="s">
        <v>181</v>
      </c>
      <c r="E14" s="24">
        <v>549440143</v>
      </c>
      <c r="F14" s="24">
        <v>180509891</v>
      </c>
      <c r="G14" s="24">
        <v>261207690</v>
      </c>
      <c r="H14" s="32"/>
      <c r="I14" s="32"/>
      <c r="J14" s="32"/>
      <c r="K14" s="32"/>
      <c r="L14" s="32"/>
      <c r="M14" s="24">
        <v>991157724</v>
      </c>
    </row>
    <row r="15" spans="2:13" x14ac:dyDescent="0.25">
      <c r="B15" s="9"/>
      <c r="C15" s="12"/>
      <c r="D15" s="15" t="s">
        <v>182</v>
      </c>
      <c r="E15" s="23">
        <v>356426319</v>
      </c>
      <c r="F15" s="23">
        <v>180483023</v>
      </c>
      <c r="G15" s="23">
        <v>196249412</v>
      </c>
      <c r="H15" s="31"/>
      <c r="I15" s="31"/>
      <c r="J15" s="31"/>
      <c r="K15" s="31"/>
      <c r="L15" s="31"/>
      <c r="M15" s="23">
        <v>733158754</v>
      </c>
    </row>
    <row r="16" spans="2:13" x14ac:dyDescent="0.25">
      <c r="B16" s="9"/>
      <c r="C16" s="12"/>
      <c r="D16" s="41" t="s">
        <v>183</v>
      </c>
      <c r="E16" s="24">
        <f>E14-E15</f>
      </c>
      <c r="F16" s="24">
        <v>0</v>
      </c>
      <c r="G16" s="24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24">
        <v>0</v>
      </c>
    </row>
    <row r="17" spans="2:13" x14ac:dyDescent="0.25">
      <c r="B17" s="9"/>
      <c r="C17" s="12"/>
      <c r="D17" s="15" t="s">
        <v>184</v>
      </c>
      <c r="E17" s="23">
        <v>144077842</v>
      </c>
      <c r="F17" s="23">
        <v>101584033</v>
      </c>
      <c r="G17" s="23">
        <v>17202774</v>
      </c>
      <c r="H17" s="31"/>
      <c r="I17" s="31"/>
      <c r="J17" s="31"/>
      <c r="K17" s="31"/>
      <c r="L17" s="31"/>
      <c r="M17" s="23">
        <v>262864649</v>
      </c>
    </row>
    <row r="18" spans="2:13" x14ac:dyDescent="0.25">
      <c r="B18" s="9"/>
      <c r="C18" s="12"/>
      <c r="D18" s="13" t="s">
        <v>185</v>
      </c>
      <c r="E18" s="24">
        <v>346590</v>
      </c>
      <c r="F18" s="24">
        <v>150000000</v>
      </c>
      <c r="G18" s="32"/>
      <c r="H18" s="32"/>
      <c r="I18" s="32"/>
      <c r="J18" s="32"/>
      <c r="K18" s="32"/>
      <c r="L18" s="32"/>
      <c r="M18" s="24">
        <v>150346590</v>
      </c>
    </row>
    <row r="19" spans="2:13" x14ac:dyDescent="0.25">
      <c r="B19" s="9"/>
      <c r="C19" s="12"/>
      <c r="D19" s="15" t="s">
        <v>186</v>
      </c>
      <c r="E19" s="23">
        <v>35659238</v>
      </c>
      <c r="F19" s="23">
        <v>6600000</v>
      </c>
      <c r="G19" s="23">
        <v>1760000</v>
      </c>
      <c r="H19" s="31"/>
      <c r="I19" s="31"/>
      <c r="J19" s="31"/>
      <c r="K19" s="31"/>
      <c r="L19" s="31"/>
      <c r="M19" s="23">
        <v>44019238</v>
      </c>
    </row>
    <row r="20" spans="2:13" x14ac:dyDescent="0.25">
      <c r="B20" s="9"/>
      <c r="C20" s="12"/>
      <c r="D20" s="41" t="s">
        <v>187</v>
      </c>
      <c r="E20" s="24">
        <f>E16-E17-E19+E18</f>
      </c>
      <c r="F20" s="24">
        <v>0</v>
      </c>
      <c r="G20" s="24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24">
        <v>0</v>
      </c>
    </row>
    <row r="21" spans="2:13" x14ac:dyDescent="0.25">
      <c r="B21" s="9"/>
      <c r="C21" s="12"/>
      <c r="D21" s="15" t="s">
        <v>188</v>
      </c>
      <c r="E21" s="23">
        <v>22237136</v>
      </c>
      <c r="F21" s="31"/>
      <c r="G21" s="31"/>
      <c r="H21" s="31"/>
      <c r="I21" s="31"/>
      <c r="J21" s="31"/>
      <c r="K21" s="31"/>
      <c r="L21" s="31"/>
      <c r="M21" s="23">
        <v>22237136</v>
      </c>
    </row>
    <row r="22" spans="2:13" x14ac:dyDescent="0.25">
      <c r="B22" s="9"/>
      <c r="C22" s="12"/>
      <c r="D22" s="13" t="s">
        <v>189</v>
      </c>
      <c r="E22" s="24">
        <v>5913857</v>
      </c>
      <c r="F22" s="24">
        <v>2861955</v>
      </c>
      <c r="G22" s="24">
        <v>763188</v>
      </c>
      <c r="H22" s="32"/>
      <c r="I22" s="32"/>
      <c r="J22" s="32"/>
      <c r="K22" s="32"/>
      <c r="L22" s="32"/>
      <c r="M22" s="24">
        <v>9539000</v>
      </c>
    </row>
    <row r="23" spans="2:13" x14ac:dyDescent="0.25">
      <c r="B23" s="9"/>
      <c r="C23" s="12"/>
      <c r="D23" s="15" t="s">
        <v>190</v>
      </c>
      <c r="E23" s="31"/>
      <c r="F23" s="31"/>
      <c r="G23" s="31"/>
      <c r="H23" s="31"/>
      <c r="I23" s="31"/>
      <c r="J23" s="31"/>
      <c r="K23" s="31"/>
      <c r="L23" s="31"/>
      <c r="M23" s="31"/>
    </row>
    <row r="24" spans="2:13" x14ac:dyDescent="0.25">
      <c r="B24" s="9"/>
      <c r="C24" s="12"/>
      <c r="D24" s="41" t="s">
        <v>191</v>
      </c>
      <c r="E24" s="24">
        <f>E20+E21-E22+E23</f>
      </c>
      <c r="F24" s="24">
        <v>0</v>
      </c>
      <c r="G24" s="24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24">
        <v>0</v>
      </c>
    </row>
    <row r="25" spans="2:13" x14ac:dyDescent="0.25">
      <c r="B25" s="9"/>
      <c r="C25" s="12"/>
      <c r="D25" s="15" t="s">
        <v>192</v>
      </c>
      <c r="E25" s="31"/>
      <c r="F25" s="31"/>
      <c r="G25" s="31"/>
      <c r="H25" s="31"/>
      <c r="I25" s="31"/>
      <c r="J25" s="31"/>
      <c r="K25" s="31"/>
      <c r="L25" s="31"/>
      <c r="M25" s="31"/>
    </row>
    <row r="26" spans="2:13" x14ac:dyDescent="0.25">
      <c r="B26" s="9"/>
      <c r="C26" s="12"/>
      <c r="D26" s="41" t="s">
        <v>193</v>
      </c>
      <c r="E26" s="24">
        <f>E24-E25</f>
      </c>
      <c r="F26" s="24">
        <v>0</v>
      </c>
      <c r="G26" s="24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24">
        <v>0</v>
      </c>
    </row>
    <row r="27" spans="2:13" x14ac:dyDescent="0.25">
      <c r="B27" s="9"/>
      <c r="C27" s="12"/>
      <c r="D27" s="15" t="s">
        <v>194</v>
      </c>
      <c r="E27" s="31"/>
      <c r="F27" s="31"/>
      <c r="G27" s="31"/>
      <c r="H27" s="31"/>
      <c r="I27" s="31"/>
      <c r="J27" s="31"/>
      <c r="K27" s="31"/>
      <c r="L27" s="31"/>
      <c r="M27" s="31"/>
    </row>
    <row r="28" spans="2:13" x14ac:dyDescent="0.25">
      <c r="B28" s="18"/>
      <c r="C28" s="17"/>
      <c r="D28" s="41" t="s">
        <v>195</v>
      </c>
      <c r="E28" s="42">
        <f>E26+E27</f>
      </c>
      <c r="F28" s="42">
        <v>0</v>
      </c>
      <c r="G28" s="42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2">
        <v>0</v>
      </c>
    </row>
    <row r="29" spans="6:13" x14ac:dyDescent="0.25"/>
    <row r="30" spans="2:13" x14ac:dyDescent="0.25">
      <c r="B30" s="3" t="s">
        <v>18</v>
      </c>
      <c r="C30" t="s">
        <v>178</v>
      </c>
    </row>
    <row r="31" spans="5:13" x14ac:dyDescent="0.25">
      <c r="E31" s="26" t="s">
        <v>95</v>
      </c>
      <c r="F31" s="27"/>
      <c r="G31" s="27"/>
      <c r="H31" s="27"/>
      <c r="I31" s="27"/>
      <c r="J31" s="27"/>
      <c r="K31" s="27"/>
      <c r="L31" s="27"/>
      <c r="M31" s="28"/>
    </row>
    <row r="32" spans="5:13" x14ac:dyDescent="0.25">
      <c r="E32" s="29" t="s">
        <v>96</v>
      </c>
      <c r="F32" s="4" t="s">
        <v>97</v>
      </c>
      <c r="G32" s="29" t="s">
        <v>98</v>
      </c>
      <c r="H32" s="4" t="s">
        <v>99</v>
      </c>
      <c r="I32" s="29" t="s">
        <v>100</v>
      </c>
      <c r="J32" s="4" t="s">
        <v>101</v>
      </c>
      <c r="K32" s="29" t="s">
        <v>102</v>
      </c>
      <c r="L32" s="4" t="s">
        <v>103</v>
      </c>
      <c r="M32" s="30"/>
    </row>
    <row r="33" spans="2:13" x14ac:dyDescent="0.25">
      <c r="B33" s="5" t="s">
        <v>179</v>
      </c>
      <c r="C33" s="6"/>
      <c r="D33" s="7"/>
      <c r="E33" s="8"/>
      <c r="F33" s="8"/>
      <c r="G33" s="8"/>
      <c r="H33" s="8"/>
      <c r="I33" s="8"/>
      <c r="J33" s="8"/>
      <c r="K33" s="8"/>
      <c r="L33" s="8"/>
      <c r="M33" s="8"/>
    </row>
    <row r="34" spans="2:13" x14ac:dyDescent="0.25">
      <c r="B34" s="9"/>
      <c r="C34" s="10" t="s">
        <v>180</v>
      </c>
      <c r="D34" s="11"/>
      <c r="E34" s="8"/>
      <c r="F34" s="8"/>
      <c r="G34" s="8"/>
      <c r="H34" s="8"/>
      <c r="I34" s="8"/>
      <c r="J34" s="8"/>
      <c r="K34" s="8"/>
      <c r="L34" s="8"/>
      <c r="M34" s="8"/>
    </row>
    <row r="35" spans="2:13" x14ac:dyDescent="0.25">
      <c r="B35" s="9"/>
      <c r="C35" s="12"/>
      <c r="D35" s="13" t="s">
        <v>181</v>
      </c>
      <c r="E35" s="23">
        <v>288598804</v>
      </c>
      <c r="F35" s="23">
        <v>64899827</v>
      </c>
      <c r="G35" s="23">
        <v>112430345</v>
      </c>
      <c r="H35" s="31"/>
      <c r="I35" s="31"/>
      <c r="J35" s="31"/>
      <c r="K35" s="31"/>
      <c r="L35" s="31"/>
      <c r="M35" s="23">
        <v>465928976</v>
      </c>
    </row>
    <row r="36" spans="2:13" x14ac:dyDescent="0.25">
      <c r="B36" s="9"/>
      <c r="C36" s="12"/>
      <c r="D36" s="15" t="s">
        <v>182</v>
      </c>
      <c r="E36" s="24">
        <v>180846963</v>
      </c>
      <c r="F36" s="24">
        <v>74147725</v>
      </c>
      <c r="G36" s="24">
        <v>97234060</v>
      </c>
      <c r="H36" s="32"/>
      <c r="I36" s="32"/>
      <c r="J36" s="32"/>
      <c r="K36" s="32"/>
      <c r="L36" s="32"/>
      <c r="M36" s="24">
        <v>352228748</v>
      </c>
    </row>
    <row r="37" spans="2:13" x14ac:dyDescent="0.25">
      <c r="B37" s="9"/>
      <c r="C37" s="12"/>
      <c r="D37" s="41" t="s">
        <v>183</v>
      </c>
      <c r="E37" s="23">
        <f>E35-E36</f>
      </c>
      <c r="F37" s="23">
        <v>0</v>
      </c>
      <c r="G37" s="23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23">
        <v>0</v>
      </c>
    </row>
    <row r="38" spans="2:13" x14ac:dyDescent="0.25">
      <c r="B38" s="9"/>
      <c r="C38" s="12"/>
      <c r="D38" s="15" t="s">
        <v>184</v>
      </c>
      <c r="E38" s="24">
        <v>50494231</v>
      </c>
      <c r="F38" s="24">
        <v>24432692</v>
      </c>
      <c r="G38" s="24">
        <v>6515385</v>
      </c>
      <c r="H38" s="32"/>
      <c r="I38" s="32"/>
      <c r="J38" s="32"/>
      <c r="K38" s="32"/>
      <c r="L38" s="32"/>
      <c r="M38" s="24">
        <v>81442308</v>
      </c>
    </row>
    <row r="39" spans="2:13" x14ac:dyDescent="0.25">
      <c r="B39" s="9"/>
      <c r="C39" s="12"/>
      <c r="D39" s="13" t="s">
        <v>185</v>
      </c>
      <c r="E39" s="23">
        <v>7013179</v>
      </c>
      <c r="F39" s="23">
        <v>75000000</v>
      </c>
      <c r="G39" s="31"/>
      <c r="H39" s="31"/>
      <c r="I39" s="31"/>
      <c r="J39" s="31"/>
      <c r="K39" s="31"/>
      <c r="L39" s="31"/>
      <c r="M39" s="23">
        <v>82013179</v>
      </c>
    </row>
    <row r="40" spans="2:13" x14ac:dyDescent="0.25">
      <c r="B40" s="9"/>
      <c r="C40" s="12"/>
      <c r="D40" s="15" t="s">
        <v>186</v>
      </c>
      <c r="E40" s="24">
        <v>61411341</v>
      </c>
      <c r="F40" s="24">
        <v>16220930</v>
      </c>
      <c r="G40" s="24">
        <v>4141368</v>
      </c>
      <c r="H40" s="32"/>
      <c r="I40" s="32"/>
      <c r="J40" s="32"/>
      <c r="K40" s="32"/>
      <c r="L40" s="32"/>
      <c r="M40" s="24">
        <v>81773639</v>
      </c>
    </row>
    <row r="41" spans="2:13" x14ac:dyDescent="0.25">
      <c r="B41" s="9"/>
      <c r="C41" s="12"/>
      <c r="D41" s="41" t="s">
        <v>187</v>
      </c>
      <c r="E41" s="23">
        <f>E37-E38-E40+E39</f>
      </c>
      <c r="F41" s="23">
        <v>0</v>
      </c>
      <c r="G41" s="23">
        <v>0</v>
      </c>
      <c r="H41" s="31">
        <v>0</v>
      </c>
      <c r="I41" s="31">
        <v>0</v>
      </c>
      <c r="J41" s="31">
        <v>0</v>
      </c>
      <c r="K41" s="31">
        <v>0</v>
      </c>
      <c r="L41" s="31">
        <v>0</v>
      </c>
      <c r="M41" s="23">
        <v>0</v>
      </c>
    </row>
    <row r="42" spans="2:13" x14ac:dyDescent="0.25">
      <c r="B42" s="9"/>
      <c r="C42" s="12"/>
      <c r="D42" s="15" t="s">
        <v>188</v>
      </c>
      <c r="E42" s="32"/>
      <c r="F42" s="32"/>
      <c r="G42" s="32"/>
      <c r="H42" s="32"/>
      <c r="I42" s="32"/>
      <c r="J42" s="32"/>
      <c r="K42" s="32"/>
      <c r="L42" s="32"/>
      <c r="M42" s="32"/>
    </row>
    <row r="43" spans="2:13" x14ac:dyDescent="0.25">
      <c r="B43" s="9"/>
      <c r="C43" s="12"/>
      <c r="D43" s="13" t="s">
        <v>189</v>
      </c>
      <c r="E43" s="31"/>
      <c r="F43" s="31"/>
      <c r="G43" s="31"/>
      <c r="H43" s="31"/>
      <c r="I43" s="31"/>
      <c r="J43" s="31"/>
      <c r="K43" s="31"/>
      <c r="L43" s="31"/>
      <c r="M43" s="31"/>
    </row>
    <row r="44" spans="2:13" x14ac:dyDescent="0.25">
      <c r="B44" s="9"/>
      <c r="C44" s="12"/>
      <c r="D44" s="15" t="s">
        <v>190</v>
      </c>
      <c r="E44" s="32"/>
      <c r="F44" s="32"/>
      <c r="G44" s="32"/>
      <c r="H44" s="32"/>
      <c r="I44" s="32"/>
      <c r="J44" s="32"/>
      <c r="K44" s="32"/>
      <c r="L44" s="32"/>
      <c r="M44" s="32"/>
    </row>
    <row r="45" spans="2:13" x14ac:dyDescent="0.25">
      <c r="B45" s="9"/>
      <c r="C45" s="12"/>
      <c r="D45" s="41" t="s">
        <v>191</v>
      </c>
      <c r="E45" s="23">
        <f>E41+E42-E43+E44</f>
      </c>
      <c r="F45" s="23">
        <v>0</v>
      </c>
      <c r="G45" s="23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23">
        <v>0</v>
      </c>
    </row>
    <row r="46" spans="2:13" x14ac:dyDescent="0.25">
      <c r="B46" s="9"/>
      <c r="C46" s="12"/>
      <c r="D46" s="15" t="s">
        <v>192</v>
      </c>
      <c r="E46" s="32"/>
      <c r="F46" s="32"/>
      <c r="G46" s="32"/>
      <c r="H46" s="32"/>
      <c r="I46" s="32"/>
      <c r="J46" s="32"/>
      <c r="K46" s="32"/>
      <c r="L46" s="32"/>
      <c r="M46" s="32"/>
    </row>
    <row r="47" spans="2:13" x14ac:dyDescent="0.25">
      <c r="B47" s="9"/>
      <c r="C47" s="12"/>
      <c r="D47" s="41" t="s">
        <v>193</v>
      </c>
      <c r="E47" s="23">
        <f>E45-E46</f>
      </c>
      <c r="F47" s="23">
        <v>0</v>
      </c>
      <c r="G47" s="23">
        <v>0</v>
      </c>
      <c r="H47" s="31">
        <v>0</v>
      </c>
      <c r="I47" s="31">
        <v>0</v>
      </c>
      <c r="J47" s="31">
        <v>0</v>
      </c>
      <c r="K47" s="31">
        <v>0</v>
      </c>
      <c r="L47" s="31">
        <v>0</v>
      </c>
      <c r="M47" s="23">
        <v>0</v>
      </c>
    </row>
    <row r="48" spans="2:13" x14ac:dyDescent="0.25">
      <c r="B48" s="9"/>
      <c r="C48" s="12"/>
      <c r="D48" s="15" t="s">
        <v>194</v>
      </c>
      <c r="E48" s="32"/>
      <c r="F48" s="32"/>
      <c r="G48" s="32"/>
      <c r="H48" s="32"/>
      <c r="I48" s="32"/>
      <c r="J48" s="32"/>
      <c r="K48" s="32"/>
      <c r="L48" s="32"/>
      <c r="M48" s="32"/>
    </row>
    <row r="49" spans="2:13" x14ac:dyDescent="0.25">
      <c r="B49" s="18"/>
      <c r="C49" s="17"/>
      <c r="D49" s="41" t="s">
        <v>195</v>
      </c>
      <c r="E49" s="39">
        <f>E47+E48</f>
      </c>
      <c r="F49" s="39">
        <v>0</v>
      </c>
      <c r="G49" s="39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39">
        <v>0</v>
      </c>
    </row>
    <row r="50" spans="6:13" x14ac:dyDescent="0.25"/>
    <row r="51" spans="6:13" x14ac:dyDescent="0.25"/>
    <row r="52" spans="6:13" x14ac:dyDescent="0.25"/>
    <row r="53" spans="6:13" x14ac:dyDescent="0.25"/>
    <row r="54" spans="6:13" x14ac:dyDescent="0.25"/>
    <row r="55" spans="6:13" x14ac:dyDescent="0.25"/>
    <row r="56" spans="6:13" x14ac:dyDescent="0.25"/>
    <row r="57" spans="6:13" x14ac:dyDescent="0.25"/>
    <row r="58" spans="6:13" x14ac:dyDescent="0.25"/>
    <row r="59" spans="6:13" x14ac:dyDescent="0.25"/>
    <row r="60" spans="6:13" x14ac:dyDescent="0.25"/>
    <row r="61" spans="6:13" x14ac:dyDescent="0.25"/>
    <row r="62" spans="6:13" x14ac:dyDescent="0.25"/>
    <row r="63" spans="6:13" x14ac:dyDescent="0.25"/>
    <row r="64" spans="6:13" x14ac:dyDescent="0.25"/>
    <row r="65" spans="6:13" x14ac:dyDescent="0.25"/>
    <row r="66" spans="6:13" x14ac:dyDescent="0.25"/>
    <row r="67" spans="6:13" x14ac:dyDescent="0.25"/>
    <row r="68" spans="6:13" x14ac:dyDescent="0.25"/>
    <row r="69" spans="6:13" x14ac:dyDescent="0.25"/>
    <row r="70" spans="6:13" x14ac:dyDescent="0.25"/>
    <row r="71" spans="6:13" x14ac:dyDescent="0.25"/>
    <row r="72" spans="6:13" x14ac:dyDescent="0.25"/>
    <row r="73" spans="6:13" x14ac:dyDescent="0.25"/>
    <row r="74" spans="6:13" x14ac:dyDescent="0.25"/>
    <row r="75" spans="6:13" x14ac:dyDescent="0.25"/>
    <row r="76" spans="6:13" x14ac:dyDescent="0.25"/>
    <row r="77" spans="6:13" x14ac:dyDescent="0.25"/>
    <row r="78" spans="6:13" x14ac:dyDescent="0.25"/>
    <row r="79" spans="6:13" x14ac:dyDescent="0.25"/>
    <row r="80" spans="6:13" x14ac:dyDescent="0.25"/>
    <row r="81" spans="6:13" x14ac:dyDescent="0.25"/>
    <row r="82" spans="6:13" x14ac:dyDescent="0.25"/>
    <row r="83" spans="6:13" x14ac:dyDescent="0.25"/>
    <row r="84" spans="6:13" x14ac:dyDescent="0.25"/>
    <row r="85" spans="6:13" x14ac:dyDescent="0.25"/>
    <row r="86" spans="6:13" x14ac:dyDescent="0.25"/>
    <row r="87" spans="6:13" x14ac:dyDescent="0.25"/>
    <row r="88" spans="6:13" x14ac:dyDescent="0.25"/>
    <row r="89" spans="6:13" x14ac:dyDescent="0.25"/>
    <row r="90" spans="6:13" x14ac:dyDescent="0.25"/>
    <row r="91" spans="6:13" x14ac:dyDescent="0.25"/>
    <row r="92" spans="6:13" x14ac:dyDescent="0.25"/>
    <row r="93" spans="6:13" x14ac:dyDescent="0.25"/>
    <row r="94" spans="6:13" x14ac:dyDescent="0.25"/>
    <row r="95" spans="6:13" x14ac:dyDescent="0.25"/>
    <row r="96" spans="6:13" x14ac:dyDescent="0.25"/>
    <row r="97" spans="6:13" x14ac:dyDescent="0.25"/>
    <row r="98" spans="6:13" x14ac:dyDescent="0.25"/>
    <row r="99" spans="6:13" x14ac:dyDescent="0.25"/>
    <row r="100" spans="6:13" x14ac:dyDescent="0.25"/>
  </sheetData>
  <mergeCells count="6">
    <mergeCell ref="E10:M10"/>
    <mergeCell ref="B12:D12"/>
    <mergeCell ref="C13:D13"/>
    <mergeCell ref="E31:M31"/>
    <mergeCell ref="B33:D33"/>
    <mergeCell ref="C34:D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"/>
  <sheetViews>
    <sheetView workbookViewId="0" zoomScale="100" zoomScaleNormal="100"/>
  </sheetViews>
  <sheetFormatPr defaultRowHeight="15" outlineLevelRow="0" outlineLevelCol="0" x14ac:dyDescent="0"/>
  <cols>
    <col min="2" max="4" width="2.70703125" customWidth="1"/>
    <col min="5" max="5" width="50" customWidth="1"/>
    <col min="6" max="12" width="15" customWidth="1"/>
  </cols>
  <sheetData>
    <row r="1" spans="6:13" x14ac:dyDescent="0.25"/>
    <row r="2" spans="2:13" x14ac:dyDescent="0.25">
      <c r="B2" s="2" t="s">
        <v>9</v>
      </c>
    </row>
    <row r="3" spans="2:13" x14ac:dyDescent="0.25">
      <c r="B3" s="3" t="s">
        <v>10</v>
      </c>
      <c r="C3" t="s">
        <v>11</v>
      </c>
    </row>
    <row r="4" spans="2:13" x14ac:dyDescent="0.25">
      <c r="B4" s="3" t="s">
        <v>12</v>
      </c>
      <c r="C4" t="s">
        <v>13</v>
      </c>
    </row>
    <row r="5" spans="2:13" x14ac:dyDescent="0.25">
      <c r="B5" s="3" t="s">
        <v>14</v>
      </c>
      <c r="C5" t="s">
        <v>5</v>
      </c>
    </row>
    <row r="6" spans="2:13" x14ac:dyDescent="0.25">
      <c r="B6" s="3" t="s">
        <v>15</v>
      </c>
      <c r="C6" t="s">
        <v>16</v>
      </c>
    </row>
    <row r="7" spans="2:13" x14ac:dyDescent="0.25">
      <c r="B7" s="3" t="s">
        <v>17</v>
      </c>
      <c r="C7" t="s">
        <v>16</v>
      </c>
    </row>
    <row r="8" spans="2:13" x14ac:dyDescent="0.25">
      <c r="B8" s="3" t="s">
        <v>18</v>
      </c>
      <c r="C8" t="s">
        <v>19</v>
      </c>
    </row>
    <row r="9" spans="6:13" x14ac:dyDescent="0.25"/>
    <row r="10" spans="6:13" x14ac:dyDescent="0.25">
      <c r="F10" s="26" t="s">
        <v>196</v>
      </c>
      <c r="G10" s="27"/>
      <c r="H10" s="27"/>
      <c r="I10" s="27"/>
      <c r="J10" s="27"/>
      <c r="K10" s="27"/>
      <c r="L10" s="28"/>
    </row>
    <row r="11" spans="6:13" x14ac:dyDescent="0.25">
      <c r="F11" s="44" t="s">
        <v>197</v>
      </c>
      <c r="G11" s="45"/>
      <c r="H11" s="45"/>
      <c r="I11" s="45"/>
      <c r="J11" s="45"/>
      <c r="K11" s="45"/>
      <c r="L11" s="46"/>
    </row>
    <row r="12" spans="6:13" x14ac:dyDescent="0.25">
      <c r="F12" s="47" t="s">
        <v>198</v>
      </c>
      <c r="G12" s="44" t="s">
        <v>199</v>
      </c>
      <c r="H12" s="45"/>
      <c r="I12" s="45"/>
      <c r="J12" s="45"/>
      <c r="K12" s="46"/>
      <c r="L12" s="48"/>
    </row>
    <row r="13" spans="6:13" x14ac:dyDescent="0.25">
      <c r="F13" s="49"/>
      <c r="G13" s="4" t="s">
        <v>200</v>
      </c>
      <c r="H13" s="29" t="s">
        <v>201</v>
      </c>
      <c r="I13" s="4" t="s">
        <v>202</v>
      </c>
      <c r="J13" s="29" t="s">
        <v>203</v>
      </c>
      <c r="K13" s="50"/>
      <c r="L13" s="51"/>
    </row>
    <row r="14" ht="28" customHeight="1" spans="2:13" x14ac:dyDescent="0.25">
      <c r="B14" s="5" t="s">
        <v>204</v>
      </c>
      <c r="C14" s="6"/>
      <c r="D14" s="6"/>
      <c r="E14" s="7"/>
      <c r="F14" s="8"/>
      <c r="G14" s="8"/>
      <c r="H14" s="8"/>
      <c r="I14" s="8"/>
      <c r="J14" s="8"/>
      <c r="K14" s="8"/>
      <c r="L14" s="8"/>
    </row>
    <row r="15" ht="28" customHeight="1" spans="2:13" x14ac:dyDescent="0.25">
      <c r="B15" s="9"/>
      <c r="C15" s="10" t="s">
        <v>205</v>
      </c>
      <c r="D15" s="22"/>
      <c r="E15" s="11"/>
      <c r="F15" s="8"/>
      <c r="G15" s="8"/>
      <c r="H15" s="8"/>
      <c r="I15" s="8"/>
      <c r="J15" s="8"/>
      <c r="K15" s="8"/>
      <c r="L15" s="8"/>
    </row>
    <row r="16" ht="28" customHeight="1" spans="2:13" x14ac:dyDescent="0.25">
      <c r="B16" s="9"/>
      <c r="C16" s="12"/>
      <c r="D16" s="5" t="s">
        <v>206</v>
      </c>
      <c r="E16" s="7"/>
      <c r="F16" s="8"/>
      <c r="G16" s="8"/>
      <c r="H16" s="8"/>
      <c r="I16" s="8"/>
      <c r="J16" s="8"/>
      <c r="K16" s="8"/>
      <c r="L16" s="8"/>
    </row>
    <row r="17" spans="2:13" x14ac:dyDescent="0.25">
      <c r="B17" s="9"/>
      <c r="C17" s="12"/>
      <c r="D17" s="9"/>
      <c r="E17" s="15" t="s">
        <v>207</v>
      </c>
      <c r="F17" s="31"/>
      <c r="G17" s="31"/>
      <c r="H17" s="23">
        <v>43792194</v>
      </c>
      <c r="I17" s="31"/>
      <c r="J17" s="31"/>
      <c r="K17" s="23">
        <v>43792194</v>
      </c>
      <c r="L17" s="23">
        <v>43792194</v>
      </c>
    </row>
    <row r="18" spans="2:13" x14ac:dyDescent="0.25">
      <c r="B18" s="9"/>
      <c r="C18" s="12"/>
      <c r="D18" s="9"/>
      <c r="E18" s="13" t="s">
        <v>208</v>
      </c>
      <c r="F18" s="32"/>
      <c r="G18" s="32"/>
      <c r="H18" s="24">
        <v>22244453</v>
      </c>
      <c r="I18" s="32"/>
      <c r="J18" s="32"/>
      <c r="K18" s="24">
        <v>22244453</v>
      </c>
      <c r="L18" s="24">
        <v>22244453</v>
      </c>
    </row>
    <row r="19" spans="2:13" x14ac:dyDescent="0.25">
      <c r="B19" s="9"/>
      <c r="C19" s="12"/>
      <c r="D19" s="9"/>
      <c r="E19" s="15" t="s">
        <v>209</v>
      </c>
      <c r="F19" s="31"/>
      <c r="G19" s="31"/>
      <c r="H19" s="23">
        <v>28315430</v>
      </c>
      <c r="I19" s="31"/>
      <c r="J19" s="31"/>
      <c r="K19" s="23">
        <v>28315430</v>
      </c>
      <c r="L19" s="23">
        <v>28315430</v>
      </c>
    </row>
    <row r="20" spans="2:13" x14ac:dyDescent="0.25">
      <c r="B20" s="9"/>
      <c r="C20" s="12"/>
      <c r="D20" s="9"/>
      <c r="E20" s="13" t="s">
        <v>210</v>
      </c>
      <c r="F20" s="32"/>
      <c r="G20" s="32"/>
      <c r="H20" s="32"/>
      <c r="I20" s="32"/>
      <c r="J20" s="32"/>
      <c r="K20" s="32"/>
      <c r="L20" s="32"/>
    </row>
    <row r="21" spans="2:13" x14ac:dyDescent="0.25">
      <c r="B21" s="9"/>
      <c r="C21" s="12"/>
      <c r="D21" s="9"/>
      <c r="E21" s="15" t="s">
        <v>211</v>
      </c>
      <c r="F21" s="31"/>
      <c r="G21" s="31"/>
      <c r="H21" s="31"/>
      <c r="I21" s="31"/>
      <c r="J21" s="31"/>
      <c r="K21" s="31"/>
      <c r="L21" s="31"/>
    </row>
    <row r="22" spans="2:13" x14ac:dyDescent="0.25">
      <c r="B22" s="9"/>
      <c r="C22" s="12"/>
      <c r="D22" s="9"/>
      <c r="E22" s="13" t="s">
        <v>212</v>
      </c>
      <c r="F22" s="32"/>
      <c r="G22" s="32"/>
      <c r="H22" s="32"/>
      <c r="I22" s="32"/>
      <c r="J22" s="32"/>
      <c r="K22" s="32"/>
      <c r="L22" s="32"/>
    </row>
    <row r="23" spans="2:13" x14ac:dyDescent="0.25">
      <c r="B23" s="9"/>
      <c r="C23" s="12"/>
      <c r="D23" s="9"/>
      <c r="E23" s="15" t="s">
        <v>213</v>
      </c>
      <c r="F23" s="31"/>
      <c r="G23" s="31"/>
      <c r="H23" s="31"/>
      <c r="I23" s="31"/>
      <c r="J23" s="31"/>
      <c r="K23" s="31"/>
      <c r="L23" s="31"/>
    </row>
    <row r="24" spans="2:13" x14ac:dyDescent="0.25">
      <c r="B24" s="9"/>
      <c r="C24" s="12"/>
      <c r="D24" s="9"/>
      <c r="E24" s="13" t="s">
        <v>214</v>
      </c>
      <c r="F24" s="32"/>
      <c r="G24" s="32"/>
      <c r="H24" s="32"/>
      <c r="I24" s="32"/>
      <c r="J24" s="32"/>
      <c r="K24" s="32"/>
      <c r="L24" s="32"/>
    </row>
    <row r="25" spans="2:13" x14ac:dyDescent="0.25">
      <c r="B25" s="9"/>
      <c r="C25" s="12"/>
      <c r="D25" s="18"/>
      <c r="E25" s="15" t="s">
        <v>215</v>
      </c>
      <c r="F25" s="31">
        <v>0</v>
      </c>
      <c r="G25" s="31">
        <v>0</v>
      </c>
      <c r="H25" s="23">
        <v>0</v>
      </c>
      <c r="I25" s="31">
        <v>0</v>
      </c>
      <c r="J25" s="31">
        <v>0</v>
      </c>
      <c r="K25" s="23">
        <v>0</v>
      </c>
      <c r="L25" s="23">
        <v>0</v>
      </c>
    </row>
    <row r="26" ht="28" customHeight="1" spans="2:13" x14ac:dyDescent="0.25">
      <c r="B26" s="9"/>
      <c r="C26" s="12"/>
      <c r="D26" s="5" t="s">
        <v>216</v>
      </c>
      <c r="E26" s="7"/>
      <c r="F26" s="8"/>
      <c r="G26" s="8"/>
      <c r="H26" s="8"/>
      <c r="I26" s="8"/>
      <c r="J26" s="8"/>
      <c r="K26" s="8"/>
      <c r="L26" s="8"/>
    </row>
    <row r="27" spans="2:13" x14ac:dyDescent="0.25">
      <c r="B27" s="9"/>
      <c r="C27" s="12"/>
      <c r="D27" s="9"/>
      <c r="E27" s="15" t="s">
        <v>217</v>
      </c>
      <c r="F27" s="31"/>
      <c r="G27" s="31"/>
      <c r="H27" s="23">
        <v>118030</v>
      </c>
      <c r="I27" s="31"/>
      <c r="J27" s="31"/>
      <c r="K27" s="23">
        <v>118030</v>
      </c>
      <c r="L27" s="23">
        <v>118030</v>
      </c>
    </row>
    <row r="28" spans="2:13" x14ac:dyDescent="0.25">
      <c r="B28" s="9"/>
      <c r="C28" s="12"/>
      <c r="D28" s="9"/>
      <c r="E28" s="13" t="s">
        <v>218</v>
      </c>
      <c r="F28" s="32"/>
      <c r="G28" s="32"/>
      <c r="H28" s="32"/>
      <c r="I28" s="32"/>
      <c r="J28" s="32"/>
      <c r="K28" s="32"/>
      <c r="L28" s="32"/>
    </row>
    <row r="29" spans="2:13" x14ac:dyDescent="0.25">
      <c r="B29" s="9"/>
      <c r="C29" s="12"/>
      <c r="D29" s="18"/>
      <c r="E29" s="52" t="s">
        <v>219</v>
      </c>
      <c r="F29" s="31">
        <v>0</v>
      </c>
      <c r="G29" s="31">
        <v>0</v>
      </c>
      <c r="H29" s="23">
        <v>0</v>
      </c>
      <c r="I29" s="31">
        <v>0</v>
      </c>
      <c r="J29" s="31">
        <v>0</v>
      </c>
      <c r="K29" s="23">
        <v>0</v>
      </c>
      <c r="L29" s="23">
        <v>0</v>
      </c>
    </row>
    <row r="30" spans="2:13" x14ac:dyDescent="0.25">
      <c r="B30" s="9"/>
      <c r="C30" s="12"/>
      <c r="D30" s="5" t="s">
        <v>220</v>
      </c>
      <c r="E30" s="7"/>
      <c r="F30" s="8"/>
      <c r="G30" s="8"/>
      <c r="H30" s="8"/>
      <c r="I30" s="8"/>
      <c r="J30" s="8"/>
      <c r="K30" s="8"/>
      <c r="L30" s="8"/>
    </row>
    <row r="31" spans="2:13" x14ac:dyDescent="0.25">
      <c r="B31" s="9"/>
      <c r="C31" s="12"/>
      <c r="D31" s="9"/>
      <c r="E31" s="15" t="s">
        <v>221</v>
      </c>
      <c r="F31" s="31"/>
      <c r="G31" s="31"/>
      <c r="H31" s="23">
        <v>10011109</v>
      </c>
      <c r="I31" s="31"/>
      <c r="J31" s="31"/>
      <c r="K31" s="23">
        <v>10011109</v>
      </c>
      <c r="L31" s="23">
        <v>10011109</v>
      </c>
    </row>
    <row r="32" spans="2:13" x14ac:dyDescent="0.25">
      <c r="B32" s="9"/>
      <c r="C32" s="12"/>
      <c r="D32" s="9"/>
      <c r="E32" s="13" t="s">
        <v>222</v>
      </c>
      <c r="F32" s="32"/>
      <c r="G32" s="32"/>
      <c r="H32" s="32"/>
      <c r="I32" s="32"/>
      <c r="J32" s="32"/>
      <c r="K32" s="32"/>
      <c r="L32" s="32"/>
    </row>
    <row r="33" spans="2:13" x14ac:dyDescent="0.25">
      <c r="B33" s="9"/>
      <c r="C33" s="12"/>
      <c r="D33" s="18"/>
      <c r="E33" s="15" t="s">
        <v>223</v>
      </c>
      <c r="F33" s="31">
        <v>0</v>
      </c>
      <c r="G33" s="31">
        <v>0</v>
      </c>
      <c r="H33" s="23">
        <v>0</v>
      </c>
      <c r="I33" s="31">
        <v>0</v>
      </c>
      <c r="J33" s="31">
        <v>0</v>
      </c>
      <c r="K33" s="23">
        <v>0</v>
      </c>
      <c r="L33" s="23">
        <v>0</v>
      </c>
    </row>
    <row r="34" ht="42" customHeight="1" spans="2:13" x14ac:dyDescent="0.25">
      <c r="B34" s="9"/>
      <c r="C34" s="17"/>
      <c r="D34" s="18" t="s">
        <v>224</v>
      </c>
      <c r="E34" s="7"/>
      <c r="F34" s="32">
        <v>0</v>
      </c>
      <c r="G34" s="32">
        <v>0</v>
      </c>
      <c r="H34" s="24">
        <v>0</v>
      </c>
      <c r="I34" s="32">
        <v>0</v>
      </c>
      <c r="J34" s="32">
        <v>0</v>
      </c>
      <c r="K34" s="24">
        <v>0</v>
      </c>
      <c r="L34" s="24">
        <v>0</v>
      </c>
    </row>
    <row r="35" ht="28" customHeight="1" spans="2:13" x14ac:dyDescent="0.25">
      <c r="B35" s="9"/>
      <c r="C35" s="10" t="s">
        <v>225</v>
      </c>
      <c r="D35" s="22"/>
      <c r="E35" s="11"/>
      <c r="F35" s="8"/>
      <c r="G35" s="8"/>
      <c r="H35" s="8"/>
      <c r="I35" s="8"/>
      <c r="J35" s="8"/>
      <c r="K35" s="8"/>
      <c r="L35" s="8"/>
    </row>
    <row r="36" ht="28" customHeight="1" spans="2:13" x14ac:dyDescent="0.25">
      <c r="B36" s="9"/>
      <c r="C36" s="12"/>
      <c r="D36" s="5" t="s">
        <v>226</v>
      </c>
      <c r="E36" s="7"/>
      <c r="F36" s="8"/>
      <c r="G36" s="8"/>
      <c r="H36" s="8"/>
      <c r="I36" s="8"/>
      <c r="J36" s="8"/>
      <c r="K36" s="8"/>
      <c r="L36" s="8"/>
    </row>
    <row r="37" spans="2:13" x14ac:dyDescent="0.25">
      <c r="B37" s="9"/>
      <c r="C37" s="12"/>
      <c r="D37" s="9"/>
      <c r="E37" s="15" t="s">
        <v>207</v>
      </c>
      <c r="F37" s="31"/>
      <c r="G37" s="31"/>
      <c r="H37" s="31"/>
      <c r="I37" s="31"/>
      <c r="J37" s="31"/>
      <c r="K37" s="31"/>
      <c r="L37" s="31"/>
    </row>
    <row r="38" spans="2:13" x14ac:dyDescent="0.25">
      <c r="B38" s="9"/>
      <c r="C38" s="12"/>
      <c r="D38" s="9"/>
      <c r="E38" s="13" t="s">
        <v>208</v>
      </c>
      <c r="F38" s="32"/>
      <c r="G38" s="32"/>
      <c r="H38" s="32"/>
      <c r="I38" s="32"/>
      <c r="J38" s="32"/>
      <c r="K38" s="32"/>
      <c r="L38" s="32"/>
    </row>
    <row r="39" spans="2:13" x14ac:dyDescent="0.25">
      <c r="B39" s="9"/>
      <c r="C39" s="12"/>
      <c r="D39" s="9"/>
      <c r="E39" s="15" t="s">
        <v>209</v>
      </c>
      <c r="F39" s="31"/>
      <c r="G39" s="31"/>
      <c r="H39" s="31"/>
      <c r="I39" s="31"/>
      <c r="J39" s="31"/>
      <c r="K39" s="31"/>
      <c r="L39" s="31"/>
    </row>
    <row r="40" spans="2:13" x14ac:dyDescent="0.25">
      <c r="B40" s="9"/>
      <c r="C40" s="12"/>
      <c r="D40" s="9"/>
      <c r="E40" s="13" t="s">
        <v>210</v>
      </c>
      <c r="F40" s="32"/>
      <c r="G40" s="32"/>
      <c r="H40" s="32"/>
      <c r="I40" s="32"/>
      <c r="J40" s="32"/>
      <c r="K40" s="32"/>
      <c r="L40" s="32"/>
    </row>
    <row r="41" spans="2:13" x14ac:dyDescent="0.25">
      <c r="B41" s="9"/>
      <c r="C41" s="12"/>
      <c r="D41" s="9"/>
      <c r="E41" s="15" t="s">
        <v>211</v>
      </c>
      <c r="F41" s="31"/>
      <c r="G41" s="31"/>
      <c r="H41" s="31"/>
      <c r="I41" s="31"/>
      <c r="J41" s="31"/>
      <c r="K41" s="31"/>
      <c r="L41" s="31"/>
    </row>
    <row r="42" spans="2:13" x14ac:dyDescent="0.25">
      <c r="B42" s="9"/>
      <c r="C42" s="12"/>
      <c r="D42" s="9"/>
      <c r="E42" s="13" t="s">
        <v>212</v>
      </c>
      <c r="F42" s="32"/>
      <c r="G42" s="32"/>
      <c r="H42" s="32"/>
      <c r="I42" s="32"/>
      <c r="J42" s="32"/>
      <c r="K42" s="32"/>
      <c r="L42" s="32"/>
    </row>
    <row r="43" spans="2:13" x14ac:dyDescent="0.25">
      <c r="B43" s="9"/>
      <c r="C43" s="12"/>
      <c r="D43" s="9"/>
      <c r="E43" s="15" t="s">
        <v>213</v>
      </c>
      <c r="F43" s="31"/>
      <c r="G43" s="31"/>
      <c r="H43" s="31"/>
      <c r="I43" s="31"/>
      <c r="J43" s="31"/>
      <c r="K43" s="31"/>
      <c r="L43" s="31"/>
    </row>
    <row r="44" spans="2:13" x14ac:dyDescent="0.25">
      <c r="B44" s="9"/>
      <c r="C44" s="12"/>
      <c r="D44" s="9"/>
      <c r="E44" s="13" t="s">
        <v>227</v>
      </c>
      <c r="F44" s="32"/>
      <c r="G44" s="32"/>
      <c r="H44" s="32"/>
      <c r="I44" s="32"/>
      <c r="J44" s="32"/>
      <c r="K44" s="32"/>
      <c r="L44" s="32"/>
    </row>
    <row r="45" spans="2:13" x14ac:dyDescent="0.25">
      <c r="B45" s="9"/>
      <c r="C45" s="12"/>
      <c r="D45" s="18"/>
      <c r="E45" s="15" t="s">
        <v>228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</row>
    <row r="46" ht="28" customHeight="1" spans="2:13" x14ac:dyDescent="0.25">
      <c r="B46" s="9"/>
      <c r="C46" s="12"/>
      <c r="D46" s="5" t="s">
        <v>229</v>
      </c>
      <c r="E46" s="7"/>
      <c r="F46" s="8"/>
      <c r="G46" s="8"/>
      <c r="H46" s="8"/>
      <c r="I46" s="8"/>
      <c r="J46" s="8"/>
      <c r="K46" s="8"/>
      <c r="L46" s="8"/>
    </row>
    <row r="47" spans="2:13" x14ac:dyDescent="0.25">
      <c r="B47" s="9"/>
      <c r="C47" s="12"/>
      <c r="D47" s="9"/>
      <c r="E47" s="15" t="s">
        <v>230</v>
      </c>
      <c r="F47" s="31"/>
      <c r="G47" s="31"/>
      <c r="H47" s="31"/>
      <c r="I47" s="31"/>
      <c r="J47" s="31"/>
      <c r="K47" s="31"/>
      <c r="L47" s="31"/>
    </row>
    <row r="48" spans="2:13" x14ac:dyDescent="0.25">
      <c r="B48" s="9"/>
      <c r="C48" s="12"/>
      <c r="D48" s="9"/>
      <c r="E48" s="13" t="s">
        <v>231</v>
      </c>
      <c r="F48" s="32"/>
      <c r="G48" s="32"/>
      <c r="H48" s="32"/>
      <c r="I48" s="32"/>
      <c r="J48" s="32"/>
      <c r="K48" s="32"/>
      <c r="L48" s="32"/>
    </row>
    <row r="49" spans="2:13" x14ac:dyDescent="0.25">
      <c r="B49" s="9"/>
      <c r="C49" s="12"/>
      <c r="D49" s="18"/>
      <c r="E49" s="52" t="s">
        <v>232</v>
      </c>
      <c r="F49" s="31">
        <v>0</v>
      </c>
      <c r="G49" s="31">
        <v>0</v>
      </c>
      <c r="H49" s="31">
        <v>0</v>
      </c>
      <c r="I49" s="31">
        <v>0</v>
      </c>
      <c r="J49" s="31">
        <v>0</v>
      </c>
      <c r="K49" s="31">
        <v>0</v>
      </c>
      <c r="L49" s="31">
        <v>0</v>
      </c>
    </row>
    <row r="50" spans="2:13" x14ac:dyDescent="0.25">
      <c r="B50" s="9"/>
      <c r="C50" s="12"/>
      <c r="D50" s="5" t="s">
        <v>233</v>
      </c>
      <c r="E50" s="7"/>
      <c r="F50" s="8"/>
      <c r="G50" s="8"/>
      <c r="H50" s="8"/>
      <c r="I50" s="8"/>
      <c r="J50" s="8"/>
      <c r="K50" s="8"/>
      <c r="L50" s="8"/>
    </row>
    <row r="51" spans="2:13" x14ac:dyDescent="0.25">
      <c r="B51" s="9"/>
      <c r="C51" s="12"/>
      <c r="D51" s="9"/>
      <c r="E51" s="15" t="s">
        <v>234</v>
      </c>
      <c r="F51" s="31"/>
      <c r="G51" s="31"/>
      <c r="H51" s="31"/>
      <c r="I51" s="31"/>
      <c r="J51" s="31"/>
      <c r="K51" s="31"/>
      <c r="L51" s="31"/>
    </row>
    <row r="52" spans="2:13" x14ac:dyDescent="0.25">
      <c r="B52" s="9"/>
      <c r="C52" s="12"/>
      <c r="D52" s="9"/>
      <c r="E52" s="13" t="s">
        <v>235</v>
      </c>
      <c r="F52" s="32"/>
      <c r="G52" s="32"/>
      <c r="H52" s="32"/>
      <c r="I52" s="32"/>
      <c r="J52" s="32"/>
      <c r="K52" s="32"/>
      <c r="L52" s="32"/>
    </row>
    <row r="53" spans="2:13" x14ac:dyDescent="0.25">
      <c r="B53" s="9"/>
      <c r="C53" s="12"/>
      <c r="D53" s="18"/>
      <c r="E53" s="15" t="s">
        <v>236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</row>
    <row r="54" ht="42" customHeight="1" spans="2:13" x14ac:dyDescent="0.25">
      <c r="B54" s="9"/>
      <c r="C54" s="17"/>
      <c r="D54" s="18" t="s">
        <v>237</v>
      </c>
      <c r="E54" s="7"/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</row>
    <row r="55" ht="28" customHeight="1" spans="2:13" x14ac:dyDescent="0.25">
      <c r="B55" s="18"/>
      <c r="C55" s="33" t="s">
        <v>238</v>
      </c>
      <c r="D55" s="34"/>
      <c r="E55" s="35"/>
      <c r="F55" s="40">
        <v>0</v>
      </c>
      <c r="G55" s="40">
        <v>0</v>
      </c>
      <c r="H55" s="39">
        <v>0</v>
      </c>
      <c r="I55" s="40">
        <v>0</v>
      </c>
      <c r="J55" s="40">
        <v>0</v>
      </c>
      <c r="K55" s="39">
        <v>0</v>
      </c>
      <c r="L55" s="39">
        <v>0</v>
      </c>
    </row>
    <row r="56" spans="6:13" x14ac:dyDescent="0.25"/>
    <row r="57" spans="6:13" x14ac:dyDescent="0.25"/>
    <row r="58" spans="6:13" x14ac:dyDescent="0.25"/>
    <row r="59" spans="6:13" x14ac:dyDescent="0.25"/>
    <row r="60" spans="6:13" x14ac:dyDescent="0.25"/>
    <row r="61" spans="6:13" x14ac:dyDescent="0.25"/>
    <row r="62" spans="6:13" x14ac:dyDescent="0.25"/>
    <row r="63" spans="6:13" x14ac:dyDescent="0.25"/>
    <row r="64" spans="6:13" x14ac:dyDescent="0.25"/>
    <row r="65" spans="6:13" x14ac:dyDescent="0.25"/>
    <row r="66" spans="6:13" x14ac:dyDescent="0.25"/>
    <row r="67" spans="6:13" x14ac:dyDescent="0.25"/>
    <row r="68" spans="6:13" x14ac:dyDescent="0.25"/>
    <row r="69" spans="6:13" x14ac:dyDescent="0.25"/>
    <row r="70" spans="6:13" x14ac:dyDescent="0.25"/>
    <row r="71" spans="6:13" x14ac:dyDescent="0.25"/>
    <row r="72" spans="6:13" x14ac:dyDescent="0.25"/>
    <row r="73" spans="6:13" x14ac:dyDescent="0.25"/>
    <row r="74" spans="6:13" x14ac:dyDescent="0.25"/>
    <row r="75" spans="6:13" x14ac:dyDescent="0.25"/>
    <row r="76" spans="6:13" x14ac:dyDescent="0.25"/>
    <row r="77" spans="6:13" x14ac:dyDescent="0.25"/>
    <row r="78" spans="6:13" x14ac:dyDescent="0.25"/>
    <row r="79" spans="6:13" x14ac:dyDescent="0.25"/>
    <row r="80" spans="6:13" x14ac:dyDescent="0.25"/>
    <row r="81" spans="6:13" x14ac:dyDescent="0.25"/>
    <row r="82" spans="6:13" x14ac:dyDescent="0.25"/>
    <row r="83" spans="6:13" x14ac:dyDescent="0.25"/>
    <row r="84" spans="6:13" x14ac:dyDescent="0.25"/>
    <row r="85" spans="6:13" x14ac:dyDescent="0.25"/>
    <row r="86" spans="6:13" x14ac:dyDescent="0.25"/>
    <row r="87" spans="6:13" x14ac:dyDescent="0.25"/>
    <row r="88" spans="6:13" x14ac:dyDescent="0.25"/>
    <row r="89" spans="6:13" x14ac:dyDescent="0.25"/>
    <row r="90" spans="6:13" x14ac:dyDescent="0.25"/>
    <row r="91" spans="6:13" x14ac:dyDescent="0.25"/>
    <row r="92" spans="6:13" x14ac:dyDescent="0.25"/>
    <row r="93" spans="6:13" x14ac:dyDescent="0.25"/>
    <row r="94" spans="6:13" x14ac:dyDescent="0.25"/>
    <row r="95" spans="6:13" x14ac:dyDescent="0.25"/>
    <row r="96" spans="6:13" x14ac:dyDescent="0.25"/>
    <row r="97" spans="6:13" x14ac:dyDescent="0.25"/>
    <row r="98" spans="6:13" x14ac:dyDescent="0.25"/>
    <row r="99" spans="6:13" x14ac:dyDescent="0.25"/>
    <row r="100" spans="6:13" x14ac:dyDescent="0.25"/>
  </sheetData>
  <mergeCells count="16">
    <mergeCell ref="F10:L10"/>
    <mergeCell ref="F11:L11"/>
    <mergeCell ref="G12:K12"/>
    <mergeCell ref="F12:F13"/>
    <mergeCell ref="B14:E14"/>
    <mergeCell ref="C15:E15"/>
    <mergeCell ref="D16:E16"/>
    <mergeCell ref="D26:E26"/>
    <mergeCell ref="D30:E30"/>
    <mergeCell ref="D34:E34"/>
    <mergeCell ref="C35:E35"/>
    <mergeCell ref="D36:E36"/>
    <mergeCell ref="D46:E46"/>
    <mergeCell ref="D50:E50"/>
    <mergeCell ref="D54:E54"/>
    <mergeCell ref="C55:E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"/>
  <sheetViews>
    <sheetView workbookViewId="0" zoomScale="100" zoomScaleNormal="100"/>
  </sheetViews>
  <sheetFormatPr defaultRowHeight="15" outlineLevelRow="0" outlineLevelCol="0" x14ac:dyDescent="0"/>
  <cols>
    <col min="2" max="2" width="2.70703125" customWidth="1"/>
    <col min="3" max="3" width="50" customWidth="1"/>
    <col min="4" max="10" width="15" customWidth="1"/>
  </cols>
  <sheetData>
    <row r="1" spans="6:13" x14ac:dyDescent="0.25"/>
    <row r="2" spans="2:13" x14ac:dyDescent="0.25">
      <c r="B2" s="2" t="s">
        <v>9</v>
      </c>
    </row>
    <row r="3" spans="2:13" x14ac:dyDescent="0.25">
      <c r="B3" s="3" t="s">
        <v>10</v>
      </c>
      <c r="C3" t="s">
        <v>11</v>
      </c>
    </row>
    <row r="4" spans="2:13" x14ac:dyDescent="0.25">
      <c r="B4" s="3" t="s">
        <v>12</v>
      </c>
      <c r="C4" t="s">
        <v>13</v>
      </c>
    </row>
    <row r="5" spans="2:13" x14ac:dyDescent="0.25">
      <c r="B5" s="3" t="s">
        <v>14</v>
      </c>
      <c r="C5" t="s">
        <v>6</v>
      </c>
    </row>
    <row r="6" spans="2:13" x14ac:dyDescent="0.25">
      <c r="B6" s="3" t="s">
        <v>15</v>
      </c>
      <c r="C6" t="s">
        <v>16</v>
      </c>
    </row>
    <row r="7" spans="2:13" x14ac:dyDescent="0.25">
      <c r="B7" s="3" t="s">
        <v>17</v>
      </c>
      <c r="C7" t="s">
        <v>16</v>
      </c>
    </row>
    <row r="8" spans="2:13" x14ac:dyDescent="0.25">
      <c r="B8" s="3" t="s">
        <v>18</v>
      </c>
      <c r="C8" t="s">
        <v>19</v>
      </c>
    </row>
    <row r="9" spans="6:13" x14ac:dyDescent="0.25"/>
    <row r="10" spans="4:13" x14ac:dyDescent="0.25">
      <c r="D10" s="26" t="s">
        <v>239</v>
      </c>
      <c r="E10" s="27"/>
      <c r="F10" s="27"/>
      <c r="G10" s="27"/>
      <c r="H10" s="27"/>
      <c r="I10" s="27"/>
      <c r="J10" s="28"/>
    </row>
    <row r="11" spans="4:13" x14ac:dyDescent="0.25">
      <c r="D11" s="44" t="s">
        <v>197</v>
      </c>
      <c r="E11" s="45"/>
      <c r="F11" s="45"/>
      <c r="G11" s="45"/>
      <c r="H11" s="45"/>
      <c r="I11" s="45"/>
      <c r="J11" s="46"/>
    </row>
    <row r="12" spans="4:13" x14ac:dyDescent="0.25">
      <c r="D12" s="47" t="s">
        <v>198</v>
      </c>
      <c r="E12" s="44" t="s">
        <v>199</v>
      </c>
      <c r="F12" s="45"/>
      <c r="G12" s="45"/>
      <c r="H12" s="45"/>
      <c r="I12" s="46"/>
      <c r="J12" s="48"/>
    </row>
    <row r="13" spans="4:13" x14ac:dyDescent="0.25">
      <c r="D13" s="49"/>
      <c r="E13" s="4" t="s">
        <v>200</v>
      </c>
      <c r="F13" s="29" t="s">
        <v>201</v>
      </c>
      <c r="G13" s="4" t="s">
        <v>202</v>
      </c>
      <c r="H13" s="29" t="s">
        <v>203</v>
      </c>
      <c r="I13" s="50"/>
      <c r="J13" s="51"/>
    </row>
    <row r="14" ht="28" customHeight="1" spans="2:13" x14ac:dyDescent="0.25">
      <c r="B14" s="5" t="s">
        <v>240</v>
      </c>
      <c r="C14" s="7"/>
      <c r="D14" s="8"/>
      <c r="E14" s="8"/>
      <c r="F14" s="8"/>
      <c r="G14" s="8"/>
      <c r="H14" s="8"/>
      <c r="I14" s="8"/>
      <c r="J14" s="8"/>
    </row>
    <row r="15" spans="2:13" x14ac:dyDescent="0.25">
      <c r="B15" s="9"/>
      <c r="C15" s="15" t="s">
        <v>241</v>
      </c>
      <c r="D15" s="23">
        <v>35214477</v>
      </c>
      <c r="E15" s="31"/>
      <c r="F15" s="31"/>
      <c r="G15" s="31"/>
      <c r="H15" s="31"/>
      <c r="I15" s="31"/>
      <c r="J15" s="23">
        <v>35214477</v>
      </c>
    </row>
    <row r="16" spans="2:13" x14ac:dyDescent="0.25">
      <c r="B16" s="9"/>
      <c r="C16" s="13" t="s">
        <v>242</v>
      </c>
      <c r="D16" s="32"/>
      <c r="E16" s="32"/>
      <c r="F16" s="32"/>
      <c r="G16" s="32"/>
      <c r="H16" s="32"/>
      <c r="I16" s="32"/>
      <c r="J16" s="32"/>
    </row>
    <row r="17" spans="2:13" x14ac:dyDescent="0.25">
      <c r="B17" s="9"/>
      <c r="C17" s="52" t="s">
        <v>243</v>
      </c>
      <c r="D17" s="23">
        <f>D15+D16</f>
      </c>
      <c r="E17" s="31">
        <f>E15+E16</f>
      </c>
      <c r="F17" s="31">
        <v>0</v>
      </c>
      <c r="G17" s="31">
        <v>0</v>
      </c>
      <c r="H17" s="31">
        <v>0</v>
      </c>
      <c r="I17" s="31">
        <v>0</v>
      </c>
      <c r="J17" s="23">
        <v>0</v>
      </c>
    </row>
    <row r="18" spans="2:13" x14ac:dyDescent="0.25">
      <c r="B18" s="9"/>
      <c r="C18" s="13" t="s">
        <v>244</v>
      </c>
      <c r="D18" s="32"/>
      <c r="E18" s="32"/>
      <c r="F18" s="32"/>
      <c r="G18" s="32"/>
      <c r="H18" s="32"/>
      <c r="I18" s="32"/>
      <c r="J18" s="32"/>
    </row>
    <row r="19" spans="2:13" x14ac:dyDescent="0.25">
      <c r="B19" s="9"/>
      <c r="C19" s="15" t="s">
        <v>245</v>
      </c>
      <c r="D19" s="23">
        <v>14788927</v>
      </c>
      <c r="E19" s="31"/>
      <c r="F19" s="31"/>
      <c r="G19" s="31"/>
      <c r="H19" s="31"/>
      <c r="I19" s="31"/>
      <c r="J19" s="23">
        <v>14788927</v>
      </c>
    </row>
    <row r="20" spans="2:13" x14ac:dyDescent="0.25">
      <c r="B20" s="18"/>
      <c r="C20" s="41" t="s">
        <v>246</v>
      </c>
      <c r="D20" s="42">
        <f>SUM(D17:D19)</f>
      </c>
      <c r="E20" s="43">
        <f>SUM(E17:E19)</f>
      </c>
      <c r="F20" s="43">
        <v>0</v>
      </c>
      <c r="G20" s="43">
        <v>0</v>
      </c>
      <c r="H20" s="43">
        <v>0</v>
      </c>
      <c r="I20" s="43">
        <v>0</v>
      </c>
      <c r="J20" s="42">
        <v>0</v>
      </c>
    </row>
    <row r="21" spans="6:13" x14ac:dyDescent="0.25"/>
    <row r="22" spans="6:13" x14ac:dyDescent="0.25"/>
    <row r="23" spans="6:13" x14ac:dyDescent="0.25"/>
    <row r="24" spans="6:13" x14ac:dyDescent="0.25"/>
    <row r="25" spans="6:13" x14ac:dyDescent="0.25"/>
    <row r="26" spans="6:13" x14ac:dyDescent="0.25"/>
    <row r="27" spans="6:13" x14ac:dyDescent="0.25"/>
    <row r="28" spans="6:13" x14ac:dyDescent="0.25"/>
    <row r="29" spans="6:13" x14ac:dyDescent="0.25"/>
    <row r="30" spans="6:13" x14ac:dyDescent="0.25"/>
    <row r="31" spans="6:13" x14ac:dyDescent="0.25"/>
    <row r="32" spans="6:13" x14ac:dyDescent="0.25"/>
    <row r="33" spans="6:13" x14ac:dyDescent="0.25"/>
    <row r="34" spans="6:13" x14ac:dyDescent="0.25"/>
    <row r="35" spans="6:13" x14ac:dyDescent="0.25"/>
    <row r="36" spans="6:13" x14ac:dyDescent="0.25"/>
    <row r="37" spans="6:13" x14ac:dyDescent="0.25"/>
    <row r="38" spans="6:13" x14ac:dyDescent="0.25"/>
    <row r="39" spans="6:13" x14ac:dyDescent="0.25"/>
    <row r="40" spans="6:13" x14ac:dyDescent="0.25"/>
    <row r="41" spans="6:13" x14ac:dyDescent="0.25"/>
    <row r="42" spans="6:13" x14ac:dyDescent="0.25"/>
    <row r="43" spans="6:13" x14ac:dyDescent="0.25"/>
    <row r="44" spans="6:13" x14ac:dyDescent="0.25"/>
    <row r="45" spans="6:13" x14ac:dyDescent="0.25"/>
    <row r="46" spans="6:13" x14ac:dyDescent="0.25"/>
    <row r="47" spans="6:13" x14ac:dyDescent="0.25"/>
    <row r="48" spans="6:13" x14ac:dyDescent="0.25"/>
    <row r="49" spans="6:13" x14ac:dyDescent="0.25"/>
    <row r="50" spans="6:13" x14ac:dyDescent="0.25"/>
    <row r="51" spans="6:13" x14ac:dyDescent="0.25"/>
    <row r="52" spans="6:13" x14ac:dyDescent="0.25"/>
    <row r="53" spans="6:13" x14ac:dyDescent="0.25"/>
    <row r="54" spans="6:13" x14ac:dyDescent="0.25"/>
    <row r="55" spans="6:13" x14ac:dyDescent="0.25"/>
    <row r="56" spans="6:13" x14ac:dyDescent="0.25"/>
    <row r="57" spans="6:13" x14ac:dyDescent="0.25"/>
    <row r="58" spans="6:13" x14ac:dyDescent="0.25"/>
    <row r="59" spans="6:13" x14ac:dyDescent="0.25"/>
    <row r="60" spans="6:13" x14ac:dyDescent="0.25"/>
    <row r="61" spans="6:13" x14ac:dyDescent="0.25"/>
    <row r="62" spans="6:13" x14ac:dyDescent="0.25"/>
    <row r="63" spans="6:13" x14ac:dyDescent="0.25"/>
    <row r="64" spans="6:13" x14ac:dyDescent="0.25"/>
    <row r="65" spans="6:13" x14ac:dyDescent="0.25"/>
    <row r="66" spans="6:13" x14ac:dyDescent="0.25"/>
    <row r="67" spans="6:13" x14ac:dyDescent="0.25"/>
    <row r="68" spans="6:13" x14ac:dyDescent="0.25"/>
    <row r="69" spans="6:13" x14ac:dyDescent="0.25"/>
    <row r="70" spans="6:13" x14ac:dyDescent="0.25"/>
    <row r="71" spans="6:13" x14ac:dyDescent="0.25"/>
    <row r="72" spans="6:13" x14ac:dyDescent="0.25"/>
    <row r="73" spans="6:13" x14ac:dyDescent="0.25"/>
    <row r="74" spans="6:13" x14ac:dyDescent="0.25"/>
    <row r="75" spans="6:13" x14ac:dyDescent="0.25"/>
    <row r="76" spans="6:13" x14ac:dyDescent="0.25"/>
    <row r="77" spans="6:13" x14ac:dyDescent="0.25"/>
    <row r="78" spans="6:13" x14ac:dyDescent="0.25"/>
    <row r="79" spans="6:13" x14ac:dyDescent="0.25"/>
    <row r="80" spans="6:13" x14ac:dyDescent="0.25"/>
    <row r="81" spans="6:13" x14ac:dyDescent="0.25"/>
    <row r="82" spans="6:13" x14ac:dyDescent="0.25"/>
    <row r="83" spans="6:13" x14ac:dyDescent="0.25"/>
    <row r="84" spans="6:13" x14ac:dyDescent="0.25"/>
    <row r="85" spans="6:13" x14ac:dyDescent="0.25"/>
    <row r="86" spans="6:13" x14ac:dyDescent="0.25"/>
    <row r="87" spans="6:13" x14ac:dyDescent="0.25"/>
    <row r="88" spans="6:13" x14ac:dyDescent="0.25"/>
    <row r="89" spans="6:13" x14ac:dyDescent="0.25"/>
    <row r="90" spans="6:13" x14ac:dyDescent="0.25"/>
    <row r="91" spans="6:13" x14ac:dyDescent="0.25"/>
    <row r="92" spans="6:13" x14ac:dyDescent="0.25"/>
    <row r="93" spans="6:13" x14ac:dyDescent="0.25"/>
    <row r="94" spans="6:13" x14ac:dyDescent="0.25"/>
    <row r="95" spans="6:13" x14ac:dyDescent="0.25"/>
    <row r="96" spans="6:13" x14ac:dyDescent="0.25"/>
    <row r="97" spans="6:13" x14ac:dyDescent="0.25"/>
    <row r="98" spans="6:13" x14ac:dyDescent="0.25"/>
    <row r="99" spans="6:13" x14ac:dyDescent="0.25"/>
    <row r="100" spans="6:13" x14ac:dyDescent="0.25"/>
  </sheetData>
  <mergeCells count="5">
    <mergeCell ref="D10:J10"/>
    <mergeCell ref="D11:J11"/>
    <mergeCell ref="E12:I12"/>
    <mergeCell ref="D12:D13"/>
    <mergeCell ref="B14:C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00"/>
  <sheetViews>
    <sheetView workbookViewId="0" zoomScale="100" zoomScaleNormal="100"/>
  </sheetViews>
  <sheetFormatPr defaultRowHeight="15" outlineLevelRow="0" outlineLevelCol="0" x14ac:dyDescent="0"/>
  <cols>
    <col min="2" max="4" width="2.70703125" customWidth="1"/>
    <col min="5" max="5" width="50" customWidth="1"/>
    <col min="6" max="14" width="15" customWidth="1"/>
  </cols>
  <sheetData>
    <row r="1" spans="6:13" x14ac:dyDescent="0.25"/>
    <row r="2" spans="2:13" x14ac:dyDescent="0.25">
      <c r="B2" s="2" t="s">
        <v>9</v>
      </c>
    </row>
    <row r="3" spans="2:13" x14ac:dyDescent="0.25">
      <c r="B3" s="3" t="s">
        <v>10</v>
      </c>
      <c r="C3" t="s">
        <v>11</v>
      </c>
    </row>
    <row r="4" spans="2:13" x14ac:dyDescent="0.25">
      <c r="B4" s="3" t="s">
        <v>12</v>
      </c>
      <c r="C4" t="s">
        <v>13</v>
      </c>
    </row>
    <row r="5" spans="2:13" x14ac:dyDescent="0.25">
      <c r="B5" s="3" t="s">
        <v>14</v>
      </c>
      <c r="C5" t="s">
        <v>7</v>
      </c>
    </row>
    <row r="6" spans="2:13" x14ac:dyDescent="0.25">
      <c r="B6" s="3" t="s">
        <v>15</v>
      </c>
      <c r="C6" t="s">
        <v>16</v>
      </c>
    </row>
    <row r="7" spans="2:13" x14ac:dyDescent="0.25">
      <c r="B7" s="3" t="s">
        <v>17</v>
      </c>
      <c r="C7" t="s">
        <v>16</v>
      </c>
    </row>
    <row r="8" spans="2:13" x14ac:dyDescent="0.25">
      <c r="B8" s="3" t="s">
        <v>18</v>
      </c>
      <c r="C8" t="s">
        <v>19</v>
      </c>
    </row>
    <row r="9" spans="6:13" x14ac:dyDescent="0.25"/>
    <row r="10" spans="6:14" x14ac:dyDescent="0.25">
      <c r="F10" s="26" t="s">
        <v>95</v>
      </c>
      <c r="G10" s="27"/>
      <c r="H10" s="27"/>
      <c r="I10" s="27"/>
      <c r="J10" s="27"/>
      <c r="K10" s="27"/>
      <c r="L10" s="27"/>
      <c r="M10" s="27"/>
      <c r="N10" s="28"/>
    </row>
    <row r="11" spans="6:14" x14ac:dyDescent="0.25">
      <c r="F11" s="29" t="s">
        <v>96</v>
      </c>
      <c r="G11" s="4" t="s">
        <v>97</v>
      </c>
      <c r="H11" s="29" t="s">
        <v>98</v>
      </c>
      <c r="I11" s="4" t="s">
        <v>99</v>
      </c>
      <c r="J11" s="29" t="s">
        <v>100</v>
      </c>
      <c r="K11" s="4" t="s">
        <v>101</v>
      </c>
      <c r="L11" s="29" t="s">
        <v>102</v>
      </c>
      <c r="M11" s="4" t="s">
        <v>103</v>
      </c>
      <c r="N11" s="30"/>
    </row>
    <row r="12" spans="2:14" x14ac:dyDescent="0.25">
      <c r="B12" s="5" t="s">
        <v>247</v>
      </c>
      <c r="C12" s="6"/>
      <c r="D12" s="6"/>
      <c r="E12" s="7"/>
      <c r="F12" s="8"/>
      <c r="G12" s="8"/>
      <c r="H12" s="8"/>
      <c r="I12" s="8"/>
      <c r="J12" s="8"/>
      <c r="K12" s="8"/>
      <c r="L12" s="8"/>
      <c r="M12" s="8"/>
      <c r="N12" s="8"/>
    </row>
    <row r="13" spans="2:14" x14ac:dyDescent="0.25">
      <c r="B13" s="9"/>
      <c r="C13" s="10" t="s">
        <v>248</v>
      </c>
      <c r="D13" s="22"/>
      <c r="E13" s="11"/>
      <c r="F13" s="8"/>
      <c r="G13" s="8"/>
      <c r="H13" s="8"/>
      <c r="I13" s="8"/>
      <c r="J13" s="8"/>
      <c r="K13" s="8"/>
      <c r="L13" s="8"/>
      <c r="M13" s="8"/>
      <c r="N13" s="8"/>
    </row>
    <row r="14" spans="2:14" x14ac:dyDescent="0.25">
      <c r="B14" s="9"/>
      <c r="C14" s="12"/>
      <c r="D14" s="18" t="s">
        <v>181</v>
      </c>
      <c r="E14" s="7"/>
      <c r="F14" s="24">
        <v>549440143</v>
      </c>
      <c r="G14" s="24">
        <v>180509891</v>
      </c>
      <c r="H14" s="24">
        <v>261207690</v>
      </c>
      <c r="I14" s="32"/>
      <c r="J14" s="32"/>
      <c r="K14" s="32"/>
      <c r="L14" s="32"/>
      <c r="M14" s="32"/>
      <c r="N14" s="24">
        <f>Hoja4!M14</f>
      </c>
    </row>
    <row r="15" spans="2:14" x14ac:dyDescent="0.25">
      <c r="B15" s="9"/>
      <c r="C15" s="12"/>
      <c r="D15" s="17" t="s">
        <v>249</v>
      </c>
      <c r="E15" s="11"/>
      <c r="F15" s="23">
        <v>22583726</v>
      </c>
      <c r="G15" s="23">
        <v>150000000</v>
      </c>
      <c r="H15" s="31"/>
      <c r="I15" s="31"/>
      <c r="J15" s="31"/>
      <c r="K15" s="31"/>
      <c r="L15" s="31"/>
      <c r="M15" s="31"/>
      <c r="N15" s="23">
        <v>172583726</v>
      </c>
    </row>
    <row r="16" spans="2:14" x14ac:dyDescent="0.25">
      <c r="B16" s="9"/>
      <c r="C16" s="17"/>
      <c r="D16" s="36" t="s">
        <v>250</v>
      </c>
      <c r="E16" s="38"/>
      <c r="F16" s="24">
        <v>0</v>
      </c>
      <c r="G16" s="24">
        <v>0</v>
      </c>
      <c r="H16" s="24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24">
        <f>N14+N15</f>
      </c>
    </row>
    <row r="17" spans="2:14" x14ac:dyDescent="0.25">
      <c r="B17" s="9"/>
      <c r="C17" s="10" t="s">
        <v>251</v>
      </c>
      <c r="D17" s="22"/>
      <c r="E17" s="11"/>
      <c r="F17" s="8"/>
      <c r="G17" s="8"/>
      <c r="H17" s="8"/>
      <c r="I17" s="8"/>
      <c r="J17" s="8"/>
      <c r="K17" s="8"/>
      <c r="L17" s="8"/>
      <c r="M17" s="8"/>
      <c r="N17" s="8"/>
    </row>
    <row r="18" spans="2:14" x14ac:dyDescent="0.25">
      <c r="B18" s="9"/>
      <c r="C18" s="12"/>
      <c r="D18" s="5" t="s">
        <v>252</v>
      </c>
      <c r="E18" s="7"/>
      <c r="F18" s="24">
        <v>542077256</v>
      </c>
      <c r="G18" s="24">
        <v>291529011</v>
      </c>
      <c r="H18" s="24">
        <v>215975374</v>
      </c>
      <c r="I18" s="32"/>
      <c r="J18" s="32"/>
      <c r="K18" s="32"/>
      <c r="L18" s="32"/>
      <c r="M18" s="32"/>
      <c r="N18" s="24">
        <v>1049581641</v>
      </c>
    </row>
    <row r="19" spans="2:14" x14ac:dyDescent="0.25">
      <c r="B19" s="9"/>
      <c r="C19" s="12"/>
      <c r="D19" s="9"/>
      <c r="E19" s="15" t="s">
        <v>253</v>
      </c>
      <c r="F19" s="23">
        <v>0</v>
      </c>
      <c r="G19" s="23">
        <v>0</v>
      </c>
      <c r="H19" s="23">
        <v>0</v>
      </c>
      <c r="I19" s="31"/>
      <c r="J19" s="31"/>
      <c r="K19" s="31"/>
      <c r="L19" s="31"/>
      <c r="M19" s="31"/>
      <c r="N19" s="23">
        <v>0</v>
      </c>
    </row>
    <row r="20" spans="2:14" x14ac:dyDescent="0.25">
      <c r="B20" s="9"/>
      <c r="C20" s="12"/>
      <c r="D20" s="9"/>
      <c r="E20" s="13" t="s">
        <v>254</v>
      </c>
      <c r="F20" s="24">
        <v>5913857</v>
      </c>
      <c r="G20" s="24">
        <v>2861955</v>
      </c>
      <c r="H20" s="24">
        <v>763188</v>
      </c>
      <c r="I20" s="32"/>
      <c r="J20" s="32"/>
      <c r="K20" s="32"/>
      <c r="L20" s="32"/>
      <c r="M20" s="32"/>
      <c r="N20" s="24">
        <v>9539000</v>
      </c>
    </row>
    <row r="21" spans="2:14" x14ac:dyDescent="0.25">
      <c r="B21" s="9"/>
      <c r="C21" s="12"/>
      <c r="D21" s="9"/>
      <c r="E21" s="15" t="s">
        <v>255</v>
      </c>
      <c r="F21" s="23">
        <v>0</v>
      </c>
      <c r="G21" s="23">
        <v>0</v>
      </c>
      <c r="H21" s="23">
        <v>0</v>
      </c>
      <c r="I21" s="31"/>
      <c r="J21" s="31"/>
      <c r="K21" s="31"/>
      <c r="L21" s="31"/>
      <c r="M21" s="31"/>
      <c r="N21" s="23">
        <v>0</v>
      </c>
    </row>
    <row r="22" spans="2:14" x14ac:dyDescent="0.25">
      <c r="B22" s="9"/>
      <c r="C22" s="12"/>
      <c r="D22" s="9"/>
      <c r="E22" s="13" t="s">
        <v>256</v>
      </c>
      <c r="F22" s="24">
        <v>0</v>
      </c>
      <c r="G22" s="24">
        <v>0</v>
      </c>
      <c r="H22" s="24">
        <v>0</v>
      </c>
      <c r="I22" s="32"/>
      <c r="J22" s="32"/>
      <c r="K22" s="32"/>
      <c r="L22" s="32"/>
      <c r="M22" s="32"/>
      <c r="N22" s="24">
        <v>0</v>
      </c>
    </row>
    <row r="23" spans="2:14" x14ac:dyDescent="0.25">
      <c r="B23" s="9"/>
      <c r="C23" s="12"/>
      <c r="D23" s="9"/>
      <c r="E23" s="15" t="s">
        <v>257</v>
      </c>
      <c r="F23" s="23">
        <v>0</v>
      </c>
      <c r="G23" s="23">
        <v>0</v>
      </c>
      <c r="H23" s="23">
        <v>0</v>
      </c>
      <c r="I23" s="31"/>
      <c r="J23" s="31"/>
      <c r="K23" s="31"/>
      <c r="L23" s="31"/>
      <c r="M23" s="31"/>
      <c r="N23" s="23">
        <v>0</v>
      </c>
    </row>
    <row r="24" spans="2:14" x14ac:dyDescent="0.25">
      <c r="B24" s="18"/>
      <c r="C24" s="17"/>
      <c r="D24" s="18"/>
      <c r="E24" s="13" t="s">
        <v>258</v>
      </c>
      <c r="F24" s="42">
        <v>0</v>
      </c>
      <c r="G24" s="42">
        <v>0</v>
      </c>
      <c r="H24" s="42">
        <v>0</v>
      </c>
      <c r="I24" s="43"/>
      <c r="J24" s="43"/>
      <c r="K24" s="43"/>
      <c r="L24" s="43"/>
      <c r="M24" s="43"/>
      <c r="N24" s="42">
        <v>0</v>
      </c>
    </row>
    <row r="25" spans="6:13" x14ac:dyDescent="0.25"/>
    <row r="26" spans="6:13" x14ac:dyDescent="0.25"/>
    <row r="27" spans="6:13" x14ac:dyDescent="0.25"/>
    <row r="28" spans="6:13" x14ac:dyDescent="0.25"/>
    <row r="29" spans="6:13" x14ac:dyDescent="0.25"/>
    <row r="30" spans="6:13" x14ac:dyDescent="0.25"/>
    <row r="31" spans="6:13" x14ac:dyDescent="0.25"/>
    <row r="32" spans="6:13" x14ac:dyDescent="0.25"/>
    <row r="33" spans="6:13" x14ac:dyDescent="0.25"/>
    <row r="34" spans="6:13" x14ac:dyDescent="0.25"/>
    <row r="35" spans="6:13" x14ac:dyDescent="0.25"/>
    <row r="36" spans="6:13" x14ac:dyDescent="0.25"/>
    <row r="37" spans="6:13" x14ac:dyDescent="0.25"/>
    <row r="38" spans="6:13" x14ac:dyDescent="0.25"/>
    <row r="39" spans="6:13" x14ac:dyDescent="0.25"/>
    <row r="40" spans="6:13" x14ac:dyDescent="0.25"/>
    <row r="41" spans="6:13" x14ac:dyDescent="0.25"/>
    <row r="42" spans="6:13" x14ac:dyDescent="0.25"/>
    <row r="43" spans="6:13" x14ac:dyDescent="0.25"/>
    <row r="44" spans="6:13" x14ac:dyDescent="0.25"/>
    <row r="45" spans="6:13" x14ac:dyDescent="0.25"/>
    <row r="46" spans="6:13" x14ac:dyDescent="0.25"/>
    <row r="47" spans="6:13" x14ac:dyDescent="0.25"/>
    <row r="48" spans="6:13" x14ac:dyDescent="0.25"/>
    <row r="49" spans="6:13" x14ac:dyDescent="0.25"/>
    <row r="50" spans="6:13" x14ac:dyDescent="0.25"/>
    <row r="51" spans="6:13" x14ac:dyDescent="0.25"/>
    <row r="52" spans="6:13" x14ac:dyDescent="0.25"/>
    <row r="53" spans="6:13" x14ac:dyDescent="0.25"/>
    <row r="54" spans="6:13" x14ac:dyDescent="0.25"/>
    <row r="55" spans="6:13" x14ac:dyDescent="0.25"/>
    <row r="56" spans="6:13" x14ac:dyDescent="0.25"/>
    <row r="57" spans="6:13" x14ac:dyDescent="0.25"/>
    <row r="58" spans="6:13" x14ac:dyDescent="0.25"/>
    <row r="59" spans="6:13" x14ac:dyDescent="0.25"/>
    <row r="60" spans="6:13" x14ac:dyDescent="0.25"/>
    <row r="61" spans="6:13" x14ac:dyDescent="0.25"/>
    <row r="62" spans="6:13" x14ac:dyDescent="0.25"/>
    <row r="63" spans="6:13" x14ac:dyDescent="0.25"/>
    <row r="64" spans="6:13" x14ac:dyDescent="0.25"/>
    <row r="65" spans="6:13" x14ac:dyDescent="0.25"/>
    <row r="66" spans="6:13" x14ac:dyDescent="0.25"/>
    <row r="67" spans="6:13" x14ac:dyDescent="0.25"/>
    <row r="68" spans="6:13" x14ac:dyDescent="0.25"/>
    <row r="69" spans="6:13" x14ac:dyDescent="0.25"/>
    <row r="70" spans="6:13" x14ac:dyDescent="0.25"/>
    <row r="71" spans="6:13" x14ac:dyDescent="0.25"/>
    <row r="72" spans="6:13" x14ac:dyDescent="0.25"/>
    <row r="73" spans="6:13" x14ac:dyDescent="0.25"/>
    <row r="74" spans="6:13" x14ac:dyDescent="0.25"/>
    <row r="75" spans="6:13" x14ac:dyDescent="0.25"/>
    <row r="76" spans="6:13" x14ac:dyDescent="0.25"/>
    <row r="77" spans="6:13" x14ac:dyDescent="0.25"/>
    <row r="78" spans="6:13" x14ac:dyDescent="0.25"/>
    <row r="79" spans="6:13" x14ac:dyDescent="0.25"/>
    <row r="80" spans="6:13" x14ac:dyDescent="0.25"/>
    <row r="81" spans="6:13" x14ac:dyDescent="0.25"/>
    <row r="82" spans="6:13" x14ac:dyDescent="0.25"/>
    <row r="83" spans="6:13" x14ac:dyDescent="0.25"/>
    <row r="84" spans="6:13" x14ac:dyDescent="0.25"/>
    <row r="85" spans="6:13" x14ac:dyDescent="0.25"/>
    <row r="86" spans="6:13" x14ac:dyDescent="0.25"/>
    <row r="87" spans="6:13" x14ac:dyDescent="0.25"/>
    <row r="88" spans="6:13" x14ac:dyDescent="0.25"/>
    <row r="89" spans="6:13" x14ac:dyDescent="0.25"/>
    <row r="90" spans="6:13" x14ac:dyDescent="0.25"/>
    <row r="91" spans="6:13" x14ac:dyDescent="0.25"/>
    <row r="92" spans="6:13" x14ac:dyDescent="0.25"/>
    <row r="93" spans="6:13" x14ac:dyDescent="0.25"/>
    <row r="94" spans="6:13" x14ac:dyDescent="0.25"/>
    <row r="95" spans="6:13" x14ac:dyDescent="0.25"/>
    <row r="96" spans="6:13" x14ac:dyDescent="0.25"/>
    <row r="97" spans="6:13" x14ac:dyDescent="0.25"/>
    <row r="98" spans="6:13" x14ac:dyDescent="0.25"/>
    <row r="99" spans="6:13" x14ac:dyDescent="0.25"/>
    <row r="100" spans="6:13" x14ac:dyDescent="0.25"/>
  </sheetData>
  <mergeCells count="8">
    <mergeCell ref="F10:N10"/>
    <mergeCell ref="B12:E12"/>
    <mergeCell ref="C13:E13"/>
    <mergeCell ref="D14:E14"/>
    <mergeCell ref="D15:E15"/>
    <mergeCell ref="D16:E16"/>
    <mergeCell ref="C17:E17"/>
    <mergeCell ref="D18:E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0"/>
  <sheetViews>
    <sheetView workbookViewId="0" zoomScale="100" zoomScaleNormal="100"/>
  </sheetViews>
  <sheetFormatPr defaultRowHeight="15" outlineLevelRow="0" outlineLevelCol="0" x14ac:dyDescent="0"/>
  <cols>
    <col min="2" max="2" width="2.70703125" customWidth="1"/>
    <col min="3" max="3" width="50" customWidth="1"/>
    <col min="4" max="10" width="15" customWidth="1"/>
  </cols>
  <sheetData>
    <row r="1" spans="6:13" x14ac:dyDescent="0.25"/>
    <row r="2" spans="2:13" x14ac:dyDescent="0.25">
      <c r="B2" s="2" t="s">
        <v>9</v>
      </c>
    </row>
    <row r="3" spans="2:13" x14ac:dyDescent="0.25">
      <c r="B3" s="3" t="s">
        <v>10</v>
      </c>
      <c r="C3" t="s">
        <v>11</v>
      </c>
    </row>
    <row r="4" spans="2:13" x14ac:dyDescent="0.25">
      <c r="B4" s="3" t="s">
        <v>12</v>
      </c>
      <c r="C4" t="s">
        <v>13</v>
      </c>
    </row>
    <row r="5" spans="2:13" x14ac:dyDescent="0.25">
      <c r="B5" s="3" t="s">
        <v>14</v>
      </c>
      <c r="C5" t="s">
        <v>8</v>
      </c>
    </row>
    <row r="6" spans="2:13" x14ac:dyDescent="0.25">
      <c r="B6" s="3" t="s">
        <v>15</v>
      </c>
      <c r="C6" t="s">
        <v>16</v>
      </c>
    </row>
    <row r="7" spans="2:13" x14ac:dyDescent="0.25">
      <c r="B7" s="3" t="s">
        <v>17</v>
      </c>
      <c r="C7" t="s">
        <v>16</v>
      </c>
    </row>
    <row r="8" spans="2:13" x14ac:dyDescent="0.25">
      <c r="B8" s="3" t="s">
        <v>18</v>
      </c>
      <c r="C8" t="s">
        <v>19</v>
      </c>
    </row>
    <row r="9" spans="6:13" x14ac:dyDescent="0.25"/>
    <row r="10" spans="4:13" x14ac:dyDescent="0.25">
      <c r="D10" s="26" t="s">
        <v>259</v>
      </c>
      <c r="E10" s="27"/>
      <c r="F10" s="27"/>
      <c r="G10" s="27"/>
      <c r="H10" s="27"/>
      <c r="I10" s="27"/>
      <c r="J10" s="28"/>
    </row>
    <row r="11" spans="4:13" x14ac:dyDescent="0.25">
      <c r="D11" s="29" t="s">
        <v>260</v>
      </c>
      <c r="E11" s="4" t="s">
        <v>261</v>
      </c>
      <c r="F11" s="29" t="s">
        <v>262</v>
      </c>
      <c r="G11" s="4" t="s">
        <v>263</v>
      </c>
      <c r="H11" s="29" t="s">
        <v>264</v>
      </c>
      <c r="I11" s="4" t="s">
        <v>265</v>
      </c>
      <c r="J11" s="30"/>
    </row>
    <row r="12" spans="2:13" x14ac:dyDescent="0.25">
      <c r="B12" s="5" t="s">
        <v>266</v>
      </c>
      <c r="C12" s="7"/>
      <c r="D12" s="8"/>
      <c r="E12" s="8"/>
      <c r="F12" s="8"/>
      <c r="G12" s="8"/>
      <c r="H12" s="8"/>
      <c r="I12" s="8"/>
      <c r="J12" s="8"/>
    </row>
    <row r="13" spans="2:13" x14ac:dyDescent="0.25">
      <c r="B13" s="9"/>
      <c r="C13" s="15" t="s">
        <v>267</v>
      </c>
      <c r="D13" s="31"/>
      <c r="E13" s="31"/>
      <c r="F13" s="31"/>
      <c r="G13" s="31"/>
      <c r="H13" s="31"/>
      <c r="I13" s="31"/>
      <c r="J13" s="31"/>
    </row>
    <row r="14" spans="2:13" x14ac:dyDescent="0.25">
      <c r="B14" s="9"/>
      <c r="C14" s="13" t="s">
        <v>268</v>
      </c>
      <c r="D14" s="32"/>
      <c r="E14" s="32"/>
      <c r="F14" s="32"/>
      <c r="G14" s="32"/>
      <c r="H14" s="32"/>
      <c r="I14" s="32"/>
      <c r="J14" s="32"/>
    </row>
    <row r="15" spans="2:13" x14ac:dyDescent="0.25">
      <c r="B15" s="18"/>
      <c r="C15" s="52" t="s">
        <v>269</v>
      </c>
      <c r="D15" s="40">
        <f>-D14+D13</f>
      </c>
      <c r="E15" s="40">
        <f>-E14+E13</f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</row>
    <row r="16" spans="6:13" x14ac:dyDescent="0.25"/>
    <row r="17" spans="6:13" x14ac:dyDescent="0.25"/>
    <row r="18" spans="6:13" x14ac:dyDescent="0.25"/>
    <row r="19" spans="6:13" x14ac:dyDescent="0.25"/>
    <row r="20" spans="6:13" x14ac:dyDescent="0.25"/>
    <row r="21" spans="6:13" x14ac:dyDescent="0.25"/>
    <row r="22" spans="6:13" x14ac:dyDescent="0.25"/>
    <row r="23" spans="6:13" x14ac:dyDescent="0.25"/>
    <row r="24" spans="6:13" x14ac:dyDescent="0.25"/>
    <row r="25" spans="6:13" x14ac:dyDescent="0.25"/>
    <row r="26" spans="6:13" x14ac:dyDescent="0.25"/>
    <row r="27" spans="6:13" x14ac:dyDescent="0.25"/>
    <row r="28" spans="6:13" x14ac:dyDescent="0.25"/>
    <row r="29" spans="6:13" x14ac:dyDescent="0.25"/>
    <row r="30" spans="6:13" x14ac:dyDescent="0.25"/>
    <row r="31" spans="6:13" x14ac:dyDescent="0.25"/>
    <row r="32" spans="6:13" x14ac:dyDescent="0.25"/>
    <row r="33" spans="6:13" x14ac:dyDescent="0.25"/>
    <row r="34" spans="6:13" x14ac:dyDescent="0.25"/>
    <row r="35" spans="6:13" x14ac:dyDescent="0.25"/>
    <row r="36" spans="6:13" x14ac:dyDescent="0.25"/>
    <row r="37" spans="6:13" x14ac:dyDescent="0.25"/>
    <row r="38" spans="6:13" x14ac:dyDescent="0.25"/>
    <row r="39" spans="6:13" x14ac:dyDescent="0.25"/>
    <row r="40" spans="6:13" x14ac:dyDescent="0.25"/>
    <row r="41" spans="6:13" x14ac:dyDescent="0.25"/>
    <row r="42" spans="6:13" x14ac:dyDescent="0.25"/>
    <row r="43" spans="6:13" x14ac:dyDescent="0.25"/>
    <row r="44" spans="6:13" x14ac:dyDescent="0.25"/>
    <row r="45" spans="6:13" x14ac:dyDescent="0.25"/>
    <row r="46" spans="6:13" x14ac:dyDescent="0.25"/>
    <row r="47" spans="6:13" x14ac:dyDescent="0.25"/>
    <row r="48" spans="6:13" x14ac:dyDescent="0.25"/>
    <row r="49" spans="6:13" x14ac:dyDescent="0.25"/>
    <row r="50" spans="6:13" x14ac:dyDescent="0.25"/>
    <row r="51" spans="6:13" x14ac:dyDescent="0.25"/>
    <row r="52" spans="6:13" x14ac:dyDescent="0.25"/>
    <row r="53" spans="6:13" x14ac:dyDescent="0.25"/>
    <row r="54" spans="6:13" x14ac:dyDescent="0.25"/>
    <row r="55" spans="6:13" x14ac:dyDescent="0.25"/>
    <row r="56" spans="6:13" x14ac:dyDescent="0.25"/>
    <row r="57" spans="6:13" x14ac:dyDescent="0.25"/>
    <row r="58" spans="6:13" x14ac:dyDescent="0.25"/>
    <row r="59" spans="6:13" x14ac:dyDescent="0.25"/>
    <row r="60" spans="6:13" x14ac:dyDescent="0.25"/>
    <row r="61" spans="6:13" x14ac:dyDescent="0.25"/>
    <row r="62" spans="6:13" x14ac:dyDescent="0.25"/>
    <row r="63" spans="6:13" x14ac:dyDescent="0.25"/>
    <row r="64" spans="6:13" x14ac:dyDescent="0.25"/>
    <row r="65" spans="6:13" x14ac:dyDescent="0.25"/>
    <row r="66" spans="6:13" x14ac:dyDescent="0.25"/>
    <row r="67" spans="6:13" x14ac:dyDescent="0.25"/>
    <row r="68" spans="6:13" x14ac:dyDescent="0.25"/>
    <row r="69" spans="6:13" x14ac:dyDescent="0.25"/>
    <row r="70" spans="6:13" x14ac:dyDescent="0.25"/>
    <row r="71" spans="6:13" x14ac:dyDescent="0.25"/>
    <row r="72" spans="6:13" x14ac:dyDescent="0.25"/>
    <row r="73" spans="6:13" x14ac:dyDescent="0.25"/>
    <row r="74" spans="6:13" x14ac:dyDescent="0.25"/>
    <row r="75" spans="6:13" x14ac:dyDescent="0.25"/>
    <row r="76" spans="6:13" x14ac:dyDescent="0.25"/>
    <row r="77" spans="6:13" x14ac:dyDescent="0.25"/>
    <row r="78" spans="6:13" x14ac:dyDescent="0.25"/>
    <row r="79" spans="6:13" x14ac:dyDescent="0.25"/>
    <row r="80" spans="6:13" x14ac:dyDescent="0.25"/>
    <row r="81" spans="6:13" x14ac:dyDescent="0.25"/>
    <row r="82" spans="6:13" x14ac:dyDescent="0.25"/>
    <row r="83" spans="6:13" x14ac:dyDescent="0.25"/>
    <row r="84" spans="6:13" x14ac:dyDescent="0.25"/>
    <row r="85" spans="6:13" x14ac:dyDescent="0.25"/>
    <row r="86" spans="6:13" x14ac:dyDescent="0.25"/>
    <row r="87" spans="6:13" x14ac:dyDescent="0.25"/>
    <row r="88" spans="6:13" x14ac:dyDescent="0.25"/>
    <row r="89" spans="6:13" x14ac:dyDescent="0.25"/>
    <row r="90" spans="6:13" x14ac:dyDescent="0.25"/>
    <row r="91" spans="6:13" x14ac:dyDescent="0.25"/>
    <row r="92" spans="6:13" x14ac:dyDescent="0.25"/>
    <row r="93" spans="6:13" x14ac:dyDescent="0.25"/>
    <row r="94" spans="6:13" x14ac:dyDescent="0.25"/>
    <row r="95" spans="6:13" x14ac:dyDescent="0.25"/>
    <row r="96" spans="6:13" x14ac:dyDescent="0.25"/>
    <row r="97" spans="6:13" x14ac:dyDescent="0.25"/>
    <row r="98" spans="6:13" x14ac:dyDescent="0.25"/>
    <row r="99" spans="6:13" x14ac:dyDescent="0.25"/>
    <row r="100" spans="6:13" x14ac:dyDescent="0.25"/>
  </sheetData>
  <mergeCells count="2">
    <mergeCell ref="D10:J10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Indice</vt:lpstr>
      <vt:lpstr>Hoja1</vt:lpstr>
      <vt:lpstr>Lists</vt:lpstr>
      <vt:lpstr>Hoja2</vt:lpstr>
      <vt:lpstr>Hoja3</vt:lpstr>
      <vt:lpstr>Hoja4</vt:lpstr>
      <vt:lpstr>Hoja5</vt:lpstr>
      <vt:lpstr>Hoja6</vt:lpstr>
      <vt:lpstr>Hoja7</vt:lpstr>
      <vt:lpstr>Hoja8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20037 miembro de 20037</dc:creator>
  <dc:subject>Reporting Standard S.L. - Exportación a Excel de XBRL</dc:subject>
  <cp:lastModifiedBy>Unknown</cp:lastModifiedBy>
  <dcterms:created xsi:type="dcterms:W3CDTF">2025-09-22T22:13:08Z</dcterms:created>
  <dcterms:modified xsi:type="dcterms:W3CDTF">2025-12-07T03:46:44Z</dcterms:modified>
</cp:coreProperties>
</file>