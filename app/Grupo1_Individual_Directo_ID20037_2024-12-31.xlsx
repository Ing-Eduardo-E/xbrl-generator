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ice" r:id="rId3" sheetId="1"/>
    <sheet name="Hoja1" r:id="rId4" sheetId="2"/>
    <sheet name="Lists" r:id="rId5" sheetId="3" state="hidden"/>
    <sheet name="Hoja2" r:id="rId6" sheetId="4"/>
    <sheet name="Hoja3" r:id="rId7" sheetId="5"/>
    <sheet name="Hoja4" r:id="rId8" sheetId="6"/>
    <sheet name="Hoja5" r:id="rId9" sheetId="7"/>
    <sheet name="Hoja6" r:id="rId10" sheetId="8"/>
    <sheet name="Hoja7" r:id="rId11" sheetId="9"/>
    <sheet name="Hoja8" r:id="rId12" sheetId="10"/>
    <sheet name="Hoja9" r:id="rId13" sheetId="11"/>
    <sheet name="Hoja10" r:id="rId14" sheetId="12"/>
    <sheet name="Hoja11" r:id="rId15" sheetId="13"/>
    <sheet name="Hoja12" r:id="rId16" sheetId="14"/>
    <sheet name="Hoja13" r:id="rId17" sheetId="15"/>
    <sheet name="Hoja14" r:id="rId18" sheetId="16"/>
    <sheet name="Hoja15" r:id="rId19" sheetId="17"/>
    <sheet name="Hoja16" r:id="rId20" sheetId="18"/>
    <sheet name="Hoja17" r:id="rId21" sheetId="19"/>
    <sheet name="Hoja18" r:id="rId22" sheetId="20"/>
    <sheet name="Hoja19" r:id="rId23" sheetId="21"/>
    <sheet name="Hoja20" r:id="rId24" sheetId="22"/>
    <sheet name="Hoja21" r:id="rId25" sheetId="23"/>
    <sheet name="Hoja22" r:id="rId26" sheetId="24"/>
    <sheet name="Hoja23" r:id="rId27" sheetId="25"/>
    <sheet name="Hoja24" r:id="rId28" sheetId="26"/>
    <sheet name="Hoja25" r:id="rId29" sheetId="27"/>
    <sheet name="Hoja26" r:id="rId30" sheetId="28"/>
    <sheet name="Hoja27" r:id="rId31" sheetId="29"/>
    <sheet name="Hoja28" r:id="rId32" sheetId="30"/>
    <sheet name="Hoja29" r:id="rId33" sheetId="31"/>
    <sheet name="Hoja30" r:id="rId34" sheetId="32"/>
    <sheet name="Hoja31" r:id="rId35" sheetId="33"/>
    <sheet name="Hoja32" r:id="rId36" sheetId="34"/>
    <sheet name="Hoja33" r:id="rId37" sheetId="35"/>
    <sheet name="Hoja34" r:id="rId38" sheetId="36"/>
    <sheet name="Hoja35" r:id="rId39" sheetId="37"/>
    <sheet name="Hoja36" r:id="rId40" sheetId="38"/>
    <sheet name="Hoja37" r:id="rId41" sheetId="39"/>
    <sheet name="Hoja38" r:id="rId42" sheetId="40"/>
    <sheet name="Hoja39" r:id="rId43" sheetId="41"/>
    <sheet name="Hoja40" r:id="rId44" sheetId="42"/>
    <sheet name="Hoja41" r:id="rId45" sheetId="43"/>
    <sheet name="Hoja42" r:id="rId46" sheetId="44"/>
    <sheet name="Hoja43" r:id="rId47" sheetId="45"/>
    <sheet name="Hoja44" r:id="rId48" sheetId="46"/>
    <sheet name="Hoja45" r:id="rId49" sheetId="47"/>
    <sheet name="Hoja46" r:id="rId50" sheetId="48"/>
    <sheet name="Hoja47" r:id="rId51" sheetId="49"/>
    <sheet name="Hoja48" r:id="rId52" sheetId="50"/>
    <sheet name="Hoja49" r:id="rId53" sheetId="51"/>
    <sheet name="Hoja50" r:id="rId54" sheetId="52"/>
    <sheet name="Hoja51" r:id="rId55" sheetId="53"/>
    <sheet name="Hoja52" r:id="rId56" sheetId="54"/>
    <sheet name="Hoja53" r:id="rId57" sheetId="55"/>
    <sheet name="Hoja54" r:id="rId58" sheetId="56"/>
    <sheet name="Hoja55" r:id="rId59" sheetId="57"/>
    <sheet name="Hoja56" r:id="rId60" sheetId="58"/>
    <sheet name="Hoja57" r:id="rId61" sheetId="59"/>
    <sheet name="Hoja58" r:id="rId62" sheetId="60"/>
    <sheet name="Hoja59" r:id="rId63" sheetId="61"/>
    <sheet name="Hoja60" r:id="rId64" sheetId="62"/>
    <sheet name="Hoja61" r:id="rId65" sheetId="63"/>
    <sheet name="Hoja62" r:id="rId66" sheetId="64"/>
    <sheet name="Hoja63" r:id="rId67" sheetId="65"/>
    <sheet name="Hoja64" r:id="rId68" sheetId="66"/>
  </sheets>
  <definedNames>
    <definedName name="sspdtipos_TipoGradoRedondeo">Lists!$B$3:$B$6</definedName>
    <definedName name="sspdtipos_TipoSiNo">Lists!$D$3:$D$4</definedName>
    <definedName name="sspdtipos_TipoPeriodoDeReexpresion">Lists!$F$3:$F$5</definedName>
    <definedName name="sspdtipos_TipoDivisa">Lists!$H$3:$H$5</definedName>
    <definedName name="sspdtipos_TipoIdentificacionResponsablesInformacion">Lists!$J$3:$J$5</definedName>
    <definedName name="sspdtipos_TipoDeDictamenDeAuditoria">Lists!$L$3:$L$10</definedName>
    <definedName name="sspdtipos_TipoClasificacionEmpresarialSegunResolucionCRA906Del2019">Lists!$N$3:$N$6</definedName>
    <definedName name="sspdtipos_TipoPeriodoFaseDeProgresividad">Lists!$P$3:$P$15</definedName>
  </definedNames>
</workbook>
</file>

<file path=xl/sharedStrings.xml><?xml version="1.0" encoding="utf-8"?>
<sst xmlns="http://schemas.openxmlformats.org/spreadsheetml/2006/main" count="3789" uniqueCount="1739">
  <si>
    <t>Tabla de contenidos</t>
  </si>
  <si>
    <t>Indice</t>
  </si>
  <si>
    <t>[110000] Información general sobre estados financieros</t>
  </si>
  <si>
    <t>Archivo:</t>
  </si>
  <si>
    <t>I:\Proyectos2025\proyecto_niif\_backup_legacy\Grupo1_Individual_Directo_ID20037_2024-12-31.xbrl</t>
  </si>
  <si>
    <t>Empresa:</t>
  </si>
  <si>
    <t>20037</t>
  </si>
  <si>
    <t>Vista:</t>
  </si>
  <si>
    <t>Eje X:</t>
  </si>
  <si>
    <t>N/A</t>
  </si>
  <si>
    <t>Eje Y:</t>
  </si>
  <si>
    <t>Eje Z:</t>
  </si>
  <si>
    <t>Periodo Actual</t>
  </si>
  <si>
    <t>Información general [resumen]</t>
  </si>
  <si>
    <t>Información a revelar sobre información general sobre los estados financieros [bloque de texto]</t>
  </si>
  <si>
    <t>Nombre de la entidad que informa u otras formas de identificación</t>
  </si>
  <si>
    <t>Identificación de la Empresa (ID RUPS)</t>
  </si>
  <si>
    <t>NIT</t>
  </si>
  <si>
    <t>Información a revelar sobre la naturaleza del negocio</t>
  </si>
  <si>
    <t>Fecha de inicio de operaciones (o fecha de constitución si no ha iniciado la prestación de servicios)</t>
  </si>
  <si>
    <t>Fecha de cierre del periodo sobre el que se informa</t>
  </si>
  <si>
    <t>Grado de redondeo utilizado en los estados financieros</t>
  </si>
  <si>
    <t>Detalle sobre este Informe</t>
  </si>
  <si>
    <t>¿Estos estados financieros presentan información reexpresada?</t>
  </si>
  <si>
    <t>Periodo para el cual se presenta información reexpresada</t>
  </si>
  <si>
    <t>1 - Pesos</t>
  </si>
  <si>
    <t>2 - Miles de pesos</t>
  </si>
  <si>
    <t>3 - Millones de pesos</t>
  </si>
  <si>
    <t>4 - Pesos redondeada a miles</t>
  </si>
  <si>
    <t>1. Si</t>
  </si>
  <si>
    <t>2. No</t>
  </si>
  <si>
    <t>1. Reexpresión del patrimonio al inicio del periodo actual (Del patrimonio del periodo anterior)</t>
  </si>
  <si>
    <t>2. Reexpresión del patrimonio al inicio del periodo anterior (Del patrimonio de dos periodos atrás)</t>
  </si>
  <si>
    <t>3. Reexpresión del patrimonio al inicio de los periodos actual y anterior (Del patrimonio del periodo anterior y de dos periodos atrás)</t>
  </si>
  <si>
    <t>[210000] Estado de situación financiera (corriente/no corriente) - Individual</t>
  </si>
  <si>
    <t>Total [miembro]</t>
  </si>
  <si>
    <t>Acueducto [miembro]</t>
  </si>
  <si>
    <t>Alcantarillado [miembro]</t>
  </si>
  <si>
    <t>Aseo [miembro]</t>
  </si>
  <si>
    <t>Energía Eléctrica [miembro]</t>
  </si>
  <si>
    <t>Gas combustible por redes [miembro]</t>
  </si>
  <si>
    <t>Gas Licuado de Petróleo [miembro]</t>
  </si>
  <si>
    <t>Otras actividades no vigiladas por la SSPD [miembro]</t>
  </si>
  <si>
    <t>Operador del sistema y Administrador del mercado de energia (XM) [miembro]</t>
  </si>
  <si>
    <t>Estado de Situación Financiera por Servicio [partidas]</t>
  </si>
  <si>
    <t>Activos [resumen]</t>
  </si>
  <si>
    <t>Activos corrientes [resumen]</t>
  </si>
  <si>
    <t>Efectivo y equivalentes al efectivo</t>
  </si>
  <si>
    <t>Efectivo y equivalentes al efectivo de uso restringido corriente</t>
  </si>
  <si>
    <t>Cuentas comerciales por cobrar y otras cuentas por cobrar corrientes [Resumen]</t>
  </si>
  <si>
    <t>Cuentas comerciales por cobrar por prestación de servicios públicos corrientes [Resumen]</t>
  </si>
  <si>
    <t>Cuentas comerciales por cobrar corrientes por prestación de servicios públicos corrientes (Sin incluir subsidios ni actividades de aprovechamiento)</t>
  </si>
  <si>
    <t>Cuentas comerciales por cobrar por subsidios corrientes</t>
  </si>
  <si>
    <t>Cuentas comerciales por cobrar corrientes del servicio público al Ministerio de Minas por concepto de subsidios</t>
  </si>
  <si>
    <t>Cuentas comerciales por cobrar por actividad de aprovechamiento corrientes</t>
  </si>
  <si>
    <t>Total cuentas comerciales por cobrar por prestación de servicios públicos corrientes</t>
  </si>
  <si>
    <t>Cuentas comerciales por cobrar por venta de bienes corrientes</t>
  </si>
  <si>
    <t>Cuentas por cobrar partes relacionadas y asociadas corrientes</t>
  </si>
  <si>
    <t>Otras cuentas por cobrar corrientes</t>
  </si>
  <si>
    <t>Total cuentas comerciales por cobrar y otras cuentas por cobrar corrientes</t>
  </si>
  <si>
    <t>Inventarios corrientes</t>
  </si>
  <si>
    <t>Activos por impuestos corrientes</t>
  </si>
  <si>
    <t>Activos biológicos corrientes</t>
  </si>
  <si>
    <t>Otros activos financieros corrientes</t>
  </si>
  <si>
    <t>Otros activos no financieros corrientes</t>
  </si>
  <si>
    <t>Activos corrientes distintos al efectivo pignorados como garantía colateral para las que el receptor de transferencias tiene derecho por contrato o costumbre a vender o pignorar de nuevo dicha garantía colateral</t>
  </si>
  <si>
    <t>Total activos corrientes distintos de los activos no corrientes o grupo de activos para su disposición clasificados como mantenidos para la venta o como mantenidos para distribuir a los propietarios</t>
  </si>
  <si>
    <t>Activos no corrientes o grupos de activos para su disposición clasificados como mantenidos para la venta</t>
  </si>
  <si>
    <t>Activos no corrientes o grupos de activos para su disposición clasificados como mantenidos para distribuir a los propietarios</t>
  </si>
  <si>
    <t>Total de activos corrientes</t>
  </si>
  <si>
    <t>Activos no corrientes [resumen]</t>
  </si>
  <si>
    <t>Efectivo y equivalentes al efectivo de uso restringido</t>
  </si>
  <si>
    <t>Propiedades, planta y equipo</t>
  </si>
  <si>
    <t>Propiedad de inversión</t>
  </si>
  <si>
    <t>Plusvalía</t>
  </si>
  <si>
    <t>Activos intangibles distintos de la plusvalía</t>
  </si>
  <si>
    <t>Inversiones contabilizadas utilizando el método de la participación</t>
  </si>
  <si>
    <t>Inversiones en asociadas presentadas en estados financieros separados</t>
  </si>
  <si>
    <t>Inversiones en subsidiarias presentadas en estados financieros separados</t>
  </si>
  <si>
    <t>Inversiones en negocios conjuntos presentadas en estados financieros separados</t>
  </si>
  <si>
    <t>Activos biológicos no corrientes</t>
  </si>
  <si>
    <t>Cuentas comerciales por cobrar y otras cuentas por cobrar no corrientes [Resumen]</t>
  </si>
  <si>
    <t>Cuentas comerciales por cobrar por prestación de servicios públicos no corrientes [Resumen]</t>
  </si>
  <si>
    <t>Cuentas comerciales por cobrar no corrientes por prestación de servicios públicos corrientes (Sin incluir subsidios ni actividades de aprovechamiento)</t>
  </si>
  <si>
    <t>Cuentas comerciales por cobrar por subsidios no corrientes</t>
  </si>
  <si>
    <t>Cuentas comerciales por cobrar no corrientes del servicio público al Ministerio de Minas por concepto de subsidios</t>
  </si>
  <si>
    <t>Cuentas comerciales por cobrar por actividad de aprovechamiento no corrientes</t>
  </si>
  <si>
    <t>Total cuentas comerciales por cobrar por prestación de servicios públicos no corrientes</t>
  </si>
  <si>
    <t>Cuentas comerciales por cobrar por venta de bienes no corrientes</t>
  </si>
  <si>
    <t>Cuentas por cobrar partes relacionadas y asociadas no corrientes</t>
  </si>
  <si>
    <t>Otras cuentas comerciales por cobrar no corrientes</t>
  </si>
  <si>
    <t>Total cuentas comerciales por cobrar y otras cuentas por cobrar no corrientes</t>
  </si>
  <si>
    <t>Inventarios no corrientes</t>
  </si>
  <si>
    <t>Activos por impuestos diferidos</t>
  </si>
  <si>
    <t>Activos por impuestos corrientes, no corriente</t>
  </si>
  <si>
    <t>Otros activos financieros no corrientes</t>
  </si>
  <si>
    <t>Otros activos no financieros no corrientes</t>
  </si>
  <si>
    <t>Activos no corrientes distintos al efectivo pignorados como garantía colateral para las que el receptor de transferencias tiene derecho por contrato o costumbre a vender o pignorar de nuevo la garantía colateral</t>
  </si>
  <si>
    <t>Total de activos no corrientes</t>
  </si>
  <si>
    <t>Total de activos</t>
  </si>
  <si>
    <t>Patrimonio y pasivos [resumen]</t>
  </si>
  <si>
    <t>Pasivos [resumen]</t>
  </si>
  <si>
    <t>Pasivos corrientes [resumen]</t>
  </si>
  <si>
    <t>Provisiones corrientes [resumen]</t>
  </si>
  <si>
    <t>Provisiones corrientes por beneficios a los empleados</t>
  </si>
  <si>
    <t>Otras provisiones corrientes</t>
  </si>
  <si>
    <t>Total provisiones corrientes</t>
  </si>
  <si>
    <t>Cuentas por pagar comerciales y otras cuentas por pagar corrientes [Resumen]</t>
  </si>
  <si>
    <t>Cuentas comerciales por pagar por adquisición de servicios corrientes</t>
  </si>
  <si>
    <t>Cuentas comerciales por pagar por adquisición de bienes corrientes</t>
  </si>
  <si>
    <t>Cuentas por pagar partes relacionadas y asociadas corrientes</t>
  </si>
  <si>
    <t>Otras cuentas comerciales por pagar corrientes</t>
  </si>
  <si>
    <t>Total cuentas comerciales por pagar y otras cuentas por pagar corrientes</t>
  </si>
  <si>
    <t>Pasivos por impuestos corrientes, corriente</t>
  </si>
  <si>
    <t>Obligaciones financieras corrientes</t>
  </si>
  <si>
    <t>Otros pasivos financieros corrientes</t>
  </si>
  <si>
    <t>Otros pasivos no financieros corrientes</t>
  </si>
  <si>
    <t>Total de pasivos corrientes distintos de los pasivos incluidos en grupos de activos para su disposición clasificados como mantenidos para la venta</t>
  </si>
  <si>
    <t>Pasivos incluidos en grupos de activos para su disposición clasificados como mantenidos para la venta</t>
  </si>
  <si>
    <t>Total pasivos corrientes</t>
  </si>
  <si>
    <t>Pasivos no corrientes [resumen]</t>
  </si>
  <si>
    <t>Provisiones no corrientes [resumen]</t>
  </si>
  <si>
    <t>Provisiones no corrientes por beneficios a los empleados</t>
  </si>
  <si>
    <t>Otras provisiones no corrientes</t>
  </si>
  <si>
    <t>Total provisiones no corrientes</t>
  </si>
  <si>
    <t>Cuentas por pagar comerciales y otras cuentas por pagar no corrientes [Resumen]</t>
  </si>
  <si>
    <t>Cuentas comerciales por pagar por adquisición de servicios no corrientes</t>
  </si>
  <si>
    <t>Cuentas comerciales por pagar por adquisición de bienes no corrientes</t>
  </si>
  <si>
    <t>Cuentas por pagar partes relacionadas y asociadas no corrientes</t>
  </si>
  <si>
    <t>Otras cuentas comerciales por pagar no corrientes</t>
  </si>
  <si>
    <t>Total cuentas comerciales por pagar y otras cuentas por pagar no corrientes</t>
  </si>
  <si>
    <t>Pasivo por impuestos diferidos</t>
  </si>
  <si>
    <t>Pasivos por impuestos corrientes, no corriente</t>
  </si>
  <si>
    <t>Obligaciones financieras no corrientes</t>
  </si>
  <si>
    <t>Otros pasivos financieros no corrientes</t>
  </si>
  <si>
    <t>Otros pasivos no financieros no corrientes</t>
  </si>
  <si>
    <t>Total pasivos no corrientes</t>
  </si>
  <si>
    <t>Total pasivos</t>
  </si>
  <si>
    <t>Patrimonio [resumen]</t>
  </si>
  <si>
    <t>Capital emitido</t>
  </si>
  <si>
    <t>Inversión suplementaria al capital asignado</t>
  </si>
  <si>
    <t>Acciones propias en cartera</t>
  </si>
  <si>
    <t>Prima de emisión</t>
  </si>
  <si>
    <t>Ganancias acumuladas</t>
  </si>
  <si>
    <t>Efectos por adopción NIF</t>
  </si>
  <si>
    <t>Otras participaciones en el patrimonio (No ORI)</t>
  </si>
  <si>
    <t>Reserva legal</t>
  </si>
  <si>
    <t>Otras reservas</t>
  </si>
  <si>
    <t>Otras partidas patrimoniales (ORI)</t>
  </si>
  <si>
    <t>Total patrimonio</t>
  </si>
  <si>
    <t>Total patrimonio y pasivos</t>
  </si>
  <si>
    <t>Periodo Anterior</t>
  </si>
  <si>
    <t>[310000] Estado de Resultados Integral, resultado del periodo, por función del gasto - Individual</t>
  </si>
  <si>
    <t>Estado de Resultados Integral por Servicio [partidas]</t>
  </si>
  <si>
    <t>Ganancia (pérdida) [resumen]</t>
  </si>
  <si>
    <t>Ingresos de actividades ordinarias</t>
  </si>
  <si>
    <t>Costo de ventas</t>
  </si>
  <si>
    <t>Ganancia bruta</t>
  </si>
  <si>
    <t>Otros ingresos</t>
  </si>
  <si>
    <t>Gastos de administración</t>
  </si>
  <si>
    <t>Otros gastos</t>
  </si>
  <si>
    <t>Otras ganancias (pérdidas)</t>
  </si>
  <si>
    <t>Ganancia (pérdida) por actividades de operación</t>
  </si>
  <si>
    <t>Diferencia entre el importe en libros de dividendos pagaderos e importe en libros de activos distribuidos distintos al efectivo</t>
  </si>
  <si>
    <t>Ganancias (pérdidas) derivadas de la posición monetaria neta</t>
  </si>
  <si>
    <t>Ganancias (pérdidas) que surgen de la baja en cuentas de activos financieros medidos al costo amortizado</t>
  </si>
  <si>
    <t>Ingresos financieros</t>
  </si>
  <si>
    <t>Costos financieros</t>
  </si>
  <si>
    <t>Deterioro de valor de ganancias y reversión de pérdidas por deterioro de valor (pérdidas por deterioro de valor) determinado de acuerdo con la NIIF 9</t>
  </si>
  <si>
    <t>Participación en las ganancias (pérdidas) de asociadas y negocios conjuntos que se contabilicen utilizando el método de la participación</t>
  </si>
  <si>
    <t>Otros ingresos (gastos) procedentes de subsidiarias, entidades controladas de forma conjunta y asociadas</t>
  </si>
  <si>
    <t>Ganancias (pérdidas) que surgen de diferencias entre importes en libros anteriores y el valor razonable de activos financieros reclasificados como medidos al valor razonable</t>
  </si>
  <si>
    <t>Ganancia (pérdida) acumulada anteriormente reconocida en otro resultado integral que surge de la reclasificación de activos financieros de la categoría de medición de valor razonable con cambios en otro resultado integral a la de valor razonable con cambios en resultados</t>
  </si>
  <si>
    <t>Ganancias (pérdidas) de cobertura por cobertura de un grupo de partidas con posiciones de riesgo compensadoras</t>
  </si>
  <si>
    <t>Ganancia (pérdida), antes de impuestos</t>
  </si>
  <si>
    <t>Gasto (ingreso) por impuesto a las ganancias corriente</t>
  </si>
  <si>
    <t>Gasto (ingreso) por impuesto a las ganancias diferido</t>
  </si>
  <si>
    <t>Ganancia (pérdida) procedente de operaciones continuadas</t>
  </si>
  <si>
    <t>Ganancia (pérdida) procedente de operaciones discontinuadas</t>
  </si>
  <si>
    <t>Ganancia (pérdida)</t>
  </si>
  <si>
    <t>Ganancias por acción [resumen]</t>
  </si>
  <si>
    <t>Ganancia por acción básica [resumen]</t>
  </si>
  <si>
    <t>Ganancia (pérdida) por acción básica en operaciones continuadas</t>
  </si>
  <si>
    <t>Ganancia (pérdida) por acción básica en operaciones discontinuadas</t>
  </si>
  <si>
    <t>Total ganancias (pérdidas) básicas por acción</t>
  </si>
  <si>
    <t>Ganancias por acción diluidas [resumen]</t>
  </si>
  <si>
    <t>Ganancias (pérdida) diluida por acción procedente de operaciones continuadas</t>
  </si>
  <si>
    <t>Ganancias (pérdida) diluida por acción procedentes de operaciones discontinuadas</t>
  </si>
  <si>
    <t>Total ganancias (pérdidas) por acción diluidas</t>
  </si>
  <si>
    <t>[420000] Estado de Resultados Integral, componentes ORI presentados antes de impuestos - Individual</t>
  </si>
  <si>
    <t>Estado del resultado integral [resumen]</t>
  </si>
  <si>
    <t>Otro resultado integral [resumen]</t>
  </si>
  <si>
    <t>Componentes de otro resultado integral que no se reclasificarán al resultado del periodo, antes de impuestos [resumen]</t>
  </si>
  <si>
    <t>Otro resultado integral, antes de impuestos, ganancias (pérdidas) de inversiones en instrumentos de patrimonio</t>
  </si>
  <si>
    <t>Otro resultado integral, antes de impuestos, ganancias (pérdidas) por nueva evaluación de las propiedades, planta y equipo, activos por derecho de uso y activos intangibles</t>
  </si>
  <si>
    <t>Otro resultado integral, antes de impuestos, ganancias (pérdidas) por nuevas mediciones de planes de beneficios definidos</t>
  </si>
  <si>
    <t>Otro resultado integral, antes de impuestos, diferencias de cambio en la conversión, distinto de la conversión de negocios en el extranjero</t>
  </si>
  <si>
    <t>Otro resultado integral, antes de impuestos, cambio en el valor razonable de pasivos financieros atribuible a cambios en el riesgo crediticio del pasivo</t>
  </si>
  <si>
    <t>Otro resultado integral, antes de impuestos, ganancias (pérdidas) por instrumentos de cobertura que cubren inversiones en instrumentos de patrimonio</t>
  </si>
  <si>
    <t>Otro resultado integral, antes de impuestos, ingresos (gastos) financieros por contratos de seguro emitidos excluidos del resultado del periodo que no se reclasificará al resultado del periodo</t>
  </si>
  <si>
    <t>Participación de otro resultado integral de asociadas y negocios conjuntos contabilizados utilizando el método de la participación que no se reclasificará al resultado del periodo, antes de impuestos</t>
  </si>
  <si>
    <t>Total otro resultado integral que no se reclasificará al resultado del periodo, antes de impuestos</t>
  </si>
  <si>
    <t>Componentes de otro resultado integral que se reclasificarán al resultado del periodo, antes de impuestos [resumen]</t>
  </si>
  <si>
    <t>Diferencias de cambio por conversión [resumen]</t>
  </si>
  <si>
    <t>Ganancias (pérdidas) por diferencias de cambio en la conversión de negocios en el extranjero, antes de impuestos</t>
  </si>
  <si>
    <t>Ajustes de reclasificación por diferencias de cambio en la conversión de negocios en el extranjero, antes de impuestos</t>
  </si>
  <si>
    <t>Otro resultado integral, antes de impuestos, diferencias de cambio en la conversión de negocios en el extranjero</t>
  </si>
  <si>
    <t>Activos financieros disponibles para la venta [resumen]</t>
  </si>
  <si>
    <t>Ganancias (pérdidas) por nuevas mediciones de activos financieros disponibles para la venta, antes de impuestos</t>
  </si>
  <si>
    <t>Ajustes de reclasificación, activos financieros disponibles para la venta, antes de impuestos</t>
  </si>
  <si>
    <t>Otro resultado integral antes de impuestos, activos financieros disponibles para la venta</t>
  </si>
  <si>
    <t>Coberturas del flujo de efectivo [resumen]</t>
  </si>
  <si>
    <t>Ganancias (pérdidas) por coberturas de flujos de efectivo, antes de impuestos</t>
  </si>
  <si>
    <t>Ajustes de reclasificación en coberturas de flujos de efectivo, antes de impuestos</t>
  </si>
  <si>
    <t>Importes eliminados del patrimonio e incluidos en el importe en libros de activos (pasivos) no financieros que se hayan adquirido o incurrido mediante una transacción prevista altamente probable cubierta, antes de impuestos</t>
  </si>
  <si>
    <t>Otro resultado integral, antes de impuestos, coberturas del flujo de efectivo</t>
  </si>
  <si>
    <t>Coberturas de inversiones netas en negocios en el extranjero [resumen]</t>
  </si>
  <si>
    <t>Ganancias (pérdidas) por coberturas de inversiones netas en negocios en el extranjero, antes de impuestos</t>
  </si>
  <si>
    <t>Ajustes de reclasificación por coberturas de inversiones netas en negocios en el extranjero, antes de impuestos</t>
  </si>
  <si>
    <t>Otro resultado integral, antes de impuestos, coberturas de inversiones netas en negocios en el extranjero</t>
  </si>
  <si>
    <t>Costo de la cobertura [resumen]</t>
  </si>
  <si>
    <t>Cambio en el valor temporal del dinero de opciones [resumen]</t>
  </si>
  <si>
    <t>Ganancia (pérdida) por cambios en el valor temporal del dinero de opciones, antes de impuestos</t>
  </si>
  <si>
    <t>Ajustes de reclasificación por cambios en el valor temporal del dinero de opciones, antes de impuestos</t>
  </si>
  <si>
    <t>Otro resultado integral, antes de impuestos, cambios en el valor del valor temporal del dinero de opciones</t>
  </si>
  <si>
    <t>Cambios en el valor de los elementos a término de contratos a término [resumen]</t>
  </si>
  <si>
    <t>Ganancia (pérdida) por cambios en el valor de los elementos a término de contratos a término, antes de impuestos</t>
  </si>
  <si>
    <t>Ajustes de reclasificación por cambios en el valor de los elementos a término de contratos a término, antes de impuestos</t>
  </si>
  <si>
    <t>Otro resultado integral, antes de impuestos, cambios en el valor de los elementos a término de contratos a término</t>
  </si>
  <si>
    <t>Cambio en el valor de los diferenciales de tasa cambio de moneda extranjera [resumen]</t>
  </si>
  <si>
    <t>Ganancia (pérdida) por cambios en el valor de los diferenciales de la tasa de cambio de la moneda extranjera, antes de impuestos</t>
  </si>
  <si>
    <t>Ajustes de reclasificación por cambios en el valor de los diferenciales de la tasa de cambio de la moneda extranjera, antes de impuestos</t>
  </si>
  <si>
    <t>Otro resultado integral, antes de impuestos, cambios en el valor de los diferenciales de tasa de cambio de la moneda extranjera</t>
  </si>
  <si>
    <t>Activos financieros medidos al valor razonable con cambios en otro resultado integral [resumen]</t>
  </si>
  <si>
    <t>Ganancias (pérdidas) por activos financieros medidos al valor razonable con cambios en otro resultado integral, antes de impuestos</t>
  </si>
  <si>
    <t>Ajustes de reclasificación sobre activos financieros medidos al valor razonable con cambios en otro resultado integral, antes de impuestos</t>
  </si>
  <si>
    <t>Importes eliminados del patrimonio y ajustados contra el valor razonable de activos financieros en el momento de la reclasificación fuera de la categoría de medición de valor razonable con cambios en otro resultado integral, antes de impuestos</t>
  </si>
  <si>
    <t>Otro resultado integral, antes de Impuestos, activos financieros medidos al valor razonable con cambios en otro resultado integral</t>
  </si>
  <si>
    <t>Ingresos (gastos) financieros por contratos de seguro emitidos excluidos del resultado del periodo [resumen]</t>
  </si>
  <si>
    <t>Ingresos (gastos) financieros por contratos de seguro emitidos excluidos del resultado del periodo que se reclasificarán al resultado del periodo, antes de impuestos</t>
  </si>
  <si>
    <t>Ajustes de reclasificación sobre los ingresos (gastos) financieros por seguros de contratos de seguro emitidos excluidos del resultado del periodo, antes de impuestos</t>
  </si>
  <si>
    <t>Otro resultado integral, antes de impuestos, ingresos (gastos) financieros por contratos de seguro emitidos excluidos del resultado del periodo que se reclasificará al resultado del periodo</t>
  </si>
  <si>
    <t>Ingresos (gastos) financieros por contratos de reaseguro mantenidos excluidos del resultado del periodo [resumen]</t>
  </si>
  <si>
    <t>Ingresos (gastos) financieros por contratos de reaseguro mantenidos excluidos del resultado del periodo, antes de impuestos</t>
  </si>
  <si>
    <t>Ajustes de reclasificación sobre los ingresos (gastos) financieros por contratos de reaseguro mantenidos excluidos del resultado del periodo, antes de impuestos</t>
  </si>
  <si>
    <t>Otro resultado integral, antes de impuestos, ingresos (gastos) financieros por contratos de seguro mantenidos excluidos del resultado del periodo</t>
  </si>
  <si>
    <t>Participación de otro resultado integral de asociadas y negocios conjuntos contabilizados utilizando el método de la participación que se reclasificará al resultado del periodo, antes de impuestos</t>
  </si>
  <si>
    <t>Total otro resultado integral que se reclasificará al resultado del periodo, antes de impuestos</t>
  </si>
  <si>
    <t>Total otro resultado integral, antes de impuestos</t>
  </si>
  <si>
    <t>Impuestos a las ganancias relativos a componentes de otro resultado integral que no se reclasificará al resultado del periodo [resumen]</t>
  </si>
  <si>
    <t>Impuesto a las ganancias relacionado con inversiones en instrumentos de patrimonio incluido en otro resultado integral</t>
  </si>
  <si>
    <t>Impuesto a las ganancias relativo a las variaciones de las superávit de revaluación de propiedades, planta y equipo, de los activos por derecho de uso y de los activos intangibles incluidos en otro resultado integral</t>
  </si>
  <si>
    <t>Impuesto a las ganancias relacionado con nuevas mediciones de planes de beneficios definidos incluido en otro resultado integral</t>
  </si>
  <si>
    <t>Impuesto a las ganancias relacionado con diferencias de cambio en conversiones distintas de las procedentes de negocios en el extranjero incluidos en otro resultado integral</t>
  </si>
  <si>
    <t>Impuesto a las ganancias relacionado con cambios en el valor razonable de pasivos financieros atribuibles a cambios en el riesgo crediticio de pasivos incluido en otro resultado integral</t>
  </si>
  <si>
    <t>Impuesto a las ganancias relacionado con coberturas de inversiones en instrumentos de patrimonio incluido en otro resultado integral</t>
  </si>
  <si>
    <t>Impuesto a las ganancias relacionado con ingresos (gastos) financieros por seguros de contratos de seguro emitidos incluido en otro resultado integral que no se reclasificará al resultado del periodo</t>
  </si>
  <si>
    <t>Impuestos a las ganancias acumulados relativos a componentes de otro resultado integral que no se reclasificarán al resultado del periodo</t>
  </si>
  <si>
    <t>Impuestos a las ganancias relativos a la participación de otro resultado integral de asociadas y negocios conjuntos contabilizados utilizando el método de la participación que no se reclasificará al resultado del periodo</t>
  </si>
  <si>
    <t>Impuestos a las ganancias relativos a componentes de otro resultado integral que se reclasificará al resultado del periodo [resumen]</t>
  </si>
  <si>
    <t>Impuesto a las ganancias relacionado con diferencias de cambio en conversiones de negocios en el extranjero incluido en otro resultado integral</t>
  </si>
  <si>
    <t>Impuesto a las ganancias relacionado con activos financieros disponibles para la venta incluido en otro resultado integral</t>
  </si>
  <si>
    <t>Impuesto a las ganancias relacionado con coberturas de flujos de efectivo incluido en otro resultado integral</t>
  </si>
  <si>
    <t>Impuesto a las ganancias relacionado con coberturas de inversiones netas en negocios en el extranjero incluido en otro resultado integral</t>
  </si>
  <si>
    <t>Impuesto a las ganancias relacionado con cambios en el valor temporal del dinero de opciones incluidas en otro resultado integral</t>
  </si>
  <si>
    <t>Impuesto a las ganancias relacionado con cambios en el valor de los elementos a término de contratos a término incluido en otro resultado integral</t>
  </si>
  <si>
    <t>Impuesto a las ganancias relacionado con cambios en el valor de los diferenciales de tasa de cambio de la moneda extranjera incluido en otro resultado integral</t>
  </si>
  <si>
    <t>Impuesto a las ganancias relacionado con activos financieros medidos al valor razonable con cambios en otro resultado integral incluido en otro resultado integral</t>
  </si>
  <si>
    <t>Impuesto a las ganancias relacionado con ingresos (gastos) financieros por seguros de contratos de seguro emitidos incluido en otro resultado integral que se reclasificará al resultado del periodo</t>
  </si>
  <si>
    <t>Impuesto a las ganancias relacionado con ingresos (gastos) financieros por contratos de reaseguro mantenidos incluido en otro resultado integral</t>
  </si>
  <si>
    <t>Impuestos a las ganancias acumulados relativos a componentes de otro resultado integral que se reclasificarán al resultado del periodo</t>
  </si>
  <si>
    <t>Impuestos a las ganancias relativos a la participación de otro resultado integral de asociadas y negocios conjuntos contabilizados utilizando el método de la participación que se reclasificará al resultado del periodo</t>
  </si>
  <si>
    <t>Total otro resultado integral</t>
  </si>
  <si>
    <t>Resultado integral total</t>
  </si>
  <si>
    <t>[510000] Estado de flujos de efectivo, método directo - Individual</t>
  </si>
  <si>
    <t>Estado de Flujo de Efectivo por Servicio [partidas]</t>
  </si>
  <si>
    <t>Flujos de efectivo procedentes de (utilizados en) actividades de operación [resumen]</t>
  </si>
  <si>
    <t>Clases de cobros por actividades de operación [resumen]</t>
  </si>
  <si>
    <t>Cobros procedentes de las ventas de bienes y prestación de servicios</t>
  </si>
  <si>
    <t>Cobros procedentes de regalías, cuotas, comisiones y otros ingresos de actividades ordinarias</t>
  </si>
  <si>
    <t>Cobros derivados de contratos mantenidos para intermediación o para negociar con ellos</t>
  </si>
  <si>
    <t>Cobros procedentes de primas y prestaciones, anualidades y otros beneficios de pólizas suscritas</t>
  </si>
  <si>
    <t>Cobros por rentas y ventas posteriores de activos mantenidos para arrendar a terceros y posteriormente mantenidos para la venta</t>
  </si>
  <si>
    <t>Otros cobros por actividades de operación</t>
  </si>
  <si>
    <t>Clases de pagos en efectivo procedentes de actividades de operación [resumen]</t>
  </si>
  <si>
    <t>Pagos a proveedores por el suministro de bienes y servicios</t>
  </si>
  <si>
    <t>Pagos procedentes de contratos mantenidos para intermediación o para negociar</t>
  </si>
  <si>
    <t>Pagos a y por cuenta de los empleados</t>
  </si>
  <si>
    <t>Pagos por primas y prestaciones, anualidades y otras obligaciones derivadas de las pólizas suscritas</t>
  </si>
  <si>
    <t>Pagos por producir o adquirir activos mantenidos para arrendar a terceros y posteriormente mantenidos para la venta</t>
  </si>
  <si>
    <t>Otros pagos por actividades de operación</t>
  </si>
  <si>
    <t>Flujos de efectivo netos procedentes (utilizados en) operaciones</t>
  </si>
  <si>
    <t>Dividendos pagados</t>
  </si>
  <si>
    <t>Dividendos recibidos</t>
  </si>
  <si>
    <t>Intereses pagados</t>
  </si>
  <si>
    <t>Intereses recibidos</t>
  </si>
  <si>
    <t>Impuestos a las ganancias reembolsados (pagados)</t>
  </si>
  <si>
    <t>Otras entradas (salidas) de efectivo</t>
  </si>
  <si>
    <t>Flujos de efectivo netos procedentes de (utilizados en) actividades de operación</t>
  </si>
  <si>
    <t>Flujos de efectivo procedentes de (utilizados en) actividades de inversión [resumen]</t>
  </si>
  <si>
    <t>Flujos de efectivo procedentes de la pérdida de control de subsidiarias u otros negocios</t>
  </si>
  <si>
    <t>Flujos de efectivo utilizados para obtener el control de subsidiarias u otros negocios</t>
  </si>
  <si>
    <t>Otros cobros por la venta de patrimonio o instrumentos de deuda de otras entidades</t>
  </si>
  <si>
    <t>Otros pagos para adquirir patrimonio o instrumentos de deuda de otras entidades</t>
  </si>
  <si>
    <t>Otros cobros por la venta de participaciones en negocios conjuntos</t>
  </si>
  <si>
    <t>Otros pagos para adquirir participaciones en negocios conjuntos</t>
  </si>
  <si>
    <t>Importes procedentes de la venta de propiedades, planta y equipo</t>
  </si>
  <si>
    <t>Compras de propiedades, planta y equipo</t>
  </si>
  <si>
    <t>Importes procedentes de ventas de activos intangibles</t>
  </si>
  <si>
    <t>Compras de activos intangibles</t>
  </si>
  <si>
    <t>Recursos por ventas de otros activos a largo plazo</t>
  </si>
  <si>
    <t>Compras de otros activos a largo plazo</t>
  </si>
  <si>
    <t>Importes procedentes de subvenciones del gobierno</t>
  </si>
  <si>
    <t>Anticipos de efectivo y préstamos concedidos a terceros</t>
  </si>
  <si>
    <t>Cobros procedentes del reembolso de anticipos y préstamos concedidos a terceros</t>
  </si>
  <si>
    <t>Pagos en efectivo por contratos de futuros, contratos a término, contratos de opciones y contratos de permuta financiera</t>
  </si>
  <si>
    <t>Cobros procedentes de contratos de futuro, a término, de opciones y de permuta financiera</t>
  </si>
  <si>
    <t>Flujos de efectivo netos procedentes de (utilizados en) actividades de inversión</t>
  </si>
  <si>
    <t>Flujos de efectivo procedentes de (utilizados en) actividades de financiación [resumen]</t>
  </si>
  <si>
    <t>Recursos por cambios en las participaciones en la propiedad en subsidiarias que no dan lugar a la pérdida de control</t>
  </si>
  <si>
    <t>Pagos por cambios en las participaciones en la propiedad en subsidiarias que no dan lugar a la pérdida de control</t>
  </si>
  <si>
    <t>Importes procedentes de la emisión de acciones</t>
  </si>
  <si>
    <t>Importes procedentes de la emisión de otros instrumentos de patrimonio</t>
  </si>
  <si>
    <t>Pagos por adquirir o rescatar las acciones de la entidad</t>
  </si>
  <si>
    <t>Pagos por otras participaciones en el patrimonio</t>
  </si>
  <si>
    <t>Importes procedentes de préstamos</t>
  </si>
  <si>
    <t>Reembolsos de préstamos</t>
  </si>
  <si>
    <t>Pagos de pasivos por arrendamiento</t>
  </si>
  <si>
    <t>Flujos de efectivo netos procedentes de (utilizados en) actividades de financiación</t>
  </si>
  <si>
    <t>Incremento (disminución) neto de efectivo y equivalentes al efectivo, antes del efecto de los cambios en la tasa de cambio</t>
  </si>
  <si>
    <t>Efectos de la variación en la tasa de cambio sobre el efectivo y equivalentes al efectivo [resumen]</t>
  </si>
  <si>
    <t>Efectos de la variación en la tasa de cambio sobre el efectivo y equivalentes al efectivo</t>
  </si>
  <si>
    <t>Incremento (disminución) neto del efectivo y equivalentes de efectivo después del efecto de los cambios en la tasa de cambio</t>
  </si>
  <si>
    <t>Efectivo y equivalentes al efectivo al principio del periodo</t>
  </si>
  <si>
    <t>Efectivo y equivalentes al efectivo al final del periodo</t>
  </si>
  <si>
    <t>[610000] Estado de cambios en el patrimonio - Individual</t>
  </si>
  <si>
    <t>Patrimonio [miembro]</t>
  </si>
  <si>
    <t>Capital emitido [miembro]</t>
  </si>
  <si>
    <t>Acciones propias en cartera [miembro]</t>
  </si>
  <si>
    <t>Prima de emisión [miembro]</t>
  </si>
  <si>
    <t>Ganancias acumuladas [miembro]</t>
  </si>
  <si>
    <t>Total otras reservas [miembro]</t>
  </si>
  <si>
    <t>Reserva legal [miembro]</t>
  </si>
  <si>
    <t>Reserva para catástrofes [miembro]</t>
  </si>
  <si>
    <t>Reserva para estabilización [miembro]</t>
  </si>
  <si>
    <t>Reserva de componentes de participación discrecional [miembro]</t>
  </si>
  <si>
    <t>Reserva de pagos basados en acciones [miembro]</t>
  </si>
  <si>
    <t>Otras reservas [miembro]</t>
  </si>
  <si>
    <t>Otras partidas patrimoniales [miembro]</t>
  </si>
  <si>
    <t>Reserva de ganancias y pérdidas por inversiones en instrumentos de patrimonio [miembro]</t>
  </si>
  <si>
    <t>Importes reconocidos en otro resultado integral y acumulados en el patrimonio relativos a activos no corrientes o grupos de activos para su disposición mantenidos para la venta [miembro]</t>
  </si>
  <si>
    <t>Superávit de revaluación [miembro]</t>
  </si>
  <si>
    <t>Reserva de nuevas mediciones de planes de beneficios definidos [miembro]</t>
  </si>
  <si>
    <t>Reserva para cambios en el valor razonable de pasivos financieros atribuibles a cambios en el riesgo crediticio del pasivo [miembro]</t>
  </si>
  <si>
    <t>Reserva de ganancias y pérdidas sobre instrumentos de cobertura que cubren inversiones en instrumentos de patrimonio [miembro]</t>
  </si>
  <si>
    <t>Reserva de diferencias de cambio en conversiones [miembro]</t>
  </si>
  <si>
    <t>Participación de otro resultado integral de asociadas y negocios conjuntos contabilizados utilizando el método de la participación [miembro]</t>
  </si>
  <si>
    <t>Reserva de ganancias y pérdidas en nuevas mediciones de activos financieros disponibles para la venta [miembro]</t>
  </si>
  <si>
    <t>Reserva de coberturas de flujo de efectivo [miembro]</t>
  </si>
  <si>
    <t>Reserva de coberturas de inversiones netas en negocios en el extranjero [miembro]</t>
  </si>
  <si>
    <t>Reserva por cambios en el valor temporal del dinero de opciones [miembro]</t>
  </si>
  <si>
    <t>Reserva por cambios en el valor de los elementos a término de contratos a término [miembro]</t>
  </si>
  <si>
    <t>Reserva por cambios en el valor de los diferenciales de la tasa de cambio de la moneda extranjera [miembro]</t>
  </si>
  <si>
    <t>Reserva de ingresos (gastos) financieros por contratos de reaseguro mantenidos, excluidos del resultado del periodo [miembro]</t>
  </si>
  <si>
    <t>Reserva de ingresos (gastos) financieros por contratos de seguro emitidos excluidos del resultado del periodo que no se reclasificará al resultado del periodo [miembro]</t>
  </si>
  <si>
    <t>Reversión de ganancias y pérdidas sobre activos financieros medidos al valor razonable con cambios en otro resultado integral [miembro]</t>
  </si>
  <si>
    <t>Otras participaciones en el patrimonio (No ORI) [miembro]</t>
  </si>
  <si>
    <t>Estado de cambios en el patrimonio [partidas]</t>
  </si>
  <si>
    <t>Patrimonio al comienzo del periodo</t>
  </si>
  <si>
    <t>Incremento (disminución) por cambios en políticas contables</t>
  </si>
  <si>
    <t>Incremento (disminución) por correcciones de errores de periodos anteriores</t>
  </si>
  <si>
    <t>Patrimonio al comienzo del periodo incluyendo reexpresión. (Si la hubo).</t>
  </si>
  <si>
    <t>Cambios en el patrimonio [resumen]</t>
  </si>
  <si>
    <t>Resultado integral [resumen]</t>
  </si>
  <si>
    <t>Otro resultado integral</t>
  </si>
  <si>
    <t>Emisión de patrimonio</t>
  </si>
  <si>
    <t>Dividendos reconocidos como distribuciones a los propietarios</t>
  </si>
  <si>
    <t>Incrementos por otras aportaciones de los propietarios, patrimonio</t>
  </si>
  <si>
    <t>Disminución por otras distribuciones a los propietarios, patrimonio</t>
  </si>
  <si>
    <t>Incrementos (disminuciones) por otros cambios, patrimonio</t>
  </si>
  <si>
    <t>Incrementos (disminuciones) por transacciones con acciones propias, patrimonio</t>
  </si>
  <si>
    <t>Incrementos (disminuciones) por cambios las participaciones en la propiedad de subsidiarias que no dan lugar a pérdida de control, patrimonio</t>
  </si>
  <si>
    <t>Incrementos (disminuciones) por transacciones con pagos basados en acciones, patrimonio</t>
  </si>
  <si>
    <t>Importe eliminado de reservas de coberturas de flujos de efectivo e incluido en el costo inicial u otro importe en libros de activos (pasivos) no financieros o compromisos en firme para los que se aplica la contabilidad de coberturas del valor razonable</t>
  </si>
  <si>
    <t>Importe eliminado de reservas de cambios en el valor temporal del dinero de opciones e incluido en el costo inicial u otro importe en libros de activos (pasivos) no financieros o compromisos en firme para los que se aplica la contabilidad de coberturas del valor razonable</t>
  </si>
  <si>
    <t>Importe eliminado de reservas de cambios en el valor de los elementos a término de contratos a término e incluido en el costo inicial u otro importe en libros de activos (pasivos) no financieros o compromisos en firme para los que se aplica la contabilidad de coberturas del valor razonable</t>
  </si>
  <si>
    <t>Importe eliminado de reservas de cambios en el valor de los diferenciales de tasa cambio de moneda extranjera e incluido en el costo inicial u otro importe en libros de activos (pasivos) no financieros o compromisos en firme para los que se aplica la contabilidad de coberturas del valor razonable</t>
  </si>
  <si>
    <t>Total incremento (disminución) en el patrimonio</t>
  </si>
  <si>
    <t>Patrimonio al final del periodo</t>
  </si>
  <si>
    <t>[800100] Notas - Subclasificaciones de activos, pasivos y patrimonios</t>
  </si>
  <si>
    <t>Subclasificaciones de activos, pasivos y patrimonios [resumen]</t>
  </si>
  <si>
    <t>Inversiones en subsidiarias, negocios conjuntos y asociadas presentadas en los estados financieros separados [resumen]</t>
  </si>
  <si>
    <t>Total de inversiones en subsidiarias, negocios conjuntos y asociadas en los estados financieros separados</t>
  </si>
  <si>
    <t>Efectivo y equivalentes al efectivo [resumen]</t>
  </si>
  <si>
    <t>Efectivo [resumen]</t>
  </si>
  <si>
    <t>Efectivo en caja</t>
  </si>
  <si>
    <t>Saldos en bancos</t>
  </si>
  <si>
    <t>Total efectivo</t>
  </si>
  <si>
    <t>Equivalentes al efectivo [resumen]</t>
  </si>
  <si>
    <t>Depósitos a corto plazo, clasificados como equivalentes al efectivo</t>
  </si>
  <si>
    <t>Inversiones a corto plazo, clasificados como equivalentes al efectivo</t>
  </si>
  <si>
    <t>Otros acuerdos bancarios, clasificados como equivalentes al efectivo</t>
  </si>
  <si>
    <t>Total equivalentes al efectivo</t>
  </si>
  <si>
    <t>Otro efectivo y equivalentes al efectivo</t>
  </si>
  <si>
    <t>Total de efectivo y equivalentes al efectivo</t>
  </si>
  <si>
    <t>Préstamos tomados [resumen]</t>
  </si>
  <si>
    <t>Parte no corriente de préstamos no corrientes</t>
  </si>
  <si>
    <t>Préstamos corrientes y parte corriente de préstamos no corrientes [resumen]</t>
  </si>
  <si>
    <t>Préstamos corrientes</t>
  </si>
  <si>
    <t>Parte corriente de préstamos no corrientes</t>
  </si>
  <si>
    <t>Total préstamos corrientes y parte corriente de préstamos no corrientes</t>
  </si>
  <si>
    <t>Total préstamos</t>
  </si>
  <si>
    <t>[800500] Notas - Lista de Notas</t>
  </si>
  <si>
    <t>Información a revelar sobre notas y otra información explicativa [bloque de texto]</t>
  </si>
  <si>
    <t>Información a revelar sobre juicios y estimaciones contables [bloque de texto]</t>
  </si>
  <si>
    <t>Información a revelar sobre gastos acumulados (devengados) y otros pasivos [bloque de texto]</t>
  </si>
  <si>
    <t>Información a revelar sobre correcciones de valor por pérdidas crediticias [bloque de texto]</t>
  </si>
  <si>
    <t>Información a revelar sobre asociadas [bloque de texto]</t>
  </si>
  <si>
    <t>Información a revelar sobre remuneración de los auditores [bloque de texto]</t>
  </si>
  <si>
    <t>Información a revelar sobre la autorización de los estados financieros [bloque de texto]</t>
  </si>
  <si>
    <t>información a revelar sobre activos financieros disponibles para la venta [bloque de texto]</t>
  </si>
  <si>
    <t>Información a revelar sobre criterios de consolidación [bloque de texto]</t>
  </si>
  <si>
    <t>Información a revelar sobre criterios de elaboración de los estados financieros [bloque de texto]</t>
  </si>
  <si>
    <t>Información a revelar sobre préstamos [bloque de texto]</t>
  </si>
  <si>
    <t>Información a revelar sobre combinaciones de negocios [bloque de texto]</t>
  </si>
  <si>
    <t>Información a revelar sobre saldos bancarios y de efectivo en bancos centrales [bloque de texto]</t>
  </si>
  <si>
    <t>Información a revelar sobre efectivo y equivalentes al efectivo [bloque de texto]</t>
  </si>
  <si>
    <t>Información a revelar sobre el estado de flujos de efectivo [bloque de texto]</t>
  </si>
  <si>
    <t>Información a revelar sobre cambios en políticas contables, estimaciones contables y errores [bloque de texto]</t>
  </si>
  <si>
    <t>Información a revelar sobre garantías colaterales [bloque de texto]</t>
  </si>
  <si>
    <t>Información a revelar sobre reclamaciones y beneficios pagados [bloque de texto]</t>
  </si>
  <si>
    <t>Información a revelar sobre compromisos y pasivos contingentes [bloque de texto]</t>
  </si>
  <si>
    <t>Información a revelar sobre costos de ventas [bloque de texto]</t>
  </si>
  <si>
    <t>Información a revelar sobre riesgo crediticio [bloque de texto]</t>
  </si>
  <si>
    <t>Información a revelar sobre instrumentos de deuda [bloque de texto]</t>
  </si>
  <si>
    <t>Información a revelar sobre costos de adquisición diferidos que surgen de contratos de seguro [bloque de texto]</t>
  </si>
  <si>
    <t>Información a revelar sobre ingresos diferidos [bloque de texto]</t>
  </si>
  <si>
    <t>Información a revelar sobre impuestos diferidos [bloque de texto]</t>
  </si>
  <si>
    <t>Información a revelar sobre depósitos de bancos [bloque de texto]</t>
  </si>
  <si>
    <t>Información a revelar sobre depósitos de clientes [bloque de texto]</t>
  </si>
  <si>
    <t>Información a revelar sobre gastos por depreciación y amortización [bloque de texto]</t>
  </si>
  <si>
    <t>Información a revelar sobre instrumentos financieros derivados [bloque de texto]</t>
  </si>
  <si>
    <t>Información a revelar sobre operaciones discontinuadas [bloque de texto]</t>
  </si>
  <si>
    <t>Información a revelar sobre dividendos [bloque de texto]</t>
  </si>
  <si>
    <t>Información a revelar sobre ganancias por acción [bloque de texto]</t>
  </si>
  <si>
    <t>Información a revelar sobre el efecto de las variaciones en las tasas de cambio de la moneda extranjera [bloque de texto]</t>
  </si>
  <si>
    <t>Información a revelar sobre beneficios a los empleados [bloque de texto]</t>
  </si>
  <si>
    <t>Información a revelar sobre los segmentos de operación de la entidad [bloque de texto]</t>
  </si>
  <si>
    <t>Información a revelar sobre hechos ocurridos después del periodo sobre el que se informa [bloque de texto]</t>
  </si>
  <si>
    <t>Descripción de la naturaleza de hechos ocurridos después del periodo sobre el que se informa que no implican ajuste</t>
  </si>
  <si>
    <t>Explicación del efecto financiero de hechos ocurridos después del periodo sobre el que se informa que no implican ajuste [bloque de texto]</t>
  </si>
  <si>
    <t>Información a revelar sobre gastos [bloque de texto]</t>
  </si>
  <si>
    <t>Información a revelar sobre gastos por naturaleza [bloque de texto]</t>
  </si>
  <si>
    <t>Información a revelar sobre activos para exploración y evaluación [bloque de texto]</t>
  </si>
  <si>
    <t>Información a revelar sobre medición del valor razonable [bloque de texto]</t>
  </si>
  <si>
    <t>Información a revelar sobre el valor razonable de instrumentos financieros [bloque de texto]</t>
  </si>
  <si>
    <t>Información a revelar sobre ingresos (gastos) por primas y comisiones [bloque de texto]</t>
  </si>
  <si>
    <t>Información a revelar sobre costos financieros [bloque de texto]</t>
  </si>
  <si>
    <t>Información a revelar sobre ingresos (gastos) financieros [bloque de texto]</t>
  </si>
  <si>
    <t>Información a revelar sobre ingresos financieros [bloque de texto]</t>
  </si>
  <si>
    <t>Información a revelar sobre activos financieros mantenidos para negociar [bloque de texto]</t>
  </si>
  <si>
    <t>Información a revelar sobre instrumentos financieros [bloque de texto]</t>
  </si>
  <si>
    <t>Información a revelar sobre instrumentos financieros a valor razonable con cambios en resultados [bloque de texto]</t>
  </si>
  <si>
    <t>Información a revelar sobre instrumentos financieros designados como a valor razonable con cambios en resultados [bloque de texto]</t>
  </si>
  <si>
    <t>Información a revelar sobre instrumentos financieros mantenidos para negociar [bloque de texto]</t>
  </si>
  <si>
    <t>Información a revelar sobre pasivos financieros mantenidos para negociar [bloque de texto]</t>
  </si>
  <si>
    <t>Información a revelar sobre gestión del riesgo financiero [bloque de texto]</t>
  </si>
  <si>
    <t>Información a revelar sobre la adopción por primera vez de las NIIF [bloque de texto]</t>
  </si>
  <si>
    <t>Información a revelar sobre gastos generales y administrativos [bloque de texto]</t>
  </si>
  <si>
    <t>Información a revelar sobre la hipótesis de negocio en marcha [bloque de texto]</t>
  </si>
  <si>
    <t>Información a revelar sobre la plusvalía [bloque de texto]</t>
  </si>
  <si>
    <t>Información a revelar sobre subvenciones del gobierno [bloque de texto]</t>
  </si>
  <si>
    <t>Información a revelar sobre deterioro de valor de activos [bloque de texto]</t>
  </si>
  <si>
    <t>Información a revelar sobre impuestos a las ganancias [bloque de texto]</t>
  </si>
  <si>
    <t>Información a revelar sobre empleados [bloque de texto]</t>
  </si>
  <si>
    <t>Información a revelar sobre personal clave de la gerencia [bloque de texto]</t>
  </si>
  <si>
    <t>Información a revelar de contratos de seguro [bloque de texto]</t>
  </si>
  <si>
    <t>Información a revelar sobre ingresos ordinarios por primas de seguro [bloque de texto]</t>
  </si>
  <si>
    <t>Información a revelar sobre activos intangibles [bloque de texto]</t>
  </si>
  <si>
    <t>Información a revelar sobre activos intangibles y plusvalía [bloque de texto]</t>
  </si>
  <si>
    <t>Información a revelar sobre gastos por intereses [bloque de texto]</t>
  </si>
  <si>
    <t>Información a revelar sobre ingresos por intereses [bloque de texto]</t>
  </si>
  <si>
    <t>Información a revelar sobre ingresos (gastos) por intereses [bloque de texto]</t>
  </si>
  <si>
    <t>Información a revelar sobre inventarios [bloque de texto]</t>
  </si>
  <si>
    <t>Información a revelar sobre pasivos por contratos de inversión [bloque de texto]</t>
  </si>
  <si>
    <t>Información a revelar sobre propiedades de inversión [bloque de texto]</t>
  </si>
  <si>
    <t>Información a revelar sobre inversiones contabilizadas utilizando el método de la participación [bloque de texto]</t>
  </si>
  <si>
    <t>Información a revelar sobre inversiones distintas de las contabilizadas utilizando el método de la participación [bloque de texto]</t>
  </si>
  <si>
    <t>Información a revelar sobre capital emitido [bloque de texto]</t>
  </si>
  <si>
    <t>Información a revelar sobre negocios conjuntos [bloque de texto]</t>
  </si>
  <si>
    <t>Información a revelar anticipos por arrendamientos [bloque de texto]</t>
  </si>
  <si>
    <t>Información a revelar sobre arrendamientos [bloque de texto]</t>
  </si>
  <si>
    <t>Información a revelar sobre riesgo de liquidez [bloque de texto]</t>
  </si>
  <si>
    <t>Información a revelar sobre préstamos y anticipos a bancos [bloque de texto]</t>
  </si>
  <si>
    <t>Información a revelar sobre préstamos y anticipos a clientes [bloque de texto]</t>
  </si>
  <si>
    <t>Información a revelar sobre riesgo de mercado [bloque de texto]</t>
  </si>
  <si>
    <t>Información a revelar sobre el valor de los activos netos atribuibles a los tenedores de las unidades de inversión [bloque de texto]</t>
  </si>
  <si>
    <t>Información a revelar sobre participaciones no controladoras [bloque de texto]</t>
  </si>
  <si>
    <t>Información a revelar sobre activos no corrientes mantenidos para la venta y operaciones discontinuadas [bloque de texto]</t>
  </si>
  <si>
    <t>Información a revelar sobre activos no corrientes o grupo de activos para su disposición clasificados como mantenidos para la venta [bloque de texto]</t>
  </si>
  <si>
    <t>Información a revelar sobre objetivos, políticas y procesos para la gestión del capital [bloque de texto]</t>
  </si>
  <si>
    <t>Información a revelar sobre otros activos [bloque de texto]</t>
  </si>
  <si>
    <t>Información a revelar sobre otros activos corrientes [bloque de texto]</t>
  </si>
  <si>
    <t>Información a revelar sobre otros pasivos corrientes [bloque de texto]</t>
  </si>
  <si>
    <t>Información a revelar sobre otros pasivos [bloque de texto]</t>
  </si>
  <si>
    <t>Información a revelar sobre otros activos no corrientes [bloque de texto]</t>
  </si>
  <si>
    <t>Información a revelar sobre otros pasivos no corrientes [bloque de texto]</t>
  </si>
  <si>
    <t>Información a revelar sobre otros gastos de operación [bloque de texto]</t>
  </si>
  <si>
    <t>Información a revelar sobre otros ingresos (gastos) de operación [bloque de texto]</t>
  </si>
  <si>
    <t>Información a revelar sobre otros resultados de operación [bloque de texto]</t>
  </si>
  <si>
    <t>Información a revelar sobre anticipos y otros activos [bloque de texto]</t>
  </si>
  <si>
    <t>Información a revelar sobre ganancias (pérdidas) por actividades de operación [bloque de texto]</t>
  </si>
  <si>
    <t>Información a revelar sobre propiedades, planta y equipo [bloque de texto]</t>
  </si>
  <si>
    <t>Información a revelar sobre provisiones [bloque de texto]</t>
  </si>
  <si>
    <t>Información a revelar sobre la reclasificación de instrumentos financieros [bloque de texto]</t>
  </si>
  <si>
    <t>Información a revelar sobre reaseguros [bloque de texto]</t>
  </si>
  <si>
    <t>Información a revelar sobre partes relacionadas [bloque de texto]</t>
  </si>
  <si>
    <t>Información a revelar sobre acuerdos de recompra y de recompra inversa [bloque de texto]</t>
  </si>
  <si>
    <t>Información a revelar sobre gastos de investigación y desarrollo [bloque de texto]</t>
  </si>
  <si>
    <t>Información a revelar sobre reservas dentro de patrimonio [bloque de texto]</t>
  </si>
  <si>
    <t>Información a revelar sobre efectivo y equivalentes al efectivo restringidos [bloque de texto]</t>
  </si>
  <si>
    <t>Información a revelar sobre ingresos de actividades ordinarias [bloque de texto]</t>
  </si>
  <si>
    <t>Información a revelar sobre acuerdos de concesión de servicios [bloque de texto]</t>
  </si>
  <si>
    <t>Información a revelar sobre capital en acciones, reservas y otras participaciones en el patrimonio [bloque de texto]</t>
  </si>
  <si>
    <t>Información a revelar sobre acuerdos con pagos basados en acciones [bloque de texto]</t>
  </si>
  <si>
    <t>Información a revelar sobre pasivos subordinados [bloque de texto]</t>
  </si>
  <si>
    <t>Información a revelar sobre subsidiarias [bloque de texto]</t>
  </si>
  <si>
    <t>Información a revelar sobre las políticas contables significativas [bloque de texto]</t>
  </si>
  <si>
    <t>Información a revelar sobre cuentas por cobrar y por pagar por impuestos [bloque de texto]</t>
  </si>
  <si>
    <t>Información a revelar sobre acreedores comerciales y otras cuentas por pagar [bloque de texto]</t>
  </si>
  <si>
    <t>Información a revelar sobre deudores comerciales y otras cuentas por cobrar [bloque de texto]</t>
  </si>
  <si>
    <t>Información a revelar sobre ingresos (gastos) comerciales [bloque de texto]</t>
  </si>
  <si>
    <t>Información a revelar sobre acciones propias [bloque de texto]</t>
  </si>
  <si>
    <t>Información a revelar sobre derechos a participaciones que surgen de fondos de  desmantelamiento, restauración y la rehabilitación medioambiental [bloque de texto]</t>
  </si>
  <si>
    <t>[800600] Notas - Lista de políticas contables</t>
  </si>
  <si>
    <t>Descripción de la política contable para activos financieros disponibles para la venta [bloque de texto]</t>
  </si>
  <si>
    <t>Descripción de la política contable para costos de préstamos [bloque de texto]</t>
  </si>
  <si>
    <t>Descripción de la política contable para préstamos [bloque de texto]</t>
  </si>
  <si>
    <t>Descripción de la política contable para combinaciones de negocios y plusvalía [bloque de texto]</t>
  </si>
  <si>
    <t>Descripción de la política contable para flujos de efectivo [bloque de texto]</t>
  </si>
  <si>
    <t>Descripción de la política contable para construcciones en proceso [bloque de texto]</t>
  </si>
  <si>
    <t>Descripción de la política contable para pasivos contingentes y activos contingentes [bloque de texto]</t>
  </si>
  <si>
    <t>Descripción de la política contable para provisiones para retiro del servicio, restauración y rehabilitación [bloque de texto]</t>
  </si>
  <si>
    <t>Descripción de la política contable para impuesto a las ganancias diferido [bloque de texto]</t>
  </si>
  <si>
    <t>Descripción de la política contable para gastos por depreciación [bloque de texto]</t>
  </si>
  <si>
    <t>Descripción de la política contable para baja en cuentas de instrumentos financieros [bloque de texto]</t>
  </si>
  <si>
    <t>Descripción de la política contable para instrumentos financieros derivados y coberturas [bloque de texto]</t>
  </si>
  <si>
    <t>Descripción de la política contable para la determinación de los componentes del efectivo y equivalentes al efectivo [bloque de texto]</t>
  </si>
  <si>
    <t>Descripción de la política contable para operaciones discontinuadas [bloque de texto]</t>
  </si>
  <si>
    <t>Descripción de la política contable para dividendos [bloque de texto]</t>
  </si>
  <si>
    <t>Descripción de la política contable para las ganancias por acción [bloque de texto]</t>
  </si>
  <si>
    <t>Descripción de la política contable para derechos de emisión [bloque de texto]</t>
  </si>
  <si>
    <t>Descripción de la política contable para beneficios a los empleados [bloque de texto]</t>
  </si>
  <si>
    <t>Descripción de la política contable para gastos [bloque de texto]</t>
  </si>
  <si>
    <t>Descripción de la política contable para mediciones al valor razonable [bloque de texto]</t>
  </si>
  <si>
    <t>Descripción de la política contable para costos financieros [bloque de texto]</t>
  </si>
  <si>
    <t>Descripción de la política contable para ingresos y costos financieros [bloque de texto]</t>
  </si>
  <si>
    <t>Descripción de la política contable para activos financieros [bloque de texto]</t>
  </si>
  <si>
    <t>Descripción de la política contable para instrumentos financieros [bloque de texto]</t>
  </si>
  <si>
    <t>Descripción de la política contable para instrumentos financieros a valor razonable con cambios en resultados [bloque de texto]</t>
  </si>
  <si>
    <t>Descripción de la política contable para pasivos financieros [bloque de texto]</t>
  </si>
  <si>
    <t>Descripción de la política contable para conversión de moneda extranjera [bloque de texto]</t>
  </si>
  <si>
    <t>Descripción de la política contable para la moneda funcional [bloque de texto]</t>
  </si>
  <si>
    <t>Descripción de la política contable para la plusvalía [bloque de texto]</t>
  </si>
  <si>
    <t>Descripción de las políticas contables para subvenciones gubernamentales [bloque de texto]</t>
  </si>
  <si>
    <t>Descripción de la política contable para coberturas [bloque de texto]</t>
  </si>
  <si>
    <t>Descripción de la política contable para inversiones mantenidas hasta el vencimiento [bloque de texto]</t>
  </si>
  <si>
    <t>Descripción de la política contable para deterioro del valor de activos [bloque de texto]</t>
  </si>
  <si>
    <t>Descripción de la política contable para deterioro del valor de activos financieros [bloque de texto]</t>
  </si>
  <si>
    <t>Descripción de la política contable para deterioro del valor de activos no financieros [bloque de texto]</t>
  </si>
  <si>
    <t>Descripción de la política contable para impuestos a las ganancias [bloque de texto]</t>
  </si>
  <si>
    <t>Descripción de la política contable de contratos de seguro y de los activos, pasivos, ingresos y gastos relacionados [bloque de texto]</t>
  </si>
  <si>
    <t>Descripción de la política contable para activos intangibles y plusvalía [bloque de texto]</t>
  </si>
  <si>
    <t>Descripción de la política contable para activos intangibles distintos a la plusvalía [bloque de texto]</t>
  </si>
  <si>
    <t>Descripción de la política contable para ingresos y gastos por intereses [bloque de texto]</t>
  </si>
  <si>
    <t>Descripción de las políticas contables para inversiones en asociadas [bloque de texto]</t>
  </si>
  <si>
    <t>Descripción de las políticas contables para inversiones en negocios conjuntos [bloque de texto]</t>
  </si>
  <si>
    <t>Descripción de la política contable para propiedades de inversión [bloque de texto]</t>
  </si>
  <si>
    <t>Descripción de la política contable para inversiones distintas de las inversiones contabilizadas utilizando el método de la participación [bloque de texto]</t>
  </si>
  <si>
    <t>Descripción de la política contable para el capital emitido [bloque de texto]</t>
  </si>
  <si>
    <t>Descripción de la política contable para arrendamientos [bloque de texto]</t>
  </si>
  <si>
    <t>Descripción de la política contable para préstamos y cuentas por cobrar [bloque de texto]</t>
  </si>
  <si>
    <t>Descripción de las políticas contables para la medición de inventarios [bloque de texto]</t>
  </si>
  <si>
    <t>Descripción de la política contable para activos no corrientes o grupos de activos para su disposición clasificados como mantenidos para la venta [bloque de texto]</t>
  </si>
  <si>
    <t>Descripción de la política contable para activos no corrientes o grupos de activos para su disposición clasificados como mantenidos para la venta y operaciones discontinuadas [bloque de texto]</t>
  </si>
  <si>
    <t>Descripción de la política contable para activos de petróleo y gas [bloque de texto]</t>
  </si>
  <si>
    <t>Descripción de la política contable para propiedades, planta y equipo [bloque de texto]</t>
  </si>
  <si>
    <t>Descripción de la política contable para provisiones [bloque de texto]</t>
  </si>
  <si>
    <t>Descripción de la política contable para la reclasificación de instrumentos financieros [bloque de texto]</t>
  </si>
  <si>
    <t>Descripción de la política contable para el reconocimiento en el resultado del periodo de la diferencia entre el valor razonable en el reconocimiento inicial y el precio de transacción [bloque de texto]</t>
  </si>
  <si>
    <t>Descripción de las políticas contables para el reconocimiento de ingresos de actividades ordinarias [bloque de texto]</t>
  </si>
  <si>
    <t>Descripción de la política contable para reparaciones y mantenimiento [bloque de texto]</t>
  </si>
  <si>
    <t>Descripción de la política contable para gastos de investigación y desarrollo [bloque de texto]</t>
  </si>
  <si>
    <t>Descripción de la política contable para el efectivo y equivalentes al efectivo restringido [bloque de texto]</t>
  </si>
  <si>
    <t>Descripción de la política contable para acuerdos de concesión de servicios [bloque de texto]</t>
  </si>
  <si>
    <t>Descripción de la política contable para las transacciones con pagos basados en acciones [bloque de texto]</t>
  </si>
  <si>
    <t>Descripción de la política contable para costos de desmonte [bloque de texto]</t>
  </si>
  <si>
    <t>Descripción de la política contable para subsidiarias [bloque de texto]</t>
  </si>
  <si>
    <t>Descripción de las políticas contables para los beneficios por terminación [bloque de texto]</t>
  </si>
  <si>
    <t>Descripción de la política contable para acreedores comerciales y otras cuentas por pagar [bloque de texto]</t>
  </si>
  <si>
    <t>Descripción de la política contable para deudores comerciales y otras cuentas por cobrar [bloque de texto]</t>
  </si>
  <si>
    <t>Descripción de la política contable para ingresos y gastos comerciales [bloque de texto]</t>
  </si>
  <si>
    <t>Descripción de la política contable para transacciones con participaciones no controladoras [bloque de texto]</t>
  </si>
  <si>
    <t>Descripción de la política contable para transacciones con partes relacionadas [bloque de texto]</t>
  </si>
  <si>
    <t>Descripción de otras políticas contables relevantes para comprender los estados financieros [bloque de texto]</t>
  </si>
  <si>
    <t>[810000] Notas - Información de la entidad y declaración de cumplimiento con el marco normativo</t>
  </si>
  <si>
    <t>Sede de la entidad</t>
  </si>
  <si>
    <t>Forma legal de la entidad</t>
  </si>
  <si>
    <t>País de constitución</t>
  </si>
  <si>
    <t>Ciudad donde se encuentra ubicada la sede administrativa</t>
  </si>
  <si>
    <t>Dirección de la sede administrativa de la entidad</t>
  </si>
  <si>
    <t>E-mail corporativo</t>
  </si>
  <si>
    <t>Número  de  empleados</t>
  </si>
  <si>
    <t>Número promedio de empleados</t>
  </si>
  <si>
    <t>Descripción de la naturaleza de las operaciones de la entidad y actividades principales</t>
  </si>
  <si>
    <t>Nombre de la entidad controladora</t>
  </si>
  <si>
    <t>Nombre de la controladora última del grupo</t>
  </si>
  <si>
    <t>Fecha establecida de duración de la entidad, para entidades de vida limitada</t>
  </si>
  <si>
    <t>Declaración de cumplimiento con las NIIF [bloque de texto]</t>
  </si>
  <si>
    <t>Conclusión de la gerencia sobre la presentación razonable como consecuencia de la falta de aplicación</t>
  </si>
  <si>
    <t>Explicación de faltas de aplicación de las NIIF</t>
  </si>
  <si>
    <t>Explicación del efecto financiero de faltas de aplicación de las NIIF</t>
  </si>
  <si>
    <t>Explicación de la naturaleza del requerimiento de las NIIF y conclusiones sobre la razón por la que dicho requerimiento está en conflicto con algún objetivo de los estados financieros establecido en el Marco Conceptual</t>
  </si>
  <si>
    <t>Explicación de ajustes que serían necesarios para lograr la presentación fiel</t>
  </si>
  <si>
    <t>Información a revelar sobre incertidumbres sobre la capacidad de la entidad para continuar como negocio en marcha [bloque de texto[</t>
  </si>
  <si>
    <t>Explicación del hecho y bases para la elaboración de los estados financieros cuando no es aplicable la hipótesis de negocio en marcha</t>
  </si>
  <si>
    <t>Explicación de la razón por la que no se considera a la entidad como negocio en marcha</t>
  </si>
  <si>
    <t>Hubo reclasificaciones que den lugar a variaciones en los valores certificados en el periodo anterior frente al comparado del periodo actual que se está presentando</t>
  </si>
  <si>
    <t>Explicación de reclasificaciones que den lugar a variaciones en los valores certificados en el periodo anterior frente al comparado del periodo actual que se está presentando</t>
  </si>
  <si>
    <t>Importe de reclasificaciones o cambios en la presentación</t>
  </si>
  <si>
    <t>Descripción de la naturaleza de los ajustes necesarios para presentar información comparativa</t>
  </si>
  <si>
    <t>Información a revelar sobre finalización de la prestación de los servicios inscritos en RUPS [resumen]</t>
  </si>
  <si>
    <t>Información a revelar sobre incertidumbres sobre la capacidad de dar continuidad a la prestación de uno o más servicios inscritos en RUPS</t>
  </si>
  <si>
    <t>¿Durante el periodo sobre el que se informa se finalizó la prestación de uno o más servicios inscritos en RUPS?</t>
  </si>
  <si>
    <t>Detalle sobre la finalización de la prestación de los servicios inscritos en RUPS. (indicar servicio y fecha de finalización del servicio, indicar si otra empresa de servicios públicos tomó la prestación del servicio, ¿cuál?)</t>
  </si>
  <si>
    <t>Descripción del hecho de que los importes presentados en los estados financieros no son totalmente comparables</t>
  </si>
  <si>
    <t>Información relacionada con Objetivos de Desarrollo Sostenible impulsadas por la Organización de Naciones Unidas [Abstracto]</t>
  </si>
  <si>
    <t>La entidad ha implementado programas, prácticas o políticas relacionados con objetivos de desarrollo sostenible?</t>
  </si>
  <si>
    <t>La entidad prepara reportes de sostenibilidad?</t>
  </si>
  <si>
    <t>Si lo presenta como reporte a una entidad de supervisión específica, a cuál?</t>
  </si>
  <si>
    <t>La entidad cuenta con objetivos de desarrollo sostenible para el eje económico?</t>
  </si>
  <si>
    <t>Mencione que indicadores calcula. Explique los elementos que componen cada indicador.</t>
  </si>
  <si>
    <t>[811001] Notas - Cambios por políticas contables, estimaciones contables o corrección de errores</t>
  </si>
  <si>
    <t>Detalle de los cambios en políticas contables, estimaciones contables y errores [Resumen]</t>
  </si>
  <si>
    <t>Tipo de Cambio por politica, estimación o corrección de error</t>
  </si>
  <si>
    <t>Descripción del cambio en política, estimación o corrección de error</t>
  </si>
  <si>
    <t>Impacto en el activo por cambio por política, estimación o corrección de error</t>
  </si>
  <si>
    <t>Impacto en el pasivo por cambio por política, estimación o corrección de error</t>
  </si>
  <si>
    <t>Impacto en el patrimonio por cambio por política, estimación o corrección de error</t>
  </si>
  <si>
    <t>Impacto en el resultado por cambio por política, estimación o corrección de error</t>
  </si>
  <si>
    <t># Fila de cambio por política, estimación o error</t>
  </si>
  <si>
    <t>[822100] Notas - Propiedades, planta y equipo - Bloques de texto</t>
  </si>
  <si>
    <t>Información a revelar detallada sobre propiedades, planta y equipo [bloque de texto]</t>
  </si>
  <si>
    <t>Propiedades, planta y equipo, restricciones en la titularidad</t>
  </si>
  <si>
    <t>Descripción de la existencia de restricciones en la titularidad, propiedades, planta y equipo</t>
  </si>
  <si>
    <t>Propiedades, planta y equipo, pignoradas como garantía</t>
  </si>
  <si>
    <t>Compromisos contractuales para la adquisición de propiedades, planta y equipo</t>
  </si>
  <si>
    <t>[822100a] Notas - Propiedades, planta y equipo - Información a revelar</t>
  </si>
  <si>
    <t>Propiedades, planta y equipo [miembro]</t>
  </si>
  <si>
    <t>Terrenos y construcciones [miembro]</t>
  </si>
  <si>
    <t>Terrenos [miembro]</t>
  </si>
  <si>
    <t>Edificios [miembro]</t>
  </si>
  <si>
    <t>Maquinaria [miembro]</t>
  </si>
  <si>
    <t>Vehículos [miembro]</t>
  </si>
  <si>
    <t>Enseres y accesorios [miembro]</t>
  </si>
  <si>
    <t>Equipo de oficina [miembro]</t>
  </si>
  <si>
    <t>Equipos informáticos [miembro]</t>
  </si>
  <si>
    <t>Equipos de redes y comunicación [miembro]</t>
  </si>
  <si>
    <t>Construcciones en proceso [miembro]</t>
  </si>
  <si>
    <t>Información complementaria [miembro]</t>
  </si>
  <si>
    <t>Plantas [miembro]</t>
  </si>
  <si>
    <t>Ductos [miembro]</t>
  </si>
  <si>
    <t>Vías [miembro]</t>
  </si>
  <si>
    <t>Redes y Cables [miembro]</t>
  </si>
  <si>
    <t>Relleno sanitario [miembro]</t>
  </si>
  <si>
    <t>Otras propiedades, planta y equipo [miembro]</t>
  </si>
  <si>
    <t>Información a revelar detallada sobre propiedades, planta y equipo [partidas]</t>
  </si>
  <si>
    <t>Bases de medición, propiedades, planta y equipo</t>
  </si>
  <si>
    <t>Método de depreciación, propiedades, planta y equipo</t>
  </si>
  <si>
    <t>Vidas útiles o tasas de depreciación, propiedades, planta y equipo</t>
  </si>
  <si>
    <t>Fechas de vigencia de revaluación, propiedades, planta y equipo</t>
  </si>
  <si>
    <t>Explicación de la implicación del tasador independiente en la revaluación, propiedades, planta y equipo</t>
  </si>
  <si>
    <t>Conciliación de cambios en propiedades, planta y equipo [resumen]</t>
  </si>
  <si>
    <t>Propiedades, planta y equipo al comienzo del periodo</t>
  </si>
  <si>
    <t>Cambios en propiedades, planta y equipo [resumen]</t>
  </si>
  <si>
    <t>Incrementos distintos de los procedentes de combinaciones de negocios, propiedades, planta y equipo</t>
  </si>
  <si>
    <t>Adquisiciones realizadas mediante combinaciones de negocios, propiedades, planta y equipo</t>
  </si>
  <si>
    <t>Incremento (disminución) por diferencias de cambio netas, propiedades, planta y equipo</t>
  </si>
  <si>
    <t>Depreciación, propiedades, planta y equipo</t>
  </si>
  <si>
    <t>Pérdidas por deterioro de valor reconocidas en el resultado del periodo, propiedades, planta y equipo</t>
  </si>
  <si>
    <t>Reversión de pérdidas por deterioro de valor reconocidas en el resultado del periodo, propiedades, planta y equipo</t>
  </si>
  <si>
    <t>Incrementos (disminuciones) de revaluaciones, propiedades, planta y equipo</t>
  </si>
  <si>
    <t>Pérdidas por deterioro de valor reconocidas en otro resultado integral, propiedades, planta y equipo</t>
  </si>
  <si>
    <t>Reversión de pérdidas por deterioro de valor reconocidas en otro resultado integral, propiedades, planta y equipo</t>
  </si>
  <si>
    <t>Disposiciones y retiros de servicio, propiedades, planta y equipo</t>
  </si>
  <si>
    <t>Disminuciones por clasificar como mantenidos para la venta, propiedades, planta y equipo</t>
  </si>
  <si>
    <t>Incrementos (disminuciones) por otros cambios, propiedades, planta y equipo</t>
  </si>
  <si>
    <t>Total incremento (disminución) en propiedades, planta y equipo</t>
  </si>
  <si>
    <t>Propiedades, planta y equipo al final del periodo</t>
  </si>
  <si>
    <t>Información adicional [resumen]</t>
  </si>
  <si>
    <t>Propiedades,  planta y equipo, desembolsos reconocidos en el curso de su construcción.</t>
  </si>
  <si>
    <t>Propiedades,  planta y equipo, ociosos temporalmente.</t>
  </si>
  <si>
    <t>Propiedades,  planta y equipo, importe en libros en términos brutos de los activos depreciados en su totalidad todavía en uso.</t>
  </si>
  <si>
    <t>Propiedades,  planta y equipo, activos retirados del uso activo y no clasificados como mantenidos para la venta.</t>
  </si>
  <si>
    <t>Propiedades, planta y equipo, revaluación [resumen]</t>
  </si>
  <si>
    <t>Propiedades,  planta y equipo, activos revaluados.</t>
  </si>
  <si>
    <t>Propiedades,  planta y equipo, activos revaluados, al costo.</t>
  </si>
  <si>
    <t>Propiedades,  planta y equipo, superávit de revaluación.</t>
  </si>
  <si>
    <t>Descripción de restricciones sobre la distribución del superávit de revaluación a los accionistas, propiedades, planta y equipo</t>
  </si>
  <si>
    <t>[822390] Notas - Instrumentos financieros - Bloques de texto</t>
  </si>
  <si>
    <t>Información a revelar de activos financieros [bloque de texto]</t>
  </si>
  <si>
    <t>Información a revelar sobre pasivos financieros [bloque de texto]</t>
  </si>
  <si>
    <t>Información a revelar detallada sobre coberturas [bloque de texto]</t>
  </si>
  <si>
    <t>[822390a] Notas - Instrumentos financieros - Activos financieros</t>
  </si>
  <si>
    <t>Activos financieros, categoría [miembro]</t>
  </si>
  <si>
    <t>Activos financieros al valor razonable con cambios en resultados, categoría [miembro]</t>
  </si>
  <si>
    <t>Activos financieros disponibles para la venta, categoría [miembro]</t>
  </si>
  <si>
    <t>Inversiones mantenidas hasta el vencimiento, categoría [miembro]</t>
  </si>
  <si>
    <t>Préstamos y cuentas por cobrar, categoría [miembro]</t>
  </si>
  <si>
    <t>Activos financieros al costo amortizado, categoría [miembro]</t>
  </si>
  <si>
    <t>Activos financieros al valor razonable con cambios en otro resultado integral, categoría [miembro]</t>
  </si>
  <si>
    <t>Inversiones en instrumentos de patrimonio designadas a valor razonable con cambios en otro resultado integral [miembro]</t>
  </si>
  <si>
    <t>Información a revelar sobre activos financieros [partidas]</t>
  </si>
  <si>
    <t>Activos financieros</t>
  </si>
  <si>
    <t>Activos financieros, al valor razonable</t>
  </si>
  <si>
    <t>Importe nocional</t>
  </si>
  <si>
    <t>Pérdidas por deterioro de valor, activos financieros</t>
  </si>
  <si>
    <t>[822390b] Notas - Instrumentos financieros - Pasivos financieros</t>
  </si>
  <si>
    <t>Pasivos financieros, categoría [miembro]</t>
  </si>
  <si>
    <t>Pasivos financieros al valor razonable con cambios en resultados, categoría [miembro]</t>
  </si>
  <si>
    <t>Pasivos financieros al costo amortizado, categoría [miembro]</t>
  </si>
  <si>
    <t>Pasivos financieros que quedan fuera del alcance de la NIIF 7 [miembro]</t>
  </si>
  <si>
    <t>Información a revelar sobre pasivos financieros [partidas de los estados financieros]</t>
  </si>
  <si>
    <t>Pasivos financieros</t>
  </si>
  <si>
    <t>Pasivos financieros, al valor razonable</t>
  </si>
  <si>
    <t>[822390c] Notas - Instrumentos financieros - Coberturas</t>
  </si>
  <si>
    <t>Coberturas [miembro]</t>
  </si>
  <si>
    <t>Coberturas del valor razonable [miembro]</t>
  </si>
  <si>
    <t>Coberturas del flujo de efectivo [miembro]</t>
  </si>
  <si>
    <t>Coberturas de inversiones netas en negocios en el extranjero [miembro]</t>
  </si>
  <si>
    <t>Información a revelar detallada sobre coberturas [partidas]</t>
  </si>
  <si>
    <t>Descripción del tipo de cobertura</t>
  </si>
  <si>
    <t>Descripción de instrumentos financieros designados como instrumentos de cobertura</t>
  </si>
  <si>
    <t>Descripción de la naturaleza de los riesgos que han sido cubiertos</t>
  </si>
  <si>
    <t>Instrumentos financieros designados como instrumentos de cobertura</t>
  </si>
  <si>
    <t>[823000] Notas - Medición del valor razonable</t>
  </si>
  <si>
    <t>Información a revelar sobre medición del valor razonable de activos [bloque de texto]</t>
  </si>
  <si>
    <t>Información a revelar sobre medición del valor razonable de pasivos [bloque de texto]</t>
  </si>
  <si>
    <t>Información a revelar sobre medición del valor razonable del patrimonio [bloque de texto]</t>
  </si>
  <si>
    <t>Información a revelar sobre datos de entrada no observables significativos utilizados en la medición del valor razonable de activos [bloque de texto]</t>
  </si>
  <si>
    <t>Información a revelar sobre datos de entrada no observables significativos utilizados en la medición del valor razonable de pasivos [bloque de texto]</t>
  </si>
  <si>
    <t>Información a revelar sobre datos de entrada no observables significativos utilizados en la medición del valor razonable del patrimonio [bloque de texto]</t>
  </si>
  <si>
    <t>[823180] Notas - Activos intangibles - Información descriptiva</t>
  </si>
  <si>
    <t>Información a revelar detallada sobre activos intangibles [resumen]</t>
  </si>
  <si>
    <t>Información a revelar detallada sobre activos intangibles [bloque de texto]</t>
  </si>
  <si>
    <t>Información a revelar sobre activos intangibles con vidas útiles indefinidas [bloque de texto]</t>
  </si>
  <si>
    <t>Activos intangibles con vidas útiles indefinidas</t>
  </si>
  <si>
    <t>Descripción de los activos intangibles con vida útil indefinida que soportan la evaluación de vida útil indefinida</t>
  </si>
  <si>
    <t>Información a revelar sobre activos intangibles significativos para la entidad [bloque de texto]</t>
  </si>
  <si>
    <t>Descripción de los activos intangibles de importancia relativa para la entidad</t>
  </si>
  <si>
    <t>Activos intangibles materiales (con importancia relativa) para la entidad</t>
  </si>
  <si>
    <t>Periodo de amortización restante de activos intangibles significativos para la entidad</t>
  </si>
  <si>
    <t>Activos intangibles adquiridos mediante subvenciones del gobierno</t>
  </si>
  <si>
    <t>Explicación de activos adquiridos mediante una subvención del gobierno y reconocidos inicialmente por su valor razonable</t>
  </si>
  <si>
    <t>Activos intangibles cuya titularidad está restringida</t>
  </si>
  <si>
    <t>Descripción de los activos intangibles totalmente amortizados</t>
  </si>
  <si>
    <t>Descripción de activos intangibles significativos controlados por la entidad pero no reconocidos</t>
  </si>
  <si>
    <t>Explicación de restricciones sobre la distribución de superávit de revaluación por activos intangibles</t>
  </si>
  <si>
    <t>Gasto por investigación y desarrollo</t>
  </si>
  <si>
    <t>Información a revelar sobre la conciliación de cambios en activos intangibles y plusvalía [bloque de texto]</t>
  </si>
  <si>
    <t>[823180a] Notas - Activos intangibles - Conciliación incluye plusvalía</t>
  </si>
  <si>
    <t>Activos [miembro]</t>
  </si>
  <si>
    <t>Activos intangibles distintos a la plusvalía y plusvalía [miembro]</t>
  </si>
  <si>
    <t>Activos intangibles distintos de la plusvalía [miembro]</t>
  </si>
  <si>
    <t>Marcas comerciales [miembro]</t>
  </si>
  <si>
    <t>Activos intangibles de exploración y evaluación [miembro]</t>
  </si>
  <si>
    <t>Programas de computador [miembro]</t>
  </si>
  <si>
    <t>Valor de negocio adquirido [miembro]</t>
  </si>
  <si>
    <t>Desembolsos de desarrollo capitalizados [miembro]</t>
  </si>
  <si>
    <t>Activos intangibles en desarrollo [miembro]</t>
  </si>
  <si>
    <t>Otros activos intangibles [miembro]</t>
  </si>
  <si>
    <t>Plusvalía [miembro]</t>
  </si>
  <si>
    <t>Métodos de generación [miembro]</t>
  </si>
  <si>
    <t>Generados internamente [miembro]</t>
  </si>
  <si>
    <t>No generados internamente [miembro]</t>
  </si>
  <si>
    <t>Información a revelar sobre la conciliación de cambios en activos intangibles y plusvalía [partidas de los estados financieros]</t>
  </si>
  <si>
    <t>Conciliación de los cambios en activos intangibles y plusvalía [resumen]</t>
  </si>
  <si>
    <t>Activos intangibles y plusvalía al comienzo del periodo</t>
  </si>
  <si>
    <t>Cambios en activos intangibles y plusvalía [resumen]</t>
  </si>
  <si>
    <t>Amortización, activos intangibles distintos de la plusvalía</t>
  </si>
  <si>
    <t>Pérdida por deterioro de valor reconocida en el resultado del periodo, activos intangibles y plusvalía</t>
  </si>
  <si>
    <t>Reversión de pérdidas por deterioro de valor reconocidas en el resultado del periodo, activos intangibles distintos de la plusvalía</t>
  </si>
  <si>
    <t>Incrementos (disminuciones) de revaluaciones, activos intangibles distintos de la plusvalía</t>
  </si>
  <si>
    <t>Pérdidas por deterioro de valor reconocidas en otro resultado integral, activos intangibles distintos de la plusvalía</t>
  </si>
  <si>
    <t>Reversión de pérdidas por deterioro de valor reconocidas en otro resultado integral, activos intangibles distintos de la plusvalía</t>
  </si>
  <si>
    <t>Incrementos (disminuciones) por transferencias y otros cambios, activos intangibles y plusvalía</t>
  </si>
  <si>
    <t>Disposiciones y retiros de servicio, activos intangibles y plusvalía</t>
  </si>
  <si>
    <t>Disminuciones por clasificar como mantenidos para la venta, activos intangibles y plusvalía</t>
  </si>
  <si>
    <t>Disminución por la pérdida de control de una subsidiaria, activos intangibles y plusvalía</t>
  </si>
  <si>
    <t>Reconocimiento posterior de activos por impuestos diferidos, plusvalía</t>
  </si>
  <si>
    <t>Total incrementos (disminuciones) de activos intangibles y plusvalía</t>
  </si>
  <si>
    <t>Activos intangibles y plusvalía al final del periodo</t>
  </si>
  <si>
    <t>Revaluación de activos intangibles [resumen]</t>
  </si>
  <si>
    <t>Activos intangibles distintos de la plusvalía, activos revaluados</t>
  </si>
  <si>
    <t>Activos intangibles distintos de la plusvalía, activos revaluados, al costo</t>
  </si>
  <si>
    <t>Activos intangibles distintos de la plusvalía, superávit de revaluación</t>
  </si>
  <si>
    <t>[825100] Notas - Propiedades de inversión - Información descriptiva</t>
  </si>
  <si>
    <t>Explicación de si la entidad aplicaba el modelo del valor razonable o el modelo del costo para medir las propiedades de inversión</t>
  </si>
  <si>
    <t>Descripción de los criterios utilizados para distinguir entre propiedades de inversión de las propiedades ocupadas por el propietario y de las propiedades mantenidas para la venta en el curso ordinario del negocio</t>
  </si>
  <si>
    <t>Descripción de la medida en que el valor razonable de las propiedades de inversión se basan en la valoración por un tasador independiente</t>
  </si>
  <si>
    <t>Ingreso por alquileres de propiedades de inversión, neto de gastos de operación directos</t>
  </si>
  <si>
    <t>Cambio acumulado en el valor razonable reconocido en el resultado del periodo por la venta de propiedades de inversión entre conjuntos de activos medidos usando diferentes modelos</t>
  </si>
  <si>
    <t>Explicación de las restricciones sobre la realización de las propiedades de inversión o remisión de los ingresos y recursos obtenidos por su disposición</t>
  </si>
  <si>
    <t>Restricciones sobre la realización de propiedades de inversión o la remisión de ingresos e importes obtenidos por su disposición</t>
  </si>
  <si>
    <t>Explicación de obligaciones contractuales para adquisición, construcción o desarrollo de propiedades de inversión o por reparaciones, mantenimiento o mejoras</t>
  </si>
  <si>
    <t>Información a revelar sobre ajustes significativos a la valoración obtenida [bloque de texto]</t>
  </si>
  <si>
    <t>Descripción de propiedades de inversión, al costo o de acuerdo con la NIIF 16 dentro del modelo de valor razonable</t>
  </si>
  <si>
    <t>Explicación de por qué el valor razonable no puede medirse con fiabilidad para propiedades de inversión, al costo o de acuerdo con la NIIF 16 dentro del modelo del valor razonable</t>
  </si>
  <si>
    <t>Rango de estimaciones dentro del cual es probable que quede el valor razonable para propiedades de inversión, al costo o de acuerdo con la NIIF 16 dentro del modelo del valor razonable</t>
  </si>
  <si>
    <t>Explicación de la disposición de propiedades de inversión contabilizadas al costo o de acuerdo con la NIIF 16 dentro del modelo de valor razonable</t>
  </si>
  <si>
    <t>Propiedades de inversión contabilizadas al costo o de acuerdo con la NIIF 16, dentro del modelo del valor razonable, en el momento de la venta</t>
  </si>
  <si>
    <t>Ganancias (pérdidas) por la disposición de propiedades de inversión contabilizadas al costo o de acuerdo con la NIIF 16 dentro del modelo de valor razonable</t>
  </si>
  <si>
    <t>Método de depreciación, propiedades de inversión, modelo del costo</t>
  </si>
  <si>
    <t>Descripción de propiedades de inversión en los que la información sobre el valor razonable es poco fiable, modelo del costo</t>
  </si>
  <si>
    <t>Explicación de porqué el valor razonable no puede a ser medido con fiabilidad para propiedades de inversión, modelo del costo</t>
  </si>
  <si>
    <t>Rango de estimaciones dentro de las que es probable que se encuentre el valor razonable para propiedades de inversión, modelo del costo</t>
  </si>
  <si>
    <t>[825100a] Notas - Propiedades de inversión - Información detallada</t>
  </si>
  <si>
    <t>Suma de mediciones [miembro]</t>
  </si>
  <si>
    <t>Al costo [miembro]</t>
  </si>
  <si>
    <t>Modelo del valor razonable [miembro]</t>
  </si>
  <si>
    <t>A valor razonable [miembro]</t>
  </si>
  <si>
    <t>Al costo o de acuerdo con la NIIF 16 dentro del modelo de valor razonable [miembro]</t>
  </si>
  <si>
    <t>Información a revelar detallada sobre propiedades de inversión [partidas]</t>
  </si>
  <si>
    <t>Propiedades de inversión al comienzo del periodo</t>
  </si>
  <si>
    <t>Cambios en propiedades de inversión [resumen]</t>
  </si>
  <si>
    <t>Incrementos, propiedades de inversión [resumen]</t>
  </si>
  <si>
    <t>Incrementos derivados de desembolsos posteriores reconocidos como activos, propiedades de inversión</t>
  </si>
  <si>
    <t>Adiciones derivados de adquisiciones, propiedades de inversión</t>
  </si>
  <si>
    <t>Total adiciones distintas de las de por combinaciones de negocios, propiedades de inversión</t>
  </si>
  <si>
    <t>Adquisiciones realizadas mediante combinaciones de negocios, propiedades de inversión</t>
  </si>
  <si>
    <t>Incremento (disminución) por diferencias de cambio netas, propiedades de inversión</t>
  </si>
  <si>
    <t>Depreciación, propiedades de inversión</t>
  </si>
  <si>
    <t>Pérdidas por deterioro de valor reconocida en resultados, propiedades de inversión</t>
  </si>
  <si>
    <t>Reversión de deterioro de valor reconocida en resultados, propiedades de inversión</t>
  </si>
  <si>
    <t>Ganancias (pérdidas) por ajustes del valor razonable, propiedades de inversión</t>
  </si>
  <si>
    <t>Transferencias de (a) inventarios y bienes inmuebles ocupados por el propietario, propiedades de inversión</t>
  </si>
  <si>
    <t>Disposiciones, propiedades de inversión</t>
  </si>
  <si>
    <t>Disminuciones mediante la clasificación de mantenidos para la venta, propiedades de inversión</t>
  </si>
  <si>
    <t>Incremento (disminución) por otros cambios, propiedades de inversión</t>
  </si>
  <si>
    <t>Total incremento (disminución) en propiedades de inversión</t>
  </si>
  <si>
    <t>Propiedades de inversión al final del periodo</t>
  </si>
  <si>
    <t>[825701] Notas - Información a revelar detallada sobre partes relacionadas</t>
  </si>
  <si>
    <t>Detalle de la parte relacionada [Resumen]</t>
  </si>
  <si>
    <t>Tipo de parte relacionada</t>
  </si>
  <si>
    <t>Nombre de la parte relacionada</t>
  </si>
  <si>
    <t>NIT de la parte relacionada</t>
  </si>
  <si>
    <t>ID de Prestador de la parte relacionada (Si está vigilado por la Superservicios)</t>
  </si>
  <si>
    <t>Ciudad de domicilio de la parte relacionada</t>
  </si>
  <si>
    <t>País donde está constituida la parte relacionada</t>
  </si>
  <si>
    <t>Porcentaje de participación en la parte relacionada</t>
  </si>
  <si>
    <t>Participación en parte relacionada</t>
  </si>
  <si>
    <t>Porcentaje de derechos de voto mantenidos por las participaciones no controladoras</t>
  </si>
  <si>
    <t>Porcentaje de derechos de voto mantenidos en la parte relacionada</t>
  </si>
  <si>
    <t>Ganancia (pérdida), atribuible a participaciones no controladoras</t>
  </si>
  <si>
    <t>Inversiones contabilizadas utilizando el método de la participación de la parte relacionada</t>
  </si>
  <si>
    <t>Inversiones contabilizadas utilizando el modelo del costo</t>
  </si>
  <si>
    <t>Inversiones contabilizadas utilizando el modelo del valor razonable</t>
  </si>
  <si>
    <t>Nombre Controladora última del Grupo</t>
  </si>
  <si>
    <t>ID Controladora última del Grupo</t>
  </si>
  <si>
    <t>Nombre Controladora que emite Estados Financieros Consolidados disponible para uso público</t>
  </si>
  <si>
    <t>Saldos pendientes de transacciones con partes relacionadas: Importe de las Cuentas por cobrar con partes relacionadas</t>
  </si>
  <si>
    <t>Saldos pendientes de transacciones con partes relacionadas: Importe de las Cuentas por pagar con partes relacionadas</t>
  </si>
  <si>
    <t>Importe de los Ingresos con partes relacionadas</t>
  </si>
  <si>
    <t>Importe de Otros ingresos con partes relacionadas</t>
  </si>
  <si>
    <t>Importe de los Costos y Gastos con partes relacionadas</t>
  </si>
  <si>
    <t>Los costos y gastos reconocido durante el periodo con respecto a las deudas incobrables y de dudoso cobro, procedentes de partes relacionadas</t>
  </si>
  <si>
    <t>Importe de los servicios recibidos, transacciones con partes relacionadas</t>
  </si>
  <si>
    <t>Descripción de los servicios recibidos, transacciones con partes relacionadas</t>
  </si>
  <si>
    <t>Importe de compras de bienes muebles e inmuebles y otros activos, transacciones con partes relacionadas</t>
  </si>
  <si>
    <t>Importe de ventas de bienes muebles e inmuebles y otros activos, transacciones con partes relacionadas</t>
  </si>
  <si>
    <t>Descripción de las Compras y/o ventas de bienes muebles, inmuebles y otros activos con partes relacionadas</t>
  </si>
  <si>
    <t>Información a revelar sobre esta parte relacionada</t>
  </si>
  <si>
    <t>Descripción de las políticas contables aplicadas a esta parte relacionada</t>
  </si>
  <si>
    <t>¿La inversión en esta parte relacionada es significativa?</t>
  </si>
  <si>
    <t>Activo corriente</t>
  </si>
  <si>
    <t>Activo no corriente</t>
  </si>
  <si>
    <t>Activo total</t>
  </si>
  <si>
    <t>Pasivo corriente</t>
  </si>
  <si>
    <t>Pasivo no corriente</t>
  </si>
  <si>
    <t>Pasivo total</t>
  </si>
  <si>
    <t>Resultado Integral total</t>
  </si>
  <si>
    <t># Fila de parte relacionada</t>
  </si>
  <si>
    <t>[826380] Notas - Inventarios</t>
  </si>
  <si>
    <t>Descripción de las fórmulas del costo de inventario</t>
  </si>
  <si>
    <t>Inventarios al valor razonable menos los costos de venta</t>
  </si>
  <si>
    <t>Inventarios, a valor neto realizable</t>
  </si>
  <si>
    <t>Rebaja del valor del inventario</t>
  </si>
  <si>
    <t>Reversión de la rebaja del inventario</t>
  </si>
  <si>
    <t>Descripción de las circunstancias que conducen a reversiones de rebajas de inventarios</t>
  </si>
  <si>
    <t>Costo de inventarios reconocidos como gasto durante el periodo</t>
  </si>
  <si>
    <t>Inventarios pignorados como garantía de pasivos</t>
  </si>
  <si>
    <t>[827570] Notas - Otras provisiones, pasivos contingentes y activos contingentes - Información a revelar</t>
  </si>
  <si>
    <t>Información a revelar sobre otras provisiones, pasivos contingentes y activos contingentes [bloque de texto]</t>
  </si>
  <si>
    <t>Información a revelar sobre otras provisiones [bloque de texto]</t>
  </si>
  <si>
    <t>Descripción de la naturaleza de activos contingentes</t>
  </si>
  <si>
    <t>Explicación del efecto financiero estimado de activos contingentes</t>
  </si>
  <si>
    <t>Efecto financiero esperado de activos contingentes</t>
  </si>
  <si>
    <t>Información sobre activos contingentes cuya información a revelar no es practicable</t>
  </si>
  <si>
    <t>Información sobre pasivos contingentes cuya información a revelar no es practicable</t>
  </si>
  <si>
    <t>Explicación de la naturaleza general del conflicto y de la razón para no revelar información con respecto a provisiones</t>
  </si>
  <si>
    <t>Explicación de la naturaleza general del conflicto y de la razón para no revelar información con respecto a pasivos contingentes</t>
  </si>
  <si>
    <t>Explicación de la naturaleza general del conflicto y de la razón para no revelar información con respecto a activos contingentes</t>
  </si>
  <si>
    <t>[827570a] Notas - Otras provisiones, pasivos contingentes y activos contingentes - Otras provisiones</t>
  </si>
  <si>
    <t>Otras provisiones [miembro]</t>
  </si>
  <si>
    <t>Provisiones por procesos legales [miembro]</t>
  </si>
  <si>
    <t>Provisión por contratos onerosos [miembro]</t>
  </si>
  <si>
    <t>Provisiones por costos de dejar fuera de servicio, restauración y rehabilitación [miembro]</t>
  </si>
  <si>
    <t>Otra provisión relacionada con el medioambiente [miembro]</t>
  </si>
  <si>
    <t>Provisión por impuestos distintos a los impuestos a las ganancias [miembro]</t>
  </si>
  <si>
    <t>Otras provisiones diversas [miembro]</t>
  </si>
  <si>
    <t>Información a revelar sobre otras provisiones [partidas de los estados financieros]</t>
  </si>
  <si>
    <t>Conciliación de cambios en otras provisiones [resumen]</t>
  </si>
  <si>
    <t>Otras provisiones al comienzo del periodo</t>
  </si>
  <si>
    <t>Cambios en otras provisiones [resumen]</t>
  </si>
  <si>
    <t>Provisiones adicionales, otras provisiones [resumen]</t>
  </si>
  <si>
    <t>Provisiones nuevas, otras provisiones</t>
  </si>
  <si>
    <t>Aumento de provisiones existentes, otras provisiones</t>
  </si>
  <si>
    <t>Total provisiones adicionales, otras provisiones</t>
  </si>
  <si>
    <t>Adquisiciones realizadas mediante combinaciones de negocios, otras provisiones</t>
  </si>
  <si>
    <t>Provisiones utilizadas, otras provisiones</t>
  </si>
  <si>
    <t>Provisiones revertidas no utilizadas, otras provisiones</t>
  </si>
  <si>
    <t>Incremento por ajustes que surgen por el paso del tiempo, otras provisiones</t>
  </si>
  <si>
    <t>Incremento (disminución) por cambios en la tasa de descuento, otras provisiones</t>
  </si>
  <si>
    <t>Incremento (disminución) por diferencias de cambio netas, otras provisiones</t>
  </si>
  <si>
    <t>Disminución por la pérdida de control de una subsidiaria, otras provisiones</t>
  </si>
  <si>
    <t>Incremento (disminución) por transferencias y otros cambios, otras provisiones</t>
  </si>
  <si>
    <t>Disminución por transferencias a pasivos incluidos en grupos de activos para su disposición clasificados como mantenidos para la venta, otras provisiones</t>
  </si>
  <si>
    <t>Total incremento (disminución) en otras provisiones</t>
  </si>
  <si>
    <t>Otras provisiones al final del periodo</t>
  </si>
  <si>
    <t>Descripción de la naturaleza de obligaciones, otras provisiones</t>
  </si>
  <si>
    <t>Descripción del calendario esperado de flujos de salida, otras provisiones</t>
  </si>
  <si>
    <t>Indicación de incertidumbres de importes o calendario de salidas, otras provisiones</t>
  </si>
  <si>
    <t>Descripción de las hipótesis más importantes realizadas sobre eventos futuros, otras provisiones</t>
  </si>
  <si>
    <t>Activo reconocido por reembolsos esperados, otras provisiones</t>
  </si>
  <si>
    <t>Reembolso esperado, otras provisiones</t>
  </si>
  <si>
    <t>[827570b] Notas - Otras provisiones, pasivos contingentes y activos contingentes - Pasivos contingentes</t>
  </si>
  <si>
    <t>Pasivos contingentes [miembro]</t>
  </si>
  <si>
    <t>Pasivos contingentes por procesos legales [miembro]</t>
  </si>
  <si>
    <t>Pasivos contingentes por contratos onerosos [miembro]</t>
  </si>
  <si>
    <t>Pasivos contingentes por costos de retiro del servicio, restauración y rehabilitación [miembro]</t>
  </si>
  <si>
    <t>Otro pasivo contingente relacionado con el medioambiente [miembro]</t>
  </si>
  <si>
    <t>Pasivo contingente por impuestos [miembro]</t>
  </si>
  <si>
    <t>Pasivo contingente que surge de obligaciones por beneficios post-empleo [miembro]</t>
  </si>
  <si>
    <t>Otros pasivos contingentes [miembro]</t>
  </si>
  <si>
    <t>Información a revelar sobre pasivos contingentes [partidas de los estados financieros]</t>
  </si>
  <si>
    <t>Descripción de la naturaleza de obligaciones, pasivos contingentes</t>
  </si>
  <si>
    <t>Explicación del efecto financiero estimado de los pasivos contingentes</t>
  </si>
  <si>
    <t>Efecto financiero esperado de pasivos contingentes</t>
  </si>
  <si>
    <t>Explicación de la posibilidad de reembolso, pasivos contingentes</t>
  </si>
  <si>
    <t>Indicación de incertidumbres de importes o calendario de salidas, pasivos contingentes</t>
  </si>
  <si>
    <t>[831150] Notas -  Ingresos de actividades ordinarias procedentes de contratos con clientes - Costos</t>
  </si>
  <si>
    <t>Información a revelar de activos reconocidos por costos para obtener o cumplir contratos con clientes [partida de los estados financieros]</t>
  </si>
  <si>
    <t>Activos reconocidos por costos para obtener o cumplir contratos con clientes</t>
  </si>
  <si>
    <t>Amortización, activos reconocidos por costos incurridos para obtener o cumplir contratos con clientes</t>
  </si>
  <si>
    <t>Pérdidas por deterioro de valor, activos reconocidos por costos incurridos para obtener o cumplir contratos con clientes</t>
  </si>
  <si>
    <t>[832410] Notas - Deterioro del valor de activos - Información descriptiva</t>
  </si>
  <si>
    <t>Información a revelar sobre pérdidas por deterioro del valor y reversión de las pérdidas por deterioro del valor [bloque de texto]</t>
  </si>
  <si>
    <t>Explicación de los principales eventos y circunstancias que han llevado al reconocimiento de pérdidas por deterioro del valor y reversiones de pérdidas por deterioro del valor</t>
  </si>
  <si>
    <t>Explicación de las principales clases de activos afectados por pérdidas por deterioro de valor o reversiones de pérdidas por deterioros de valor</t>
  </si>
  <si>
    <t>[832410a] Notas - Deterioro del valor de activos</t>
  </si>
  <si>
    <t>Inversiones contabilizadas utilizando el método de la participación [miembro]</t>
  </si>
  <si>
    <t>Otros activos con su valor deteriorado [miembro]</t>
  </si>
  <si>
    <t>Información a revelar sobre pérdidas por deterioro del valor y reversión de las pérdidas por deterioro del valor [partidas]</t>
  </si>
  <si>
    <t>Pérdidas por deterioro de valor reconocidas en el resultado del periodo</t>
  </si>
  <si>
    <t>Descripción de la partida o partidas del estado del resultado integral en las que se incluyen las pérdidas por deterioro de valor reconocidas en el resultado del periodo</t>
  </si>
  <si>
    <t>Reversión de pérdidas por deterioro de valor reconocidas en el resultado del periodo</t>
  </si>
  <si>
    <t>Descripción de la partida o partidas del estado del resultado integral en las que se revierten las pérdidas por deterioro de valor reconocidas en el resultado del periodo</t>
  </si>
  <si>
    <t>Pérdidas por deterioro de valor reconocidas en otro resultado integral</t>
  </si>
  <si>
    <t>Reversión de pérdidas por deterioro de valor reconocidas en otro resultado integral</t>
  </si>
  <si>
    <t>[832610] Notas - Arrendamientos - Información detallada a revelar</t>
  </si>
  <si>
    <t>Activos por derecho de uso que no cumplen la definición de propiedades de inversión</t>
  </si>
  <si>
    <t>Descripción de las partidas en el estado de situación financiera que incluyen activos por derecho de uso [texto]</t>
  </si>
  <si>
    <t>Pasivos por  arrendamiento [resúmen]</t>
  </si>
  <si>
    <t>Pasivo por arrendamiento corriente</t>
  </si>
  <si>
    <t>Pasivo por arrendamientos no corrientes</t>
  </si>
  <si>
    <t>Total pasivos por arrendamientos</t>
  </si>
  <si>
    <t>Descripción de las partidas en el estado de situación financiera que incluyen pasivos por arrendamientos</t>
  </si>
  <si>
    <t>[832900] Notas - Acuerdos de concesión de servicios públicos</t>
  </si>
  <si>
    <t>Información a revelar detallada sobre acuerdos de concesión de servicios públicos [bloque de texto]</t>
  </si>
  <si>
    <t>Descripción del acuerdo de concesión de servicios</t>
  </si>
  <si>
    <t>Explicación de las condiciones significativas del acuerdo de concesión de servicios que pueden afectar al importe, calendario y certeza de los flujos de efectivo futuros</t>
  </si>
  <si>
    <t>Explicación de la naturaleza y alcance de derecho a utilizar activos específicos</t>
  </si>
  <si>
    <t>Explicación de la naturaleza y alcance de las obligaciones de proporcionar o derecho a esperar una prestación de servicios</t>
  </si>
  <si>
    <t>Explicación de la naturaleza y alcance de las obligaciones para adquirir o construir elementos de propiedades, planta y equipo</t>
  </si>
  <si>
    <t>Explicación de la naturaleza y alcance de las obligaciones de proporcionar o derechos a recibir activos especificados al final de periodo de concesión</t>
  </si>
  <si>
    <t>Explicación de la naturaleza y alcance de las opciones de renovación y terminación</t>
  </si>
  <si>
    <t>Explicación de la naturaleza y alcance de otros derechos y obligaciones</t>
  </si>
  <si>
    <t>Descripción de cambios en el acuerdo de concesión de servicios</t>
  </si>
  <si>
    <t>Explicación de la forma en que se ha clasificado un acuerdo de concesión de servicio público</t>
  </si>
  <si>
    <t>Ingresos de actividades ordinarias por servicios de construcción intercambiados por activos financieros</t>
  </si>
  <si>
    <t>Ingresos de actividades ordinarias por servicios de construcción intercambiados por activos intangibles</t>
  </si>
  <si>
    <t>Ganancia (pérdida) reconocida por servicios de construcción intercambiados por activos financieros</t>
  </si>
  <si>
    <t>Ganancia (pérdida) reconocida por servicios de construcción intercambiados por activos intangibles</t>
  </si>
  <si>
    <t>[834480] Notas - Beneficios a los empleados</t>
  </si>
  <si>
    <t>Información a revelar sobre planes de beneficios definidos [bloque de texto]</t>
  </si>
  <si>
    <t>Información a revelar sobre pasivos (activos) por beneficios definidos netos [bloque de texto]</t>
  </si>
  <si>
    <t>[835110] Notas - Impuestos a las ganancias</t>
  </si>
  <si>
    <t>Principales componentes del gasto (ingreso) por impuestos [resumen]</t>
  </si>
  <si>
    <t>Gasto (ingreso) por impuestos corriente y ajustes por impuestos corrientes de periodos anteriores [resumen]</t>
  </si>
  <si>
    <t>Gasto (ingreso) por impuesto corriente</t>
  </si>
  <si>
    <t>Ajustes por impuestos corrientes de periodos anteriores</t>
  </si>
  <si>
    <t>Total gastos (ingresos) por impuestos corrientes y ajustes a impuestos corrientes de periodos anteriores</t>
  </si>
  <si>
    <t>Gasto (ingreso) por impuestos diferidos relacionado con el nacimiento y reversión de diferencias temporarias</t>
  </si>
  <si>
    <t>Gasto (ingreso) por impuestos diferidos relacionado con cambios en las tasas fiscales o con la imposición de nuevos impuestos</t>
  </si>
  <si>
    <t>Beneficios de carácter fiscal, procedentes de pérdidas fiscales, créditos fiscales o diferencias temporarias no reconocidos en periodos anteriores utilizadas para reducir el gasto por impuestos del periodo corriente</t>
  </si>
  <si>
    <t>Beneficios de carácter fiscal, procedentes de pérdidas fiscales, créditos fiscales o diferencias temporarias no reconocidos en periodos anteriores utilizadas para reducir el gasto por impuestos diferido</t>
  </si>
  <si>
    <t>Gasto por impuestos diferidos surgido de la baja o la reversión de la baja de activos por impuestos diferidos</t>
  </si>
  <si>
    <t>Gasto (ingreso) por impuestos relacionado con cambios en políticas contables y errores incluidos en el resultado del periodo</t>
  </si>
  <si>
    <t>Ajustes por impuestos diferidos de periodos anteriores</t>
  </si>
  <si>
    <t>Otros componentes del gasto (ingreso) por impuestos diferido</t>
  </si>
  <si>
    <t>Total de gasto (ingreso) por impuestos</t>
  </si>
  <si>
    <t>Impuestos corrientes y diferidos, relativos a partidas cargadas o acreditadas directamente a patrimonio [resumen]</t>
  </si>
  <si>
    <t>Impuestos corrientes relacionados con partidas acreditadas (cargadas) directamente a patrimonio</t>
  </si>
  <si>
    <t>Impuestos diferidos relacionados con partidas acreditadas (cargadas) directamente a patrimonio</t>
  </si>
  <si>
    <t>Impuestos corrientes y diferidos acumulados relacionados con partidas acreditadas (cargadas) directamente a patrimonio</t>
  </si>
  <si>
    <t>Impuesto a las ganancias relacionado con otro resultado integral [resumen]</t>
  </si>
  <si>
    <t>Impuesto a las ganancias relacionado con coberturas de flujos de efectivo de otro resultado integral</t>
  </si>
  <si>
    <t>Impuesto a las ganancias relativo a nuevas mediciones de planes de beneficios definidos de otro resultado integral</t>
  </si>
  <si>
    <t>Impuesto a las ganancias relativos a inversiones en instrumentos de patrimonio de otro resultado integral</t>
  </si>
  <si>
    <t>Impuesto a las ganancias relativos a coberturas de inversiones netas en negocios en el extranjero de otro resultado integral</t>
  </si>
  <si>
    <t>Impuesto a las ganancias relacionado con cambios en el valor razonable de pasivos financieros atribuibles a cambios en el riesgo crediticio del pasivo de otro resultado integral</t>
  </si>
  <si>
    <t>Impuesto a las ganancias relacionados con coberturas de inversiones en instrumentos de patrimonio de otro resultado integral</t>
  </si>
  <si>
    <t>Impuesto a las ganancias relacionado con cambios en el valor temporal del dinero de opciones de otro resultado integral</t>
  </si>
  <si>
    <t>Suma de impuestos a las ganancias relacionados con componentes de otro resultado integral</t>
  </si>
  <si>
    <t>Impuesto a las ganancias relacionado con la participación en el otro resultado integral de asociadas y negocios conjuntos que se contabilicen mediante el método de la participación</t>
  </si>
  <si>
    <t>Gasto por impuestos de operaciones discontinuadas [resumen]</t>
  </si>
  <si>
    <t>Gasto por impuestos relacionado con ganancias (pérdidas) derivadas de la discontinuación</t>
  </si>
  <si>
    <t>Gasto por impuestos relacionado con ganancias (pérdidas) procedentes de actividades ordinarias de operaciones discontinuadas</t>
  </si>
  <si>
    <t>Explicación sobre cambios en tasas impositivas aplicables a periodos contables anteriores</t>
  </si>
  <si>
    <t>Descripción de la fecha de caducidad de las diferencias temporarias deducibles, pérdidas fiscales no utilizadas y créditos fiscales no utilizados</t>
  </si>
  <si>
    <t>Diferencias temporarias deducibles por las que no se reconoce activo por impuestos diferidos</t>
  </si>
  <si>
    <t>Pérdidas fiscales no utilizadas para las que no se han reconocido activos por impuestos diferidos</t>
  </si>
  <si>
    <t>Créditos fiscales no utilizados para los que no se han reconocido activos por impuestos diferidos</t>
  </si>
  <si>
    <t>Diferencias temporarias relacionadas con inversiones en subsidiarias, sucursales y asociadas, y con participaciones en acuerdos conjuntos, para los cuales no se han reconocido pasivos por impuestos diferidos</t>
  </si>
  <si>
    <t>Conciliación de la ganancia contable multiplicada por las tasas impositivas aplicables [resumen]</t>
  </si>
  <si>
    <t>Ganancia contable</t>
  </si>
  <si>
    <t>Total de gasto (ingreso) por impuestos a la tasa impositiva aplicable</t>
  </si>
  <si>
    <t>Efecto fiscal de ingresos de actividades ordinarias exentos de tributación</t>
  </si>
  <si>
    <t>Efecto fiscal de gastos no deducibles para la determinación de la ganancia (pérdida) tributable</t>
  </si>
  <si>
    <t>Efecto fiscal del deterioro del valor de la plusvalía</t>
  </si>
  <si>
    <t>Efecto fiscal de pérdidas fiscales</t>
  </si>
  <si>
    <t>Efecto fiscal de tasas impositivas soportadas en el extranjero</t>
  </si>
  <si>
    <t>Efecto fiscal procedente de cambios en las tasas impositivas</t>
  </si>
  <si>
    <t>Otros efectos fiscales por conciliación entre la ganancia contable y gasto por impuestos (ingreso)</t>
  </si>
  <si>
    <t>Conciliación de la tasa impositiva media efectiva y la tasa impositiva aplicable [resumen]</t>
  </si>
  <si>
    <t>Tasa impositiva aplicable</t>
  </si>
  <si>
    <t>Efecto de la tasa impositiva de ingresos de actividades ordinarias exentos de tributación</t>
  </si>
  <si>
    <t>Efecto de la tasa impositiva de gastos no deducibles para la determinación de la ganancia (pérdida) tributable</t>
  </si>
  <si>
    <t>Efecto en la tasa impositiva del deterioro del valor de la plusvalía</t>
  </si>
  <si>
    <t>Efecto de la tasa impositiva de pérdidas fiscales</t>
  </si>
  <si>
    <t>Efecto de la tasa impositiva de tasas impositivas soportadas en el extranjero</t>
  </si>
  <si>
    <t>Efecto de la tasa impositiva procedente de cambios en la tasa impositiva</t>
  </si>
  <si>
    <t>Efecto de la tasa impositiva de ajustes a impuestos corrientes de periodos anteriores</t>
  </si>
  <si>
    <t>Otros efectos de la tasa impositiva por conciliación entre la ganancia contable y gasto por impuestos (ingreso)</t>
  </si>
  <si>
    <t>Total de tasa impositiva media efectiva</t>
  </si>
  <si>
    <t>[836200] Notas - Costos por préstamos</t>
  </si>
  <si>
    <t>Información a revelar sobre costos por préstamos [bloque de texto]</t>
  </si>
  <si>
    <t>Costos por préstamos [resumen]</t>
  </si>
  <si>
    <t>Costos por préstamos capitalizados</t>
  </si>
  <si>
    <t>Costos por préstamos reconocidos como gasto</t>
  </si>
  <si>
    <t>Total costos por préstamos incurridos</t>
  </si>
  <si>
    <t>Costos por intereses [resumen]</t>
  </si>
  <si>
    <t>Costos por intereses capitalizados</t>
  </si>
  <si>
    <t>Gastos por intereses</t>
  </si>
  <si>
    <t>Total costos por intereses incurridos</t>
  </si>
  <si>
    <t>Tasa de capitalización de costos por préstamos susceptibles de capitalización</t>
  </si>
  <si>
    <t>[842000] Notas - Efectos de las variaciones en las tasas de cambio de la moneda extranjera</t>
  </si>
  <si>
    <t>Cuál es la moneda funcional</t>
  </si>
  <si>
    <t>Descripción de la moneda de presentación</t>
  </si>
  <si>
    <t>Descripción de la razón por la que la moneda de presentación es diferente de la moneda funcional</t>
  </si>
  <si>
    <t>Descripción de la razón para introducir cambios en la moneda funcional</t>
  </si>
  <si>
    <t>Descripción de la moneda en la que se facilita información complementaria</t>
  </si>
  <si>
    <t>Descripción de los métodos de conversión utilizados para determinar la información complementaria</t>
  </si>
  <si>
    <t>Ganancias (pérdidas) de cambio en moneda extranjera</t>
  </si>
  <si>
    <t>Ganancia neta por moneda extranjera</t>
  </si>
  <si>
    <t>Pérdida neta por moneda extranjera</t>
  </si>
  <si>
    <t>Reserva de diferencias de cambio por conversión</t>
  </si>
  <si>
    <t>Tasas de cambio de moneda extranjera [resumen]</t>
  </si>
  <si>
    <t>Tasa de cambio de moneda extranjera de cierre.</t>
  </si>
  <si>
    <t>Promedio de tasa de cambio de moneda extranjera</t>
  </si>
  <si>
    <t>COP - Colombian peso</t>
  </si>
  <si>
    <t>EUR - Euro</t>
  </si>
  <si>
    <t>USD - US Dollar</t>
  </si>
  <si>
    <t>[900010] Notas - Información a revelar sobre los responsables de la información financiera e información del AEGR</t>
  </si>
  <si>
    <t>Detalle [resumen]</t>
  </si>
  <si>
    <t>Nombres</t>
  </si>
  <si>
    <t>Apellidos</t>
  </si>
  <si>
    <t>Tipo de documento</t>
  </si>
  <si>
    <t>Número de documento</t>
  </si>
  <si>
    <t>Email</t>
  </si>
  <si>
    <t>Tarjeta profesional</t>
  </si>
  <si>
    <t>Si la persona natural actua como miembro de una persona jurídica, indique la razón social</t>
  </si>
  <si>
    <t>Si la persona natural actua como miembro de una persona jurídica, indique el NIT</t>
  </si>
  <si>
    <t>Tipo de norma de auditoría aplicada y tipo de dictamen</t>
  </si>
  <si>
    <t>Relación [miembro]</t>
  </si>
  <si>
    <t>Representante legal [miembro]</t>
  </si>
  <si>
    <t>Contador [miembro]</t>
  </si>
  <si>
    <t>Jefe de la oficina de control interno [miembro]</t>
  </si>
  <si>
    <t>Revisor fiscal [miembro]</t>
  </si>
  <si>
    <t>AEGR [miembro]</t>
  </si>
  <si>
    <t>01 - CÉDULA DE CIUDADANÍA</t>
  </si>
  <si>
    <t>02 - CÉDULA DE EXTRANJERÍA</t>
  </si>
  <si>
    <t>03 - PASAPORTE</t>
  </si>
  <si>
    <t>NAGAS - 1. Limpio</t>
  </si>
  <si>
    <t>NAGAS - 2. Con salvedad</t>
  </si>
  <si>
    <t>NAGAS - 3. Negativo</t>
  </si>
  <si>
    <t>NAGAS - 4. Abstención de opinión</t>
  </si>
  <si>
    <t>NIAS - 1. No modificada</t>
  </si>
  <si>
    <t>NIAS - 2. Modificada; opinión con salvedades</t>
  </si>
  <si>
    <t>NIAS - 3. Modificada; opinión desfavorable o adversa</t>
  </si>
  <si>
    <t>NIAS - 4. Modificada; denegación o abstención de opinión</t>
  </si>
  <si>
    <t>[900017a] FC01-1 - Gastos de servicios públicos - Acueducto</t>
  </si>
  <si>
    <t>Gasto administrativo - Acueducto [miembro]</t>
  </si>
  <si>
    <t>Gasto operativo - Acueducto [miembro]</t>
  </si>
  <si>
    <t>Gastos [resumen]</t>
  </si>
  <si>
    <t>Beneficios a empleados</t>
  </si>
  <si>
    <t>Honorarios</t>
  </si>
  <si>
    <t>Impuestos, Tasas y Contribuciones (No incluye impuesto de renta)</t>
  </si>
  <si>
    <t>Generales</t>
  </si>
  <si>
    <t>Deterioro</t>
  </si>
  <si>
    <t>Depreciación</t>
  </si>
  <si>
    <t>Amortización</t>
  </si>
  <si>
    <t>Provisiones [resumen]</t>
  </si>
  <si>
    <t>Litigios y demandas</t>
  </si>
  <si>
    <t>Garantías</t>
  </si>
  <si>
    <t>Diversas</t>
  </si>
  <si>
    <t>Total gastos de provisiones</t>
  </si>
  <si>
    <t>Arrendamientos</t>
  </si>
  <si>
    <t>Otros Gastos [resumen]</t>
  </si>
  <si>
    <t>Comisiones</t>
  </si>
  <si>
    <t>Ajuste por diferencia en cambio</t>
  </si>
  <si>
    <t>Financieros</t>
  </si>
  <si>
    <t>Pérdidas por aplicación del método de participación patrimonial</t>
  </si>
  <si>
    <t>Gastos diversos</t>
  </si>
  <si>
    <t>Donaciones</t>
  </si>
  <si>
    <t>Total otros gastos</t>
  </si>
  <si>
    <t>Impuesto a las ganancias corrientes</t>
  </si>
  <si>
    <t>Impuesto a las ganancias diferido</t>
  </si>
  <si>
    <t>Bienes y servicios públicos para la venta [resumen]</t>
  </si>
  <si>
    <t>Compras en bloque y/o a largo plazo</t>
  </si>
  <si>
    <t>Compras en bolsa y/o a corto plazo</t>
  </si>
  <si>
    <t>Gastos por suministro de agua potable (agua en bloque)</t>
  </si>
  <si>
    <t>Gastos de conexión</t>
  </si>
  <si>
    <t>Uso de Líneas, redes y ductos</t>
  </si>
  <si>
    <t>Gastos de distribución y/o comercialización de gas combustible por redes</t>
  </si>
  <si>
    <t>Manejo comercial y financiero del servicio</t>
  </si>
  <si>
    <t>Gastos de distribución y/o comercialización de gas licuado de petróleo – GLP</t>
  </si>
  <si>
    <t>Contrato de explotación</t>
  </si>
  <si>
    <t>Gastos asociados a las transacciones en el mercado mayorista</t>
  </si>
  <si>
    <t>Contrato de concesión</t>
  </si>
  <si>
    <t>Otros gastos bienes y servicios públicos para la venta</t>
  </si>
  <si>
    <t>Gastos asociados a las transacciones en el mercado minorista</t>
  </si>
  <si>
    <t>Total de bienes y servicios públicos para la venta</t>
  </si>
  <si>
    <t>Licencias, contribuciones y regalías [resumen]</t>
  </si>
  <si>
    <t>Secretaría Distrital del Medio Ambiente</t>
  </si>
  <si>
    <t>Ley 56 de 1981</t>
  </si>
  <si>
    <t>Medio Ambiente – Ley 99 de 1993</t>
  </si>
  <si>
    <t>Regalías</t>
  </si>
  <si>
    <t>Licencia De Operación Del Servicio</t>
  </si>
  <si>
    <t>FAZNI</t>
  </si>
  <si>
    <t>FAER</t>
  </si>
  <si>
    <t>Cuota de Fomento de gas</t>
  </si>
  <si>
    <t>Comité De Estratificación –Ley 505 De 1999</t>
  </si>
  <si>
    <t>Art 25 - Ley 142 - Concesiones, y permisos ambientales y sanitarios</t>
  </si>
  <si>
    <t>Otras licencias Ley 142 de 1994</t>
  </si>
  <si>
    <t>Total licencias, contribuciones y regalías</t>
  </si>
  <si>
    <t>Consumo de Insumos Directos [resumen]</t>
  </si>
  <si>
    <t>Productos Químicos</t>
  </si>
  <si>
    <t>Gas Combustible</t>
  </si>
  <si>
    <t>Carbón Mineral</t>
  </si>
  <si>
    <t>Energía</t>
  </si>
  <si>
    <t>ACPM, Fuel Oil</t>
  </si>
  <si>
    <t>Otros Elementos de Consumo de Insumos Directos</t>
  </si>
  <si>
    <t>Total consumo de insumos directos</t>
  </si>
  <si>
    <t>Ordenes y contratos de mantenimiento y reparaciones</t>
  </si>
  <si>
    <t>Peajes terrestres</t>
  </si>
  <si>
    <t>Disposición final</t>
  </si>
  <si>
    <t>Peajes por interconexión de acueductos</t>
  </si>
  <si>
    <t>Peajes por interconexión de alcantarillado</t>
  </si>
  <si>
    <t>Servicios públicos</t>
  </si>
  <si>
    <t>Materiales y otros gastos de operación</t>
  </si>
  <si>
    <t>Pérdidas en prestación del servicio de acueducto</t>
  </si>
  <si>
    <t>Seguros</t>
  </si>
  <si>
    <t>Órdenes y contratos por otros servicios</t>
  </si>
  <si>
    <t>Total gastos</t>
  </si>
  <si>
    <t>[900017b] FC01-2 - Gastos de servicios públicos - Alcantarillado</t>
  </si>
  <si>
    <t>Gasto administrativo - Alcantarillado [miembro]</t>
  </si>
  <si>
    <t>Gasto operativo - Alcantarillado [miembro]</t>
  </si>
  <si>
    <t>[900017c] FC01-3 - Gastos de servicios públicos - Aseo</t>
  </si>
  <si>
    <t>Gasto administrativo - Aseo [miembro]</t>
  </si>
  <si>
    <t>Gasto operativo - Aseo [miembro]</t>
  </si>
  <si>
    <t>[900017d] FC01-4 - Gastos de servicios públicos - Energía</t>
  </si>
  <si>
    <t>ENERGIA - SIN [miembro]</t>
  </si>
  <si>
    <t>Generación [miembro]</t>
  </si>
  <si>
    <t>Gasto administrativo - Energía Eléctrica SIN - Generación [miembro]</t>
  </si>
  <si>
    <t>Gasto operativo - Energía Eléctrica SIN - Generación [miembro]</t>
  </si>
  <si>
    <t>Transmisión [miembro]</t>
  </si>
  <si>
    <t>Gasto administrativo - Energía Eléctrica SIN - Transmisión [miembro]</t>
  </si>
  <si>
    <t>Gasto operativo - Energía Eléctrica SIN - Transmisión [miembro]</t>
  </si>
  <si>
    <t>Distribución [miembro]</t>
  </si>
  <si>
    <t>Gasto administrativo - Energía Eléctrica SIN - Distribución [miembro]</t>
  </si>
  <si>
    <t>Gasto operativo - Energía Eléctrica SIN - Distribución [miembro]</t>
  </si>
  <si>
    <t>Comercialización [miembro]</t>
  </si>
  <si>
    <t>Gasto administrativo - Energía Eléctrica SIN - Comercialización [miembro]</t>
  </si>
  <si>
    <t>Gasto operativo - Energía Eléctrica SIN - Comercialización [miembro]</t>
  </si>
  <si>
    <t>Gasto administrativo - Energía Eléctrica SIN [miembro]</t>
  </si>
  <si>
    <t>Gasto operativo - Energía Eléctrica SIN [miembro]</t>
  </si>
  <si>
    <t>ENERGIA - ZNI [miembro]</t>
  </si>
  <si>
    <t>Gasto administrativo - Energía Eléctrica ZNI - Generación [miembro]</t>
  </si>
  <si>
    <t>Gasto operativo - Energía Eléctrica ZNI - Generación [miembro]</t>
  </si>
  <si>
    <t>Gasto administrativo - Energía Eléctrica ZNI - Distribución [miembro]</t>
  </si>
  <si>
    <t>Gasto operativo - Energía Eléctrica ZNI - Distribución [miembro]</t>
  </si>
  <si>
    <t>Gasto administrativo - Energía Eléctrica ZNI - Comercialización [miembro]</t>
  </si>
  <si>
    <t>Gasto operativo - Energía Eléctrica ZNI - Comercialización [miembro]</t>
  </si>
  <si>
    <t>Gasto administrativo - Energía Eléctrica ZNI [miembro]</t>
  </si>
  <si>
    <t>Gasto operativo - Energía Eléctrica ZNI [miembro]</t>
  </si>
  <si>
    <t>Gasto administrativo - Energía eléctrica [miembro]</t>
  </si>
  <si>
    <t>Gasto operativo - Energía Eléctrica [miembro]</t>
  </si>
  <si>
    <t>[900017e] FC01-5 - Gastos de servicios públicos - Gas combustible por redes</t>
  </si>
  <si>
    <t>Producción, comercialización [miembro]</t>
  </si>
  <si>
    <t>Gasto administrativo - Gas Combustible por redes - Producción [miembro]</t>
  </si>
  <si>
    <t>Gasto operativo - Gas Combustible por redes - Producción [miembro]</t>
  </si>
  <si>
    <t>Transporte [miembro]</t>
  </si>
  <si>
    <t>Gasto administrativo - Gas Combustible por redes - Transporte [miembro]</t>
  </si>
  <si>
    <t>Gasto operativo - Gas Combustible por redes - Transporte [miembro]</t>
  </si>
  <si>
    <t>Gasto administrativo - Gas Combustible por redes - Distribución [miembro]</t>
  </si>
  <si>
    <t>Gasto operativo - Gas Combustible por redes - Distribución [miembro]</t>
  </si>
  <si>
    <t>Gasto administrativo - Gas Combustible por redes - Comercialización [miembro]</t>
  </si>
  <si>
    <t>Gasto operativo - Gas Combustible por redes - Comercialización [miembro]</t>
  </si>
  <si>
    <t>Comercialización de gas importado [miembro]</t>
  </si>
  <si>
    <t>Gasto administrativo - Gas Combustible por redes - Comercialización de gas importado [miembro]</t>
  </si>
  <si>
    <t>Gasto operativo - Gas Combustible por redes - Comercialización de gas importado[miembro]</t>
  </si>
  <si>
    <t>Regasificación [miembro]</t>
  </si>
  <si>
    <t>Gasto administrativo - Gas Combustible por redes - Regasificación [miembro]</t>
  </si>
  <si>
    <t>Gasto operativo - Gas Combustible por redes - Regasificación [miembro]</t>
  </si>
  <si>
    <t>Gasto administrativo - Gas Combustible por redes [miembro]</t>
  </si>
  <si>
    <t>Gasto operativo - Gas Combustible por redes [miembro]</t>
  </si>
  <si>
    <t>[900017f] FC01-6 - Gastos de servicios públicos - Gas licuado del petroleo</t>
  </si>
  <si>
    <t>Comercialización Mayorista [miembro]</t>
  </si>
  <si>
    <t>Gasto administrativo - GLP - Comercialización mayorista [miembro]</t>
  </si>
  <si>
    <t>Gasto operativo - GLP - Comercialización mayorista [miembro]</t>
  </si>
  <si>
    <t>Distribución Inversionista [miembro]</t>
  </si>
  <si>
    <t>Gasto administrativo - GLP - Distribución inversionista [miembro]</t>
  </si>
  <si>
    <t>Gasto operativo - GLP - Distribución inversionista [miembro]</t>
  </si>
  <si>
    <t>Comercialización Minorista [miembro]</t>
  </si>
  <si>
    <t>Gasto administrativo - GLP - Comercialización minorista [miembro]</t>
  </si>
  <si>
    <t>Gasto operativo - GLP - Comercialización minorista [miembro]</t>
  </si>
  <si>
    <t>Gasto administrativo - GLP - Transporte [miembro]</t>
  </si>
  <si>
    <t>Gasto operativo - GLP - Transporte [miembro]</t>
  </si>
  <si>
    <t>Gasto administrativo - GLP [miembro]</t>
  </si>
  <si>
    <t>Gasto operativo - GLP [miembro]</t>
  </si>
  <si>
    <t>[900017g] FC01-7 - Gastos de servicios públicos - Total servicios públicos y actividades no vigiladas</t>
  </si>
  <si>
    <t>Total Periodo [miembro]</t>
  </si>
  <si>
    <t>Total prestación servicios públicos nacionales [miembro]</t>
  </si>
  <si>
    <t>Gasto administrativo - Total de servicios públicos [miembro]</t>
  </si>
  <si>
    <t>Gasto operativo - Total de servicios públicos [miembro]</t>
  </si>
  <si>
    <t>Gasto administrativo - XM [miembro]</t>
  </si>
  <si>
    <t>Gasto operativo - XM [miembro]</t>
  </si>
  <si>
    <t>Gasto administrativo - Otras actividades no vigiladas [miembro]</t>
  </si>
  <si>
    <t>Gasto operativo - Otras actividades no vigiladas [miembro]</t>
  </si>
  <si>
    <t>Gasto administrativo - Total del periodo [miembro]</t>
  </si>
  <si>
    <t>Gasto operativo - Total del periodo [miembro]</t>
  </si>
  <si>
    <t>[900019] FC02 - Complementario ingresos</t>
  </si>
  <si>
    <t>Ingresos, devoluciones, rebajas y descuentos [miembro]</t>
  </si>
  <si>
    <t>Ingresos brutos [miembro]</t>
  </si>
  <si>
    <t>Devoluciones, rebajas y descuentos [miembro]</t>
  </si>
  <si>
    <t>Ingresos netos [miembro]</t>
  </si>
  <si>
    <t>Información a revelar sobre ingresos y devoluciones [resumen]</t>
  </si>
  <si>
    <t>Información a revelar sobre ingresos [resumen]</t>
  </si>
  <si>
    <t>Acueducto [resumen]</t>
  </si>
  <si>
    <t>Abastecimiento</t>
  </si>
  <si>
    <t>Distribución</t>
  </si>
  <si>
    <t>Comercialización</t>
  </si>
  <si>
    <t>Subtotal Ingresos Acueducto</t>
  </si>
  <si>
    <t>Alcantarillado [resumen]</t>
  </si>
  <si>
    <t>Recolección y transporte</t>
  </si>
  <si>
    <t>Tratamiento de aguas residuales</t>
  </si>
  <si>
    <t>Subtotal Ingresos Alcantarillado</t>
  </si>
  <si>
    <t>Aseo [resumen]</t>
  </si>
  <si>
    <t>Recolección y transporte de residuos no aprovechables</t>
  </si>
  <si>
    <t>Tratamiento de lixiviados</t>
  </si>
  <si>
    <t>Corte de césped</t>
  </si>
  <si>
    <t>Poda de arboles</t>
  </si>
  <si>
    <t>Limpieza y lavado de áreas públicas</t>
  </si>
  <si>
    <t>Limpieza de playa costeras y rivereñas</t>
  </si>
  <si>
    <t>Suministro e Instalación de cestas en vías y áreas públicas</t>
  </si>
  <si>
    <t>Mantenimiento de cestas en vías y áreas públicas</t>
  </si>
  <si>
    <t>Barrido y Limpieza</t>
  </si>
  <si>
    <t>Transferencia</t>
  </si>
  <si>
    <t>Aprovechamiento</t>
  </si>
  <si>
    <t>Manejo de residuos especiales</t>
  </si>
  <si>
    <t>Otros ingresos servicio aseo</t>
  </si>
  <si>
    <t>Subtotal Ingresos Aseo</t>
  </si>
  <si>
    <t>Energía Eléctrica [resumen]</t>
  </si>
  <si>
    <t>ENERGIA - SIN [resumen]</t>
  </si>
  <si>
    <t>Generación [resumen]</t>
  </si>
  <si>
    <t>Ventas de contratos bilaterales</t>
  </si>
  <si>
    <t>Transacciones de energía en bolsa [resumen]</t>
  </si>
  <si>
    <t>Arranques y paradas</t>
  </si>
  <si>
    <t>Desviaciones positivas</t>
  </si>
  <si>
    <t>Cargo por confiabilidad</t>
  </si>
  <si>
    <t>Servicio AGC</t>
  </si>
  <si>
    <t>Restricciones</t>
  </si>
  <si>
    <t>Ventas en bolsa</t>
  </si>
  <si>
    <t>Subtotal Transacciones de energía en bolsa</t>
  </si>
  <si>
    <t>Otros ingresos de generación</t>
  </si>
  <si>
    <t>Subtotal Ingresos Generación</t>
  </si>
  <si>
    <t>Transmisión</t>
  </si>
  <si>
    <t>Comercialización [resumen]</t>
  </si>
  <si>
    <t>Ventas contratos bilaterales</t>
  </si>
  <si>
    <t>Ventas energía en bolsa</t>
  </si>
  <si>
    <t>Subtotal Comercialización</t>
  </si>
  <si>
    <t>Subtotal Energia - SIN</t>
  </si>
  <si>
    <t>ENERGIA - ZNI [resumen]</t>
  </si>
  <si>
    <t>Generación</t>
  </si>
  <si>
    <t>Subtotal Energia - ZNI</t>
  </si>
  <si>
    <t>Subtotal Energia Eléctrica</t>
  </si>
  <si>
    <t>Gas combustible por redes [resumen]</t>
  </si>
  <si>
    <t>Producción, comercialización [resumen]</t>
  </si>
  <si>
    <t>Contrato de Suministro en Firme</t>
  </si>
  <si>
    <t>Contrato de Suministro con Firmeza condicionada</t>
  </si>
  <si>
    <t>Contrato de Suministro en Firme al 95% - CF95</t>
  </si>
  <si>
    <t>Contrato de Suministro C1</t>
  </si>
  <si>
    <t>Contrato de Suministro C2</t>
  </si>
  <si>
    <t>Contrato de Opción de Compra de Gas</t>
  </si>
  <si>
    <t>Contrato de Suministro de Contingencia</t>
  </si>
  <si>
    <t>Contrato de Opción de Compra de Gas contra exportaciones</t>
  </si>
  <si>
    <t>Contrato con Interrupciones</t>
  </si>
  <si>
    <t>Contrato de condiciones uniformes</t>
  </si>
  <si>
    <t>Otros</t>
  </si>
  <si>
    <t>Subtotal Producción, comercialización</t>
  </si>
  <si>
    <t>Transporte [resumen]</t>
  </si>
  <si>
    <t>Contrato de Transporte Firme</t>
  </si>
  <si>
    <t>Contrato de Opción de Compra de Transporte</t>
  </si>
  <si>
    <t>Contrato de Transporte de Contingencia</t>
  </si>
  <si>
    <t>Contrato de Transporte con Firmeza Condicionada</t>
  </si>
  <si>
    <t>Parqueo Rodante</t>
  </si>
  <si>
    <t>Subtotal Transporte</t>
  </si>
  <si>
    <t>Distribución [resumen]</t>
  </si>
  <si>
    <t>Ingresos por Distribución de Gas Natural</t>
  </si>
  <si>
    <t>Ingresos por Distribución de GLP por Redes</t>
  </si>
  <si>
    <t>Ingresos por Distribución de Aire Propanado</t>
  </si>
  <si>
    <t>Subtotal Distribución</t>
  </si>
  <si>
    <t>Contrato Firme que garantiza Firmeza de Suministro</t>
  </si>
  <si>
    <t>Contrato Firme que garantiza Firmeza de Transporte</t>
  </si>
  <si>
    <t>Comercialización de Gas Importado [resumen]</t>
  </si>
  <si>
    <t>Ingresos por Contratos de representación</t>
  </si>
  <si>
    <t>Subtotal Comercialización de Gas Importado</t>
  </si>
  <si>
    <t>Regasificación [resumen]</t>
  </si>
  <si>
    <t>Ingresos por servicio puro de regasificación</t>
  </si>
  <si>
    <t>Ingresos por disponibilidad de la planta</t>
  </si>
  <si>
    <t>Subtotal Regasificación</t>
  </si>
  <si>
    <t>Subtotal Gas Combustible por Redes</t>
  </si>
  <si>
    <t>Gas Licuado de Petróleo [resumen]</t>
  </si>
  <si>
    <t>Comercialización Mayorista [resumen]</t>
  </si>
  <si>
    <t>Remuneración por Producción</t>
  </si>
  <si>
    <t>Ingreso por Comercialización Mayorista</t>
  </si>
  <si>
    <t>Subtotal Comercialización Mayorista</t>
  </si>
  <si>
    <t>Comercialización Minorista</t>
  </si>
  <si>
    <t>Remuneración por Transporte por Ductos</t>
  </si>
  <si>
    <t>Remuneración por Transporte Marítimo</t>
  </si>
  <si>
    <t>Cargo por Estampilla</t>
  </si>
  <si>
    <t>Subtotal Gas Licuado de Petróleo</t>
  </si>
  <si>
    <t>Ingresos por actividades de servicios públicos</t>
  </si>
  <si>
    <t>Ingresos operador del mercado LAC</t>
  </si>
  <si>
    <t>Ingresos actividades no vigiladas</t>
  </si>
  <si>
    <t>Total Ingresos</t>
  </si>
  <si>
    <t>[900021] FC03-1 - CXC - Acueducto (Detallado por estrato)</t>
  </si>
  <si>
    <t>Formato Complementario - Cuentas por cobrar (Acueducto - Detallado por estrato)</t>
  </si>
  <si>
    <t>Corriente / No corriente [miembro]</t>
  </si>
  <si>
    <t>Corriente [miembro]</t>
  </si>
  <si>
    <t>No Corriente [miembro]</t>
  </si>
  <si>
    <t>No vencida [miembro]</t>
  </si>
  <si>
    <t>Vencida 1 a 30 días [miembro]</t>
  </si>
  <si>
    <t>Vencida 31 a 60 días [miembro]</t>
  </si>
  <si>
    <t>Vencida 61 a 90 días [miembro]</t>
  </si>
  <si>
    <t>Vencida 91 a 120 días [miembro]</t>
  </si>
  <si>
    <t>Vencida 121 a 150 días [miembro]</t>
  </si>
  <si>
    <t>Vencida 151 a 180 días [miembro]</t>
  </si>
  <si>
    <t>Vencida 181 a 360 días [miembro]</t>
  </si>
  <si>
    <t>Vencida mayor de 360 días [miembro]</t>
  </si>
  <si>
    <t>Formato Complementario - Cuentas por cobrar (Acueducto - Detallado por estrato) [partidas]</t>
  </si>
  <si>
    <t>Detalle Cuentas por cobrar Servicio de Acueducto</t>
  </si>
  <si>
    <t>Servicio de acueducto [partidas]</t>
  </si>
  <si>
    <t>Otros Servicios</t>
  </si>
  <si>
    <t>Residencial Estrato 1</t>
  </si>
  <si>
    <t>Residencial Estrato 2</t>
  </si>
  <si>
    <t>Residencial Estrato 3</t>
  </si>
  <si>
    <t>Residencial Estrato 4</t>
  </si>
  <si>
    <t>Residencial Estrato 5</t>
  </si>
  <si>
    <t>Residencial Estrato 6</t>
  </si>
  <si>
    <t>No residencial industrial</t>
  </si>
  <si>
    <t>No residencial comercial</t>
  </si>
  <si>
    <t>No residencial oficial</t>
  </si>
  <si>
    <t>No residencial especial</t>
  </si>
  <si>
    <t>Total Comercialización</t>
  </si>
  <si>
    <t>Cuentas por Cobrar brutas servicio de Acueducto</t>
  </si>
  <si>
    <t>Detalle Deterioro cuentas por cobrar Servicio de Acueducto</t>
  </si>
  <si>
    <t>Deterioro de cuentas por cobrar [partidas]</t>
  </si>
  <si>
    <t>No Residencial Industrial</t>
  </si>
  <si>
    <t>No Residencial Comercial</t>
  </si>
  <si>
    <t>No Residencial Oficial</t>
  </si>
  <si>
    <t>No Residencial Especial</t>
  </si>
  <si>
    <t>Total deterioro cuentas por cobrar Servicio Acueducto</t>
  </si>
  <si>
    <t>Cuentas por cobrar netas Servicio Acueducto</t>
  </si>
  <si>
    <t>[900022] FC03-2 - CXC - Alcantarillado (Detallado por estrato)</t>
  </si>
  <si>
    <t>Formato Complementario - Cuentas por cobrar (Alcantarillado - Detallado por estrato)</t>
  </si>
  <si>
    <t>Formato Complementario - Cuentas por cobrar (Alcantarillado - Detallado por estrato) [partidas]</t>
  </si>
  <si>
    <t>Detalle Cuentas por cobrar Servicio de Alcantarillado</t>
  </si>
  <si>
    <t>Servicio de alcantarillado [resumen]</t>
  </si>
  <si>
    <t>Recolección</t>
  </si>
  <si>
    <t>Tratamiento y disposición final</t>
  </si>
  <si>
    <t>Cuentas por Cobrar brutas servicio de Alcantarillado</t>
  </si>
  <si>
    <t>Detalle Deterioro cuentas por cobrar Servicio de Alcantarillado</t>
  </si>
  <si>
    <t>Total deterioro cuentas por cobrar Servicio Alcantarillado</t>
  </si>
  <si>
    <t>Cuentas por cobrar netas Servicio Alcantarillado</t>
  </si>
  <si>
    <t>[900023] FC03-3 - CXC - Aseo (Detallado por estrato)</t>
  </si>
  <si>
    <t>Formato Complementario - Cuentas por cobrar (Aseo - Detallado por estrato)</t>
  </si>
  <si>
    <t>Formato Complementario - Cuentas por cobrar (Aseo - Detallado por estrato) [partidas]</t>
  </si>
  <si>
    <t>Cuentas por cobrar Servicio de Aseo</t>
  </si>
  <si>
    <t>Total cuentas por cobrar servicio de aseo</t>
  </si>
  <si>
    <t>Deterioro cuentas por cobrar Servicio de Aseo</t>
  </si>
  <si>
    <t>Total deterioro cuentas por cobrar servicio de aseo</t>
  </si>
  <si>
    <t>Cuentas por cobrar netas Servicio Aseo</t>
  </si>
  <si>
    <t>[900024] FC03-4 - CXC - Energía (Detallado por estrato)</t>
  </si>
  <si>
    <t>Formato Complementario - Cuentas por cobrar (Energía Eléctrica - Detallado por estrato)</t>
  </si>
  <si>
    <t>Formato Complementario - Cuentas por cobrar (Energía Eléctrica - Detallado por estrato) [partidas]</t>
  </si>
  <si>
    <t>Cuentas por cobrar Servicio de Energía eléctrica [partidas]</t>
  </si>
  <si>
    <t>Generación [sinopsis]</t>
  </si>
  <si>
    <t>Contratos bilaterales empresas del sector</t>
  </si>
  <si>
    <t>Contratos bilaterales usuarios no regulados</t>
  </si>
  <si>
    <t>Bolsa de energía</t>
  </si>
  <si>
    <t>Total Generación</t>
  </si>
  <si>
    <t>Transmisión [sinopsis]</t>
  </si>
  <si>
    <t>Ingreso regulado</t>
  </si>
  <si>
    <t>Cargos por conexión</t>
  </si>
  <si>
    <t>Total Transmisión</t>
  </si>
  <si>
    <t>Operador de red [sinopsis]</t>
  </si>
  <si>
    <t>Cargos por uso de usuarios regulados</t>
  </si>
  <si>
    <t>Cargos por uso de usuarios no regulados</t>
  </si>
  <si>
    <t>Total Operador de red</t>
  </si>
  <si>
    <t>Comercialización [sinopsis]</t>
  </si>
  <si>
    <t>Comercial</t>
  </si>
  <si>
    <t>Industrial</t>
  </si>
  <si>
    <t>Oficial</t>
  </si>
  <si>
    <t>Alumbrado público</t>
  </si>
  <si>
    <t>Empresas del sector</t>
  </si>
  <si>
    <t>Usuarios no regulados</t>
  </si>
  <si>
    <t>Cuentas por Cobrar brutas servicio de Energía</t>
  </si>
  <si>
    <t>Deterioro de cuentas por cobrar Servicio de Energía Eléctrica [partidas]</t>
  </si>
  <si>
    <t>Total deterioro cuentas por cobrar Servicio Energía</t>
  </si>
  <si>
    <t>Cuentas por cobrar netas Servicio Energía</t>
  </si>
  <si>
    <t>[900025] FC03-5 - CXC - Gas combustible por redes  (Detallado por estrato)</t>
  </si>
  <si>
    <t>Formato Complementario - Cuentas por cobrar (Gas combustible por redes - Detallado por estrato)</t>
  </si>
  <si>
    <t>Formato Complementario - Cuentas por cobrar Gas combustible por redes - Detallado por estrato [partidas]</t>
  </si>
  <si>
    <t>Detalle Cuentas por cobrar Servicio de Gas Combustible Por Redes</t>
  </si>
  <si>
    <t>Servicio de Gas combustible por redes [resumen]</t>
  </si>
  <si>
    <t>Negocio transporte de gas combustible [resumen]</t>
  </si>
  <si>
    <t>Grandes consumidores</t>
  </si>
  <si>
    <t>Total Transporte de gas combustible</t>
  </si>
  <si>
    <t>Negocio distribución de gas combustible [resumen]</t>
  </si>
  <si>
    <t>Total Distribución de gas combustible</t>
  </si>
  <si>
    <t>Negocio comercializacion de gas combustible [resumen]</t>
  </si>
  <si>
    <t>Hogares sustitutos</t>
  </si>
  <si>
    <t>Otros residencial estrato 1</t>
  </si>
  <si>
    <t>Especial Asistencial</t>
  </si>
  <si>
    <t>Especial Educativo</t>
  </si>
  <si>
    <t>Total Comercialización de gas combustible</t>
  </si>
  <si>
    <t>Cuentas por Cobrar brutas servicio de Gas Combustible Por Redes</t>
  </si>
  <si>
    <t>Detalle Deterioro cuentas por cobrar Servicio de Gas Combustible Por Redes</t>
  </si>
  <si>
    <t>Deterioro de cuentas por cobrar [resumen]</t>
  </si>
  <si>
    <t>Residencial estrato 1</t>
  </si>
  <si>
    <t>Total deterioro cuentas por cobrar Servicio Gas Combustible Por Redes</t>
  </si>
  <si>
    <t>Cuentas por cobrar netas Servicio Gas Combustible Por Redes</t>
  </si>
  <si>
    <t>[900026] FC03-6 - CXC - Gas Licuado del Petróleo (Detallado por estrato)</t>
  </si>
  <si>
    <t>Formato Complementario - Cuentas por cobrar (Gas Licuado del Petróleo - Detallado por estrato)</t>
  </si>
  <si>
    <t>Formato Complementario - Cuentas por cobrar (Gas Licuado del Petróleo - Detallado por estrato) [partidas]</t>
  </si>
  <si>
    <t>Detalle Cuentas por cobrar Servicio de GLP</t>
  </si>
  <si>
    <t>Servicio de gas licuado del petróleo [resumen]</t>
  </si>
  <si>
    <t>Negocio transporte de GLP [resumen]</t>
  </si>
  <si>
    <t>Usuarios No Regulados</t>
  </si>
  <si>
    <t>Total Transporte de GLP</t>
  </si>
  <si>
    <t>Negocio comercializacion Mayorista de GLP [resumen]</t>
  </si>
  <si>
    <t>Distribuidores Inversionistas</t>
  </si>
  <si>
    <t>Comercializadores Mayoristas</t>
  </si>
  <si>
    <t>Total Comercializacion Mayorista de GLP</t>
  </si>
  <si>
    <t>Negocio distribución de GLP [resumen]</t>
  </si>
  <si>
    <t>Comercializadores minoristas</t>
  </si>
  <si>
    <t>Tanques Estacionarios</t>
  </si>
  <si>
    <t>Puntos de Venta</t>
  </si>
  <si>
    <t>Estrato 1 Subsidiado</t>
  </si>
  <si>
    <t>Estrato 2 Subsidiado</t>
  </si>
  <si>
    <t>Total distribución de GLP</t>
  </si>
  <si>
    <t>Negocio comercialización Minorista GLP [resumen]</t>
  </si>
  <si>
    <t>Usuario Final</t>
  </si>
  <si>
    <t>Total comercialización minorista de GLP</t>
  </si>
  <si>
    <t>Cuentas por Cobrar brutas servicio de GLP</t>
  </si>
  <si>
    <t>Detalle Deterioro cuentas por cobrar Servicio de GLP</t>
  </si>
  <si>
    <t>Comercializadores mayoristas</t>
  </si>
  <si>
    <t>Negocio comercializacion Minorista GLP [resumen]</t>
  </si>
  <si>
    <t>Total deterioro cuentas por cobrar Servicio GLP</t>
  </si>
  <si>
    <t>Cuentas por cobrar netas Servicio GLP</t>
  </si>
  <si>
    <t>[900027] FC04 - Información Subsidios y Contribuciones</t>
  </si>
  <si>
    <t>Formato Complementario - Subsidios y Contribuciones [partidas]</t>
  </si>
  <si>
    <t>Subsidios</t>
  </si>
  <si>
    <t>Estrato 1</t>
  </si>
  <si>
    <t>Estrato 2</t>
  </si>
  <si>
    <t>Estrato 3</t>
  </si>
  <si>
    <t>Total Subsidios</t>
  </si>
  <si>
    <t>Contribuciones</t>
  </si>
  <si>
    <t>Estrato 5</t>
  </si>
  <si>
    <t>Estrato 6</t>
  </si>
  <si>
    <t>Total Contribución</t>
  </si>
  <si>
    <t>Valor Neto Subsidios vs. Contribuciones</t>
  </si>
  <si>
    <t>Detalle deterioro cartera de municipios</t>
  </si>
  <si>
    <t>Subsidio FOES</t>
  </si>
  <si>
    <t>Subsidio FAER</t>
  </si>
  <si>
    <t>Subsidio FAZNI</t>
  </si>
  <si>
    <t>Subsidio PRONE</t>
  </si>
  <si>
    <t>Subsidio Gas combustible por redes</t>
  </si>
  <si>
    <t>Subsidio GLP</t>
  </si>
  <si>
    <t>[900027a] FC04a - Detalle de los subsidios por cobrar</t>
  </si>
  <si>
    <t>Detalle de los subsidios por cobrar</t>
  </si>
  <si>
    <t>Periodo</t>
  </si>
  <si>
    <t>Año</t>
  </si>
  <si>
    <t>Mes</t>
  </si>
  <si>
    <t>Total Corriente / No corriente</t>
  </si>
  <si>
    <t>Corriente</t>
  </si>
  <si>
    <t>No corriente</t>
  </si>
  <si>
    <t>Total Subsidios por cobrar</t>
  </si>
  <si>
    <t>Subsidios por cobrar no vencidos</t>
  </si>
  <si>
    <t>Vencidos hasta 30 Días</t>
  </si>
  <si>
    <t>Vencidos hasta 60 Días</t>
  </si>
  <si>
    <t>Vencidos hasta 90 Días</t>
  </si>
  <si>
    <t>Vencidos hasta 120 Días</t>
  </si>
  <si>
    <t>Vencidos hasta 150 Días</t>
  </si>
  <si>
    <t>Vencidos hasta 180 Días</t>
  </si>
  <si>
    <t>Vencidos hasta 360 Días</t>
  </si>
  <si>
    <t>Vencidos mayores a 360 Días</t>
  </si>
  <si>
    <t>Fecha de cobro</t>
  </si>
  <si>
    <t>Justificacion desautorización</t>
  </si>
  <si>
    <t>Gestiones realizadas para lograr el recaudo</t>
  </si>
  <si>
    <t>Fila Subsidios</t>
  </si>
  <si>
    <t>Total Subsidio</t>
  </si>
  <si>
    <t>[900028] FC05 - Acreedores comerciales y otras cuentas por pagar - Bloques de texto</t>
  </si>
  <si>
    <t>Formato Complementario - Acreedores comerciales y otras cuentas por pagar [partidas]</t>
  </si>
  <si>
    <t>Información a revelar sobre obligaciones financieras y cuentas por pagar</t>
  </si>
  <si>
    <t>[900028b] FC05b - Clase de pasivo por edades de vencimiento - Revelaciones</t>
  </si>
  <si>
    <t>Formato Complementario - Detalle de Pasivos [partidas]</t>
  </si>
  <si>
    <t>Total pasivos por bandas de tiempo</t>
  </si>
  <si>
    <t>Pasivos no vencidos</t>
  </si>
  <si>
    <t>Total pasivos vencidos</t>
  </si>
  <si>
    <t>Incluya las revelaciones asociadas a las edades de los pasivos por cada clase</t>
  </si>
  <si>
    <t>Formato Complementario - Detalle de pasivos [miembro]</t>
  </si>
  <si>
    <t>Nómina por pagar</t>
  </si>
  <si>
    <t>Prestaciones sociales por pagar</t>
  </si>
  <si>
    <t>Cuentas comerciales por pagar por adquisición de bienes y servicios</t>
  </si>
  <si>
    <t>Impuestos por pagar</t>
  </si>
  <si>
    <t>Cuentas por pagar a partes relacionadas y asociadas</t>
  </si>
  <si>
    <t>Obligaciones financieras por pagar</t>
  </si>
  <si>
    <t>Ingresos recibidos por anticipado e ingresos diferidos</t>
  </si>
  <si>
    <t>Pasivos por impuestos diferidos</t>
  </si>
  <si>
    <t>Provisiones</t>
  </si>
  <si>
    <t>Tasas ambientales y tasas de uso por pagar</t>
  </si>
  <si>
    <t>Otras tasas y contribuciones por pagar</t>
  </si>
  <si>
    <t>Pasivos pretoma (Solo intervenidas)</t>
  </si>
  <si>
    <t>Recursos recibidos en administración</t>
  </si>
  <si>
    <t>Recursos recibidos a favor de terceros</t>
  </si>
  <si>
    <t>Otros pasivos</t>
  </si>
  <si>
    <t>TOTAL</t>
  </si>
  <si>
    <t>[900029] FC06 - Depósitos en Garantía de GLP - Distribuidores Inversionistas</t>
  </si>
  <si>
    <t>Trimestres [miembro]</t>
  </si>
  <si>
    <t>Trimestre Enero - Marzo [miembro]</t>
  </si>
  <si>
    <t>Trimestre Abril - Junio [miembro]</t>
  </si>
  <si>
    <t>Trimestre Julio - Septiembre [miembro]</t>
  </si>
  <si>
    <t>Trimestre Octubre - Diciembre [miembro]</t>
  </si>
  <si>
    <t>Formato Complementario - Depósitos en Garantía de GLP - Distribuidores Inversionistas [partidas]</t>
  </si>
  <si>
    <t>Valor de la Fiducia</t>
  </si>
  <si>
    <t>Valor Depósitos en Garantía</t>
  </si>
  <si>
    <t>PORCENTAJE</t>
  </si>
  <si>
    <t>[900030] FC07 - Información sobre el cálculo actuarial</t>
  </si>
  <si>
    <t>Formato Complementario 07 – Información sobre el cálculo actuarial</t>
  </si>
  <si>
    <t>Solicitud cálculo actuarial</t>
  </si>
  <si>
    <t>Representante legal</t>
  </si>
  <si>
    <t>Domicilio</t>
  </si>
  <si>
    <t>Dirección</t>
  </si>
  <si>
    <t>Administración regional de impuestos que le corresponde</t>
  </si>
  <si>
    <t>Grandes contribuyentes (SI o NO)</t>
  </si>
  <si>
    <t>Nota técnica</t>
  </si>
  <si>
    <t>Nombre del actuario</t>
  </si>
  <si>
    <t>Identificacion</t>
  </si>
  <si>
    <t>Profesion</t>
  </si>
  <si>
    <t>Matrícula profesional de la persona natural o jurídica que elaboró el cálculo actuarial, matriculado como actuario</t>
  </si>
  <si>
    <t>Si pertenece a una persona Jurídica indique la Razón Social</t>
  </si>
  <si>
    <t>Si pertenece a una persona Jurídica indique el NIT</t>
  </si>
  <si>
    <t>Certificación</t>
  </si>
  <si>
    <t>Valor del cálculo actuarial</t>
  </si>
  <si>
    <t>Metodologia</t>
  </si>
  <si>
    <t>Procedimiento empleado</t>
  </si>
  <si>
    <t>Incremento del porcentaje acumulado de amortización respecto del año anterior</t>
  </si>
  <si>
    <t>Incremento del porcentaje anual de amortización respecto del año anterior</t>
  </si>
  <si>
    <t>[900031] FC08 - Conciliación de ingresos</t>
  </si>
  <si>
    <t>Diligenciar en este formulario, en los conceptos que el PSPD considere, los valores que a su criterio conforman los ingresos de actividades ordinarias en desarrollo de su objeto social.</t>
  </si>
  <si>
    <t>Servicios [miembro]</t>
  </si>
  <si>
    <t>Conciliación de ingresos [partidas]</t>
  </si>
  <si>
    <t>Ingresos de actividades ordinarias [sinopsis]</t>
  </si>
  <si>
    <t>Ingresos de actividades ordinarias procedentes de la venta de bienes [resumen]</t>
  </si>
  <si>
    <t>Ingresos de actividades ordinarias por venta de energía, gas natural, gas licuado de petróleo, agua</t>
  </si>
  <si>
    <t>Ingresos de actividades ordinarias por venta de aire propanado, combustibles, hidrocarburos, derivados de petróleo</t>
  </si>
  <si>
    <t>Ingresos de actividades ordinarias por venta de equipos de medición de servicios públicos domiciliarios</t>
  </si>
  <si>
    <t>Ingresos de actividades ordinarias por venta de redes internas o partes de ellas</t>
  </si>
  <si>
    <t>Ingresos de actividades ordinarias por venta de electrodomésticos</t>
  </si>
  <si>
    <t>Ingresos de actividades ordinarias por venta de equipos y materiales</t>
  </si>
  <si>
    <t>Ingresos de actividades ordinarias por venta de bienes diferentes a los descritos anteriormente</t>
  </si>
  <si>
    <t>Si reporta ingresos de actividades ordinarias por venta de otros bienes indique cuales [bloque de texto]</t>
  </si>
  <si>
    <t>Total ingresos de actividades ordinarias por venta de bienes</t>
  </si>
  <si>
    <t>Ingresos de actividades ordinarias procedentes de la prestación de servicios [resumen]</t>
  </si>
  <si>
    <t>Ingresos de actividades ordinarias por prestación de servicios públicos domiciliarios</t>
  </si>
  <si>
    <t>Ingresos de actividades ordinarias por prestación de servicios de instalación de redes internas</t>
  </si>
  <si>
    <t>Ingresos de actividades ordinarias por prestación de servicios de mantenimiento de redes internas</t>
  </si>
  <si>
    <t>Ingresos de actividades ordinarias por prestación de servicios de asistencia técnica en servicios públicos domiciliarios</t>
  </si>
  <si>
    <t>Ingresos de actividades ordinarias por prestación de servicios de obras civiles relacionados con servicios públicos domiciliarios</t>
  </si>
  <si>
    <t>Ingresos de actividades ordinarias por cargo de conexión</t>
  </si>
  <si>
    <t>Ingresos de actividades ordinarias por honorarios, asesorías o comisiones por franquicias</t>
  </si>
  <si>
    <t>Ingresos de actividades ordinarias por cargo de confiabilidad</t>
  </si>
  <si>
    <t>Ingresos de actividades ordinarias por reconexiones</t>
  </si>
  <si>
    <t>Ingresos por almacenamiento relacionados con servicios públicos domiciliarios</t>
  </si>
  <si>
    <t>Ingresos de actividades ordinarias por arrendamientos relacionados con servicios públicos domiciliarios</t>
  </si>
  <si>
    <t>Ingresos de actividades ordinarias por reinstalaciones</t>
  </si>
  <si>
    <t>Ingresos de actividades ordinarias procedentes de contratos de construcción</t>
  </si>
  <si>
    <t>Ingresos de actividades ordinarias por revisiones técnicas</t>
  </si>
  <si>
    <t>Ingresos por servicios de facturación, recaudo, manejo comercial</t>
  </si>
  <si>
    <t>Ingresos de actividades ordinarias por despacho y coordinación del CND</t>
  </si>
  <si>
    <t>Ingresos de actividades ordinarias por Sistema de intercambios comerciales (SIC)</t>
  </si>
  <si>
    <t>Ingresos de actividades ordinarias por liquidación y administración de cuentas</t>
  </si>
  <si>
    <t>Ingresos de actividades ordinarias por prestación de servicios diferentes a los descritos anteriormente</t>
  </si>
  <si>
    <t>Si reporta ingresos de actividades ordinarias por prestación de otros servicios indique cuales [bloque de texto]</t>
  </si>
  <si>
    <t>Total ingresos de actividades ordinarias por prestación de servicios</t>
  </si>
  <si>
    <t>Ingresos de actividades ordinarias por intereses [resumen]</t>
  </si>
  <si>
    <t>Ingresos de actividades ordinarias por intereses de financiación</t>
  </si>
  <si>
    <t>Ingresos de actividades ordinarias por intereses de mora</t>
  </si>
  <si>
    <t>Total de ingresos de actividades ordinarias por intereses</t>
  </si>
  <si>
    <t>Ingresos de actividades ordinarias por dividendos</t>
  </si>
  <si>
    <t>Utilidad de actividades ordinarias en venta de propiedad, planta y equipo (Redes, cables, plantas, y otros directamente relacionados con el servicio público domiciliario)</t>
  </si>
  <si>
    <t>Ingresos de actividades ordinarias por contratos de operación</t>
  </si>
  <si>
    <t>Ingresos de actividades ordinarias por contratos de concesión</t>
  </si>
  <si>
    <t>Ingresos de actividades ordinarias por contratos de cuentas en participación</t>
  </si>
  <si>
    <t>Ingresos de actividades ordinarias por publicidad</t>
  </si>
  <si>
    <t>Otros ingresos de actividades ordinarias</t>
  </si>
  <si>
    <t>Si reporta otros ingresos de actividades ordinarias indique cuáles [bloque de texto]</t>
  </si>
  <si>
    <t>Total de ingresos de actividades ordinarias</t>
  </si>
  <si>
    <t>Ingresos que no son considerados de actividades ordinarias [sinopsis]</t>
  </si>
  <si>
    <t>Ingresos que no son considerados de actividades ordinarias</t>
  </si>
  <si>
    <t>[900032] FC09 - Detalle de costo de ventas</t>
  </si>
  <si>
    <t>Diligencie en este formulario la composición del Costo de Ventas, solo sì el detalle del gasto operativo del formulario FC01 es diferente del costo de ventas en el estado de resultados.</t>
  </si>
  <si>
    <t>Conciliación entre gastos por función y por naturaleza [partidas]</t>
  </si>
  <si>
    <t>Gastos por función [resumen]</t>
  </si>
  <si>
    <t>[900040] FC15 - Información sobre el cálculo del IUS</t>
  </si>
  <si>
    <t>La información contenida en el presente formato es en cumplimiento de lo establecido en la Resolución CRA 906 de 2019 para el cálculo del IUS, para los prestadores de acueducto y/o alcantarillado</t>
  </si>
  <si>
    <t>Total Empresa [miembro]</t>
  </si>
  <si>
    <t>Información adicional [miembro]</t>
  </si>
  <si>
    <t>Información sobre el cálculo del IUS</t>
  </si>
  <si>
    <t>Caracterización</t>
  </si>
  <si>
    <t>Clasifique su empresa de acuerdo al segmento establecido en la resolución CRA 906 de 2019</t>
  </si>
  <si>
    <t>¿Tiene calificación crediticia con grado de inversión AAA a largo plazo, emitida por una calificadora de riesgo para el periodo de reporte? Seleccione de la lista, Sí o No.</t>
  </si>
  <si>
    <t>Variables</t>
  </si>
  <si>
    <t>RI: Recaudo en el periodo de evaluación</t>
  </si>
  <si>
    <t>If: Ingresos facturados en el periodo de evaluación</t>
  </si>
  <si>
    <t>CGGS: Costos y gastos totales destinados a la gestión social</t>
  </si>
  <si>
    <t>ICMI: Ingreso causado por concepto de Costo Medio de Inversión - CMI derivados del POIR para el servicio público</t>
  </si>
  <si>
    <t>ICMO: Ingreso causado por concepto de Costo Medio de Operación - CMO: por APS, durante el periodo de evaluación, para el servicio público</t>
  </si>
  <si>
    <t>ICMA: Ingreso causado por concepto de Costo Medio de Administración - CMA: por APS, durante el periodo de evaluación, para el servicio público</t>
  </si>
  <si>
    <t>TUR_AC: Gasto por concepto de Tasa de uso de agua</t>
  </si>
  <si>
    <t>TUR_AL: Gasto por concepto de Tasa retributiva</t>
  </si>
  <si>
    <t>COA: Costos operativos y gastos de administración</t>
  </si>
  <si>
    <t>SDNC: Servicio de deuda no corriente</t>
  </si>
  <si>
    <t>1 - Grandes Prestadores</t>
  </si>
  <si>
    <t>2 - Pequeños Prestadores</t>
  </si>
  <si>
    <t>3 - Prestadores Rurales</t>
  </si>
  <si>
    <t>4 - Esquema Diferencial</t>
  </si>
  <si>
    <t>[900080] FC30 - Ingreso por tarifa y comercialización de aprovechamiento</t>
  </si>
  <si>
    <t>La información contenida en el presente formato debe ser diligenciada de acuerdo a la información reportada mes a mes</t>
  </si>
  <si>
    <t>Aprovechamiento [miembro]</t>
  </si>
  <si>
    <t>Ingreso por tarifa [miembro]</t>
  </si>
  <si>
    <t>Ingreso por comercialización de material [miembro]</t>
  </si>
  <si>
    <t>Información detallada por tarifa y comercialización de aprovechamiento</t>
  </si>
  <si>
    <t>Del 1 al 31 de Enero</t>
  </si>
  <si>
    <t>Del 1 al 28 de Febrero</t>
  </si>
  <si>
    <t>Del 1 al 31 de Marzo</t>
  </si>
  <si>
    <t>Del 1 al 30 de Abril</t>
  </si>
  <si>
    <t>Del 1 al 31 de Mayo</t>
  </si>
  <si>
    <t>Del 1 al 30 de Junio</t>
  </si>
  <si>
    <t>Del 1 al 31 de Julio</t>
  </si>
  <si>
    <t>Del 1 al 31 de Agosto</t>
  </si>
  <si>
    <t>Del 1 al 30 de Septiembre</t>
  </si>
  <si>
    <t>Del 1 al 31 de Octubre</t>
  </si>
  <si>
    <t>Del 1 al 30 de Noviembre</t>
  </si>
  <si>
    <t>Del 1 al 31 de Diciembre</t>
  </si>
  <si>
    <t>[900090] FC40 - Pagos tarifa de aprovechamiento a recicladores</t>
  </si>
  <si>
    <t>Pago mensual a recicladores [miembro]</t>
  </si>
  <si>
    <t>Información detallada de pagos a recicladores por tarifa de aprovechamiento</t>
  </si>
  <si>
    <t>[900100] FC50 - Detalle de ventas a comercializadores de materiales aprovechables</t>
  </si>
  <si>
    <t>Detalle de ventas a comercializadores de materiales de aprovechamiento [Resumen]</t>
  </si>
  <si>
    <t>Tipo de identificación del comercializador</t>
  </si>
  <si>
    <t>Nit del comercializador</t>
  </si>
  <si>
    <t>Nombre o Razón social del comercializador</t>
  </si>
  <si>
    <t># Fila comercializador de materiales</t>
  </si>
  <si>
    <t>[900110] FC60 - Porcentaje de provisión de la tarifa de aprovechamiento</t>
  </si>
  <si>
    <t>Información detallada del porcentaje de provisión por tarifa de aprovechamiento</t>
  </si>
  <si>
    <t>Porcentaje de provisión que aplicó con respecto al valor de la tarifa de aprovechamiento (%)</t>
  </si>
  <si>
    <t>Valor en pesos de la provisión que aplicó</t>
  </si>
  <si>
    <t>Fase de progresividad:</t>
  </si>
  <si>
    <t>Fase de progresividad cinco: 5</t>
  </si>
  <si>
    <t>Fase de progresividad seis: 6</t>
  </si>
  <si>
    <t>Fase de progresividad siete: 7</t>
  </si>
  <si>
    <t>Fase de progresividad ocho: 8</t>
  </si>
  <si>
    <t>2018</t>
  </si>
  <si>
    <t>2019</t>
  </si>
  <si>
    <t>2020</t>
  </si>
  <si>
    <t>2021</t>
  </si>
  <si>
    <t>2022</t>
  </si>
  <si>
    <t>2023</t>
  </si>
  <si>
    <t>2024</t>
  </si>
  <si>
    <t>2025</t>
  </si>
  <si>
    <t>2026</t>
  </si>
  <si>
    <t>2027</t>
  </si>
  <si>
    <t>2028</t>
  </si>
  <si>
    <t>2029</t>
  </si>
  <si>
    <t>2030</t>
  </si>
</sst>
</file>

<file path=xl/styles.xml><?xml version="1.0" encoding="utf-8"?>
<styleSheet xmlns="http://schemas.openxmlformats.org/spreadsheetml/2006/main">
  <numFmts count="1">
    <numFmt numFmtId="164" formatCode="[$-0409]yyyy-MM-dd;@"/>
  </numFmts>
  <fonts count="7">
    <font>
      <sz val="11.0"/>
      <color indexed="8"/>
      <name val="Calibri"/>
      <family val="2"/>
      <scheme val="minor"/>
    </font>
    <font>
      <name val="Microsoft Sans Serif"/>
      <sz val="11.0"/>
      <u val="single"/>
      <color indexed="12"/>
    </font>
    <font>
      <name val="Microsoft Sans Serif"/>
      <sz val="11.0"/>
      <u val="single"/>
      <color indexed="12"/>
    </font>
    <font>
      <name val="Microsoft Sans Serif"/>
      <sz val="9.0"/>
    </font>
    <font>
      <name val="Calibri"/>
      <sz val="11.0"/>
      <color rgb="0000FF"/>
      <u val="single"/>
    </font>
    <font>
      <name val="Microsoft Sans Serif"/>
      <sz val="9.0"/>
      <b val="true"/>
    </font>
    <font>
      <name val="Microsoft Sans Serif"/>
      <sz val="9.0"/>
      <color indexed="10"/>
    </font>
  </fonts>
  <fills count="10">
    <fill>
      <patternFill patternType="none"/>
    </fill>
    <fill>
      <patternFill patternType="darkGray"/>
    </fill>
    <fill>
      <patternFill patternType="none">
        <fgColor rgb="CCCCCC"/>
      </patternFill>
    </fill>
    <fill>
      <patternFill patternType="solid">
        <fgColor rgb="CCCCCC"/>
      </patternFill>
    </fill>
    <fill>
      <patternFill patternType="none">
        <fgColor rgb="FFFFCC"/>
      </patternFill>
    </fill>
    <fill>
      <patternFill patternType="solid">
        <fgColor rgb="FFFFCC"/>
      </patternFill>
    </fill>
    <fill>
      <patternFill patternType="solid"/>
    </fill>
    <fill>
      <patternFill patternType="solid">
        <fgColor rgb="F2F2F2"/>
      </patternFill>
    </fill>
    <fill>
      <patternFill patternType="none">
        <fgColor rgb="000000"/>
      </patternFill>
    </fill>
    <fill>
      <patternFill patternType="darkDown">
        <fgColor rgb="000000"/>
      </patternFill>
    </fill>
  </fills>
  <borders count="14">
    <border>
      <left/>
      <right/>
      <top/>
      <bottom/>
      <diagonal/>
    </border>
    <border>
      <top style="thin"/>
    </border>
    <border>
      <left style="thin"/>
      <top style="thin"/>
    </border>
    <border>
      <left style="thin"/>
      <right style="thin"/>
      <top style="thin"/>
    </border>
    <border>
      <top style="thin"/>
      <bottom style="thin"/>
    </border>
    <border>
      <left style="thin"/>
      <top style="thin"/>
      <bottom style="thin"/>
    </border>
    <border>
      <left style="thin"/>
      <right style="thin"/>
      <top style="thin"/>
      <bottom style="thin"/>
    </border>
    <border>
      <right style="thin"/>
      <top style="thin"/>
      <bottom style="thin"/>
    </border>
    <border>
      <left style="thin"/>
    </border>
    <border>
      <left style="thin"/>
      <right style="thin"/>
    </border>
    <border>
      <bottom style="thin"/>
    </border>
    <border>
      <left style="thin"/>
      <bottom style="thin"/>
    </border>
    <border>
      <left style="thin"/>
      <right style="thin"/>
      <bottom style="thin"/>
    </border>
    <border>
      <right style="thin"/>
      <top style="thin"/>
    </border>
  </borders>
  <cellStyleXfs count="1">
    <xf numFmtId="0" fontId="0" fillId="0" borderId="0"/>
  </cellStyleXfs>
  <cellXfs count="78">
    <xf numFmtId="0" fontId="0" fillId="0" borderId="0" xfId="0"/>
    <xf numFmtId="0" fontId="0" fillId="0" borderId="0" xfId="0">
      <alignment horizontal="right"/>
    </xf>
    <xf numFmtId="0" fontId="1" fillId="0" borderId="0" xfId="0" applyFont="true"/>
    <xf numFmtId="0" fontId="2" fillId="0" borderId="0" xfId="0" applyFont="true">
      <alignment indent="1"/>
    </xf>
    <xf numFmtId="0" fontId="3" fillId="3" borderId="2" xfId="0" applyFill="true" applyFont="true" applyBorder="true">
      <alignment horizontal="center" vertical="center" wrapText="true"/>
    </xf>
    <xf numFmtId="0" fontId="3" fillId="3" borderId="3" xfId="0" applyFill="true" applyFont="true" applyBorder="true">
      <alignment horizontal="center" vertical="center" wrapText="true"/>
    </xf>
    <xf numFmtId="0" fontId="3" fillId="3" borderId="6" xfId="0" applyFill="true" applyFont="true" applyBorder="true">
      <alignment horizontal="center" vertical="center" wrapText="true"/>
    </xf>
    <xf numFmtId="0" fontId="3" fillId="3" borderId="2" xfId="0" applyFill="true" applyFont="true" applyBorder="true">
      <alignment horizontal="left" vertical="center" wrapText="true"/>
    </xf>
    <xf numFmtId="0" fontId="3" fillId="3" borderId="4" xfId="0" applyFill="true" applyFont="true" applyBorder="true">
      <alignment horizontal="left" vertical="center" wrapText="true"/>
    </xf>
    <xf numFmtId="0" fontId="3" fillId="3" borderId="7" xfId="0" applyFill="true" applyFont="true" applyBorder="true">
      <alignment horizontal="left" vertical="center" wrapText="true"/>
    </xf>
    <xf numFmtId="0" fontId="3" fillId="3" borderId="9" xfId="0" applyFill="true" applyFont="true" applyBorder="true">
      <alignment horizontal="left" vertical="center" wrapText="true"/>
    </xf>
    <xf numFmtId="0" fontId="3" fillId="3" borderId="12" xfId="0" applyFill="true" applyFont="true" applyBorder="true">
      <alignment horizontal="left" vertical="center" wrapText="true"/>
    </xf>
    <xf numFmtId="0" fontId="3" fillId="5" borderId="2" xfId="0" applyFill="true" applyFont="true" applyBorder="true">
      <alignment horizontal="left" vertical="center" wrapText="true"/>
    </xf>
    <xf numFmtId="0" fontId="3" fillId="5" borderId="7" xfId="0" applyFill="true" applyFont="true" applyBorder="true">
      <alignment horizontal="left" vertical="center" wrapText="true"/>
    </xf>
    <xf numFmtId="0" fontId="3" fillId="5" borderId="9" xfId="0" applyFill="true" applyFont="true" applyBorder="true">
      <alignment horizontal="left" vertical="center" wrapText="true"/>
    </xf>
    <xf numFmtId="0" fontId="3" fillId="5" borderId="12" xfId="0" applyFill="true" applyFont="true" applyBorder="true">
      <alignment horizontal="left" vertical="center" wrapText="true"/>
    </xf>
    <xf numFmtId="0" fontId="3" fillId="3" borderId="5" xfId="0" applyFill="true" applyFont="true" applyBorder="true">
      <alignment horizontal="left" vertical="center" wrapText="true"/>
    </xf>
    <xf numFmtId="0" fontId="3" fillId="5" borderId="5" xfId="0" applyFill="true" applyFont="true" applyBorder="true">
      <alignment horizontal="left" vertical="center" wrapText="true"/>
    </xf>
    <xf numFmtId="0" fontId="3" fillId="3" borderId="6" xfId="0" applyFill="true" applyFont="true" applyBorder="true">
      <alignment horizontal="left" vertical="center" wrapText="true"/>
    </xf>
    <xf numFmtId="0" fontId="3" fillId="5" borderId="6" xfId="0" applyFill="true" applyFont="true" applyBorder="true">
      <alignment horizontal="left" vertical="center" wrapText="true"/>
    </xf>
    <xf numFmtId="0" fontId="0" fillId="7" borderId="9" xfId="0" applyFill="true" applyBorder="true">
      <alignment vertical="center"/>
    </xf>
    <xf numFmtId="0" fontId="0" fillId="0" borderId="9" xfId="0" applyBorder="true">
      <alignment vertical="center"/>
    </xf>
    <xf numFmtId="0" fontId="0" fillId="9" borderId="6" xfId="0" applyBorder="true" applyFill="true">
      <alignment vertical="center"/>
    </xf>
    <xf numFmtId="0" fontId="0" fillId="9" borderId="6" xfId="0" applyBorder="true" applyFill="true">
      <alignment vertical="center"/>
    </xf>
    <xf numFmtId="0" fontId="0" fillId="7" borderId="9" xfId="0" applyBorder="true" applyFill="true">
      <alignment horizontal="center"/>
    </xf>
    <xf numFmtId="0" fontId="0" fillId="0" borderId="9" xfId="0" applyBorder="true">
      <alignment horizontal="center"/>
    </xf>
    <xf numFmtId="164" fontId="0" fillId="0" borderId="9" xfId="0" applyBorder="true" applyNumberFormat="true">
      <alignment vertical="center"/>
    </xf>
    <xf numFmtId="164" fontId="0" fillId="7" borderId="9" xfId="0" applyFill="true" applyBorder="true" applyNumberFormat="true">
      <alignment vertical="center"/>
    </xf>
    <xf numFmtId="0" fontId="0" fillId="7" borderId="12" xfId="0" applyFill="true" applyBorder="true">
      <alignment vertical="center"/>
    </xf>
    <xf numFmtId="0" fontId="3" fillId="3" borderId="1" xfId="0" applyFill="true" applyFont="true" applyBorder="true">
      <alignment horizontal="center" vertical="center" wrapText="true"/>
    </xf>
    <xf numFmtId="0" fontId="3" fillId="3" borderId="13" xfId="0" applyFill="true" applyFont="true" applyBorder="true">
      <alignment horizontal="center" vertical="center" wrapText="true"/>
    </xf>
    <xf numFmtId="0" fontId="3" fillId="3" borderId="8" xfId="0" applyFill="true" applyFont="true" applyBorder="true">
      <alignment horizontal="center" vertical="center" wrapText="true"/>
    </xf>
    <xf numFmtId="0" fontId="3" fillId="5" borderId="2" xfId="0" applyFill="true" applyFont="true" applyBorder="true">
      <alignment horizontal="center" vertical="center" wrapText="true"/>
    </xf>
    <xf numFmtId="0" fontId="3" fillId="5" borderId="3" xfId="0" applyFill="true" applyFont="true" applyBorder="true">
      <alignment horizontal="center" vertical="center" wrapText="true"/>
    </xf>
    <xf numFmtId="0" fontId="3" fillId="5" borderId="6" xfId="0" applyFill="true" applyFont="true" applyBorder="true">
      <alignment horizontal="center" vertical="center" wrapText="true"/>
    </xf>
    <xf numFmtId="0" fontId="3" fillId="3" borderId="11" xfId="0" applyFill="true" applyFont="true" applyBorder="true">
      <alignment horizontal="center" vertical="center" wrapText="true"/>
    </xf>
    <xf numFmtId="0" fontId="3" fillId="3" borderId="12" xfId="0" applyFill="true" applyFont="true" applyBorder="true">
      <alignment horizontal="center" vertical="center" wrapText="true"/>
    </xf>
    <xf numFmtId="0" fontId="3" fillId="5" borderId="4" xfId="0" applyFill="true" applyFont="true" applyBorder="true">
      <alignment horizontal="left" vertical="center" wrapText="true"/>
    </xf>
    <xf numFmtId="0" fontId="5" fillId="5" borderId="5" xfId="0" applyFill="true" applyFont="true" applyBorder="true">
      <alignment horizontal="left" vertical="center" wrapText="true"/>
    </xf>
    <xf numFmtId="0" fontId="5" fillId="5" borderId="7" xfId="0" applyFill="true" applyFont="true" applyBorder="true">
      <alignment horizontal="left" vertical="center" wrapText="true"/>
    </xf>
    <xf numFmtId="0" fontId="5" fillId="5" borderId="12" xfId="0" applyFill="true" applyFont="true" applyBorder="true">
      <alignment horizontal="left" vertical="center" wrapText="true"/>
    </xf>
    <xf numFmtId="0" fontId="5" fillId="5" borderId="4" xfId="0" applyFill="true" applyFont="true" applyBorder="true">
      <alignment horizontal="left" vertical="center" wrapText="true"/>
    </xf>
    <xf numFmtId="0" fontId="5" fillId="3" borderId="5" xfId="0" applyFill="true" applyFont="true" applyBorder="true">
      <alignment horizontal="left" vertical="center" wrapText="true"/>
    </xf>
    <xf numFmtId="0" fontId="5" fillId="3" borderId="4" xfId="0" applyFill="true" applyFont="true" applyBorder="true">
      <alignment horizontal="left" vertical="center" wrapText="true"/>
    </xf>
    <xf numFmtId="0" fontId="5" fillId="3" borderId="7" xfId="0" applyFill="true" applyFont="true" applyBorder="true">
      <alignment horizontal="left" vertical="center" wrapText="true"/>
    </xf>
    <xf numFmtId="0" fontId="5" fillId="3" borderId="12" xfId="0" applyFill="true" applyFont="true" applyBorder="true">
      <alignment horizontal="left" vertical="center" wrapText="true"/>
    </xf>
    <xf numFmtId="0" fontId="6" fillId="5" borderId="5" xfId="0" applyFill="true" applyFont="true" applyBorder="true">
      <alignment horizontal="left" vertical="center" wrapText="true"/>
    </xf>
    <xf numFmtId="0" fontId="6" fillId="5" borderId="4" xfId="0" applyFill="true" applyFont="true" applyBorder="true">
      <alignment horizontal="left" vertical="center" wrapText="true"/>
    </xf>
    <xf numFmtId="0" fontId="6" fillId="5" borderId="7" xfId="0" applyFill="true" applyFont="true" applyBorder="true">
      <alignment horizontal="left" vertical="center" wrapText="true"/>
    </xf>
    <xf numFmtId="0" fontId="6" fillId="5" borderId="12" xfId="0" applyFill="true" applyFont="true" applyBorder="true">
      <alignment horizontal="left" vertical="center" wrapText="true"/>
    </xf>
    <xf numFmtId="4" fontId="0" fillId="0" borderId="9" xfId="0" applyBorder="true" applyNumberFormat="true">
      <alignment vertical="center"/>
    </xf>
    <xf numFmtId="4" fontId="0" fillId="7" borderId="9" xfId="0" applyFill="true" applyBorder="true" applyNumberFormat="true">
      <alignment vertical="center"/>
    </xf>
    <xf numFmtId="4" fontId="0" fillId="7" borderId="12" xfId="0" applyFill="true" applyBorder="true" applyNumberFormat="true">
      <alignment vertical="center"/>
    </xf>
    <xf numFmtId="4" fontId="0" fillId="0" borderId="12" xfId="0" applyBorder="true" applyNumberFormat="true">
      <alignment vertical="center"/>
    </xf>
    <xf numFmtId="0" fontId="6" fillId="3" borderId="5" xfId="0" applyFill="true" applyFont="true" applyBorder="true">
      <alignment horizontal="left" vertical="center" wrapText="true"/>
    </xf>
    <xf numFmtId="0" fontId="6" fillId="3" borderId="7" xfId="0" applyFill="true" applyFont="true" applyBorder="true">
      <alignment horizontal="left" vertical="center" wrapText="true"/>
    </xf>
    <xf numFmtId="0" fontId="6" fillId="3" borderId="12" xfId="0" applyFill="true" applyFont="true" applyBorder="true">
      <alignment horizontal="left" vertical="center" wrapText="true"/>
    </xf>
    <xf numFmtId="0" fontId="5" fillId="5" borderId="6" xfId="0" applyFill="true" applyFont="true" applyBorder="true">
      <alignment horizontal="left" vertical="center" wrapText="true"/>
    </xf>
    <xf numFmtId="0" fontId="0" fillId="9" borderId="6" xfId="0" applyBorder="true" applyFill="true">
      <alignment vertical="center"/>
    </xf>
    <xf numFmtId="0" fontId="6" fillId="3" borderId="4" xfId="0" applyFill="true" applyFont="true" applyBorder="true">
      <alignment horizontal="left" vertical="center" wrapText="true"/>
    </xf>
    <xf numFmtId="0" fontId="3" fillId="5" borderId="8" xfId="0" applyFill="true" applyFont="true" applyBorder="true">
      <alignment horizontal="center" vertical="center" wrapText="true"/>
    </xf>
    <xf numFmtId="0" fontId="3" fillId="5" borderId="1" xfId="0" applyFill="true" applyFont="true" applyBorder="true">
      <alignment horizontal="center" vertical="center" wrapText="true"/>
    </xf>
    <xf numFmtId="0" fontId="3" fillId="5" borderId="13" xfId="0" applyFill="true" applyFont="true" applyBorder="true">
      <alignment horizontal="center" vertical="center" wrapText="true"/>
    </xf>
    <xf numFmtId="0" fontId="3" fillId="5" borderId="11" xfId="0" applyFill="true" applyFont="true" applyBorder="true">
      <alignment horizontal="center" vertical="center" wrapText="true"/>
    </xf>
    <xf numFmtId="0" fontId="3" fillId="3" borderId="9" xfId="0" applyFill="true" applyFont="true" applyBorder="true">
      <alignment horizontal="center" vertical="center" wrapText="true"/>
    </xf>
    <xf numFmtId="0" fontId="5" fillId="3" borderId="6" xfId="0" applyFill="true" applyFont="true" applyBorder="true">
      <alignment horizontal="left" vertical="center" wrapText="true"/>
    </xf>
    <xf numFmtId="0" fontId="0" fillId="0" borderId="12" xfId="0" applyBorder="true">
      <alignment vertical="center"/>
    </xf>
    <xf numFmtId="0" fontId="3" fillId="5" borderId="12" xfId="0" applyFill="true" applyFont="true" applyBorder="true">
      <alignment horizontal="center" vertical="center" wrapText="true"/>
    </xf>
    <xf numFmtId="0" fontId="5" fillId="3" borderId="2" xfId="0" applyFill="true" applyFont="true" applyBorder="true">
      <alignment horizontal="center" vertical="center" wrapText="true"/>
    </xf>
    <xf numFmtId="0" fontId="5" fillId="3" borderId="1" xfId="0" applyFill="true" applyFont="true" applyBorder="true">
      <alignment horizontal="center" vertical="center" wrapText="true"/>
    </xf>
    <xf numFmtId="0" fontId="5" fillId="3" borderId="13" xfId="0" applyFill="true" applyFont="true" applyBorder="true">
      <alignment horizontal="center" vertical="center" wrapText="true"/>
    </xf>
    <xf numFmtId="0" fontId="5" fillId="3" borderId="8" xfId="0" applyFill="true" applyFont="true" applyBorder="true">
      <alignment horizontal="center" vertical="center" wrapText="true"/>
    </xf>
    <xf numFmtId="0" fontId="5" fillId="5" borderId="2" xfId="0" applyFill="true" applyFont="true" applyBorder="true">
      <alignment horizontal="center" vertical="center" wrapText="true"/>
    </xf>
    <xf numFmtId="0" fontId="5" fillId="5" borderId="1" xfId="0" applyFill="true" applyFont="true" applyBorder="true">
      <alignment horizontal="center" vertical="center" wrapText="true"/>
    </xf>
    <xf numFmtId="0" fontId="5" fillId="5" borderId="13" xfId="0" applyFill="true" applyFont="true" applyBorder="true">
      <alignment horizontal="center" vertical="center" wrapText="true"/>
    </xf>
    <xf numFmtId="0" fontId="5" fillId="5" borderId="8" xfId="0" applyFill="true" applyFont="true" applyBorder="true">
      <alignment horizontal="center" vertical="center" wrapText="true"/>
    </xf>
    <xf numFmtId="0" fontId="3" fillId="3" borderId="10" xfId="0" applyFill="true" applyFont="true" applyBorder="true">
      <alignment horizontal="left" vertical="center" wrapText="true"/>
    </xf>
    <xf numFmtId="0" fontId="3" fillId="5" borderId="9" xfId="0" applyFill="true" applyFont="true" applyBorder="true">
      <alignment horizontal="center"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B2:C66"/>
  <sheetViews>
    <sheetView workbookViewId="0" tabSelected="true"/>
  </sheetViews>
  <sheetFormatPr defaultRowHeight="15.0"/>
  <sheetData>
    <row r="2">
      <c r="B2" t="s">
        <v>0</v>
      </c>
    </row>
    <row r="3">
      <c r="B3" t="s" s="3">
        <v>2</v>
      </c>
    </row>
    <row r="4">
      <c r="B4" t="s" s="3">
        <v>34</v>
      </c>
    </row>
    <row r="5">
      <c r="B5" t="s" s="3">
        <v>152</v>
      </c>
    </row>
    <row r="6">
      <c r="B6" t="s" s="3">
        <v>189</v>
      </c>
    </row>
    <row r="7">
      <c r="B7" t="s" s="3">
        <v>274</v>
      </c>
    </row>
    <row r="8">
      <c r="B8" t="s" s="3">
        <v>335</v>
      </c>
    </row>
    <row r="9">
      <c r="B9" t="s" s="3">
        <v>389</v>
      </c>
    </row>
    <row r="10">
      <c r="B10" t="s" s="3">
        <v>412</v>
      </c>
    </row>
    <row r="11">
      <c r="B11" t="s" s="3">
        <v>534</v>
      </c>
    </row>
    <row r="12">
      <c r="B12" t="s" s="3">
        <v>605</v>
      </c>
    </row>
    <row r="13">
      <c r="B13" t="s" s="3">
        <v>642</v>
      </c>
    </row>
    <row r="14">
      <c r="B14" t="s" s="3">
        <v>651</v>
      </c>
    </row>
    <row r="15">
      <c r="B15" t="s" s="3">
        <v>657</v>
      </c>
    </row>
    <row r="16">
      <c r="B16" t="s" s="3">
        <v>709</v>
      </c>
    </row>
    <row r="17">
      <c r="B17" t="s" s="3">
        <v>713</v>
      </c>
    </row>
    <row r="18">
      <c r="B18" t="s" s="3">
        <v>727</v>
      </c>
    </row>
    <row r="19">
      <c r="B19" t="s" s="3">
        <v>735</v>
      </c>
    </row>
    <row r="20">
      <c r="B20" t="s" s="3">
        <v>745</v>
      </c>
    </row>
    <row r="21">
      <c r="B21" t="s" s="3">
        <v>752</v>
      </c>
    </row>
    <row r="22">
      <c r="B22" t="s" s="3">
        <v>770</v>
      </c>
    </row>
    <row r="23">
      <c r="B23" t="s" s="3">
        <v>806</v>
      </c>
    </row>
    <row r="24">
      <c r="B24" t="s" s="3">
        <v>826</v>
      </c>
    </row>
    <row r="25">
      <c r="B25" t="s" s="3">
        <v>851</v>
      </c>
    </row>
    <row r="26">
      <c r="B26" t="s" s="3">
        <v>892</v>
      </c>
    </row>
    <row r="27">
      <c r="B27" t="s" s="3">
        <v>901</v>
      </c>
    </row>
    <row r="28">
      <c r="B28" t="s" s="3">
        <v>912</v>
      </c>
    </row>
    <row r="29">
      <c r="B29" t="s" s="3">
        <v>945</v>
      </c>
    </row>
    <row r="30">
      <c r="B30" t="s" s="3">
        <v>960</v>
      </c>
    </row>
    <row r="31">
      <c r="B31" t="s" s="3">
        <v>965</v>
      </c>
    </row>
    <row r="32">
      <c r="B32" t="s" s="3">
        <v>969</v>
      </c>
    </row>
    <row r="33">
      <c r="B33" t="s" s="3">
        <v>979</v>
      </c>
    </row>
    <row r="34">
      <c r="B34" t="s" s="3">
        <v>987</v>
      </c>
    </row>
    <row r="35">
      <c r="B35" t="s" s="3">
        <v>1003</v>
      </c>
    </row>
    <row r="36">
      <c r="B36" t="s" s="3">
        <v>1006</v>
      </c>
    </row>
    <row r="37">
      <c r="B37" t="s" s="3">
        <v>1065</v>
      </c>
    </row>
    <row r="38">
      <c r="B38" t="s" s="3">
        <v>1076</v>
      </c>
    </row>
    <row r="39">
      <c r="B39" t="s" s="3">
        <v>1093</v>
      </c>
    </row>
    <row r="40">
      <c r="B40" t="s" s="3">
        <v>1121</v>
      </c>
    </row>
    <row r="41">
      <c r="B41" t="s" s="3">
        <v>1195</v>
      </c>
    </row>
    <row r="42">
      <c r="B42" t="s" s="3">
        <v>1198</v>
      </c>
    </row>
    <row r="43">
      <c r="B43" t="s" s="3">
        <v>1201</v>
      </c>
    </row>
    <row r="44">
      <c r="B44" t="s" s="3">
        <v>1228</v>
      </c>
    </row>
    <row r="45">
      <c r="B45" t="s" s="3">
        <v>1247</v>
      </c>
    </row>
    <row r="46">
      <c r="B46" t="s" s="3">
        <v>1261</v>
      </c>
    </row>
    <row r="47">
      <c r="B47" t="s" s="3">
        <v>1272</v>
      </c>
    </row>
    <row r="48">
      <c r="B48" t="s" s="3">
        <v>1377</v>
      </c>
    </row>
    <row r="49">
      <c r="B49" t="s" s="3">
        <v>1415</v>
      </c>
    </row>
    <row r="50">
      <c r="B50" t="s" s="3">
        <v>1426</v>
      </c>
    </row>
    <row r="51">
      <c r="B51" t="s" s="3">
        <v>1434</v>
      </c>
    </row>
    <row r="52">
      <c r="B52" t="s" s="3">
        <v>1462</v>
      </c>
    </row>
    <row r="53">
      <c r="B53" t="s" s="3">
        <v>1484</v>
      </c>
    </row>
    <row r="54">
      <c r="B54" t="s" s="3">
        <v>1512</v>
      </c>
    </row>
    <row r="55">
      <c r="B55" t="s" s="3">
        <v>1531</v>
      </c>
    </row>
    <row r="56">
      <c r="B56" t="s" s="3">
        <v>1554</v>
      </c>
    </row>
    <row r="57">
      <c r="B57" t="s" s="3">
        <v>1557</v>
      </c>
    </row>
    <row r="58">
      <c r="B58" t="s" s="3">
        <v>1580</v>
      </c>
    </row>
    <row r="59">
      <c r="B59" t="s" s="3">
        <v>1590</v>
      </c>
    </row>
    <row r="60">
      <c r="B60" t="s" s="3">
        <v>1611</v>
      </c>
    </row>
    <row r="61">
      <c r="B61" t="s" s="3">
        <v>1663</v>
      </c>
    </row>
    <row r="62">
      <c r="B62" t="s" s="3">
        <v>1667</v>
      </c>
    </row>
    <row r="63">
      <c r="B63" t="s" s="3">
        <v>1690</v>
      </c>
    </row>
    <row r="64">
      <c r="B64" t="s" s="3">
        <v>1708</v>
      </c>
    </row>
    <row r="65">
      <c r="B65" t="s" s="3">
        <v>1711</v>
      </c>
    </row>
    <row r="66">
      <c r="B66" t="s" s="3">
        <v>1717</v>
      </c>
    </row>
  </sheetData>
  <hyperlinks>
    <hyperlink location="Hoja1!B2" ref="B3"/>
    <hyperlink location="Hoja2!B2" ref="B4"/>
    <hyperlink location="Hoja3!B2" ref="B5"/>
    <hyperlink location="Hoja4!B2" ref="B6"/>
    <hyperlink location="Hoja5!B2" ref="B7"/>
    <hyperlink location="Hoja6!B2" ref="B8"/>
    <hyperlink location="Hoja7!B2" ref="B9"/>
    <hyperlink location="Hoja8!B2" ref="B10"/>
    <hyperlink location="Hoja9!B2" ref="B11"/>
    <hyperlink location="Hoja10!B2" ref="B12"/>
    <hyperlink location="Hoja11!B2" ref="B13"/>
    <hyperlink location="Hoja12!B2" ref="B14"/>
    <hyperlink location="Hoja13!B2" ref="B15"/>
    <hyperlink location="Hoja14!B2" ref="B16"/>
    <hyperlink location="Hoja15!B2" ref="B17"/>
    <hyperlink location="Hoja16!B2" ref="B18"/>
    <hyperlink location="Hoja17!B2" ref="B19"/>
    <hyperlink location="Hoja18!B2" ref="B20"/>
    <hyperlink location="Hoja19!B2" ref="B21"/>
    <hyperlink location="Hoja20!B2" ref="B22"/>
    <hyperlink location="Hoja21!B2" ref="B23"/>
    <hyperlink location="Hoja22!B2" ref="B24"/>
    <hyperlink location="Hoja23!B2" ref="B25"/>
    <hyperlink location="Hoja24!B2" ref="B26"/>
    <hyperlink location="Hoja25!B2" ref="B27"/>
    <hyperlink location="Hoja26!B2" ref="B28"/>
    <hyperlink location="Hoja27!B2" ref="B29"/>
    <hyperlink location="Hoja28!B2" ref="B30"/>
    <hyperlink location="Hoja29!B2" ref="B31"/>
    <hyperlink location="Hoja30!B2" ref="B32"/>
    <hyperlink location="Hoja31!B2" ref="B33"/>
    <hyperlink location="Hoja32!B2" ref="B34"/>
    <hyperlink location="Hoja33!B2" ref="B35"/>
    <hyperlink location="Hoja34!B2" ref="B36"/>
    <hyperlink location="Hoja35!B2" ref="B37"/>
    <hyperlink location="Hoja36!B2" ref="B38"/>
    <hyperlink location="Hoja37!B2" ref="B39"/>
    <hyperlink location="Hoja38!B2" ref="B40"/>
    <hyperlink location="Hoja39!B2" ref="B41"/>
    <hyperlink location="Hoja40!B2" ref="B42"/>
    <hyperlink location="Hoja41!B2" ref="B43"/>
    <hyperlink location="Hoja42!B2" ref="B44"/>
    <hyperlink location="Hoja43!B2" ref="B45"/>
    <hyperlink location="Hoja44!B2" ref="B46"/>
    <hyperlink location="Hoja45!B2" ref="B47"/>
    <hyperlink location="Hoja46!B2" ref="B48"/>
    <hyperlink location="Hoja47!B2" ref="B49"/>
    <hyperlink location="Hoja48!B2" ref="B50"/>
    <hyperlink location="Hoja49!B2" ref="B51"/>
    <hyperlink location="Hoja50!B2" ref="B52"/>
    <hyperlink location="Hoja51!B2" ref="B53"/>
    <hyperlink location="Hoja52!B2" ref="B54"/>
    <hyperlink location="Hoja53!B2" ref="B55"/>
    <hyperlink location="Hoja54!B2" ref="B56"/>
    <hyperlink location="Hoja55!B2" ref="B57"/>
    <hyperlink location="Hoja56!B2" ref="B58"/>
    <hyperlink location="Hoja57!B2" ref="B59"/>
    <hyperlink location="Hoja58!B2" ref="B60"/>
    <hyperlink location="Hoja59!B2" ref="B61"/>
    <hyperlink location="Hoja60!B2" ref="B62"/>
    <hyperlink location="Hoja61!B2" ref="B63"/>
    <hyperlink location="Hoja62!B2" ref="B64"/>
    <hyperlink location="Hoja63!B2" ref="B65"/>
    <hyperlink location="Hoja64!B2" ref="B66"/>
  </hyperlinks>
  <pageMargins bottom="0.75" footer="0.3" header="0.3" left="0.7" right="0.7" top="0.75"/>
</worksheet>
</file>

<file path=xl/worksheets/sheet2.xml><?xml version="1.0" encoding="utf-8"?>
<worksheet xmlns="http://schemas.openxmlformats.org/spreadsheetml/2006/main">
  <dimension ref="B2:F22"/>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2</v>
      </c>
    </row>
    <row r="6">
      <c r="B6" t="s" s="1">
        <v>8</v>
      </c>
      <c r="C6" t="s">
        <v>9</v>
      </c>
    </row>
    <row r="7">
      <c r="B7" t="s" s="1">
        <v>10</v>
      </c>
      <c r="C7" t="s">
        <v>9</v>
      </c>
    </row>
    <row r="8">
      <c r="B8" t="s" s="1">
        <v>11</v>
      </c>
      <c r="C8" t="s">
        <v>9</v>
      </c>
    </row>
    <row r="10">
      <c r="E10" t="s" s="6">
        <v>12</v>
      </c>
    </row>
    <row r="11">
      <c r="B11" s="7" t="s">
        <v>13</v>
      </c>
      <c r="C11" s="8"/>
      <c r="D11" s="9"/>
      <c r="E11" s="22"/>
    </row>
    <row r="12" ht="28.0" customHeight="true">
      <c r="B12" s="10"/>
      <c r="C12" s="12" t="s">
        <v>14</v>
      </c>
      <c r="D12" s="13"/>
      <c r="E12" s="20"/>
    </row>
    <row r="13">
      <c r="B13" s="10"/>
      <c r="C13" s="14"/>
      <c r="D13" s="18" t="s">
        <v>15</v>
      </c>
      <c r="E13" s="21"/>
    </row>
    <row r="14">
      <c r="B14" s="10"/>
      <c r="C14" s="14"/>
      <c r="D14" s="19" t="s">
        <v>16</v>
      </c>
      <c r="E14" s="20"/>
    </row>
    <row r="15">
      <c r="B15" s="10"/>
      <c r="C15" s="14"/>
      <c r="D15" s="18" t="s">
        <v>17</v>
      </c>
      <c r="E15" s="21"/>
    </row>
    <row r="16">
      <c r="B16" s="10"/>
      <c r="C16" s="14"/>
      <c r="D16" s="19" t="s">
        <v>18</v>
      </c>
      <c r="E16" s="20"/>
    </row>
    <row r="17">
      <c r="B17" s="10"/>
      <c r="C17" s="14"/>
      <c r="D17" s="18" t="s">
        <v>19</v>
      </c>
      <c r="E17" s="26" t="n"/>
    </row>
    <row r="18">
      <c r="B18" s="10"/>
      <c r="C18" s="14"/>
      <c r="D18" s="19" t="s">
        <v>20</v>
      </c>
      <c r="E18" s="27" t="n"/>
    </row>
    <row r="19">
      <c r="B19" s="10"/>
      <c r="C19" s="15"/>
      <c r="D19" s="18" t="s">
        <v>21</v>
      </c>
      <c r="E19" s="21"/>
    </row>
    <row r="20">
      <c r="B20" s="10"/>
      <c r="C20" s="12" t="s">
        <v>22</v>
      </c>
      <c r="D20" s="13"/>
      <c r="E20" s="23"/>
    </row>
    <row r="21">
      <c r="B21" s="10"/>
      <c r="C21" s="14"/>
      <c r="D21" s="18" t="s">
        <v>23</v>
      </c>
      <c r="E21" s="21"/>
    </row>
    <row r="22">
      <c r="B22" s="11"/>
      <c r="C22" s="15"/>
      <c r="D22" s="19" t="s">
        <v>24</v>
      </c>
      <c r="E22" s="28"/>
    </row>
  </sheetData>
  <mergeCells>
    <mergeCell ref="B11:D11"/>
    <mergeCell ref="C12:D12"/>
    <mergeCell ref="C20:D20"/>
  </mergeCells>
  <dataValidations count="3">
    <dataValidation type="list" sqref="E19" allowBlank="true" errorStyle="stop" showErrorMessage="true" showDropDown="false">
      <formula1>sspdtipos_TipoGradoRedondeo</formula1>
    </dataValidation>
    <dataValidation type="list" sqref="E21" allowBlank="true" errorStyle="stop" showErrorMessage="true" showDropDown="false">
      <formula1>sspdtipos_TipoSiNo</formula1>
    </dataValidation>
    <dataValidation type="list" sqref="E22" allowBlank="true" errorStyle="stop" showErrorMessage="true" showDropDown="false">
      <formula1>sspdtipos_TipoPeriodoDeReexpresion</formula1>
    </dataValidation>
  </dataValidations>
  <hyperlinks>
    <hyperlink location="'Indice'!A1" ref="B2"/>
  </hyperlinks>
  <pageMargins bottom="0.75" footer="0.3" header="0.3" left="0.7" right="0.7" top="0.75"/>
</worksheet>
</file>

<file path=xl/worksheets/sheet3.xml><?xml version="1.0" encoding="utf-8"?>
<worksheet xmlns="http://schemas.openxmlformats.org/spreadsheetml/2006/main">
  <dimension ref="B3:Q15"/>
  <sheetViews>
    <sheetView workbookViewId="0"/>
  </sheetViews>
  <sheetFormatPr defaultRowHeight="15.0"/>
  <sheetData>
    <row r="3">
      <c r="B3" t="s">
        <v>25</v>
      </c>
      <c r="D3" t="s">
        <v>29</v>
      </c>
      <c r="F3" t="s">
        <v>31</v>
      </c>
      <c r="H3" t="s">
        <v>1090</v>
      </c>
      <c r="J3" t="s">
        <v>1110</v>
      </c>
      <c r="L3" t="s">
        <v>1113</v>
      </c>
      <c r="N3" t="s">
        <v>1686</v>
      </c>
      <c r="P3" t="s">
        <v>1726</v>
      </c>
    </row>
    <row r="4">
      <c r="B4" t="s">
        <v>26</v>
      </c>
      <c r="D4" t="s">
        <v>30</v>
      </c>
      <c r="F4" t="s">
        <v>32</v>
      </c>
      <c r="H4" t="s">
        <v>1091</v>
      </c>
      <c r="J4" t="s">
        <v>1111</v>
      </c>
      <c r="L4" t="s">
        <v>1114</v>
      </c>
      <c r="N4" t="s">
        <v>1687</v>
      </c>
      <c r="P4" t="s">
        <v>1727</v>
      </c>
    </row>
    <row r="5">
      <c r="B5" t="s">
        <v>27</v>
      </c>
      <c r="F5" t="s">
        <v>33</v>
      </c>
      <c r="H5" t="s">
        <v>1092</v>
      </c>
      <c r="J5" t="s">
        <v>1112</v>
      </c>
      <c r="L5" t="s">
        <v>1115</v>
      </c>
      <c r="N5" t="s">
        <v>1688</v>
      </c>
      <c r="P5" t="s">
        <v>1728</v>
      </c>
    </row>
    <row r="6">
      <c r="B6" t="s">
        <v>28</v>
      </c>
      <c r="L6" t="s">
        <v>1116</v>
      </c>
      <c r="N6" t="s">
        <v>1689</v>
      </c>
      <c r="P6" t="s">
        <v>1729</v>
      </c>
    </row>
    <row r="7">
      <c r="L7" t="s">
        <v>1117</v>
      </c>
      <c r="P7" t="s">
        <v>1730</v>
      </c>
    </row>
    <row r="8">
      <c r="L8" t="s">
        <v>1118</v>
      </c>
      <c r="P8" t="s">
        <v>1731</v>
      </c>
    </row>
    <row r="9">
      <c r="L9" t="s">
        <v>1119</v>
      </c>
      <c r="P9" t="s">
        <v>1732</v>
      </c>
    </row>
    <row r="10">
      <c r="L10" t="s">
        <v>1120</v>
      </c>
      <c r="P10" t="s">
        <v>1733</v>
      </c>
    </row>
    <row r="11">
      <c r="P11" t="s">
        <v>1734</v>
      </c>
    </row>
    <row r="12">
      <c r="P12" t="s">
        <v>1735</v>
      </c>
    </row>
    <row r="13">
      <c r="P13" t="s">
        <v>1736</v>
      </c>
    </row>
    <row r="14">
      <c r="P14" t="s">
        <v>1737</v>
      </c>
    </row>
    <row r="15">
      <c r="P15" t="s">
        <v>1738</v>
      </c>
    </row>
  </sheetData>
  <pageMargins bottom="0.75" footer="0.3" header="0.3" left="0.7" right="0.7" top="0.75"/>
</worksheet>
</file>

<file path=xl/worksheets/sheet4.xml><?xml version="1.0" encoding="utf-8"?>
<worksheet xmlns="http://schemas.openxmlformats.org/spreadsheetml/2006/main">
  <dimension ref="B2:R229"/>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2.70703125" customWidth="true"/>
    <col min="7" max="7" width="2.70703125" customWidth="true"/>
    <col min="8" max="8" width="50.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s>
  <sheetData>
    <row r="2">
      <c r="B2" t="s" s="2">
        <v>1</v>
      </c>
    </row>
    <row r="3">
      <c r="B3" t="s" s="1">
        <v>3</v>
      </c>
      <c r="C3" t="s">
        <v>4</v>
      </c>
    </row>
    <row r="4">
      <c r="B4" s="1" t="s">
        <v>5</v>
      </c>
      <c r="C4" t="s">
        <v>6</v>
      </c>
    </row>
    <row r="5">
      <c r="B5" t="s" s="1">
        <v>7</v>
      </c>
      <c r="C5" t="s">
        <v>34</v>
      </c>
    </row>
    <row r="6">
      <c r="B6" t="s" s="1">
        <v>8</v>
      </c>
      <c r="C6" t="s">
        <v>9</v>
      </c>
    </row>
    <row r="7">
      <c r="B7" t="s" s="1">
        <v>10</v>
      </c>
      <c r="C7" t="s">
        <v>9</v>
      </c>
    </row>
    <row r="9">
      <c r="B9" t="s" s="1">
        <v>11</v>
      </c>
      <c r="C9" t="s">
        <v>12</v>
      </c>
    </row>
    <row r="10">
      <c r="I10" t="s" s="4">
        <v>35</v>
      </c>
      <c r="J10" s="29"/>
      <c r="K10" s="29"/>
      <c r="L10" s="29"/>
      <c r="M10" s="29"/>
      <c r="N10" s="29"/>
      <c r="O10" s="29"/>
      <c r="P10" s="29"/>
      <c r="Q10" s="30"/>
    </row>
    <row r="11">
      <c r="I11" t="s" s="34">
        <v>36</v>
      </c>
      <c r="J11" t="s" s="6">
        <v>37</v>
      </c>
      <c r="K11" t="s" s="34">
        <v>38</v>
      </c>
      <c r="L11" t="s" s="6">
        <v>39</v>
      </c>
      <c r="M11" t="s" s="34">
        <v>40</v>
      </c>
      <c r="N11" t="s" s="6">
        <v>41</v>
      </c>
      <c r="O11" t="s" s="34">
        <v>42</v>
      </c>
      <c r="P11" t="s" s="6">
        <v>43</v>
      </c>
      <c r="Q11" s="36"/>
    </row>
    <row r="12">
      <c r="B12" s="7" t="s">
        <v>44</v>
      </c>
      <c r="C12" s="8"/>
      <c r="D12" s="8"/>
      <c r="E12" s="8"/>
      <c r="F12" s="8"/>
      <c r="G12" s="8"/>
      <c r="H12" s="9"/>
      <c r="I12" s="23"/>
      <c r="J12" s="23"/>
      <c r="K12" s="23"/>
      <c r="L12" s="23"/>
      <c r="M12" s="23"/>
      <c r="N12" s="23"/>
      <c r="O12" s="23"/>
      <c r="P12" s="23"/>
      <c r="Q12" s="23"/>
    </row>
    <row r="13">
      <c r="B13" s="10"/>
      <c r="C13" s="12" t="s">
        <v>45</v>
      </c>
      <c r="D13" s="37"/>
      <c r="E13" s="37"/>
      <c r="F13" s="37"/>
      <c r="G13" s="37"/>
      <c r="H13" s="13"/>
      <c r="I13" s="22"/>
      <c r="J13" s="22"/>
      <c r="K13" s="22"/>
      <c r="L13" s="22"/>
      <c r="M13" s="22"/>
      <c r="N13" s="22"/>
      <c r="O13" s="22"/>
      <c r="P13" s="22"/>
      <c r="Q13" s="22"/>
    </row>
    <row r="14">
      <c r="B14" s="10"/>
      <c r="C14" s="14"/>
      <c r="D14" s="7" t="s">
        <v>46</v>
      </c>
      <c r="E14" s="8"/>
      <c r="F14" s="8"/>
      <c r="G14" s="8"/>
      <c r="H14" s="9"/>
      <c r="I14" s="23"/>
      <c r="J14" s="23"/>
      <c r="K14" s="23"/>
      <c r="L14" s="23"/>
      <c r="M14" s="23"/>
      <c r="N14" s="23"/>
      <c r="O14" s="23"/>
      <c r="P14" s="23"/>
      <c r="Q14" s="23"/>
    </row>
    <row r="15">
      <c r="B15" s="10"/>
      <c r="C15" s="14"/>
      <c r="D15" s="10"/>
      <c r="E15" s="12" t="s">
        <v>47</v>
      </c>
      <c r="F15" s="37"/>
      <c r="G15" s="37"/>
      <c r="H15" s="13"/>
      <c r="I15" s="50" t="n"/>
      <c r="J15" s="50" t="n"/>
      <c r="K15" s="50" t="n"/>
      <c r="L15" s="50" t="n"/>
      <c r="M15" s="50" t="n"/>
      <c r="N15" s="50" t="n"/>
      <c r="O15" s="50" t="n"/>
      <c r="P15" s="50" t="n"/>
      <c r="Q15" s="50" t="n">
        <f>Hoja7!F21+Hoja7!F26+Hoja7!F27</f>
      </c>
    </row>
    <row r="16">
      <c r="B16" s="10"/>
      <c r="C16" s="14"/>
      <c r="D16" s="10"/>
      <c r="E16" s="15"/>
      <c r="F16" s="11" t="s">
        <v>48</v>
      </c>
      <c r="G16" s="8"/>
      <c r="H16" s="9"/>
      <c r="I16" s="51" t="n"/>
      <c r="J16" s="51" t="n"/>
      <c r="K16" s="51" t="n"/>
      <c r="L16" s="51" t="n"/>
      <c r="M16" s="51" t="n"/>
      <c r="N16" s="51" t="n"/>
      <c r="O16" s="51" t="n"/>
      <c r="P16" s="51" t="n"/>
      <c r="Q16" s="51" t="n"/>
    </row>
    <row r="17" ht="28.0" customHeight="true">
      <c r="B17" s="10"/>
      <c r="C17" s="14"/>
      <c r="D17" s="10"/>
      <c r="E17" s="12" t="s">
        <v>49</v>
      </c>
      <c r="F17" s="37"/>
      <c r="G17" s="37"/>
      <c r="H17" s="13"/>
      <c r="I17" s="22"/>
      <c r="J17" s="22"/>
      <c r="K17" s="22"/>
      <c r="L17" s="22"/>
      <c r="M17" s="22"/>
      <c r="N17" s="22"/>
      <c r="O17" s="22"/>
      <c r="P17" s="22"/>
      <c r="Q17" s="22"/>
    </row>
    <row r="18" ht="28.0" customHeight="true">
      <c r="B18" s="10"/>
      <c r="C18" s="14"/>
      <c r="D18" s="10"/>
      <c r="E18" s="14"/>
      <c r="F18" s="7" t="s">
        <v>50</v>
      </c>
      <c r="G18" s="8"/>
      <c r="H18" s="9"/>
      <c r="I18" s="23"/>
      <c r="J18" s="23"/>
      <c r="K18" s="23"/>
      <c r="L18" s="23"/>
      <c r="M18" s="23"/>
      <c r="N18" s="23"/>
      <c r="O18" s="23"/>
      <c r="P18" s="23"/>
      <c r="Q18" s="23"/>
    </row>
    <row r="19" ht="42.0" customHeight="true">
      <c r="B19" s="10"/>
      <c r="C19" s="14"/>
      <c r="D19" s="10"/>
      <c r="E19" s="14"/>
      <c r="F19" s="10"/>
      <c r="G19" s="15" t="s">
        <v>51</v>
      </c>
      <c r="H19" s="13"/>
      <c r="I19" s="50" t="n"/>
      <c r="J19" s="50" t="n"/>
      <c r="K19" s="50" t="n"/>
      <c r="L19" s="50" t="n"/>
      <c r="M19" s="50" t="n"/>
      <c r="N19" s="50" t="n"/>
      <c r="O19" s="50" t="n"/>
      <c r="P19" s="22"/>
      <c r="Q19" s="50" t="n"/>
    </row>
    <row r="20">
      <c r="B20" s="10"/>
      <c r="C20" s="14"/>
      <c r="D20" s="10"/>
      <c r="E20" s="14"/>
      <c r="F20" s="10"/>
      <c r="G20" s="7" t="s">
        <v>52</v>
      </c>
      <c r="H20" s="9"/>
      <c r="I20" s="51" t="n"/>
      <c r="J20" s="51" t="n"/>
      <c r="K20" s="51" t="n"/>
      <c r="L20" s="51" t="n"/>
      <c r="M20" s="51" t="n"/>
      <c r="N20" s="51" t="n"/>
      <c r="O20" s="23"/>
      <c r="P20" s="23"/>
      <c r="Q20" s="51" t="n"/>
    </row>
    <row r="21">
      <c r="B21" s="10"/>
      <c r="C21" s="14"/>
      <c r="D21" s="10"/>
      <c r="E21" s="14"/>
      <c r="F21" s="10"/>
      <c r="G21" s="11"/>
      <c r="H21" s="19" t="s">
        <v>53</v>
      </c>
      <c r="I21" s="22"/>
      <c r="J21" s="22"/>
      <c r="K21" s="22"/>
      <c r="L21" s="50" t="n"/>
      <c r="M21" s="50" t="n"/>
      <c r="N21" s="50" t="n"/>
      <c r="O21" s="22"/>
      <c r="P21" s="22"/>
      <c r="Q21" s="50" t="n"/>
    </row>
    <row r="22" ht="28.0" customHeight="true">
      <c r="B22" s="10"/>
      <c r="C22" s="14"/>
      <c r="D22" s="10"/>
      <c r="E22" s="14"/>
      <c r="F22" s="10"/>
      <c r="G22" s="11" t="s">
        <v>54</v>
      </c>
      <c r="H22" s="9"/>
      <c r="I22" s="23"/>
      <c r="J22" s="23"/>
      <c r="K22" s="51" t="n"/>
      <c r="L22" s="23"/>
      <c r="M22" s="23"/>
      <c r="N22" s="23"/>
      <c r="O22" s="23"/>
      <c r="P22" s="23"/>
      <c r="Q22" s="51" t="n"/>
    </row>
    <row r="23" ht="28.0" customHeight="true">
      <c r="B23" s="10"/>
      <c r="C23" s="14"/>
      <c r="D23" s="10"/>
      <c r="E23" s="14"/>
      <c r="F23" s="11"/>
      <c r="G23" s="40" t="s">
        <v>55</v>
      </c>
      <c r="H23" s="39"/>
      <c r="I23" s="50" t="n">
        <f>I19+I20</f>
      </c>
      <c r="J23" s="50" t="n">
        <f>J19+J20</f>
      </c>
      <c r="K23" s="50" t="n">
        <f>K19+K20+K22</f>
      </c>
      <c r="L23" s="50" t="n">
        <f>L19+L20</f>
      </c>
      <c r="M23" s="50" t="n">
        <f>M19+M20</f>
      </c>
      <c r="N23" s="50" t="n">
        <f>N19+N20</f>
      </c>
      <c r="O23" s="50" t="n">
        <f>O19</f>
      </c>
      <c r="P23" s="22"/>
      <c r="Q23" s="50" t="n">
        <f>Q19+Q20+Q22</f>
      </c>
    </row>
    <row r="24">
      <c r="B24" s="10"/>
      <c r="C24" s="14"/>
      <c r="D24" s="10"/>
      <c r="E24" s="14"/>
      <c r="F24" s="11" t="s">
        <v>56</v>
      </c>
      <c r="G24" s="8"/>
      <c r="H24" s="9"/>
      <c r="I24" s="51" t="n"/>
      <c r="J24" s="51" t="n"/>
      <c r="K24" s="51" t="n"/>
      <c r="L24" s="51" t="n"/>
      <c r="M24" s="51" t="n"/>
      <c r="N24" s="51" t="n"/>
      <c r="O24" s="51" t="n"/>
      <c r="P24" s="51" t="n"/>
      <c r="Q24" s="51" t="n"/>
    </row>
    <row r="25">
      <c r="B25" s="10"/>
      <c r="C25" s="14"/>
      <c r="D25" s="10"/>
      <c r="E25" s="14"/>
      <c r="F25" s="15" t="s">
        <v>57</v>
      </c>
      <c r="G25" s="37"/>
      <c r="H25" s="13"/>
      <c r="I25" s="50" t="n"/>
      <c r="J25" s="50" t="n"/>
      <c r="K25" s="50" t="n"/>
      <c r="L25" s="50" t="n"/>
      <c r="M25" s="50" t="n"/>
      <c r="N25" s="50" t="n"/>
      <c r="O25" s="50" t="n"/>
      <c r="P25" s="50" t="n"/>
      <c r="Q25" s="50" t="n"/>
    </row>
    <row r="26">
      <c r="B26" s="10"/>
      <c r="C26" s="14"/>
      <c r="D26" s="10"/>
      <c r="E26" s="14"/>
      <c r="F26" s="11" t="s">
        <v>58</v>
      </c>
      <c r="G26" s="8"/>
      <c r="H26" s="9"/>
      <c r="I26" s="51" t="n"/>
      <c r="J26" s="51" t="n"/>
      <c r="K26" s="51" t="n"/>
      <c r="L26" s="51" t="n"/>
      <c r="M26" s="51" t="n"/>
      <c r="N26" s="51" t="n"/>
      <c r="O26" s="51" t="n"/>
      <c r="P26" s="51" t="n"/>
      <c r="Q26" s="51" t="n"/>
    </row>
    <row r="27" ht="28.0" customHeight="true">
      <c r="B27" s="10"/>
      <c r="C27" s="14"/>
      <c r="D27" s="10"/>
      <c r="E27" s="15"/>
      <c r="F27" s="40" t="s">
        <v>59</v>
      </c>
      <c r="G27" s="41"/>
      <c r="H27" s="39"/>
      <c r="I27" s="50" t="n">
        <f>SUM(I23:I26)</f>
      </c>
      <c r="J27" s="50" t="n">
        <f>SUM(J23:J26)</f>
      </c>
      <c r="K27" s="50" t="n">
        <f>SUM(K23:K26)</f>
      </c>
      <c r="L27" s="50" t="n">
        <f>SUM(L23:L26)</f>
      </c>
      <c r="M27" s="50" t="n">
        <f>SUM(M23:M26)</f>
      </c>
      <c r="N27" s="50" t="n">
        <f>SUM(N23:N26)</f>
      </c>
      <c r="O27" s="50" t="n">
        <f>SUM(O23:O26)</f>
      </c>
      <c r="P27" s="50" t="n">
        <f>SUM(P24:P26)</f>
      </c>
      <c r="Q27" s="50" t="n">
        <f>SUM(Q23:Q26)</f>
      </c>
    </row>
    <row r="28">
      <c r="B28" s="10"/>
      <c r="C28" s="14"/>
      <c r="D28" s="10"/>
      <c r="E28" s="11" t="s">
        <v>60</v>
      </c>
      <c r="F28" s="8"/>
      <c r="G28" s="8"/>
      <c r="H28" s="9"/>
      <c r="I28" s="51" t="n"/>
      <c r="J28" s="51" t="n"/>
      <c r="K28" s="51" t="n"/>
      <c r="L28" s="51" t="n"/>
      <c r="M28" s="51" t="n"/>
      <c r="N28" s="51" t="n"/>
      <c r="O28" s="51" t="n"/>
      <c r="P28" s="51" t="n"/>
      <c r="Q28" s="51" t="n"/>
    </row>
    <row r="29">
      <c r="B29" s="10"/>
      <c r="C29" s="14"/>
      <c r="D29" s="10"/>
      <c r="E29" s="15" t="s">
        <v>61</v>
      </c>
      <c r="F29" s="37"/>
      <c r="G29" s="37"/>
      <c r="H29" s="13"/>
      <c r="I29" s="50" t="n"/>
      <c r="J29" s="50" t="n"/>
      <c r="K29" s="50" t="n"/>
      <c r="L29" s="50" t="n"/>
      <c r="M29" s="50" t="n"/>
      <c r="N29" s="50" t="n"/>
      <c r="O29" s="50" t="n"/>
      <c r="P29" s="50" t="n"/>
      <c r="Q29" s="50" t="n"/>
    </row>
    <row r="30">
      <c r="B30" s="10"/>
      <c r="C30" s="14"/>
      <c r="D30" s="10"/>
      <c r="E30" s="11" t="s">
        <v>62</v>
      </c>
      <c r="F30" s="8"/>
      <c r="G30" s="8"/>
      <c r="H30" s="9"/>
      <c r="I30" s="51" t="n"/>
      <c r="J30" s="51" t="n"/>
      <c r="K30" s="51" t="n"/>
      <c r="L30" s="51" t="n"/>
      <c r="M30" s="51" t="n"/>
      <c r="N30" s="51" t="n"/>
      <c r="O30" s="51" t="n"/>
      <c r="P30" s="51" t="n"/>
      <c r="Q30" s="51" t="n"/>
    </row>
    <row r="31">
      <c r="B31" s="10"/>
      <c r="C31" s="14"/>
      <c r="D31" s="10"/>
      <c r="E31" s="15" t="s">
        <v>63</v>
      </c>
      <c r="F31" s="37"/>
      <c r="G31" s="37"/>
      <c r="H31" s="13"/>
      <c r="I31" s="50" t="n"/>
      <c r="J31" s="50" t="n"/>
      <c r="K31" s="50" t="n"/>
      <c r="L31" s="50" t="n"/>
      <c r="M31" s="50" t="n"/>
      <c r="N31" s="50" t="n"/>
      <c r="O31" s="50" t="n"/>
      <c r="P31" s="50" t="n"/>
      <c r="Q31" s="50" t="n"/>
    </row>
    <row r="32">
      <c r="B32" s="10"/>
      <c r="C32" s="14"/>
      <c r="D32" s="10"/>
      <c r="E32" s="11" t="s">
        <v>64</v>
      </c>
      <c r="F32" s="8"/>
      <c r="G32" s="8"/>
      <c r="H32" s="9"/>
      <c r="I32" s="51" t="n"/>
      <c r="J32" s="51" t="n"/>
      <c r="K32" s="51" t="n"/>
      <c r="L32" s="51" t="n"/>
      <c r="M32" s="51" t="n"/>
      <c r="N32" s="51" t="n"/>
      <c r="O32" s="51" t="n"/>
      <c r="P32" s="51" t="n"/>
      <c r="Q32" s="51" t="n"/>
    </row>
    <row r="33" ht="42.0" customHeight="true">
      <c r="B33" s="10"/>
      <c r="C33" s="14"/>
      <c r="D33" s="10"/>
      <c r="E33" s="15" t="s">
        <v>65</v>
      </c>
      <c r="F33" s="37"/>
      <c r="G33" s="37"/>
      <c r="H33" s="13"/>
      <c r="I33" s="50" t="n"/>
      <c r="J33" s="50" t="n"/>
      <c r="K33" s="50" t="n"/>
      <c r="L33" s="50" t="n"/>
      <c r="M33" s="50" t="n"/>
      <c r="N33" s="50" t="n"/>
      <c r="O33" s="50" t="n"/>
      <c r="P33" s="50" t="n"/>
      <c r="Q33" s="50" t="n"/>
    </row>
    <row r="34" ht="42.0" customHeight="true">
      <c r="B34" s="10"/>
      <c r="C34" s="14"/>
      <c r="D34" s="10"/>
      <c r="E34" s="45" t="s">
        <v>66</v>
      </c>
      <c r="F34" s="43"/>
      <c r="G34" s="43"/>
      <c r="H34" s="44"/>
      <c r="I34" s="51" t="n">
        <f>I15+SUM(I27:I33)</f>
      </c>
      <c r="J34" s="51" t="n">
        <f>J15+SUM(J27:J33)</f>
      </c>
      <c r="K34" s="51" t="n">
        <f>K15+SUM(K27:K33)</f>
      </c>
      <c r="L34" s="51" t="n">
        <f>L15+SUM(L27:L33)</f>
      </c>
      <c r="M34" s="51" t="n">
        <f>M15+SUM(M27:M33)</f>
      </c>
      <c r="N34" s="51" t="n">
        <f>N15+SUM(N27:N33)</f>
      </c>
      <c r="O34" s="51" t="n">
        <f>O15+SUM(O27:O33)</f>
      </c>
      <c r="P34" s="51" t="n">
        <f>P15+SUM(P27:P33)</f>
      </c>
      <c r="Q34" s="51" t="n">
        <f>Q15+SUM(Q27:Q33)</f>
      </c>
    </row>
    <row r="35" ht="28.0" customHeight="true">
      <c r="B35" s="10"/>
      <c r="C35" s="14"/>
      <c r="D35" s="10"/>
      <c r="E35" s="15" t="s">
        <v>67</v>
      </c>
      <c r="F35" s="37"/>
      <c r="G35" s="37"/>
      <c r="H35" s="13"/>
      <c r="I35" s="50" t="n"/>
      <c r="J35" s="50" t="n"/>
      <c r="K35" s="50" t="n"/>
      <c r="L35" s="50" t="n"/>
      <c r="M35" s="50" t="n"/>
      <c r="N35" s="50" t="n"/>
      <c r="O35" s="50" t="n"/>
      <c r="P35" s="50" t="n"/>
      <c r="Q35" s="50" t="n"/>
    </row>
    <row r="36" ht="28.0" customHeight="true">
      <c r="B36" s="10"/>
      <c r="C36" s="14"/>
      <c r="D36" s="10"/>
      <c r="E36" s="11" t="s">
        <v>68</v>
      </c>
      <c r="F36" s="8"/>
      <c r="G36" s="8"/>
      <c r="H36" s="9"/>
      <c r="I36" s="51" t="n"/>
      <c r="J36" s="51" t="n"/>
      <c r="K36" s="51" t="n"/>
      <c r="L36" s="51" t="n"/>
      <c r="M36" s="51" t="n"/>
      <c r="N36" s="51" t="n"/>
      <c r="O36" s="51" t="n"/>
      <c r="P36" s="51" t="n"/>
      <c r="Q36" s="51" t="n"/>
    </row>
    <row r="37">
      <c r="B37" s="10"/>
      <c r="C37" s="14"/>
      <c r="D37" s="11"/>
      <c r="E37" s="40" t="s">
        <v>69</v>
      </c>
      <c r="F37" s="41"/>
      <c r="G37" s="41"/>
      <c r="H37" s="39"/>
      <c r="I37" s="50" t="n">
        <f>SUM(I34:I36)</f>
      </c>
      <c r="J37" s="50" t="n">
        <f>SUM(J34:J36)</f>
      </c>
      <c r="K37" s="50" t="n">
        <f>SUM(K34:K36)</f>
      </c>
      <c r="L37" s="50" t="n">
        <f>SUM(L34:L36)</f>
      </c>
      <c r="M37" s="50" t="n">
        <f>SUM(M34:M36)</f>
      </c>
      <c r="N37" s="50" t="n">
        <f>SUM(N34:N36)</f>
      </c>
      <c r="O37" s="50" t="n">
        <f>SUM(O34:O36)</f>
      </c>
      <c r="P37" s="50" t="n">
        <f>SUM(P34:P36)</f>
      </c>
      <c r="Q37" s="50" t="n">
        <f>SUM(Q34:Q36)</f>
      </c>
    </row>
    <row r="38">
      <c r="B38" s="10"/>
      <c r="C38" s="14"/>
      <c r="D38" s="7" t="s">
        <v>70</v>
      </c>
      <c r="E38" s="8"/>
      <c r="F38" s="8"/>
      <c r="G38" s="8"/>
      <c r="H38" s="9"/>
      <c r="I38" s="23"/>
      <c r="J38" s="23"/>
      <c r="K38" s="23"/>
      <c r="L38" s="23"/>
      <c r="M38" s="23"/>
      <c r="N38" s="23"/>
      <c r="O38" s="23"/>
      <c r="P38" s="23"/>
      <c r="Q38" s="23"/>
    </row>
    <row r="39">
      <c r="B39" s="10"/>
      <c r="C39" s="14"/>
      <c r="D39" s="10"/>
      <c r="E39" s="15" t="s">
        <v>71</v>
      </c>
      <c r="F39" s="37"/>
      <c r="G39" s="37"/>
      <c r="H39" s="13"/>
      <c r="I39" s="50" t="n"/>
      <c r="J39" s="50" t="n"/>
      <c r="K39" s="50" t="n"/>
      <c r="L39" s="50" t="n"/>
      <c r="M39" s="50" t="n"/>
      <c r="N39" s="50" t="n"/>
      <c r="O39" s="50" t="n"/>
      <c r="P39" s="50" t="n"/>
      <c r="Q39" s="50" t="n"/>
    </row>
    <row r="40">
      <c r="B40" s="10"/>
      <c r="C40" s="14"/>
      <c r="D40" s="10"/>
      <c r="E40" s="11" t="s">
        <v>72</v>
      </c>
      <c r="F40" s="8"/>
      <c r="G40" s="8"/>
      <c r="H40" s="9"/>
      <c r="I40" s="51" t="n"/>
      <c r="J40" s="51" t="n"/>
      <c r="K40" s="51" t="n"/>
      <c r="L40" s="51" t="n"/>
      <c r="M40" s="51" t="n"/>
      <c r="N40" s="51" t="n"/>
      <c r="O40" s="51" t="n"/>
      <c r="P40" s="51" t="n"/>
      <c r="Q40" s="51" t="n"/>
    </row>
    <row r="41">
      <c r="B41" s="10"/>
      <c r="C41" s="14"/>
      <c r="D41" s="10"/>
      <c r="E41" s="15" t="s">
        <v>73</v>
      </c>
      <c r="F41" s="37"/>
      <c r="G41" s="37"/>
      <c r="H41" s="13"/>
      <c r="I41" s="50" t="n"/>
      <c r="J41" s="50" t="n"/>
      <c r="K41" s="50" t="n"/>
      <c r="L41" s="50" t="n"/>
      <c r="M41" s="50" t="n"/>
      <c r="N41" s="50" t="n"/>
      <c r="O41" s="50" t="n"/>
      <c r="P41" s="50" t="n"/>
      <c r="Q41" s="50" t="n"/>
    </row>
    <row r="42">
      <c r="B42" s="10"/>
      <c r="C42" s="14"/>
      <c r="D42" s="10"/>
      <c r="E42" s="11" t="s">
        <v>74</v>
      </c>
      <c r="F42" s="8"/>
      <c r="G42" s="8"/>
      <c r="H42" s="9"/>
      <c r="I42" s="51" t="n"/>
      <c r="J42" s="51" t="n"/>
      <c r="K42" s="51" t="n"/>
      <c r="L42" s="51" t="n"/>
      <c r="M42" s="51" t="n"/>
      <c r="N42" s="51" t="n"/>
      <c r="O42" s="51" t="n"/>
      <c r="P42" s="51" t="n"/>
      <c r="Q42" s="51" t="n"/>
    </row>
    <row r="43">
      <c r="B43" s="10"/>
      <c r="C43" s="14"/>
      <c r="D43" s="10"/>
      <c r="E43" s="15" t="s">
        <v>75</v>
      </c>
      <c r="F43" s="37"/>
      <c r="G43" s="37"/>
      <c r="H43" s="13"/>
      <c r="I43" s="50" t="n"/>
      <c r="J43" s="50" t="n"/>
      <c r="K43" s="50" t="n"/>
      <c r="L43" s="50" t="n"/>
      <c r="M43" s="50" t="n"/>
      <c r="N43" s="50" t="n"/>
      <c r="O43" s="50" t="n"/>
      <c r="P43" s="50" t="n"/>
      <c r="Q43" s="50" t="n"/>
    </row>
    <row r="44">
      <c r="B44" s="10"/>
      <c r="C44" s="14"/>
      <c r="D44" s="10"/>
      <c r="E44" s="11" t="s">
        <v>76</v>
      </c>
      <c r="F44" s="8"/>
      <c r="G44" s="8"/>
      <c r="H44" s="9"/>
      <c r="I44" s="51" t="n"/>
      <c r="J44" s="51" t="n"/>
      <c r="K44" s="51" t="n"/>
      <c r="L44" s="51" t="n"/>
      <c r="M44" s="51" t="n"/>
      <c r="N44" s="51" t="n"/>
      <c r="O44" s="51" t="n"/>
      <c r="P44" s="51" t="n"/>
      <c r="Q44" s="51" t="n"/>
    </row>
    <row r="45">
      <c r="B45" s="10"/>
      <c r="C45" s="14"/>
      <c r="D45" s="10"/>
      <c r="E45" s="15" t="s">
        <v>77</v>
      </c>
      <c r="F45" s="37"/>
      <c r="G45" s="37"/>
      <c r="H45" s="13"/>
      <c r="I45" s="50" t="n"/>
      <c r="J45" s="50" t="n"/>
      <c r="K45" s="50" t="n"/>
      <c r="L45" s="50" t="n"/>
      <c r="M45" s="50" t="n"/>
      <c r="N45" s="50" t="n"/>
      <c r="O45" s="50" t="n"/>
      <c r="P45" s="50" t="n"/>
      <c r="Q45" s="50" t="n"/>
    </row>
    <row r="46">
      <c r="B46" s="10"/>
      <c r="C46" s="14"/>
      <c r="D46" s="10"/>
      <c r="E46" s="11" t="s">
        <v>78</v>
      </c>
      <c r="F46" s="8"/>
      <c r="G46" s="8"/>
      <c r="H46" s="9"/>
      <c r="I46" s="51" t="n"/>
      <c r="J46" s="51" t="n"/>
      <c r="K46" s="51" t="n"/>
      <c r="L46" s="51" t="n"/>
      <c r="M46" s="51" t="n"/>
      <c r="N46" s="51" t="n"/>
      <c r="O46" s="51" t="n"/>
      <c r="P46" s="51" t="n"/>
      <c r="Q46" s="51" t="n"/>
    </row>
    <row r="47" ht="28.0" customHeight="true">
      <c r="B47" s="10"/>
      <c r="C47" s="14"/>
      <c r="D47" s="10"/>
      <c r="E47" s="15" t="s">
        <v>79</v>
      </c>
      <c r="F47" s="37"/>
      <c r="G47" s="37"/>
      <c r="H47" s="13"/>
      <c r="I47" s="50" t="n"/>
      <c r="J47" s="50" t="n"/>
      <c r="K47" s="50" t="n"/>
      <c r="L47" s="50" t="n"/>
      <c r="M47" s="50" t="n"/>
      <c r="N47" s="50" t="n"/>
      <c r="O47" s="50" t="n"/>
      <c r="P47" s="50" t="n"/>
      <c r="Q47" s="50" t="n"/>
    </row>
    <row r="48">
      <c r="B48" s="10"/>
      <c r="C48" s="14"/>
      <c r="D48" s="10"/>
      <c r="E48" s="11" t="s">
        <v>80</v>
      </c>
      <c r="F48" s="8"/>
      <c r="G48" s="8"/>
      <c r="H48" s="9"/>
      <c r="I48" s="51" t="n"/>
      <c r="J48" s="51" t="n"/>
      <c r="K48" s="51" t="n"/>
      <c r="L48" s="51" t="n"/>
      <c r="M48" s="51" t="n"/>
      <c r="N48" s="51" t="n"/>
      <c r="O48" s="51" t="n"/>
      <c r="P48" s="51" t="n"/>
      <c r="Q48" s="51" t="n"/>
    </row>
    <row r="49" ht="28.0" customHeight="true">
      <c r="B49" s="10"/>
      <c r="C49" s="14"/>
      <c r="D49" s="10"/>
      <c r="E49" s="12" t="s">
        <v>81</v>
      </c>
      <c r="F49" s="37"/>
      <c r="G49" s="37"/>
      <c r="H49" s="13"/>
      <c r="I49" s="22"/>
      <c r="J49" s="22"/>
      <c r="K49" s="22"/>
      <c r="L49" s="22"/>
      <c r="M49" s="22"/>
      <c r="N49" s="22"/>
      <c r="O49" s="22"/>
      <c r="P49" s="22"/>
      <c r="Q49" s="22"/>
    </row>
    <row r="50" ht="28.0" customHeight="true">
      <c r="B50" s="10"/>
      <c r="C50" s="14"/>
      <c r="D50" s="10"/>
      <c r="E50" s="14"/>
      <c r="F50" s="7" t="s">
        <v>82</v>
      </c>
      <c r="G50" s="8"/>
      <c r="H50" s="9"/>
      <c r="I50" s="23"/>
      <c r="J50" s="23"/>
      <c r="K50" s="23"/>
      <c r="L50" s="23"/>
      <c r="M50" s="23"/>
      <c r="N50" s="23"/>
      <c r="O50" s="23"/>
      <c r="P50" s="23"/>
      <c r="Q50" s="23"/>
    </row>
    <row r="51" ht="42.0" customHeight="true">
      <c r="B51" s="10"/>
      <c r="C51" s="14"/>
      <c r="D51" s="10"/>
      <c r="E51" s="14"/>
      <c r="F51" s="10"/>
      <c r="G51" s="15" t="s">
        <v>83</v>
      </c>
      <c r="H51" s="13"/>
      <c r="I51" s="50" t="n"/>
      <c r="J51" s="50" t="n"/>
      <c r="K51" s="50" t="n"/>
      <c r="L51" s="50" t="n"/>
      <c r="M51" s="50" t="n"/>
      <c r="N51" s="50" t="n"/>
      <c r="O51" s="50" t="n"/>
      <c r="P51" s="22"/>
      <c r="Q51" s="50" t="n"/>
    </row>
    <row r="52">
      <c r="B52" s="10"/>
      <c r="C52" s="14"/>
      <c r="D52" s="10"/>
      <c r="E52" s="14"/>
      <c r="F52" s="10"/>
      <c r="G52" s="7" t="s">
        <v>84</v>
      </c>
      <c r="H52" s="9"/>
      <c r="I52" s="51" t="n"/>
      <c r="J52" s="51" t="n"/>
      <c r="K52" s="51" t="n"/>
      <c r="L52" s="51" t="n"/>
      <c r="M52" s="51" t="n"/>
      <c r="N52" s="51" t="n"/>
      <c r="O52" s="23"/>
      <c r="P52" s="23"/>
      <c r="Q52" s="51" t="n"/>
    </row>
    <row r="53">
      <c r="B53" s="10"/>
      <c r="C53" s="14"/>
      <c r="D53" s="10"/>
      <c r="E53" s="14"/>
      <c r="F53" s="10"/>
      <c r="G53" s="11"/>
      <c r="H53" s="19" t="s">
        <v>85</v>
      </c>
      <c r="I53" s="22"/>
      <c r="J53" s="22"/>
      <c r="K53" s="22"/>
      <c r="L53" s="50" t="n"/>
      <c r="M53" s="50" t="n"/>
      <c r="N53" s="50" t="n"/>
      <c r="O53" s="22"/>
      <c r="P53" s="22"/>
      <c r="Q53" s="50" t="n"/>
    </row>
    <row r="54" ht="28.0" customHeight="true">
      <c r="B54" s="10"/>
      <c r="C54" s="14"/>
      <c r="D54" s="10"/>
      <c r="E54" s="14"/>
      <c r="F54" s="10"/>
      <c r="G54" s="11" t="s">
        <v>86</v>
      </c>
      <c r="H54" s="9"/>
      <c r="I54" s="23"/>
      <c r="J54" s="23"/>
      <c r="K54" s="51" t="n"/>
      <c r="L54" s="23"/>
      <c r="M54" s="23"/>
      <c r="N54" s="23"/>
      <c r="O54" s="23"/>
      <c r="P54" s="23"/>
      <c r="Q54" s="51" t="n"/>
    </row>
    <row r="55" ht="28.0" customHeight="true">
      <c r="B55" s="10"/>
      <c r="C55" s="14"/>
      <c r="D55" s="10"/>
      <c r="E55" s="14"/>
      <c r="F55" s="11"/>
      <c r="G55" s="40" t="s">
        <v>87</v>
      </c>
      <c r="H55" s="39"/>
      <c r="I55" s="50" t="n">
        <f>I51+I52</f>
      </c>
      <c r="J55" s="50" t="n">
        <f>J51+J52</f>
      </c>
      <c r="K55" s="50" t="n">
        <f>K51+K52+K54</f>
      </c>
      <c r="L55" s="50" t="n">
        <f>L51+L52</f>
      </c>
      <c r="M55" s="50" t="n">
        <f>M51+M52</f>
      </c>
      <c r="N55" s="50" t="n">
        <f>N51+N52</f>
      </c>
      <c r="O55" s="50" t="n">
        <f>O51</f>
      </c>
      <c r="P55" s="22"/>
      <c r="Q55" s="50" t="n">
        <f>Q51+Q52+Q54</f>
      </c>
    </row>
    <row r="56">
      <c r="B56" s="10"/>
      <c r="C56" s="14"/>
      <c r="D56" s="10"/>
      <c r="E56" s="14"/>
      <c r="F56" s="11" t="s">
        <v>88</v>
      </c>
      <c r="G56" s="8"/>
      <c r="H56" s="9"/>
      <c r="I56" s="51" t="n"/>
      <c r="J56" s="51" t="n"/>
      <c r="K56" s="51" t="n"/>
      <c r="L56" s="51" t="n"/>
      <c r="M56" s="51" t="n"/>
      <c r="N56" s="51" t="n"/>
      <c r="O56" s="51" t="n"/>
      <c r="P56" s="51" t="n"/>
      <c r="Q56" s="51" t="n"/>
    </row>
    <row r="57">
      <c r="B57" s="10"/>
      <c r="C57" s="14"/>
      <c r="D57" s="10"/>
      <c r="E57" s="14"/>
      <c r="F57" s="15" t="s">
        <v>89</v>
      </c>
      <c r="G57" s="37"/>
      <c r="H57" s="13"/>
      <c r="I57" s="50" t="n"/>
      <c r="J57" s="50" t="n"/>
      <c r="K57" s="50" t="n"/>
      <c r="L57" s="50" t="n"/>
      <c r="M57" s="50" t="n"/>
      <c r="N57" s="50" t="n"/>
      <c r="O57" s="50" t="n"/>
      <c r="P57" s="50" t="n"/>
      <c r="Q57" s="50" t="n"/>
    </row>
    <row r="58">
      <c r="B58" s="10"/>
      <c r="C58" s="14"/>
      <c r="D58" s="10"/>
      <c r="E58" s="14"/>
      <c r="F58" s="11" t="s">
        <v>90</v>
      </c>
      <c r="G58" s="8"/>
      <c r="H58" s="9"/>
      <c r="I58" s="51" t="n"/>
      <c r="J58" s="51" t="n"/>
      <c r="K58" s="51" t="n"/>
      <c r="L58" s="51" t="n"/>
      <c r="M58" s="51" t="n"/>
      <c r="N58" s="51" t="n"/>
      <c r="O58" s="51" t="n"/>
      <c r="P58" s="51" t="n"/>
      <c r="Q58" s="51" t="n"/>
    </row>
    <row r="59" ht="28.0" customHeight="true">
      <c r="B59" s="10"/>
      <c r="C59" s="14"/>
      <c r="D59" s="10"/>
      <c r="E59" s="15"/>
      <c r="F59" s="40" t="s">
        <v>91</v>
      </c>
      <c r="G59" s="41"/>
      <c r="H59" s="39"/>
      <c r="I59" s="50" t="n">
        <f>SUM(I55:I58)</f>
      </c>
      <c r="J59" s="50" t="n">
        <f>SUM(J55:J58)</f>
      </c>
      <c r="K59" s="50" t="n">
        <f>SUM(K55:K58)</f>
      </c>
      <c r="L59" s="50" t="n">
        <f>SUM(L55:L58)</f>
      </c>
      <c r="M59" s="50" t="n">
        <f>SUM(M55:M58)</f>
      </c>
      <c r="N59" s="50" t="n">
        <f>SUM(N55:N58)</f>
      </c>
      <c r="O59" s="50" t="n">
        <f>SUM(O55:O58)</f>
      </c>
      <c r="P59" s="50" t="n">
        <f>SUM(P56:P58)</f>
      </c>
      <c r="Q59" s="50" t="n">
        <f>SUM(Q55:Q58)</f>
      </c>
    </row>
    <row r="60">
      <c r="B60" s="10"/>
      <c r="C60" s="14"/>
      <c r="D60" s="10"/>
      <c r="E60" s="11" t="s">
        <v>92</v>
      </c>
      <c r="F60" s="8"/>
      <c r="G60" s="8"/>
      <c r="H60" s="9"/>
      <c r="I60" s="51" t="n"/>
      <c r="J60" s="51" t="n"/>
      <c r="K60" s="51" t="n"/>
      <c r="L60" s="51" t="n"/>
      <c r="M60" s="51" t="n"/>
      <c r="N60" s="51" t="n"/>
      <c r="O60" s="51" t="n"/>
      <c r="P60" s="51" t="n"/>
      <c r="Q60" s="51" t="n"/>
    </row>
    <row r="61">
      <c r="B61" s="10"/>
      <c r="C61" s="14"/>
      <c r="D61" s="10"/>
      <c r="E61" s="15" t="s">
        <v>93</v>
      </c>
      <c r="F61" s="37"/>
      <c r="G61" s="37"/>
      <c r="H61" s="13"/>
      <c r="I61" s="50" t="n"/>
      <c r="J61" s="50" t="n"/>
      <c r="K61" s="50" t="n"/>
      <c r="L61" s="50" t="n"/>
      <c r="M61" s="50" t="n"/>
      <c r="N61" s="50" t="n"/>
      <c r="O61" s="50" t="n"/>
      <c r="P61" s="50" t="n"/>
      <c r="Q61" s="50" t="n"/>
    </row>
    <row r="62">
      <c r="B62" s="10"/>
      <c r="C62" s="14"/>
      <c r="D62" s="10"/>
      <c r="E62" s="11" t="s">
        <v>94</v>
      </c>
      <c r="F62" s="8"/>
      <c r="G62" s="8"/>
      <c r="H62" s="9"/>
      <c r="I62" s="51" t="n"/>
      <c r="J62" s="51" t="n"/>
      <c r="K62" s="51" t="n"/>
      <c r="L62" s="51" t="n"/>
      <c r="M62" s="51" t="n"/>
      <c r="N62" s="51" t="n"/>
      <c r="O62" s="51" t="n"/>
      <c r="P62" s="51" t="n"/>
      <c r="Q62" s="51" t="n"/>
    </row>
    <row r="63">
      <c r="B63" s="10"/>
      <c r="C63" s="14"/>
      <c r="D63" s="10"/>
      <c r="E63" s="15" t="s">
        <v>95</v>
      </c>
      <c r="F63" s="37"/>
      <c r="G63" s="37"/>
      <c r="H63" s="13"/>
      <c r="I63" s="50" t="n"/>
      <c r="J63" s="50" t="n"/>
      <c r="K63" s="50" t="n"/>
      <c r="L63" s="50" t="n"/>
      <c r="M63" s="50" t="n"/>
      <c r="N63" s="50" t="n"/>
      <c r="O63" s="50" t="n"/>
      <c r="P63" s="50" t="n"/>
      <c r="Q63" s="50" t="n"/>
    </row>
    <row r="64">
      <c r="B64" s="10"/>
      <c r="C64" s="14"/>
      <c r="D64" s="10"/>
      <c r="E64" s="11" t="s">
        <v>96</v>
      </c>
      <c r="F64" s="8"/>
      <c r="G64" s="8"/>
      <c r="H64" s="9"/>
      <c r="I64" s="51" t="n"/>
      <c r="J64" s="51" t="n"/>
      <c r="K64" s="51" t="n"/>
      <c r="L64" s="51" t="n"/>
      <c r="M64" s="51" t="n"/>
      <c r="N64" s="51" t="n"/>
      <c r="O64" s="51" t="n"/>
      <c r="P64" s="51" t="n"/>
      <c r="Q64" s="51" t="n"/>
    </row>
    <row r="65" ht="42.0" customHeight="true">
      <c r="B65" s="10"/>
      <c r="C65" s="14"/>
      <c r="D65" s="10"/>
      <c r="E65" s="15" t="s">
        <v>97</v>
      </c>
      <c r="F65" s="37"/>
      <c r="G65" s="37"/>
      <c r="H65" s="13"/>
      <c r="I65" s="50" t="n"/>
      <c r="J65" s="50" t="n"/>
      <c r="K65" s="50" t="n"/>
      <c r="L65" s="50" t="n"/>
      <c r="M65" s="50" t="n"/>
      <c r="N65" s="50" t="n"/>
      <c r="O65" s="50" t="n"/>
      <c r="P65" s="50" t="n"/>
      <c r="Q65" s="50" t="n"/>
    </row>
    <row r="66">
      <c r="B66" s="10"/>
      <c r="C66" s="14"/>
      <c r="D66" s="11"/>
      <c r="E66" s="45" t="s">
        <v>98</v>
      </c>
      <c r="F66" s="43"/>
      <c r="G66" s="43"/>
      <c r="H66" s="44"/>
      <c r="I66" s="51" t="n">
        <f>SUM(I39:I48)+SUM(I59:I65)</f>
      </c>
      <c r="J66" s="51" t="n">
        <f>SUM(J39:J48)+SUM(J59:J65)</f>
      </c>
      <c r="K66" s="51" t="n">
        <f>SUM(K39:K48)+SUM(K59:K65)</f>
      </c>
      <c r="L66" s="51" t="n">
        <f>SUM(L39:L48)+SUM(L59:L65)</f>
      </c>
      <c r="M66" s="51" t="n">
        <f>SUM(M39:M48)+SUM(M59:M65)</f>
      </c>
      <c r="N66" s="51" t="n">
        <f>SUM(N39:N48)+SUM(N59:N65)</f>
      </c>
      <c r="O66" s="51" t="n">
        <f>SUM(O39:O48)+SUM(O59:O65)</f>
      </c>
      <c r="P66" s="51" t="n">
        <f>SUM(P39:P48)+SUM(P59:P65)</f>
      </c>
      <c r="Q66" s="51" t="n">
        <f>SUM(Q39:Q48)+SUM(Q59:Q65)</f>
      </c>
    </row>
    <row r="67">
      <c r="B67" s="10"/>
      <c r="C67" s="15"/>
      <c r="D67" s="40" t="s">
        <v>99</v>
      </c>
      <c r="E67" s="41"/>
      <c r="F67" s="41"/>
      <c r="G67" s="41"/>
      <c r="H67" s="39"/>
      <c r="I67" s="50" t="n">
        <f>I37+I66</f>
      </c>
      <c r="J67" s="50" t="n">
        <f>J37+J66</f>
      </c>
      <c r="K67" s="50" t="n">
        <f>K37+K66</f>
      </c>
      <c r="L67" s="50" t="n">
        <f>L37+L66</f>
      </c>
      <c r="M67" s="50" t="n">
        <f>M37+M66</f>
      </c>
      <c r="N67" s="50" t="n">
        <f>N37+N66</f>
      </c>
      <c r="O67" s="50" t="n">
        <f>O37+O66</f>
      </c>
      <c r="P67" s="50" t="n">
        <f>P37+P66</f>
      </c>
      <c r="Q67" s="50" t="n">
        <f>Q37+Q66</f>
      </c>
    </row>
    <row r="68">
      <c r="B68" s="10"/>
      <c r="C68" s="7" t="s">
        <v>100</v>
      </c>
      <c r="D68" s="8"/>
      <c r="E68" s="8"/>
      <c r="F68" s="8"/>
      <c r="G68" s="8"/>
      <c r="H68" s="9"/>
      <c r="I68" s="23"/>
      <c r="J68" s="23"/>
      <c r="K68" s="23"/>
      <c r="L68" s="23"/>
      <c r="M68" s="23"/>
      <c r="N68" s="23"/>
      <c r="O68" s="23"/>
      <c r="P68" s="23"/>
      <c r="Q68" s="23"/>
    </row>
    <row r="69">
      <c r="B69" s="10"/>
      <c r="C69" s="10"/>
      <c r="D69" s="12" t="s">
        <v>101</v>
      </c>
      <c r="E69" s="37"/>
      <c r="F69" s="37"/>
      <c r="G69" s="37"/>
      <c r="H69" s="13"/>
      <c r="I69" s="22"/>
      <c r="J69" s="22"/>
      <c r="K69" s="22"/>
      <c r="L69" s="22"/>
      <c r="M69" s="22"/>
      <c r="N69" s="22"/>
      <c r="O69" s="22"/>
      <c r="P69" s="22"/>
      <c r="Q69" s="22"/>
    </row>
    <row r="70">
      <c r="B70" s="10"/>
      <c r="C70" s="10"/>
      <c r="D70" s="14"/>
      <c r="E70" s="7" t="s">
        <v>102</v>
      </c>
      <c r="F70" s="8"/>
      <c r="G70" s="8"/>
      <c r="H70" s="9"/>
      <c r="I70" s="23"/>
      <c r="J70" s="23"/>
      <c r="K70" s="23"/>
      <c r="L70" s="23"/>
      <c r="M70" s="23"/>
      <c r="N70" s="23"/>
      <c r="O70" s="23"/>
      <c r="P70" s="23"/>
      <c r="Q70" s="23"/>
    </row>
    <row r="71">
      <c r="B71" s="10"/>
      <c r="C71" s="10"/>
      <c r="D71" s="14"/>
      <c r="E71" s="10"/>
      <c r="F71" s="12" t="s">
        <v>103</v>
      </c>
      <c r="G71" s="37"/>
      <c r="H71" s="13"/>
      <c r="I71" s="22"/>
      <c r="J71" s="22"/>
      <c r="K71" s="22"/>
      <c r="L71" s="22"/>
      <c r="M71" s="22"/>
      <c r="N71" s="22"/>
      <c r="O71" s="22"/>
      <c r="P71" s="22"/>
      <c r="Q71" s="22"/>
    </row>
    <row r="72">
      <c r="B72" s="10"/>
      <c r="C72" s="10"/>
      <c r="D72" s="14"/>
      <c r="E72" s="10"/>
      <c r="F72" s="14"/>
      <c r="G72" s="11" t="s">
        <v>104</v>
      </c>
      <c r="H72" s="9"/>
      <c r="I72" s="51" t="n"/>
      <c r="J72" s="51" t="n"/>
      <c r="K72" s="51" t="n"/>
      <c r="L72" s="51" t="n"/>
      <c r="M72" s="51" t="n"/>
      <c r="N72" s="51" t="n"/>
      <c r="O72" s="51" t="n"/>
      <c r="P72" s="51" t="n"/>
      <c r="Q72" s="51" t="n"/>
    </row>
    <row r="73">
      <c r="B73" s="10"/>
      <c r="C73" s="10"/>
      <c r="D73" s="14"/>
      <c r="E73" s="10"/>
      <c r="F73" s="14"/>
      <c r="G73" s="15" t="s">
        <v>105</v>
      </c>
      <c r="H73" s="13"/>
      <c r="I73" s="50" t="n"/>
      <c r="J73" s="50" t="n"/>
      <c r="K73" s="50" t="n"/>
      <c r="L73" s="50" t="n"/>
      <c r="M73" s="50" t="n"/>
      <c r="N73" s="50" t="n"/>
      <c r="O73" s="50" t="n"/>
      <c r="P73" s="50" t="n"/>
      <c r="Q73" s="50" t="n"/>
    </row>
    <row r="74">
      <c r="B74" s="10"/>
      <c r="C74" s="10"/>
      <c r="D74" s="14"/>
      <c r="E74" s="10"/>
      <c r="F74" s="15"/>
      <c r="G74" s="45" t="s">
        <v>106</v>
      </c>
      <c r="H74" s="44"/>
      <c r="I74" s="51" t="n">
        <f>I72+I73</f>
      </c>
      <c r="J74" s="51" t="n">
        <f>J72+J73</f>
      </c>
      <c r="K74" s="51" t="n">
        <f>K72+K73</f>
      </c>
      <c r="L74" s="51" t="n">
        <f>L72+L73</f>
      </c>
      <c r="M74" s="51" t="n">
        <f>M72+M73</f>
      </c>
      <c r="N74" s="51" t="n">
        <f>N72+N73</f>
      </c>
      <c r="O74" s="51" t="n">
        <f>O72+O73</f>
      </c>
      <c r="P74" s="51" t="n">
        <f>P72+P73</f>
      </c>
      <c r="Q74" s="51" t="n">
        <f>Q72+Q73</f>
      </c>
    </row>
    <row r="75" ht="28.0" customHeight="true">
      <c r="B75" s="10"/>
      <c r="C75" s="10"/>
      <c r="D75" s="14"/>
      <c r="E75" s="10"/>
      <c r="F75" s="12" t="s">
        <v>107</v>
      </c>
      <c r="G75" s="37"/>
      <c r="H75" s="13"/>
      <c r="I75" s="22"/>
      <c r="J75" s="22"/>
      <c r="K75" s="22"/>
      <c r="L75" s="22"/>
      <c r="M75" s="22"/>
      <c r="N75" s="22"/>
      <c r="O75" s="22"/>
      <c r="P75" s="22"/>
      <c r="Q75" s="22"/>
    </row>
    <row r="76">
      <c r="B76" s="10"/>
      <c r="C76" s="10"/>
      <c r="D76" s="14"/>
      <c r="E76" s="10"/>
      <c r="F76" s="14"/>
      <c r="G76" s="11" t="s">
        <v>108</v>
      </c>
      <c r="H76" s="9"/>
      <c r="I76" s="51" t="n"/>
      <c r="J76" s="51" t="n"/>
      <c r="K76" s="51" t="n"/>
      <c r="L76" s="51" t="n"/>
      <c r="M76" s="51" t="n"/>
      <c r="N76" s="51" t="n"/>
      <c r="O76" s="51" t="n"/>
      <c r="P76" s="51" t="n"/>
      <c r="Q76" s="51" t="n"/>
    </row>
    <row r="77">
      <c r="B77" s="10"/>
      <c r="C77" s="10"/>
      <c r="D77" s="14"/>
      <c r="E77" s="10"/>
      <c r="F77" s="14"/>
      <c r="G77" s="15" t="s">
        <v>109</v>
      </c>
      <c r="H77" s="13"/>
      <c r="I77" s="50" t="n"/>
      <c r="J77" s="50" t="n"/>
      <c r="K77" s="50" t="n"/>
      <c r="L77" s="50" t="n"/>
      <c r="M77" s="50" t="n"/>
      <c r="N77" s="50" t="n"/>
      <c r="O77" s="50" t="n"/>
      <c r="P77" s="50" t="n"/>
      <c r="Q77" s="50" t="n"/>
    </row>
    <row r="78">
      <c r="B78" s="10"/>
      <c r="C78" s="10"/>
      <c r="D78" s="14"/>
      <c r="E78" s="10"/>
      <c r="F78" s="14"/>
      <c r="G78" s="11" t="s">
        <v>110</v>
      </c>
      <c r="H78" s="9"/>
      <c r="I78" s="51" t="n"/>
      <c r="J78" s="51" t="n"/>
      <c r="K78" s="51" t="n"/>
      <c r="L78" s="51" t="n"/>
      <c r="M78" s="51" t="n"/>
      <c r="N78" s="51" t="n"/>
      <c r="O78" s="51" t="n"/>
      <c r="P78" s="51" t="n"/>
      <c r="Q78" s="51" t="n"/>
    </row>
    <row r="79">
      <c r="B79" s="10"/>
      <c r="C79" s="10"/>
      <c r="D79" s="14"/>
      <c r="E79" s="10"/>
      <c r="F79" s="14"/>
      <c r="G79" s="15" t="s">
        <v>111</v>
      </c>
      <c r="H79" s="13"/>
      <c r="I79" s="50" t="n"/>
      <c r="J79" s="50" t="n"/>
      <c r="K79" s="50" t="n"/>
      <c r="L79" s="50" t="n"/>
      <c r="M79" s="50" t="n"/>
      <c r="N79" s="50" t="n"/>
      <c r="O79" s="50" t="n"/>
      <c r="P79" s="50" t="n"/>
      <c r="Q79" s="50" t="n"/>
    </row>
    <row r="80" ht="28.0" customHeight="true">
      <c r="B80" s="10"/>
      <c r="C80" s="10"/>
      <c r="D80" s="14"/>
      <c r="E80" s="10"/>
      <c r="F80" s="15"/>
      <c r="G80" s="45" t="s">
        <v>112</v>
      </c>
      <c r="H80" s="44"/>
      <c r="I80" s="51" t="n">
        <f>SUM(I76:I79)</f>
      </c>
      <c r="J80" s="51" t="n">
        <f>SUM(J76:J79)</f>
      </c>
      <c r="K80" s="51" t="n">
        <f>SUM(K76:K79)</f>
      </c>
      <c r="L80" s="51" t="n">
        <f>SUM(L76:L79)</f>
      </c>
      <c r="M80" s="51" t="n">
        <f>SUM(M76:M79)</f>
      </c>
      <c r="N80" s="51" t="n">
        <f>SUM(N76:N79)</f>
      </c>
      <c r="O80" s="51" t="n">
        <f>SUM(O76:O79)</f>
      </c>
      <c r="P80" s="51" t="n">
        <f>SUM(P76:P79)</f>
      </c>
      <c r="Q80" s="51" t="n">
        <f>SUM(Q76:Q79)</f>
      </c>
    </row>
    <row r="81">
      <c r="B81" s="10"/>
      <c r="C81" s="10"/>
      <c r="D81" s="14"/>
      <c r="E81" s="10"/>
      <c r="F81" s="15" t="s">
        <v>113</v>
      </c>
      <c r="G81" s="37"/>
      <c r="H81" s="13"/>
      <c r="I81" s="50" t="n"/>
      <c r="J81" s="50" t="n"/>
      <c r="K81" s="50" t="n"/>
      <c r="L81" s="50" t="n"/>
      <c r="M81" s="50" t="n"/>
      <c r="N81" s="50" t="n"/>
      <c r="O81" s="50" t="n"/>
      <c r="P81" s="50" t="n"/>
      <c r="Q81" s="50" t="n"/>
    </row>
    <row r="82">
      <c r="B82" s="10"/>
      <c r="C82" s="10"/>
      <c r="D82" s="14"/>
      <c r="E82" s="10"/>
      <c r="F82" s="11" t="s">
        <v>114</v>
      </c>
      <c r="G82" s="8"/>
      <c r="H82" s="9"/>
      <c r="I82" s="51" t="n"/>
      <c r="J82" s="51" t="n"/>
      <c r="K82" s="51" t="n"/>
      <c r="L82" s="51" t="n"/>
      <c r="M82" s="51" t="n"/>
      <c r="N82" s="51" t="n"/>
      <c r="O82" s="51" t="n"/>
      <c r="P82" s="51" t="n"/>
      <c r="Q82" s="51" t="n"/>
    </row>
    <row r="83">
      <c r="B83" s="10"/>
      <c r="C83" s="10"/>
      <c r="D83" s="14"/>
      <c r="E83" s="10"/>
      <c r="F83" s="15" t="s">
        <v>115</v>
      </c>
      <c r="G83" s="37"/>
      <c r="H83" s="13"/>
      <c r="I83" s="50" t="n"/>
      <c r="J83" s="50" t="n"/>
      <c r="K83" s="50" t="n"/>
      <c r="L83" s="50" t="n"/>
      <c r="M83" s="50" t="n"/>
      <c r="N83" s="50" t="n"/>
      <c r="O83" s="50" t="n"/>
      <c r="P83" s="50" t="n"/>
      <c r="Q83" s="50" t="n"/>
    </row>
    <row r="84">
      <c r="B84" s="10"/>
      <c r="C84" s="10"/>
      <c r="D84" s="14"/>
      <c r="E84" s="10"/>
      <c r="F84" s="11" t="s">
        <v>116</v>
      </c>
      <c r="G84" s="8"/>
      <c r="H84" s="9"/>
      <c r="I84" s="51" t="n"/>
      <c r="J84" s="51" t="n"/>
      <c r="K84" s="51" t="n"/>
      <c r="L84" s="51" t="n"/>
      <c r="M84" s="51" t="n"/>
      <c r="N84" s="51" t="n"/>
      <c r="O84" s="51" t="n"/>
      <c r="P84" s="51" t="n"/>
      <c r="Q84" s="51" t="n"/>
    </row>
    <row r="85" ht="42.0" customHeight="true">
      <c r="B85" s="10"/>
      <c r="C85" s="10"/>
      <c r="D85" s="14"/>
      <c r="E85" s="10"/>
      <c r="F85" s="40" t="s">
        <v>117</v>
      </c>
      <c r="G85" s="41"/>
      <c r="H85" s="39"/>
      <c r="I85" s="50" t="n">
        <f>I74+SUM(I80:I84)</f>
      </c>
      <c r="J85" s="50" t="n">
        <f>J74+SUM(J80:J84)</f>
      </c>
      <c r="K85" s="50" t="n">
        <f>K74+SUM(K80:K84)</f>
      </c>
      <c r="L85" s="50" t="n">
        <f>L74+SUM(L80:L84)</f>
      </c>
      <c r="M85" s="50" t="n">
        <f>M74+SUM(M80:M84)</f>
      </c>
      <c r="N85" s="50" t="n">
        <f>N74+SUM(N80:N84)</f>
      </c>
      <c r="O85" s="50" t="n">
        <f>O74+SUM(O80:O84)</f>
      </c>
      <c r="P85" s="50" t="n">
        <f>P74+SUM(P80:P84)</f>
      </c>
      <c r="Q85" s="50" t="n">
        <f>Q74+SUM(Q80:Q84)</f>
      </c>
    </row>
    <row r="86" ht="28.0" customHeight="true">
      <c r="B86" s="10"/>
      <c r="C86" s="10"/>
      <c r="D86" s="14"/>
      <c r="E86" s="10"/>
      <c r="F86" s="11" t="s">
        <v>118</v>
      </c>
      <c r="G86" s="8"/>
      <c r="H86" s="9"/>
      <c r="I86" s="51" t="n"/>
      <c r="J86" s="51" t="n"/>
      <c r="K86" s="51" t="n"/>
      <c r="L86" s="51" t="n"/>
      <c r="M86" s="51" t="n"/>
      <c r="N86" s="51" t="n"/>
      <c r="O86" s="51" t="n"/>
      <c r="P86" s="51" t="n"/>
      <c r="Q86" s="51" t="n"/>
    </row>
    <row r="87">
      <c r="B87" s="10"/>
      <c r="C87" s="10"/>
      <c r="D87" s="14"/>
      <c r="E87" s="11"/>
      <c r="F87" s="40" t="s">
        <v>119</v>
      </c>
      <c r="G87" s="41"/>
      <c r="H87" s="39"/>
      <c r="I87" s="50" t="n">
        <f>I85+I86</f>
      </c>
      <c r="J87" s="50" t="n">
        <f>J85+J86</f>
      </c>
      <c r="K87" s="50" t="n">
        <f>K85+K86</f>
      </c>
      <c r="L87" s="50" t="n">
        <f>L85+L86</f>
      </c>
      <c r="M87" s="50" t="n">
        <f>M85+M86</f>
      </c>
      <c r="N87" s="50" t="n">
        <f>N85+N86</f>
      </c>
      <c r="O87" s="50" t="n">
        <f>O85+O86</f>
      </c>
      <c r="P87" s="50" t="n">
        <f>P85+P86</f>
      </c>
      <c r="Q87" s="50" t="n">
        <f>Q85+Q86</f>
      </c>
    </row>
    <row r="88">
      <c r="B88" s="10"/>
      <c r="C88" s="10"/>
      <c r="D88" s="14"/>
      <c r="E88" s="7" t="s">
        <v>120</v>
      </c>
      <c r="F88" s="8"/>
      <c r="G88" s="8"/>
      <c r="H88" s="9"/>
      <c r="I88" s="23"/>
      <c r="J88" s="23"/>
      <c r="K88" s="23"/>
      <c r="L88" s="23"/>
      <c r="M88" s="23"/>
      <c r="N88" s="23"/>
      <c r="O88" s="23"/>
      <c r="P88" s="23"/>
      <c r="Q88" s="23"/>
    </row>
    <row r="89">
      <c r="B89" s="10"/>
      <c r="C89" s="10"/>
      <c r="D89" s="14"/>
      <c r="E89" s="10"/>
      <c r="F89" s="12" t="s">
        <v>121</v>
      </c>
      <c r="G89" s="37"/>
      <c r="H89" s="13"/>
      <c r="I89" s="22"/>
      <c r="J89" s="22"/>
      <c r="K89" s="22"/>
      <c r="L89" s="22"/>
      <c r="M89" s="22"/>
      <c r="N89" s="22"/>
      <c r="O89" s="22"/>
      <c r="P89" s="22"/>
      <c r="Q89" s="22"/>
    </row>
    <row r="90">
      <c r="B90" s="10"/>
      <c r="C90" s="10"/>
      <c r="D90" s="14"/>
      <c r="E90" s="10"/>
      <c r="F90" s="14"/>
      <c r="G90" s="11" t="s">
        <v>122</v>
      </c>
      <c r="H90" s="9"/>
      <c r="I90" s="51" t="n"/>
      <c r="J90" s="51" t="n"/>
      <c r="K90" s="51" t="n"/>
      <c r="L90" s="51" t="n"/>
      <c r="M90" s="51" t="n"/>
      <c r="N90" s="51" t="n"/>
      <c r="O90" s="51" t="n"/>
      <c r="P90" s="51" t="n"/>
      <c r="Q90" s="51" t="n"/>
    </row>
    <row r="91">
      <c r="B91" s="10"/>
      <c r="C91" s="10"/>
      <c r="D91" s="14"/>
      <c r="E91" s="10"/>
      <c r="F91" s="14"/>
      <c r="G91" s="15" t="s">
        <v>123</v>
      </c>
      <c r="H91" s="13"/>
      <c r="I91" s="50" t="n"/>
      <c r="J91" s="50" t="n"/>
      <c r="K91" s="50" t="n"/>
      <c r="L91" s="50" t="n"/>
      <c r="M91" s="50" t="n"/>
      <c r="N91" s="50" t="n"/>
      <c r="O91" s="50" t="n"/>
      <c r="P91" s="50" t="n"/>
      <c r="Q91" s="50" t="n"/>
    </row>
    <row r="92">
      <c r="B92" s="10"/>
      <c r="C92" s="10"/>
      <c r="D92" s="14"/>
      <c r="E92" s="10"/>
      <c r="F92" s="15"/>
      <c r="G92" s="45" t="s">
        <v>124</v>
      </c>
      <c r="H92" s="44"/>
      <c r="I92" s="51" t="n">
        <f>I90+I91</f>
      </c>
      <c r="J92" s="51" t="n">
        <f>J90+J91</f>
      </c>
      <c r="K92" s="51" t="n">
        <f>K90+K91</f>
      </c>
      <c r="L92" s="51" t="n">
        <f>L90+L91</f>
      </c>
      <c r="M92" s="51" t="n">
        <f>M90+M91</f>
      </c>
      <c r="N92" s="51" t="n">
        <f>N90+N91</f>
      </c>
      <c r="O92" s="51" t="n">
        <f>O90+O91</f>
      </c>
      <c r="P92" s="51" t="n">
        <f>P90+P91</f>
      </c>
      <c r="Q92" s="51" t="n">
        <f>Q90+Q91</f>
      </c>
    </row>
    <row r="93" ht="28.0" customHeight="true">
      <c r="B93" s="10"/>
      <c r="C93" s="10"/>
      <c r="D93" s="14"/>
      <c r="E93" s="10"/>
      <c r="F93" s="12" t="s">
        <v>125</v>
      </c>
      <c r="G93" s="37"/>
      <c r="H93" s="13"/>
      <c r="I93" s="22"/>
      <c r="J93" s="22"/>
      <c r="K93" s="22"/>
      <c r="L93" s="22"/>
      <c r="M93" s="22"/>
      <c r="N93" s="22"/>
      <c r="O93" s="22"/>
      <c r="P93" s="22"/>
      <c r="Q93" s="22"/>
    </row>
    <row r="94" ht="28.0" customHeight="true">
      <c r="B94" s="10"/>
      <c r="C94" s="10"/>
      <c r="D94" s="14"/>
      <c r="E94" s="10"/>
      <c r="F94" s="14"/>
      <c r="G94" s="11" t="s">
        <v>126</v>
      </c>
      <c r="H94" s="9"/>
      <c r="I94" s="51" t="n"/>
      <c r="J94" s="51" t="n"/>
      <c r="K94" s="51" t="n"/>
      <c r="L94" s="51" t="n"/>
      <c r="M94" s="51" t="n"/>
      <c r="N94" s="51" t="n"/>
      <c r="O94" s="51" t="n"/>
      <c r="P94" s="51" t="n"/>
      <c r="Q94" s="51" t="n"/>
    </row>
    <row r="95">
      <c r="B95" s="10"/>
      <c r="C95" s="10"/>
      <c r="D95" s="14"/>
      <c r="E95" s="10"/>
      <c r="F95" s="14"/>
      <c r="G95" s="15" t="s">
        <v>127</v>
      </c>
      <c r="H95" s="13"/>
      <c r="I95" s="50" t="n"/>
      <c r="J95" s="50" t="n"/>
      <c r="K95" s="50" t="n"/>
      <c r="L95" s="50" t="n"/>
      <c r="M95" s="50" t="n"/>
      <c r="N95" s="50" t="n"/>
      <c r="O95" s="50" t="n"/>
      <c r="P95" s="50" t="n"/>
      <c r="Q95" s="50" t="n"/>
    </row>
    <row r="96">
      <c r="B96" s="10"/>
      <c r="C96" s="10"/>
      <c r="D96" s="14"/>
      <c r="E96" s="10"/>
      <c r="F96" s="14"/>
      <c r="G96" s="11" t="s">
        <v>128</v>
      </c>
      <c r="H96" s="9"/>
      <c r="I96" s="51" t="n"/>
      <c r="J96" s="51" t="n"/>
      <c r="K96" s="51" t="n"/>
      <c r="L96" s="51" t="n"/>
      <c r="M96" s="51" t="n"/>
      <c r="N96" s="51" t="n"/>
      <c r="O96" s="51" t="n"/>
      <c r="P96" s="51" t="n"/>
      <c r="Q96" s="51" t="n"/>
    </row>
    <row r="97">
      <c r="B97" s="10"/>
      <c r="C97" s="10"/>
      <c r="D97" s="14"/>
      <c r="E97" s="10"/>
      <c r="F97" s="14"/>
      <c r="G97" s="15" t="s">
        <v>129</v>
      </c>
      <c r="H97" s="13"/>
      <c r="I97" s="50" t="n"/>
      <c r="J97" s="50" t="n"/>
      <c r="K97" s="50" t="n"/>
      <c r="L97" s="50" t="n"/>
      <c r="M97" s="50" t="n"/>
      <c r="N97" s="50" t="n"/>
      <c r="O97" s="50" t="n"/>
      <c r="P97" s="50" t="n"/>
      <c r="Q97" s="50" t="n"/>
    </row>
    <row r="98" ht="28.0" customHeight="true">
      <c r="B98" s="10"/>
      <c r="C98" s="10"/>
      <c r="D98" s="14"/>
      <c r="E98" s="10"/>
      <c r="F98" s="15"/>
      <c r="G98" s="45" t="s">
        <v>130</v>
      </c>
      <c r="H98" s="44"/>
      <c r="I98" s="51" t="n">
        <f>SUM(I94:I97)</f>
      </c>
      <c r="J98" s="51" t="n">
        <f>SUM(J94:J97)</f>
      </c>
      <c r="K98" s="51" t="n">
        <f>SUM(K94:K97)</f>
      </c>
      <c r="L98" s="51" t="n">
        <f>SUM(L94:L97)</f>
      </c>
      <c r="M98" s="51" t="n">
        <f>SUM(M94:M97)</f>
      </c>
      <c r="N98" s="51" t="n">
        <f>SUM(N94:N97)</f>
      </c>
      <c r="O98" s="51" t="n">
        <f>SUM(O94:O97)</f>
      </c>
      <c r="P98" s="51" t="n">
        <f>SUM(P94:P97)</f>
      </c>
      <c r="Q98" s="51" t="n">
        <f>SUM(Q94:Q97)</f>
      </c>
    </row>
    <row r="99">
      <c r="B99" s="10"/>
      <c r="C99" s="10"/>
      <c r="D99" s="14"/>
      <c r="E99" s="10"/>
      <c r="F99" s="15" t="s">
        <v>131</v>
      </c>
      <c r="G99" s="37"/>
      <c r="H99" s="13"/>
      <c r="I99" s="50" t="n"/>
      <c r="J99" s="50" t="n"/>
      <c r="K99" s="50" t="n"/>
      <c r="L99" s="50" t="n"/>
      <c r="M99" s="50" t="n"/>
      <c r="N99" s="50" t="n"/>
      <c r="O99" s="50" t="n"/>
      <c r="P99" s="50" t="n"/>
      <c r="Q99" s="50" t="n"/>
    </row>
    <row r="100">
      <c r="B100" s="10"/>
      <c r="C100" s="10"/>
      <c r="D100" s="14"/>
      <c r="E100" s="10"/>
      <c r="F100" s="11" t="s">
        <v>132</v>
      </c>
      <c r="G100" s="8"/>
      <c r="H100" s="9"/>
      <c r="I100" s="51" t="n"/>
      <c r="J100" s="51" t="n"/>
      <c r="K100" s="51" t="n"/>
      <c r="L100" s="51" t="n"/>
      <c r="M100" s="51" t="n"/>
      <c r="N100" s="51" t="n"/>
      <c r="O100" s="51" t="n"/>
      <c r="P100" s="51" t="n"/>
      <c r="Q100" s="51" t="n"/>
    </row>
    <row r="101">
      <c r="B101" s="10"/>
      <c r="C101" s="10"/>
      <c r="D101" s="14"/>
      <c r="E101" s="10"/>
      <c r="F101" s="15" t="s">
        <v>133</v>
      </c>
      <c r="G101" s="37"/>
      <c r="H101" s="13"/>
      <c r="I101" s="50" t="n"/>
      <c r="J101" s="50" t="n"/>
      <c r="K101" s="50" t="n"/>
      <c r="L101" s="50" t="n"/>
      <c r="M101" s="50" t="n"/>
      <c r="N101" s="50" t="n"/>
      <c r="O101" s="50" t="n"/>
      <c r="P101" s="50" t="n"/>
      <c r="Q101" s="50" t="n"/>
    </row>
    <row r="102">
      <c r="B102" s="10"/>
      <c r="C102" s="10"/>
      <c r="D102" s="14"/>
      <c r="E102" s="10"/>
      <c r="F102" s="11" t="s">
        <v>134</v>
      </c>
      <c r="G102" s="8"/>
      <c r="H102" s="9"/>
      <c r="I102" s="51" t="n"/>
      <c r="J102" s="51" t="n"/>
      <c r="K102" s="51" t="n"/>
      <c r="L102" s="51" t="n"/>
      <c r="M102" s="51" t="n"/>
      <c r="N102" s="51" t="n"/>
      <c r="O102" s="51" t="n"/>
      <c r="P102" s="51" t="n"/>
      <c r="Q102" s="51" t="n"/>
    </row>
    <row r="103">
      <c r="B103" s="10"/>
      <c r="C103" s="10"/>
      <c r="D103" s="14"/>
      <c r="E103" s="10"/>
      <c r="F103" s="15" t="s">
        <v>135</v>
      </c>
      <c r="G103" s="37"/>
      <c r="H103" s="13"/>
      <c r="I103" s="50" t="n"/>
      <c r="J103" s="50" t="n"/>
      <c r="K103" s="50" t="n"/>
      <c r="L103" s="50" t="n"/>
      <c r="M103" s="50" t="n"/>
      <c r="N103" s="50" t="n"/>
      <c r="O103" s="50" t="n"/>
      <c r="P103" s="50" t="n"/>
      <c r="Q103" s="50" t="n"/>
    </row>
    <row r="104">
      <c r="B104" s="10"/>
      <c r="C104" s="10"/>
      <c r="D104" s="14"/>
      <c r="E104" s="11"/>
      <c r="F104" s="45" t="s">
        <v>136</v>
      </c>
      <c r="G104" s="43"/>
      <c r="H104" s="44"/>
      <c r="I104" s="51" t="n">
        <f>I92+SUM(I98:I103)</f>
      </c>
      <c r="J104" s="51" t="n">
        <f>J92+SUM(J98:J103)</f>
      </c>
      <c r="K104" s="51" t="n">
        <f>K92+SUM(K98:K103)</f>
      </c>
      <c r="L104" s="51" t="n">
        <f>L92+SUM(L98:L103)</f>
      </c>
      <c r="M104" s="51" t="n">
        <f>M92+SUM(M98:M103)</f>
      </c>
      <c r="N104" s="51" t="n">
        <f>N92+SUM(N98:N103)</f>
      </c>
      <c r="O104" s="51" t="n">
        <f>O92+SUM(O98:O103)</f>
      </c>
      <c r="P104" s="51" t="n">
        <f>P92+SUM(P98:P103)</f>
      </c>
      <c r="Q104" s="51" t="n">
        <f>Q92+SUM(Q98:Q103)</f>
      </c>
    </row>
    <row r="105">
      <c r="B105" s="10"/>
      <c r="C105" s="10"/>
      <c r="D105" s="15"/>
      <c r="E105" s="40" t="s">
        <v>137</v>
      </c>
      <c r="F105" s="41"/>
      <c r="G105" s="41"/>
      <c r="H105" s="39"/>
      <c r="I105" s="50" t="n">
        <f>I87+I104</f>
      </c>
      <c r="J105" s="50" t="n">
        <f>J87+J104</f>
      </c>
      <c r="K105" s="50" t="n">
        <f>K87+K104</f>
      </c>
      <c r="L105" s="50" t="n">
        <f>L87+L104</f>
      </c>
      <c r="M105" s="50" t="n">
        <f>M87+M104</f>
      </c>
      <c r="N105" s="50" t="n">
        <f>N87+N104</f>
      </c>
      <c r="O105" s="50" t="n">
        <f>O87+O104</f>
      </c>
      <c r="P105" s="50" t="n">
        <f>P87+P104</f>
      </c>
      <c r="Q105" s="50" t="n">
        <f>Q87+Q104</f>
      </c>
    </row>
    <row r="106">
      <c r="B106" s="10"/>
      <c r="C106" s="10"/>
      <c r="D106" s="7" t="s">
        <v>138</v>
      </c>
      <c r="E106" s="8"/>
      <c r="F106" s="8"/>
      <c r="G106" s="8"/>
      <c r="H106" s="9"/>
      <c r="I106" s="23"/>
      <c r="J106" s="23"/>
      <c r="K106" s="23"/>
      <c r="L106" s="23"/>
      <c r="M106" s="23"/>
      <c r="N106" s="23"/>
      <c r="O106" s="23"/>
      <c r="P106" s="23"/>
      <c r="Q106" s="23"/>
    </row>
    <row r="107">
      <c r="B107" s="10"/>
      <c r="C107" s="10"/>
      <c r="D107" s="10"/>
      <c r="E107" s="15" t="s">
        <v>139</v>
      </c>
      <c r="F107" s="37"/>
      <c r="G107" s="37"/>
      <c r="H107" s="13"/>
      <c r="I107" s="50" t="n"/>
      <c r="J107" s="50" t="n"/>
      <c r="K107" s="50" t="n"/>
      <c r="L107" s="50" t="n"/>
      <c r="M107" s="50" t="n"/>
      <c r="N107" s="50" t="n"/>
      <c r="O107" s="50" t="n"/>
      <c r="P107" s="50" t="n"/>
      <c r="Q107" s="50" t="n"/>
    </row>
    <row r="108">
      <c r="B108" s="10"/>
      <c r="C108" s="10"/>
      <c r="D108" s="10"/>
      <c r="E108" s="11" t="s">
        <v>140</v>
      </c>
      <c r="F108" s="8"/>
      <c r="G108" s="8"/>
      <c r="H108" s="9"/>
      <c r="I108" s="51" t="n"/>
      <c r="J108" s="51" t="n"/>
      <c r="K108" s="51" t="n"/>
      <c r="L108" s="51" t="n"/>
      <c r="M108" s="51" t="n"/>
      <c r="N108" s="51" t="n"/>
      <c r="O108" s="51" t="n"/>
      <c r="P108" s="51" t="n"/>
      <c r="Q108" s="51" t="n"/>
    </row>
    <row r="109">
      <c r="B109" s="10"/>
      <c r="C109" s="10"/>
      <c r="D109" s="10"/>
      <c r="E109" s="49" t="s">
        <v>141</v>
      </c>
      <c r="F109" s="47"/>
      <c r="G109" s="47"/>
      <c r="H109" s="48"/>
      <c r="I109" s="50" t="n"/>
      <c r="J109" s="50" t="n"/>
      <c r="K109" s="50" t="n"/>
      <c r="L109" s="50" t="n"/>
      <c r="M109" s="50" t="n"/>
      <c r="N109" s="50" t="n"/>
      <c r="O109" s="50" t="n"/>
      <c r="P109" s="50" t="n"/>
      <c r="Q109" s="50" t="n"/>
    </row>
    <row r="110">
      <c r="B110" s="10"/>
      <c r="C110" s="10"/>
      <c r="D110" s="10"/>
      <c r="E110" s="11" t="s">
        <v>142</v>
      </c>
      <c r="F110" s="8"/>
      <c r="G110" s="8"/>
      <c r="H110" s="9"/>
      <c r="I110" s="51" t="n"/>
      <c r="J110" s="51" t="n"/>
      <c r="K110" s="51" t="n"/>
      <c r="L110" s="51" t="n"/>
      <c r="M110" s="51" t="n"/>
      <c r="N110" s="51" t="n"/>
      <c r="O110" s="51" t="n"/>
      <c r="P110" s="51" t="n"/>
      <c r="Q110" s="51" t="n"/>
    </row>
    <row r="111">
      <c r="B111" s="10"/>
      <c r="C111" s="10"/>
      <c r="D111" s="10"/>
      <c r="E111" s="12" t="s">
        <v>143</v>
      </c>
      <c r="F111" s="37"/>
      <c r="G111" s="37"/>
      <c r="H111" s="13"/>
      <c r="I111" s="50" t="n"/>
      <c r="J111" s="50" t="n"/>
      <c r="K111" s="50" t="n"/>
      <c r="L111" s="50" t="n"/>
      <c r="M111" s="50" t="n"/>
      <c r="N111" s="50" t="n"/>
      <c r="O111" s="50" t="n"/>
      <c r="P111" s="50" t="n"/>
      <c r="Q111" s="50" t="n"/>
    </row>
    <row r="112">
      <c r="B112" s="10"/>
      <c r="C112" s="10"/>
      <c r="D112" s="10"/>
      <c r="E112" s="15"/>
      <c r="F112" s="11" t="s">
        <v>144</v>
      </c>
      <c r="G112" s="8"/>
      <c r="H112" s="9"/>
      <c r="I112" s="51" t="n"/>
      <c r="J112" s="51" t="n"/>
      <c r="K112" s="51" t="n"/>
      <c r="L112" s="51" t="n"/>
      <c r="M112" s="51" t="n"/>
      <c r="N112" s="51" t="n"/>
      <c r="O112" s="51" t="n"/>
      <c r="P112" s="51" t="n"/>
      <c r="Q112" s="51" t="n"/>
    </row>
    <row r="113">
      <c r="B113" s="10"/>
      <c r="C113" s="10"/>
      <c r="D113" s="10"/>
      <c r="E113" s="15" t="s">
        <v>145</v>
      </c>
      <c r="F113" s="37"/>
      <c r="G113" s="37"/>
      <c r="H113" s="13"/>
      <c r="I113" s="50" t="n"/>
      <c r="J113" s="50" t="n"/>
      <c r="K113" s="50" t="n"/>
      <c r="L113" s="50" t="n"/>
      <c r="M113" s="50" t="n"/>
      <c r="N113" s="50" t="n"/>
      <c r="O113" s="50" t="n"/>
      <c r="P113" s="50" t="n"/>
      <c r="Q113" s="50" t="n"/>
    </row>
    <row r="114">
      <c r="B114" s="10"/>
      <c r="C114" s="10"/>
      <c r="D114" s="10"/>
      <c r="E114" s="11" t="s">
        <v>146</v>
      </c>
      <c r="F114" s="8"/>
      <c r="G114" s="8"/>
      <c r="H114" s="9"/>
      <c r="I114" s="51" t="n"/>
      <c r="J114" s="51" t="n"/>
      <c r="K114" s="51" t="n"/>
      <c r="L114" s="51" t="n"/>
      <c r="M114" s="51" t="n"/>
      <c r="N114" s="51" t="n"/>
      <c r="O114" s="51" t="n"/>
      <c r="P114" s="51" t="n"/>
      <c r="Q114" s="51" t="n"/>
    </row>
    <row r="115">
      <c r="B115" s="10"/>
      <c r="C115" s="10"/>
      <c r="D115" s="10"/>
      <c r="E115" s="15" t="s">
        <v>147</v>
      </c>
      <c r="F115" s="37"/>
      <c r="G115" s="37"/>
      <c r="H115" s="13"/>
      <c r="I115" s="50" t="n"/>
      <c r="J115" s="50" t="n"/>
      <c r="K115" s="50" t="n"/>
      <c r="L115" s="50" t="n"/>
      <c r="M115" s="50" t="n"/>
      <c r="N115" s="50" t="n"/>
      <c r="O115" s="50" t="n"/>
      <c r="P115" s="50" t="n"/>
      <c r="Q115" s="50" t="n"/>
    </row>
    <row r="116">
      <c r="B116" s="10"/>
      <c r="C116" s="10"/>
      <c r="D116" s="10"/>
      <c r="E116" s="11" t="s">
        <v>148</v>
      </c>
      <c r="F116" s="8"/>
      <c r="G116" s="8"/>
      <c r="H116" s="9"/>
      <c r="I116" s="51" t="n"/>
      <c r="J116" s="51" t="n"/>
      <c r="K116" s="51" t="n"/>
      <c r="L116" s="51" t="n"/>
      <c r="M116" s="51" t="n"/>
      <c r="N116" s="51" t="n"/>
      <c r="O116" s="51" t="n"/>
      <c r="P116" s="51" t="n"/>
      <c r="Q116" s="51" t="n"/>
    </row>
    <row r="117">
      <c r="B117" s="10"/>
      <c r="C117" s="10"/>
      <c r="D117" s="11"/>
      <c r="E117" s="15" t="s">
        <v>149</v>
      </c>
      <c r="F117" s="37"/>
      <c r="G117" s="37"/>
      <c r="H117" s="13"/>
      <c r="I117" s="50" t="n">
        <f>I107+I108-I109+I110+I111+SUM(I113:I116)</f>
      </c>
      <c r="J117" s="50" t="n">
        <f>J107+J108-J109+J110+J111+SUM(J113:J116)</f>
      </c>
      <c r="K117" s="50" t="n">
        <f>K107+K108-K109+K110+K111+SUM(K113:K116)</f>
      </c>
      <c r="L117" s="50" t="n">
        <f>L107+L108-L109+L110+L111+SUM(L113:L116)</f>
      </c>
      <c r="M117" s="50" t="n">
        <f>M107+M108-M109+M110+M111+SUM(M113:M116)</f>
      </c>
      <c r="N117" s="50" t="n">
        <f>N107+N108-N109+N110+N111+SUM(N113:N116)</f>
      </c>
      <c r="O117" s="50" t="n">
        <f>O107+O108-O109+O110+O111+SUM(O113:O116)</f>
      </c>
      <c r="P117" s="50" t="n">
        <f>P107+P108-P109+P110+P111+SUM(P113:P116)</f>
      </c>
      <c r="Q117" s="50" t="n">
        <f>Q107+Q108-Q109+Q110+Q111+SUM(Q113:Q116)</f>
      </c>
    </row>
    <row r="118">
      <c r="B118" s="11"/>
      <c r="C118" s="11"/>
      <c r="D118" s="45" t="s">
        <v>150</v>
      </c>
      <c r="E118" s="43"/>
      <c r="F118" s="43"/>
      <c r="G118" s="43"/>
      <c r="H118" s="44"/>
      <c r="I118" s="52" t="n">
        <f>I105+I117</f>
      </c>
      <c r="J118" s="52" t="n">
        <f>J105+J117</f>
      </c>
      <c r="K118" s="52" t="n">
        <f>K105+K117</f>
      </c>
      <c r="L118" s="52" t="n">
        <f>L105+L117</f>
      </c>
      <c r="M118" s="52" t="n">
        <f>M105+M117</f>
      </c>
      <c r="N118" s="52" t="n">
        <f>N105+N117</f>
      </c>
      <c r="O118" s="52" t="n">
        <f>O105+O117</f>
      </c>
      <c r="P118" s="52" t="n">
        <f>P105+P117</f>
      </c>
      <c r="Q118" s="52" t="n">
        <f>Q105+Q117</f>
      </c>
    </row>
    <row r="120">
      <c r="B120" t="s" s="1">
        <v>11</v>
      </c>
      <c r="C120" t="s">
        <v>151</v>
      </c>
    </row>
    <row r="121">
      <c r="I121" t="s" s="4">
        <v>35</v>
      </c>
      <c r="J121" s="29"/>
      <c r="K121" s="29"/>
      <c r="L121" s="29"/>
      <c r="M121" s="29"/>
      <c r="N121" s="29"/>
      <c r="O121" s="29"/>
      <c r="P121" s="29"/>
      <c r="Q121" s="30"/>
    </row>
    <row r="122">
      <c r="I122" t="s" s="34">
        <v>36</v>
      </c>
      <c r="J122" t="s" s="6">
        <v>37</v>
      </c>
      <c r="K122" t="s" s="34">
        <v>38</v>
      </c>
      <c r="L122" t="s" s="6">
        <v>39</v>
      </c>
      <c r="M122" t="s" s="34">
        <v>40</v>
      </c>
      <c r="N122" t="s" s="6">
        <v>41</v>
      </c>
      <c r="O122" t="s" s="34">
        <v>42</v>
      </c>
      <c r="P122" t="s" s="6">
        <v>43</v>
      </c>
      <c r="Q122" s="36"/>
    </row>
    <row r="123">
      <c r="B123" s="7" t="s">
        <v>44</v>
      </c>
      <c r="C123" s="8"/>
      <c r="D123" s="8"/>
      <c r="E123" s="8"/>
      <c r="F123" s="8"/>
      <c r="G123" s="8"/>
      <c r="H123" s="9"/>
      <c r="I123" s="22"/>
      <c r="J123" s="22"/>
      <c r="K123" s="22"/>
      <c r="L123" s="22"/>
      <c r="M123" s="22"/>
      <c r="N123" s="22"/>
      <c r="O123" s="22"/>
      <c r="P123" s="22"/>
      <c r="Q123" s="22"/>
    </row>
    <row r="124">
      <c r="B124" s="10"/>
      <c r="C124" s="12" t="s">
        <v>45</v>
      </c>
      <c r="D124" s="37"/>
      <c r="E124" s="37"/>
      <c r="F124" s="37"/>
      <c r="G124" s="37"/>
      <c r="H124" s="13"/>
      <c r="I124" s="23"/>
      <c r="J124" s="23"/>
      <c r="K124" s="23"/>
      <c r="L124" s="23"/>
      <c r="M124" s="23"/>
      <c r="N124" s="23"/>
      <c r="O124" s="23"/>
      <c r="P124" s="23"/>
      <c r="Q124" s="23"/>
    </row>
    <row r="125">
      <c r="B125" s="10"/>
      <c r="C125" s="14"/>
      <c r="D125" s="7" t="s">
        <v>46</v>
      </c>
      <c r="E125" s="8"/>
      <c r="F125" s="8"/>
      <c r="G125" s="8"/>
      <c r="H125" s="9"/>
      <c r="I125" s="22"/>
      <c r="J125" s="22"/>
      <c r="K125" s="22"/>
      <c r="L125" s="22"/>
      <c r="M125" s="22"/>
      <c r="N125" s="22"/>
      <c r="O125" s="22"/>
      <c r="P125" s="22"/>
      <c r="Q125" s="22"/>
    </row>
    <row r="126">
      <c r="B126" s="10"/>
      <c r="C126" s="14"/>
      <c r="D126" s="10"/>
      <c r="E126" s="12" t="s">
        <v>47</v>
      </c>
      <c r="F126" s="37"/>
      <c r="G126" s="37"/>
      <c r="H126" s="13"/>
      <c r="I126" s="51" t="n"/>
      <c r="J126" s="51" t="n"/>
      <c r="K126" s="51" t="n"/>
      <c r="L126" s="51" t="n"/>
      <c r="M126" s="51" t="n"/>
      <c r="N126" s="51" t="n"/>
      <c r="O126" s="51" t="n"/>
      <c r="P126" s="51" t="n"/>
      <c r="Q126" s="51" t="n"/>
    </row>
    <row r="127">
      <c r="B127" s="10"/>
      <c r="C127" s="14"/>
      <c r="D127" s="10"/>
      <c r="E127" s="15"/>
      <c r="F127" s="11" t="s">
        <v>48</v>
      </c>
      <c r="G127" s="8"/>
      <c r="H127" s="9"/>
      <c r="I127" s="50" t="n"/>
      <c r="J127" s="50" t="n"/>
      <c r="K127" s="50" t="n"/>
      <c r="L127" s="50" t="n"/>
      <c r="M127" s="50" t="n"/>
      <c r="N127" s="50" t="n"/>
      <c r="O127" s="50" t="n"/>
      <c r="P127" s="50" t="n"/>
      <c r="Q127" s="50" t="n"/>
    </row>
    <row r="128" ht="28.0" customHeight="true">
      <c r="B128" s="10"/>
      <c r="C128" s="14"/>
      <c r="D128" s="10"/>
      <c r="E128" s="12" t="s">
        <v>49</v>
      </c>
      <c r="F128" s="37"/>
      <c r="G128" s="37"/>
      <c r="H128" s="13"/>
      <c r="I128" s="23"/>
      <c r="J128" s="23"/>
      <c r="K128" s="23"/>
      <c r="L128" s="23"/>
      <c r="M128" s="23"/>
      <c r="N128" s="23"/>
      <c r="O128" s="23"/>
      <c r="P128" s="23"/>
      <c r="Q128" s="23"/>
    </row>
    <row r="129" ht="28.0" customHeight="true">
      <c r="B129" s="10"/>
      <c r="C129" s="14"/>
      <c r="D129" s="10"/>
      <c r="E129" s="14"/>
      <c r="F129" s="7" t="s">
        <v>50</v>
      </c>
      <c r="G129" s="8"/>
      <c r="H129" s="9"/>
      <c r="I129" s="22"/>
      <c r="J129" s="22"/>
      <c r="K129" s="22"/>
      <c r="L129" s="22"/>
      <c r="M129" s="22"/>
      <c r="N129" s="22"/>
      <c r="O129" s="22"/>
      <c r="P129" s="22"/>
      <c r="Q129" s="22"/>
    </row>
    <row r="130" ht="42.0" customHeight="true">
      <c r="B130" s="10"/>
      <c r="C130" s="14"/>
      <c r="D130" s="10"/>
      <c r="E130" s="14"/>
      <c r="F130" s="10"/>
      <c r="G130" s="15" t="s">
        <v>51</v>
      </c>
      <c r="H130" s="13"/>
      <c r="I130" s="51" t="n"/>
      <c r="J130" s="51" t="n"/>
      <c r="K130" s="51" t="n"/>
      <c r="L130" s="51" t="n"/>
      <c r="M130" s="51" t="n"/>
      <c r="N130" s="51" t="n"/>
      <c r="O130" s="51" t="n"/>
      <c r="P130" s="23"/>
      <c r="Q130" s="51" t="n"/>
    </row>
    <row r="131">
      <c r="B131" s="10"/>
      <c r="C131" s="14"/>
      <c r="D131" s="10"/>
      <c r="E131" s="14"/>
      <c r="F131" s="10"/>
      <c r="G131" s="7" t="s">
        <v>52</v>
      </c>
      <c r="H131" s="9"/>
      <c r="I131" s="50" t="n"/>
      <c r="J131" s="50" t="n"/>
      <c r="K131" s="50" t="n"/>
      <c r="L131" s="50" t="n"/>
      <c r="M131" s="50" t="n"/>
      <c r="N131" s="50" t="n"/>
      <c r="O131" s="22"/>
      <c r="P131" s="22"/>
      <c r="Q131" s="50" t="n"/>
    </row>
    <row r="132">
      <c r="B132" s="10"/>
      <c r="C132" s="14"/>
      <c r="D132" s="10"/>
      <c r="E132" s="14"/>
      <c r="F132" s="10"/>
      <c r="G132" s="11"/>
      <c r="H132" s="19" t="s">
        <v>53</v>
      </c>
      <c r="I132" s="23"/>
      <c r="J132" s="23"/>
      <c r="K132" s="23"/>
      <c r="L132" s="51" t="n"/>
      <c r="M132" s="51" t="n"/>
      <c r="N132" s="51" t="n"/>
      <c r="O132" s="23"/>
      <c r="P132" s="23"/>
      <c r="Q132" s="51" t="n"/>
    </row>
    <row r="133" ht="28.0" customHeight="true">
      <c r="B133" s="10"/>
      <c r="C133" s="14"/>
      <c r="D133" s="10"/>
      <c r="E133" s="14"/>
      <c r="F133" s="10"/>
      <c r="G133" s="11" t="s">
        <v>54</v>
      </c>
      <c r="H133" s="9"/>
      <c r="I133" s="22"/>
      <c r="J133" s="22"/>
      <c r="K133" s="50" t="n"/>
      <c r="L133" s="22"/>
      <c r="M133" s="22"/>
      <c r="N133" s="22"/>
      <c r="O133" s="22"/>
      <c r="P133" s="22"/>
      <c r="Q133" s="50" t="n"/>
    </row>
    <row r="134" ht="28.0" customHeight="true">
      <c r="B134" s="10"/>
      <c r="C134" s="14"/>
      <c r="D134" s="10"/>
      <c r="E134" s="14"/>
      <c r="F134" s="11"/>
      <c r="G134" s="40" t="s">
        <v>55</v>
      </c>
      <c r="H134" s="39"/>
      <c r="I134" s="51" t="n">
        <f>I130+I131</f>
      </c>
      <c r="J134" s="51" t="n">
        <f>J130+J131</f>
      </c>
      <c r="K134" s="51" t="n">
        <f>K130+K131+K133</f>
      </c>
      <c r="L134" s="51" t="n">
        <f>L130+L131</f>
      </c>
      <c r="M134" s="51" t="n">
        <f>M130+M131</f>
      </c>
      <c r="N134" s="51" t="n">
        <f>N130+N131</f>
      </c>
      <c r="O134" s="51" t="n">
        <f>O130</f>
      </c>
      <c r="P134" s="23"/>
      <c r="Q134" s="51" t="n">
        <f>Q130+Q131+Q133</f>
      </c>
    </row>
    <row r="135">
      <c r="B135" s="10"/>
      <c r="C135" s="14"/>
      <c r="D135" s="10"/>
      <c r="E135" s="14"/>
      <c r="F135" s="11" t="s">
        <v>56</v>
      </c>
      <c r="G135" s="8"/>
      <c r="H135" s="9"/>
      <c r="I135" s="50" t="n"/>
      <c r="J135" s="50" t="n"/>
      <c r="K135" s="50" t="n"/>
      <c r="L135" s="50" t="n"/>
      <c r="M135" s="50" t="n"/>
      <c r="N135" s="50" t="n"/>
      <c r="O135" s="50" t="n"/>
      <c r="P135" s="50" t="n"/>
      <c r="Q135" s="50" t="n"/>
    </row>
    <row r="136">
      <c r="B136" s="10"/>
      <c r="C136" s="14"/>
      <c r="D136" s="10"/>
      <c r="E136" s="14"/>
      <c r="F136" s="15" t="s">
        <v>57</v>
      </c>
      <c r="G136" s="37"/>
      <c r="H136" s="13"/>
      <c r="I136" s="51" t="n"/>
      <c r="J136" s="51" t="n"/>
      <c r="K136" s="51" t="n"/>
      <c r="L136" s="51" t="n"/>
      <c r="M136" s="51" t="n"/>
      <c r="N136" s="51" t="n"/>
      <c r="O136" s="51" t="n"/>
      <c r="P136" s="51" t="n"/>
      <c r="Q136" s="51" t="n"/>
    </row>
    <row r="137">
      <c r="B137" s="10"/>
      <c r="C137" s="14"/>
      <c r="D137" s="10"/>
      <c r="E137" s="14"/>
      <c r="F137" s="11" t="s">
        <v>58</v>
      </c>
      <c r="G137" s="8"/>
      <c r="H137" s="9"/>
      <c r="I137" s="50" t="n"/>
      <c r="J137" s="50" t="n"/>
      <c r="K137" s="50" t="n"/>
      <c r="L137" s="50" t="n"/>
      <c r="M137" s="50" t="n"/>
      <c r="N137" s="50" t="n"/>
      <c r="O137" s="50" t="n"/>
      <c r="P137" s="50" t="n"/>
      <c r="Q137" s="50" t="n"/>
    </row>
    <row r="138" ht="28.0" customHeight="true">
      <c r="B138" s="10"/>
      <c r="C138" s="14"/>
      <c r="D138" s="10"/>
      <c r="E138" s="15"/>
      <c r="F138" s="40" t="s">
        <v>59</v>
      </c>
      <c r="G138" s="41"/>
      <c r="H138" s="39"/>
      <c r="I138" s="51" t="n">
        <f>SUM(I134:I137)</f>
      </c>
      <c r="J138" s="51" t="n">
        <f>SUM(J134:J137)</f>
      </c>
      <c r="K138" s="51" t="n">
        <f>SUM(K134:K137)</f>
      </c>
      <c r="L138" s="51" t="n">
        <f>SUM(L134:L137)</f>
      </c>
      <c r="M138" s="51" t="n">
        <f>SUM(M134:M137)</f>
      </c>
      <c r="N138" s="51" t="n">
        <f>SUM(N134:N137)</f>
      </c>
      <c r="O138" s="51" t="n">
        <f>SUM(O134:O137)</f>
      </c>
      <c r="P138" s="51" t="n">
        <f>SUM(P135:P137)</f>
      </c>
      <c r="Q138" s="51" t="n">
        <f>SUM(Q134:Q137)</f>
      </c>
    </row>
    <row r="139">
      <c r="B139" s="10"/>
      <c r="C139" s="14"/>
      <c r="D139" s="10"/>
      <c r="E139" s="11" t="s">
        <v>60</v>
      </c>
      <c r="F139" s="8"/>
      <c r="G139" s="8"/>
      <c r="H139" s="9"/>
      <c r="I139" s="50" t="n"/>
      <c r="J139" s="50" t="n"/>
      <c r="K139" s="50" t="n"/>
      <c r="L139" s="50" t="n"/>
      <c r="M139" s="50" t="n"/>
      <c r="N139" s="50" t="n"/>
      <c r="O139" s="50" t="n"/>
      <c r="P139" s="50" t="n"/>
      <c r="Q139" s="50" t="n"/>
    </row>
    <row r="140">
      <c r="B140" s="10"/>
      <c r="C140" s="14"/>
      <c r="D140" s="10"/>
      <c r="E140" s="15" t="s">
        <v>61</v>
      </c>
      <c r="F140" s="37"/>
      <c r="G140" s="37"/>
      <c r="H140" s="13"/>
      <c r="I140" s="51" t="n"/>
      <c r="J140" s="51" t="n"/>
      <c r="K140" s="51" t="n"/>
      <c r="L140" s="51" t="n"/>
      <c r="M140" s="51" t="n"/>
      <c r="N140" s="51" t="n"/>
      <c r="O140" s="51" t="n"/>
      <c r="P140" s="51" t="n"/>
      <c r="Q140" s="51" t="n"/>
    </row>
    <row r="141">
      <c r="B141" s="10"/>
      <c r="C141" s="14"/>
      <c r="D141" s="10"/>
      <c r="E141" s="11" t="s">
        <v>62</v>
      </c>
      <c r="F141" s="8"/>
      <c r="G141" s="8"/>
      <c r="H141" s="9"/>
      <c r="I141" s="50" t="n"/>
      <c r="J141" s="50" t="n"/>
      <c r="K141" s="50" t="n"/>
      <c r="L141" s="50" t="n"/>
      <c r="M141" s="50" t="n"/>
      <c r="N141" s="50" t="n"/>
      <c r="O141" s="50" t="n"/>
      <c r="P141" s="50" t="n"/>
      <c r="Q141" s="50" t="n"/>
    </row>
    <row r="142">
      <c r="B142" s="10"/>
      <c r="C142" s="14"/>
      <c r="D142" s="10"/>
      <c r="E142" s="15" t="s">
        <v>63</v>
      </c>
      <c r="F142" s="37"/>
      <c r="G142" s="37"/>
      <c r="H142" s="13"/>
      <c r="I142" s="51" t="n"/>
      <c r="J142" s="51" t="n"/>
      <c r="K142" s="51" t="n"/>
      <c r="L142" s="51" t="n"/>
      <c r="M142" s="51" t="n"/>
      <c r="N142" s="51" t="n"/>
      <c r="O142" s="51" t="n"/>
      <c r="P142" s="51" t="n"/>
      <c r="Q142" s="51" t="n"/>
    </row>
    <row r="143">
      <c r="B143" s="10"/>
      <c r="C143" s="14"/>
      <c r="D143" s="10"/>
      <c r="E143" s="11" t="s">
        <v>64</v>
      </c>
      <c r="F143" s="8"/>
      <c r="G143" s="8"/>
      <c r="H143" s="9"/>
      <c r="I143" s="50" t="n"/>
      <c r="J143" s="50" t="n"/>
      <c r="K143" s="50" t="n"/>
      <c r="L143" s="50" t="n"/>
      <c r="M143" s="50" t="n"/>
      <c r="N143" s="50" t="n"/>
      <c r="O143" s="50" t="n"/>
      <c r="P143" s="50" t="n"/>
      <c r="Q143" s="50" t="n"/>
    </row>
    <row r="144" ht="42.0" customHeight="true">
      <c r="B144" s="10"/>
      <c r="C144" s="14"/>
      <c r="D144" s="10"/>
      <c r="E144" s="15" t="s">
        <v>65</v>
      </c>
      <c r="F144" s="37"/>
      <c r="G144" s="37"/>
      <c r="H144" s="13"/>
      <c r="I144" s="51" t="n"/>
      <c r="J144" s="51" t="n"/>
      <c r="K144" s="51" t="n"/>
      <c r="L144" s="51" t="n"/>
      <c r="M144" s="51" t="n"/>
      <c r="N144" s="51" t="n"/>
      <c r="O144" s="51" t="n"/>
      <c r="P144" s="51" t="n"/>
      <c r="Q144" s="51" t="n"/>
    </row>
    <row r="145" ht="42.0" customHeight="true">
      <c r="B145" s="10"/>
      <c r="C145" s="14"/>
      <c r="D145" s="10"/>
      <c r="E145" s="45" t="s">
        <v>66</v>
      </c>
      <c r="F145" s="43"/>
      <c r="G145" s="43"/>
      <c r="H145" s="44"/>
      <c r="I145" s="50" t="n">
        <f>I126+SUM(I138:I144)</f>
      </c>
      <c r="J145" s="50" t="n">
        <f>J126+SUM(J138:J144)</f>
      </c>
      <c r="K145" s="50" t="n">
        <f>K126+SUM(K138:K144)</f>
      </c>
      <c r="L145" s="50" t="n">
        <f>L126+SUM(L138:L144)</f>
      </c>
      <c r="M145" s="50" t="n">
        <f>M126+SUM(M138:M144)</f>
      </c>
      <c r="N145" s="50" t="n">
        <f>N126+SUM(N138:N144)</f>
      </c>
      <c r="O145" s="50" t="n">
        <f>O126+SUM(O138:O144)</f>
      </c>
      <c r="P145" s="50" t="n">
        <f>P126+SUM(P138:P144)</f>
      </c>
      <c r="Q145" s="50" t="n">
        <f>Q126+SUM(Q138:Q144)</f>
      </c>
    </row>
    <row r="146" ht="28.0" customHeight="true">
      <c r="B146" s="10"/>
      <c r="C146" s="14"/>
      <c r="D146" s="10"/>
      <c r="E146" s="15" t="s">
        <v>67</v>
      </c>
      <c r="F146" s="37"/>
      <c r="G146" s="37"/>
      <c r="H146" s="13"/>
      <c r="I146" s="51" t="n"/>
      <c r="J146" s="51" t="n"/>
      <c r="K146" s="51" t="n"/>
      <c r="L146" s="51" t="n"/>
      <c r="M146" s="51" t="n"/>
      <c r="N146" s="51" t="n"/>
      <c r="O146" s="51" t="n"/>
      <c r="P146" s="51" t="n"/>
      <c r="Q146" s="51" t="n"/>
    </row>
    <row r="147" ht="28.0" customHeight="true">
      <c r="B147" s="10"/>
      <c r="C147" s="14"/>
      <c r="D147" s="10"/>
      <c r="E147" s="11" t="s">
        <v>68</v>
      </c>
      <c r="F147" s="8"/>
      <c r="G147" s="8"/>
      <c r="H147" s="9"/>
      <c r="I147" s="50" t="n"/>
      <c r="J147" s="50" t="n"/>
      <c r="K147" s="50" t="n"/>
      <c r="L147" s="50" t="n"/>
      <c r="M147" s="50" t="n"/>
      <c r="N147" s="50" t="n"/>
      <c r="O147" s="50" t="n"/>
      <c r="P147" s="50" t="n"/>
      <c r="Q147" s="50" t="n"/>
    </row>
    <row r="148">
      <c r="B148" s="10"/>
      <c r="C148" s="14"/>
      <c r="D148" s="11"/>
      <c r="E148" s="40" t="s">
        <v>69</v>
      </c>
      <c r="F148" s="41"/>
      <c r="G148" s="41"/>
      <c r="H148" s="39"/>
      <c r="I148" s="51" t="n">
        <f>SUM(I145:I147)</f>
      </c>
      <c r="J148" s="51" t="n">
        <f>SUM(J145:J147)</f>
      </c>
      <c r="K148" s="51" t="n">
        <f>SUM(K145:K147)</f>
      </c>
      <c r="L148" s="51" t="n">
        <f>SUM(L145:L147)</f>
      </c>
      <c r="M148" s="51" t="n">
        <f>SUM(M145:M147)</f>
      </c>
      <c r="N148" s="51" t="n">
        <f>SUM(N145:N147)</f>
      </c>
      <c r="O148" s="51" t="n">
        <f>SUM(O145:O147)</f>
      </c>
      <c r="P148" s="51" t="n">
        <f>SUM(P145:P147)</f>
      </c>
      <c r="Q148" s="51" t="n">
        <f>SUM(Q145:Q147)</f>
      </c>
    </row>
    <row r="149">
      <c r="B149" s="10"/>
      <c r="C149" s="14"/>
      <c r="D149" s="7" t="s">
        <v>70</v>
      </c>
      <c r="E149" s="8"/>
      <c r="F149" s="8"/>
      <c r="G149" s="8"/>
      <c r="H149" s="9"/>
      <c r="I149" s="22"/>
      <c r="J149" s="22"/>
      <c r="K149" s="22"/>
      <c r="L149" s="22"/>
      <c r="M149" s="22"/>
      <c r="N149" s="22"/>
      <c r="O149" s="22"/>
      <c r="P149" s="22"/>
      <c r="Q149" s="22"/>
    </row>
    <row r="150">
      <c r="B150" s="10"/>
      <c r="C150" s="14"/>
      <c r="D150" s="10"/>
      <c r="E150" s="15" t="s">
        <v>71</v>
      </c>
      <c r="F150" s="37"/>
      <c r="G150" s="37"/>
      <c r="H150" s="13"/>
      <c r="I150" s="51" t="n"/>
      <c r="J150" s="51" t="n"/>
      <c r="K150" s="51" t="n"/>
      <c r="L150" s="51" t="n"/>
      <c r="M150" s="51" t="n"/>
      <c r="N150" s="51" t="n"/>
      <c r="O150" s="51" t="n"/>
      <c r="P150" s="51" t="n"/>
      <c r="Q150" s="51" t="n"/>
    </row>
    <row r="151">
      <c r="B151" s="10"/>
      <c r="C151" s="14"/>
      <c r="D151" s="10"/>
      <c r="E151" s="11" t="s">
        <v>72</v>
      </c>
      <c r="F151" s="8"/>
      <c r="G151" s="8"/>
      <c r="H151" s="9"/>
      <c r="I151" s="50" t="n"/>
      <c r="J151" s="50" t="n"/>
      <c r="K151" s="50" t="n"/>
      <c r="L151" s="50" t="n"/>
      <c r="M151" s="50" t="n"/>
      <c r="N151" s="50" t="n"/>
      <c r="O151" s="50" t="n"/>
      <c r="P151" s="50" t="n"/>
      <c r="Q151" s="50" t="n"/>
    </row>
    <row r="152">
      <c r="B152" s="10"/>
      <c r="C152" s="14"/>
      <c r="D152" s="10"/>
      <c r="E152" s="15" t="s">
        <v>73</v>
      </c>
      <c r="F152" s="37"/>
      <c r="G152" s="37"/>
      <c r="H152" s="13"/>
      <c r="I152" s="51" t="n"/>
      <c r="J152" s="51" t="n"/>
      <c r="K152" s="51" t="n"/>
      <c r="L152" s="51" t="n"/>
      <c r="M152" s="51" t="n"/>
      <c r="N152" s="51" t="n"/>
      <c r="O152" s="51" t="n"/>
      <c r="P152" s="51" t="n"/>
      <c r="Q152" s="51" t="n"/>
    </row>
    <row r="153">
      <c r="B153" s="10"/>
      <c r="C153" s="14"/>
      <c r="D153" s="10"/>
      <c r="E153" s="11" t="s">
        <v>74</v>
      </c>
      <c r="F153" s="8"/>
      <c r="G153" s="8"/>
      <c r="H153" s="9"/>
      <c r="I153" s="50" t="n"/>
      <c r="J153" s="50" t="n"/>
      <c r="K153" s="50" t="n"/>
      <c r="L153" s="50" t="n"/>
      <c r="M153" s="50" t="n"/>
      <c r="N153" s="50" t="n"/>
      <c r="O153" s="50" t="n"/>
      <c r="P153" s="50" t="n"/>
      <c r="Q153" s="50" t="n"/>
    </row>
    <row r="154">
      <c r="B154" s="10"/>
      <c r="C154" s="14"/>
      <c r="D154" s="10"/>
      <c r="E154" s="15" t="s">
        <v>75</v>
      </c>
      <c r="F154" s="37"/>
      <c r="G154" s="37"/>
      <c r="H154" s="13"/>
      <c r="I154" s="51" t="n"/>
      <c r="J154" s="51" t="n"/>
      <c r="K154" s="51" t="n"/>
      <c r="L154" s="51" t="n"/>
      <c r="M154" s="51" t="n"/>
      <c r="N154" s="51" t="n"/>
      <c r="O154" s="51" t="n"/>
      <c r="P154" s="51" t="n"/>
      <c r="Q154" s="51" t="n"/>
    </row>
    <row r="155">
      <c r="B155" s="10"/>
      <c r="C155" s="14"/>
      <c r="D155" s="10"/>
      <c r="E155" s="11" t="s">
        <v>76</v>
      </c>
      <c r="F155" s="8"/>
      <c r="G155" s="8"/>
      <c r="H155" s="9"/>
      <c r="I155" s="50" t="n"/>
      <c r="J155" s="50" t="n"/>
      <c r="K155" s="50" t="n"/>
      <c r="L155" s="50" t="n"/>
      <c r="M155" s="50" t="n"/>
      <c r="N155" s="50" t="n"/>
      <c r="O155" s="50" t="n"/>
      <c r="P155" s="50" t="n"/>
      <c r="Q155" s="50" t="n"/>
    </row>
    <row r="156">
      <c r="B156" s="10"/>
      <c r="C156" s="14"/>
      <c r="D156" s="10"/>
      <c r="E156" s="15" t="s">
        <v>77</v>
      </c>
      <c r="F156" s="37"/>
      <c r="G156" s="37"/>
      <c r="H156" s="13"/>
      <c r="I156" s="51" t="n"/>
      <c r="J156" s="51" t="n"/>
      <c r="K156" s="51" t="n"/>
      <c r="L156" s="51" t="n"/>
      <c r="M156" s="51" t="n"/>
      <c r="N156" s="51" t="n"/>
      <c r="O156" s="51" t="n"/>
      <c r="P156" s="51" t="n"/>
      <c r="Q156" s="51" t="n"/>
    </row>
    <row r="157">
      <c r="B157" s="10"/>
      <c r="C157" s="14"/>
      <c r="D157" s="10"/>
      <c r="E157" s="11" t="s">
        <v>78</v>
      </c>
      <c r="F157" s="8"/>
      <c r="G157" s="8"/>
      <c r="H157" s="9"/>
      <c r="I157" s="50" t="n"/>
      <c r="J157" s="50" t="n"/>
      <c r="K157" s="50" t="n"/>
      <c r="L157" s="50" t="n"/>
      <c r="M157" s="50" t="n"/>
      <c r="N157" s="50" t="n"/>
      <c r="O157" s="50" t="n"/>
      <c r="P157" s="50" t="n"/>
      <c r="Q157" s="50" t="n"/>
    </row>
    <row r="158" ht="28.0" customHeight="true">
      <c r="B158" s="10"/>
      <c r="C158" s="14"/>
      <c r="D158" s="10"/>
      <c r="E158" s="15" t="s">
        <v>79</v>
      </c>
      <c r="F158" s="37"/>
      <c r="G158" s="37"/>
      <c r="H158" s="13"/>
      <c r="I158" s="51" t="n"/>
      <c r="J158" s="51" t="n"/>
      <c r="K158" s="51" t="n"/>
      <c r="L158" s="51" t="n"/>
      <c r="M158" s="51" t="n"/>
      <c r="N158" s="51" t="n"/>
      <c r="O158" s="51" t="n"/>
      <c r="P158" s="51" t="n"/>
      <c r="Q158" s="51" t="n"/>
    </row>
    <row r="159">
      <c r="B159" s="10"/>
      <c r="C159" s="14"/>
      <c r="D159" s="10"/>
      <c r="E159" s="11" t="s">
        <v>80</v>
      </c>
      <c r="F159" s="8"/>
      <c r="G159" s="8"/>
      <c r="H159" s="9"/>
      <c r="I159" s="50" t="n"/>
      <c r="J159" s="50" t="n"/>
      <c r="K159" s="50" t="n"/>
      <c r="L159" s="50" t="n"/>
      <c r="M159" s="50" t="n"/>
      <c r="N159" s="50" t="n"/>
      <c r="O159" s="50" t="n"/>
      <c r="P159" s="50" t="n"/>
      <c r="Q159" s="50" t="n"/>
    </row>
    <row r="160" ht="28.0" customHeight="true">
      <c r="B160" s="10"/>
      <c r="C160" s="14"/>
      <c r="D160" s="10"/>
      <c r="E160" s="12" t="s">
        <v>81</v>
      </c>
      <c r="F160" s="37"/>
      <c r="G160" s="37"/>
      <c r="H160" s="13"/>
      <c r="I160" s="23"/>
      <c r="J160" s="23"/>
      <c r="K160" s="23"/>
      <c r="L160" s="23"/>
      <c r="M160" s="23"/>
      <c r="N160" s="23"/>
      <c r="O160" s="23"/>
      <c r="P160" s="23"/>
      <c r="Q160" s="23"/>
    </row>
    <row r="161" ht="28.0" customHeight="true">
      <c r="B161" s="10"/>
      <c r="C161" s="14"/>
      <c r="D161" s="10"/>
      <c r="E161" s="14"/>
      <c r="F161" s="7" t="s">
        <v>82</v>
      </c>
      <c r="G161" s="8"/>
      <c r="H161" s="9"/>
      <c r="I161" s="22"/>
      <c r="J161" s="22"/>
      <c r="K161" s="22"/>
      <c r="L161" s="22"/>
      <c r="M161" s="22"/>
      <c r="N161" s="22"/>
      <c r="O161" s="22"/>
      <c r="P161" s="22"/>
      <c r="Q161" s="22"/>
    </row>
    <row r="162" ht="42.0" customHeight="true">
      <c r="B162" s="10"/>
      <c r="C162" s="14"/>
      <c r="D162" s="10"/>
      <c r="E162" s="14"/>
      <c r="F162" s="10"/>
      <c r="G162" s="15" t="s">
        <v>83</v>
      </c>
      <c r="H162" s="13"/>
      <c r="I162" s="51" t="n"/>
      <c r="J162" s="51" t="n"/>
      <c r="K162" s="51" t="n"/>
      <c r="L162" s="51" t="n"/>
      <c r="M162" s="51" t="n"/>
      <c r="N162" s="51" t="n"/>
      <c r="O162" s="51" t="n"/>
      <c r="P162" s="23"/>
      <c r="Q162" s="51" t="n"/>
    </row>
    <row r="163">
      <c r="B163" s="10"/>
      <c r="C163" s="14"/>
      <c r="D163" s="10"/>
      <c r="E163" s="14"/>
      <c r="F163" s="10"/>
      <c r="G163" s="7" t="s">
        <v>84</v>
      </c>
      <c r="H163" s="9"/>
      <c r="I163" s="50" t="n"/>
      <c r="J163" s="50" t="n"/>
      <c r="K163" s="50" t="n"/>
      <c r="L163" s="50" t="n"/>
      <c r="M163" s="50" t="n"/>
      <c r="N163" s="50" t="n"/>
      <c r="O163" s="22"/>
      <c r="P163" s="22"/>
      <c r="Q163" s="50" t="n"/>
    </row>
    <row r="164">
      <c r="B164" s="10"/>
      <c r="C164" s="14"/>
      <c r="D164" s="10"/>
      <c r="E164" s="14"/>
      <c r="F164" s="10"/>
      <c r="G164" s="11"/>
      <c r="H164" s="19" t="s">
        <v>85</v>
      </c>
      <c r="I164" s="23"/>
      <c r="J164" s="23"/>
      <c r="K164" s="23"/>
      <c r="L164" s="51" t="n"/>
      <c r="M164" s="51" t="n"/>
      <c r="N164" s="51" t="n"/>
      <c r="O164" s="23"/>
      <c r="P164" s="23"/>
      <c r="Q164" s="51" t="n"/>
    </row>
    <row r="165" ht="28.0" customHeight="true">
      <c r="B165" s="10"/>
      <c r="C165" s="14"/>
      <c r="D165" s="10"/>
      <c r="E165" s="14"/>
      <c r="F165" s="10"/>
      <c r="G165" s="11" t="s">
        <v>86</v>
      </c>
      <c r="H165" s="9"/>
      <c r="I165" s="22"/>
      <c r="J165" s="22"/>
      <c r="K165" s="50" t="n"/>
      <c r="L165" s="22"/>
      <c r="M165" s="22"/>
      <c r="N165" s="22"/>
      <c r="O165" s="22"/>
      <c r="P165" s="22"/>
      <c r="Q165" s="50" t="n"/>
    </row>
    <row r="166" ht="28.0" customHeight="true">
      <c r="B166" s="10"/>
      <c r="C166" s="14"/>
      <c r="D166" s="10"/>
      <c r="E166" s="14"/>
      <c r="F166" s="11"/>
      <c r="G166" s="40" t="s">
        <v>87</v>
      </c>
      <c r="H166" s="39"/>
      <c r="I166" s="51" t="n">
        <f>I162+I163</f>
      </c>
      <c r="J166" s="51" t="n">
        <f>J162+J163</f>
      </c>
      <c r="K166" s="51" t="n">
        <f>K162+K163+K165</f>
      </c>
      <c r="L166" s="51" t="n">
        <f>L162+L163</f>
      </c>
      <c r="M166" s="51" t="n">
        <f>M162+M163</f>
      </c>
      <c r="N166" s="51" t="n">
        <f>N162+N163</f>
      </c>
      <c r="O166" s="51" t="n">
        <f>O162</f>
      </c>
      <c r="P166" s="23"/>
      <c r="Q166" s="51" t="n">
        <f>Q162+Q163+Q165</f>
      </c>
    </row>
    <row r="167">
      <c r="B167" s="10"/>
      <c r="C167" s="14"/>
      <c r="D167" s="10"/>
      <c r="E167" s="14"/>
      <c r="F167" s="11" t="s">
        <v>88</v>
      </c>
      <c r="G167" s="8"/>
      <c r="H167" s="9"/>
      <c r="I167" s="50" t="n"/>
      <c r="J167" s="50" t="n"/>
      <c r="K167" s="50" t="n"/>
      <c r="L167" s="50" t="n"/>
      <c r="M167" s="50" t="n"/>
      <c r="N167" s="50" t="n"/>
      <c r="O167" s="50" t="n"/>
      <c r="P167" s="50" t="n"/>
      <c r="Q167" s="50" t="n"/>
    </row>
    <row r="168">
      <c r="B168" s="10"/>
      <c r="C168" s="14"/>
      <c r="D168" s="10"/>
      <c r="E168" s="14"/>
      <c r="F168" s="15" t="s">
        <v>89</v>
      </c>
      <c r="G168" s="37"/>
      <c r="H168" s="13"/>
      <c r="I168" s="51" t="n"/>
      <c r="J168" s="51" t="n"/>
      <c r="K168" s="51" t="n"/>
      <c r="L168" s="51" t="n"/>
      <c r="M168" s="51" t="n"/>
      <c r="N168" s="51" t="n"/>
      <c r="O168" s="51" t="n"/>
      <c r="P168" s="51" t="n"/>
      <c r="Q168" s="51" t="n"/>
    </row>
    <row r="169">
      <c r="B169" s="10"/>
      <c r="C169" s="14"/>
      <c r="D169" s="10"/>
      <c r="E169" s="14"/>
      <c r="F169" s="11" t="s">
        <v>90</v>
      </c>
      <c r="G169" s="8"/>
      <c r="H169" s="9"/>
      <c r="I169" s="50" t="n"/>
      <c r="J169" s="50" t="n"/>
      <c r="K169" s="50" t="n"/>
      <c r="L169" s="50" t="n"/>
      <c r="M169" s="50" t="n"/>
      <c r="N169" s="50" t="n"/>
      <c r="O169" s="50" t="n"/>
      <c r="P169" s="50" t="n"/>
      <c r="Q169" s="50" t="n"/>
    </row>
    <row r="170" ht="28.0" customHeight="true">
      <c r="B170" s="10"/>
      <c r="C170" s="14"/>
      <c r="D170" s="10"/>
      <c r="E170" s="15"/>
      <c r="F170" s="40" t="s">
        <v>91</v>
      </c>
      <c r="G170" s="41"/>
      <c r="H170" s="39"/>
      <c r="I170" s="51" t="n">
        <f>SUM(I166:I169)</f>
      </c>
      <c r="J170" s="51" t="n">
        <f>SUM(J166:J169)</f>
      </c>
      <c r="K170" s="51" t="n">
        <f>SUM(K166:K169)</f>
      </c>
      <c r="L170" s="51" t="n">
        <f>SUM(L166:L169)</f>
      </c>
      <c r="M170" s="51" t="n">
        <f>SUM(M166:M169)</f>
      </c>
      <c r="N170" s="51" t="n">
        <f>SUM(N166:N169)</f>
      </c>
      <c r="O170" s="51" t="n">
        <f>SUM(O166:O169)</f>
      </c>
      <c r="P170" s="51" t="n">
        <f>SUM(P167:P169)</f>
      </c>
      <c r="Q170" s="51" t="n">
        <f>SUM(Q166:Q169)</f>
      </c>
    </row>
    <row r="171">
      <c r="B171" s="10"/>
      <c r="C171" s="14"/>
      <c r="D171" s="10"/>
      <c r="E171" s="11" t="s">
        <v>92</v>
      </c>
      <c r="F171" s="8"/>
      <c r="G171" s="8"/>
      <c r="H171" s="9"/>
      <c r="I171" s="50" t="n"/>
      <c r="J171" s="50" t="n"/>
      <c r="K171" s="50" t="n"/>
      <c r="L171" s="50" t="n"/>
      <c r="M171" s="50" t="n"/>
      <c r="N171" s="50" t="n"/>
      <c r="O171" s="50" t="n"/>
      <c r="P171" s="50" t="n"/>
      <c r="Q171" s="50" t="n"/>
    </row>
    <row r="172">
      <c r="B172" s="10"/>
      <c r="C172" s="14"/>
      <c r="D172" s="10"/>
      <c r="E172" s="15" t="s">
        <v>93</v>
      </c>
      <c r="F172" s="37"/>
      <c r="G172" s="37"/>
      <c r="H172" s="13"/>
      <c r="I172" s="51" t="n"/>
      <c r="J172" s="51" t="n"/>
      <c r="K172" s="51" t="n"/>
      <c r="L172" s="51" t="n"/>
      <c r="M172" s="51" t="n"/>
      <c r="N172" s="51" t="n"/>
      <c r="O172" s="51" t="n"/>
      <c r="P172" s="51" t="n"/>
      <c r="Q172" s="51" t="n"/>
    </row>
    <row r="173">
      <c r="B173" s="10"/>
      <c r="C173" s="14"/>
      <c r="D173" s="10"/>
      <c r="E173" s="11" t="s">
        <v>94</v>
      </c>
      <c r="F173" s="8"/>
      <c r="G173" s="8"/>
      <c r="H173" s="9"/>
      <c r="I173" s="50" t="n"/>
      <c r="J173" s="50" t="n"/>
      <c r="K173" s="50" t="n"/>
      <c r="L173" s="50" t="n"/>
      <c r="M173" s="50" t="n"/>
      <c r="N173" s="50" t="n"/>
      <c r="O173" s="50" t="n"/>
      <c r="P173" s="50" t="n"/>
      <c r="Q173" s="50" t="n"/>
    </row>
    <row r="174">
      <c r="B174" s="10"/>
      <c r="C174" s="14"/>
      <c r="D174" s="10"/>
      <c r="E174" s="15" t="s">
        <v>95</v>
      </c>
      <c r="F174" s="37"/>
      <c r="G174" s="37"/>
      <c r="H174" s="13"/>
      <c r="I174" s="51" t="n"/>
      <c r="J174" s="51" t="n"/>
      <c r="K174" s="51" t="n"/>
      <c r="L174" s="51" t="n"/>
      <c r="M174" s="51" t="n"/>
      <c r="N174" s="51" t="n"/>
      <c r="O174" s="51" t="n"/>
      <c r="P174" s="51" t="n"/>
      <c r="Q174" s="51" t="n"/>
    </row>
    <row r="175">
      <c r="B175" s="10"/>
      <c r="C175" s="14"/>
      <c r="D175" s="10"/>
      <c r="E175" s="11" t="s">
        <v>96</v>
      </c>
      <c r="F175" s="8"/>
      <c r="G175" s="8"/>
      <c r="H175" s="9"/>
      <c r="I175" s="50" t="n"/>
      <c r="J175" s="50" t="n"/>
      <c r="K175" s="50" t="n"/>
      <c r="L175" s="50" t="n"/>
      <c r="M175" s="50" t="n"/>
      <c r="N175" s="50" t="n"/>
      <c r="O175" s="50" t="n"/>
      <c r="P175" s="50" t="n"/>
      <c r="Q175" s="50" t="n"/>
    </row>
    <row r="176" ht="42.0" customHeight="true">
      <c r="B176" s="10"/>
      <c r="C176" s="14"/>
      <c r="D176" s="10"/>
      <c r="E176" s="15" t="s">
        <v>97</v>
      </c>
      <c r="F176" s="37"/>
      <c r="G176" s="37"/>
      <c r="H176" s="13"/>
      <c r="I176" s="51" t="n"/>
      <c r="J176" s="51" t="n"/>
      <c r="K176" s="51" t="n"/>
      <c r="L176" s="51" t="n"/>
      <c r="M176" s="51" t="n"/>
      <c r="N176" s="51" t="n"/>
      <c r="O176" s="51" t="n"/>
      <c r="P176" s="51" t="n"/>
      <c r="Q176" s="51" t="n"/>
    </row>
    <row r="177">
      <c r="B177" s="10"/>
      <c r="C177" s="14"/>
      <c r="D177" s="11"/>
      <c r="E177" s="45" t="s">
        <v>98</v>
      </c>
      <c r="F177" s="43"/>
      <c r="G177" s="43"/>
      <c r="H177" s="44"/>
      <c r="I177" s="50" t="n">
        <f>SUM(I150:I159)+SUM(I170:I176)</f>
      </c>
      <c r="J177" s="50" t="n">
        <f>SUM(J150:J159)+SUM(J170:J176)</f>
      </c>
      <c r="K177" s="50" t="n">
        <f>SUM(K150:K159)+SUM(K170:K176)</f>
      </c>
      <c r="L177" s="50" t="n">
        <f>SUM(L150:L159)+SUM(L170:L176)</f>
      </c>
      <c r="M177" s="50" t="n">
        <f>SUM(M150:M159)+SUM(M170:M176)</f>
      </c>
      <c r="N177" s="50" t="n">
        <f>SUM(N150:N159)+SUM(N170:N176)</f>
      </c>
      <c r="O177" s="50" t="n">
        <f>SUM(O150:O159)+SUM(O170:O176)</f>
      </c>
      <c r="P177" s="50" t="n">
        <f>SUM(P150:P159)+SUM(P170:P176)</f>
      </c>
      <c r="Q177" s="50" t="n">
        <f>SUM(Q150:Q159)+SUM(Q170:Q176)</f>
      </c>
    </row>
    <row r="178">
      <c r="B178" s="10"/>
      <c r="C178" s="15"/>
      <c r="D178" s="40" t="s">
        <v>99</v>
      </c>
      <c r="E178" s="41"/>
      <c r="F178" s="41"/>
      <c r="G178" s="41"/>
      <c r="H178" s="39"/>
      <c r="I178" s="51" t="n">
        <f>I148+I177</f>
      </c>
      <c r="J178" s="51" t="n">
        <f>J148+J177</f>
      </c>
      <c r="K178" s="51" t="n">
        <f>K148+K177</f>
      </c>
      <c r="L178" s="51" t="n">
        <f>L148+L177</f>
      </c>
      <c r="M178" s="51" t="n">
        <f>M148+M177</f>
      </c>
      <c r="N178" s="51" t="n">
        <f>N148+N177</f>
      </c>
      <c r="O178" s="51" t="n">
        <f>O148+O177</f>
      </c>
      <c r="P178" s="51" t="n">
        <f>P148+P177</f>
      </c>
      <c r="Q178" s="51" t="n">
        <f>Q148+Q177</f>
      </c>
    </row>
    <row r="179">
      <c r="B179" s="10"/>
      <c r="C179" s="7" t="s">
        <v>100</v>
      </c>
      <c r="D179" s="8"/>
      <c r="E179" s="8"/>
      <c r="F179" s="8"/>
      <c r="G179" s="8"/>
      <c r="H179" s="9"/>
      <c r="I179" s="22"/>
      <c r="J179" s="22"/>
      <c r="K179" s="22"/>
      <c r="L179" s="22"/>
      <c r="M179" s="22"/>
      <c r="N179" s="22"/>
      <c r="O179" s="22"/>
      <c r="P179" s="22"/>
      <c r="Q179" s="22"/>
    </row>
    <row r="180">
      <c r="B180" s="10"/>
      <c r="C180" s="10"/>
      <c r="D180" s="12" t="s">
        <v>101</v>
      </c>
      <c r="E180" s="37"/>
      <c r="F180" s="37"/>
      <c r="G180" s="37"/>
      <c r="H180" s="13"/>
      <c r="I180" s="23"/>
      <c r="J180" s="23"/>
      <c r="K180" s="23"/>
      <c r="L180" s="23"/>
      <c r="M180" s="23"/>
      <c r="N180" s="23"/>
      <c r="O180" s="23"/>
      <c r="P180" s="23"/>
      <c r="Q180" s="23"/>
    </row>
    <row r="181">
      <c r="B181" s="10"/>
      <c r="C181" s="10"/>
      <c r="D181" s="14"/>
      <c r="E181" s="7" t="s">
        <v>102</v>
      </c>
      <c r="F181" s="8"/>
      <c r="G181" s="8"/>
      <c r="H181" s="9"/>
      <c r="I181" s="22"/>
      <c r="J181" s="22"/>
      <c r="K181" s="22"/>
      <c r="L181" s="22"/>
      <c r="M181" s="22"/>
      <c r="N181" s="22"/>
      <c r="O181" s="22"/>
      <c r="P181" s="22"/>
      <c r="Q181" s="22"/>
    </row>
    <row r="182">
      <c r="B182" s="10"/>
      <c r="C182" s="10"/>
      <c r="D182" s="14"/>
      <c r="E182" s="10"/>
      <c r="F182" s="12" t="s">
        <v>103</v>
      </c>
      <c r="G182" s="37"/>
      <c r="H182" s="13"/>
      <c r="I182" s="23"/>
      <c r="J182" s="23"/>
      <c r="K182" s="23"/>
      <c r="L182" s="23"/>
      <c r="M182" s="23"/>
      <c r="N182" s="23"/>
      <c r="O182" s="23"/>
      <c r="P182" s="23"/>
      <c r="Q182" s="23"/>
    </row>
    <row r="183">
      <c r="B183" s="10"/>
      <c r="C183" s="10"/>
      <c r="D183" s="14"/>
      <c r="E183" s="10"/>
      <c r="F183" s="14"/>
      <c r="G183" s="11" t="s">
        <v>104</v>
      </c>
      <c r="H183" s="9"/>
      <c r="I183" s="50" t="n"/>
      <c r="J183" s="50" t="n"/>
      <c r="K183" s="50" t="n"/>
      <c r="L183" s="50" t="n"/>
      <c r="M183" s="50" t="n"/>
      <c r="N183" s="50" t="n"/>
      <c r="O183" s="50" t="n"/>
      <c r="P183" s="50" t="n"/>
      <c r="Q183" s="50" t="n"/>
    </row>
    <row r="184">
      <c r="B184" s="10"/>
      <c r="C184" s="10"/>
      <c r="D184" s="14"/>
      <c r="E184" s="10"/>
      <c r="F184" s="14"/>
      <c r="G184" s="15" t="s">
        <v>105</v>
      </c>
      <c r="H184" s="13"/>
      <c r="I184" s="51" t="n"/>
      <c r="J184" s="51" t="n"/>
      <c r="K184" s="51" t="n"/>
      <c r="L184" s="51" t="n"/>
      <c r="M184" s="51" t="n"/>
      <c r="N184" s="51" t="n"/>
      <c r="O184" s="51" t="n"/>
      <c r="P184" s="51" t="n"/>
      <c r="Q184" s="51" t="n"/>
    </row>
    <row r="185">
      <c r="B185" s="10"/>
      <c r="C185" s="10"/>
      <c r="D185" s="14"/>
      <c r="E185" s="10"/>
      <c r="F185" s="15"/>
      <c r="G185" s="45" t="s">
        <v>106</v>
      </c>
      <c r="H185" s="44"/>
      <c r="I185" s="50" t="n">
        <f>I183+I184</f>
      </c>
      <c r="J185" s="50" t="n">
        <f>J183+J184</f>
      </c>
      <c r="K185" s="50" t="n">
        <f>K183+K184</f>
      </c>
      <c r="L185" s="50" t="n">
        <f>L183+L184</f>
      </c>
      <c r="M185" s="50" t="n">
        <f>M183+M184</f>
      </c>
      <c r="N185" s="50" t="n">
        <f>N183+N184</f>
      </c>
      <c r="O185" s="50" t="n">
        <f>O183+O184</f>
      </c>
      <c r="P185" s="50" t="n">
        <f>P183+P184</f>
      </c>
      <c r="Q185" s="50" t="n">
        <f>Q183+Q184</f>
      </c>
    </row>
    <row r="186" ht="28.0" customHeight="true">
      <c r="B186" s="10"/>
      <c r="C186" s="10"/>
      <c r="D186" s="14"/>
      <c r="E186" s="10"/>
      <c r="F186" s="12" t="s">
        <v>107</v>
      </c>
      <c r="G186" s="37"/>
      <c r="H186" s="13"/>
      <c r="I186" s="23"/>
      <c r="J186" s="23"/>
      <c r="K186" s="23"/>
      <c r="L186" s="23"/>
      <c r="M186" s="23"/>
      <c r="N186" s="23"/>
      <c r="O186" s="23"/>
      <c r="P186" s="23"/>
      <c r="Q186" s="23"/>
    </row>
    <row r="187">
      <c r="B187" s="10"/>
      <c r="C187" s="10"/>
      <c r="D187" s="14"/>
      <c r="E187" s="10"/>
      <c r="F187" s="14"/>
      <c r="G187" s="11" t="s">
        <v>108</v>
      </c>
      <c r="H187" s="9"/>
      <c r="I187" s="50" t="n"/>
      <c r="J187" s="50" t="n"/>
      <c r="K187" s="50" t="n"/>
      <c r="L187" s="50" t="n"/>
      <c r="M187" s="50" t="n"/>
      <c r="N187" s="50" t="n"/>
      <c r="O187" s="50" t="n"/>
      <c r="P187" s="50" t="n"/>
      <c r="Q187" s="50" t="n"/>
    </row>
    <row r="188">
      <c r="B188" s="10"/>
      <c r="C188" s="10"/>
      <c r="D188" s="14"/>
      <c r="E188" s="10"/>
      <c r="F188" s="14"/>
      <c r="G188" s="15" t="s">
        <v>109</v>
      </c>
      <c r="H188" s="13"/>
      <c r="I188" s="51" t="n"/>
      <c r="J188" s="51" t="n"/>
      <c r="K188" s="51" t="n"/>
      <c r="L188" s="51" t="n"/>
      <c r="M188" s="51" t="n"/>
      <c r="N188" s="51" t="n"/>
      <c r="O188" s="51" t="n"/>
      <c r="P188" s="51" t="n"/>
      <c r="Q188" s="51" t="n"/>
    </row>
    <row r="189">
      <c r="B189" s="10"/>
      <c r="C189" s="10"/>
      <c r="D189" s="14"/>
      <c r="E189" s="10"/>
      <c r="F189" s="14"/>
      <c r="G189" s="11" t="s">
        <v>110</v>
      </c>
      <c r="H189" s="9"/>
      <c r="I189" s="50" t="n"/>
      <c r="J189" s="50" t="n"/>
      <c r="K189" s="50" t="n"/>
      <c r="L189" s="50" t="n"/>
      <c r="M189" s="50" t="n"/>
      <c r="N189" s="50" t="n"/>
      <c r="O189" s="50" t="n"/>
      <c r="P189" s="50" t="n"/>
      <c r="Q189" s="50" t="n"/>
    </row>
    <row r="190">
      <c r="B190" s="10"/>
      <c r="C190" s="10"/>
      <c r="D190" s="14"/>
      <c r="E190" s="10"/>
      <c r="F190" s="14"/>
      <c r="G190" s="15" t="s">
        <v>111</v>
      </c>
      <c r="H190" s="13"/>
      <c r="I190" s="51" t="n"/>
      <c r="J190" s="51" t="n"/>
      <c r="K190" s="51" t="n"/>
      <c r="L190" s="51" t="n"/>
      <c r="M190" s="51" t="n"/>
      <c r="N190" s="51" t="n"/>
      <c r="O190" s="51" t="n"/>
      <c r="P190" s="51" t="n"/>
      <c r="Q190" s="51" t="n"/>
    </row>
    <row r="191" ht="28.0" customHeight="true">
      <c r="B191" s="10"/>
      <c r="C191" s="10"/>
      <c r="D191" s="14"/>
      <c r="E191" s="10"/>
      <c r="F191" s="15"/>
      <c r="G191" s="45" t="s">
        <v>112</v>
      </c>
      <c r="H191" s="44"/>
      <c r="I191" s="50" t="n">
        <f>SUM(I187:I190)</f>
      </c>
      <c r="J191" s="50" t="n">
        <f>SUM(J187:J190)</f>
      </c>
      <c r="K191" s="50" t="n">
        <f>SUM(K187:K190)</f>
      </c>
      <c r="L191" s="50" t="n">
        <f>SUM(L187:L190)</f>
      </c>
      <c r="M191" s="50" t="n">
        <f>SUM(M187:M190)</f>
      </c>
      <c r="N191" s="50" t="n">
        <f>SUM(N187:N190)</f>
      </c>
      <c r="O191" s="50" t="n">
        <f>SUM(O187:O190)</f>
      </c>
      <c r="P191" s="50" t="n">
        <f>SUM(P187:P190)</f>
      </c>
      <c r="Q191" s="50" t="n">
        <f>SUM(Q187:Q190)</f>
      </c>
    </row>
    <row r="192">
      <c r="B192" s="10"/>
      <c r="C192" s="10"/>
      <c r="D192" s="14"/>
      <c r="E192" s="10"/>
      <c r="F192" s="15" t="s">
        <v>113</v>
      </c>
      <c r="G192" s="37"/>
      <c r="H192" s="13"/>
      <c r="I192" s="51" t="n"/>
      <c r="J192" s="51" t="n"/>
      <c r="K192" s="51" t="n"/>
      <c r="L192" s="51" t="n"/>
      <c r="M192" s="51" t="n"/>
      <c r="N192" s="51" t="n"/>
      <c r="O192" s="51" t="n"/>
      <c r="P192" s="51" t="n"/>
      <c r="Q192" s="51" t="n"/>
    </row>
    <row r="193">
      <c r="B193" s="10"/>
      <c r="C193" s="10"/>
      <c r="D193" s="14"/>
      <c r="E193" s="10"/>
      <c r="F193" s="11" t="s">
        <v>114</v>
      </c>
      <c r="G193" s="8"/>
      <c r="H193" s="9"/>
      <c r="I193" s="50" t="n"/>
      <c r="J193" s="50" t="n"/>
      <c r="K193" s="50" t="n"/>
      <c r="L193" s="50" t="n"/>
      <c r="M193" s="50" t="n"/>
      <c r="N193" s="50" t="n"/>
      <c r="O193" s="50" t="n"/>
      <c r="P193" s="50" t="n"/>
      <c r="Q193" s="50" t="n"/>
    </row>
    <row r="194">
      <c r="B194" s="10"/>
      <c r="C194" s="10"/>
      <c r="D194" s="14"/>
      <c r="E194" s="10"/>
      <c r="F194" s="15" t="s">
        <v>115</v>
      </c>
      <c r="G194" s="37"/>
      <c r="H194" s="13"/>
      <c r="I194" s="51" t="n"/>
      <c r="J194" s="51" t="n"/>
      <c r="K194" s="51" t="n"/>
      <c r="L194" s="51" t="n"/>
      <c r="M194" s="51" t="n"/>
      <c r="N194" s="51" t="n"/>
      <c r="O194" s="51" t="n"/>
      <c r="P194" s="51" t="n"/>
      <c r="Q194" s="51" t="n"/>
    </row>
    <row r="195">
      <c r="B195" s="10"/>
      <c r="C195" s="10"/>
      <c r="D195" s="14"/>
      <c r="E195" s="10"/>
      <c r="F195" s="11" t="s">
        <v>116</v>
      </c>
      <c r="G195" s="8"/>
      <c r="H195" s="9"/>
      <c r="I195" s="50" t="n"/>
      <c r="J195" s="50" t="n"/>
      <c r="K195" s="50" t="n"/>
      <c r="L195" s="50" t="n"/>
      <c r="M195" s="50" t="n"/>
      <c r="N195" s="50" t="n"/>
      <c r="O195" s="50" t="n"/>
      <c r="P195" s="50" t="n"/>
      <c r="Q195" s="50" t="n"/>
    </row>
    <row r="196" ht="42.0" customHeight="true">
      <c r="B196" s="10"/>
      <c r="C196" s="10"/>
      <c r="D196" s="14"/>
      <c r="E196" s="10"/>
      <c r="F196" s="40" t="s">
        <v>117</v>
      </c>
      <c r="G196" s="41"/>
      <c r="H196" s="39"/>
      <c r="I196" s="51" t="n">
        <f>I185+SUM(I191:I195)</f>
      </c>
      <c r="J196" s="51" t="n">
        <f>J185+SUM(J191:J195)</f>
      </c>
      <c r="K196" s="51" t="n">
        <f>K185+SUM(K191:K195)</f>
      </c>
      <c r="L196" s="51" t="n">
        <f>L185+SUM(L191:L195)</f>
      </c>
      <c r="M196" s="51" t="n">
        <f>M185+SUM(M191:M195)</f>
      </c>
      <c r="N196" s="51" t="n">
        <f>N185+SUM(N191:N195)</f>
      </c>
      <c r="O196" s="51" t="n">
        <f>O185+SUM(O191:O195)</f>
      </c>
      <c r="P196" s="51" t="n">
        <f>P185+SUM(P191:P195)</f>
      </c>
      <c r="Q196" s="51" t="n">
        <f>Q185+SUM(Q191:Q195)</f>
      </c>
    </row>
    <row r="197" ht="28.0" customHeight="true">
      <c r="B197" s="10"/>
      <c r="C197" s="10"/>
      <c r="D197" s="14"/>
      <c r="E197" s="10"/>
      <c r="F197" s="11" t="s">
        <v>118</v>
      </c>
      <c r="G197" s="8"/>
      <c r="H197" s="9"/>
      <c r="I197" s="50" t="n"/>
      <c r="J197" s="50" t="n"/>
      <c r="K197" s="50" t="n"/>
      <c r="L197" s="50" t="n"/>
      <c r="M197" s="50" t="n"/>
      <c r="N197" s="50" t="n"/>
      <c r="O197" s="50" t="n"/>
      <c r="P197" s="50" t="n"/>
      <c r="Q197" s="50" t="n"/>
    </row>
    <row r="198">
      <c r="B198" s="10"/>
      <c r="C198" s="10"/>
      <c r="D198" s="14"/>
      <c r="E198" s="11"/>
      <c r="F198" s="40" t="s">
        <v>119</v>
      </c>
      <c r="G198" s="41"/>
      <c r="H198" s="39"/>
      <c r="I198" s="51" t="n">
        <f>I196+I197</f>
      </c>
      <c r="J198" s="51" t="n">
        <f>J196+J197</f>
      </c>
      <c r="K198" s="51" t="n">
        <f>K196+K197</f>
      </c>
      <c r="L198" s="51" t="n">
        <f>L196+L197</f>
      </c>
      <c r="M198" s="51" t="n">
        <f>M196+M197</f>
      </c>
      <c r="N198" s="51" t="n">
        <f>N196+N197</f>
      </c>
      <c r="O198" s="51" t="n">
        <f>O196+O197</f>
      </c>
      <c r="P198" s="51" t="n">
        <f>P196+P197</f>
      </c>
      <c r="Q198" s="51" t="n">
        <f>Q196+Q197</f>
      </c>
    </row>
    <row r="199">
      <c r="B199" s="10"/>
      <c r="C199" s="10"/>
      <c r="D199" s="14"/>
      <c r="E199" s="7" t="s">
        <v>120</v>
      </c>
      <c r="F199" s="8"/>
      <c r="G199" s="8"/>
      <c r="H199" s="9"/>
      <c r="I199" s="22"/>
      <c r="J199" s="22"/>
      <c r="K199" s="22"/>
      <c r="L199" s="22"/>
      <c r="M199" s="22"/>
      <c r="N199" s="22"/>
      <c r="O199" s="22"/>
      <c r="P199" s="22"/>
      <c r="Q199" s="22"/>
    </row>
    <row r="200">
      <c r="B200" s="10"/>
      <c r="C200" s="10"/>
      <c r="D200" s="14"/>
      <c r="E200" s="10"/>
      <c r="F200" s="12" t="s">
        <v>121</v>
      </c>
      <c r="G200" s="37"/>
      <c r="H200" s="13"/>
      <c r="I200" s="23"/>
      <c r="J200" s="23"/>
      <c r="K200" s="23"/>
      <c r="L200" s="23"/>
      <c r="M200" s="23"/>
      <c r="N200" s="23"/>
      <c r="O200" s="23"/>
      <c r="P200" s="23"/>
      <c r="Q200" s="23"/>
    </row>
    <row r="201">
      <c r="B201" s="10"/>
      <c r="C201" s="10"/>
      <c r="D201" s="14"/>
      <c r="E201" s="10"/>
      <c r="F201" s="14"/>
      <c r="G201" s="11" t="s">
        <v>122</v>
      </c>
      <c r="H201" s="9"/>
      <c r="I201" s="50" t="n"/>
      <c r="J201" s="50" t="n"/>
      <c r="K201" s="50" t="n"/>
      <c r="L201" s="50" t="n"/>
      <c r="M201" s="50" t="n"/>
      <c r="N201" s="50" t="n"/>
      <c r="O201" s="50" t="n"/>
      <c r="P201" s="50" t="n"/>
      <c r="Q201" s="50" t="n"/>
    </row>
    <row r="202">
      <c r="B202" s="10"/>
      <c r="C202" s="10"/>
      <c r="D202" s="14"/>
      <c r="E202" s="10"/>
      <c r="F202" s="14"/>
      <c r="G202" s="15" t="s">
        <v>123</v>
      </c>
      <c r="H202" s="13"/>
      <c r="I202" s="51" t="n"/>
      <c r="J202" s="51" t="n"/>
      <c r="K202" s="51" t="n"/>
      <c r="L202" s="51" t="n"/>
      <c r="M202" s="51" t="n"/>
      <c r="N202" s="51" t="n"/>
      <c r="O202" s="51" t="n"/>
      <c r="P202" s="51" t="n"/>
      <c r="Q202" s="51" t="n"/>
    </row>
    <row r="203">
      <c r="B203" s="10"/>
      <c r="C203" s="10"/>
      <c r="D203" s="14"/>
      <c r="E203" s="10"/>
      <c r="F203" s="15"/>
      <c r="G203" s="45" t="s">
        <v>124</v>
      </c>
      <c r="H203" s="44"/>
      <c r="I203" s="50" t="n">
        <f>I201+I202</f>
      </c>
      <c r="J203" s="50" t="n">
        <f>J201+J202</f>
      </c>
      <c r="K203" s="50" t="n">
        <f>K201+K202</f>
      </c>
      <c r="L203" s="50" t="n">
        <f>L201+L202</f>
      </c>
      <c r="M203" s="50" t="n">
        <f>M201+M202</f>
      </c>
      <c r="N203" s="50" t="n">
        <f>N201+N202</f>
      </c>
      <c r="O203" s="50" t="n">
        <f>O201+O202</f>
      </c>
      <c r="P203" s="50" t="n">
        <f>P201+P202</f>
      </c>
      <c r="Q203" s="50" t="n">
        <f>Q201+Q202</f>
      </c>
    </row>
    <row r="204" ht="28.0" customHeight="true">
      <c r="B204" s="10"/>
      <c r="C204" s="10"/>
      <c r="D204" s="14"/>
      <c r="E204" s="10"/>
      <c r="F204" s="12" t="s">
        <v>125</v>
      </c>
      <c r="G204" s="37"/>
      <c r="H204" s="13"/>
      <c r="I204" s="23"/>
      <c r="J204" s="23"/>
      <c r="K204" s="23"/>
      <c r="L204" s="23"/>
      <c r="M204" s="23"/>
      <c r="N204" s="23"/>
      <c r="O204" s="23"/>
      <c r="P204" s="23"/>
      <c r="Q204" s="23"/>
    </row>
    <row r="205" ht="28.0" customHeight="true">
      <c r="B205" s="10"/>
      <c r="C205" s="10"/>
      <c r="D205" s="14"/>
      <c r="E205" s="10"/>
      <c r="F205" s="14"/>
      <c r="G205" s="11" t="s">
        <v>126</v>
      </c>
      <c r="H205" s="9"/>
      <c r="I205" s="50" t="n"/>
      <c r="J205" s="50" t="n"/>
      <c r="K205" s="50" t="n"/>
      <c r="L205" s="50" t="n"/>
      <c r="M205" s="50" t="n"/>
      <c r="N205" s="50" t="n"/>
      <c r="O205" s="50" t="n"/>
      <c r="P205" s="50" t="n"/>
      <c r="Q205" s="50" t="n"/>
    </row>
    <row r="206">
      <c r="B206" s="10"/>
      <c r="C206" s="10"/>
      <c r="D206" s="14"/>
      <c r="E206" s="10"/>
      <c r="F206" s="14"/>
      <c r="G206" s="15" t="s">
        <v>127</v>
      </c>
      <c r="H206" s="13"/>
      <c r="I206" s="51" t="n"/>
      <c r="J206" s="51" t="n"/>
      <c r="K206" s="51" t="n"/>
      <c r="L206" s="51" t="n"/>
      <c r="M206" s="51" t="n"/>
      <c r="N206" s="51" t="n"/>
      <c r="O206" s="51" t="n"/>
      <c r="P206" s="51" t="n"/>
      <c r="Q206" s="51" t="n"/>
    </row>
    <row r="207">
      <c r="B207" s="10"/>
      <c r="C207" s="10"/>
      <c r="D207" s="14"/>
      <c r="E207" s="10"/>
      <c r="F207" s="14"/>
      <c r="G207" s="11" t="s">
        <v>128</v>
      </c>
      <c r="H207" s="9"/>
      <c r="I207" s="50" t="n"/>
      <c r="J207" s="50" t="n"/>
      <c r="K207" s="50" t="n"/>
      <c r="L207" s="50" t="n"/>
      <c r="M207" s="50" t="n"/>
      <c r="N207" s="50" t="n"/>
      <c r="O207" s="50" t="n"/>
      <c r="P207" s="50" t="n"/>
      <c r="Q207" s="50" t="n"/>
    </row>
    <row r="208">
      <c r="B208" s="10"/>
      <c r="C208" s="10"/>
      <c r="D208" s="14"/>
      <c r="E208" s="10"/>
      <c r="F208" s="14"/>
      <c r="G208" s="15" t="s">
        <v>129</v>
      </c>
      <c r="H208" s="13"/>
      <c r="I208" s="51" t="n"/>
      <c r="J208" s="51" t="n"/>
      <c r="K208" s="51" t="n"/>
      <c r="L208" s="51" t="n"/>
      <c r="M208" s="51" t="n"/>
      <c r="N208" s="51" t="n"/>
      <c r="O208" s="51" t="n"/>
      <c r="P208" s="51" t="n"/>
      <c r="Q208" s="51" t="n"/>
    </row>
    <row r="209" ht="28.0" customHeight="true">
      <c r="B209" s="10"/>
      <c r="C209" s="10"/>
      <c r="D209" s="14"/>
      <c r="E209" s="10"/>
      <c r="F209" s="15"/>
      <c r="G209" s="45" t="s">
        <v>130</v>
      </c>
      <c r="H209" s="44"/>
      <c r="I209" s="50" t="n">
        <f>SUM(I205:I208)</f>
      </c>
      <c r="J209" s="50" t="n">
        <f>SUM(J205:J208)</f>
      </c>
      <c r="K209" s="50" t="n">
        <f>SUM(K205:K208)</f>
      </c>
      <c r="L209" s="50" t="n">
        <f>SUM(L205:L208)</f>
      </c>
      <c r="M209" s="50" t="n">
        <f>SUM(M205:M208)</f>
      </c>
      <c r="N209" s="50" t="n">
        <f>SUM(N205:N208)</f>
      </c>
      <c r="O209" s="50" t="n">
        <f>SUM(O205:O208)</f>
      </c>
      <c r="P209" s="50" t="n">
        <f>SUM(P205:P208)</f>
      </c>
      <c r="Q209" s="50" t="n">
        <f>SUM(Q205:Q208)</f>
      </c>
    </row>
    <row r="210">
      <c r="B210" s="10"/>
      <c r="C210" s="10"/>
      <c r="D210" s="14"/>
      <c r="E210" s="10"/>
      <c r="F210" s="15" t="s">
        <v>131</v>
      </c>
      <c r="G210" s="37"/>
      <c r="H210" s="13"/>
      <c r="I210" s="51" t="n"/>
      <c r="J210" s="51" t="n"/>
      <c r="K210" s="51" t="n"/>
      <c r="L210" s="51" t="n"/>
      <c r="M210" s="51" t="n"/>
      <c r="N210" s="51" t="n"/>
      <c r="O210" s="51" t="n"/>
      <c r="P210" s="51" t="n"/>
      <c r="Q210" s="51" t="n"/>
    </row>
    <row r="211">
      <c r="B211" s="10"/>
      <c r="C211" s="10"/>
      <c r="D211" s="14"/>
      <c r="E211" s="10"/>
      <c r="F211" s="11" t="s">
        <v>132</v>
      </c>
      <c r="G211" s="8"/>
      <c r="H211" s="9"/>
      <c r="I211" s="50" t="n"/>
      <c r="J211" s="50" t="n"/>
      <c r="K211" s="50" t="n"/>
      <c r="L211" s="50" t="n"/>
      <c r="M211" s="50" t="n"/>
      <c r="N211" s="50" t="n"/>
      <c r="O211" s="50" t="n"/>
      <c r="P211" s="50" t="n"/>
      <c r="Q211" s="50" t="n"/>
    </row>
    <row r="212">
      <c r="B212" s="10"/>
      <c r="C212" s="10"/>
      <c r="D212" s="14"/>
      <c r="E212" s="10"/>
      <c r="F212" s="15" t="s">
        <v>133</v>
      </c>
      <c r="G212" s="37"/>
      <c r="H212" s="13"/>
      <c r="I212" s="51" t="n"/>
      <c r="J212" s="51" t="n"/>
      <c r="K212" s="51" t="n"/>
      <c r="L212" s="51" t="n"/>
      <c r="M212" s="51" t="n"/>
      <c r="N212" s="51" t="n"/>
      <c r="O212" s="51" t="n"/>
      <c r="P212" s="51" t="n"/>
      <c r="Q212" s="51" t="n"/>
    </row>
    <row r="213">
      <c r="B213" s="10"/>
      <c r="C213" s="10"/>
      <c r="D213" s="14"/>
      <c r="E213" s="10"/>
      <c r="F213" s="11" t="s">
        <v>134</v>
      </c>
      <c r="G213" s="8"/>
      <c r="H213" s="9"/>
      <c r="I213" s="50" t="n"/>
      <c r="J213" s="50" t="n"/>
      <c r="K213" s="50" t="n"/>
      <c r="L213" s="50" t="n"/>
      <c r="M213" s="50" t="n"/>
      <c r="N213" s="50" t="n"/>
      <c r="O213" s="50" t="n"/>
      <c r="P213" s="50" t="n"/>
      <c r="Q213" s="50" t="n"/>
    </row>
    <row r="214">
      <c r="B214" s="10"/>
      <c r="C214" s="10"/>
      <c r="D214" s="14"/>
      <c r="E214" s="10"/>
      <c r="F214" s="15" t="s">
        <v>135</v>
      </c>
      <c r="G214" s="37"/>
      <c r="H214" s="13"/>
      <c r="I214" s="51" t="n"/>
      <c r="J214" s="51" t="n"/>
      <c r="K214" s="51" t="n"/>
      <c r="L214" s="51" t="n"/>
      <c r="M214" s="51" t="n"/>
      <c r="N214" s="51" t="n"/>
      <c r="O214" s="51" t="n"/>
      <c r="P214" s="51" t="n"/>
      <c r="Q214" s="51" t="n"/>
    </row>
    <row r="215">
      <c r="B215" s="10"/>
      <c r="C215" s="10"/>
      <c r="D215" s="14"/>
      <c r="E215" s="11"/>
      <c r="F215" s="45" t="s">
        <v>136</v>
      </c>
      <c r="G215" s="43"/>
      <c r="H215" s="44"/>
      <c r="I215" s="50" t="n">
        <f>I203+SUM(I209:I214)</f>
      </c>
      <c r="J215" s="50" t="n">
        <f>J203+SUM(J209:J214)</f>
      </c>
      <c r="K215" s="50" t="n">
        <f>K203+SUM(K209:K214)</f>
      </c>
      <c r="L215" s="50" t="n">
        <f>L203+SUM(L209:L214)</f>
      </c>
      <c r="M215" s="50" t="n">
        <f>M203+SUM(M209:M214)</f>
      </c>
      <c r="N215" s="50" t="n">
        <f>N203+SUM(N209:N214)</f>
      </c>
      <c r="O215" s="50" t="n">
        <f>O203+SUM(O209:O214)</f>
      </c>
      <c r="P215" s="50" t="n">
        <f>P203+SUM(P209:P214)</f>
      </c>
      <c r="Q215" s="50" t="n">
        <f>Q203+SUM(Q209:Q214)</f>
      </c>
    </row>
    <row r="216">
      <c r="B216" s="10"/>
      <c r="C216" s="10"/>
      <c r="D216" s="15"/>
      <c r="E216" s="40" t="s">
        <v>137</v>
      </c>
      <c r="F216" s="41"/>
      <c r="G216" s="41"/>
      <c r="H216" s="39"/>
      <c r="I216" s="51" t="n">
        <f>I198+I215</f>
      </c>
      <c r="J216" s="51" t="n">
        <f>J198+J215</f>
      </c>
      <c r="K216" s="51" t="n">
        <f>K198+K215</f>
      </c>
      <c r="L216" s="51" t="n">
        <f>L198+L215</f>
      </c>
      <c r="M216" s="51" t="n">
        <f>M198+M215</f>
      </c>
      <c r="N216" s="51" t="n">
        <f>N198+N215</f>
      </c>
      <c r="O216" s="51" t="n">
        <f>O198+O215</f>
      </c>
      <c r="P216" s="51" t="n">
        <f>P198+P215</f>
      </c>
      <c r="Q216" s="51" t="n">
        <f>Q198+Q215</f>
      </c>
    </row>
    <row r="217">
      <c r="B217" s="10"/>
      <c r="C217" s="10"/>
      <c r="D217" s="7" t="s">
        <v>138</v>
      </c>
      <c r="E217" s="8"/>
      <c r="F217" s="8"/>
      <c r="G217" s="8"/>
      <c r="H217" s="9"/>
      <c r="I217" s="22"/>
      <c r="J217" s="22"/>
      <c r="K217" s="22"/>
      <c r="L217" s="22"/>
      <c r="M217" s="22"/>
      <c r="N217" s="22"/>
      <c r="O217" s="22"/>
      <c r="P217" s="22"/>
      <c r="Q217" s="22"/>
    </row>
    <row r="218">
      <c r="B218" s="10"/>
      <c r="C218" s="10"/>
      <c r="D218" s="10"/>
      <c r="E218" s="15" t="s">
        <v>139</v>
      </c>
      <c r="F218" s="37"/>
      <c r="G218" s="37"/>
      <c r="H218" s="13"/>
      <c r="I218" s="51" t="n"/>
      <c r="J218" s="51" t="n"/>
      <c r="K218" s="51" t="n"/>
      <c r="L218" s="51" t="n"/>
      <c r="M218" s="51" t="n"/>
      <c r="N218" s="51" t="n"/>
      <c r="O218" s="51" t="n"/>
      <c r="P218" s="51" t="n"/>
      <c r="Q218" s="51" t="n"/>
    </row>
    <row r="219">
      <c r="B219" s="10"/>
      <c r="C219" s="10"/>
      <c r="D219" s="10"/>
      <c r="E219" s="11" t="s">
        <v>140</v>
      </c>
      <c r="F219" s="8"/>
      <c r="G219" s="8"/>
      <c r="H219" s="9"/>
      <c r="I219" s="50" t="n"/>
      <c r="J219" s="50" t="n"/>
      <c r="K219" s="50" t="n"/>
      <c r="L219" s="50" t="n"/>
      <c r="M219" s="50" t="n"/>
      <c r="N219" s="50" t="n"/>
      <c r="O219" s="50" t="n"/>
      <c r="P219" s="50" t="n"/>
      <c r="Q219" s="50" t="n"/>
    </row>
    <row r="220">
      <c r="B220" s="10"/>
      <c r="C220" s="10"/>
      <c r="D220" s="10"/>
      <c r="E220" s="49" t="s">
        <v>141</v>
      </c>
      <c r="F220" s="47"/>
      <c r="G220" s="47"/>
      <c r="H220" s="48"/>
      <c r="I220" s="51" t="n"/>
      <c r="J220" s="51" t="n"/>
      <c r="K220" s="51" t="n"/>
      <c r="L220" s="51" t="n"/>
      <c r="M220" s="51" t="n"/>
      <c r="N220" s="51" t="n"/>
      <c r="O220" s="51" t="n"/>
      <c r="P220" s="51" t="n"/>
      <c r="Q220" s="51" t="n"/>
    </row>
    <row r="221">
      <c r="B221" s="10"/>
      <c r="C221" s="10"/>
      <c r="D221" s="10"/>
      <c r="E221" s="11" t="s">
        <v>142</v>
      </c>
      <c r="F221" s="8"/>
      <c r="G221" s="8"/>
      <c r="H221" s="9"/>
      <c r="I221" s="50" t="n"/>
      <c r="J221" s="50" t="n"/>
      <c r="K221" s="50" t="n"/>
      <c r="L221" s="50" t="n"/>
      <c r="M221" s="50" t="n"/>
      <c r="N221" s="50" t="n"/>
      <c r="O221" s="50" t="n"/>
      <c r="P221" s="50" t="n"/>
      <c r="Q221" s="50" t="n"/>
    </row>
    <row r="222">
      <c r="B222" s="10"/>
      <c r="C222" s="10"/>
      <c r="D222" s="10"/>
      <c r="E222" s="12" t="s">
        <v>143</v>
      </c>
      <c r="F222" s="37"/>
      <c r="G222" s="37"/>
      <c r="H222" s="13"/>
      <c r="I222" s="51" t="n"/>
      <c r="J222" s="51" t="n"/>
      <c r="K222" s="51" t="n"/>
      <c r="L222" s="51" t="n"/>
      <c r="M222" s="51" t="n"/>
      <c r="N222" s="51" t="n"/>
      <c r="O222" s="51" t="n"/>
      <c r="P222" s="51" t="n"/>
      <c r="Q222" s="51" t="n"/>
    </row>
    <row r="223">
      <c r="B223" s="10"/>
      <c r="C223" s="10"/>
      <c r="D223" s="10"/>
      <c r="E223" s="15"/>
      <c r="F223" s="11" t="s">
        <v>144</v>
      </c>
      <c r="G223" s="8"/>
      <c r="H223" s="9"/>
      <c r="I223" s="50" t="n"/>
      <c r="J223" s="50" t="n"/>
      <c r="K223" s="50" t="n"/>
      <c r="L223" s="50" t="n"/>
      <c r="M223" s="50" t="n"/>
      <c r="N223" s="50" t="n"/>
      <c r="O223" s="50" t="n"/>
      <c r="P223" s="50" t="n"/>
      <c r="Q223" s="50" t="n"/>
    </row>
    <row r="224">
      <c r="B224" s="10"/>
      <c r="C224" s="10"/>
      <c r="D224" s="10"/>
      <c r="E224" s="15" t="s">
        <v>145</v>
      </c>
      <c r="F224" s="37"/>
      <c r="G224" s="37"/>
      <c r="H224" s="13"/>
      <c r="I224" s="51" t="n"/>
      <c r="J224" s="51" t="n"/>
      <c r="K224" s="51" t="n"/>
      <c r="L224" s="51" t="n"/>
      <c r="M224" s="51" t="n"/>
      <c r="N224" s="51" t="n"/>
      <c r="O224" s="51" t="n"/>
      <c r="P224" s="51" t="n"/>
      <c r="Q224" s="51" t="n"/>
    </row>
    <row r="225">
      <c r="B225" s="10"/>
      <c r="C225" s="10"/>
      <c r="D225" s="10"/>
      <c r="E225" s="11" t="s">
        <v>146</v>
      </c>
      <c r="F225" s="8"/>
      <c r="G225" s="8"/>
      <c r="H225" s="9"/>
      <c r="I225" s="50" t="n"/>
      <c r="J225" s="50" t="n"/>
      <c r="K225" s="50" t="n"/>
      <c r="L225" s="50" t="n"/>
      <c r="M225" s="50" t="n"/>
      <c r="N225" s="50" t="n"/>
      <c r="O225" s="50" t="n"/>
      <c r="P225" s="50" t="n"/>
      <c r="Q225" s="50" t="n"/>
    </row>
    <row r="226">
      <c r="B226" s="10"/>
      <c r="C226" s="10"/>
      <c r="D226" s="10"/>
      <c r="E226" s="15" t="s">
        <v>147</v>
      </c>
      <c r="F226" s="37"/>
      <c r="G226" s="37"/>
      <c r="H226" s="13"/>
      <c r="I226" s="51" t="n"/>
      <c r="J226" s="51" t="n"/>
      <c r="K226" s="51" t="n"/>
      <c r="L226" s="51" t="n"/>
      <c r="M226" s="51" t="n"/>
      <c r="N226" s="51" t="n"/>
      <c r="O226" s="51" t="n"/>
      <c r="P226" s="51" t="n"/>
      <c r="Q226" s="51" t="n"/>
    </row>
    <row r="227">
      <c r="B227" s="10"/>
      <c r="C227" s="10"/>
      <c r="D227" s="10"/>
      <c r="E227" s="11" t="s">
        <v>148</v>
      </c>
      <c r="F227" s="8"/>
      <c r="G227" s="8"/>
      <c r="H227" s="9"/>
      <c r="I227" s="50" t="n"/>
      <c r="J227" s="50" t="n"/>
      <c r="K227" s="50" t="n"/>
      <c r="L227" s="50" t="n"/>
      <c r="M227" s="50" t="n"/>
      <c r="N227" s="50" t="n"/>
      <c r="O227" s="50" t="n"/>
      <c r="P227" s="50" t="n"/>
      <c r="Q227" s="50" t="n"/>
    </row>
    <row r="228">
      <c r="B228" s="10"/>
      <c r="C228" s="10"/>
      <c r="D228" s="11"/>
      <c r="E228" s="15" t="s">
        <v>149</v>
      </c>
      <c r="F228" s="37"/>
      <c r="G228" s="37"/>
      <c r="H228" s="13"/>
      <c r="I228" s="51" t="n">
        <f>I218+I219-I220+I221+I222+SUM(I224:I227)</f>
      </c>
      <c r="J228" s="51" t="n">
        <f>J218+J219-J220+J221+J222+SUM(J224:J227)</f>
      </c>
      <c r="K228" s="51" t="n">
        <f>K218+K219-K220+K221+K222+SUM(K224:K227)</f>
      </c>
      <c r="L228" s="51" t="n">
        <f>L218+L219-L220+L221+L222+SUM(L224:L227)</f>
      </c>
      <c r="M228" s="51" t="n">
        <f>M218+M219-M220+M221+M222+SUM(M224:M227)</f>
      </c>
      <c r="N228" s="51" t="n">
        <f>N218+N219-N220+N221+N222+SUM(N224:N227)</f>
      </c>
      <c r="O228" s="51" t="n">
        <f>O218+O219-O220+O221+O222+SUM(O224:O227)</f>
      </c>
      <c r="P228" s="51" t="n">
        <f>P218+P219-P220+P221+P222+SUM(P224:P227)</f>
      </c>
      <c r="Q228" s="51" t="n">
        <f>Q218+Q219-Q220+Q221+Q222+SUM(Q224:Q227)</f>
      </c>
    </row>
    <row r="229">
      <c r="B229" s="11"/>
      <c r="C229" s="11"/>
      <c r="D229" s="45" t="s">
        <v>150</v>
      </c>
      <c r="E229" s="43"/>
      <c r="F229" s="43"/>
      <c r="G229" s="43"/>
      <c r="H229" s="44"/>
      <c r="I229" s="53" t="n">
        <f>I216+I228</f>
      </c>
      <c r="J229" s="53" t="n">
        <f>J216+J228</f>
      </c>
      <c r="K229" s="53" t="n">
        <f>K216+K228</f>
      </c>
      <c r="L229" s="53" t="n">
        <f>L216+L228</f>
      </c>
      <c r="M229" s="53" t="n">
        <f>M216+M228</f>
      </c>
      <c r="N229" s="53" t="n">
        <f>N216+N228</f>
      </c>
      <c r="O229" s="53" t="n">
        <f>O216+O228</f>
      </c>
      <c r="P229" s="53" t="n">
        <f>P216+P228</f>
      </c>
      <c r="Q229" s="53" t="n">
        <f>Q216+Q228</f>
      </c>
    </row>
  </sheetData>
  <mergeCells>
    <mergeCell ref="I10:Q10"/>
    <mergeCell ref="B12:H12"/>
    <mergeCell ref="C13:H13"/>
    <mergeCell ref="D14:H14"/>
    <mergeCell ref="E15:H15"/>
    <mergeCell ref="F16:H16"/>
    <mergeCell ref="E17:H17"/>
    <mergeCell ref="F18:H18"/>
    <mergeCell ref="G19:H19"/>
    <mergeCell ref="G20:H20"/>
    <mergeCell ref="G22:H22"/>
    <mergeCell ref="G23:H23"/>
    <mergeCell ref="F24:H24"/>
    <mergeCell ref="F25:H25"/>
    <mergeCell ref="F26:H26"/>
    <mergeCell ref="F27:H27"/>
    <mergeCell ref="E28:H28"/>
    <mergeCell ref="E29:H29"/>
    <mergeCell ref="E30:H30"/>
    <mergeCell ref="E31:H31"/>
    <mergeCell ref="E32:H32"/>
    <mergeCell ref="E33:H33"/>
    <mergeCell ref="E34:H34"/>
    <mergeCell ref="E35:H35"/>
    <mergeCell ref="E36:H36"/>
    <mergeCell ref="E37:H37"/>
    <mergeCell ref="D38:H38"/>
    <mergeCell ref="E39:H39"/>
    <mergeCell ref="E40:H40"/>
    <mergeCell ref="E41:H41"/>
    <mergeCell ref="E42:H42"/>
    <mergeCell ref="E43:H43"/>
    <mergeCell ref="E44:H44"/>
    <mergeCell ref="E45:H45"/>
    <mergeCell ref="E46:H46"/>
    <mergeCell ref="E47:H47"/>
    <mergeCell ref="E48:H48"/>
    <mergeCell ref="E49:H49"/>
    <mergeCell ref="F50:H50"/>
    <mergeCell ref="G51:H51"/>
    <mergeCell ref="G52:H52"/>
    <mergeCell ref="G54:H54"/>
    <mergeCell ref="G55:H55"/>
    <mergeCell ref="F56:H56"/>
    <mergeCell ref="F57:H57"/>
    <mergeCell ref="F58:H58"/>
    <mergeCell ref="F59:H59"/>
    <mergeCell ref="E60:H60"/>
    <mergeCell ref="E61:H61"/>
    <mergeCell ref="E62:H62"/>
    <mergeCell ref="E63:H63"/>
    <mergeCell ref="E64:H64"/>
    <mergeCell ref="E65:H65"/>
    <mergeCell ref="E66:H66"/>
    <mergeCell ref="D67:H67"/>
    <mergeCell ref="C68:H68"/>
    <mergeCell ref="D69:H69"/>
    <mergeCell ref="E70:H70"/>
    <mergeCell ref="F71:H71"/>
    <mergeCell ref="G72:H72"/>
    <mergeCell ref="G73:H73"/>
    <mergeCell ref="G74:H74"/>
    <mergeCell ref="F75:H75"/>
    <mergeCell ref="G76:H76"/>
    <mergeCell ref="G77:H77"/>
    <mergeCell ref="G78:H78"/>
    <mergeCell ref="G79:H79"/>
    <mergeCell ref="G80:H80"/>
    <mergeCell ref="F81:H81"/>
    <mergeCell ref="F82:H82"/>
    <mergeCell ref="F83:H83"/>
    <mergeCell ref="F84:H84"/>
    <mergeCell ref="F85:H85"/>
    <mergeCell ref="F86:H86"/>
    <mergeCell ref="F87:H87"/>
    <mergeCell ref="E88:H88"/>
    <mergeCell ref="F89:H89"/>
    <mergeCell ref="G90:H90"/>
    <mergeCell ref="G91:H91"/>
    <mergeCell ref="G92:H92"/>
    <mergeCell ref="F93:H93"/>
    <mergeCell ref="G94:H94"/>
    <mergeCell ref="G95:H95"/>
    <mergeCell ref="G96:H96"/>
    <mergeCell ref="G97:H97"/>
    <mergeCell ref="G98:H98"/>
    <mergeCell ref="F99:H99"/>
    <mergeCell ref="F100:H100"/>
    <mergeCell ref="F101:H101"/>
    <mergeCell ref="F102:H102"/>
    <mergeCell ref="F103:H103"/>
    <mergeCell ref="F104:H104"/>
    <mergeCell ref="E105:H105"/>
    <mergeCell ref="D106:H106"/>
    <mergeCell ref="E107:H107"/>
    <mergeCell ref="E108:H108"/>
    <mergeCell ref="E109:H109"/>
    <mergeCell ref="E110:H110"/>
    <mergeCell ref="E111:H111"/>
    <mergeCell ref="F112:H112"/>
    <mergeCell ref="E113:H113"/>
    <mergeCell ref="E114:H114"/>
    <mergeCell ref="E115:H115"/>
    <mergeCell ref="E116:H116"/>
    <mergeCell ref="E117:H117"/>
    <mergeCell ref="D118:H118"/>
    <mergeCell ref="I121:Q121"/>
    <mergeCell ref="B123:H123"/>
    <mergeCell ref="C124:H124"/>
    <mergeCell ref="D125:H125"/>
    <mergeCell ref="E126:H126"/>
    <mergeCell ref="F127:H127"/>
    <mergeCell ref="E128:H128"/>
    <mergeCell ref="F129:H129"/>
    <mergeCell ref="G130:H130"/>
    <mergeCell ref="G131:H131"/>
    <mergeCell ref="G133:H133"/>
    <mergeCell ref="G134:H134"/>
    <mergeCell ref="F135:H135"/>
    <mergeCell ref="F136:H136"/>
    <mergeCell ref="F137:H137"/>
    <mergeCell ref="F138:H138"/>
    <mergeCell ref="E139:H139"/>
    <mergeCell ref="E140:H140"/>
    <mergeCell ref="E141:H141"/>
    <mergeCell ref="E142:H142"/>
    <mergeCell ref="E143:H143"/>
    <mergeCell ref="E144:H144"/>
    <mergeCell ref="E145:H145"/>
    <mergeCell ref="E146:H146"/>
    <mergeCell ref="E147:H147"/>
    <mergeCell ref="E148:H148"/>
    <mergeCell ref="D149:H149"/>
    <mergeCell ref="E150:H150"/>
    <mergeCell ref="E151:H151"/>
    <mergeCell ref="E152:H152"/>
    <mergeCell ref="E153:H153"/>
    <mergeCell ref="E154:H154"/>
    <mergeCell ref="E155:H155"/>
    <mergeCell ref="E156:H156"/>
    <mergeCell ref="E157:H157"/>
    <mergeCell ref="E158:H158"/>
    <mergeCell ref="E159:H159"/>
    <mergeCell ref="E160:H160"/>
    <mergeCell ref="F161:H161"/>
    <mergeCell ref="G162:H162"/>
    <mergeCell ref="G163:H163"/>
    <mergeCell ref="G165:H165"/>
    <mergeCell ref="G166:H166"/>
    <mergeCell ref="F167:H167"/>
    <mergeCell ref="F168:H168"/>
    <mergeCell ref="F169:H169"/>
    <mergeCell ref="F170:H170"/>
    <mergeCell ref="E171:H171"/>
    <mergeCell ref="E172:H172"/>
    <mergeCell ref="E173:H173"/>
    <mergeCell ref="E174:H174"/>
    <mergeCell ref="E175:H175"/>
    <mergeCell ref="E176:H176"/>
    <mergeCell ref="E177:H177"/>
    <mergeCell ref="D178:H178"/>
    <mergeCell ref="C179:H179"/>
    <mergeCell ref="D180:H180"/>
    <mergeCell ref="E181:H181"/>
    <mergeCell ref="F182:H182"/>
    <mergeCell ref="G183:H183"/>
    <mergeCell ref="G184:H184"/>
    <mergeCell ref="G185:H185"/>
    <mergeCell ref="F186:H186"/>
    <mergeCell ref="G187:H187"/>
    <mergeCell ref="G188:H188"/>
    <mergeCell ref="G189:H189"/>
    <mergeCell ref="G190:H190"/>
    <mergeCell ref="G191:H191"/>
    <mergeCell ref="F192:H192"/>
    <mergeCell ref="F193:H193"/>
    <mergeCell ref="F194:H194"/>
    <mergeCell ref="F195:H195"/>
    <mergeCell ref="F196:H196"/>
    <mergeCell ref="F197:H197"/>
    <mergeCell ref="F198:H198"/>
    <mergeCell ref="E199:H199"/>
    <mergeCell ref="F200:H200"/>
    <mergeCell ref="G201:H201"/>
    <mergeCell ref="G202:H202"/>
    <mergeCell ref="G203:H203"/>
    <mergeCell ref="F204:H204"/>
    <mergeCell ref="G205:H205"/>
    <mergeCell ref="G206:H206"/>
    <mergeCell ref="G207:H207"/>
    <mergeCell ref="G208:H208"/>
    <mergeCell ref="G209:H209"/>
    <mergeCell ref="F210:H210"/>
    <mergeCell ref="F211:H211"/>
    <mergeCell ref="F212:H212"/>
    <mergeCell ref="F213:H213"/>
    <mergeCell ref="F214:H214"/>
    <mergeCell ref="F215:H215"/>
    <mergeCell ref="E216:H216"/>
    <mergeCell ref="D217:H217"/>
    <mergeCell ref="E218:H218"/>
    <mergeCell ref="E219:H219"/>
    <mergeCell ref="E220:H220"/>
    <mergeCell ref="E221:H221"/>
    <mergeCell ref="E222:H222"/>
    <mergeCell ref="F223:H223"/>
    <mergeCell ref="E224:H224"/>
    <mergeCell ref="E225:H225"/>
    <mergeCell ref="E226:H226"/>
    <mergeCell ref="E227:H227"/>
    <mergeCell ref="E228:H228"/>
    <mergeCell ref="D229:H229"/>
  </mergeCells>
  <hyperlinks>
    <hyperlink location="'Indice'!A1" ref="B2"/>
  </hyperlinks>
  <pageMargins bottom="0.75" footer="0.3" header="0.3" left="0.7" right="0.7" top="0.75"/>
</worksheet>
</file>

<file path=xl/worksheets/sheet5.xml><?xml version="1.0" encoding="utf-8"?>
<worksheet xmlns="http://schemas.openxmlformats.org/spreadsheetml/2006/main">
  <dimension ref="B2:O87"/>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s>
  <sheetData>
    <row r="2">
      <c r="B2" t="s" s="2">
        <v>1</v>
      </c>
    </row>
    <row r="3">
      <c r="B3" t="s" s="1">
        <v>3</v>
      </c>
      <c r="C3" t="s">
        <v>4</v>
      </c>
    </row>
    <row r="4">
      <c r="B4" s="1" t="s">
        <v>5</v>
      </c>
      <c r="C4" t="s">
        <v>6</v>
      </c>
    </row>
    <row r="5">
      <c r="B5" t="s" s="1">
        <v>7</v>
      </c>
      <c r="C5" t="s">
        <v>152</v>
      </c>
    </row>
    <row r="6">
      <c r="B6" t="s" s="1">
        <v>8</v>
      </c>
      <c r="C6" t="s">
        <v>9</v>
      </c>
    </row>
    <row r="7">
      <c r="B7" t="s" s="1">
        <v>10</v>
      </c>
      <c r="C7" t="s">
        <v>9</v>
      </c>
    </row>
    <row r="9">
      <c r="B9" t="s" s="1">
        <v>11</v>
      </c>
      <c r="C9" t="s">
        <v>12</v>
      </c>
    </row>
    <row r="10">
      <c r="F10" t="s" s="4">
        <v>35</v>
      </c>
      <c r="G10" s="29"/>
      <c r="H10" s="29"/>
      <c r="I10" s="29"/>
      <c r="J10" s="29"/>
      <c r="K10" s="29"/>
      <c r="L10" s="29"/>
      <c r="M10" s="29"/>
      <c r="N10" s="30"/>
    </row>
    <row r="11">
      <c r="F11" t="s" s="34">
        <v>36</v>
      </c>
      <c r="G11" t="s" s="6">
        <v>37</v>
      </c>
      <c r="H11" t="s" s="34">
        <v>38</v>
      </c>
      <c r="I11" t="s" s="6">
        <v>39</v>
      </c>
      <c r="J11" t="s" s="34">
        <v>40</v>
      </c>
      <c r="K11" t="s" s="6">
        <v>41</v>
      </c>
      <c r="L11" t="s" s="34">
        <v>42</v>
      </c>
      <c r="M11" t="s" s="6">
        <v>43</v>
      </c>
      <c r="N11" s="36"/>
    </row>
    <row r="12">
      <c r="B12" s="7" t="s">
        <v>153</v>
      </c>
      <c r="C12" s="8"/>
      <c r="D12" s="8"/>
      <c r="E12" s="9"/>
      <c r="F12" s="23"/>
      <c r="G12" s="23"/>
      <c r="H12" s="23"/>
      <c r="I12" s="23"/>
      <c r="J12" s="23"/>
      <c r="K12" s="23"/>
      <c r="L12" s="23"/>
      <c r="M12" s="23"/>
      <c r="N12" s="23"/>
    </row>
    <row r="13">
      <c r="B13" s="10"/>
      <c r="C13" s="12" t="s">
        <v>154</v>
      </c>
      <c r="D13" s="37"/>
      <c r="E13" s="13"/>
      <c r="F13" s="22"/>
      <c r="G13" s="22"/>
      <c r="H13" s="22"/>
      <c r="I13" s="22"/>
      <c r="J13" s="22"/>
      <c r="K13" s="22"/>
      <c r="L13" s="22"/>
      <c r="M13" s="22"/>
      <c r="N13" s="22"/>
    </row>
    <row r="14">
      <c r="B14" s="10"/>
      <c r="C14" s="14"/>
      <c r="D14" s="11" t="s">
        <v>155</v>
      </c>
      <c r="E14" s="9"/>
      <c r="F14" s="51" t="n"/>
      <c r="G14" s="51" t="n"/>
      <c r="H14" s="51" t="n"/>
      <c r="I14" s="51" t="n"/>
      <c r="J14" s="51" t="n"/>
      <c r="K14" s="51" t="n"/>
      <c r="L14" s="51" t="n"/>
      <c r="M14" s="51" t="n"/>
      <c r="N14" s="51" t="n"/>
    </row>
    <row r="15">
      <c r="B15" s="10"/>
      <c r="C15" s="14"/>
      <c r="D15" s="49" t="s">
        <v>156</v>
      </c>
      <c r="E15" s="48"/>
      <c r="F15" s="50" t="n"/>
      <c r="G15" s="50" t="n"/>
      <c r="H15" s="50" t="n"/>
      <c r="I15" s="50" t="n"/>
      <c r="J15" s="50" t="n"/>
      <c r="K15" s="50" t="n"/>
      <c r="L15" s="50" t="n"/>
      <c r="M15" s="50" t="n"/>
      <c r="N15" s="50" t="n"/>
    </row>
    <row r="16">
      <c r="B16" s="10"/>
      <c r="C16" s="14"/>
      <c r="D16" s="11" t="s">
        <v>157</v>
      </c>
      <c r="E16" s="9"/>
      <c r="F16" s="51" t="n">
        <f>-F15+F14</f>
      </c>
      <c r="G16" s="51" t="n">
        <f>-G15+G14</f>
      </c>
      <c r="H16" s="51" t="n">
        <f>-H15+H14</f>
      </c>
      <c r="I16" s="51" t="n">
        <f>-I15+I14</f>
      </c>
      <c r="J16" s="51" t="n">
        <f>-J15+J14</f>
      </c>
      <c r="K16" s="51" t="n">
        <f>-K15+K14</f>
      </c>
      <c r="L16" s="51" t="n">
        <f>-L15+L14</f>
      </c>
      <c r="M16" s="51" t="n">
        <f>-M15+M14</f>
      </c>
      <c r="N16" s="51" t="n">
        <f>-N15+N14</f>
      </c>
    </row>
    <row r="17">
      <c r="B17" s="10"/>
      <c r="C17" s="14"/>
      <c r="D17" s="15" t="s">
        <v>158</v>
      </c>
      <c r="E17" s="13"/>
      <c r="F17" s="50" t="n"/>
      <c r="G17" s="50" t="n"/>
      <c r="H17" s="50" t="n"/>
      <c r="I17" s="50" t="n"/>
      <c r="J17" s="50" t="n"/>
      <c r="K17" s="50" t="n"/>
      <c r="L17" s="50" t="n"/>
      <c r="M17" s="50" t="n"/>
      <c r="N17" s="50" t="n"/>
    </row>
    <row r="18">
      <c r="B18" s="10"/>
      <c r="C18" s="14"/>
      <c r="D18" s="56" t="s">
        <v>159</v>
      </c>
      <c r="E18" s="55"/>
      <c r="F18" s="51" t="n"/>
      <c r="G18" s="51" t="n"/>
      <c r="H18" s="51" t="n"/>
      <c r="I18" s="51" t="n"/>
      <c r="J18" s="51" t="n"/>
      <c r="K18" s="51" t="n"/>
      <c r="L18" s="51" t="n"/>
      <c r="M18" s="51" t="n"/>
      <c r="N18" s="51" t="n"/>
    </row>
    <row r="19">
      <c r="B19" s="10"/>
      <c r="C19" s="14"/>
      <c r="D19" s="49" t="s">
        <v>160</v>
      </c>
      <c r="E19" s="48"/>
      <c r="F19" s="50" t="n"/>
      <c r="G19" s="50" t="n"/>
      <c r="H19" s="50" t="n"/>
      <c r="I19" s="50" t="n"/>
      <c r="J19" s="50" t="n"/>
      <c r="K19" s="50" t="n"/>
      <c r="L19" s="50" t="n"/>
      <c r="M19" s="50" t="n"/>
      <c r="N19" s="50" t="n"/>
    </row>
    <row r="20">
      <c r="B20" s="10"/>
      <c r="C20" s="14"/>
      <c r="D20" s="11" t="s">
        <v>161</v>
      </c>
      <c r="E20" s="9"/>
      <c r="F20" s="51" t="n"/>
      <c r="G20" s="51" t="n"/>
      <c r="H20" s="51" t="n"/>
      <c r="I20" s="51" t="n"/>
      <c r="J20" s="51" t="n"/>
      <c r="K20" s="51" t="n"/>
      <c r="L20" s="51" t="n"/>
      <c r="M20" s="51" t="n"/>
      <c r="N20" s="51" t="n"/>
    </row>
    <row r="21">
      <c r="B21" s="10"/>
      <c r="C21" s="14"/>
      <c r="D21" s="40" t="s">
        <v>162</v>
      </c>
      <c r="E21" s="39"/>
      <c r="F21" s="50" t="n">
        <f>F16+F17-F18-F19+F20</f>
      </c>
      <c r="G21" s="50" t="n">
        <f>G16+G17-G18-G19+G20</f>
      </c>
      <c r="H21" s="50" t="n">
        <f>H16+H17-H18-H19+H20</f>
      </c>
      <c r="I21" s="50" t="n">
        <f>I16+I17-I18-I19+I20</f>
      </c>
      <c r="J21" s="50" t="n">
        <f>J16+J17-J18-J19+J20</f>
      </c>
      <c r="K21" s="50" t="n">
        <f>K16+K17-K18-K19+K20</f>
      </c>
      <c r="L21" s="50" t="n">
        <f>L16+L17-L18-L19+L20</f>
      </c>
      <c r="M21" s="50" t="n">
        <f>M16+M17-M18-M19+M20</f>
      </c>
      <c r="N21" s="50" t="n">
        <f>N16+N17-N18-N19+N20</f>
      </c>
    </row>
    <row r="22" ht="28.0" customHeight="true">
      <c r="B22" s="10"/>
      <c r="C22" s="14"/>
      <c r="D22" s="11" t="s">
        <v>163</v>
      </c>
      <c r="E22" s="9"/>
      <c r="F22" s="51" t="n"/>
      <c r="G22" s="51" t="n"/>
      <c r="H22" s="51" t="n"/>
      <c r="I22" s="51" t="n"/>
      <c r="J22" s="51" t="n"/>
      <c r="K22" s="51" t="n"/>
      <c r="L22" s="51" t="n"/>
      <c r="M22" s="51" t="n"/>
      <c r="N22" s="51" t="n"/>
    </row>
    <row r="23">
      <c r="B23" s="10"/>
      <c r="C23" s="14"/>
      <c r="D23" s="15" t="s">
        <v>164</v>
      </c>
      <c r="E23" s="13"/>
      <c r="F23" s="50" t="n"/>
      <c r="G23" s="50" t="n"/>
      <c r="H23" s="50" t="n"/>
      <c r="I23" s="50" t="n"/>
      <c r="J23" s="50" t="n"/>
      <c r="K23" s="50" t="n"/>
      <c r="L23" s="50" t="n"/>
      <c r="M23" s="50" t="n"/>
      <c r="N23" s="50" t="n"/>
    </row>
    <row r="24" ht="28.0" customHeight="true">
      <c r="B24" s="10"/>
      <c r="C24" s="14"/>
      <c r="D24" s="11" t="s">
        <v>165</v>
      </c>
      <c r="E24" s="9"/>
      <c r="F24" s="51" t="n"/>
      <c r="G24" s="51" t="n"/>
      <c r="H24" s="51" t="n"/>
      <c r="I24" s="51" t="n"/>
      <c r="J24" s="51" t="n"/>
      <c r="K24" s="51" t="n"/>
      <c r="L24" s="51" t="n"/>
      <c r="M24" s="51" t="n"/>
      <c r="N24" s="51" t="n"/>
    </row>
    <row r="25">
      <c r="B25" s="10"/>
      <c r="C25" s="14"/>
      <c r="D25" s="15" t="s">
        <v>166</v>
      </c>
      <c r="E25" s="13"/>
      <c r="F25" s="50" t="n"/>
      <c r="G25" s="50" t="n"/>
      <c r="H25" s="50" t="n"/>
      <c r="I25" s="50" t="n"/>
      <c r="J25" s="50" t="n"/>
      <c r="K25" s="50" t="n"/>
      <c r="L25" s="50" t="n"/>
      <c r="M25" s="50" t="n"/>
      <c r="N25" s="50" t="n"/>
    </row>
    <row r="26">
      <c r="B26" s="10"/>
      <c r="C26" s="14"/>
      <c r="D26" s="56" t="s">
        <v>167</v>
      </c>
      <c r="E26" s="55"/>
      <c r="F26" s="51" t="n"/>
      <c r="G26" s="51" t="n"/>
      <c r="H26" s="51" t="n"/>
      <c r="I26" s="51" t="n"/>
      <c r="J26" s="51" t="n"/>
      <c r="K26" s="51" t="n"/>
      <c r="L26" s="51" t="n"/>
      <c r="M26" s="51" t="n"/>
      <c r="N26" s="51" t="n"/>
    </row>
    <row r="27" ht="42.0" customHeight="true">
      <c r="B27" s="10"/>
      <c r="C27" s="14"/>
      <c r="D27" s="49" t="s">
        <v>168</v>
      </c>
      <c r="E27" s="48"/>
      <c r="F27" s="50" t="n"/>
      <c r="G27" s="50" t="n"/>
      <c r="H27" s="50" t="n"/>
      <c r="I27" s="50" t="n"/>
      <c r="J27" s="50" t="n"/>
      <c r="K27" s="50" t="n"/>
      <c r="L27" s="50" t="n"/>
      <c r="M27" s="50" t="n"/>
      <c r="N27" s="50" t="n"/>
    </row>
    <row r="28" ht="28.0" customHeight="true">
      <c r="B28" s="10"/>
      <c r="C28" s="14"/>
      <c r="D28" s="11" t="s">
        <v>169</v>
      </c>
      <c r="E28" s="9"/>
      <c r="F28" s="51" t="n"/>
      <c r="G28" s="51" t="n"/>
      <c r="H28" s="51" t="n"/>
      <c r="I28" s="51" t="n"/>
      <c r="J28" s="51" t="n"/>
      <c r="K28" s="51" t="n"/>
      <c r="L28" s="51" t="n"/>
      <c r="M28" s="51" t="n"/>
      <c r="N28" s="51" t="n"/>
    </row>
    <row r="29" ht="28.0" customHeight="true">
      <c r="B29" s="10"/>
      <c r="C29" s="14"/>
      <c r="D29" s="15" t="s">
        <v>170</v>
      </c>
      <c r="E29" s="13"/>
      <c r="F29" s="50" t="n"/>
      <c r="G29" s="50" t="n"/>
      <c r="H29" s="50" t="n"/>
      <c r="I29" s="50" t="n"/>
      <c r="J29" s="50" t="n"/>
      <c r="K29" s="50" t="n"/>
      <c r="L29" s="50" t="n"/>
      <c r="M29" s="50" t="n"/>
      <c r="N29" s="50" t="n"/>
    </row>
    <row r="30" ht="42.0" customHeight="true">
      <c r="B30" s="10"/>
      <c r="C30" s="14"/>
      <c r="D30" s="11" t="s">
        <v>171</v>
      </c>
      <c r="E30" s="9"/>
      <c r="F30" s="51" t="n"/>
      <c r="G30" s="51" t="n"/>
      <c r="H30" s="51" t="n"/>
      <c r="I30" s="51" t="n"/>
      <c r="J30" s="51" t="n"/>
      <c r="K30" s="51" t="n"/>
      <c r="L30" s="51" t="n"/>
      <c r="M30" s="51" t="n"/>
      <c r="N30" s="51" t="n"/>
    </row>
    <row r="31" ht="56.0" customHeight="true">
      <c r="B31" s="10"/>
      <c r="C31" s="14"/>
      <c r="D31" s="15" t="s">
        <v>172</v>
      </c>
      <c r="E31" s="13"/>
      <c r="F31" s="50" t="n"/>
      <c r="G31" s="50" t="n"/>
      <c r="H31" s="50" t="n"/>
      <c r="I31" s="50" t="n"/>
      <c r="J31" s="50" t="n"/>
      <c r="K31" s="50" t="n"/>
      <c r="L31" s="50" t="n"/>
      <c r="M31" s="50" t="n"/>
      <c r="N31" s="50" t="n"/>
    </row>
    <row r="32" ht="28.0" customHeight="true">
      <c r="B32" s="10"/>
      <c r="C32" s="14"/>
      <c r="D32" s="11" t="s">
        <v>173</v>
      </c>
      <c r="E32" s="9"/>
      <c r="F32" s="51" t="n"/>
      <c r="G32" s="51" t="n"/>
      <c r="H32" s="51" t="n"/>
      <c r="I32" s="51" t="n"/>
      <c r="J32" s="51" t="n"/>
      <c r="K32" s="51" t="n"/>
      <c r="L32" s="51" t="n"/>
      <c r="M32" s="51" t="n"/>
      <c r="N32" s="51" t="n"/>
    </row>
    <row r="33">
      <c r="B33" s="10"/>
      <c r="C33" s="14"/>
      <c r="D33" s="40" t="s">
        <v>174</v>
      </c>
      <c r="E33" s="39"/>
      <c r="F33" s="50" t="n">
        <f>SUM(F21:F25)-F26-F27+SUM(F28:F32)</f>
      </c>
      <c r="G33" s="50" t="n">
        <f>SUM(G21:G25)-G26-G27+SUM(G28:G32)</f>
      </c>
      <c r="H33" s="50" t="n">
        <f>SUM(H21:H25)-H26-H27+SUM(H28:H32)</f>
      </c>
      <c r="I33" s="50" t="n">
        <f>SUM(I21:I25)-I26-I27+SUM(I28:I32)</f>
      </c>
      <c r="J33" s="50" t="n">
        <f>SUM(J21:J25)-J26-J27+SUM(J28:J32)</f>
      </c>
      <c r="K33" s="50" t="n">
        <f>SUM(K21:K25)-K26-K27+SUM(K28:K32)</f>
      </c>
      <c r="L33" s="50" t="n">
        <f>SUM(L21:L25)-L26-L27+SUM(L28:L32)</f>
      </c>
      <c r="M33" s="50" t="n">
        <f>SUM(M21:M25)-M26-M27+SUM(M28:M32)</f>
      </c>
      <c r="N33" s="50" t="n">
        <f>SUM(N21:N25)-N26-N27+SUM(N28:N32)</f>
      </c>
    </row>
    <row r="34">
      <c r="B34" s="10"/>
      <c r="C34" s="14"/>
      <c r="D34" s="11" t="s">
        <v>175</v>
      </c>
      <c r="E34" s="9"/>
      <c r="F34" s="51" t="n"/>
      <c r="G34" s="51" t="n"/>
      <c r="H34" s="51" t="n"/>
      <c r="I34" s="51" t="n"/>
      <c r="J34" s="51" t="n"/>
      <c r="K34" s="51" t="n"/>
      <c r="L34" s="51" t="n"/>
      <c r="M34" s="51" t="n"/>
      <c r="N34" s="51" t="n"/>
    </row>
    <row r="35">
      <c r="B35" s="10"/>
      <c r="C35" s="14"/>
      <c r="D35" s="15" t="s">
        <v>176</v>
      </c>
      <c r="E35" s="13"/>
      <c r="F35" s="50" t="n"/>
      <c r="G35" s="50" t="n"/>
      <c r="H35" s="50" t="n"/>
      <c r="I35" s="50" t="n"/>
      <c r="J35" s="50" t="n"/>
      <c r="K35" s="50" t="n"/>
      <c r="L35" s="50" t="n"/>
      <c r="M35" s="50" t="n"/>
      <c r="N35" s="50" t="n"/>
    </row>
    <row r="36">
      <c r="B36" s="10"/>
      <c r="C36" s="14"/>
      <c r="D36" s="45" t="s">
        <v>177</v>
      </c>
      <c r="E36" s="44"/>
      <c r="F36" s="51" t="n">
        <f>F33-F34-F35</f>
      </c>
      <c r="G36" s="51" t="n">
        <f>G33-G34-G35</f>
      </c>
      <c r="H36" s="51" t="n">
        <f>H33-H34-H35</f>
      </c>
      <c r="I36" s="51" t="n">
        <f>I33-I34-I35</f>
      </c>
      <c r="J36" s="51" t="n">
        <f>J33-J34-J35</f>
      </c>
      <c r="K36" s="51" t="n">
        <f>K33-K34-K35</f>
      </c>
      <c r="L36" s="51" t="n">
        <f>L33-L34-L35</f>
      </c>
      <c r="M36" s="51" t="n">
        <f>M33-M34-M35</f>
      </c>
      <c r="N36" s="51" t="n">
        <f>N33-N34-N35</f>
      </c>
    </row>
    <row r="37">
      <c r="B37" s="10"/>
      <c r="C37" s="14"/>
      <c r="D37" s="15" t="s">
        <v>178</v>
      </c>
      <c r="E37" s="13"/>
      <c r="F37" s="50" t="n"/>
      <c r="G37" s="50" t="n"/>
      <c r="H37" s="50" t="n"/>
      <c r="I37" s="50" t="n"/>
      <c r="J37" s="50" t="n"/>
      <c r="K37" s="50" t="n"/>
      <c r="L37" s="50" t="n"/>
      <c r="M37" s="50" t="n"/>
      <c r="N37" s="50" t="n"/>
    </row>
    <row r="38">
      <c r="B38" s="10"/>
      <c r="C38" s="15"/>
      <c r="D38" s="45" t="s">
        <v>179</v>
      </c>
      <c r="E38" s="44"/>
      <c r="F38" s="51" t="n">
        <f>F36+F37</f>
      </c>
      <c r="G38" s="51" t="n">
        <f>G36+G37</f>
      </c>
      <c r="H38" s="51" t="n">
        <f>H36+H37</f>
      </c>
      <c r="I38" s="51" t="n">
        <f>I36+I37</f>
      </c>
      <c r="J38" s="51" t="n">
        <f>J36+J37</f>
      </c>
      <c r="K38" s="51" t="n">
        <f>K36+K37</f>
      </c>
      <c r="L38" s="51" t="n">
        <f>L36+L37</f>
      </c>
      <c r="M38" s="51" t="n">
        <f>M36+M37</f>
      </c>
      <c r="N38" s="51" t="n">
        <f>N36+N37</f>
      </c>
    </row>
    <row r="39">
      <c r="B39" s="10"/>
      <c r="C39" s="12" t="s">
        <v>180</v>
      </c>
      <c r="D39" s="37"/>
      <c r="E39" s="13"/>
      <c r="F39" s="22"/>
      <c r="G39" s="22"/>
      <c r="H39" s="22"/>
      <c r="I39" s="22"/>
      <c r="J39" s="22"/>
      <c r="K39" s="22"/>
      <c r="L39" s="22"/>
      <c r="M39" s="22"/>
      <c r="N39" s="22"/>
    </row>
    <row r="40">
      <c r="B40" s="10"/>
      <c r="C40" s="14"/>
      <c r="D40" s="7" t="s">
        <v>181</v>
      </c>
      <c r="E40" s="9"/>
      <c r="F40" s="23"/>
      <c r="G40" s="23"/>
      <c r="H40" s="23"/>
      <c r="I40" s="23"/>
      <c r="J40" s="23"/>
      <c r="K40" s="23"/>
      <c r="L40" s="23"/>
      <c r="M40" s="23"/>
      <c r="N40" s="23"/>
    </row>
    <row r="41">
      <c r="B41" s="10"/>
      <c r="C41" s="14"/>
      <c r="D41" s="10"/>
      <c r="E41" s="19" t="s">
        <v>182</v>
      </c>
      <c r="F41" s="22"/>
      <c r="G41" s="22"/>
      <c r="H41" s="22"/>
      <c r="I41" s="22"/>
      <c r="J41" s="22"/>
      <c r="K41" s="22"/>
      <c r="L41" s="22"/>
      <c r="M41" s="22"/>
      <c r="N41" s="50" t="n"/>
    </row>
    <row r="42">
      <c r="B42" s="10"/>
      <c r="C42" s="14"/>
      <c r="D42" s="10"/>
      <c r="E42" s="18" t="s">
        <v>183</v>
      </c>
      <c r="F42" s="23"/>
      <c r="G42" s="23"/>
      <c r="H42" s="23"/>
      <c r="I42" s="23"/>
      <c r="J42" s="23"/>
      <c r="K42" s="23"/>
      <c r="L42" s="23"/>
      <c r="M42" s="23"/>
      <c r="N42" s="51" t="n"/>
    </row>
    <row r="43">
      <c r="B43" s="10"/>
      <c r="C43" s="14"/>
      <c r="D43" s="11"/>
      <c r="E43" s="57" t="s">
        <v>184</v>
      </c>
      <c r="F43" s="22"/>
      <c r="G43" s="22"/>
      <c r="H43" s="22"/>
      <c r="I43" s="22"/>
      <c r="J43" s="22"/>
      <c r="K43" s="22"/>
      <c r="L43" s="22"/>
      <c r="M43" s="22"/>
      <c r="N43" s="50" t="n">
        <f>N41+N42</f>
      </c>
    </row>
    <row r="44">
      <c r="B44" s="10"/>
      <c r="C44" s="14"/>
      <c r="D44" s="7" t="s">
        <v>185</v>
      </c>
      <c r="E44" s="9"/>
      <c r="F44" s="23"/>
      <c r="G44" s="23"/>
      <c r="H44" s="23"/>
      <c r="I44" s="23"/>
      <c r="J44" s="23"/>
      <c r="K44" s="23"/>
      <c r="L44" s="23"/>
      <c r="M44" s="23"/>
      <c r="N44" s="23"/>
    </row>
    <row r="45">
      <c r="B45" s="10"/>
      <c r="C45" s="14"/>
      <c r="D45" s="10"/>
      <c r="E45" s="19" t="s">
        <v>186</v>
      </c>
      <c r="F45" s="22"/>
      <c r="G45" s="22"/>
      <c r="H45" s="22"/>
      <c r="I45" s="22"/>
      <c r="J45" s="22"/>
      <c r="K45" s="22"/>
      <c r="L45" s="22"/>
      <c r="M45" s="22"/>
      <c r="N45" s="50" t="n"/>
    </row>
    <row r="46">
      <c r="B46" s="10"/>
      <c r="C46" s="14"/>
      <c r="D46" s="10"/>
      <c r="E46" s="18" t="s">
        <v>187</v>
      </c>
      <c r="F46" s="23"/>
      <c r="G46" s="23"/>
      <c r="H46" s="23"/>
      <c r="I46" s="23"/>
      <c r="J46" s="23"/>
      <c r="K46" s="23"/>
      <c r="L46" s="23"/>
      <c r="M46" s="23"/>
      <c r="N46" s="51" t="n"/>
    </row>
    <row r="47">
      <c r="B47" s="11"/>
      <c r="C47" s="15"/>
      <c r="D47" s="11"/>
      <c r="E47" s="57" t="s">
        <v>188</v>
      </c>
      <c r="F47" s="58"/>
      <c r="G47" s="58"/>
      <c r="H47" s="58"/>
      <c r="I47" s="58"/>
      <c r="J47" s="58"/>
      <c r="K47" s="58"/>
      <c r="L47" s="58"/>
      <c r="M47" s="58"/>
      <c r="N47" s="53" t="n">
        <f>N45+N46</f>
      </c>
    </row>
    <row r="49">
      <c r="B49" t="s" s="1">
        <v>11</v>
      </c>
      <c r="C49" t="s">
        <v>151</v>
      </c>
    </row>
    <row r="50">
      <c r="F50" t="s" s="4">
        <v>35</v>
      </c>
      <c r="G50" s="29"/>
      <c r="H50" s="29"/>
      <c r="I50" s="29"/>
      <c r="J50" s="29"/>
      <c r="K50" s="29"/>
      <c r="L50" s="29"/>
      <c r="M50" s="29"/>
      <c r="N50" s="30"/>
    </row>
    <row r="51">
      <c r="F51" t="s" s="34">
        <v>36</v>
      </c>
      <c r="G51" t="s" s="6">
        <v>37</v>
      </c>
      <c r="H51" t="s" s="34">
        <v>38</v>
      </c>
      <c r="I51" t="s" s="6">
        <v>39</v>
      </c>
      <c r="J51" t="s" s="34">
        <v>40</v>
      </c>
      <c r="K51" t="s" s="6">
        <v>41</v>
      </c>
      <c r="L51" t="s" s="34">
        <v>42</v>
      </c>
      <c r="M51" t="s" s="6">
        <v>43</v>
      </c>
      <c r="N51" s="36"/>
    </row>
    <row r="52">
      <c r="B52" s="7" t="s">
        <v>153</v>
      </c>
      <c r="C52" s="8"/>
      <c r="D52" s="8"/>
      <c r="E52" s="9"/>
      <c r="F52" s="23"/>
      <c r="G52" s="23"/>
      <c r="H52" s="23"/>
      <c r="I52" s="23"/>
      <c r="J52" s="23"/>
      <c r="K52" s="23"/>
      <c r="L52" s="23"/>
      <c r="M52" s="23"/>
      <c r="N52" s="23"/>
    </row>
    <row r="53">
      <c r="B53" s="10"/>
      <c r="C53" s="12" t="s">
        <v>154</v>
      </c>
      <c r="D53" s="37"/>
      <c r="E53" s="13"/>
      <c r="F53" s="22"/>
      <c r="G53" s="22"/>
      <c r="H53" s="22"/>
      <c r="I53" s="22"/>
      <c r="J53" s="22"/>
      <c r="K53" s="22"/>
      <c r="L53" s="22"/>
      <c r="M53" s="22"/>
      <c r="N53" s="22"/>
    </row>
    <row r="54">
      <c r="B54" s="10"/>
      <c r="C54" s="14"/>
      <c r="D54" s="11" t="s">
        <v>155</v>
      </c>
      <c r="E54" s="9"/>
      <c r="F54" s="51" t="n"/>
      <c r="G54" s="51" t="n"/>
      <c r="H54" s="51" t="n"/>
      <c r="I54" s="51" t="n"/>
      <c r="J54" s="51" t="n"/>
      <c r="K54" s="51" t="n"/>
      <c r="L54" s="51" t="n"/>
      <c r="M54" s="51" t="n"/>
      <c r="N54" s="51" t="n"/>
    </row>
    <row r="55">
      <c r="B55" s="10"/>
      <c r="C55" s="14"/>
      <c r="D55" s="49" t="s">
        <v>156</v>
      </c>
      <c r="E55" s="48"/>
      <c r="F55" s="50" t="n"/>
      <c r="G55" s="50" t="n"/>
      <c r="H55" s="50" t="n"/>
      <c r="I55" s="50" t="n"/>
      <c r="J55" s="50" t="n"/>
      <c r="K55" s="50" t="n"/>
      <c r="L55" s="50" t="n"/>
      <c r="M55" s="50" t="n"/>
      <c r="N55" s="50" t="n"/>
    </row>
    <row r="56">
      <c r="B56" s="10"/>
      <c r="C56" s="14"/>
      <c r="D56" s="11" t="s">
        <v>157</v>
      </c>
      <c r="E56" s="9"/>
      <c r="F56" s="51" t="n">
        <f>-F55+F54</f>
      </c>
      <c r="G56" s="51" t="n">
        <f>-G55+G54</f>
      </c>
      <c r="H56" s="51" t="n">
        <f>-H55+H54</f>
      </c>
      <c r="I56" s="51" t="n">
        <f>-I55+I54</f>
      </c>
      <c r="J56" s="51" t="n">
        <f>-J55+J54</f>
      </c>
      <c r="K56" s="51" t="n">
        <f>-K55+K54</f>
      </c>
      <c r="L56" s="51" t="n">
        <f>-L55+L54</f>
      </c>
      <c r="M56" s="51" t="n">
        <f>-M55+M54</f>
      </c>
      <c r="N56" s="51" t="n">
        <f>-N55+N54</f>
      </c>
    </row>
    <row r="57">
      <c r="B57" s="10"/>
      <c r="C57" s="14"/>
      <c r="D57" s="15" t="s">
        <v>158</v>
      </c>
      <c r="E57" s="13"/>
      <c r="F57" s="50" t="n"/>
      <c r="G57" s="50" t="n"/>
      <c r="H57" s="50" t="n"/>
      <c r="I57" s="50" t="n"/>
      <c r="J57" s="50" t="n"/>
      <c r="K57" s="50" t="n"/>
      <c r="L57" s="50" t="n"/>
      <c r="M57" s="50" t="n"/>
      <c r="N57" s="50" t="n"/>
    </row>
    <row r="58">
      <c r="B58" s="10"/>
      <c r="C58" s="14"/>
      <c r="D58" s="56" t="s">
        <v>159</v>
      </c>
      <c r="E58" s="55"/>
      <c r="F58" s="51" t="n"/>
      <c r="G58" s="51" t="n"/>
      <c r="H58" s="51" t="n"/>
      <c r="I58" s="51" t="n"/>
      <c r="J58" s="51" t="n"/>
      <c r="K58" s="51" t="n"/>
      <c r="L58" s="51" t="n"/>
      <c r="M58" s="51" t="n"/>
      <c r="N58" s="51" t="n"/>
    </row>
    <row r="59">
      <c r="B59" s="10"/>
      <c r="C59" s="14"/>
      <c r="D59" s="49" t="s">
        <v>160</v>
      </c>
      <c r="E59" s="48"/>
      <c r="F59" s="50" t="n"/>
      <c r="G59" s="50" t="n"/>
      <c r="H59" s="50" t="n"/>
      <c r="I59" s="50" t="n"/>
      <c r="J59" s="50" t="n"/>
      <c r="K59" s="50" t="n"/>
      <c r="L59" s="50" t="n"/>
      <c r="M59" s="50" t="n"/>
      <c r="N59" s="50" t="n"/>
    </row>
    <row r="60">
      <c r="B60" s="10"/>
      <c r="C60" s="14"/>
      <c r="D60" s="11" t="s">
        <v>161</v>
      </c>
      <c r="E60" s="9"/>
      <c r="F60" s="51" t="n"/>
      <c r="G60" s="51" t="n"/>
      <c r="H60" s="51" t="n"/>
      <c r="I60" s="51" t="n"/>
      <c r="J60" s="51" t="n"/>
      <c r="K60" s="51" t="n"/>
      <c r="L60" s="51" t="n"/>
      <c r="M60" s="51" t="n"/>
      <c r="N60" s="51" t="n"/>
    </row>
    <row r="61">
      <c r="B61" s="10"/>
      <c r="C61" s="14"/>
      <c r="D61" s="40" t="s">
        <v>162</v>
      </c>
      <c r="E61" s="39"/>
      <c r="F61" s="50" t="n">
        <f>F56+F57-F58-F59+F60</f>
      </c>
      <c r="G61" s="50" t="n">
        <f>G56+G57-G58-G59+G60</f>
      </c>
      <c r="H61" s="50" t="n">
        <f>H56+H57-H58-H59+H60</f>
      </c>
      <c r="I61" s="50" t="n">
        <f>I56+I57-I58-I59+I60</f>
      </c>
      <c r="J61" s="50" t="n">
        <f>J56+J57-J58-J59+J60</f>
      </c>
      <c r="K61" s="50" t="n">
        <f>K56+K57-K58-K59+K60</f>
      </c>
      <c r="L61" s="50" t="n">
        <f>L56+L57-L58-L59+L60</f>
      </c>
      <c r="M61" s="50" t="n">
        <f>M56+M57-M58-M59+M60</f>
      </c>
      <c r="N61" s="50" t="n">
        <f>N56+N57-N58-N59+N60</f>
      </c>
    </row>
    <row r="62" ht="28.0" customHeight="true">
      <c r="B62" s="10"/>
      <c r="C62" s="14"/>
      <c r="D62" s="11" t="s">
        <v>163</v>
      </c>
      <c r="E62" s="9"/>
      <c r="F62" s="51" t="n"/>
      <c r="G62" s="51" t="n"/>
      <c r="H62" s="51" t="n"/>
      <c r="I62" s="51" t="n"/>
      <c r="J62" s="51" t="n"/>
      <c r="K62" s="51" t="n"/>
      <c r="L62" s="51" t="n"/>
      <c r="M62" s="51" t="n"/>
      <c r="N62" s="51" t="n"/>
    </row>
    <row r="63">
      <c r="B63" s="10"/>
      <c r="C63" s="14"/>
      <c r="D63" s="15" t="s">
        <v>164</v>
      </c>
      <c r="E63" s="13"/>
      <c r="F63" s="50" t="n"/>
      <c r="G63" s="50" t="n"/>
      <c r="H63" s="50" t="n"/>
      <c r="I63" s="50" t="n"/>
      <c r="J63" s="50" t="n"/>
      <c r="K63" s="50" t="n"/>
      <c r="L63" s="50" t="n"/>
      <c r="M63" s="50" t="n"/>
      <c r="N63" s="50" t="n"/>
    </row>
    <row r="64" ht="28.0" customHeight="true">
      <c r="B64" s="10"/>
      <c r="C64" s="14"/>
      <c r="D64" s="11" t="s">
        <v>165</v>
      </c>
      <c r="E64" s="9"/>
      <c r="F64" s="51" t="n"/>
      <c r="G64" s="51" t="n"/>
      <c r="H64" s="51" t="n"/>
      <c r="I64" s="51" t="n"/>
      <c r="J64" s="51" t="n"/>
      <c r="K64" s="51" t="n"/>
      <c r="L64" s="51" t="n"/>
      <c r="M64" s="51" t="n"/>
      <c r="N64" s="51" t="n"/>
    </row>
    <row r="65">
      <c r="B65" s="10"/>
      <c r="C65" s="14"/>
      <c r="D65" s="15" t="s">
        <v>166</v>
      </c>
      <c r="E65" s="13"/>
      <c r="F65" s="50" t="n"/>
      <c r="G65" s="50" t="n"/>
      <c r="H65" s="50" t="n"/>
      <c r="I65" s="50" t="n"/>
      <c r="J65" s="50" t="n"/>
      <c r="K65" s="50" t="n"/>
      <c r="L65" s="50" t="n"/>
      <c r="M65" s="50" t="n"/>
      <c r="N65" s="50" t="n"/>
    </row>
    <row r="66">
      <c r="B66" s="10"/>
      <c r="C66" s="14"/>
      <c r="D66" s="56" t="s">
        <v>167</v>
      </c>
      <c r="E66" s="55"/>
      <c r="F66" s="51" t="n"/>
      <c r="G66" s="51" t="n"/>
      <c r="H66" s="51" t="n"/>
      <c r="I66" s="51" t="n"/>
      <c r="J66" s="51" t="n"/>
      <c r="K66" s="51" t="n"/>
      <c r="L66" s="51" t="n"/>
      <c r="M66" s="51" t="n"/>
      <c r="N66" s="51" t="n"/>
    </row>
    <row r="67" ht="42.0" customHeight="true">
      <c r="B67" s="10"/>
      <c r="C67" s="14"/>
      <c r="D67" s="49" t="s">
        <v>168</v>
      </c>
      <c r="E67" s="48"/>
      <c r="F67" s="50" t="n"/>
      <c r="G67" s="50" t="n"/>
      <c r="H67" s="50" t="n"/>
      <c r="I67" s="50" t="n"/>
      <c r="J67" s="50" t="n"/>
      <c r="K67" s="50" t="n"/>
      <c r="L67" s="50" t="n"/>
      <c r="M67" s="50" t="n"/>
      <c r="N67" s="50" t="n"/>
    </row>
    <row r="68" ht="28.0" customHeight="true">
      <c r="B68" s="10"/>
      <c r="C68" s="14"/>
      <c r="D68" s="11" t="s">
        <v>169</v>
      </c>
      <c r="E68" s="9"/>
      <c r="F68" s="51" t="n"/>
      <c r="G68" s="51" t="n"/>
      <c r="H68" s="51" t="n"/>
      <c r="I68" s="51" t="n"/>
      <c r="J68" s="51" t="n"/>
      <c r="K68" s="51" t="n"/>
      <c r="L68" s="51" t="n"/>
      <c r="M68" s="51" t="n"/>
      <c r="N68" s="51" t="n"/>
    </row>
    <row r="69" ht="28.0" customHeight="true">
      <c r="B69" s="10"/>
      <c r="C69" s="14"/>
      <c r="D69" s="15" t="s">
        <v>170</v>
      </c>
      <c r="E69" s="13"/>
      <c r="F69" s="50" t="n"/>
      <c r="G69" s="50" t="n"/>
      <c r="H69" s="50" t="n"/>
      <c r="I69" s="50" t="n"/>
      <c r="J69" s="50" t="n"/>
      <c r="K69" s="50" t="n"/>
      <c r="L69" s="50" t="n"/>
      <c r="M69" s="50" t="n"/>
      <c r="N69" s="50" t="n"/>
    </row>
    <row r="70" ht="42.0" customHeight="true">
      <c r="B70" s="10"/>
      <c r="C70" s="14"/>
      <c r="D70" s="11" t="s">
        <v>171</v>
      </c>
      <c r="E70" s="9"/>
      <c r="F70" s="51" t="n"/>
      <c r="G70" s="51" t="n"/>
      <c r="H70" s="51" t="n"/>
      <c r="I70" s="51" t="n"/>
      <c r="J70" s="51" t="n"/>
      <c r="K70" s="51" t="n"/>
      <c r="L70" s="51" t="n"/>
      <c r="M70" s="51" t="n"/>
      <c r="N70" s="51" t="n"/>
    </row>
    <row r="71" ht="56.0" customHeight="true">
      <c r="B71" s="10"/>
      <c r="C71" s="14"/>
      <c r="D71" s="15" t="s">
        <v>172</v>
      </c>
      <c r="E71" s="13"/>
      <c r="F71" s="50" t="n"/>
      <c r="G71" s="50" t="n"/>
      <c r="H71" s="50" t="n"/>
      <c r="I71" s="50" t="n"/>
      <c r="J71" s="50" t="n"/>
      <c r="K71" s="50" t="n"/>
      <c r="L71" s="50" t="n"/>
      <c r="M71" s="50" t="n"/>
      <c r="N71" s="50" t="n"/>
    </row>
    <row r="72" ht="28.0" customHeight="true">
      <c r="B72" s="10"/>
      <c r="C72" s="14"/>
      <c r="D72" s="11" t="s">
        <v>173</v>
      </c>
      <c r="E72" s="9"/>
      <c r="F72" s="51" t="n"/>
      <c r="G72" s="51" t="n"/>
      <c r="H72" s="51" t="n"/>
      <c r="I72" s="51" t="n"/>
      <c r="J72" s="51" t="n"/>
      <c r="K72" s="51" t="n"/>
      <c r="L72" s="51" t="n"/>
      <c r="M72" s="51" t="n"/>
      <c r="N72" s="51" t="n"/>
    </row>
    <row r="73">
      <c r="B73" s="10"/>
      <c r="C73" s="14"/>
      <c r="D73" s="40" t="s">
        <v>174</v>
      </c>
      <c r="E73" s="39"/>
      <c r="F73" s="50" t="n">
        <f>SUM(F61:F65)-F66-F67+SUM(F68:F72)</f>
      </c>
      <c r="G73" s="50" t="n">
        <f>SUM(G61:G65)-G66-G67+SUM(G68:G72)</f>
      </c>
      <c r="H73" s="50" t="n">
        <f>SUM(H61:H65)-H66-H67+SUM(H68:H72)</f>
      </c>
      <c r="I73" s="50" t="n">
        <f>SUM(I61:I65)-I66-I67+SUM(I68:I72)</f>
      </c>
      <c r="J73" s="50" t="n">
        <f>SUM(J61:J65)-J66-J67+SUM(J68:J72)</f>
      </c>
      <c r="K73" s="50" t="n">
        <f>SUM(K61:K65)-K66-K67+SUM(K68:K72)</f>
      </c>
      <c r="L73" s="50" t="n">
        <f>SUM(L61:L65)-L66-L67+SUM(L68:L72)</f>
      </c>
      <c r="M73" s="50" t="n">
        <f>SUM(M61:M65)-M66-M67+SUM(M68:M72)</f>
      </c>
      <c r="N73" s="50" t="n">
        <f>SUM(N61:N65)-N66-N67+SUM(N68:N72)</f>
      </c>
    </row>
    <row r="74">
      <c r="B74" s="10"/>
      <c r="C74" s="14"/>
      <c r="D74" s="11" t="s">
        <v>175</v>
      </c>
      <c r="E74" s="9"/>
      <c r="F74" s="51" t="n"/>
      <c r="G74" s="51" t="n"/>
      <c r="H74" s="51" t="n"/>
      <c r="I74" s="51" t="n"/>
      <c r="J74" s="51" t="n"/>
      <c r="K74" s="51" t="n"/>
      <c r="L74" s="51" t="n"/>
      <c r="M74" s="51" t="n"/>
      <c r="N74" s="51" t="n"/>
    </row>
    <row r="75">
      <c r="B75" s="10"/>
      <c r="C75" s="14"/>
      <c r="D75" s="15" t="s">
        <v>176</v>
      </c>
      <c r="E75" s="13"/>
      <c r="F75" s="50" t="n"/>
      <c r="G75" s="50" t="n"/>
      <c r="H75" s="50" t="n"/>
      <c r="I75" s="50" t="n"/>
      <c r="J75" s="50" t="n"/>
      <c r="K75" s="50" t="n"/>
      <c r="L75" s="50" t="n"/>
      <c r="M75" s="50" t="n"/>
      <c r="N75" s="50" t="n"/>
    </row>
    <row r="76">
      <c r="B76" s="10"/>
      <c r="C76" s="14"/>
      <c r="D76" s="45" t="s">
        <v>177</v>
      </c>
      <c r="E76" s="44"/>
      <c r="F76" s="51" t="n">
        <f>F73-F74-F75</f>
      </c>
      <c r="G76" s="51" t="n">
        <f>G73-G74-G75</f>
      </c>
      <c r="H76" s="51" t="n">
        <f>H73-H74-H75</f>
      </c>
      <c r="I76" s="51" t="n">
        <f>I73-I74-I75</f>
      </c>
      <c r="J76" s="51" t="n">
        <f>J73-J74-J75</f>
      </c>
      <c r="K76" s="51" t="n">
        <f>K73-K74-K75</f>
      </c>
      <c r="L76" s="51" t="n">
        <f>L73-L74-L75</f>
      </c>
      <c r="M76" s="51" t="n">
        <f>M73-M74-M75</f>
      </c>
      <c r="N76" s="51" t="n">
        <f>N73-N74-N75</f>
      </c>
    </row>
    <row r="77">
      <c r="B77" s="10"/>
      <c r="C77" s="14"/>
      <c r="D77" s="15" t="s">
        <v>178</v>
      </c>
      <c r="E77" s="13"/>
      <c r="F77" s="50" t="n"/>
      <c r="G77" s="50" t="n"/>
      <c r="H77" s="50" t="n"/>
      <c r="I77" s="50" t="n"/>
      <c r="J77" s="50" t="n"/>
      <c r="K77" s="50" t="n"/>
      <c r="L77" s="50" t="n"/>
      <c r="M77" s="50" t="n"/>
      <c r="N77" s="50" t="n"/>
    </row>
    <row r="78">
      <c r="B78" s="10"/>
      <c r="C78" s="15"/>
      <c r="D78" s="45" t="s">
        <v>179</v>
      </c>
      <c r="E78" s="44"/>
      <c r="F78" s="51" t="n">
        <f>F76+F77</f>
      </c>
      <c r="G78" s="51" t="n">
        <f>G76+G77</f>
      </c>
      <c r="H78" s="51" t="n">
        <f>H76+H77</f>
      </c>
      <c r="I78" s="51" t="n">
        <f>I76+I77</f>
      </c>
      <c r="J78" s="51" t="n">
        <f>J76+J77</f>
      </c>
      <c r="K78" s="51" t="n">
        <f>K76+K77</f>
      </c>
      <c r="L78" s="51" t="n">
        <f>L76+L77</f>
      </c>
      <c r="M78" s="51" t="n">
        <f>M76+M77</f>
      </c>
      <c r="N78" s="51" t="n">
        <f>N76+N77</f>
      </c>
    </row>
    <row r="79">
      <c r="B79" s="10"/>
      <c r="C79" s="12" t="s">
        <v>180</v>
      </c>
      <c r="D79" s="37"/>
      <c r="E79" s="13"/>
      <c r="F79" s="22"/>
      <c r="G79" s="22"/>
      <c r="H79" s="22"/>
      <c r="I79" s="22"/>
      <c r="J79" s="22"/>
      <c r="K79" s="22"/>
      <c r="L79" s="22"/>
      <c r="M79" s="22"/>
      <c r="N79" s="22"/>
    </row>
    <row r="80">
      <c r="B80" s="10"/>
      <c r="C80" s="14"/>
      <c r="D80" s="7" t="s">
        <v>181</v>
      </c>
      <c r="E80" s="9"/>
      <c r="F80" s="23"/>
      <c r="G80" s="23"/>
      <c r="H80" s="23"/>
      <c r="I80" s="23"/>
      <c r="J80" s="23"/>
      <c r="K80" s="23"/>
      <c r="L80" s="23"/>
      <c r="M80" s="23"/>
      <c r="N80" s="23"/>
    </row>
    <row r="81">
      <c r="B81" s="10"/>
      <c r="C81" s="14"/>
      <c r="D81" s="10"/>
      <c r="E81" s="19" t="s">
        <v>182</v>
      </c>
      <c r="F81" s="22"/>
      <c r="G81" s="22"/>
      <c r="H81" s="22"/>
      <c r="I81" s="22"/>
      <c r="J81" s="22"/>
      <c r="K81" s="22"/>
      <c r="L81" s="22"/>
      <c r="M81" s="22"/>
      <c r="N81" s="50" t="n"/>
    </row>
    <row r="82">
      <c r="B82" s="10"/>
      <c r="C82" s="14"/>
      <c r="D82" s="10"/>
      <c r="E82" s="18" t="s">
        <v>183</v>
      </c>
      <c r="F82" s="23"/>
      <c r="G82" s="23"/>
      <c r="H82" s="23"/>
      <c r="I82" s="23"/>
      <c r="J82" s="23"/>
      <c r="K82" s="23"/>
      <c r="L82" s="23"/>
      <c r="M82" s="23"/>
      <c r="N82" s="51" t="n"/>
    </row>
    <row r="83">
      <c r="B83" s="10"/>
      <c r="C83" s="14"/>
      <c r="D83" s="11"/>
      <c r="E83" s="57" t="s">
        <v>184</v>
      </c>
      <c r="F83" s="22"/>
      <c r="G83" s="22"/>
      <c r="H83" s="22"/>
      <c r="I83" s="22"/>
      <c r="J83" s="22"/>
      <c r="K83" s="22"/>
      <c r="L83" s="22"/>
      <c r="M83" s="22"/>
      <c r="N83" s="50" t="n">
        <f>N81+N82</f>
      </c>
    </row>
    <row r="84">
      <c r="B84" s="10"/>
      <c r="C84" s="14"/>
      <c r="D84" s="7" t="s">
        <v>185</v>
      </c>
      <c r="E84" s="9"/>
      <c r="F84" s="23"/>
      <c r="G84" s="23"/>
      <c r="H84" s="23"/>
      <c r="I84" s="23"/>
      <c r="J84" s="23"/>
      <c r="K84" s="23"/>
      <c r="L84" s="23"/>
      <c r="M84" s="23"/>
      <c r="N84" s="23"/>
    </row>
    <row r="85">
      <c r="B85" s="10"/>
      <c r="C85" s="14"/>
      <c r="D85" s="10"/>
      <c r="E85" s="19" t="s">
        <v>186</v>
      </c>
      <c r="F85" s="22"/>
      <c r="G85" s="22"/>
      <c r="H85" s="22"/>
      <c r="I85" s="22"/>
      <c r="J85" s="22"/>
      <c r="K85" s="22"/>
      <c r="L85" s="22"/>
      <c r="M85" s="22"/>
      <c r="N85" s="50" t="n"/>
    </row>
    <row r="86">
      <c r="B86" s="10"/>
      <c r="C86" s="14"/>
      <c r="D86" s="10"/>
      <c r="E86" s="18" t="s">
        <v>187</v>
      </c>
      <c r="F86" s="23"/>
      <c r="G86" s="23"/>
      <c r="H86" s="23"/>
      <c r="I86" s="23"/>
      <c r="J86" s="23"/>
      <c r="K86" s="23"/>
      <c r="L86" s="23"/>
      <c r="M86" s="23"/>
      <c r="N86" s="51" t="n"/>
    </row>
    <row r="87">
      <c r="B87" s="11"/>
      <c r="C87" s="15"/>
      <c r="D87" s="11"/>
      <c r="E87" s="57" t="s">
        <v>188</v>
      </c>
      <c r="F87" s="58"/>
      <c r="G87" s="58"/>
      <c r="H87" s="58"/>
      <c r="I87" s="58"/>
      <c r="J87" s="58"/>
      <c r="K87" s="58"/>
      <c r="L87" s="58"/>
      <c r="M87" s="58"/>
      <c r="N87" s="53" t="n">
        <f>N85+N86</f>
      </c>
    </row>
  </sheetData>
  <mergeCells>
    <mergeCell ref="F10:N10"/>
    <mergeCell ref="B12:E12"/>
    <mergeCell ref="C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C39:E39"/>
    <mergeCell ref="D40:E40"/>
    <mergeCell ref="D44:E44"/>
    <mergeCell ref="F50:N50"/>
    <mergeCell ref="B52:E52"/>
    <mergeCell ref="C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C79:E79"/>
    <mergeCell ref="D80:E80"/>
    <mergeCell ref="D84:E84"/>
  </mergeCells>
  <hyperlinks>
    <hyperlink location="'Indice'!A1" ref="B2"/>
  </hyperlinks>
  <pageMargins bottom="0.75" footer="0.3" header="0.3" left="0.7" right="0.7" top="0.75"/>
</worksheet>
</file>

<file path=xl/worksheets/sheet6.xml><?xml version="1.0" encoding="utf-8"?>
<worksheet xmlns="http://schemas.openxmlformats.org/spreadsheetml/2006/main">
  <dimension ref="B2:J95"/>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2.70703125" customWidth="true"/>
    <col min="7" max="7" width="50.0" customWidth="true"/>
    <col min="8" max="8" width="15.0" customWidth="true"/>
    <col min="9" max="9" width="15.0" customWidth="true"/>
  </cols>
  <sheetData>
    <row r="2">
      <c r="B2" t="s" s="2">
        <v>1</v>
      </c>
    </row>
    <row r="3">
      <c r="B3" t="s" s="1">
        <v>3</v>
      </c>
      <c r="C3" t="s">
        <v>4</v>
      </c>
    </row>
    <row r="4">
      <c r="B4" s="1" t="s">
        <v>5</v>
      </c>
      <c r="C4" t="s">
        <v>6</v>
      </c>
    </row>
    <row r="5">
      <c r="B5" t="s" s="1">
        <v>7</v>
      </c>
      <c r="C5" t="s">
        <v>189</v>
      </c>
    </row>
    <row r="6">
      <c r="B6" t="s" s="1">
        <v>8</v>
      </c>
      <c r="C6" t="s">
        <v>9</v>
      </c>
    </row>
    <row r="7">
      <c r="B7" t="s" s="1">
        <v>10</v>
      </c>
      <c r="C7" t="s">
        <v>9</v>
      </c>
    </row>
    <row r="8">
      <c r="B8" t="s" s="1">
        <v>11</v>
      </c>
      <c r="C8" t="s">
        <v>9</v>
      </c>
    </row>
    <row r="10">
      <c r="H10" t="s" s="6">
        <v>12</v>
      </c>
      <c r="I10" t="s" s="34">
        <v>151</v>
      </c>
    </row>
    <row r="11">
      <c r="B11" s="7" t="s">
        <v>190</v>
      </c>
      <c r="C11" s="8"/>
      <c r="D11" s="8"/>
      <c r="E11" s="8"/>
      <c r="F11" s="8"/>
      <c r="G11" s="9"/>
      <c r="H11" s="22"/>
      <c r="I11" s="22"/>
    </row>
    <row r="12">
      <c r="B12" s="10"/>
      <c r="C12" s="40" t="s">
        <v>179</v>
      </c>
      <c r="D12" s="41"/>
      <c r="E12" s="41"/>
      <c r="F12" s="41"/>
      <c r="G12" s="39"/>
      <c r="H12" s="51" t="n">
        <f>Hoja3!N36+Hoja3!N37</f>
      </c>
      <c r="I12" s="51" t="n">
        <f>Hoja3!N76+Hoja3!N77</f>
      </c>
    </row>
    <row r="13">
      <c r="B13" s="10"/>
      <c r="C13" s="7" t="s">
        <v>191</v>
      </c>
      <c r="D13" s="8"/>
      <c r="E13" s="8"/>
      <c r="F13" s="8"/>
      <c r="G13" s="9"/>
      <c r="H13" s="22"/>
      <c r="I13" s="22"/>
    </row>
    <row r="14" ht="28.0" customHeight="true">
      <c r="B14" s="10"/>
      <c r="C14" s="10"/>
      <c r="D14" s="12" t="s">
        <v>192</v>
      </c>
      <c r="E14" s="37"/>
      <c r="F14" s="37"/>
      <c r="G14" s="13"/>
      <c r="H14" s="23"/>
      <c r="I14" s="23"/>
    </row>
    <row r="15" ht="28.0" customHeight="true">
      <c r="B15" s="10"/>
      <c r="C15" s="10"/>
      <c r="D15" s="14"/>
      <c r="E15" s="11" t="s">
        <v>193</v>
      </c>
      <c r="F15" s="8"/>
      <c r="G15" s="9"/>
      <c r="H15" s="50" t="n"/>
      <c r="I15" s="50" t="n"/>
    </row>
    <row r="16" ht="42.0" customHeight="true">
      <c r="B16" s="10"/>
      <c r="C16" s="10"/>
      <c r="D16" s="14"/>
      <c r="E16" s="15" t="s">
        <v>194</v>
      </c>
      <c r="F16" s="37"/>
      <c r="G16" s="13"/>
      <c r="H16" s="51" t="n"/>
      <c r="I16" s="51" t="n"/>
    </row>
    <row r="17" ht="28.0" customHeight="true">
      <c r="B17" s="10"/>
      <c r="C17" s="10"/>
      <c r="D17" s="14"/>
      <c r="E17" s="11" t="s">
        <v>195</v>
      </c>
      <c r="F17" s="8"/>
      <c r="G17" s="9"/>
      <c r="H17" s="50" t="n"/>
      <c r="I17" s="50" t="n"/>
    </row>
    <row r="18" ht="28.0" customHeight="true">
      <c r="B18" s="10"/>
      <c r="C18" s="10"/>
      <c r="D18" s="14"/>
      <c r="E18" s="15" t="s">
        <v>196</v>
      </c>
      <c r="F18" s="37"/>
      <c r="G18" s="13"/>
      <c r="H18" s="51" t="n"/>
      <c r="I18" s="51" t="n"/>
    </row>
    <row r="19" ht="28.0" customHeight="true">
      <c r="B19" s="10"/>
      <c r="C19" s="10"/>
      <c r="D19" s="14"/>
      <c r="E19" s="11" t="s">
        <v>197</v>
      </c>
      <c r="F19" s="8"/>
      <c r="G19" s="9"/>
      <c r="H19" s="50" t="n"/>
      <c r="I19" s="50" t="n"/>
    </row>
    <row r="20" ht="28.0" customHeight="true">
      <c r="B20" s="10"/>
      <c r="C20" s="10"/>
      <c r="D20" s="14"/>
      <c r="E20" s="15" t="s">
        <v>198</v>
      </c>
      <c r="F20" s="37"/>
      <c r="G20" s="13"/>
      <c r="H20" s="51" t="n"/>
      <c r="I20" s="51" t="n"/>
    </row>
    <row r="21" ht="42.0" customHeight="true">
      <c r="B21" s="10"/>
      <c r="C21" s="10"/>
      <c r="D21" s="15"/>
      <c r="E21" s="11" t="s">
        <v>199</v>
      </c>
      <c r="F21" s="8"/>
      <c r="G21" s="9"/>
      <c r="H21" s="50" t="n"/>
      <c r="I21" s="50" t="n"/>
    </row>
    <row r="22" ht="42.0" customHeight="true">
      <c r="B22" s="10"/>
      <c r="C22" s="10"/>
      <c r="D22" s="15" t="s">
        <v>200</v>
      </c>
      <c r="E22" s="37"/>
      <c r="F22" s="37"/>
      <c r="G22" s="13"/>
      <c r="H22" s="51" t="n"/>
      <c r="I22" s="51" t="n"/>
    </row>
    <row r="23" ht="28.0" customHeight="true">
      <c r="B23" s="10"/>
      <c r="C23" s="10"/>
      <c r="D23" s="45" t="s">
        <v>201</v>
      </c>
      <c r="E23" s="43"/>
      <c r="F23" s="43"/>
      <c r="G23" s="44"/>
      <c r="H23" s="50" t="n">
        <f>SUM(H15:H22)</f>
      </c>
      <c r="I23" s="50" t="n">
        <f>SUM(I15:I22)</f>
      </c>
    </row>
    <row r="24" ht="28.0" customHeight="true">
      <c r="B24" s="10"/>
      <c r="C24" s="10"/>
      <c r="D24" s="12" t="s">
        <v>202</v>
      </c>
      <c r="E24" s="37"/>
      <c r="F24" s="37"/>
      <c r="G24" s="13"/>
      <c r="H24" s="23"/>
      <c r="I24" s="23"/>
    </row>
    <row r="25">
      <c r="B25" s="10"/>
      <c r="C25" s="10"/>
      <c r="D25" s="14"/>
      <c r="E25" s="7" t="s">
        <v>203</v>
      </c>
      <c r="F25" s="8"/>
      <c r="G25" s="9"/>
      <c r="H25" s="22"/>
      <c r="I25" s="22"/>
    </row>
    <row r="26" ht="28.0" customHeight="true">
      <c r="B26" s="10"/>
      <c r="C26" s="10"/>
      <c r="D26" s="14"/>
      <c r="E26" s="10"/>
      <c r="F26" s="15" t="s">
        <v>204</v>
      </c>
      <c r="G26" s="13"/>
      <c r="H26" s="51" t="n"/>
      <c r="I26" s="51" t="n"/>
    </row>
    <row r="27" ht="28.0" customHeight="true">
      <c r="B27" s="10"/>
      <c r="C27" s="10"/>
      <c r="D27" s="14"/>
      <c r="E27" s="10"/>
      <c r="F27" s="56" t="s">
        <v>205</v>
      </c>
      <c r="G27" s="55"/>
      <c r="H27" s="50" t="n"/>
      <c r="I27" s="50" t="n"/>
    </row>
    <row r="28" ht="28.0" customHeight="true">
      <c r="B28" s="10"/>
      <c r="C28" s="10"/>
      <c r="D28" s="14"/>
      <c r="E28" s="11"/>
      <c r="F28" s="40" t="s">
        <v>206</v>
      </c>
      <c r="G28" s="39"/>
      <c r="H28" s="51" t="n">
        <f>-H27+H26</f>
      </c>
      <c r="I28" s="51" t="n">
        <f>-I27+I26</f>
      </c>
    </row>
    <row r="29">
      <c r="B29" s="10"/>
      <c r="C29" s="10"/>
      <c r="D29" s="14"/>
      <c r="E29" s="7" t="s">
        <v>207</v>
      </c>
      <c r="F29" s="8"/>
      <c r="G29" s="9"/>
      <c r="H29" s="22"/>
      <c r="I29" s="22"/>
    </row>
    <row r="30" ht="28.0" customHeight="true">
      <c r="B30" s="10"/>
      <c r="C30" s="10"/>
      <c r="D30" s="14"/>
      <c r="E30" s="10"/>
      <c r="F30" s="15" t="s">
        <v>208</v>
      </c>
      <c r="G30" s="13"/>
      <c r="H30" s="51" t="n"/>
      <c r="I30" s="51" t="n"/>
    </row>
    <row r="31" ht="28.0" customHeight="true">
      <c r="B31" s="10"/>
      <c r="C31" s="10"/>
      <c r="D31" s="14"/>
      <c r="E31" s="10"/>
      <c r="F31" s="56" t="s">
        <v>209</v>
      </c>
      <c r="G31" s="55"/>
      <c r="H31" s="50" t="n"/>
      <c r="I31" s="50" t="n"/>
    </row>
    <row r="32" ht="28.0" customHeight="true">
      <c r="B32" s="10"/>
      <c r="C32" s="10"/>
      <c r="D32" s="14"/>
      <c r="E32" s="11"/>
      <c r="F32" s="40" t="s">
        <v>210</v>
      </c>
      <c r="G32" s="39"/>
      <c r="H32" s="51" t="n">
        <f>H30-H31</f>
      </c>
      <c r="I32" s="51" t="n">
        <f>I30-I31</f>
      </c>
    </row>
    <row r="33">
      <c r="B33" s="10"/>
      <c r="C33" s="10"/>
      <c r="D33" s="14"/>
      <c r="E33" s="7" t="s">
        <v>211</v>
      </c>
      <c r="F33" s="8"/>
      <c r="G33" s="9"/>
      <c r="H33" s="22"/>
      <c r="I33" s="22"/>
    </row>
    <row r="34" ht="28.0" customHeight="true">
      <c r="B34" s="10"/>
      <c r="C34" s="10"/>
      <c r="D34" s="14"/>
      <c r="E34" s="10"/>
      <c r="F34" s="15" t="s">
        <v>212</v>
      </c>
      <c r="G34" s="13"/>
      <c r="H34" s="51" t="n"/>
      <c r="I34" s="51" t="n"/>
    </row>
    <row r="35" ht="28.0" customHeight="true">
      <c r="B35" s="10"/>
      <c r="C35" s="10"/>
      <c r="D35" s="14"/>
      <c r="E35" s="10"/>
      <c r="F35" s="56" t="s">
        <v>213</v>
      </c>
      <c r="G35" s="55"/>
      <c r="H35" s="50" t="n"/>
      <c r="I35" s="50" t="n"/>
    </row>
    <row r="36" ht="56.0" customHeight="true">
      <c r="B36" s="10"/>
      <c r="C36" s="10"/>
      <c r="D36" s="14"/>
      <c r="E36" s="10"/>
      <c r="F36" s="49" t="s">
        <v>214</v>
      </c>
      <c r="G36" s="48"/>
      <c r="H36" s="51" t="n"/>
      <c r="I36" s="51" t="n"/>
    </row>
    <row r="37" ht="28.0" customHeight="true">
      <c r="B37" s="10"/>
      <c r="C37" s="10"/>
      <c r="D37" s="14"/>
      <c r="E37" s="11"/>
      <c r="F37" s="45" t="s">
        <v>215</v>
      </c>
      <c r="G37" s="44"/>
      <c r="H37" s="50" t="n">
        <f>H34-H35-H36</f>
      </c>
      <c r="I37" s="50" t="n">
        <f>I34-I35-I36</f>
      </c>
    </row>
    <row r="38">
      <c r="B38" s="10"/>
      <c r="C38" s="10"/>
      <c r="D38" s="14"/>
      <c r="E38" s="12" t="s">
        <v>216</v>
      </c>
      <c r="F38" s="37"/>
      <c r="G38" s="13"/>
      <c r="H38" s="23"/>
      <c r="I38" s="23"/>
    </row>
    <row r="39" ht="28.0" customHeight="true">
      <c r="B39" s="10"/>
      <c r="C39" s="10"/>
      <c r="D39" s="14"/>
      <c r="E39" s="14"/>
      <c r="F39" s="11" t="s">
        <v>217</v>
      </c>
      <c r="G39" s="9"/>
      <c r="H39" s="50" t="n"/>
      <c r="I39" s="50" t="n"/>
    </row>
    <row r="40" ht="28.0" customHeight="true">
      <c r="B40" s="10"/>
      <c r="C40" s="10"/>
      <c r="D40" s="14"/>
      <c r="E40" s="14"/>
      <c r="F40" s="49" t="s">
        <v>218</v>
      </c>
      <c r="G40" s="48"/>
      <c r="H40" s="51" t="n"/>
      <c r="I40" s="51" t="n"/>
    </row>
    <row r="41" ht="28.0" customHeight="true">
      <c r="B41" s="10"/>
      <c r="C41" s="10"/>
      <c r="D41" s="14"/>
      <c r="E41" s="15"/>
      <c r="F41" s="45" t="s">
        <v>219</v>
      </c>
      <c r="G41" s="44"/>
      <c r="H41" s="50" t="n">
        <f>-H40+H39</f>
      </c>
      <c r="I41" s="50" t="n">
        <f>-I40+I39</f>
      </c>
    </row>
    <row r="42">
      <c r="B42" s="10"/>
      <c r="C42" s="10"/>
      <c r="D42" s="14"/>
      <c r="E42" s="12" t="s">
        <v>220</v>
      </c>
      <c r="F42" s="37"/>
      <c r="G42" s="13"/>
      <c r="H42" s="23"/>
      <c r="I42" s="23"/>
    </row>
    <row r="43">
      <c r="B43" s="10"/>
      <c r="C43" s="10"/>
      <c r="D43" s="14"/>
      <c r="E43" s="14"/>
      <c r="F43" s="7" t="s">
        <v>221</v>
      </c>
      <c r="G43" s="9"/>
      <c r="H43" s="22"/>
      <c r="I43" s="22"/>
    </row>
    <row r="44">
      <c r="B44" s="10"/>
      <c r="C44" s="10"/>
      <c r="D44" s="14"/>
      <c r="E44" s="14"/>
      <c r="F44" s="10"/>
      <c r="G44" s="19" t="s">
        <v>222</v>
      </c>
      <c r="H44" s="51" t="n"/>
      <c r="I44" s="51" t="n"/>
    </row>
    <row r="45">
      <c r="B45" s="10"/>
      <c r="C45" s="10"/>
      <c r="D45" s="14"/>
      <c r="E45" s="14"/>
      <c r="F45" s="10"/>
      <c r="G45" s="18" t="s">
        <v>223</v>
      </c>
      <c r="H45" s="50" t="n"/>
      <c r="I45" s="50" t="n"/>
    </row>
    <row r="46">
      <c r="B46" s="10"/>
      <c r="C46" s="10"/>
      <c r="D46" s="14"/>
      <c r="E46" s="14"/>
      <c r="F46" s="11"/>
      <c r="G46" s="57" t="s">
        <v>224</v>
      </c>
      <c r="H46" s="51" t="n">
        <f>-H45+H44</f>
      </c>
      <c r="I46" s="51" t="n">
        <f>-I45+I44</f>
      </c>
    </row>
    <row r="47" ht="28.0" customHeight="true">
      <c r="B47" s="10"/>
      <c r="C47" s="10"/>
      <c r="D47" s="14"/>
      <c r="E47" s="14"/>
      <c r="F47" s="7" t="s">
        <v>225</v>
      </c>
      <c r="G47" s="9"/>
      <c r="H47" s="22"/>
      <c r="I47" s="22"/>
    </row>
    <row r="48">
      <c r="B48" s="10"/>
      <c r="C48" s="10"/>
      <c r="D48" s="14"/>
      <c r="E48" s="14"/>
      <c r="F48" s="10"/>
      <c r="G48" s="19" t="s">
        <v>226</v>
      </c>
      <c r="H48" s="51" t="n"/>
      <c r="I48" s="51" t="n"/>
    </row>
    <row r="49">
      <c r="B49" s="10"/>
      <c r="C49" s="10"/>
      <c r="D49" s="14"/>
      <c r="E49" s="14"/>
      <c r="F49" s="10"/>
      <c r="G49" s="18" t="s">
        <v>227</v>
      </c>
      <c r="H49" s="50" t="n"/>
      <c r="I49" s="50" t="n"/>
    </row>
    <row r="50">
      <c r="B50" s="10"/>
      <c r="C50" s="10"/>
      <c r="D50" s="14"/>
      <c r="E50" s="14"/>
      <c r="F50" s="11"/>
      <c r="G50" s="57" t="s">
        <v>228</v>
      </c>
      <c r="H50" s="51" t="n">
        <f>H48-H49</f>
      </c>
      <c r="I50" s="51" t="n">
        <f>I48-I49</f>
      </c>
    </row>
    <row r="51" ht="28.0" customHeight="true">
      <c r="B51" s="10"/>
      <c r="C51" s="10"/>
      <c r="D51" s="14"/>
      <c r="E51" s="14"/>
      <c r="F51" s="7" t="s">
        <v>229</v>
      </c>
      <c r="G51" s="9"/>
      <c r="H51" s="22"/>
      <c r="I51" s="22"/>
    </row>
    <row r="52">
      <c r="B52" s="10"/>
      <c r="C52" s="10"/>
      <c r="D52" s="14"/>
      <c r="E52" s="14"/>
      <c r="F52" s="10"/>
      <c r="G52" s="19" t="s">
        <v>230</v>
      </c>
      <c r="H52" s="51" t="n"/>
      <c r="I52" s="51" t="n"/>
    </row>
    <row r="53">
      <c r="B53" s="10"/>
      <c r="C53" s="10"/>
      <c r="D53" s="14"/>
      <c r="E53" s="14"/>
      <c r="F53" s="10"/>
      <c r="G53" s="18" t="s">
        <v>231</v>
      </c>
      <c r="H53" s="50" t="n"/>
      <c r="I53" s="50" t="n"/>
    </row>
    <row r="54">
      <c r="B54" s="10"/>
      <c r="C54" s="10"/>
      <c r="D54" s="14"/>
      <c r="E54" s="15"/>
      <c r="F54" s="11"/>
      <c r="G54" s="57" t="s">
        <v>232</v>
      </c>
      <c r="H54" s="51" t="n">
        <f>-H53+H52</f>
      </c>
      <c r="I54" s="51" t="n">
        <f>-I53+I52</f>
      </c>
    </row>
    <row r="55" ht="28.0" customHeight="true">
      <c r="B55" s="10"/>
      <c r="C55" s="10"/>
      <c r="D55" s="14"/>
      <c r="E55" s="7" t="s">
        <v>233</v>
      </c>
      <c r="F55" s="8"/>
      <c r="G55" s="9"/>
      <c r="H55" s="22"/>
      <c r="I55" s="22"/>
    </row>
    <row r="56" ht="28.0" customHeight="true">
      <c r="B56" s="10"/>
      <c r="C56" s="10"/>
      <c r="D56" s="14"/>
      <c r="E56" s="10"/>
      <c r="F56" s="15" t="s">
        <v>234</v>
      </c>
      <c r="G56" s="13"/>
      <c r="H56" s="51" t="n"/>
      <c r="I56" s="51" t="n"/>
    </row>
    <row r="57" ht="28.0" customHeight="true">
      <c r="B57" s="10"/>
      <c r="C57" s="10"/>
      <c r="D57" s="14"/>
      <c r="E57" s="10"/>
      <c r="F57" s="56" t="s">
        <v>235</v>
      </c>
      <c r="G57" s="55"/>
      <c r="H57" s="50" t="n"/>
      <c r="I57" s="50" t="n"/>
    </row>
    <row r="58" ht="56.0" customHeight="true">
      <c r="B58" s="10"/>
      <c r="C58" s="10"/>
      <c r="D58" s="14"/>
      <c r="E58" s="10"/>
      <c r="F58" s="49" t="s">
        <v>236</v>
      </c>
      <c r="G58" s="48"/>
      <c r="H58" s="51" t="n"/>
      <c r="I58" s="51" t="n"/>
    </row>
    <row r="59" ht="42.0" customHeight="true">
      <c r="B59" s="10"/>
      <c r="C59" s="10"/>
      <c r="D59" s="14"/>
      <c r="E59" s="11"/>
      <c r="F59" s="45" t="s">
        <v>237</v>
      </c>
      <c r="G59" s="44"/>
      <c r="H59" s="50" t="n">
        <f>H56-H57-H58</f>
      </c>
      <c r="I59" s="50" t="n">
        <f>I56-I57-I58</f>
      </c>
    </row>
    <row r="60" ht="28.0" customHeight="true">
      <c r="B60" s="10"/>
      <c r="C60" s="10"/>
      <c r="D60" s="14"/>
      <c r="E60" s="12" t="s">
        <v>238</v>
      </c>
      <c r="F60" s="37"/>
      <c r="G60" s="13"/>
      <c r="H60" s="23"/>
      <c r="I60" s="23"/>
    </row>
    <row r="61" ht="42.0" customHeight="true">
      <c r="B61" s="10"/>
      <c r="C61" s="10"/>
      <c r="D61" s="14"/>
      <c r="E61" s="14"/>
      <c r="F61" s="11" t="s">
        <v>239</v>
      </c>
      <c r="G61" s="9"/>
      <c r="H61" s="50" t="n"/>
      <c r="I61" s="50" t="n"/>
    </row>
    <row r="62" ht="42.0" customHeight="true">
      <c r="B62" s="10"/>
      <c r="C62" s="10"/>
      <c r="D62" s="14"/>
      <c r="E62" s="14"/>
      <c r="F62" s="49" t="s">
        <v>240</v>
      </c>
      <c r="G62" s="48"/>
      <c r="H62" s="51" t="n"/>
      <c r="I62" s="51" t="n"/>
    </row>
    <row r="63" ht="42.0" customHeight="true">
      <c r="B63" s="10"/>
      <c r="C63" s="10"/>
      <c r="D63" s="14"/>
      <c r="E63" s="15"/>
      <c r="F63" s="45" t="s">
        <v>241</v>
      </c>
      <c r="G63" s="44"/>
      <c r="H63" s="50" t="n">
        <f>H61-H62</f>
      </c>
      <c r="I63" s="50" t="n">
        <f>I61-I62</f>
      </c>
    </row>
    <row r="64" ht="28.0" customHeight="true">
      <c r="B64" s="10"/>
      <c r="C64" s="10"/>
      <c r="D64" s="14"/>
      <c r="E64" s="12" t="s">
        <v>242</v>
      </c>
      <c r="F64" s="37"/>
      <c r="G64" s="13"/>
      <c r="H64" s="23"/>
      <c r="I64" s="23"/>
    </row>
    <row r="65" ht="28.0" customHeight="true">
      <c r="B65" s="10"/>
      <c r="C65" s="10"/>
      <c r="D65" s="14"/>
      <c r="E65" s="14"/>
      <c r="F65" s="11" t="s">
        <v>243</v>
      </c>
      <c r="G65" s="9"/>
      <c r="H65" s="50" t="n"/>
      <c r="I65" s="50" t="n"/>
    </row>
    <row r="66" ht="42.0" customHeight="true">
      <c r="B66" s="10"/>
      <c r="C66" s="10"/>
      <c r="D66" s="14"/>
      <c r="E66" s="14"/>
      <c r="F66" s="49" t="s">
        <v>244</v>
      </c>
      <c r="G66" s="48"/>
      <c r="H66" s="51" t="n"/>
      <c r="I66" s="51" t="n"/>
    </row>
    <row r="67" ht="42.0" customHeight="true">
      <c r="B67" s="10"/>
      <c r="C67" s="10"/>
      <c r="D67" s="15"/>
      <c r="E67" s="15"/>
      <c r="F67" s="45" t="s">
        <v>245</v>
      </c>
      <c r="G67" s="44"/>
      <c r="H67" s="50" t="n">
        <f>H65-H66</f>
      </c>
      <c r="I67" s="50" t="n">
        <f>I65-I66</f>
      </c>
    </row>
    <row r="68" ht="42.0" customHeight="true">
      <c r="B68" s="10"/>
      <c r="C68" s="10"/>
      <c r="D68" s="15" t="s">
        <v>246</v>
      </c>
      <c r="E68" s="37"/>
      <c r="F68" s="37"/>
      <c r="G68" s="13"/>
      <c r="H68" s="51" t="n"/>
      <c r="I68" s="51" t="n"/>
    </row>
    <row r="69" ht="28.0" customHeight="true">
      <c r="B69" s="10"/>
      <c r="C69" s="10"/>
      <c r="D69" s="45" t="s">
        <v>247</v>
      </c>
      <c r="E69" s="43"/>
      <c r="F69" s="43"/>
      <c r="G69" s="44"/>
      <c r="H69" s="50" t="n">
        <f>H28+H32+H37+H41+H46+H50+H54+H59+H63+H67+H68</f>
      </c>
      <c r="I69" s="50" t="n">
        <f>I28+I32+I37+I41+I46+I50+I54+I59+I63+I67+I68</f>
      </c>
    </row>
    <row r="70">
      <c r="B70" s="10"/>
      <c r="C70" s="10"/>
      <c r="D70" s="40" t="s">
        <v>248</v>
      </c>
      <c r="E70" s="41"/>
      <c r="F70" s="41"/>
      <c r="G70" s="39"/>
      <c r="H70" s="51" t="n">
        <f>H23+H69</f>
      </c>
      <c r="I70" s="51" t="n">
        <f>I23+I69</f>
      </c>
    </row>
    <row r="71" ht="28.0" customHeight="true">
      <c r="B71" s="10"/>
      <c r="C71" s="10"/>
      <c r="D71" s="7" t="s">
        <v>249</v>
      </c>
      <c r="E71" s="8"/>
      <c r="F71" s="8"/>
      <c r="G71" s="9"/>
      <c r="H71" s="22"/>
      <c r="I71" s="22"/>
    </row>
    <row r="72" ht="28.0" customHeight="true">
      <c r="B72" s="10"/>
      <c r="C72" s="10"/>
      <c r="D72" s="10"/>
      <c r="E72" s="49" t="s">
        <v>250</v>
      </c>
      <c r="F72" s="47"/>
      <c r="G72" s="48"/>
      <c r="H72" s="51" t="n"/>
      <c r="I72" s="51" t="n"/>
    </row>
    <row r="73" ht="42.0" customHeight="true">
      <c r="B73" s="10"/>
      <c r="C73" s="10"/>
      <c r="D73" s="10"/>
      <c r="E73" s="56" t="s">
        <v>251</v>
      </c>
      <c r="F73" s="59"/>
      <c r="G73" s="55"/>
      <c r="H73" s="50" t="n"/>
      <c r="I73" s="50" t="n"/>
    </row>
    <row r="74" ht="28.0" customHeight="true">
      <c r="B74" s="10"/>
      <c r="C74" s="10"/>
      <c r="D74" s="10"/>
      <c r="E74" s="49" t="s">
        <v>252</v>
      </c>
      <c r="F74" s="47"/>
      <c r="G74" s="48"/>
      <c r="H74" s="51" t="n"/>
      <c r="I74" s="51" t="n"/>
    </row>
    <row r="75" ht="42.0" customHeight="true">
      <c r="B75" s="10"/>
      <c r="C75" s="10"/>
      <c r="D75" s="10"/>
      <c r="E75" s="56" t="s">
        <v>253</v>
      </c>
      <c r="F75" s="59"/>
      <c r="G75" s="55"/>
      <c r="H75" s="50" t="n"/>
      <c r="I75" s="50" t="n"/>
    </row>
    <row r="76" ht="42.0" customHeight="true">
      <c r="B76" s="10"/>
      <c r="C76" s="10"/>
      <c r="D76" s="10"/>
      <c r="E76" s="49" t="s">
        <v>254</v>
      </c>
      <c r="F76" s="47"/>
      <c r="G76" s="48"/>
      <c r="H76" s="51" t="n"/>
      <c r="I76" s="51" t="n"/>
    </row>
    <row r="77" ht="28.0" customHeight="true">
      <c r="B77" s="10"/>
      <c r="C77" s="10"/>
      <c r="D77" s="10"/>
      <c r="E77" s="56" t="s">
        <v>255</v>
      </c>
      <c r="F77" s="59"/>
      <c r="G77" s="55"/>
      <c r="H77" s="50" t="n"/>
      <c r="I77" s="50" t="n"/>
    </row>
    <row r="78" ht="42.0" customHeight="true">
      <c r="B78" s="10"/>
      <c r="C78" s="10"/>
      <c r="D78" s="10"/>
      <c r="E78" s="49" t="s">
        <v>256</v>
      </c>
      <c r="F78" s="47"/>
      <c r="G78" s="48"/>
      <c r="H78" s="51" t="n"/>
      <c r="I78" s="51" t="n"/>
    </row>
    <row r="79" ht="28.0" customHeight="true">
      <c r="B79" s="10"/>
      <c r="C79" s="10"/>
      <c r="D79" s="11"/>
      <c r="E79" s="11" t="s">
        <v>257</v>
      </c>
      <c r="F79" s="8"/>
      <c r="G79" s="9"/>
      <c r="H79" s="50" t="n">
        <f>SUM(H72:H78)</f>
      </c>
      <c r="I79" s="50" t="n">
        <f>SUM(I72:I78)</f>
      </c>
    </row>
    <row r="80" ht="42.0" customHeight="true">
      <c r="B80" s="10"/>
      <c r="C80" s="10"/>
      <c r="D80" s="49" t="s">
        <v>258</v>
      </c>
      <c r="E80" s="47"/>
      <c r="F80" s="47"/>
      <c r="G80" s="48"/>
      <c r="H80" s="51" t="n"/>
      <c r="I80" s="51" t="n"/>
    </row>
    <row r="81" ht="28.0" customHeight="true">
      <c r="B81" s="10"/>
      <c r="C81" s="10"/>
      <c r="D81" s="7" t="s">
        <v>259</v>
      </c>
      <c r="E81" s="8"/>
      <c r="F81" s="8"/>
      <c r="G81" s="9"/>
      <c r="H81" s="22"/>
      <c r="I81" s="22"/>
    </row>
    <row r="82" ht="28.0" customHeight="true">
      <c r="B82" s="10"/>
      <c r="C82" s="10"/>
      <c r="D82" s="10"/>
      <c r="E82" s="49" t="s">
        <v>260</v>
      </c>
      <c r="F82" s="47"/>
      <c r="G82" s="48"/>
      <c r="H82" s="51" t="n"/>
      <c r="I82" s="51" t="n"/>
    </row>
    <row r="83" ht="28.0" customHeight="true">
      <c r="B83" s="10"/>
      <c r="C83" s="10"/>
      <c r="D83" s="10"/>
      <c r="E83" s="56" t="s">
        <v>261</v>
      </c>
      <c r="F83" s="59"/>
      <c r="G83" s="55"/>
      <c r="H83" s="50" t="n"/>
      <c r="I83" s="50" t="n"/>
    </row>
    <row r="84" ht="28.0" customHeight="true">
      <c r="B84" s="10"/>
      <c r="C84" s="10"/>
      <c r="D84" s="10"/>
      <c r="E84" s="49" t="s">
        <v>262</v>
      </c>
      <c r="F84" s="47"/>
      <c r="G84" s="48"/>
      <c r="H84" s="51" t="n"/>
      <c r="I84" s="51" t="n"/>
    </row>
    <row r="85" ht="28.0" customHeight="true">
      <c r="B85" s="10"/>
      <c r="C85" s="10"/>
      <c r="D85" s="10"/>
      <c r="E85" s="56" t="s">
        <v>263</v>
      </c>
      <c r="F85" s="59"/>
      <c r="G85" s="55"/>
      <c r="H85" s="50" t="n"/>
      <c r="I85" s="50" t="n"/>
    </row>
    <row r="86" ht="28.0" customHeight="true">
      <c r="B86" s="10"/>
      <c r="C86" s="10"/>
      <c r="D86" s="10"/>
      <c r="E86" s="49" t="s">
        <v>264</v>
      </c>
      <c r="F86" s="47"/>
      <c r="G86" s="48"/>
      <c r="H86" s="51" t="n"/>
      <c r="I86" s="51" t="n"/>
    </row>
    <row r="87" ht="28.0" customHeight="true">
      <c r="B87" s="10"/>
      <c r="C87" s="10"/>
      <c r="D87" s="10"/>
      <c r="E87" s="56" t="s">
        <v>265</v>
      </c>
      <c r="F87" s="59"/>
      <c r="G87" s="55"/>
      <c r="H87" s="50" t="n"/>
      <c r="I87" s="50" t="n"/>
    </row>
    <row r="88" ht="42.0" customHeight="true">
      <c r="B88" s="10"/>
      <c r="C88" s="10"/>
      <c r="D88" s="10"/>
      <c r="E88" s="49" t="s">
        <v>266</v>
      </c>
      <c r="F88" s="47"/>
      <c r="G88" s="48"/>
      <c r="H88" s="51" t="n"/>
      <c r="I88" s="51" t="n"/>
    </row>
    <row r="89" ht="42.0" customHeight="true">
      <c r="B89" s="10"/>
      <c r="C89" s="10"/>
      <c r="D89" s="10"/>
      <c r="E89" s="56" t="s">
        <v>267</v>
      </c>
      <c r="F89" s="59"/>
      <c r="G89" s="55"/>
      <c r="H89" s="50" t="n"/>
      <c r="I89" s="50" t="n"/>
    </row>
    <row r="90" ht="42.0" customHeight="true">
      <c r="B90" s="10"/>
      <c r="C90" s="10"/>
      <c r="D90" s="10"/>
      <c r="E90" s="49" t="s">
        <v>268</v>
      </c>
      <c r="F90" s="47"/>
      <c r="G90" s="48"/>
      <c r="H90" s="51" t="n"/>
      <c r="I90" s="51" t="n"/>
    </row>
    <row r="91" ht="28.0" customHeight="true">
      <c r="B91" s="10"/>
      <c r="C91" s="10"/>
      <c r="D91" s="10"/>
      <c r="E91" s="56" t="s">
        <v>269</v>
      </c>
      <c r="F91" s="59"/>
      <c r="G91" s="55"/>
      <c r="H91" s="50" t="n"/>
      <c r="I91" s="50" t="n"/>
    </row>
    <row r="92" ht="28.0" customHeight="true">
      <c r="B92" s="10"/>
      <c r="C92" s="10"/>
      <c r="D92" s="11"/>
      <c r="E92" s="15" t="s">
        <v>270</v>
      </c>
      <c r="F92" s="37"/>
      <c r="G92" s="13"/>
      <c r="H92" s="51" t="n">
        <f>SUM(H82:H91)</f>
      </c>
      <c r="I92" s="51" t="n">
        <f>SUM(I82:I91)</f>
      </c>
    </row>
    <row r="93" ht="42.0" customHeight="true">
      <c r="B93" s="10"/>
      <c r="C93" s="10"/>
      <c r="D93" s="56" t="s">
        <v>271</v>
      </c>
      <c r="E93" s="59"/>
      <c r="F93" s="59"/>
      <c r="G93" s="55"/>
      <c r="H93" s="50" t="n"/>
      <c r="I93" s="50" t="n"/>
    </row>
    <row r="94">
      <c r="B94" s="10"/>
      <c r="C94" s="11"/>
      <c r="D94" s="40" t="s">
        <v>272</v>
      </c>
      <c r="E94" s="41"/>
      <c r="F94" s="41"/>
      <c r="G94" s="39"/>
      <c r="H94" s="51" t="n">
        <f>H70-H79-H80-H92-H93</f>
      </c>
      <c r="I94" s="51" t="n">
        <f>I70-I79-I80-I92-I93</f>
      </c>
    </row>
    <row r="95">
      <c r="B95" s="11"/>
      <c r="C95" s="45" t="s">
        <v>273</v>
      </c>
      <c r="D95" s="43"/>
      <c r="E95" s="43"/>
      <c r="F95" s="43"/>
      <c r="G95" s="44"/>
      <c r="H95" s="53" t="n">
        <f>H12+H94</f>
      </c>
      <c r="I95" s="53" t="n">
        <f>I12+I94</f>
      </c>
    </row>
  </sheetData>
  <mergeCells>
    <mergeCell ref="B11:G11"/>
    <mergeCell ref="C12:G12"/>
    <mergeCell ref="C13:G13"/>
    <mergeCell ref="D14:G14"/>
    <mergeCell ref="E15:G15"/>
    <mergeCell ref="E16:G16"/>
    <mergeCell ref="E17:G17"/>
    <mergeCell ref="E18:G18"/>
    <mergeCell ref="E19:G19"/>
    <mergeCell ref="E20:G20"/>
    <mergeCell ref="E21:G21"/>
    <mergeCell ref="D22:G22"/>
    <mergeCell ref="D23:G23"/>
    <mergeCell ref="D24:G24"/>
    <mergeCell ref="E25:G25"/>
    <mergeCell ref="F26:G26"/>
    <mergeCell ref="F27:G27"/>
    <mergeCell ref="F28:G28"/>
    <mergeCell ref="E29:G29"/>
    <mergeCell ref="F30:G30"/>
    <mergeCell ref="F31:G31"/>
    <mergeCell ref="F32:G32"/>
    <mergeCell ref="E33:G33"/>
    <mergeCell ref="F34:G34"/>
    <mergeCell ref="F35:G35"/>
    <mergeCell ref="F36:G36"/>
    <mergeCell ref="F37:G37"/>
    <mergeCell ref="E38:G38"/>
    <mergeCell ref="F39:G39"/>
    <mergeCell ref="F40:G40"/>
    <mergeCell ref="F41:G41"/>
    <mergeCell ref="E42:G42"/>
    <mergeCell ref="F43:G43"/>
    <mergeCell ref="F47:G47"/>
    <mergeCell ref="F51:G51"/>
    <mergeCell ref="E55:G55"/>
    <mergeCell ref="F56:G56"/>
    <mergeCell ref="F57:G57"/>
    <mergeCell ref="F58:G58"/>
    <mergeCell ref="F59:G59"/>
    <mergeCell ref="E60:G60"/>
    <mergeCell ref="F61:G61"/>
    <mergeCell ref="F62:G62"/>
    <mergeCell ref="F63:G63"/>
    <mergeCell ref="E64:G64"/>
    <mergeCell ref="F65:G65"/>
    <mergeCell ref="F66:G66"/>
    <mergeCell ref="F67:G67"/>
    <mergeCell ref="D68:G68"/>
    <mergeCell ref="D69:G69"/>
    <mergeCell ref="D70:G70"/>
    <mergeCell ref="D71:G71"/>
    <mergeCell ref="E72:G72"/>
    <mergeCell ref="E73:G73"/>
    <mergeCell ref="E74:G74"/>
    <mergeCell ref="E75:G75"/>
    <mergeCell ref="E76:G76"/>
    <mergeCell ref="E77:G77"/>
    <mergeCell ref="E78:G78"/>
    <mergeCell ref="E79:G79"/>
    <mergeCell ref="D80:G80"/>
    <mergeCell ref="D81:G81"/>
    <mergeCell ref="E82:G82"/>
    <mergeCell ref="E83:G83"/>
    <mergeCell ref="E84:G84"/>
    <mergeCell ref="E85:G85"/>
    <mergeCell ref="E86:G86"/>
    <mergeCell ref="E87:G87"/>
    <mergeCell ref="E88:G88"/>
    <mergeCell ref="E89:G89"/>
    <mergeCell ref="E90:G90"/>
    <mergeCell ref="E91:G91"/>
    <mergeCell ref="E92:G92"/>
    <mergeCell ref="D93:G93"/>
    <mergeCell ref="D94:G94"/>
    <mergeCell ref="C95:G95"/>
  </mergeCells>
  <hyperlinks>
    <hyperlink location="'Indice'!A1" ref="B2"/>
  </hyperlinks>
  <pageMargins bottom="0.75" footer="0.3" header="0.3" left="0.7" right="0.7" top="0.75"/>
</worksheet>
</file>

<file path=xl/worksheets/sheet7.xml><?xml version="1.0" encoding="utf-8"?>
<worksheet xmlns="http://schemas.openxmlformats.org/spreadsheetml/2006/main">
  <dimension ref="B2:O155"/>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s>
  <sheetData>
    <row r="2">
      <c r="B2" t="s" s="2">
        <v>1</v>
      </c>
    </row>
    <row r="3">
      <c r="B3" t="s" s="1">
        <v>3</v>
      </c>
      <c r="C3" t="s">
        <v>4</v>
      </c>
    </row>
    <row r="4">
      <c r="B4" s="1" t="s">
        <v>5</v>
      </c>
      <c r="C4" t="s">
        <v>6</v>
      </c>
    </row>
    <row r="5">
      <c r="B5" t="s" s="1">
        <v>7</v>
      </c>
      <c r="C5" t="s">
        <v>274</v>
      </c>
    </row>
    <row r="6">
      <c r="B6" t="s" s="1">
        <v>8</v>
      </c>
      <c r="C6" t="s">
        <v>9</v>
      </c>
    </row>
    <row r="7">
      <c r="B7" t="s" s="1">
        <v>10</v>
      </c>
      <c r="C7" t="s">
        <v>9</v>
      </c>
    </row>
    <row r="9">
      <c r="B9" t="s" s="1">
        <v>11</v>
      </c>
      <c r="C9" t="s">
        <v>12</v>
      </c>
    </row>
    <row r="10">
      <c r="F10" t="s" s="4">
        <v>35</v>
      </c>
      <c r="G10" s="29"/>
      <c r="H10" s="29"/>
      <c r="I10" s="29"/>
      <c r="J10" s="29"/>
      <c r="K10" s="29"/>
      <c r="L10" s="29"/>
      <c r="M10" s="29"/>
      <c r="N10" s="30"/>
    </row>
    <row r="11">
      <c r="F11" t="s" s="34">
        <v>36</v>
      </c>
      <c r="G11" t="s" s="6">
        <v>37</v>
      </c>
      <c r="H11" t="s" s="34">
        <v>38</v>
      </c>
      <c r="I11" t="s" s="6">
        <v>39</v>
      </c>
      <c r="J11" t="s" s="34">
        <v>40</v>
      </c>
      <c r="K11" t="s" s="6">
        <v>41</v>
      </c>
      <c r="L11" t="s" s="34">
        <v>42</v>
      </c>
      <c r="M11" t="s" s="6">
        <v>43</v>
      </c>
      <c r="N11" s="36"/>
    </row>
    <row r="12">
      <c r="B12" s="7" t="s">
        <v>275</v>
      </c>
      <c r="C12" s="8"/>
      <c r="D12" s="8"/>
      <c r="E12" s="9"/>
      <c r="F12" s="23"/>
      <c r="G12" s="23"/>
      <c r="H12" s="23"/>
      <c r="I12" s="23"/>
      <c r="J12" s="23"/>
      <c r="K12" s="23"/>
      <c r="L12" s="23"/>
      <c r="M12" s="23"/>
      <c r="N12" s="23"/>
    </row>
    <row r="13" ht="28.0" customHeight="true">
      <c r="B13" s="10"/>
      <c r="C13" s="12" t="s">
        <v>276</v>
      </c>
      <c r="D13" s="37"/>
      <c r="E13" s="13"/>
      <c r="F13" s="22"/>
      <c r="G13" s="22"/>
      <c r="H13" s="22"/>
      <c r="I13" s="22"/>
      <c r="J13" s="22"/>
      <c r="K13" s="22"/>
      <c r="L13" s="22"/>
      <c r="M13" s="22"/>
      <c r="N13" s="22"/>
    </row>
    <row r="14">
      <c r="B14" s="10"/>
      <c r="C14" s="14"/>
      <c r="D14" s="7" t="s">
        <v>277</v>
      </c>
      <c r="E14" s="9"/>
      <c r="F14" s="23"/>
      <c r="G14" s="23"/>
      <c r="H14" s="23"/>
      <c r="I14" s="23"/>
      <c r="J14" s="23"/>
      <c r="K14" s="23"/>
      <c r="L14" s="23"/>
      <c r="M14" s="23"/>
      <c r="N14" s="23"/>
    </row>
    <row r="15">
      <c r="B15" s="10"/>
      <c r="C15" s="14"/>
      <c r="D15" s="10"/>
      <c r="E15" s="19" t="s">
        <v>278</v>
      </c>
      <c r="F15" s="50" t="n"/>
      <c r="G15" s="50" t="n"/>
      <c r="H15" s="50" t="n"/>
      <c r="I15" s="50" t="n"/>
      <c r="J15" s="50" t="n"/>
      <c r="K15" s="50" t="n"/>
      <c r="L15" s="50" t="n"/>
      <c r="M15" s="50" t="n"/>
      <c r="N15" s="50" t="n"/>
    </row>
    <row r="16">
      <c r="B16" s="10"/>
      <c r="C16" s="14"/>
      <c r="D16" s="10"/>
      <c r="E16" s="18" t="s">
        <v>279</v>
      </c>
      <c r="F16" s="51" t="n"/>
      <c r="G16" s="51" t="n"/>
      <c r="H16" s="51" t="n"/>
      <c r="I16" s="51" t="n"/>
      <c r="J16" s="51" t="n"/>
      <c r="K16" s="51" t="n"/>
      <c r="L16" s="51" t="n"/>
      <c r="M16" s="51" t="n"/>
      <c r="N16" s="51" t="n"/>
    </row>
    <row r="17">
      <c r="B17" s="10"/>
      <c r="C17" s="14"/>
      <c r="D17" s="10"/>
      <c r="E17" s="19" t="s">
        <v>280</v>
      </c>
      <c r="F17" s="50" t="n"/>
      <c r="G17" s="50" t="n"/>
      <c r="H17" s="50" t="n"/>
      <c r="I17" s="50" t="n"/>
      <c r="J17" s="50" t="n"/>
      <c r="K17" s="50" t="n"/>
      <c r="L17" s="50" t="n"/>
      <c r="M17" s="50" t="n"/>
      <c r="N17" s="50" t="n"/>
    </row>
    <row r="18">
      <c r="B18" s="10"/>
      <c r="C18" s="14"/>
      <c r="D18" s="10"/>
      <c r="E18" s="18" t="s">
        <v>281</v>
      </c>
      <c r="F18" s="51" t="n"/>
      <c r="G18" s="51" t="n"/>
      <c r="H18" s="51" t="n"/>
      <c r="I18" s="51" t="n"/>
      <c r="J18" s="51" t="n"/>
      <c r="K18" s="51" t="n"/>
      <c r="L18" s="51" t="n"/>
      <c r="M18" s="51" t="n"/>
      <c r="N18" s="51" t="n"/>
    </row>
    <row r="19">
      <c r="B19" s="10"/>
      <c r="C19" s="14"/>
      <c r="D19" s="10"/>
      <c r="E19" s="19" t="s">
        <v>282</v>
      </c>
      <c r="F19" s="50" t="n"/>
      <c r="G19" s="50" t="n"/>
      <c r="H19" s="50" t="n"/>
      <c r="I19" s="50" t="n"/>
      <c r="J19" s="50" t="n"/>
      <c r="K19" s="50" t="n"/>
      <c r="L19" s="50" t="n"/>
      <c r="M19" s="50" t="n"/>
      <c r="N19" s="50" t="n"/>
    </row>
    <row r="20">
      <c r="B20" s="10"/>
      <c r="C20" s="14"/>
      <c r="D20" s="11"/>
      <c r="E20" s="18" t="s">
        <v>283</v>
      </c>
      <c r="F20" s="51" t="n"/>
      <c r="G20" s="51" t="n"/>
      <c r="H20" s="51" t="n"/>
      <c r="I20" s="51" t="n"/>
      <c r="J20" s="51" t="n"/>
      <c r="K20" s="51" t="n"/>
      <c r="L20" s="51" t="n"/>
      <c r="M20" s="51" t="n"/>
      <c r="N20" s="51" t="n"/>
    </row>
    <row r="21" ht="28.0" customHeight="true">
      <c r="B21" s="10"/>
      <c r="C21" s="14"/>
      <c r="D21" s="12" t="s">
        <v>284</v>
      </c>
      <c r="E21" s="13"/>
      <c r="F21" s="22"/>
      <c r="G21" s="22"/>
      <c r="H21" s="22"/>
      <c r="I21" s="22"/>
      <c r="J21" s="22"/>
      <c r="K21" s="22"/>
      <c r="L21" s="22"/>
      <c r="M21" s="22"/>
      <c r="N21" s="22"/>
    </row>
    <row r="22">
      <c r="B22" s="10"/>
      <c r="C22" s="14"/>
      <c r="D22" s="14"/>
      <c r="E22" s="18" t="s">
        <v>285</v>
      </c>
      <c r="F22" s="51" t="n"/>
      <c r="G22" s="51" t="n"/>
      <c r="H22" s="51" t="n"/>
      <c r="I22" s="51" t="n"/>
      <c r="J22" s="51" t="n"/>
      <c r="K22" s="51" t="n"/>
      <c r="L22" s="51" t="n"/>
      <c r="M22" s="51" t="n"/>
      <c r="N22" s="51" t="n"/>
    </row>
    <row r="23">
      <c r="B23" s="10"/>
      <c r="C23" s="14"/>
      <c r="D23" s="14"/>
      <c r="E23" s="19" t="s">
        <v>286</v>
      </c>
      <c r="F23" s="50" t="n"/>
      <c r="G23" s="50" t="n"/>
      <c r="H23" s="50" t="n"/>
      <c r="I23" s="50" t="n"/>
      <c r="J23" s="50" t="n"/>
      <c r="K23" s="50" t="n"/>
      <c r="L23" s="50" t="n"/>
      <c r="M23" s="50" t="n"/>
      <c r="N23" s="50" t="n"/>
    </row>
    <row r="24">
      <c r="B24" s="10"/>
      <c r="C24" s="14"/>
      <c r="D24" s="14"/>
      <c r="E24" s="18" t="s">
        <v>287</v>
      </c>
      <c r="F24" s="51" t="n"/>
      <c r="G24" s="51" t="n"/>
      <c r="H24" s="51" t="n"/>
      <c r="I24" s="51" t="n"/>
      <c r="J24" s="51" t="n"/>
      <c r="K24" s="51" t="n"/>
      <c r="L24" s="51" t="n"/>
      <c r="M24" s="51" t="n"/>
      <c r="N24" s="51" t="n"/>
    </row>
    <row r="25">
      <c r="B25" s="10"/>
      <c r="C25" s="14"/>
      <c r="D25" s="14"/>
      <c r="E25" s="19" t="s">
        <v>288</v>
      </c>
      <c r="F25" s="50" t="n"/>
      <c r="G25" s="50" t="n"/>
      <c r="H25" s="50" t="n"/>
      <c r="I25" s="50" t="n"/>
      <c r="J25" s="50" t="n"/>
      <c r="K25" s="50" t="n"/>
      <c r="L25" s="50" t="n"/>
      <c r="M25" s="50" t="n"/>
      <c r="N25" s="50" t="n"/>
    </row>
    <row r="26">
      <c r="B26" s="10"/>
      <c r="C26" s="14"/>
      <c r="D26" s="14"/>
      <c r="E26" s="18" t="s">
        <v>289</v>
      </c>
      <c r="F26" s="51" t="n"/>
      <c r="G26" s="51" t="n"/>
      <c r="H26" s="51" t="n"/>
      <c r="I26" s="51" t="n"/>
      <c r="J26" s="51" t="n"/>
      <c r="K26" s="51" t="n"/>
      <c r="L26" s="51" t="n"/>
      <c r="M26" s="51" t="n"/>
      <c r="N26" s="51" t="n"/>
    </row>
    <row r="27">
      <c r="B27" s="10"/>
      <c r="C27" s="14"/>
      <c r="D27" s="15"/>
      <c r="E27" s="19" t="s">
        <v>290</v>
      </c>
      <c r="F27" s="50" t="n"/>
      <c r="G27" s="50" t="n"/>
      <c r="H27" s="50" t="n"/>
      <c r="I27" s="50" t="n"/>
      <c r="J27" s="50" t="n"/>
      <c r="K27" s="50" t="n"/>
      <c r="L27" s="50" t="n"/>
      <c r="M27" s="50" t="n"/>
      <c r="N27" s="50" t="n"/>
    </row>
    <row r="28">
      <c r="B28" s="10"/>
      <c r="C28" s="14"/>
      <c r="D28" s="11" t="s">
        <v>291</v>
      </c>
      <c r="E28" s="9"/>
      <c r="F28" s="51" t="n">
        <f>SUM(F15:F20)-SUM(F22:F27)</f>
      </c>
      <c r="G28" s="51" t="n">
        <f>SUM(G15:G20)-SUM(G22:G27)</f>
      </c>
      <c r="H28" s="51" t="n">
        <f>SUM(H15:H20)-SUM(H22:H27)</f>
      </c>
      <c r="I28" s="51" t="n">
        <f>SUM(I15:I20)-SUM(I22:I27)</f>
      </c>
      <c r="J28" s="51" t="n">
        <f>SUM(J15:J20)-SUM(J22:J27)</f>
      </c>
      <c r="K28" s="51" t="n">
        <f>SUM(K15:K20)-SUM(K22:K27)</f>
      </c>
      <c r="L28" s="51" t="n">
        <f>SUM(L15:L20)-SUM(L22:L27)</f>
      </c>
      <c r="M28" s="51" t="n">
        <f>SUM(M15:M20)-SUM(M22:M27)</f>
      </c>
      <c r="N28" s="51" t="n">
        <f>SUM(N15:N20)-SUM(N22:N27)</f>
      </c>
    </row>
    <row r="29">
      <c r="B29" s="10"/>
      <c r="C29" s="14"/>
      <c r="D29" s="15" t="s">
        <v>292</v>
      </c>
      <c r="E29" s="13"/>
      <c r="F29" s="50" t="n"/>
      <c r="G29" s="50" t="n"/>
      <c r="H29" s="50" t="n"/>
      <c r="I29" s="50" t="n"/>
      <c r="J29" s="50" t="n"/>
      <c r="K29" s="50" t="n"/>
      <c r="L29" s="50" t="n"/>
      <c r="M29" s="50" t="n"/>
      <c r="N29" s="50" t="n"/>
    </row>
    <row r="30">
      <c r="B30" s="10"/>
      <c r="C30" s="14"/>
      <c r="D30" s="11" t="s">
        <v>293</v>
      </c>
      <c r="E30" s="9"/>
      <c r="F30" s="51" t="n"/>
      <c r="G30" s="51" t="n"/>
      <c r="H30" s="51" t="n"/>
      <c r="I30" s="51" t="n"/>
      <c r="J30" s="51" t="n"/>
      <c r="K30" s="51" t="n"/>
      <c r="L30" s="51" t="n"/>
      <c r="M30" s="51" t="n"/>
      <c r="N30" s="51" t="n"/>
    </row>
    <row r="31">
      <c r="B31" s="10"/>
      <c r="C31" s="14"/>
      <c r="D31" s="15" t="s">
        <v>294</v>
      </c>
      <c r="E31" s="13"/>
      <c r="F31" s="50" t="n"/>
      <c r="G31" s="50" t="n"/>
      <c r="H31" s="50" t="n"/>
      <c r="I31" s="50" t="n"/>
      <c r="J31" s="50" t="n"/>
      <c r="K31" s="50" t="n"/>
      <c r="L31" s="50" t="n"/>
      <c r="M31" s="50" t="n"/>
      <c r="N31" s="50" t="n"/>
    </row>
    <row r="32">
      <c r="B32" s="10"/>
      <c r="C32" s="14"/>
      <c r="D32" s="11" t="s">
        <v>295</v>
      </c>
      <c r="E32" s="9"/>
      <c r="F32" s="51" t="n"/>
      <c r="G32" s="51" t="n"/>
      <c r="H32" s="51" t="n"/>
      <c r="I32" s="51" t="n"/>
      <c r="J32" s="51" t="n"/>
      <c r="K32" s="51" t="n"/>
      <c r="L32" s="51" t="n"/>
      <c r="M32" s="51" t="n"/>
      <c r="N32" s="51" t="n"/>
    </row>
    <row r="33">
      <c r="B33" s="10"/>
      <c r="C33" s="14"/>
      <c r="D33" s="15" t="s">
        <v>296</v>
      </c>
      <c r="E33" s="13"/>
      <c r="F33" s="50" t="n"/>
      <c r="G33" s="50" t="n"/>
      <c r="H33" s="50" t="n"/>
      <c r="I33" s="50" t="n"/>
      <c r="J33" s="50" t="n"/>
      <c r="K33" s="50" t="n"/>
      <c r="L33" s="50" t="n"/>
      <c r="M33" s="50" t="n"/>
      <c r="N33" s="50" t="n"/>
    </row>
    <row r="34">
      <c r="B34" s="10"/>
      <c r="C34" s="14"/>
      <c r="D34" s="11" t="s">
        <v>297</v>
      </c>
      <c r="E34" s="9"/>
      <c r="F34" s="51" t="n"/>
      <c r="G34" s="51" t="n"/>
      <c r="H34" s="51" t="n"/>
      <c r="I34" s="51" t="n"/>
      <c r="J34" s="51" t="n"/>
      <c r="K34" s="51" t="n"/>
      <c r="L34" s="51" t="n"/>
      <c r="M34" s="51" t="n"/>
      <c r="N34" s="51" t="n"/>
    </row>
    <row r="35" ht="28.0" customHeight="true">
      <c r="B35" s="10"/>
      <c r="C35" s="15"/>
      <c r="D35" s="15" t="s">
        <v>298</v>
      </c>
      <c r="E35" s="13"/>
      <c r="F35" s="50" t="n">
        <f>F34+F30-F29+F32-F31-F33+F28</f>
      </c>
      <c r="G35" s="50" t="n">
        <f>G34+G30-G29+G32-G31-G33+G28</f>
      </c>
      <c r="H35" s="50" t="n">
        <f>H34+H30-H29+H32-H31-H33+H28</f>
      </c>
      <c r="I35" s="50" t="n">
        <f>I34+I30-I29+I32-I31-I33+I28</f>
      </c>
      <c r="J35" s="50" t="n">
        <f>J34+J30-J29+J32-J31-J33+J28</f>
      </c>
      <c r="K35" s="50" t="n">
        <f>K34+K30-K29+K32-K31-K33+K28</f>
      </c>
      <c r="L35" s="50" t="n">
        <f>L34+L30-L29+L32-L31-L33+L28</f>
      </c>
      <c r="M35" s="50" t="n">
        <f>M34+M30-M29+M32-M31-M33+M28</f>
      </c>
      <c r="N35" s="50" t="n">
        <f>N34+N30-N29+N32-N31-N33+N28</f>
      </c>
    </row>
    <row r="36" ht="28.0" customHeight="true">
      <c r="B36" s="10"/>
      <c r="C36" s="7" t="s">
        <v>299</v>
      </c>
      <c r="D36" s="8"/>
      <c r="E36" s="9"/>
      <c r="F36" s="23"/>
      <c r="G36" s="23"/>
      <c r="H36" s="23"/>
      <c r="I36" s="23"/>
      <c r="J36" s="23"/>
      <c r="K36" s="23"/>
      <c r="L36" s="23"/>
      <c r="M36" s="23"/>
      <c r="N36" s="23"/>
    </row>
    <row r="37" ht="28.0" customHeight="true">
      <c r="B37" s="10"/>
      <c r="C37" s="10"/>
      <c r="D37" s="15" t="s">
        <v>300</v>
      </c>
      <c r="E37" s="13"/>
      <c r="F37" s="50" t="n"/>
      <c r="G37" s="50" t="n"/>
      <c r="H37" s="50" t="n"/>
      <c r="I37" s="50" t="n"/>
      <c r="J37" s="50" t="n"/>
      <c r="K37" s="50" t="n"/>
      <c r="L37" s="50" t="n"/>
      <c r="M37" s="50" t="n"/>
      <c r="N37" s="50" t="n"/>
    </row>
    <row r="38" ht="28.0" customHeight="true">
      <c r="B38" s="10"/>
      <c r="C38" s="10"/>
      <c r="D38" s="11" t="s">
        <v>301</v>
      </c>
      <c r="E38" s="9"/>
      <c r="F38" s="51" t="n"/>
      <c r="G38" s="51" t="n"/>
      <c r="H38" s="51" t="n"/>
      <c r="I38" s="51" t="n"/>
      <c r="J38" s="51" t="n"/>
      <c r="K38" s="51" t="n"/>
      <c r="L38" s="51" t="n"/>
      <c r="M38" s="51" t="n"/>
      <c r="N38" s="51" t="n"/>
    </row>
    <row r="39" ht="28.0" customHeight="true">
      <c r="B39" s="10"/>
      <c r="C39" s="10"/>
      <c r="D39" s="15" t="s">
        <v>302</v>
      </c>
      <c r="E39" s="13"/>
      <c r="F39" s="50" t="n"/>
      <c r="G39" s="50" t="n"/>
      <c r="H39" s="50" t="n"/>
      <c r="I39" s="50" t="n"/>
      <c r="J39" s="50" t="n"/>
      <c r="K39" s="50" t="n"/>
      <c r="L39" s="50" t="n"/>
      <c r="M39" s="50" t="n"/>
      <c r="N39" s="50" t="n"/>
    </row>
    <row r="40" ht="28.0" customHeight="true">
      <c r="B40" s="10"/>
      <c r="C40" s="10"/>
      <c r="D40" s="11" t="s">
        <v>303</v>
      </c>
      <c r="E40" s="9"/>
      <c r="F40" s="51" t="n"/>
      <c r="G40" s="51" t="n"/>
      <c r="H40" s="51" t="n"/>
      <c r="I40" s="51" t="n"/>
      <c r="J40" s="51" t="n"/>
      <c r="K40" s="51" t="n"/>
      <c r="L40" s="51" t="n"/>
      <c r="M40" s="51" t="n"/>
      <c r="N40" s="51" t="n"/>
    </row>
    <row r="41">
      <c r="B41" s="10"/>
      <c r="C41" s="10"/>
      <c r="D41" s="15" t="s">
        <v>304</v>
      </c>
      <c r="E41" s="13"/>
      <c r="F41" s="50" t="n"/>
      <c r="G41" s="50" t="n"/>
      <c r="H41" s="50" t="n"/>
      <c r="I41" s="50" t="n"/>
      <c r="J41" s="50" t="n"/>
      <c r="K41" s="50" t="n"/>
      <c r="L41" s="50" t="n"/>
      <c r="M41" s="50" t="n"/>
      <c r="N41" s="50" t="n"/>
    </row>
    <row r="42">
      <c r="B42" s="10"/>
      <c r="C42" s="10"/>
      <c r="D42" s="11" t="s">
        <v>305</v>
      </c>
      <c r="E42" s="9"/>
      <c r="F42" s="51" t="n"/>
      <c r="G42" s="51" t="n"/>
      <c r="H42" s="51" t="n"/>
      <c r="I42" s="51" t="n"/>
      <c r="J42" s="51" t="n"/>
      <c r="K42" s="51" t="n"/>
      <c r="L42" s="51" t="n"/>
      <c r="M42" s="51" t="n"/>
      <c r="N42" s="51" t="n"/>
    </row>
    <row r="43">
      <c r="B43" s="10"/>
      <c r="C43" s="10"/>
      <c r="D43" s="15" t="s">
        <v>306</v>
      </c>
      <c r="E43" s="13"/>
      <c r="F43" s="50" t="n"/>
      <c r="G43" s="50" t="n"/>
      <c r="H43" s="50" t="n"/>
      <c r="I43" s="50" t="n"/>
      <c r="J43" s="50" t="n"/>
      <c r="K43" s="50" t="n"/>
      <c r="L43" s="50" t="n"/>
      <c r="M43" s="50" t="n"/>
      <c r="N43" s="50" t="n"/>
    </row>
    <row r="44">
      <c r="B44" s="10"/>
      <c r="C44" s="10"/>
      <c r="D44" s="11" t="s">
        <v>307</v>
      </c>
      <c r="E44" s="9"/>
      <c r="F44" s="51" t="n"/>
      <c r="G44" s="51" t="n"/>
      <c r="H44" s="51" t="n"/>
      <c r="I44" s="51" t="n"/>
      <c r="J44" s="51" t="n"/>
      <c r="K44" s="51" t="n"/>
      <c r="L44" s="51" t="n"/>
      <c r="M44" s="51" t="n"/>
      <c r="N44" s="51" t="n"/>
    </row>
    <row r="45">
      <c r="B45" s="10"/>
      <c r="C45" s="10"/>
      <c r="D45" s="15" t="s">
        <v>308</v>
      </c>
      <c r="E45" s="13"/>
      <c r="F45" s="50" t="n"/>
      <c r="G45" s="50" t="n"/>
      <c r="H45" s="50" t="n"/>
      <c r="I45" s="50" t="n"/>
      <c r="J45" s="50" t="n"/>
      <c r="K45" s="50" t="n"/>
      <c r="L45" s="50" t="n"/>
      <c r="M45" s="50" t="n"/>
      <c r="N45" s="50" t="n"/>
    </row>
    <row r="46">
      <c r="B46" s="10"/>
      <c r="C46" s="10"/>
      <c r="D46" s="11" t="s">
        <v>309</v>
      </c>
      <c r="E46" s="9"/>
      <c r="F46" s="51" t="n"/>
      <c r="G46" s="51" t="n"/>
      <c r="H46" s="51" t="n"/>
      <c r="I46" s="51" t="n"/>
      <c r="J46" s="51" t="n"/>
      <c r="K46" s="51" t="n"/>
      <c r="L46" s="51" t="n"/>
      <c r="M46" s="51" t="n"/>
      <c r="N46" s="51" t="n"/>
    </row>
    <row r="47">
      <c r="B47" s="10"/>
      <c r="C47" s="10"/>
      <c r="D47" s="15" t="s">
        <v>310</v>
      </c>
      <c r="E47" s="13"/>
      <c r="F47" s="50" t="n"/>
      <c r="G47" s="50" t="n"/>
      <c r="H47" s="50" t="n"/>
      <c r="I47" s="50" t="n"/>
      <c r="J47" s="50" t="n"/>
      <c r="K47" s="50" t="n"/>
      <c r="L47" s="50" t="n"/>
      <c r="M47" s="50" t="n"/>
      <c r="N47" s="50" t="n"/>
    </row>
    <row r="48">
      <c r="B48" s="10"/>
      <c r="C48" s="10"/>
      <c r="D48" s="11" t="s">
        <v>311</v>
      </c>
      <c r="E48" s="9"/>
      <c r="F48" s="51" t="n"/>
      <c r="G48" s="51" t="n"/>
      <c r="H48" s="51" t="n"/>
      <c r="I48" s="51" t="n"/>
      <c r="J48" s="51" t="n"/>
      <c r="K48" s="51" t="n"/>
      <c r="L48" s="51" t="n"/>
      <c r="M48" s="51" t="n"/>
      <c r="N48" s="51" t="n"/>
    </row>
    <row r="49">
      <c r="B49" s="10"/>
      <c r="C49" s="10"/>
      <c r="D49" s="15" t="s">
        <v>312</v>
      </c>
      <c r="E49" s="13"/>
      <c r="F49" s="50" t="n"/>
      <c r="G49" s="50" t="n"/>
      <c r="H49" s="50" t="n"/>
      <c r="I49" s="50" t="n"/>
      <c r="J49" s="50" t="n"/>
      <c r="K49" s="50" t="n"/>
      <c r="L49" s="50" t="n"/>
      <c r="M49" s="50" t="n"/>
      <c r="N49" s="50" t="n"/>
    </row>
    <row r="50">
      <c r="B50" s="10"/>
      <c r="C50" s="10"/>
      <c r="D50" s="11" t="s">
        <v>313</v>
      </c>
      <c r="E50" s="9"/>
      <c r="F50" s="51" t="n"/>
      <c r="G50" s="51" t="n"/>
      <c r="H50" s="51" t="n"/>
      <c r="I50" s="51" t="n"/>
      <c r="J50" s="51" t="n"/>
      <c r="K50" s="51" t="n"/>
      <c r="L50" s="51" t="n"/>
      <c r="M50" s="51" t="n"/>
      <c r="N50" s="51" t="n"/>
    </row>
    <row r="51" ht="28.0" customHeight="true">
      <c r="B51" s="10"/>
      <c r="C51" s="10"/>
      <c r="D51" s="15" t="s">
        <v>314</v>
      </c>
      <c r="E51" s="13"/>
      <c r="F51" s="50" t="n"/>
      <c r="G51" s="50" t="n"/>
      <c r="H51" s="50" t="n"/>
      <c r="I51" s="50" t="n"/>
      <c r="J51" s="50" t="n"/>
      <c r="K51" s="50" t="n"/>
      <c r="L51" s="50" t="n"/>
      <c r="M51" s="50" t="n"/>
      <c r="N51" s="50" t="n"/>
    </row>
    <row r="52" ht="28.0" customHeight="true">
      <c r="B52" s="10"/>
      <c r="C52" s="10"/>
      <c r="D52" s="11" t="s">
        <v>315</v>
      </c>
      <c r="E52" s="9"/>
      <c r="F52" s="51" t="n"/>
      <c r="G52" s="51" t="n"/>
      <c r="H52" s="51" t="n"/>
      <c r="I52" s="51" t="n"/>
      <c r="J52" s="51" t="n"/>
      <c r="K52" s="51" t="n"/>
      <c r="L52" s="51" t="n"/>
      <c r="M52" s="51" t="n"/>
      <c r="N52" s="51" t="n"/>
    </row>
    <row r="53" ht="28.0" customHeight="true">
      <c r="B53" s="10"/>
      <c r="C53" s="10"/>
      <c r="D53" s="15" t="s">
        <v>316</v>
      </c>
      <c r="E53" s="13"/>
      <c r="F53" s="50" t="n"/>
      <c r="G53" s="50" t="n"/>
      <c r="H53" s="50" t="n"/>
      <c r="I53" s="50" t="n"/>
      <c r="J53" s="50" t="n"/>
      <c r="K53" s="50" t="n"/>
      <c r="L53" s="50" t="n"/>
      <c r="M53" s="50" t="n"/>
      <c r="N53" s="50" t="n"/>
    </row>
    <row r="54">
      <c r="B54" s="10"/>
      <c r="C54" s="10"/>
      <c r="D54" s="11" t="s">
        <v>293</v>
      </c>
      <c r="E54" s="9"/>
      <c r="F54" s="51" t="n"/>
      <c r="G54" s="51" t="n"/>
      <c r="H54" s="51" t="n"/>
      <c r="I54" s="51" t="n"/>
      <c r="J54" s="51" t="n"/>
      <c r="K54" s="51" t="n"/>
      <c r="L54" s="51" t="n"/>
      <c r="M54" s="51" t="n"/>
      <c r="N54" s="51" t="n"/>
    </row>
    <row r="55">
      <c r="B55" s="10"/>
      <c r="C55" s="10"/>
      <c r="D55" s="15" t="s">
        <v>294</v>
      </c>
      <c r="E55" s="13"/>
      <c r="F55" s="50" t="n"/>
      <c r="G55" s="50" t="n"/>
      <c r="H55" s="50" t="n"/>
      <c r="I55" s="50" t="n"/>
      <c r="J55" s="50" t="n"/>
      <c r="K55" s="50" t="n"/>
      <c r="L55" s="50" t="n"/>
      <c r="M55" s="50" t="n"/>
      <c r="N55" s="50" t="n"/>
    </row>
    <row r="56">
      <c r="B56" s="10"/>
      <c r="C56" s="10"/>
      <c r="D56" s="11" t="s">
        <v>295</v>
      </c>
      <c r="E56" s="9"/>
      <c r="F56" s="51" t="n"/>
      <c r="G56" s="51" t="n"/>
      <c r="H56" s="51" t="n"/>
      <c r="I56" s="51" t="n"/>
      <c r="J56" s="51" t="n"/>
      <c r="K56" s="51" t="n"/>
      <c r="L56" s="51" t="n"/>
      <c r="M56" s="51" t="n"/>
      <c r="N56" s="51" t="n"/>
    </row>
    <row r="57">
      <c r="B57" s="10"/>
      <c r="C57" s="10"/>
      <c r="D57" s="15" t="s">
        <v>296</v>
      </c>
      <c r="E57" s="13"/>
      <c r="F57" s="50" t="n"/>
      <c r="G57" s="50" t="n"/>
      <c r="H57" s="50" t="n"/>
      <c r="I57" s="50" t="n"/>
      <c r="J57" s="50" t="n"/>
      <c r="K57" s="50" t="n"/>
      <c r="L57" s="50" t="n"/>
      <c r="M57" s="50" t="n"/>
      <c r="N57" s="50" t="n"/>
    </row>
    <row r="58">
      <c r="B58" s="10"/>
      <c r="C58" s="10"/>
      <c r="D58" s="11" t="s">
        <v>297</v>
      </c>
      <c r="E58" s="9"/>
      <c r="F58" s="51" t="n"/>
      <c r="G58" s="51" t="n"/>
      <c r="H58" s="51" t="n"/>
      <c r="I58" s="51" t="n"/>
      <c r="J58" s="51" t="n"/>
      <c r="K58" s="51" t="n"/>
      <c r="L58" s="51" t="n"/>
      <c r="M58" s="51" t="n"/>
      <c r="N58" s="51" t="n"/>
    </row>
    <row r="59" ht="28.0" customHeight="true">
      <c r="B59" s="10"/>
      <c r="C59" s="11"/>
      <c r="D59" s="15" t="s">
        <v>317</v>
      </c>
      <c r="E59" s="13"/>
      <c r="F59" s="50" t="n">
        <f>F37-F38+F39-F40+F41-F42+F43-F44+F45-F46+F47-F48+F49-F50+F51-F52+F53+F54-F55+F56-F57+F58</f>
      </c>
      <c r="G59" s="50" t="n">
        <f>G37-G38+G39-G40+G41-G42+G43-G44+G45-G46+G47-G48+G49-G50+G51-G52+G53+G54-G55+G56-G57+G58</f>
      </c>
      <c r="H59" s="50" t="n">
        <f>H37-H38+H39-H40+H41-H42+H43-H44+H45-H46+H47-H48+H49-H50+H51-H52+H53+H54-H55+H56-H57+H58</f>
      </c>
      <c r="I59" s="50" t="n">
        <f>I37-I38+I39-I40+I41-I42+I43-I44+I45-I46+I47-I48+I49-I50+I51-I52+I53+I54-I55+I56-I57+I58</f>
      </c>
      <c r="J59" s="50" t="n">
        <f>J37-J38+J39-J40+J41-J42+J43-J44+J45-J46+J47-J48+J49-J50+J51-J52+J53+J54-J55+J56-J57+J58</f>
      </c>
      <c r="K59" s="50" t="n">
        <f>K37-K38+K39-K40+K41-K42+K43-K44+K45-K46+K47-K48+K49-K50+K51-K52+K53+K54-K55+K56-K57+K58</f>
      </c>
      <c r="L59" s="50" t="n">
        <f>L37-L38+L39-L40+L41-L42+L43-L44+L45-L46+L47-L48+L49-L50+L51-L52+L53+L54-L55+L56-L57+L58</f>
      </c>
      <c r="M59" s="50" t="n">
        <f>M37-M38+M39-M40+M41-M42+M43-M44+M45-M46+M47-M48+M49-M50+M51-M52+M53+M54-M55+M56-M57+M58</f>
      </c>
      <c r="N59" s="50" t="n">
        <f>N37-N38+N39-N40+N41-N42+N43-N44+N45-N46+N47-N48+N49-N50+N51-N52+N53+N54-N55+N56-N57+N58</f>
      </c>
    </row>
    <row r="60" ht="28.0" customHeight="true">
      <c r="B60" s="10"/>
      <c r="C60" s="7" t="s">
        <v>318</v>
      </c>
      <c r="D60" s="8"/>
      <c r="E60" s="9"/>
      <c r="F60" s="23"/>
      <c r="G60" s="23"/>
      <c r="H60" s="23"/>
      <c r="I60" s="23"/>
      <c r="J60" s="23"/>
      <c r="K60" s="23"/>
      <c r="L60" s="23"/>
      <c r="M60" s="23"/>
      <c r="N60" s="23"/>
    </row>
    <row r="61" ht="28.0" customHeight="true">
      <c r="B61" s="10"/>
      <c r="C61" s="10"/>
      <c r="D61" s="15" t="s">
        <v>319</v>
      </c>
      <c r="E61" s="13"/>
      <c r="F61" s="50" t="n"/>
      <c r="G61" s="50" t="n"/>
      <c r="H61" s="50" t="n"/>
      <c r="I61" s="50" t="n"/>
      <c r="J61" s="50" t="n"/>
      <c r="K61" s="50" t="n"/>
      <c r="L61" s="50" t="n"/>
      <c r="M61" s="50" t="n"/>
      <c r="N61" s="50" t="n"/>
    </row>
    <row r="62" ht="28.0" customHeight="true">
      <c r="B62" s="10"/>
      <c r="C62" s="10"/>
      <c r="D62" s="56" t="s">
        <v>320</v>
      </c>
      <c r="E62" s="55"/>
      <c r="F62" s="51" t="n"/>
      <c r="G62" s="51" t="n"/>
      <c r="H62" s="51" t="n"/>
      <c r="I62" s="51" t="n"/>
      <c r="J62" s="51" t="n"/>
      <c r="K62" s="51" t="n"/>
      <c r="L62" s="51" t="n"/>
      <c r="M62" s="51" t="n"/>
      <c r="N62" s="51" t="n"/>
    </row>
    <row r="63">
      <c r="B63" s="10"/>
      <c r="C63" s="10"/>
      <c r="D63" s="15" t="s">
        <v>321</v>
      </c>
      <c r="E63" s="13"/>
      <c r="F63" s="50" t="n"/>
      <c r="G63" s="50" t="n"/>
      <c r="H63" s="50" t="n"/>
      <c r="I63" s="50" t="n"/>
      <c r="J63" s="50" t="n"/>
      <c r="K63" s="50" t="n"/>
      <c r="L63" s="50" t="n"/>
      <c r="M63" s="50" t="n"/>
      <c r="N63" s="50" t="n"/>
    </row>
    <row r="64">
      <c r="B64" s="10"/>
      <c r="C64" s="10"/>
      <c r="D64" s="11" t="s">
        <v>322</v>
      </c>
      <c r="E64" s="9"/>
      <c r="F64" s="51" t="n"/>
      <c r="G64" s="51" t="n"/>
      <c r="H64" s="51" t="n"/>
      <c r="I64" s="51" t="n"/>
      <c r="J64" s="51" t="n"/>
      <c r="K64" s="51" t="n"/>
      <c r="L64" s="51" t="n"/>
      <c r="M64" s="51" t="n"/>
      <c r="N64" s="51" t="n"/>
    </row>
    <row r="65">
      <c r="B65" s="10"/>
      <c r="C65" s="10"/>
      <c r="D65" s="49" t="s">
        <v>323</v>
      </c>
      <c r="E65" s="48"/>
      <c r="F65" s="50" t="n"/>
      <c r="G65" s="50" t="n"/>
      <c r="H65" s="50" t="n"/>
      <c r="I65" s="50" t="n"/>
      <c r="J65" s="50" t="n"/>
      <c r="K65" s="50" t="n"/>
      <c r="L65" s="50" t="n"/>
      <c r="M65" s="50" t="n"/>
      <c r="N65" s="50" t="n"/>
    </row>
    <row r="66">
      <c r="B66" s="10"/>
      <c r="C66" s="10"/>
      <c r="D66" s="56" t="s">
        <v>324</v>
      </c>
      <c r="E66" s="55"/>
      <c r="F66" s="51" t="n"/>
      <c r="G66" s="51" t="n"/>
      <c r="H66" s="51" t="n"/>
      <c r="I66" s="51" t="n"/>
      <c r="J66" s="51" t="n"/>
      <c r="K66" s="51" t="n"/>
      <c r="L66" s="51" t="n"/>
      <c r="M66" s="51" t="n"/>
      <c r="N66" s="51" t="n"/>
    </row>
    <row r="67">
      <c r="B67" s="10"/>
      <c r="C67" s="10"/>
      <c r="D67" s="15" t="s">
        <v>325</v>
      </c>
      <c r="E67" s="13"/>
      <c r="F67" s="50" t="n"/>
      <c r="G67" s="50" t="n"/>
      <c r="H67" s="50" t="n"/>
      <c r="I67" s="50" t="n"/>
      <c r="J67" s="50" t="n"/>
      <c r="K67" s="50" t="n"/>
      <c r="L67" s="50" t="n"/>
      <c r="M67" s="50" t="n"/>
      <c r="N67" s="50" t="n"/>
    </row>
    <row r="68">
      <c r="B68" s="10"/>
      <c r="C68" s="10"/>
      <c r="D68" s="11" t="s">
        <v>326</v>
      </c>
      <c r="E68" s="9"/>
      <c r="F68" s="51" t="n"/>
      <c r="G68" s="51" t="n"/>
      <c r="H68" s="51" t="n"/>
      <c r="I68" s="51" t="n"/>
      <c r="J68" s="51" t="n"/>
      <c r="K68" s="51" t="n"/>
      <c r="L68" s="51" t="n"/>
      <c r="M68" s="51" t="n"/>
      <c r="N68" s="51" t="n"/>
    </row>
    <row r="69">
      <c r="B69" s="10"/>
      <c r="C69" s="10"/>
      <c r="D69" s="15" t="s">
        <v>327</v>
      </c>
      <c r="E69" s="13"/>
      <c r="F69" s="50" t="n"/>
      <c r="G69" s="50" t="n"/>
      <c r="H69" s="50" t="n"/>
      <c r="I69" s="50" t="n"/>
      <c r="J69" s="50" t="n"/>
      <c r="K69" s="50" t="n"/>
      <c r="L69" s="50" t="n"/>
      <c r="M69" s="50" t="n"/>
      <c r="N69" s="50" t="n"/>
    </row>
    <row r="70">
      <c r="B70" s="10"/>
      <c r="C70" s="10"/>
      <c r="D70" s="11" t="s">
        <v>312</v>
      </c>
      <c r="E70" s="9"/>
      <c r="F70" s="51" t="n"/>
      <c r="G70" s="51" t="n"/>
      <c r="H70" s="51" t="n"/>
      <c r="I70" s="51" t="n"/>
      <c r="J70" s="51" t="n"/>
      <c r="K70" s="51" t="n"/>
      <c r="L70" s="51" t="n"/>
      <c r="M70" s="51" t="n"/>
      <c r="N70" s="51" t="n"/>
    </row>
    <row r="71">
      <c r="B71" s="10"/>
      <c r="C71" s="10"/>
      <c r="D71" s="15" t="s">
        <v>292</v>
      </c>
      <c r="E71" s="13"/>
      <c r="F71" s="50" t="n"/>
      <c r="G71" s="50" t="n"/>
      <c r="H71" s="50" t="n"/>
      <c r="I71" s="50" t="n"/>
      <c r="J71" s="50" t="n"/>
      <c r="K71" s="50" t="n"/>
      <c r="L71" s="50" t="n"/>
      <c r="M71" s="50" t="n"/>
      <c r="N71" s="50" t="n"/>
    </row>
    <row r="72">
      <c r="B72" s="10"/>
      <c r="C72" s="10"/>
      <c r="D72" s="11" t="s">
        <v>294</v>
      </c>
      <c r="E72" s="9"/>
      <c r="F72" s="51" t="n"/>
      <c r="G72" s="51" t="n"/>
      <c r="H72" s="51" t="n"/>
      <c r="I72" s="51" t="n"/>
      <c r="J72" s="51" t="n"/>
      <c r="K72" s="51" t="n"/>
      <c r="L72" s="51" t="n"/>
      <c r="M72" s="51" t="n"/>
      <c r="N72" s="51" t="n"/>
    </row>
    <row r="73">
      <c r="B73" s="10"/>
      <c r="C73" s="10"/>
      <c r="D73" s="15" t="s">
        <v>296</v>
      </c>
      <c r="E73" s="13"/>
      <c r="F73" s="50" t="n"/>
      <c r="G73" s="50" t="n"/>
      <c r="H73" s="50" t="n"/>
      <c r="I73" s="50" t="n"/>
      <c r="J73" s="50" t="n"/>
      <c r="K73" s="50" t="n"/>
      <c r="L73" s="50" t="n"/>
      <c r="M73" s="50" t="n"/>
      <c r="N73" s="50" t="n"/>
    </row>
    <row r="74">
      <c r="B74" s="10"/>
      <c r="C74" s="10"/>
      <c r="D74" s="11" t="s">
        <v>297</v>
      </c>
      <c r="E74" s="9"/>
      <c r="F74" s="51" t="n"/>
      <c r="G74" s="51" t="n"/>
      <c r="H74" s="51" t="n"/>
      <c r="I74" s="51" t="n"/>
      <c r="J74" s="51" t="n"/>
      <c r="K74" s="51" t="n"/>
      <c r="L74" s="51" t="n"/>
      <c r="M74" s="51" t="n"/>
      <c r="N74" s="51" t="n"/>
    </row>
    <row r="75" ht="28.0" customHeight="true">
      <c r="B75" s="10"/>
      <c r="C75" s="11"/>
      <c r="D75" s="15" t="s">
        <v>328</v>
      </c>
      <c r="E75" s="13"/>
      <c r="F75" s="50" t="n">
        <f>F61-F62+F63+F64-F65-F66+F67-F68-F69+F70-SUM(F71:F73)+F74</f>
      </c>
      <c r="G75" s="50" t="n">
        <f>G61-G62+G63+G64-G65-G66+G67-G68-G69+G70-SUM(G71:G73)+G74</f>
      </c>
      <c r="H75" s="50" t="n">
        <f>H61-H62+H63+H64-H65-H66+H67-H68-H69+H70-SUM(H71:H73)+H74</f>
      </c>
      <c r="I75" s="50" t="n">
        <f>I61-I62+I63+I64-I65-I66+I67-I68-I69+I70-SUM(I71:I73)+I74</f>
      </c>
      <c r="J75" s="50" t="n">
        <f>J61-J62+J63+J64-J65-J66+J67-J68-J69+J70-SUM(J71:J73)+J74</f>
      </c>
      <c r="K75" s="50" t="n">
        <f>K61-K62+K63+K64-K65-K66+K67-K68-K69+K70-SUM(K71:K73)+K74</f>
      </c>
      <c r="L75" s="50" t="n">
        <f>L61-L62+L63+L64-L65-L66+L67-L68-L69+L70-SUM(L71:L73)+L74</f>
      </c>
      <c r="M75" s="50" t="n">
        <f>M61-M62+M63+M64-M65-M66+M67-M68-M69+M70-SUM(M71:M73)+M74</f>
      </c>
      <c r="N75" s="50" t="n">
        <f>N61-N62+N63+N64-N65-N66+N67-N68-N69+N70-SUM(N71:N73)+N74</f>
      </c>
    </row>
    <row r="76" ht="28.0" customHeight="true">
      <c r="B76" s="10"/>
      <c r="C76" s="11" t="s">
        <v>329</v>
      </c>
      <c r="D76" s="8"/>
      <c r="E76" s="9"/>
      <c r="F76" s="51" t="n">
        <f>F35+F75+F59</f>
      </c>
      <c r="G76" s="51" t="n">
        <f>G35+G75+G59</f>
      </c>
      <c r="H76" s="51" t="n">
        <f>H35+H75+H59</f>
      </c>
      <c r="I76" s="51" t="n">
        <f>I35+I75+I59</f>
      </c>
      <c r="J76" s="51" t="n">
        <f>J35+J75+J59</f>
      </c>
      <c r="K76" s="51" t="n">
        <f>K35+K75+K59</f>
      </c>
      <c r="L76" s="51" t="n">
        <f>L35+L75+L59</f>
      </c>
      <c r="M76" s="51" t="n">
        <f>M35+M75+M59</f>
      </c>
      <c r="N76" s="51" t="n">
        <f>N35+N75+N59</f>
      </c>
    </row>
    <row r="77" ht="28.0" customHeight="true">
      <c r="B77" s="10"/>
      <c r="C77" s="12" t="s">
        <v>330</v>
      </c>
      <c r="D77" s="37"/>
      <c r="E77" s="13"/>
      <c r="F77" s="22"/>
      <c r="G77" s="22"/>
      <c r="H77" s="22"/>
      <c r="I77" s="22"/>
      <c r="J77" s="22"/>
      <c r="K77" s="22"/>
      <c r="L77" s="22"/>
      <c r="M77" s="22"/>
      <c r="N77" s="22"/>
    </row>
    <row r="78" ht="28.0" customHeight="true">
      <c r="B78" s="10"/>
      <c r="C78" s="15"/>
      <c r="D78" s="11" t="s">
        <v>331</v>
      </c>
      <c r="E78" s="9"/>
      <c r="F78" s="51" t="n"/>
      <c r="G78" s="51" t="n"/>
      <c r="H78" s="51" t="n"/>
      <c r="I78" s="51" t="n"/>
      <c r="J78" s="51" t="n"/>
      <c r="K78" s="51" t="n"/>
      <c r="L78" s="51" t="n"/>
      <c r="M78" s="51" t="n"/>
      <c r="N78" s="51" t="n"/>
    </row>
    <row r="79" ht="28.0" customHeight="true">
      <c r="B79" s="10"/>
      <c r="C79" s="15" t="s">
        <v>332</v>
      </c>
      <c r="D79" s="37"/>
      <c r="E79" s="13"/>
      <c r="F79" s="50" t="n">
        <f>F76+F78</f>
      </c>
      <c r="G79" s="50" t="n">
        <f>G76+G78</f>
      </c>
      <c r="H79" s="50" t="n">
        <f>H76+H78</f>
      </c>
      <c r="I79" s="50" t="n">
        <f>I76+I78</f>
      </c>
      <c r="J79" s="50" t="n">
        <f>J76+J78</f>
      </c>
      <c r="K79" s="50" t="n">
        <f>K76+K78</f>
      </c>
      <c r="L79" s="50" t="n">
        <f>L76+L78</f>
      </c>
      <c r="M79" s="50" t="n">
        <f>M76+M78</f>
      </c>
      <c r="N79" s="50" t="n">
        <f>N76+N78</f>
      </c>
    </row>
    <row r="80">
      <c r="B80" s="10"/>
      <c r="C80" s="11" t="s">
        <v>333</v>
      </c>
      <c r="D80" s="8"/>
      <c r="E80" s="9"/>
      <c r="F80" s="51" t="n"/>
      <c r="G80" s="51" t="n"/>
      <c r="H80" s="51" t="n"/>
      <c r="I80" s="51" t="n"/>
      <c r="J80" s="51" t="n"/>
      <c r="K80" s="51" t="n"/>
      <c r="L80" s="51" t="n"/>
      <c r="M80" s="51" t="n"/>
      <c r="N80" s="51" t="n">
        <f>Hoja2!Q126</f>
      </c>
    </row>
    <row r="81">
      <c r="B81" s="11"/>
      <c r="C81" s="15" t="s">
        <v>334</v>
      </c>
      <c r="D81" s="37"/>
      <c r="E81" s="13"/>
      <c r="F81" s="53" t="n"/>
      <c r="G81" s="53" t="n"/>
      <c r="H81" s="53" t="n"/>
      <c r="I81" s="53" t="n"/>
      <c r="J81" s="53" t="n"/>
      <c r="K81" s="53" t="n"/>
      <c r="L81" s="53" t="n"/>
      <c r="M81" s="53" t="n"/>
      <c r="N81" s="53" t="n">
        <f>Hoja7!F21+Hoja7!F26+Hoja7!F27</f>
      </c>
    </row>
    <row r="83">
      <c r="B83" t="s" s="1">
        <v>11</v>
      </c>
      <c r="C83" t="s">
        <v>151</v>
      </c>
    </row>
    <row r="84">
      <c r="F84" t="s" s="4">
        <v>35</v>
      </c>
      <c r="G84" s="29"/>
      <c r="H84" s="29"/>
      <c r="I84" s="29"/>
      <c r="J84" s="29"/>
      <c r="K84" s="29"/>
      <c r="L84" s="29"/>
      <c r="M84" s="29"/>
      <c r="N84" s="30"/>
    </row>
    <row r="85">
      <c r="F85" t="s" s="34">
        <v>36</v>
      </c>
      <c r="G85" t="s" s="6">
        <v>37</v>
      </c>
      <c r="H85" t="s" s="34">
        <v>38</v>
      </c>
      <c r="I85" t="s" s="6">
        <v>39</v>
      </c>
      <c r="J85" t="s" s="34">
        <v>40</v>
      </c>
      <c r="K85" t="s" s="6">
        <v>41</v>
      </c>
      <c r="L85" t="s" s="34">
        <v>42</v>
      </c>
      <c r="M85" t="s" s="6">
        <v>43</v>
      </c>
      <c r="N85" s="36"/>
    </row>
    <row r="86">
      <c r="B86" s="7" t="s">
        <v>275</v>
      </c>
      <c r="C86" s="8"/>
      <c r="D86" s="8"/>
      <c r="E86" s="9"/>
      <c r="F86" s="23"/>
      <c r="G86" s="23"/>
      <c r="H86" s="23"/>
      <c r="I86" s="23"/>
      <c r="J86" s="23"/>
      <c r="K86" s="23"/>
      <c r="L86" s="23"/>
      <c r="M86" s="23"/>
      <c r="N86" s="23"/>
    </row>
    <row r="87" ht="28.0" customHeight="true">
      <c r="B87" s="10"/>
      <c r="C87" s="12" t="s">
        <v>276</v>
      </c>
      <c r="D87" s="37"/>
      <c r="E87" s="13"/>
      <c r="F87" s="22"/>
      <c r="G87" s="22"/>
      <c r="H87" s="22"/>
      <c r="I87" s="22"/>
      <c r="J87" s="22"/>
      <c r="K87" s="22"/>
      <c r="L87" s="22"/>
      <c r="M87" s="22"/>
      <c r="N87" s="22"/>
    </row>
    <row r="88">
      <c r="B88" s="10"/>
      <c r="C88" s="14"/>
      <c r="D88" s="7" t="s">
        <v>277</v>
      </c>
      <c r="E88" s="9"/>
      <c r="F88" s="23"/>
      <c r="G88" s="23"/>
      <c r="H88" s="23"/>
      <c r="I88" s="23"/>
      <c r="J88" s="23"/>
      <c r="K88" s="23"/>
      <c r="L88" s="23"/>
      <c r="M88" s="23"/>
      <c r="N88" s="23"/>
    </row>
    <row r="89">
      <c r="B89" s="10"/>
      <c r="C89" s="14"/>
      <c r="D89" s="10"/>
      <c r="E89" s="19" t="s">
        <v>278</v>
      </c>
      <c r="F89" s="50" t="n"/>
      <c r="G89" s="50" t="n"/>
      <c r="H89" s="50" t="n"/>
      <c r="I89" s="50" t="n"/>
      <c r="J89" s="50" t="n"/>
      <c r="K89" s="50" t="n"/>
      <c r="L89" s="50" t="n"/>
      <c r="M89" s="50" t="n"/>
      <c r="N89" s="50" t="n"/>
    </row>
    <row r="90">
      <c r="B90" s="10"/>
      <c r="C90" s="14"/>
      <c r="D90" s="10"/>
      <c r="E90" s="18" t="s">
        <v>279</v>
      </c>
      <c r="F90" s="51" t="n"/>
      <c r="G90" s="51" t="n"/>
      <c r="H90" s="51" t="n"/>
      <c r="I90" s="51" t="n"/>
      <c r="J90" s="51" t="n"/>
      <c r="K90" s="51" t="n"/>
      <c r="L90" s="51" t="n"/>
      <c r="M90" s="51" t="n"/>
      <c r="N90" s="51" t="n"/>
    </row>
    <row r="91">
      <c r="B91" s="10"/>
      <c r="C91" s="14"/>
      <c r="D91" s="10"/>
      <c r="E91" s="19" t="s">
        <v>280</v>
      </c>
      <c r="F91" s="50" t="n"/>
      <c r="G91" s="50" t="n"/>
      <c r="H91" s="50" t="n"/>
      <c r="I91" s="50" t="n"/>
      <c r="J91" s="50" t="n"/>
      <c r="K91" s="50" t="n"/>
      <c r="L91" s="50" t="n"/>
      <c r="M91" s="50" t="n"/>
      <c r="N91" s="50" t="n"/>
    </row>
    <row r="92">
      <c r="B92" s="10"/>
      <c r="C92" s="14"/>
      <c r="D92" s="10"/>
      <c r="E92" s="18" t="s">
        <v>281</v>
      </c>
      <c r="F92" s="51" t="n"/>
      <c r="G92" s="51" t="n"/>
      <c r="H92" s="51" t="n"/>
      <c r="I92" s="51" t="n"/>
      <c r="J92" s="51" t="n"/>
      <c r="K92" s="51" t="n"/>
      <c r="L92" s="51" t="n"/>
      <c r="M92" s="51" t="n"/>
      <c r="N92" s="51" t="n"/>
    </row>
    <row r="93">
      <c r="B93" s="10"/>
      <c r="C93" s="14"/>
      <c r="D93" s="10"/>
      <c r="E93" s="19" t="s">
        <v>282</v>
      </c>
      <c r="F93" s="50" t="n"/>
      <c r="G93" s="50" t="n"/>
      <c r="H93" s="50" t="n"/>
      <c r="I93" s="50" t="n"/>
      <c r="J93" s="50" t="n"/>
      <c r="K93" s="50" t="n"/>
      <c r="L93" s="50" t="n"/>
      <c r="M93" s="50" t="n"/>
      <c r="N93" s="50" t="n"/>
    </row>
    <row r="94">
      <c r="B94" s="10"/>
      <c r="C94" s="14"/>
      <c r="D94" s="11"/>
      <c r="E94" s="18" t="s">
        <v>283</v>
      </c>
      <c r="F94" s="51" t="n"/>
      <c r="G94" s="51" t="n"/>
      <c r="H94" s="51" t="n"/>
      <c r="I94" s="51" t="n"/>
      <c r="J94" s="51" t="n"/>
      <c r="K94" s="51" t="n"/>
      <c r="L94" s="51" t="n"/>
      <c r="M94" s="51" t="n"/>
      <c r="N94" s="51" t="n"/>
    </row>
    <row r="95" ht="28.0" customHeight="true">
      <c r="B95" s="10"/>
      <c r="C95" s="14"/>
      <c r="D95" s="12" t="s">
        <v>284</v>
      </c>
      <c r="E95" s="13"/>
      <c r="F95" s="22"/>
      <c r="G95" s="22"/>
      <c r="H95" s="22"/>
      <c r="I95" s="22"/>
      <c r="J95" s="22"/>
      <c r="K95" s="22"/>
      <c r="L95" s="22"/>
      <c r="M95" s="22"/>
      <c r="N95" s="22"/>
    </row>
    <row r="96">
      <c r="B96" s="10"/>
      <c r="C96" s="14"/>
      <c r="D96" s="14"/>
      <c r="E96" s="18" t="s">
        <v>285</v>
      </c>
      <c r="F96" s="51" t="n"/>
      <c r="G96" s="51" t="n"/>
      <c r="H96" s="51" t="n"/>
      <c r="I96" s="51" t="n"/>
      <c r="J96" s="51" t="n"/>
      <c r="K96" s="51" t="n"/>
      <c r="L96" s="51" t="n"/>
      <c r="M96" s="51" t="n"/>
      <c r="N96" s="51" t="n"/>
    </row>
    <row r="97">
      <c r="B97" s="10"/>
      <c r="C97" s="14"/>
      <c r="D97" s="14"/>
      <c r="E97" s="19" t="s">
        <v>286</v>
      </c>
      <c r="F97" s="50" t="n"/>
      <c r="G97" s="50" t="n"/>
      <c r="H97" s="50" t="n"/>
      <c r="I97" s="50" t="n"/>
      <c r="J97" s="50" t="n"/>
      <c r="K97" s="50" t="n"/>
      <c r="L97" s="50" t="n"/>
      <c r="M97" s="50" t="n"/>
      <c r="N97" s="50" t="n"/>
    </row>
    <row r="98">
      <c r="B98" s="10"/>
      <c r="C98" s="14"/>
      <c r="D98" s="14"/>
      <c r="E98" s="18" t="s">
        <v>287</v>
      </c>
      <c r="F98" s="51" t="n"/>
      <c r="G98" s="51" t="n"/>
      <c r="H98" s="51" t="n"/>
      <c r="I98" s="51" t="n"/>
      <c r="J98" s="51" t="n"/>
      <c r="K98" s="51" t="n"/>
      <c r="L98" s="51" t="n"/>
      <c r="M98" s="51" t="n"/>
      <c r="N98" s="51" t="n"/>
    </row>
    <row r="99">
      <c r="B99" s="10"/>
      <c r="C99" s="14"/>
      <c r="D99" s="14"/>
      <c r="E99" s="19" t="s">
        <v>288</v>
      </c>
      <c r="F99" s="50" t="n"/>
      <c r="G99" s="50" t="n"/>
      <c r="H99" s="50" t="n"/>
      <c r="I99" s="50" t="n"/>
      <c r="J99" s="50" t="n"/>
      <c r="K99" s="50" t="n"/>
      <c r="L99" s="50" t="n"/>
      <c r="M99" s="50" t="n"/>
      <c r="N99" s="50" t="n"/>
    </row>
    <row r="100">
      <c r="B100" s="10"/>
      <c r="C100" s="14"/>
      <c r="D100" s="14"/>
      <c r="E100" s="18" t="s">
        <v>289</v>
      </c>
      <c r="F100" s="51" t="n"/>
      <c r="G100" s="51" t="n"/>
      <c r="H100" s="51" t="n"/>
      <c r="I100" s="51" t="n"/>
      <c r="J100" s="51" t="n"/>
      <c r="K100" s="51" t="n"/>
      <c r="L100" s="51" t="n"/>
      <c r="M100" s="51" t="n"/>
      <c r="N100" s="51" t="n"/>
    </row>
    <row r="101">
      <c r="B101" s="10"/>
      <c r="C101" s="14"/>
      <c r="D101" s="15"/>
      <c r="E101" s="19" t="s">
        <v>290</v>
      </c>
      <c r="F101" s="50" t="n"/>
      <c r="G101" s="50" t="n"/>
      <c r="H101" s="50" t="n"/>
      <c r="I101" s="50" t="n"/>
      <c r="J101" s="50" t="n"/>
      <c r="K101" s="50" t="n"/>
      <c r="L101" s="50" t="n"/>
      <c r="M101" s="50" t="n"/>
      <c r="N101" s="50" t="n"/>
    </row>
    <row r="102">
      <c r="B102" s="10"/>
      <c r="C102" s="14"/>
      <c r="D102" s="11" t="s">
        <v>291</v>
      </c>
      <c r="E102" s="9"/>
      <c r="F102" s="51" t="n">
        <f>SUM(F89:F94)-SUM(F96:F101)</f>
      </c>
      <c r="G102" s="51" t="n">
        <f>SUM(G89:G94)-SUM(G96:G101)</f>
      </c>
      <c r="H102" s="51" t="n">
        <f>SUM(H89:H94)-SUM(H96:H101)</f>
      </c>
      <c r="I102" s="51" t="n">
        <f>SUM(I89:I94)-SUM(I96:I101)</f>
      </c>
      <c r="J102" s="51" t="n">
        <f>SUM(J89:J94)-SUM(J96:J101)</f>
      </c>
      <c r="K102" s="51" t="n">
        <f>SUM(K89:K94)-SUM(K96:K101)</f>
      </c>
      <c r="L102" s="51" t="n">
        <f>SUM(L89:L94)-SUM(L96:L101)</f>
      </c>
      <c r="M102" s="51" t="n">
        <f>SUM(M89:M94)-SUM(M96:M101)</f>
      </c>
      <c r="N102" s="51" t="n">
        <f>SUM(N89:N94)-SUM(N96:N101)</f>
      </c>
    </row>
    <row r="103">
      <c r="B103" s="10"/>
      <c r="C103" s="14"/>
      <c r="D103" s="15" t="s">
        <v>292</v>
      </c>
      <c r="E103" s="13"/>
      <c r="F103" s="50" t="n"/>
      <c r="G103" s="50" t="n"/>
      <c r="H103" s="50" t="n"/>
      <c r="I103" s="50" t="n"/>
      <c r="J103" s="50" t="n"/>
      <c r="K103" s="50" t="n"/>
      <c r="L103" s="50" t="n"/>
      <c r="M103" s="50" t="n"/>
      <c r="N103" s="50" t="n"/>
    </row>
    <row r="104">
      <c r="B104" s="10"/>
      <c r="C104" s="14"/>
      <c r="D104" s="11" t="s">
        <v>293</v>
      </c>
      <c r="E104" s="9"/>
      <c r="F104" s="51" t="n"/>
      <c r="G104" s="51" t="n"/>
      <c r="H104" s="51" t="n"/>
      <c r="I104" s="51" t="n"/>
      <c r="J104" s="51" t="n"/>
      <c r="K104" s="51" t="n"/>
      <c r="L104" s="51" t="n"/>
      <c r="M104" s="51" t="n"/>
      <c r="N104" s="51" t="n"/>
    </row>
    <row r="105">
      <c r="B105" s="10"/>
      <c r="C105" s="14"/>
      <c r="D105" s="15" t="s">
        <v>294</v>
      </c>
      <c r="E105" s="13"/>
      <c r="F105" s="50" t="n"/>
      <c r="G105" s="50" t="n"/>
      <c r="H105" s="50" t="n"/>
      <c r="I105" s="50" t="n"/>
      <c r="J105" s="50" t="n"/>
      <c r="K105" s="50" t="n"/>
      <c r="L105" s="50" t="n"/>
      <c r="M105" s="50" t="n"/>
      <c r="N105" s="50" t="n"/>
    </row>
    <row r="106">
      <c r="B106" s="10"/>
      <c r="C106" s="14"/>
      <c r="D106" s="11" t="s">
        <v>295</v>
      </c>
      <c r="E106" s="9"/>
      <c r="F106" s="51" t="n"/>
      <c r="G106" s="51" t="n"/>
      <c r="H106" s="51" t="n"/>
      <c r="I106" s="51" t="n"/>
      <c r="J106" s="51" t="n"/>
      <c r="K106" s="51" t="n"/>
      <c r="L106" s="51" t="n"/>
      <c r="M106" s="51" t="n"/>
      <c r="N106" s="51" t="n"/>
    </row>
    <row r="107">
      <c r="B107" s="10"/>
      <c r="C107" s="14"/>
      <c r="D107" s="15" t="s">
        <v>296</v>
      </c>
      <c r="E107" s="13"/>
      <c r="F107" s="50" t="n"/>
      <c r="G107" s="50" t="n"/>
      <c r="H107" s="50" t="n"/>
      <c r="I107" s="50" t="n"/>
      <c r="J107" s="50" t="n"/>
      <c r="K107" s="50" t="n"/>
      <c r="L107" s="50" t="n"/>
      <c r="M107" s="50" t="n"/>
      <c r="N107" s="50" t="n"/>
    </row>
    <row r="108">
      <c r="B108" s="10"/>
      <c r="C108" s="14"/>
      <c r="D108" s="11" t="s">
        <v>297</v>
      </c>
      <c r="E108" s="9"/>
      <c r="F108" s="51" t="n"/>
      <c r="G108" s="51" t="n"/>
      <c r="H108" s="51" t="n"/>
      <c r="I108" s="51" t="n"/>
      <c r="J108" s="51" t="n"/>
      <c r="K108" s="51" t="n"/>
      <c r="L108" s="51" t="n"/>
      <c r="M108" s="51" t="n"/>
      <c r="N108" s="51" t="n"/>
    </row>
    <row r="109" ht="28.0" customHeight="true">
      <c r="B109" s="10"/>
      <c r="C109" s="15"/>
      <c r="D109" s="15" t="s">
        <v>298</v>
      </c>
      <c r="E109" s="13"/>
      <c r="F109" s="50" t="n">
        <f>F108+F104-F103+F106-F105-F107+F102</f>
      </c>
      <c r="G109" s="50" t="n">
        <f>G108+G104-G103+G106-G105-G107+G102</f>
      </c>
      <c r="H109" s="50" t="n">
        <f>H108+H104-H103+H106-H105-H107+H102</f>
      </c>
      <c r="I109" s="50" t="n">
        <f>I108+I104-I103+I106-I105-I107+I102</f>
      </c>
      <c r="J109" s="50" t="n">
        <f>J108+J104-J103+J106-J105-J107+J102</f>
      </c>
      <c r="K109" s="50" t="n">
        <f>K108+K104-K103+K106-K105-K107+K102</f>
      </c>
      <c r="L109" s="50" t="n">
        <f>L108+L104-L103+L106-L105-L107+L102</f>
      </c>
      <c r="M109" s="50" t="n">
        <f>M108+M104-M103+M106-M105-M107+M102</f>
      </c>
      <c r="N109" s="50" t="n">
        <f>N108+N104-N103+N106-N105-N107+N102</f>
      </c>
    </row>
    <row r="110" ht="28.0" customHeight="true">
      <c r="B110" s="10"/>
      <c r="C110" s="7" t="s">
        <v>299</v>
      </c>
      <c r="D110" s="8"/>
      <c r="E110" s="9"/>
      <c r="F110" s="23"/>
      <c r="G110" s="23"/>
      <c r="H110" s="23"/>
      <c r="I110" s="23"/>
      <c r="J110" s="23"/>
      <c r="K110" s="23"/>
      <c r="L110" s="23"/>
      <c r="M110" s="23"/>
      <c r="N110" s="23"/>
    </row>
    <row r="111" ht="28.0" customHeight="true">
      <c r="B111" s="10"/>
      <c r="C111" s="10"/>
      <c r="D111" s="15" t="s">
        <v>300</v>
      </c>
      <c r="E111" s="13"/>
      <c r="F111" s="50" t="n"/>
      <c r="G111" s="50" t="n"/>
      <c r="H111" s="50" t="n"/>
      <c r="I111" s="50" t="n"/>
      <c r="J111" s="50" t="n"/>
      <c r="K111" s="50" t="n"/>
      <c r="L111" s="50" t="n"/>
      <c r="M111" s="50" t="n"/>
      <c r="N111" s="50" t="n"/>
    </row>
    <row r="112" ht="28.0" customHeight="true">
      <c r="B112" s="10"/>
      <c r="C112" s="10"/>
      <c r="D112" s="11" t="s">
        <v>301</v>
      </c>
      <c r="E112" s="9"/>
      <c r="F112" s="51" t="n"/>
      <c r="G112" s="51" t="n"/>
      <c r="H112" s="51" t="n"/>
      <c r="I112" s="51" t="n"/>
      <c r="J112" s="51" t="n"/>
      <c r="K112" s="51" t="n"/>
      <c r="L112" s="51" t="n"/>
      <c r="M112" s="51" t="n"/>
      <c r="N112" s="51" t="n"/>
    </row>
    <row r="113" ht="28.0" customHeight="true">
      <c r="B113" s="10"/>
      <c r="C113" s="10"/>
      <c r="D113" s="15" t="s">
        <v>302</v>
      </c>
      <c r="E113" s="13"/>
      <c r="F113" s="50" t="n"/>
      <c r="G113" s="50" t="n"/>
      <c r="H113" s="50" t="n"/>
      <c r="I113" s="50" t="n"/>
      <c r="J113" s="50" t="n"/>
      <c r="K113" s="50" t="n"/>
      <c r="L113" s="50" t="n"/>
      <c r="M113" s="50" t="n"/>
      <c r="N113" s="50" t="n"/>
    </row>
    <row r="114" ht="28.0" customHeight="true">
      <c r="B114" s="10"/>
      <c r="C114" s="10"/>
      <c r="D114" s="11" t="s">
        <v>303</v>
      </c>
      <c r="E114" s="9"/>
      <c r="F114" s="51" t="n"/>
      <c r="G114" s="51" t="n"/>
      <c r="H114" s="51" t="n"/>
      <c r="I114" s="51" t="n"/>
      <c r="J114" s="51" t="n"/>
      <c r="K114" s="51" t="n"/>
      <c r="L114" s="51" t="n"/>
      <c r="M114" s="51" t="n"/>
      <c r="N114" s="51" t="n"/>
    </row>
    <row r="115">
      <c r="B115" s="10"/>
      <c r="C115" s="10"/>
      <c r="D115" s="15" t="s">
        <v>304</v>
      </c>
      <c r="E115" s="13"/>
      <c r="F115" s="50" t="n"/>
      <c r="G115" s="50" t="n"/>
      <c r="H115" s="50" t="n"/>
      <c r="I115" s="50" t="n"/>
      <c r="J115" s="50" t="n"/>
      <c r="K115" s="50" t="n"/>
      <c r="L115" s="50" t="n"/>
      <c r="M115" s="50" t="n"/>
      <c r="N115" s="50" t="n"/>
    </row>
    <row r="116">
      <c r="B116" s="10"/>
      <c r="C116" s="10"/>
      <c r="D116" s="11" t="s">
        <v>305</v>
      </c>
      <c r="E116" s="9"/>
      <c r="F116" s="51" t="n"/>
      <c r="G116" s="51" t="n"/>
      <c r="H116" s="51" t="n"/>
      <c r="I116" s="51" t="n"/>
      <c r="J116" s="51" t="n"/>
      <c r="K116" s="51" t="n"/>
      <c r="L116" s="51" t="n"/>
      <c r="M116" s="51" t="n"/>
      <c r="N116" s="51" t="n"/>
    </row>
    <row r="117">
      <c r="B117" s="10"/>
      <c r="C117" s="10"/>
      <c r="D117" s="15" t="s">
        <v>306</v>
      </c>
      <c r="E117" s="13"/>
      <c r="F117" s="50" t="n"/>
      <c r="G117" s="50" t="n"/>
      <c r="H117" s="50" t="n"/>
      <c r="I117" s="50" t="n"/>
      <c r="J117" s="50" t="n"/>
      <c r="K117" s="50" t="n"/>
      <c r="L117" s="50" t="n"/>
      <c r="M117" s="50" t="n"/>
      <c r="N117" s="50" t="n"/>
    </row>
    <row r="118">
      <c r="B118" s="10"/>
      <c r="C118" s="10"/>
      <c r="D118" s="11" t="s">
        <v>307</v>
      </c>
      <c r="E118" s="9"/>
      <c r="F118" s="51" t="n"/>
      <c r="G118" s="51" t="n"/>
      <c r="H118" s="51" t="n"/>
      <c r="I118" s="51" t="n"/>
      <c r="J118" s="51" t="n"/>
      <c r="K118" s="51" t="n"/>
      <c r="L118" s="51" t="n"/>
      <c r="M118" s="51" t="n"/>
      <c r="N118" s="51" t="n"/>
    </row>
    <row r="119">
      <c r="B119" s="10"/>
      <c r="C119" s="10"/>
      <c r="D119" s="15" t="s">
        <v>308</v>
      </c>
      <c r="E119" s="13"/>
      <c r="F119" s="50" t="n"/>
      <c r="G119" s="50" t="n"/>
      <c r="H119" s="50" t="n"/>
      <c r="I119" s="50" t="n"/>
      <c r="J119" s="50" t="n"/>
      <c r="K119" s="50" t="n"/>
      <c r="L119" s="50" t="n"/>
      <c r="M119" s="50" t="n"/>
      <c r="N119" s="50" t="n"/>
    </row>
    <row r="120">
      <c r="B120" s="10"/>
      <c r="C120" s="10"/>
      <c r="D120" s="11" t="s">
        <v>309</v>
      </c>
      <c r="E120" s="9"/>
      <c r="F120" s="51" t="n"/>
      <c r="G120" s="51" t="n"/>
      <c r="H120" s="51" t="n"/>
      <c r="I120" s="51" t="n"/>
      <c r="J120" s="51" t="n"/>
      <c r="K120" s="51" t="n"/>
      <c r="L120" s="51" t="n"/>
      <c r="M120" s="51" t="n"/>
      <c r="N120" s="51" t="n"/>
    </row>
    <row r="121">
      <c r="B121" s="10"/>
      <c r="C121" s="10"/>
      <c r="D121" s="15" t="s">
        <v>310</v>
      </c>
      <c r="E121" s="13"/>
      <c r="F121" s="50" t="n"/>
      <c r="G121" s="50" t="n"/>
      <c r="H121" s="50" t="n"/>
      <c r="I121" s="50" t="n"/>
      <c r="J121" s="50" t="n"/>
      <c r="K121" s="50" t="n"/>
      <c r="L121" s="50" t="n"/>
      <c r="M121" s="50" t="n"/>
      <c r="N121" s="50" t="n"/>
    </row>
    <row r="122">
      <c r="B122" s="10"/>
      <c r="C122" s="10"/>
      <c r="D122" s="11" t="s">
        <v>311</v>
      </c>
      <c r="E122" s="9"/>
      <c r="F122" s="51" t="n"/>
      <c r="G122" s="51" t="n"/>
      <c r="H122" s="51" t="n"/>
      <c r="I122" s="51" t="n"/>
      <c r="J122" s="51" t="n"/>
      <c r="K122" s="51" t="n"/>
      <c r="L122" s="51" t="n"/>
      <c r="M122" s="51" t="n"/>
      <c r="N122" s="51" t="n"/>
    </row>
    <row r="123">
      <c r="B123" s="10"/>
      <c r="C123" s="10"/>
      <c r="D123" s="15" t="s">
        <v>312</v>
      </c>
      <c r="E123" s="13"/>
      <c r="F123" s="50" t="n"/>
      <c r="G123" s="50" t="n"/>
      <c r="H123" s="50" t="n"/>
      <c r="I123" s="50" t="n"/>
      <c r="J123" s="50" t="n"/>
      <c r="K123" s="50" t="n"/>
      <c r="L123" s="50" t="n"/>
      <c r="M123" s="50" t="n"/>
      <c r="N123" s="50" t="n"/>
    </row>
    <row r="124">
      <c r="B124" s="10"/>
      <c r="C124" s="10"/>
      <c r="D124" s="11" t="s">
        <v>313</v>
      </c>
      <c r="E124" s="9"/>
      <c r="F124" s="51" t="n"/>
      <c r="G124" s="51" t="n"/>
      <c r="H124" s="51" t="n"/>
      <c r="I124" s="51" t="n"/>
      <c r="J124" s="51" t="n"/>
      <c r="K124" s="51" t="n"/>
      <c r="L124" s="51" t="n"/>
      <c r="M124" s="51" t="n"/>
      <c r="N124" s="51" t="n"/>
    </row>
    <row r="125" ht="28.0" customHeight="true">
      <c r="B125" s="10"/>
      <c r="C125" s="10"/>
      <c r="D125" s="15" t="s">
        <v>314</v>
      </c>
      <c r="E125" s="13"/>
      <c r="F125" s="50" t="n"/>
      <c r="G125" s="50" t="n"/>
      <c r="H125" s="50" t="n"/>
      <c r="I125" s="50" t="n"/>
      <c r="J125" s="50" t="n"/>
      <c r="K125" s="50" t="n"/>
      <c r="L125" s="50" t="n"/>
      <c r="M125" s="50" t="n"/>
      <c r="N125" s="50" t="n"/>
    </row>
    <row r="126" ht="28.0" customHeight="true">
      <c r="B126" s="10"/>
      <c r="C126" s="10"/>
      <c r="D126" s="11" t="s">
        <v>315</v>
      </c>
      <c r="E126" s="9"/>
      <c r="F126" s="51" t="n"/>
      <c r="G126" s="51" t="n"/>
      <c r="H126" s="51" t="n"/>
      <c r="I126" s="51" t="n"/>
      <c r="J126" s="51" t="n"/>
      <c r="K126" s="51" t="n"/>
      <c r="L126" s="51" t="n"/>
      <c r="M126" s="51" t="n"/>
      <c r="N126" s="51" t="n"/>
    </row>
    <row r="127" ht="28.0" customHeight="true">
      <c r="B127" s="10"/>
      <c r="C127" s="10"/>
      <c r="D127" s="15" t="s">
        <v>316</v>
      </c>
      <c r="E127" s="13"/>
      <c r="F127" s="50" t="n"/>
      <c r="G127" s="50" t="n"/>
      <c r="H127" s="50" t="n"/>
      <c r="I127" s="50" t="n"/>
      <c r="J127" s="50" t="n"/>
      <c r="K127" s="50" t="n"/>
      <c r="L127" s="50" t="n"/>
      <c r="M127" s="50" t="n"/>
      <c r="N127" s="50" t="n"/>
    </row>
    <row r="128">
      <c r="B128" s="10"/>
      <c r="C128" s="10"/>
      <c r="D128" s="11" t="s">
        <v>293</v>
      </c>
      <c r="E128" s="9"/>
      <c r="F128" s="51" t="n"/>
      <c r="G128" s="51" t="n"/>
      <c r="H128" s="51" t="n"/>
      <c r="I128" s="51" t="n"/>
      <c r="J128" s="51" t="n"/>
      <c r="K128" s="51" t="n"/>
      <c r="L128" s="51" t="n"/>
      <c r="M128" s="51" t="n"/>
      <c r="N128" s="51" t="n"/>
    </row>
    <row r="129">
      <c r="B129" s="10"/>
      <c r="C129" s="10"/>
      <c r="D129" s="15" t="s">
        <v>294</v>
      </c>
      <c r="E129" s="13"/>
      <c r="F129" s="50" t="n"/>
      <c r="G129" s="50" t="n"/>
      <c r="H129" s="50" t="n"/>
      <c r="I129" s="50" t="n"/>
      <c r="J129" s="50" t="n"/>
      <c r="K129" s="50" t="n"/>
      <c r="L129" s="50" t="n"/>
      <c r="M129" s="50" t="n"/>
      <c r="N129" s="50" t="n"/>
    </row>
    <row r="130">
      <c r="B130" s="10"/>
      <c r="C130" s="10"/>
      <c r="D130" s="11" t="s">
        <v>295</v>
      </c>
      <c r="E130" s="9"/>
      <c r="F130" s="51" t="n"/>
      <c r="G130" s="51" t="n"/>
      <c r="H130" s="51" t="n"/>
      <c r="I130" s="51" t="n"/>
      <c r="J130" s="51" t="n"/>
      <c r="K130" s="51" t="n"/>
      <c r="L130" s="51" t="n"/>
      <c r="M130" s="51" t="n"/>
      <c r="N130" s="51" t="n"/>
    </row>
    <row r="131">
      <c r="B131" s="10"/>
      <c r="C131" s="10"/>
      <c r="D131" s="15" t="s">
        <v>296</v>
      </c>
      <c r="E131" s="13"/>
      <c r="F131" s="50" t="n"/>
      <c r="G131" s="50" t="n"/>
      <c r="H131" s="50" t="n"/>
      <c r="I131" s="50" t="n"/>
      <c r="J131" s="50" t="n"/>
      <c r="K131" s="50" t="n"/>
      <c r="L131" s="50" t="n"/>
      <c r="M131" s="50" t="n"/>
      <c r="N131" s="50" t="n"/>
    </row>
    <row r="132">
      <c r="B132" s="10"/>
      <c r="C132" s="10"/>
      <c r="D132" s="11" t="s">
        <v>297</v>
      </c>
      <c r="E132" s="9"/>
      <c r="F132" s="51" t="n"/>
      <c r="G132" s="51" t="n"/>
      <c r="H132" s="51" t="n"/>
      <c r="I132" s="51" t="n"/>
      <c r="J132" s="51" t="n"/>
      <c r="K132" s="51" t="n"/>
      <c r="L132" s="51" t="n"/>
      <c r="M132" s="51" t="n"/>
      <c r="N132" s="51" t="n"/>
    </row>
    <row r="133" ht="28.0" customHeight="true">
      <c r="B133" s="10"/>
      <c r="C133" s="11"/>
      <c r="D133" s="15" t="s">
        <v>317</v>
      </c>
      <c r="E133" s="13"/>
      <c r="F133" s="50" t="n">
        <f>F111-F112+F113-F114+F115-F116+F117-F118+F119-F120+F121-F122+F123-F124+F125-F126+F127+F128-F129+F130-F131+F132</f>
      </c>
      <c r="G133" s="50" t="n">
        <f>G111-G112+G113-G114+G115-G116+G117-G118+G119-G120+G121-G122+G123-G124+G125-G126+G127+G128-G129+G130-G131+G132</f>
      </c>
      <c r="H133" s="50" t="n">
        <f>H111-H112+H113-H114+H115-H116+H117-H118+H119-H120+H121-H122+H123-H124+H125-H126+H127+H128-H129+H130-H131+H132</f>
      </c>
      <c r="I133" s="50" t="n">
        <f>I111-I112+I113-I114+I115-I116+I117-I118+I119-I120+I121-I122+I123-I124+I125-I126+I127+I128-I129+I130-I131+I132</f>
      </c>
      <c r="J133" s="50" t="n">
        <f>J111-J112+J113-J114+J115-J116+J117-J118+J119-J120+J121-J122+J123-J124+J125-J126+J127+J128-J129+J130-J131+J132</f>
      </c>
      <c r="K133" s="50" t="n">
        <f>K111-K112+K113-K114+K115-K116+K117-K118+K119-K120+K121-K122+K123-K124+K125-K126+K127+K128-K129+K130-K131+K132</f>
      </c>
      <c r="L133" s="50" t="n">
        <f>L111-L112+L113-L114+L115-L116+L117-L118+L119-L120+L121-L122+L123-L124+L125-L126+L127+L128-L129+L130-L131+L132</f>
      </c>
      <c r="M133" s="50" t="n">
        <f>M111-M112+M113-M114+M115-M116+M117-M118+M119-M120+M121-M122+M123-M124+M125-M126+M127+M128-M129+M130-M131+M132</f>
      </c>
      <c r="N133" s="50" t="n">
        <f>N111-N112+N113-N114+N115-N116+N117-N118+N119-N120+N121-N122+N123-N124+N125-N126+N127+N128-N129+N130-N131+N132</f>
      </c>
    </row>
    <row r="134" ht="28.0" customHeight="true">
      <c r="B134" s="10"/>
      <c r="C134" s="7" t="s">
        <v>318</v>
      </c>
      <c r="D134" s="8"/>
      <c r="E134" s="9"/>
      <c r="F134" s="23"/>
      <c r="G134" s="23"/>
      <c r="H134" s="23"/>
      <c r="I134" s="23"/>
      <c r="J134" s="23"/>
      <c r="K134" s="23"/>
      <c r="L134" s="23"/>
      <c r="M134" s="23"/>
      <c r="N134" s="23"/>
    </row>
    <row r="135" ht="28.0" customHeight="true">
      <c r="B135" s="10"/>
      <c r="C135" s="10"/>
      <c r="D135" s="15" t="s">
        <v>319</v>
      </c>
      <c r="E135" s="13"/>
      <c r="F135" s="50" t="n"/>
      <c r="G135" s="50" t="n"/>
      <c r="H135" s="50" t="n"/>
      <c r="I135" s="50" t="n"/>
      <c r="J135" s="50" t="n"/>
      <c r="K135" s="50" t="n"/>
      <c r="L135" s="50" t="n"/>
      <c r="M135" s="50" t="n"/>
      <c r="N135" s="50" t="n"/>
    </row>
    <row r="136" ht="28.0" customHeight="true">
      <c r="B136" s="10"/>
      <c r="C136" s="10"/>
      <c r="D136" s="56" t="s">
        <v>320</v>
      </c>
      <c r="E136" s="55"/>
      <c r="F136" s="51" t="n"/>
      <c r="G136" s="51" t="n"/>
      <c r="H136" s="51" t="n"/>
      <c r="I136" s="51" t="n"/>
      <c r="J136" s="51" t="n"/>
      <c r="K136" s="51" t="n"/>
      <c r="L136" s="51" t="n"/>
      <c r="M136" s="51" t="n"/>
      <c r="N136" s="51" t="n"/>
    </row>
    <row r="137">
      <c r="B137" s="10"/>
      <c r="C137" s="10"/>
      <c r="D137" s="15" t="s">
        <v>321</v>
      </c>
      <c r="E137" s="13"/>
      <c r="F137" s="50" t="n"/>
      <c r="G137" s="50" t="n"/>
      <c r="H137" s="50" t="n"/>
      <c r="I137" s="50" t="n"/>
      <c r="J137" s="50" t="n"/>
      <c r="K137" s="50" t="n"/>
      <c r="L137" s="50" t="n"/>
      <c r="M137" s="50" t="n"/>
      <c r="N137" s="50" t="n"/>
    </row>
    <row r="138">
      <c r="B138" s="10"/>
      <c r="C138" s="10"/>
      <c r="D138" s="11" t="s">
        <v>322</v>
      </c>
      <c r="E138" s="9"/>
      <c r="F138" s="51" t="n"/>
      <c r="G138" s="51" t="n"/>
      <c r="H138" s="51" t="n"/>
      <c r="I138" s="51" t="n"/>
      <c r="J138" s="51" t="n"/>
      <c r="K138" s="51" t="n"/>
      <c r="L138" s="51" t="n"/>
      <c r="M138" s="51" t="n"/>
      <c r="N138" s="51" t="n"/>
    </row>
    <row r="139">
      <c r="B139" s="10"/>
      <c r="C139" s="10"/>
      <c r="D139" s="49" t="s">
        <v>323</v>
      </c>
      <c r="E139" s="48"/>
      <c r="F139" s="50" t="n"/>
      <c r="G139" s="50" t="n"/>
      <c r="H139" s="50" t="n"/>
      <c r="I139" s="50" t="n"/>
      <c r="J139" s="50" t="n"/>
      <c r="K139" s="50" t="n"/>
      <c r="L139" s="50" t="n"/>
      <c r="M139" s="50" t="n"/>
      <c r="N139" s="50" t="n"/>
    </row>
    <row r="140">
      <c r="B140" s="10"/>
      <c r="C140" s="10"/>
      <c r="D140" s="56" t="s">
        <v>324</v>
      </c>
      <c r="E140" s="55"/>
      <c r="F140" s="51" t="n"/>
      <c r="G140" s="51" t="n"/>
      <c r="H140" s="51" t="n"/>
      <c r="I140" s="51" t="n"/>
      <c r="J140" s="51" t="n"/>
      <c r="K140" s="51" t="n"/>
      <c r="L140" s="51" t="n"/>
      <c r="M140" s="51" t="n"/>
      <c r="N140" s="51" t="n"/>
    </row>
    <row r="141">
      <c r="B141" s="10"/>
      <c r="C141" s="10"/>
      <c r="D141" s="15" t="s">
        <v>325</v>
      </c>
      <c r="E141" s="13"/>
      <c r="F141" s="50" t="n"/>
      <c r="G141" s="50" t="n"/>
      <c r="H141" s="50" t="n"/>
      <c r="I141" s="50" t="n"/>
      <c r="J141" s="50" t="n"/>
      <c r="K141" s="50" t="n"/>
      <c r="L141" s="50" t="n"/>
      <c r="M141" s="50" t="n"/>
      <c r="N141" s="50" t="n"/>
    </row>
    <row r="142">
      <c r="B142" s="10"/>
      <c r="C142" s="10"/>
      <c r="D142" s="11" t="s">
        <v>326</v>
      </c>
      <c r="E142" s="9"/>
      <c r="F142" s="51" t="n"/>
      <c r="G142" s="51" t="n"/>
      <c r="H142" s="51" t="n"/>
      <c r="I142" s="51" t="n"/>
      <c r="J142" s="51" t="n"/>
      <c r="K142" s="51" t="n"/>
      <c r="L142" s="51" t="n"/>
      <c r="M142" s="51" t="n"/>
      <c r="N142" s="51" t="n"/>
    </row>
    <row r="143">
      <c r="B143" s="10"/>
      <c r="C143" s="10"/>
      <c r="D143" s="15" t="s">
        <v>327</v>
      </c>
      <c r="E143" s="13"/>
      <c r="F143" s="50" t="n"/>
      <c r="G143" s="50" t="n"/>
      <c r="H143" s="50" t="n"/>
      <c r="I143" s="50" t="n"/>
      <c r="J143" s="50" t="n"/>
      <c r="K143" s="50" t="n"/>
      <c r="L143" s="50" t="n"/>
      <c r="M143" s="50" t="n"/>
      <c r="N143" s="50" t="n"/>
    </row>
    <row r="144">
      <c r="B144" s="10"/>
      <c r="C144" s="10"/>
      <c r="D144" s="11" t="s">
        <v>312</v>
      </c>
      <c r="E144" s="9"/>
      <c r="F144" s="51" t="n"/>
      <c r="G144" s="51" t="n"/>
      <c r="H144" s="51" t="n"/>
      <c r="I144" s="51" t="n"/>
      <c r="J144" s="51" t="n"/>
      <c r="K144" s="51" t="n"/>
      <c r="L144" s="51" t="n"/>
      <c r="M144" s="51" t="n"/>
      <c r="N144" s="51" t="n"/>
    </row>
    <row r="145">
      <c r="B145" s="10"/>
      <c r="C145" s="10"/>
      <c r="D145" s="15" t="s">
        <v>292</v>
      </c>
      <c r="E145" s="13"/>
      <c r="F145" s="50" t="n"/>
      <c r="G145" s="50" t="n"/>
      <c r="H145" s="50" t="n"/>
      <c r="I145" s="50" t="n"/>
      <c r="J145" s="50" t="n"/>
      <c r="K145" s="50" t="n"/>
      <c r="L145" s="50" t="n"/>
      <c r="M145" s="50" t="n"/>
      <c r="N145" s="50" t="n"/>
    </row>
    <row r="146">
      <c r="B146" s="10"/>
      <c r="C146" s="10"/>
      <c r="D146" s="11" t="s">
        <v>294</v>
      </c>
      <c r="E146" s="9"/>
      <c r="F146" s="51" t="n"/>
      <c r="G146" s="51" t="n"/>
      <c r="H146" s="51" t="n"/>
      <c r="I146" s="51" t="n"/>
      <c r="J146" s="51" t="n"/>
      <c r="K146" s="51" t="n"/>
      <c r="L146" s="51" t="n"/>
      <c r="M146" s="51" t="n"/>
      <c r="N146" s="51" t="n"/>
    </row>
    <row r="147">
      <c r="B147" s="10"/>
      <c r="C147" s="10"/>
      <c r="D147" s="15" t="s">
        <v>296</v>
      </c>
      <c r="E147" s="13"/>
      <c r="F147" s="50" t="n"/>
      <c r="G147" s="50" t="n"/>
      <c r="H147" s="50" t="n"/>
      <c r="I147" s="50" t="n"/>
      <c r="J147" s="50" t="n"/>
      <c r="K147" s="50" t="n"/>
      <c r="L147" s="50" t="n"/>
      <c r="M147" s="50" t="n"/>
      <c r="N147" s="50" t="n"/>
    </row>
    <row r="148">
      <c r="B148" s="10"/>
      <c r="C148" s="10"/>
      <c r="D148" s="11" t="s">
        <v>297</v>
      </c>
      <c r="E148" s="9"/>
      <c r="F148" s="51" t="n"/>
      <c r="G148" s="51" t="n"/>
      <c r="H148" s="51" t="n"/>
      <c r="I148" s="51" t="n"/>
      <c r="J148" s="51" t="n"/>
      <c r="K148" s="51" t="n"/>
      <c r="L148" s="51" t="n"/>
      <c r="M148" s="51" t="n"/>
      <c r="N148" s="51" t="n"/>
    </row>
    <row r="149" ht="28.0" customHeight="true">
      <c r="B149" s="10"/>
      <c r="C149" s="11"/>
      <c r="D149" s="15" t="s">
        <v>328</v>
      </c>
      <c r="E149" s="13"/>
      <c r="F149" s="50" t="n">
        <f>F135-F136+F137+F138-F139-F140+F141-F142-F143+F144-SUM(F145:F147)+F148</f>
      </c>
      <c r="G149" s="50" t="n">
        <f>G135-G136+G137+G138-G139-G140+G141-G142-G143+G144-SUM(G145:G147)+G148</f>
      </c>
      <c r="H149" s="50" t="n">
        <f>H135-H136+H137+H138-H139-H140+H141-H142-H143+H144-SUM(H145:H147)+H148</f>
      </c>
      <c r="I149" s="50" t="n">
        <f>I135-I136+I137+I138-I139-I140+I141-I142-I143+I144-SUM(I145:I147)+I148</f>
      </c>
      <c r="J149" s="50" t="n">
        <f>J135-J136+J137+J138-J139-J140+J141-J142-J143+J144-SUM(J145:J147)+J148</f>
      </c>
      <c r="K149" s="50" t="n">
        <f>K135-K136+K137+K138-K139-K140+K141-K142-K143+K144-SUM(K145:K147)+K148</f>
      </c>
      <c r="L149" s="50" t="n">
        <f>L135-L136+L137+L138-L139-L140+L141-L142-L143+L144-SUM(L145:L147)+L148</f>
      </c>
      <c r="M149" s="50" t="n">
        <f>M135-M136+M137+M138-M139-M140+M141-M142-M143+M144-SUM(M145:M147)+M148</f>
      </c>
      <c r="N149" s="50" t="n">
        <f>N135-N136+N137+N138-N139-N140+N141-N142-N143+N144-SUM(N145:N147)+N148</f>
      </c>
    </row>
    <row r="150" ht="28.0" customHeight="true">
      <c r="B150" s="10"/>
      <c r="C150" s="11" t="s">
        <v>329</v>
      </c>
      <c r="D150" s="8"/>
      <c r="E150" s="9"/>
      <c r="F150" s="51" t="n">
        <f>F109+F149+F133</f>
      </c>
      <c r="G150" s="51" t="n">
        <f>G109+G149+G133</f>
      </c>
      <c r="H150" s="51" t="n">
        <f>H109+H149+H133</f>
      </c>
      <c r="I150" s="51" t="n">
        <f>I109+I149+I133</f>
      </c>
      <c r="J150" s="51" t="n">
        <f>J109+J149+J133</f>
      </c>
      <c r="K150" s="51" t="n">
        <f>K109+K149+K133</f>
      </c>
      <c r="L150" s="51" t="n">
        <f>L109+L149+L133</f>
      </c>
      <c r="M150" s="51" t="n">
        <f>M109+M149+M133</f>
      </c>
      <c r="N150" s="51" t="n">
        <f>N109+N149+N133</f>
      </c>
    </row>
    <row r="151" ht="28.0" customHeight="true">
      <c r="B151" s="10"/>
      <c r="C151" s="12" t="s">
        <v>330</v>
      </c>
      <c r="D151" s="37"/>
      <c r="E151" s="13"/>
      <c r="F151" s="22"/>
      <c r="G151" s="22"/>
      <c r="H151" s="22"/>
      <c r="I151" s="22"/>
      <c r="J151" s="22"/>
      <c r="K151" s="22"/>
      <c r="L151" s="22"/>
      <c r="M151" s="22"/>
      <c r="N151" s="22"/>
    </row>
    <row r="152" ht="28.0" customHeight="true">
      <c r="B152" s="10"/>
      <c r="C152" s="15"/>
      <c r="D152" s="11" t="s">
        <v>331</v>
      </c>
      <c r="E152" s="9"/>
      <c r="F152" s="51" t="n"/>
      <c r="G152" s="51" t="n"/>
      <c r="H152" s="51" t="n"/>
      <c r="I152" s="51" t="n"/>
      <c r="J152" s="51" t="n"/>
      <c r="K152" s="51" t="n"/>
      <c r="L152" s="51" t="n"/>
      <c r="M152" s="51" t="n"/>
      <c r="N152" s="51" t="n"/>
    </row>
    <row r="153" ht="28.0" customHeight="true">
      <c r="B153" s="10"/>
      <c r="C153" s="15" t="s">
        <v>332</v>
      </c>
      <c r="D153" s="37"/>
      <c r="E153" s="13"/>
      <c r="F153" s="50" t="n">
        <f>F150+F152</f>
      </c>
      <c r="G153" s="50" t="n">
        <f>G150+G152</f>
      </c>
      <c r="H153" s="50" t="n">
        <f>H150+H152</f>
      </c>
      <c r="I153" s="50" t="n">
        <f>I150+I152</f>
      </c>
      <c r="J153" s="50" t="n">
        <f>J150+J152</f>
      </c>
      <c r="K153" s="50" t="n">
        <f>K150+K152</f>
      </c>
      <c r="L153" s="50" t="n">
        <f>L150+L152</f>
      </c>
      <c r="M153" s="50" t="n">
        <f>M150+M152</f>
      </c>
      <c r="N153" s="50" t="n">
        <f>N150+N152</f>
      </c>
    </row>
    <row r="154">
      <c r="B154" s="10"/>
      <c r="C154" s="11" t="s">
        <v>333</v>
      </c>
      <c r="D154" s="8"/>
      <c r="E154" s="9"/>
      <c r="F154" s="51" t="n"/>
      <c r="G154" s="51" t="n"/>
      <c r="H154" s="51" t="n"/>
      <c r="I154" s="51" t="n"/>
      <c r="J154" s="51" t="n"/>
      <c r="K154" s="51" t="n"/>
      <c r="L154" s="51" t="n"/>
      <c r="M154" s="51" t="n"/>
      <c r="N154" s="51" t="n"/>
    </row>
    <row r="155">
      <c r="B155" s="11"/>
      <c r="C155" s="15" t="s">
        <v>334</v>
      </c>
      <c r="D155" s="37"/>
      <c r="E155" s="13"/>
      <c r="F155" s="53" t="n">
        <f>F80</f>
      </c>
      <c r="G155" s="53" t="n">
        <f>G80</f>
      </c>
      <c r="H155" s="53" t="n">
        <f>H80</f>
      </c>
      <c r="I155" s="53" t="n">
        <f>I80</f>
      </c>
      <c r="J155" s="53" t="n">
        <f>J80</f>
      </c>
      <c r="K155" s="53" t="n">
        <f>K80</f>
      </c>
      <c r="L155" s="53" t="n">
        <f>L80</f>
      </c>
      <c r="M155" s="53" t="n">
        <f>M80</f>
      </c>
      <c r="N155" s="53" t="n">
        <f>Hoja2!Q126</f>
      </c>
    </row>
  </sheetData>
  <mergeCells>
    <mergeCell ref="F10:N10"/>
    <mergeCell ref="B12:E12"/>
    <mergeCell ref="C13:E13"/>
    <mergeCell ref="D14:E14"/>
    <mergeCell ref="D21:E21"/>
    <mergeCell ref="D28:E28"/>
    <mergeCell ref="D29:E29"/>
    <mergeCell ref="D30:E30"/>
    <mergeCell ref="D31:E31"/>
    <mergeCell ref="D32:E32"/>
    <mergeCell ref="D33:E33"/>
    <mergeCell ref="D34:E34"/>
    <mergeCell ref="D35:E35"/>
    <mergeCell ref="C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C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C76:E76"/>
    <mergeCell ref="C77:E77"/>
    <mergeCell ref="D78:E78"/>
    <mergeCell ref="C79:E79"/>
    <mergeCell ref="C80:E80"/>
    <mergeCell ref="C81:E81"/>
    <mergeCell ref="F84:N84"/>
    <mergeCell ref="B86:E86"/>
    <mergeCell ref="C87:E87"/>
    <mergeCell ref="D88:E88"/>
    <mergeCell ref="D95:E95"/>
    <mergeCell ref="D102:E102"/>
    <mergeCell ref="D103:E103"/>
    <mergeCell ref="D104:E104"/>
    <mergeCell ref="D105:E105"/>
    <mergeCell ref="D106:E106"/>
    <mergeCell ref="D107:E107"/>
    <mergeCell ref="D108:E108"/>
    <mergeCell ref="D109:E109"/>
    <mergeCell ref="C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C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C150:E150"/>
    <mergeCell ref="C151:E151"/>
    <mergeCell ref="D152:E152"/>
    <mergeCell ref="C153:E153"/>
    <mergeCell ref="C154:E154"/>
    <mergeCell ref="C155:E155"/>
  </mergeCells>
  <hyperlinks>
    <hyperlink location="'Indice'!A1" ref="B2"/>
  </hyperlinks>
  <pageMargins bottom="0.75" footer="0.3" header="0.3" left="0.7" right="0.7" top="0.75"/>
</worksheet>
</file>

<file path=xl/worksheets/sheet8.xml><?xml version="1.0" encoding="utf-8"?>
<worksheet xmlns="http://schemas.openxmlformats.org/spreadsheetml/2006/main">
  <dimension ref="B2:AK65"/>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2">
      <c r="B2" t="s" s="2">
        <v>1</v>
      </c>
    </row>
    <row r="3">
      <c r="B3" t="s" s="1">
        <v>3</v>
      </c>
      <c r="C3" t="s">
        <v>4</v>
      </c>
    </row>
    <row r="4">
      <c r="B4" s="1" t="s">
        <v>5</v>
      </c>
      <c r="C4" t="s">
        <v>6</v>
      </c>
    </row>
    <row r="5">
      <c r="B5" t="s" s="1">
        <v>7</v>
      </c>
      <c r="C5" t="s">
        <v>335</v>
      </c>
    </row>
    <row r="6">
      <c r="B6" t="s" s="1">
        <v>8</v>
      </c>
      <c r="C6" t="s">
        <v>9</v>
      </c>
    </row>
    <row r="7">
      <c r="B7" t="s" s="1">
        <v>10</v>
      </c>
      <c r="C7" t="s">
        <v>9</v>
      </c>
    </row>
    <row r="9">
      <c r="B9" t="s" s="1">
        <v>11</v>
      </c>
      <c r="C9" t="s">
        <v>12</v>
      </c>
    </row>
    <row r="10">
      <c r="F10" t="s" s="4">
        <v>336</v>
      </c>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30"/>
    </row>
    <row r="11">
      <c r="F11" t="s" s="33">
        <v>337</v>
      </c>
      <c r="G11" t="s" s="5">
        <v>338</v>
      </c>
      <c r="H11" t="s" s="33">
        <v>339</v>
      </c>
      <c r="I11" t="s" s="5">
        <v>340</v>
      </c>
      <c r="J11" t="s" s="32">
        <v>341</v>
      </c>
      <c r="K11" s="61"/>
      <c r="L11" s="61"/>
      <c r="M11" s="61"/>
      <c r="N11" s="61"/>
      <c r="O11" s="61"/>
      <c r="P11" s="62"/>
      <c r="Q11" t="s" s="4">
        <v>348</v>
      </c>
      <c r="R11" s="29"/>
      <c r="S11" s="29"/>
      <c r="T11" s="29"/>
      <c r="U11" s="29"/>
      <c r="V11" s="29"/>
      <c r="W11" s="29"/>
      <c r="X11" s="29"/>
      <c r="Y11" s="29"/>
      <c r="Z11" s="29"/>
      <c r="AA11" s="29"/>
      <c r="AB11" s="29"/>
      <c r="AC11" s="29"/>
      <c r="AD11" s="29"/>
      <c r="AE11" s="29"/>
      <c r="AF11" s="29"/>
      <c r="AG11" s="29"/>
      <c r="AH11" s="30"/>
      <c r="AI11" t="s" s="5">
        <v>366</v>
      </c>
      <c r="AJ11" s="64"/>
    </row>
    <row r="12" ht="28.0" customHeight="true">
      <c r="F12" s="63"/>
      <c r="G12" s="35"/>
      <c r="H12" s="63"/>
      <c r="I12" s="35"/>
      <c r="J12" t="s" s="6">
        <v>342</v>
      </c>
      <c r="K12" t="s" s="34">
        <v>343</v>
      </c>
      <c r="L12" t="s" s="6">
        <v>344</v>
      </c>
      <c r="M12" t="s" s="34">
        <v>345</v>
      </c>
      <c r="N12" t="s" s="6">
        <v>346</v>
      </c>
      <c r="O12" t="s" s="34">
        <v>347</v>
      </c>
      <c r="P12" s="63"/>
      <c r="Q12" t="s" s="34">
        <v>349</v>
      </c>
      <c r="R12" t="s" s="6">
        <v>350</v>
      </c>
      <c r="S12" t="s" s="34">
        <v>351</v>
      </c>
      <c r="T12" t="s" s="6">
        <v>352</v>
      </c>
      <c r="U12" t="s" s="34">
        <v>353</v>
      </c>
      <c r="V12" t="s" s="6">
        <v>354</v>
      </c>
      <c r="W12" t="s" s="34">
        <v>355</v>
      </c>
      <c r="X12" t="s" s="6">
        <v>356</v>
      </c>
      <c r="Y12" t="s" s="34">
        <v>357</v>
      </c>
      <c r="Z12" t="s" s="6">
        <v>358</v>
      </c>
      <c r="AA12" t="s" s="34">
        <v>359</v>
      </c>
      <c r="AB12" t="s" s="6">
        <v>360</v>
      </c>
      <c r="AC12" t="s" s="34">
        <v>361</v>
      </c>
      <c r="AD12" t="s" s="6">
        <v>362</v>
      </c>
      <c r="AE12" t="s" s="34">
        <v>363</v>
      </c>
      <c r="AF12" t="s" s="6">
        <v>364</v>
      </c>
      <c r="AG12" t="s" s="34">
        <v>365</v>
      </c>
      <c r="AH12" s="35"/>
      <c r="AI12" s="35"/>
      <c r="AJ12" s="36"/>
    </row>
    <row r="13">
      <c r="B13" s="7" t="s">
        <v>367</v>
      </c>
      <c r="C13" s="8"/>
      <c r="D13" s="8"/>
      <c r="E13" s="9"/>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row>
    <row r="14">
      <c r="B14" s="10"/>
      <c r="C14" s="15" t="s">
        <v>368</v>
      </c>
      <c r="D14" s="37"/>
      <c r="E14" s="13"/>
      <c r="F14" s="51" t="n"/>
      <c r="G14" s="51" t="n"/>
      <c r="H14" s="51" t="n"/>
      <c r="I14" s="51" t="n"/>
      <c r="J14" s="51" t="n"/>
      <c r="K14" s="51" t="n"/>
      <c r="L14" s="51" t="n"/>
      <c r="M14" s="51" t="n"/>
      <c r="N14" s="51"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f>Hoja2!Q218+Hoja2!Q219-Hoja2!Q220+Hoja2!Q221+Hoja2!Q222+SUM(Hoja2!Q224:Q227)</f>
      </c>
    </row>
    <row r="15">
      <c r="B15" s="10"/>
      <c r="C15" s="11" t="s">
        <v>369</v>
      </c>
      <c r="D15" s="8"/>
      <c r="E15" s="9"/>
      <c r="F15" s="50" t="n"/>
      <c r="G15" s="50" t="n"/>
      <c r="H15" s="50" t="n"/>
      <c r="I15" s="50" t="n"/>
      <c r="J15" s="50" t="n"/>
      <c r="K15" s="50" t="n"/>
      <c r="L15" s="50" t="n"/>
      <c r="M15" s="50" t="n"/>
      <c r="N15" s="50" t="n"/>
      <c r="O15" s="50" t="n"/>
      <c r="P15" s="50" t="n"/>
      <c r="Q15" s="50" t="n"/>
      <c r="R15" s="50" t="n"/>
      <c r="S15" s="50" t="n"/>
      <c r="T15" s="50" t="n"/>
      <c r="U15" s="50" t="n"/>
      <c r="V15" s="50" t="n"/>
      <c r="W15" s="50" t="n"/>
      <c r="X15" s="50" t="n"/>
      <c r="Y15" s="50" t="n"/>
      <c r="Z15" s="50" t="n"/>
      <c r="AA15" s="50" t="n"/>
      <c r="AB15" s="50" t="n"/>
      <c r="AC15" s="50" t="n"/>
      <c r="AD15" s="50" t="n"/>
      <c r="AE15" s="50" t="n"/>
      <c r="AF15" s="50" t="n"/>
      <c r="AG15" s="50" t="n"/>
      <c r="AH15" s="50" t="n"/>
      <c r="AI15" s="50" t="n"/>
      <c r="AJ15" s="50" t="n"/>
    </row>
    <row r="16">
      <c r="B16" s="10"/>
      <c r="C16" s="15" t="s">
        <v>370</v>
      </c>
      <c r="D16" s="37"/>
      <c r="E16" s="13"/>
      <c r="F16" s="51" t="n"/>
      <c r="G16" s="51" t="n"/>
      <c r="H16" s="51" t="n"/>
      <c r="I16" s="51" t="n"/>
      <c r="J16" s="51" t="n"/>
      <c r="K16" s="51" t="n"/>
      <c r="L16" s="51" t="n"/>
      <c r="M16" s="51" t="n"/>
      <c r="N16" s="51"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row>
    <row r="17">
      <c r="B17" s="10"/>
      <c r="C17" s="11" t="s">
        <v>371</v>
      </c>
      <c r="D17" s="8"/>
      <c r="E17" s="9"/>
      <c r="F17" s="50" t="n"/>
      <c r="G17" s="50" t="n"/>
      <c r="H17" s="50" t="n"/>
      <c r="I17" s="50" t="n"/>
      <c r="J17" s="50" t="n"/>
      <c r="K17" s="50" t="n"/>
      <c r="L17" s="50" t="n"/>
      <c r="M17" s="50" t="n"/>
      <c r="N17" s="50" t="n"/>
      <c r="O17" s="50" t="n"/>
      <c r="P17" s="50" t="n"/>
      <c r="Q17" s="50" t="n"/>
      <c r="R17" s="50" t="n"/>
      <c r="S17" s="50" t="n"/>
      <c r="T17" s="50" t="n"/>
      <c r="U17" s="50" t="n"/>
      <c r="V17" s="50" t="n"/>
      <c r="W17" s="50" t="n"/>
      <c r="X17" s="50" t="n"/>
      <c r="Y17" s="50" t="n"/>
      <c r="Z17" s="50" t="n"/>
      <c r="AA17" s="50" t="n"/>
      <c r="AB17" s="50" t="n"/>
      <c r="AC17" s="50" t="n"/>
      <c r="AD17" s="50" t="n"/>
      <c r="AE17" s="50" t="n"/>
      <c r="AF17" s="50" t="n"/>
      <c r="AG17" s="50" t="n"/>
      <c r="AH17" s="50" t="n"/>
      <c r="AI17" s="50" t="n"/>
      <c r="AJ17" s="50" t="n"/>
    </row>
    <row r="18">
      <c r="B18" s="10"/>
      <c r="C18" s="12" t="s">
        <v>372</v>
      </c>
      <c r="D18" s="37"/>
      <c r="E18" s="1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row>
    <row r="19">
      <c r="B19" s="10"/>
      <c r="C19" s="14"/>
      <c r="D19" s="7" t="s">
        <v>373</v>
      </c>
      <c r="E19" s="9"/>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row>
    <row r="20">
      <c r="B20" s="10"/>
      <c r="C20" s="14"/>
      <c r="D20" s="10"/>
      <c r="E20" s="19" t="s">
        <v>179</v>
      </c>
      <c r="F20" s="51" t="n"/>
      <c r="G20" s="51" t="n"/>
      <c r="H20" s="51" t="n"/>
      <c r="I20" s="51" t="n"/>
      <c r="J20" s="51" t="n"/>
      <c r="K20" s="51" t="n"/>
      <c r="L20" s="51" t="n"/>
      <c r="M20" s="51" t="n"/>
      <c r="N20" s="51" t="n"/>
      <c r="O20" s="51" t="n"/>
      <c r="P20" s="51" t="n"/>
      <c r="Q20" s="51" t="n"/>
      <c r="R20" s="51" t="n"/>
      <c r="S20" s="51" t="n"/>
      <c r="T20" s="51" t="n"/>
      <c r="U20" s="51" t="n"/>
      <c r="V20" s="51" t="n"/>
      <c r="W20" s="51" t="n"/>
      <c r="X20" s="51" t="n"/>
      <c r="Y20" s="51" t="n"/>
      <c r="Z20" s="51" t="n"/>
      <c r="AA20" s="51" t="n"/>
      <c r="AB20" s="51" t="n"/>
      <c r="AC20" s="51" t="n"/>
      <c r="AD20" s="51" t="n"/>
      <c r="AE20" s="51" t="n"/>
      <c r="AF20" s="51" t="n"/>
      <c r="AG20" s="51" t="n"/>
      <c r="AH20" s="51" t="n"/>
      <c r="AI20" s="51" t="n"/>
      <c r="AJ20" s="51" t="n">
        <f>Hoja3!N36+Hoja3!N37</f>
      </c>
    </row>
    <row r="21">
      <c r="B21" s="10"/>
      <c r="C21" s="14"/>
      <c r="D21" s="10"/>
      <c r="E21" s="18" t="s">
        <v>374</v>
      </c>
      <c r="F21" s="50" t="n"/>
      <c r="G21" s="50" t="n"/>
      <c r="H21" s="50" t="n"/>
      <c r="I21" s="50" t="n"/>
      <c r="J21" s="50" t="n"/>
      <c r="K21" s="50" t="n"/>
      <c r="L21" s="50" t="n"/>
      <c r="M21" s="50" t="n"/>
      <c r="N21" s="50" t="n"/>
      <c r="O21" s="50" t="n"/>
      <c r="P21" s="50" t="n"/>
      <c r="Q21" s="50" t="n"/>
      <c r="R21" s="50" t="n"/>
      <c r="S21" s="50" t="n"/>
      <c r="T21" s="50" t="n"/>
      <c r="U21" s="50" t="n"/>
      <c r="V21" s="50" t="n"/>
      <c r="W21" s="50" t="n"/>
      <c r="X21" s="50" t="n"/>
      <c r="Y21" s="50" t="n"/>
      <c r="Z21" s="50" t="n"/>
      <c r="AA21" s="50" t="n"/>
      <c r="AB21" s="50" t="n"/>
      <c r="AC21" s="50" t="n"/>
      <c r="AD21" s="50" t="n"/>
      <c r="AE21" s="50" t="n"/>
      <c r="AF21" s="50" t="n"/>
      <c r="AG21" s="50" t="n"/>
      <c r="AH21" s="50" t="n"/>
      <c r="AI21" s="50" t="n"/>
      <c r="AJ21" s="50" t="n">
        <f>Hoja4!H70-Hoja4!H79-Hoja4!H80-Hoja4!H92-Hoja4!H93</f>
      </c>
    </row>
    <row r="22">
      <c r="B22" s="10"/>
      <c r="C22" s="14"/>
      <c r="D22" s="11"/>
      <c r="E22" s="57" t="s">
        <v>273</v>
      </c>
      <c r="F22" s="51" t="n">
        <f>F20+F21</f>
      </c>
      <c r="G22" s="51" t="n">
        <f>G20+G21</f>
      </c>
      <c r="H22" s="51" t="n">
        <f>H20+H21</f>
      </c>
      <c r="I22" s="51" t="n">
        <f>I20+I21</f>
      </c>
      <c r="J22" s="51" t="n">
        <f>J20+J21</f>
      </c>
      <c r="K22" s="51" t="n">
        <f>K20+K21</f>
      </c>
      <c r="L22" s="51" t="n">
        <f>L20+L21</f>
      </c>
      <c r="M22" s="51" t="n">
        <f>M20+M21</f>
      </c>
      <c r="N22" s="51" t="n">
        <f>N20+N21</f>
      </c>
      <c r="O22" s="51" t="n">
        <f>O20+O21</f>
      </c>
      <c r="P22" s="51" t="n">
        <f>P20+P21</f>
      </c>
      <c r="Q22" s="51" t="n">
        <f>Q20+Q21</f>
      </c>
      <c r="R22" s="51" t="n">
        <f>R20+R21</f>
      </c>
      <c r="S22" s="51" t="n">
        <f>S20+S21</f>
      </c>
      <c r="T22" s="51" t="n">
        <f>T20+T21</f>
      </c>
      <c r="U22" s="51" t="n">
        <f>U20+U21</f>
      </c>
      <c r="V22" s="51" t="n">
        <f>V20+V21</f>
      </c>
      <c r="W22" s="51" t="n">
        <f>W20+W21</f>
      </c>
      <c r="X22" s="51" t="n">
        <f>X20+X21</f>
      </c>
      <c r="Y22" s="51" t="n">
        <f>Y20+Y21</f>
      </c>
      <c r="Z22" s="51" t="n">
        <f>Z20+Z21</f>
      </c>
      <c r="AA22" s="51" t="n">
        <f>AA20+AA21</f>
      </c>
      <c r="AB22" s="51" t="n">
        <f>AB20+AB21</f>
      </c>
      <c r="AC22" s="51" t="n">
        <f>AC20+AC21</f>
      </c>
      <c r="AD22" s="51" t="n">
        <f>AD20+AD21</f>
      </c>
      <c r="AE22" s="51" t="n">
        <f>AE20+AE21</f>
      </c>
      <c r="AF22" s="51" t="n">
        <f>AF20+AF21</f>
      </c>
      <c r="AG22" s="51" t="n">
        <f>AG20+AG21</f>
      </c>
      <c r="AH22" s="51" t="n">
        <f>AH20+AH21</f>
      </c>
      <c r="AI22" s="51" t="n">
        <f>AI20+AI21</f>
      </c>
      <c r="AJ22" s="51" t="n">
        <f>AJ20+AJ21</f>
      </c>
    </row>
    <row r="23">
      <c r="B23" s="10"/>
      <c r="C23" s="14"/>
      <c r="D23" s="11" t="s">
        <v>375</v>
      </c>
      <c r="E23" s="9"/>
      <c r="F23" s="50" t="n"/>
      <c r="G23" s="50" t="n"/>
      <c r="H23" s="50" t="n"/>
      <c r="I23" s="50" t="n"/>
      <c r="J23" s="50" t="n"/>
      <c r="K23" s="50" t="n"/>
      <c r="L23" s="50" t="n"/>
      <c r="M23" s="50" t="n"/>
      <c r="N23" s="50" t="n"/>
      <c r="O23" s="50" t="n"/>
      <c r="P23" s="50" t="n"/>
      <c r="Q23" s="50" t="n"/>
      <c r="R23" s="50" t="n"/>
      <c r="S23" s="50" t="n"/>
      <c r="T23" s="50" t="n"/>
      <c r="U23" s="50" t="n"/>
      <c r="V23" s="50" t="n"/>
      <c r="W23" s="50" t="n"/>
      <c r="X23" s="50" t="n"/>
      <c r="Y23" s="50" t="n"/>
      <c r="Z23" s="50" t="n"/>
      <c r="AA23" s="50" t="n"/>
      <c r="AB23" s="50" t="n"/>
      <c r="AC23" s="50" t="n"/>
      <c r="AD23" s="50" t="n"/>
      <c r="AE23" s="50" t="n"/>
      <c r="AF23" s="50" t="n"/>
      <c r="AG23" s="50" t="n"/>
      <c r="AH23" s="50" t="n"/>
      <c r="AI23" s="50" t="n"/>
      <c r="AJ23" s="50" t="n"/>
    </row>
    <row r="24">
      <c r="B24" s="10"/>
      <c r="C24" s="14"/>
      <c r="D24" s="49" t="s">
        <v>376</v>
      </c>
      <c r="E24" s="48"/>
      <c r="F24" s="51" t="n"/>
      <c r="G24" s="51" t="n"/>
      <c r="H24" s="51" t="n"/>
      <c r="I24" s="51" t="n"/>
      <c r="J24" s="51" t="n"/>
      <c r="K24" s="51" t="n"/>
      <c r="L24" s="51" t="n"/>
      <c r="M24" s="51" t="n"/>
      <c r="N24" s="51" t="n"/>
      <c r="O24" s="51" t="n"/>
      <c r="P24" s="51" t="n"/>
      <c r="Q24" s="51" t="n"/>
      <c r="R24" s="51" t="n"/>
      <c r="S24" s="51" t="n"/>
      <c r="T24" s="51" t="n"/>
      <c r="U24" s="51" t="n"/>
      <c r="V24" s="51" t="n"/>
      <c r="W24" s="51" t="n"/>
      <c r="X24" s="51" t="n"/>
      <c r="Y24" s="51" t="n"/>
      <c r="Z24" s="51" t="n"/>
      <c r="AA24" s="51" t="n"/>
      <c r="AB24" s="51" t="n"/>
      <c r="AC24" s="51" t="n"/>
      <c r="AD24" s="51" t="n"/>
      <c r="AE24" s="51" t="n"/>
      <c r="AF24" s="51" t="n"/>
      <c r="AG24" s="51" t="n"/>
      <c r="AH24" s="51" t="n"/>
      <c r="AI24" s="51" t="n"/>
      <c r="AJ24" s="51" t="n"/>
    </row>
    <row r="25">
      <c r="B25" s="10"/>
      <c r="C25" s="14"/>
      <c r="D25" s="11" t="s">
        <v>377</v>
      </c>
      <c r="E25" s="9"/>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row>
    <row r="26">
      <c r="B26" s="10"/>
      <c r="C26" s="14"/>
      <c r="D26" s="49" t="s">
        <v>378</v>
      </c>
      <c r="E26" s="48"/>
      <c r="F26" s="51" t="n"/>
      <c r="G26" s="51" t="n"/>
      <c r="H26" s="51" t="n"/>
      <c r="I26" s="51" t="n"/>
      <c r="J26" s="51" t="n"/>
      <c r="K26" s="51" t="n"/>
      <c r="L26" s="51" t="n"/>
      <c r="M26" s="51" t="n"/>
      <c r="N26" s="51" t="n"/>
      <c r="O26" s="51" t="n"/>
      <c r="P26" s="51" t="n"/>
      <c r="Q26" s="51" t="n"/>
      <c r="R26" s="51" t="n"/>
      <c r="S26" s="51" t="n"/>
      <c r="T26" s="51" t="n"/>
      <c r="U26" s="51" t="n"/>
      <c r="V26" s="51" t="n"/>
      <c r="W26" s="51" t="n"/>
      <c r="X26" s="51" t="n"/>
      <c r="Y26" s="51" t="n"/>
      <c r="Z26" s="51" t="n"/>
      <c r="AA26" s="51" t="n"/>
      <c r="AB26" s="51" t="n"/>
      <c r="AC26" s="51" t="n"/>
      <c r="AD26" s="51" t="n"/>
      <c r="AE26" s="51" t="n"/>
      <c r="AF26" s="51" t="n"/>
      <c r="AG26" s="51" t="n"/>
      <c r="AH26" s="51" t="n"/>
      <c r="AI26" s="51" t="n"/>
      <c r="AJ26" s="51" t="n"/>
    </row>
    <row r="27">
      <c r="B27" s="10"/>
      <c r="C27" s="14"/>
      <c r="D27" s="11" t="s">
        <v>379</v>
      </c>
      <c r="E27" s="9"/>
      <c r="F27" s="50" t="n"/>
      <c r="G27" s="50" t="n"/>
      <c r="H27" s="50" t="n"/>
      <c r="I27" s="50" t="n"/>
      <c r="J27" s="50" t="n"/>
      <c r="K27" s="50" t="n"/>
      <c r="L27" s="50" t="n"/>
      <c r="M27" s="50" t="n"/>
      <c r="N27" s="50" t="n"/>
      <c r="O27" s="50" t="n"/>
      <c r="P27" s="50" t="n"/>
      <c r="Q27" s="50" t="n"/>
      <c r="R27" s="50" t="n"/>
      <c r="S27" s="50" t="n"/>
      <c r="T27" s="50" t="n"/>
      <c r="U27" s="50" t="n"/>
      <c r="V27" s="50" t="n"/>
      <c r="W27" s="50" t="n"/>
      <c r="X27" s="50" t="n"/>
      <c r="Y27" s="50" t="n"/>
      <c r="Z27" s="50" t="n"/>
      <c r="AA27" s="50" t="n"/>
      <c r="AB27" s="50" t="n"/>
      <c r="AC27" s="50" t="n"/>
      <c r="AD27" s="50" t="n"/>
      <c r="AE27" s="50" t="n"/>
      <c r="AF27" s="50" t="n"/>
      <c r="AG27" s="50" t="n"/>
      <c r="AH27" s="50" t="n"/>
      <c r="AI27" s="50" t="n"/>
      <c r="AJ27" s="50" t="n"/>
    </row>
    <row r="28" ht="28.0" customHeight="true">
      <c r="B28" s="10"/>
      <c r="C28" s="14"/>
      <c r="D28" s="15" t="s">
        <v>380</v>
      </c>
      <c r="E28" s="13"/>
      <c r="F28" s="51" t="n"/>
      <c r="G28" s="51" t="n"/>
      <c r="H28" s="51" t="n"/>
      <c r="I28" s="51" t="n"/>
      <c r="J28" s="51" t="n"/>
      <c r="K28" s="51" t="n"/>
      <c r="L28" s="51" t="n"/>
      <c r="M28" s="51" t="n"/>
      <c r="N28" s="51" t="n"/>
      <c r="O28" s="51" t="n"/>
      <c r="P28" s="51" t="n"/>
      <c r="Q28" s="51" t="n"/>
      <c r="R28" s="51" t="n"/>
      <c r="S28" s="51" t="n"/>
      <c r="T28" s="51" t="n"/>
      <c r="U28" s="51" t="n"/>
      <c r="V28" s="51" t="n"/>
      <c r="W28" s="51" t="n"/>
      <c r="X28" s="51" t="n"/>
      <c r="Y28" s="51" t="n"/>
      <c r="Z28" s="51" t="n"/>
      <c r="AA28" s="51" t="n"/>
      <c r="AB28" s="51" t="n"/>
      <c r="AC28" s="51" t="n"/>
      <c r="AD28" s="51" t="n"/>
      <c r="AE28" s="51" t="n"/>
      <c r="AF28" s="51" t="n"/>
      <c r="AG28" s="51" t="n"/>
      <c r="AH28" s="51" t="n"/>
      <c r="AI28" s="51" t="n"/>
      <c r="AJ28" s="51" t="n"/>
    </row>
    <row r="29" ht="28.0" customHeight="true">
      <c r="B29" s="10"/>
      <c r="C29" s="14"/>
      <c r="D29" s="11" t="s">
        <v>381</v>
      </c>
      <c r="E29" s="9"/>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row>
    <row r="30" ht="28.0" customHeight="true">
      <c r="B30" s="10"/>
      <c r="C30" s="14"/>
      <c r="D30" s="15" t="s">
        <v>382</v>
      </c>
      <c r="E30" s="13"/>
      <c r="F30" s="51" t="n"/>
      <c r="G30" s="51" t="n"/>
      <c r="H30" s="51" t="n"/>
      <c r="I30" s="51" t="n"/>
      <c r="J30" s="51" t="n"/>
      <c r="K30" s="51" t="n"/>
      <c r="L30" s="51" t="n"/>
      <c r="M30" s="51" t="n"/>
      <c r="N30" s="51" t="n"/>
      <c r="O30" s="51" t="n"/>
      <c r="P30" s="51" t="n"/>
      <c r="Q30" s="51" t="n"/>
      <c r="R30" s="51" t="n"/>
      <c r="S30" s="51" t="n"/>
      <c r="T30" s="51" t="n"/>
      <c r="U30" s="51" t="n"/>
      <c r="V30" s="51" t="n"/>
      <c r="W30" s="51" t="n"/>
      <c r="X30" s="51" t="n"/>
      <c r="Y30" s="51" t="n"/>
      <c r="Z30" s="51" t="n"/>
      <c r="AA30" s="51" t="n"/>
      <c r="AB30" s="51" t="n"/>
      <c r="AC30" s="51" t="n"/>
      <c r="AD30" s="51" t="n"/>
      <c r="AE30" s="51" t="n"/>
      <c r="AF30" s="51" t="n"/>
      <c r="AG30" s="51" t="n"/>
      <c r="AH30" s="51" t="n"/>
      <c r="AI30" s="51" t="n"/>
      <c r="AJ30" s="51" t="n"/>
    </row>
    <row r="31" ht="56.0" customHeight="true">
      <c r="B31" s="10"/>
      <c r="C31" s="14"/>
      <c r="D31" s="11" t="s">
        <v>383</v>
      </c>
      <c r="E31" s="9"/>
      <c r="F31" s="50" t="n"/>
      <c r="G31" s="50" t="n"/>
      <c r="H31" s="50" t="n"/>
      <c r="I31" s="50" t="n"/>
      <c r="J31" s="50" t="n"/>
      <c r="K31" s="50" t="n"/>
      <c r="L31" s="50" t="n"/>
      <c r="M31" s="50" t="n"/>
      <c r="N31" s="50" t="n"/>
      <c r="O31" s="50" t="n"/>
      <c r="P31" s="50" t="n"/>
      <c r="Q31" s="50" t="n"/>
      <c r="R31" s="50" t="n"/>
      <c r="S31" s="50" t="n"/>
      <c r="T31" s="50" t="n"/>
      <c r="U31" s="50" t="n"/>
      <c r="V31" s="50" t="n"/>
      <c r="W31" s="50" t="n"/>
      <c r="X31" s="50" t="n"/>
      <c r="Y31" s="50" t="n"/>
      <c r="Z31" s="50" t="n"/>
      <c r="AA31" s="50" t="n"/>
      <c r="AB31" s="50" t="n"/>
      <c r="AC31" s="50" t="n"/>
      <c r="AD31" s="50" t="n"/>
      <c r="AE31" s="50" t="n"/>
      <c r="AF31" s="50" t="n"/>
      <c r="AG31" s="50" t="n"/>
      <c r="AH31" s="50" t="n"/>
      <c r="AI31" s="50" t="n"/>
      <c r="AJ31" s="50" t="n"/>
    </row>
    <row r="32" ht="56.0" customHeight="true">
      <c r="B32" s="10"/>
      <c r="C32" s="14"/>
      <c r="D32" s="15" t="s">
        <v>384</v>
      </c>
      <c r="E32" s="13"/>
      <c r="F32" s="51" t="n"/>
      <c r="G32" s="51" t="n"/>
      <c r="H32" s="51" t="n"/>
      <c r="I32" s="51" t="n"/>
      <c r="J32" s="51" t="n"/>
      <c r="K32" s="51" t="n"/>
      <c r="L32" s="51" t="n"/>
      <c r="M32" s="51" t="n"/>
      <c r="N32" s="51" t="n"/>
      <c r="O32" s="51" t="n"/>
      <c r="P32" s="51" t="n"/>
      <c r="Q32" s="51" t="n"/>
      <c r="R32" s="51" t="n"/>
      <c r="S32" s="51" t="n"/>
      <c r="T32" s="51" t="n"/>
      <c r="U32" s="51" t="n"/>
      <c r="V32" s="51" t="n"/>
      <c r="W32" s="51" t="n"/>
      <c r="X32" s="51" t="n"/>
      <c r="Y32" s="51" t="n"/>
      <c r="Z32" s="51" t="n"/>
      <c r="AA32" s="51" t="n"/>
      <c r="AB32" s="51" t="n"/>
      <c r="AC32" s="51" t="n"/>
      <c r="AD32" s="51" t="n"/>
      <c r="AE32" s="51" t="n"/>
      <c r="AF32" s="51" t="n"/>
      <c r="AG32" s="51" t="n"/>
      <c r="AH32" s="51" t="n"/>
      <c r="AI32" s="51" t="n"/>
      <c r="AJ32" s="51" t="n"/>
    </row>
    <row r="33" ht="56.0" customHeight="true">
      <c r="B33" s="10"/>
      <c r="C33" s="14"/>
      <c r="D33" s="11" t="s">
        <v>385</v>
      </c>
      <c r="E33" s="9"/>
      <c r="F33" s="50" t="n"/>
      <c r="G33" s="50" t="n"/>
      <c r="H33" s="50" t="n"/>
      <c r="I33" s="50" t="n"/>
      <c r="J33" s="50" t="n"/>
      <c r="K33" s="50" t="n"/>
      <c r="L33" s="50" t="n"/>
      <c r="M33" s="50" t="n"/>
      <c r="N33" s="50" t="n"/>
      <c r="O33" s="50" t="n"/>
      <c r="P33" s="50" t="n"/>
      <c r="Q33" s="50" t="n"/>
      <c r="R33" s="50" t="n"/>
      <c r="S33" s="50" t="n"/>
      <c r="T33" s="50" t="n"/>
      <c r="U33" s="50" t="n"/>
      <c r="V33" s="50" t="n"/>
      <c r="W33" s="50" t="n"/>
      <c r="X33" s="50" t="n"/>
      <c r="Y33" s="50" t="n"/>
      <c r="Z33" s="50" t="n"/>
      <c r="AA33" s="50" t="n"/>
      <c r="AB33" s="50" t="n"/>
      <c r="AC33" s="50" t="n"/>
      <c r="AD33" s="50" t="n"/>
      <c r="AE33" s="50" t="n"/>
      <c r="AF33" s="50" t="n"/>
      <c r="AG33" s="50" t="n"/>
      <c r="AH33" s="50" t="n"/>
      <c r="AI33" s="50" t="n"/>
      <c r="AJ33" s="50" t="n"/>
    </row>
    <row r="34" ht="70.0" customHeight="true">
      <c r="B34" s="10"/>
      <c r="C34" s="14"/>
      <c r="D34" s="15" t="s">
        <v>386</v>
      </c>
      <c r="E34" s="13"/>
      <c r="F34" s="51" t="n"/>
      <c r="G34" s="51" t="n"/>
      <c r="H34" s="51" t="n"/>
      <c r="I34" s="51" t="n"/>
      <c r="J34" s="51" t="n"/>
      <c r="K34" s="51" t="n"/>
      <c r="L34" s="51" t="n"/>
      <c r="M34" s="51" t="n"/>
      <c r="N34" s="51" t="n"/>
      <c r="O34" s="51" t="n"/>
      <c r="P34" s="51" t="n"/>
      <c r="Q34" s="51" t="n"/>
      <c r="R34" s="51" t="n"/>
      <c r="S34" s="51" t="n"/>
      <c r="T34" s="51" t="n"/>
      <c r="U34" s="51" t="n"/>
      <c r="V34" s="51" t="n"/>
      <c r="W34" s="51" t="n"/>
      <c r="X34" s="51" t="n"/>
      <c r="Y34" s="51" t="n"/>
      <c r="Z34" s="51" t="n"/>
      <c r="AA34" s="51" t="n"/>
      <c r="AB34" s="51" t="n"/>
      <c r="AC34" s="51" t="n"/>
      <c r="AD34" s="51" t="n"/>
      <c r="AE34" s="51" t="n"/>
      <c r="AF34" s="51" t="n"/>
      <c r="AG34" s="51" t="n"/>
      <c r="AH34" s="51" t="n"/>
      <c r="AI34" s="51" t="n"/>
      <c r="AJ34" s="51" t="n"/>
    </row>
    <row r="35">
      <c r="B35" s="10"/>
      <c r="C35" s="15"/>
      <c r="D35" s="45" t="s">
        <v>387</v>
      </c>
      <c r="E35" s="44"/>
      <c r="F35" s="50" t="n">
        <f>F22+F23-F24+F25-F26+SUM(F27:F30)-SUM(F31:F34)</f>
      </c>
      <c r="G35" s="50" t="n">
        <f>G22+G23-G24+G25-G26+SUM(G27:G30)-SUM(G31:G34)</f>
      </c>
      <c r="H35" s="50" t="n">
        <f>H22+H23-H24+H25-H26+SUM(H27:H30)-SUM(H31:H34)</f>
      </c>
      <c r="I35" s="50" t="n">
        <f>I22+I23-I24+I25-I26+SUM(I27:I30)-SUM(I31:I34)</f>
      </c>
      <c r="J35" s="50" t="n">
        <f>J22+J23-J24+J25-J26+SUM(J27:J30)-SUM(J31:J34)</f>
      </c>
      <c r="K35" s="50" t="n">
        <f>K22+K23-K24+K25-K26+SUM(K27:K30)-SUM(K31:K34)</f>
      </c>
      <c r="L35" s="50" t="n">
        <f>L22+L23-L24+L25-L26+SUM(L27:L30)-SUM(L31:L34)</f>
      </c>
      <c r="M35" s="50" t="n">
        <f>M22+M23-M24+M25-M26+SUM(M27:M30)-SUM(M31:M34)</f>
      </c>
      <c r="N35" s="50" t="n">
        <f>N22+N23-N24+N25-N26+SUM(N27:N30)-SUM(N31:N34)</f>
      </c>
      <c r="O35" s="50" t="n">
        <f>O22+O23-O24+O25-O26+SUM(O27:O30)-SUM(O31:O34)</f>
      </c>
      <c r="P35" s="50" t="n">
        <f>P22+P23-P24+P25-P26+SUM(P27:P30)-SUM(P31:P34)</f>
      </c>
      <c r="Q35" s="50" t="n">
        <f>Q22+Q23-Q24+Q25-Q26+SUM(Q27:Q30)-SUM(Q31:Q34)</f>
      </c>
      <c r="R35" s="50" t="n">
        <f>R22+R23-R24+R25-R26+SUM(R27:R30)-SUM(R31:R34)</f>
      </c>
      <c r="S35" s="50" t="n">
        <f>S22+S23-S24+S25-S26+SUM(S27:S30)-SUM(S31:S34)</f>
      </c>
      <c r="T35" s="50" t="n">
        <f>T22+T23-T24+T25-T26+SUM(T27:T30)-SUM(T31:T34)</f>
      </c>
      <c r="U35" s="50" t="n">
        <f>U22+U23-U24+U25-U26+SUM(U27:U30)-SUM(U31:U34)</f>
      </c>
      <c r="V35" s="50" t="n">
        <f>V22+V23-V24+V25-V26+SUM(V27:V30)-SUM(V31:V34)</f>
      </c>
      <c r="W35" s="50" t="n">
        <f>W22+W23-W24+W25-W26+SUM(W27:W30)-SUM(W31:W34)</f>
      </c>
      <c r="X35" s="50" t="n">
        <f>X22+X23-X24+X25-X26+SUM(X27:X30)-SUM(X31:X34)</f>
      </c>
      <c r="Y35" s="50" t="n">
        <f>Y22+Y23-Y24+Y25-Y26+SUM(Y27:Y30)-SUM(Y31:Y34)</f>
      </c>
      <c r="Z35" s="50" t="n">
        <f>Z22+Z23-Z24+Z25-Z26+SUM(Z27:Z30)-SUM(Z31:Z34)</f>
      </c>
      <c r="AA35" s="50" t="n">
        <f>AA22+AA23-AA24+AA25-AA26+SUM(AA27:AA30)-SUM(AA31:AA34)</f>
      </c>
      <c r="AB35" s="50" t="n">
        <f>AB22+AB23-AB24+AB25-AB26+SUM(AB27:AB30)-SUM(AB31:AB34)</f>
      </c>
      <c r="AC35" s="50" t="n">
        <f>AC22+AC23-AC24+AC25-AC26+SUM(AC27:AC30)-SUM(AC31:AC34)</f>
      </c>
      <c r="AD35" s="50" t="n">
        <f>AD22+AD23-AD24+AD25-AD26+SUM(AD27:AD30)-SUM(AD31:AD34)</f>
      </c>
      <c r="AE35" s="50" t="n">
        <f>AE22+AE23-AE24+AE25-AE26+SUM(AE27:AE30)-SUM(AE31:AE34)</f>
      </c>
      <c r="AF35" s="50" t="n">
        <f>AF22+AF23-AF24+AF25-AF26+SUM(AF27:AF30)-SUM(AF31:AF34)</f>
      </c>
      <c r="AG35" s="50" t="n">
        <f>AG22+AG23-AG24+AG25-AG26+SUM(AG27:AG30)-SUM(AG31:AG34)</f>
      </c>
      <c r="AH35" s="50" t="n">
        <f>AH22+AH23-AH24+AH25-AH26+SUM(AH27:AH30)-SUM(AH31:AH34)</f>
      </c>
      <c r="AI35" s="50" t="n">
        <f>AI22+AI23-AI24+AI25-AI26+SUM(AI27:AI30)-SUM(AI31:AI34)</f>
      </c>
      <c r="AJ35" s="50" t="n">
        <f>AJ22+AJ23-AJ24+AJ25-AJ26+SUM(AJ27:AJ30)-SUM(AJ31:AJ34)</f>
      </c>
    </row>
    <row r="36">
      <c r="B36" s="11"/>
      <c r="C36" s="15" t="s">
        <v>388</v>
      </c>
      <c r="D36" s="37"/>
      <c r="E36" s="13"/>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f>Hoja2!Q107+Hoja2!Q108-Hoja2!Q109+Hoja2!Q110+Hoja2!Q111+SUM(Hoja2!Q113:Q116)</f>
      </c>
    </row>
    <row r="38">
      <c r="B38" t="s" s="1">
        <v>11</v>
      </c>
      <c r="C38" t="s">
        <v>151</v>
      </c>
    </row>
    <row r="39">
      <c r="F39" t="s" s="4">
        <v>336</v>
      </c>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30"/>
    </row>
    <row r="40">
      <c r="F40" t="s" s="33">
        <v>337</v>
      </c>
      <c r="G40" t="s" s="5">
        <v>338</v>
      </c>
      <c r="H40" t="s" s="33">
        <v>339</v>
      </c>
      <c r="I40" t="s" s="5">
        <v>340</v>
      </c>
      <c r="J40" t="s" s="32">
        <v>341</v>
      </c>
      <c r="K40" s="61"/>
      <c r="L40" s="61"/>
      <c r="M40" s="61"/>
      <c r="N40" s="61"/>
      <c r="O40" s="61"/>
      <c r="P40" s="62"/>
      <c r="Q40" t="s" s="4">
        <v>348</v>
      </c>
      <c r="R40" s="29"/>
      <c r="S40" s="29"/>
      <c r="T40" s="29"/>
      <c r="U40" s="29"/>
      <c r="V40" s="29"/>
      <c r="W40" s="29"/>
      <c r="X40" s="29"/>
      <c r="Y40" s="29"/>
      <c r="Z40" s="29"/>
      <c r="AA40" s="29"/>
      <c r="AB40" s="29"/>
      <c r="AC40" s="29"/>
      <c r="AD40" s="29"/>
      <c r="AE40" s="29"/>
      <c r="AF40" s="29"/>
      <c r="AG40" s="29"/>
      <c r="AH40" s="30"/>
      <c r="AI40" t="s" s="5">
        <v>366</v>
      </c>
      <c r="AJ40" s="64"/>
    </row>
    <row r="41" ht="28.0" customHeight="true">
      <c r="F41" s="63"/>
      <c r="G41" s="35"/>
      <c r="H41" s="63"/>
      <c r="I41" s="35"/>
      <c r="J41" t="s" s="6">
        <v>342</v>
      </c>
      <c r="K41" t="s" s="34">
        <v>343</v>
      </c>
      <c r="L41" t="s" s="6">
        <v>344</v>
      </c>
      <c r="M41" t="s" s="34">
        <v>345</v>
      </c>
      <c r="N41" t="s" s="6">
        <v>346</v>
      </c>
      <c r="O41" t="s" s="34">
        <v>347</v>
      </c>
      <c r="P41" s="63"/>
      <c r="Q41" t="s" s="34">
        <v>349</v>
      </c>
      <c r="R41" t="s" s="6">
        <v>350</v>
      </c>
      <c r="S41" t="s" s="34">
        <v>351</v>
      </c>
      <c r="T41" t="s" s="6">
        <v>352</v>
      </c>
      <c r="U41" t="s" s="34">
        <v>353</v>
      </c>
      <c r="V41" t="s" s="6">
        <v>354</v>
      </c>
      <c r="W41" t="s" s="34">
        <v>355</v>
      </c>
      <c r="X41" t="s" s="6">
        <v>356</v>
      </c>
      <c r="Y41" t="s" s="34">
        <v>357</v>
      </c>
      <c r="Z41" t="s" s="6">
        <v>358</v>
      </c>
      <c r="AA41" t="s" s="34">
        <v>359</v>
      </c>
      <c r="AB41" t="s" s="6">
        <v>360</v>
      </c>
      <c r="AC41" t="s" s="34">
        <v>361</v>
      </c>
      <c r="AD41" t="s" s="6">
        <v>362</v>
      </c>
      <c r="AE41" t="s" s="34">
        <v>363</v>
      </c>
      <c r="AF41" t="s" s="6">
        <v>364</v>
      </c>
      <c r="AG41" t="s" s="34">
        <v>365</v>
      </c>
      <c r="AH41" s="35"/>
      <c r="AI41" s="35"/>
      <c r="AJ41" s="36"/>
    </row>
    <row r="42">
      <c r="B42" s="7" t="s">
        <v>367</v>
      </c>
      <c r="C42" s="8"/>
      <c r="D42" s="8"/>
      <c r="E42" s="9"/>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row>
    <row r="43">
      <c r="B43" s="10"/>
      <c r="C43" s="15" t="s">
        <v>368</v>
      </c>
      <c r="D43" s="37"/>
      <c r="E43" s="13"/>
      <c r="F43" s="50" t="n"/>
      <c r="G43" s="50" t="n"/>
      <c r="H43" s="50" t="n"/>
      <c r="I43" s="50" t="n"/>
      <c r="J43" s="50" t="n"/>
      <c r="K43" s="50" t="n"/>
      <c r="L43" s="50" t="n"/>
      <c r="M43" s="50" t="n"/>
      <c r="N43" s="50" t="n"/>
      <c r="O43" s="50" t="n"/>
      <c r="P43" s="50" t="n"/>
      <c r="Q43" s="50" t="n"/>
      <c r="R43" s="50" t="n"/>
      <c r="S43" s="50" t="n"/>
      <c r="T43" s="50" t="n"/>
      <c r="U43" s="50" t="n"/>
      <c r="V43" s="50" t="n"/>
      <c r="W43" s="50" t="n"/>
      <c r="X43" s="50" t="n"/>
      <c r="Y43" s="50" t="n"/>
      <c r="Z43" s="50" t="n"/>
      <c r="AA43" s="50" t="n"/>
      <c r="AB43" s="50" t="n"/>
      <c r="AC43" s="50" t="n"/>
      <c r="AD43" s="50" t="n"/>
      <c r="AE43" s="50" t="n"/>
      <c r="AF43" s="50" t="n"/>
      <c r="AG43" s="50" t="n"/>
      <c r="AH43" s="50" t="n"/>
      <c r="AI43" s="50" t="n"/>
      <c r="AJ43" s="50" t="n"/>
    </row>
    <row r="44">
      <c r="B44" s="10"/>
      <c r="C44" s="11" t="s">
        <v>369</v>
      </c>
      <c r="D44" s="8"/>
      <c r="E44" s="9"/>
      <c r="F44" s="51" t="n"/>
      <c r="G44" s="51" t="n"/>
      <c r="H44" s="51" t="n"/>
      <c r="I44" s="51" t="n"/>
      <c r="J44" s="51" t="n"/>
      <c r="K44" s="51" t="n"/>
      <c r="L44" s="51" t="n"/>
      <c r="M44" s="51" t="n"/>
      <c r="N44" s="51" t="n"/>
      <c r="O44" s="51" t="n"/>
      <c r="P44" s="51" t="n"/>
      <c r="Q44" s="51" t="n"/>
      <c r="R44" s="51" t="n"/>
      <c r="S44" s="51" t="n"/>
      <c r="T44" s="51" t="n"/>
      <c r="U44" s="51" t="n"/>
      <c r="V44" s="51" t="n"/>
      <c r="W44" s="51" t="n"/>
      <c r="X44" s="51" t="n"/>
      <c r="Y44" s="51" t="n"/>
      <c r="Z44" s="51" t="n"/>
      <c r="AA44" s="51" t="n"/>
      <c r="AB44" s="51" t="n"/>
      <c r="AC44" s="51" t="n"/>
      <c r="AD44" s="51" t="n"/>
      <c r="AE44" s="51" t="n"/>
      <c r="AF44" s="51" t="n"/>
      <c r="AG44" s="51" t="n"/>
      <c r="AH44" s="51" t="n"/>
      <c r="AI44" s="51" t="n"/>
      <c r="AJ44" s="51" t="n"/>
    </row>
    <row r="45">
      <c r="B45" s="10"/>
      <c r="C45" s="15" t="s">
        <v>370</v>
      </c>
      <c r="D45" s="37"/>
      <c r="E45" s="13"/>
      <c r="F45" s="50" t="n"/>
      <c r="G45" s="50" t="n"/>
      <c r="H45" s="50" t="n"/>
      <c r="I45" s="50" t="n"/>
      <c r="J45" s="50" t="n"/>
      <c r="K45" s="50" t="n"/>
      <c r="L45" s="50" t="n"/>
      <c r="M45" s="50" t="n"/>
      <c r="N45" s="50" t="n"/>
      <c r="O45" s="50" t="n"/>
      <c r="P45" s="50" t="n"/>
      <c r="Q45" s="50" t="n"/>
      <c r="R45" s="50" t="n"/>
      <c r="S45" s="50" t="n"/>
      <c r="T45" s="50" t="n"/>
      <c r="U45" s="50" t="n"/>
      <c r="V45" s="50" t="n"/>
      <c r="W45" s="50" t="n"/>
      <c r="X45" s="50" t="n"/>
      <c r="Y45" s="50" t="n"/>
      <c r="Z45" s="50" t="n"/>
      <c r="AA45" s="50" t="n"/>
      <c r="AB45" s="50" t="n"/>
      <c r="AC45" s="50" t="n"/>
      <c r="AD45" s="50" t="n"/>
      <c r="AE45" s="50" t="n"/>
      <c r="AF45" s="50" t="n"/>
      <c r="AG45" s="50" t="n"/>
      <c r="AH45" s="50" t="n"/>
      <c r="AI45" s="50" t="n"/>
      <c r="AJ45" s="50" t="n"/>
    </row>
    <row r="46">
      <c r="B46" s="10"/>
      <c r="C46" s="11" t="s">
        <v>371</v>
      </c>
      <c r="D46" s="8"/>
      <c r="E46" s="9"/>
      <c r="F46" s="51" t="n"/>
      <c r="G46" s="51" t="n"/>
      <c r="H46" s="51" t="n"/>
      <c r="I46" s="51" t="n"/>
      <c r="J46" s="51" t="n"/>
      <c r="K46" s="51" t="n"/>
      <c r="L46" s="51" t="n"/>
      <c r="M46" s="51" t="n"/>
      <c r="N46" s="51" t="n"/>
      <c r="O46" s="51" t="n"/>
      <c r="P46" s="51" t="n"/>
      <c r="Q46" s="51" t="n"/>
      <c r="R46" s="51" t="n"/>
      <c r="S46" s="51" t="n"/>
      <c r="T46" s="51" t="n"/>
      <c r="U46" s="51" t="n"/>
      <c r="V46" s="51" t="n"/>
      <c r="W46" s="51" t="n"/>
      <c r="X46" s="51" t="n"/>
      <c r="Y46" s="51" t="n"/>
      <c r="Z46" s="51" t="n"/>
      <c r="AA46" s="51" t="n"/>
      <c r="AB46" s="51" t="n"/>
      <c r="AC46" s="51" t="n"/>
      <c r="AD46" s="51" t="n"/>
      <c r="AE46" s="51" t="n"/>
      <c r="AF46" s="51" t="n"/>
      <c r="AG46" s="51" t="n"/>
      <c r="AH46" s="51" t="n"/>
      <c r="AI46" s="51" t="n"/>
      <c r="AJ46" s="51" t="n"/>
    </row>
    <row r="47">
      <c r="B47" s="10"/>
      <c r="C47" s="12" t="s">
        <v>372</v>
      </c>
      <c r="D47" s="37"/>
      <c r="E47" s="13"/>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row>
    <row r="48">
      <c r="B48" s="10"/>
      <c r="C48" s="14"/>
      <c r="D48" s="7" t="s">
        <v>373</v>
      </c>
      <c r="E48" s="9"/>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row>
    <row r="49">
      <c r="B49" s="10"/>
      <c r="C49" s="14"/>
      <c r="D49" s="10"/>
      <c r="E49" s="19" t="s">
        <v>179</v>
      </c>
      <c r="F49" s="50" t="n"/>
      <c r="G49" s="50" t="n"/>
      <c r="H49" s="50" t="n"/>
      <c r="I49" s="50" t="n"/>
      <c r="J49" s="50" t="n"/>
      <c r="K49" s="50" t="n"/>
      <c r="L49" s="50" t="n"/>
      <c r="M49" s="50" t="n"/>
      <c r="N49" s="50" t="n"/>
      <c r="O49" s="50" t="n"/>
      <c r="P49" s="50" t="n"/>
      <c r="Q49" s="50" t="n"/>
      <c r="R49" s="50" t="n"/>
      <c r="S49" s="50" t="n"/>
      <c r="T49" s="50" t="n"/>
      <c r="U49" s="50" t="n"/>
      <c r="V49" s="50" t="n"/>
      <c r="W49" s="50" t="n"/>
      <c r="X49" s="50" t="n"/>
      <c r="Y49" s="50" t="n"/>
      <c r="Z49" s="50" t="n"/>
      <c r="AA49" s="50" t="n"/>
      <c r="AB49" s="50" t="n"/>
      <c r="AC49" s="50" t="n"/>
      <c r="AD49" s="50" t="n"/>
      <c r="AE49" s="50" t="n"/>
      <c r="AF49" s="50" t="n"/>
      <c r="AG49" s="50" t="n"/>
      <c r="AH49" s="50" t="n"/>
      <c r="AI49" s="50" t="n"/>
      <c r="AJ49" s="50" t="n">
        <f>Hoja3!N76+Hoja3!N77</f>
      </c>
    </row>
    <row r="50">
      <c r="B50" s="10"/>
      <c r="C50" s="14"/>
      <c r="D50" s="10"/>
      <c r="E50" s="18" t="s">
        <v>374</v>
      </c>
      <c r="F50" s="51" t="n"/>
      <c r="G50" s="51" t="n"/>
      <c r="H50" s="51" t="n"/>
      <c r="I50" s="51" t="n"/>
      <c r="J50" s="51" t="n"/>
      <c r="K50" s="51" t="n"/>
      <c r="L50" s="51" t="n"/>
      <c r="M50" s="51" t="n"/>
      <c r="N50" s="51" t="n"/>
      <c r="O50" s="51" t="n"/>
      <c r="P50" s="51" t="n"/>
      <c r="Q50" s="51" t="n"/>
      <c r="R50" s="51" t="n"/>
      <c r="S50" s="51" t="n"/>
      <c r="T50" s="51" t="n"/>
      <c r="U50" s="51" t="n"/>
      <c r="V50" s="51" t="n"/>
      <c r="W50" s="51" t="n"/>
      <c r="X50" s="51" t="n"/>
      <c r="Y50" s="51" t="n"/>
      <c r="Z50" s="51" t="n"/>
      <c r="AA50" s="51" t="n"/>
      <c r="AB50" s="51" t="n"/>
      <c r="AC50" s="51" t="n"/>
      <c r="AD50" s="51" t="n"/>
      <c r="AE50" s="51" t="n"/>
      <c r="AF50" s="51" t="n"/>
      <c r="AG50" s="51" t="n"/>
      <c r="AH50" s="51" t="n"/>
      <c r="AI50" s="51" t="n"/>
      <c r="AJ50" s="51" t="n">
        <f>Hoja4!I70-Hoja4!I79-Hoja4!I80-Hoja4!I92-Hoja4!I93</f>
      </c>
    </row>
    <row r="51">
      <c r="B51" s="10"/>
      <c r="C51" s="14"/>
      <c r="D51" s="11"/>
      <c r="E51" s="57" t="s">
        <v>273</v>
      </c>
      <c r="F51" s="50" t="n">
        <f>F49+F50</f>
      </c>
      <c r="G51" s="50" t="n">
        <f>G49+G50</f>
      </c>
      <c r="H51" s="50" t="n">
        <f>H49+H50</f>
      </c>
      <c r="I51" s="50" t="n">
        <f>I49+I50</f>
      </c>
      <c r="J51" s="50" t="n">
        <f>J49+J50</f>
      </c>
      <c r="K51" s="50" t="n">
        <f>K49+K50</f>
      </c>
      <c r="L51" s="50" t="n">
        <f>L49+L50</f>
      </c>
      <c r="M51" s="50" t="n">
        <f>M49+M50</f>
      </c>
      <c r="N51" s="50" t="n">
        <f>N49+N50</f>
      </c>
      <c r="O51" s="50" t="n">
        <f>O49+O50</f>
      </c>
      <c r="P51" s="50" t="n">
        <f>P49+P50</f>
      </c>
      <c r="Q51" s="50" t="n">
        <f>Q49+Q50</f>
      </c>
      <c r="R51" s="50" t="n">
        <f>R49+R50</f>
      </c>
      <c r="S51" s="50" t="n">
        <f>S49+S50</f>
      </c>
      <c r="T51" s="50" t="n">
        <f>T49+T50</f>
      </c>
      <c r="U51" s="50" t="n">
        <f>U49+U50</f>
      </c>
      <c r="V51" s="50" t="n">
        <f>V49+V50</f>
      </c>
      <c r="W51" s="50" t="n">
        <f>W49+W50</f>
      </c>
      <c r="X51" s="50" t="n">
        <f>X49+X50</f>
      </c>
      <c r="Y51" s="50" t="n">
        <f>Y49+Y50</f>
      </c>
      <c r="Z51" s="50" t="n">
        <f>Z49+Z50</f>
      </c>
      <c r="AA51" s="50" t="n">
        <f>AA49+AA50</f>
      </c>
      <c r="AB51" s="50" t="n">
        <f>AB49+AB50</f>
      </c>
      <c r="AC51" s="50" t="n">
        <f>AC49+AC50</f>
      </c>
      <c r="AD51" s="50" t="n">
        <f>AD49+AD50</f>
      </c>
      <c r="AE51" s="50" t="n">
        <f>AE49+AE50</f>
      </c>
      <c r="AF51" s="50" t="n">
        <f>AF49+AF50</f>
      </c>
      <c r="AG51" s="50" t="n">
        <f>AG49+AG50</f>
      </c>
      <c r="AH51" s="50" t="n">
        <f>AH49+AH50</f>
      </c>
      <c r="AI51" s="50" t="n">
        <f>AI49+AI50</f>
      </c>
      <c r="AJ51" s="50" t="n">
        <f>AJ49+AJ50</f>
      </c>
    </row>
    <row r="52">
      <c r="B52" s="10"/>
      <c r="C52" s="14"/>
      <c r="D52" s="11" t="s">
        <v>375</v>
      </c>
      <c r="E52" s="9"/>
      <c r="F52" s="51" t="n"/>
      <c r="G52" s="51" t="n"/>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51" t="n"/>
      <c r="AE52" s="51" t="n"/>
      <c r="AF52" s="51" t="n"/>
      <c r="AG52" s="51" t="n"/>
      <c r="AH52" s="51" t="n"/>
      <c r="AI52" s="51" t="n"/>
      <c r="AJ52" s="51" t="n"/>
    </row>
    <row r="53">
      <c r="B53" s="10"/>
      <c r="C53" s="14"/>
      <c r="D53" s="49" t="s">
        <v>376</v>
      </c>
      <c r="E53" s="48"/>
      <c r="F53" s="50" t="n"/>
      <c r="G53" s="50" t="n"/>
      <c r="H53" s="50" t="n"/>
      <c r="I53" s="50" t="n"/>
      <c r="J53" s="50" t="n"/>
      <c r="K53" s="50" t="n"/>
      <c r="L53" s="50" t="n"/>
      <c r="M53" s="50" t="n"/>
      <c r="N53" s="50" t="n"/>
      <c r="O53" s="50" t="n"/>
      <c r="P53" s="50" t="n"/>
      <c r="Q53" s="50" t="n"/>
      <c r="R53" s="50" t="n"/>
      <c r="S53" s="50" t="n"/>
      <c r="T53" s="50" t="n"/>
      <c r="U53" s="50" t="n"/>
      <c r="V53" s="50" t="n"/>
      <c r="W53" s="50" t="n"/>
      <c r="X53" s="50" t="n"/>
      <c r="Y53" s="50" t="n"/>
      <c r="Z53" s="50" t="n"/>
      <c r="AA53" s="50" t="n"/>
      <c r="AB53" s="50" t="n"/>
      <c r="AC53" s="50" t="n"/>
      <c r="AD53" s="50" t="n"/>
      <c r="AE53" s="50" t="n"/>
      <c r="AF53" s="50" t="n"/>
      <c r="AG53" s="50" t="n"/>
      <c r="AH53" s="50" t="n"/>
      <c r="AI53" s="50" t="n"/>
      <c r="AJ53" s="50" t="n"/>
    </row>
    <row r="54">
      <c r="B54" s="10"/>
      <c r="C54" s="14"/>
      <c r="D54" s="11" t="s">
        <v>377</v>
      </c>
      <c r="E54" s="9"/>
      <c r="F54" s="51" t="n"/>
      <c r="G54" s="51" t="n"/>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51" t="n"/>
      <c r="AE54" s="51" t="n"/>
      <c r="AF54" s="51" t="n"/>
      <c r="AG54" s="51" t="n"/>
      <c r="AH54" s="51" t="n"/>
      <c r="AI54" s="51" t="n"/>
      <c r="AJ54" s="51" t="n"/>
    </row>
    <row r="55">
      <c r="B55" s="10"/>
      <c r="C55" s="14"/>
      <c r="D55" s="49" t="s">
        <v>378</v>
      </c>
      <c r="E55" s="48"/>
      <c r="F55" s="50" t="n"/>
      <c r="G55" s="50" t="n"/>
      <c r="H55" s="50" t="n"/>
      <c r="I55" s="50" t="n"/>
      <c r="J55" s="50" t="n"/>
      <c r="K55" s="50" t="n"/>
      <c r="L55" s="50" t="n"/>
      <c r="M55" s="50" t="n"/>
      <c r="N55" s="50" t="n"/>
      <c r="O55" s="50" t="n"/>
      <c r="P55" s="50" t="n"/>
      <c r="Q55" s="50" t="n"/>
      <c r="R55" s="50" t="n"/>
      <c r="S55" s="50" t="n"/>
      <c r="T55" s="50" t="n"/>
      <c r="U55" s="50" t="n"/>
      <c r="V55" s="50" t="n"/>
      <c r="W55" s="50" t="n"/>
      <c r="X55" s="50" t="n"/>
      <c r="Y55" s="50" t="n"/>
      <c r="Z55" s="50" t="n"/>
      <c r="AA55" s="50" t="n"/>
      <c r="AB55" s="50" t="n"/>
      <c r="AC55" s="50" t="n"/>
      <c r="AD55" s="50" t="n"/>
      <c r="AE55" s="50" t="n"/>
      <c r="AF55" s="50" t="n"/>
      <c r="AG55" s="50" t="n"/>
      <c r="AH55" s="50" t="n"/>
      <c r="AI55" s="50" t="n"/>
      <c r="AJ55" s="50" t="n"/>
    </row>
    <row r="56">
      <c r="B56" s="10"/>
      <c r="C56" s="14"/>
      <c r="D56" s="11" t="s">
        <v>379</v>
      </c>
      <c r="E56" s="9"/>
      <c r="F56" s="51" t="n"/>
      <c r="G56" s="51" t="n"/>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51" t="n"/>
      <c r="AE56" s="51" t="n"/>
      <c r="AF56" s="51" t="n"/>
      <c r="AG56" s="51" t="n"/>
      <c r="AH56" s="51" t="n"/>
      <c r="AI56" s="51" t="n"/>
      <c r="AJ56" s="51" t="n"/>
    </row>
    <row r="57" ht="28.0" customHeight="true">
      <c r="B57" s="10"/>
      <c r="C57" s="14"/>
      <c r="D57" s="15" t="s">
        <v>380</v>
      </c>
      <c r="E57" s="13"/>
      <c r="F57" s="50" t="n"/>
      <c r="G57" s="50" t="n"/>
      <c r="H57" s="50" t="n"/>
      <c r="I57" s="50" t="n"/>
      <c r="J57" s="50" t="n"/>
      <c r="K57" s="50" t="n"/>
      <c r="L57" s="50" t="n"/>
      <c r="M57" s="50" t="n"/>
      <c r="N57" s="50" t="n"/>
      <c r="O57" s="50" t="n"/>
      <c r="P57" s="50" t="n"/>
      <c r="Q57" s="50" t="n"/>
      <c r="R57" s="50" t="n"/>
      <c r="S57" s="50" t="n"/>
      <c r="T57" s="50" t="n"/>
      <c r="U57" s="50" t="n"/>
      <c r="V57" s="50" t="n"/>
      <c r="W57" s="50" t="n"/>
      <c r="X57" s="50" t="n"/>
      <c r="Y57" s="50" t="n"/>
      <c r="Z57" s="50" t="n"/>
      <c r="AA57" s="50" t="n"/>
      <c r="AB57" s="50" t="n"/>
      <c r="AC57" s="50" t="n"/>
      <c r="AD57" s="50" t="n"/>
      <c r="AE57" s="50" t="n"/>
      <c r="AF57" s="50" t="n"/>
      <c r="AG57" s="50" t="n"/>
      <c r="AH57" s="50" t="n"/>
      <c r="AI57" s="50" t="n"/>
      <c r="AJ57" s="50" t="n"/>
    </row>
    <row r="58" ht="28.0" customHeight="true">
      <c r="B58" s="10"/>
      <c r="C58" s="14"/>
      <c r="D58" s="11" t="s">
        <v>381</v>
      </c>
      <c r="E58" s="9"/>
      <c r="F58" s="51" t="n"/>
      <c r="G58" s="51" t="n"/>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51" t="n"/>
      <c r="AE58" s="51" t="n"/>
      <c r="AF58" s="51" t="n"/>
      <c r="AG58" s="51" t="n"/>
      <c r="AH58" s="51" t="n"/>
      <c r="AI58" s="51" t="n"/>
      <c r="AJ58" s="51" t="n"/>
    </row>
    <row r="59" ht="28.0" customHeight="true">
      <c r="B59" s="10"/>
      <c r="C59" s="14"/>
      <c r="D59" s="15" t="s">
        <v>382</v>
      </c>
      <c r="E59" s="13"/>
      <c r="F59" s="50" t="n"/>
      <c r="G59" s="50" t="n"/>
      <c r="H59" s="50" t="n"/>
      <c r="I59" s="50" t="n"/>
      <c r="J59" s="50" t="n"/>
      <c r="K59" s="50" t="n"/>
      <c r="L59" s="50" t="n"/>
      <c r="M59" s="50" t="n"/>
      <c r="N59" s="50" t="n"/>
      <c r="O59" s="50" t="n"/>
      <c r="P59" s="50" t="n"/>
      <c r="Q59" s="50" t="n"/>
      <c r="R59" s="50" t="n"/>
      <c r="S59" s="50" t="n"/>
      <c r="T59" s="50" t="n"/>
      <c r="U59" s="50" t="n"/>
      <c r="V59" s="50" t="n"/>
      <c r="W59" s="50" t="n"/>
      <c r="X59" s="50" t="n"/>
      <c r="Y59" s="50" t="n"/>
      <c r="Z59" s="50" t="n"/>
      <c r="AA59" s="50" t="n"/>
      <c r="AB59" s="50" t="n"/>
      <c r="AC59" s="50" t="n"/>
      <c r="AD59" s="50" t="n"/>
      <c r="AE59" s="50" t="n"/>
      <c r="AF59" s="50" t="n"/>
      <c r="AG59" s="50" t="n"/>
      <c r="AH59" s="50" t="n"/>
      <c r="AI59" s="50" t="n"/>
      <c r="AJ59" s="50" t="n"/>
    </row>
    <row r="60" ht="56.0" customHeight="true">
      <c r="B60" s="10"/>
      <c r="C60" s="14"/>
      <c r="D60" s="11" t="s">
        <v>383</v>
      </c>
      <c r="E60" s="9"/>
      <c r="F60" s="51" t="n"/>
      <c r="G60" s="51" t="n"/>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51" t="n"/>
      <c r="AE60" s="51" t="n"/>
      <c r="AF60" s="51" t="n"/>
      <c r="AG60" s="51" t="n"/>
      <c r="AH60" s="51" t="n"/>
      <c r="AI60" s="51" t="n"/>
      <c r="AJ60" s="51" t="n"/>
    </row>
    <row r="61" ht="56.0" customHeight="true">
      <c r="B61" s="10"/>
      <c r="C61" s="14"/>
      <c r="D61" s="15" t="s">
        <v>384</v>
      </c>
      <c r="E61" s="13"/>
      <c r="F61" s="50" t="n"/>
      <c r="G61" s="50" t="n"/>
      <c r="H61" s="50" t="n"/>
      <c r="I61" s="50" t="n"/>
      <c r="J61" s="50" t="n"/>
      <c r="K61" s="50" t="n"/>
      <c r="L61" s="50" t="n"/>
      <c r="M61" s="50" t="n"/>
      <c r="N61" s="50" t="n"/>
      <c r="O61" s="50" t="n"/>
      <c r="P61" s="50" t="n"/>
      <c r="Q61" s="50" t="n"/>
      <c r="R61" s="50" t="n"/>
      <c r="S61" s="50" t="n"/>
      <c r="T61" s="50" t="n"/>
      <c r="U61" s="50" t="n"/>
      <c r="V61" s="50" t="n"/>
      <c r="W61" s="50" t="n"/>
      <c r="X61" s="50" t="n"/>
      <c r="Y61" s="50" t="n"/>
      <c r="Z61" s="50" t="n"/>
      <c r="AA61" s="50" t="n"/>
      <c r="AB61" s="50" t="n"/>
      <c r="AC61" s="50" t="n"/>
      <c r="AD61" s="50" t="n"/>
      <c r="AE61" s="50" t="n"/>
      <c r="AF61" s="50" t="n"/>
      <c r="AG61" s="50" t="n"/>
      <c r="AH61" s="50" t="n"/>
      <c r="AI61" s="50" t="n"/>
      <c r="AJ61" s="50" t="n"/>
    </row>
    <row r="62" ht="56.0" customHeight="true">
      <c r="B62" s="10"/>
      <c r="C62" s="14"/>
      <c r="D62" s="11" t="s">
        <v>385</v>
      </c>
      <c r="E62" s="9"/>
      <c r="F62" s="51" t="n"/>
      <c r="G62" s="51" t="n"/>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51" t="n"/>
      <c r="AE62" s="51" t="n"/>
      <c r="AF62" s="51" t="n"/>
      <c r="AG62" s="51" t="n"/>
      <c r="AH62" s="51" t="n"/>
      <c r="AI62" s="51" t="n"/>
      <c r="AJ62" s="51" t="n"/>
    </row>
    <row r="63" ht="70.0" customHeight="true">
      <c r="B63" s="10"/>
      <c r="C63" s="14"/>
      <c r="D63" s="15" t="s">
        <v>386</v>
      </c>
      <c r="E63" s="13"/>
      <c r="F63" s="50" t="n"/>
      <c r="G63" s="50" t="n"/>
      <c r="H63" s="50" t="n"/>
      <c r="I63" s="50" t="n"/>
      <c r="J63" s="50" t="n"/>
      <c r="K63" s="50" t="n"/>
      <c r="L63" s="50" t="n"/>
      <c r="M63" s="50" t="n"/>
      <c r="N63" s="50" t="n"/>
      <c r="O63" s="50" t="n"/>
      <c r="P63" s="50" t="n"/>
      <c r="Q63" s="50" t="n"/>
      <c r="R63" s="50" t="n"/>
      <c r="S63" s="50" t="n"/>
      <c r="T63" s="50" t="n"/>
      <c r="U63" s="50" t="n"/>
      <c r="V63" s="50" t="n"/>
      <c r="W63" s="50" t="n"/>
      <c r="X63" s="50" t="n"/>
      <c r="Y63" s="50" t="n"/>
      <c r="Z63" s="50" t="n"/>
      <c r="AA63" s="50" t="n"/>
      <c r="AB63" s="50" t="n"/>
      <c r="AC63" s="50" t="n"/>
      <c r="AD63" s="50" t="n"/>
      <c r="AE63" s="50" t="n"/>
      <c r="AF63" s="50" t="n"/>
      <c r="AG63" s="50" t="n"/>
      <c r="AH63" s="50" t="n"/>
      <c r="AI63" s="50" t="n"/>
      <c r="AJ63" s="50" t="n"/>
    </row>
    <row r="64">
      <c r="B64" s="10"/>
      <c r="C64" s="15"/>
      <c r="D64" s="45" t="s">
        <v>387</v>
      </c>
      <c r="E64" s="44"/>
      <c r="F64" s="51" t="n">
        <f>F51+F52-F53+F54-F55+SUM(F56:F59)-SUM(F60:F63)</f>
      </c>
      <c r="G64" s="51" t="n">
        <f>G51+G52-G53+G54-G55+SUM(G56:G59)-SUM(G60:G63)</f>
      </c>
      <c r="H64" s="51" t="n">
        <f>H51+H52-H53+H54-H55+SUM(H56:H59)-SUM(H60:H63)</f>
      </c>
      <c r="I64" s="51" t="n">
        <f>I51+I52-I53+I54-I55+SUM(I56:I59)-SUM(I60:I63)</f>
      </c>
      <c r="J64" s="51" t="n">
        <f>J51+J52-J53+J54-J55+SUM(J56:J59)-SUM(J60:J63)</f>
      </c>
      <c r="K64" s="51" t="n">
        <f>K51+K52-K53+K54-K55+SUM(K56:K59)-SUM(K60:K63)</f>
      </c>
      <c r="L64" s="51" t="n">
        <f>L51+L52-L53+L54-L55+SUM(L56:L59)-SUM(L60:L63)</f>
      </c>
      <c r="M64" s="51" t="n">
        <f>M51+M52-M53+M54-M55+SUM(M56:M59)-SUM(M60:M63)</f>
      </c>
      <c r="N64" s="51" t="n">
        <f>N51+N52-N53+N54-N55+SUM(N56:N59)-SUM(N60:N63)</f>
      </c>
      <c r="O64" s="51" t="n">
        <f>O51+O52-O53+O54-O55+SUM(O56:O59)-SUM(O60:O63)</f>
      </c>
      <c r="P64" s="51" t="n">
        <f>P51+P52-P53+P54-P55+SUM(P56:P59)-SUM(P60:P63)</f>
      </c>
      <c r="Q64" s="51" t="n">
        <f>Q51+Q52-Q53+Q54-Q55+SUM(Q56:Q59)-SUM(Q60:Q63)</f>
      </c>
      <c r="R64" s="51" t="n">
        <f>R51+R52-R53+R54-R55+SUM(R56:R59)-SUM(R60:R63)</f>
      </c>
      <c r="S64" s="51" t="n">
        <f>S51+S52-S53+S54-S55+SUM(S56:S59)-SUM(S60:S63)</f>
      </c>
      <c r="T64" s="51" t="n">
        <f>T51+T52-T53+T54-T55+SUM(T56:T59)-SUM(T60:T63)</f>
      </c>
      <c r="U64" s="51" t="n">
        <f>U51+U52-U53+U54-U55+SUM(U56:U59)-SUM(U60:U63)</f>
      </c>
      <c r="V64" s="51" t="n">
        <f>V51+V52-V53+V54-V55+SUM(V56:V59)-SUM(V60:V63)</f>
      </c>
      <c r="W64" s="51" t="n">
        <f>W51+W52-W53+W54-W55+SUM(W56:W59)-SUM(W60:W63)</f>
      </c>
      <c r="X64" s="51" t="n">
        <f>X51+X52-X53+X54-X55+SUM(X56:X59)-SUM(X60:X63)</f>
      </c>
      <c r="Y64" s="51" t="n">
        <f>Y51+Y52-Y53+Y54-Y55+SUM(Y56:Y59)-SUM(Y60:Y63)</f>
      </c>
      <c r="Z64" s="51" t="n">
        <f>Z51+Z52-Z53+Z54-Z55+SUM(Z56:Z59)-SUM(Z60:Z63)</f>
      </c>
      <c r="AA64" s="51" t="n">
        <f>AA51+AA52-AA53+AA54-AA55+SUM(AA56:AA59)-SUM(AA60:AA63)</f>
      </c>
      <c r="AB64" s="51" t="n">
        <f>AB51+AB52-AB53+AB54-AB55+SUM(AB56:AB59)-SUM(AB60:AB63)</f>
      </c>
      <c r="AC64" s="51" t="n">
        <f>AC51+AC52-AC53+AC54-AC55+SUM(AC56:AC59)-SUM(AC60:AC63)</f>
      </c>
      <c r="AD64" s="51" t="n">
        <f>AD51+AD52-AD53+AD54-AD55+SUM(AD56:AD59)-SUM(AD60:AD63)</f>
      </c>
      <c r="AE64" s="51" t="n">
        <f>AE51+AE52-AE53+AE54-AE55+SUM(AE56:AE59)-SUM(AE60:AE63)</f>
      </c>
      <c r="AF64" s="51" t="n">
        <f>AF51+AF52-AF53+AF54-AF55+SUM(AF56:AF59)-SUM(AF60:AF63)</f>
      </c>
      <c r="AG64" s="51" t="n">
        <f>AG51+AG52-AG53+AG54-AG55+SUM(AG56:AG59)-SUM(AG60:AG63)</f>
      </c>
      <c r="AH64" s="51" t="n">
        <f>AH51+AH52-AH53+AH54-AH55+SUM(AH56:AH59)-SUM(AH60:AH63)</f>
      </c>
      <c r="AI64" s="51" t="n">
        <f>AI51+AI52-AI53+AI54-AI55+SUM(AI56:AI59)-SUM(AI60:AI63)</f>
      </c>
      <c r="AJ64" s="51" t="n">
        <f>AJ51+AJ52-AJ53+AJ54-AJ55+SUM(AJ56:AJ59)-SUM(AJ60:AJ63)</f>
      </c>
    </row>
    <row r="65">
      <c r="B65" s="11"/>
      <c r="C65" s="15" t="s">
        <v>388</v>
      </c>
      <c r="D65" s="37"/>
      <c r="E65" s="13"/>
      <c r="F65" s="53" t="n">
        <f>F14</f>
      </c>
      <c r="G65" s="53" t="n">
        <f>G14</f>
      </c>
      <c r="H65" s="53" t="n">
        <f>H14</f>
      </c>
      <c r="I65" s="53" t="n">
        <f>I14</f>
      </c>
      <c r="J65" s="53" t="n">
        <f>J14</f>
      </c>
      <c r="K65" s="53" t="n">
        <f>K14</f>
      </c>
      <c r="L65" s="53" t="n">
        <f>L14</f>
      </c>
      <c r="M65" s="53" t="n">
        <f>M14</f>
      </c>
      <c r="N65" s="53" t="n">
        <f>N14</f>
      </c>
      <c r="O65" s="53" t="n">
        <f>O14</f>
      </c>
      <c r="P65" s="53" t="n">
        <f>P14</f>
      </c>
      <c r="Q65" s="53" t="n">
        <f>Q14</f>
      </c>
      <c r="R65" s="53" t="n">
        <f>R14</f>
      </c>
      <c r="S65" s="53" t="n">
        <f>S14</f>
      </c>
      <c r="T65" s="53" t="n">
        <f>T14</f>
      </c>
      <c r="U65" s="53" t="n">
        <f>U14</f>
      </c>
      <c r="V65" s="53" t="n">
        <f>V14</f>
      </c>
      <c r="W65" s="53" t="n">
        <f>W14</f>
      </c>
      <c r="X65" s="53" t="n">
        <f>X14</f>
      </c>
      <c r="Y65" s="53" t="n">
        <f>Y14</f>
      </c>
      <c r="Z65" s="53" t="n">
        <f>Z14</f>
      </c>
      <c r="AA65" s="53" t="n">
        <f>AA14</f>
      </c>
      <c r="AB65" s="53" t="n">
        <f>AB14</f>
      </c>
      <c r="AC65" s="53" t="n">
        <f>AC14</f>
      </c>
      <c r="AD65" s="53" t="n">
        <f>AD14</f>
      </c>
      <c r="AE65" s="53" t="n">
        <f>AE14</f>
      </c>
      <c r="AF65" s="53" t="n">
        <f>AF14</f>
      </c>
      <c r="AG65" s="53" t="n">
        <f>AG14</f>
      </c>
      <c r="AH65" s="53" t="n">
        <f>AH14</f>
      </c>
      <c r="AI65" s="53" t="n">
        <f>AI14</f>
      </c>
      <c r="AJ65" s="53" t="n">
        <f>Hoja2!Q218+Hoja2!Q219-Hoja2!Q220+Hoja2!Q221+Hoja2!Q222+SUM(Hoja2!Q224:Q227)</f>
      </c>
    </row>
  </sheetData>
  <mergeCells>
    <mergeCell ref="F10:AJ10"/>
    <mergeCell ref="F11:F12"/>
    <mergeCell ref="G11:G12"/>
    <mergeCell ref="H11:H12"/>
    <mergeCell ref="I11:I12"/>
    <mergeCell ref="J11:P11"/>
    <mergeCell ref="Q11:AH11"/>
    <mergeCell ref="AI11:AI12"/>
    <mergeCell ref="B13:E13"/>
    <mergeCell ref="C14:E14"/>
    <mergeCell ref="C15:E15"/>
    <mergeCell ref="C16:E16"/>
    <mergeCell ref="C17:E17"/>
    <mergeCell ref="C18:E18"/>
    <mergeCell ref="D19:E19"/>
    <mergeCell ref="D23:E23"/>
    <mergeCell ref="D24:E24"/>
    <mergeCell ref="D25:E25"/>
    <mergeCell ref="D26:E26"/>
    <mergeCell ref="D27:E27"/>
    <mergeCell ref="D28:E28"/>
    <mergeCell ref="D29:E29"/>
    <mergeCell ref="D30:E30"/>
    <mergeCell ref="D31:E31"/>
    <mergeCell ref="D32:E32"/>
    <mergeCell ref="D33:E33"/>
    <mergeCell ref="D34:E34"/>
    <mergeCell ref="D35:E35"/>
    <mergeCell ref="C36:E36"/>
    <mergeCell ref="F39:AJ39"/>
    <mergeCell ref="F40:F41"/>
    <mergeCell ref="G40:G41"/>
    <mergeCell ref="H40:H41"/>
    <mergeCell ref="I40:I41"/>
    <mergeCell ref="J40:P40"/>
    <mergeCell ref="Q40:AH40"/>
    <mergeCell ref="AI40:AI41"/>
    <mergeCell ref="B42:E42"/>
    <mergeCell ref="C43:E43"/>
    <mergeCell ref="C44:E44"/>
    <mergeCell ref="C45:E45"/>
    <mergeCell ref="C46:E46"/>
    <mergeCell ref="C47:E47"/>
    <mergeCell ref="D48:E48"/>
    <mergeCell ref="D52:E52"/>
    <mergeCell ref="D53:E53"/>
    <mergeCell ref="D54:E54"/>
    <mergeCell ref="D55:E55"/>
    <mergeCell ref="D56:E56"/>
    <mergeCell ref="D57:E57"/>
    <mergeCell ref="D58:E58"/>
    <mergeCell ref="D59:E59"/>
    <mergeCell ref="D60:E60"/>
    <mergeCell ref="D61:E61"/>
    <mergeCell ref="D62:E62"/>
    <mergeCell ref="D63:E63"/>
    <mergeCell ref="D64:E64"/>
    <mergeCell ref="C65:E65"/>
  </mergeCells>
  <hyperlinks>
    <hyperlink location="'Indice'!A1" ref="B2"/>
  </hyperlinks>
  <pageMargins bottom="0.75" footer="0.3" header="0.3" left="0.7" right="0.7" top="0.75"/>
</worksheet>
</file>

<file path=xl/worksheets/sheet9.xml><?xml version="1.0" encoding="utf-8"?>
<worksheet xmlns="http://schemas.openxmlformats.org/spreadsheetml/2006/main">
  <dimension ref="B2:G35"/>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s>
  <sheetData>
    <row r="2">
      <c r="B2" t="s" s="2">
        <v>1</v>
      </c>
    </row>
    <row r="3">
      <c r="B3" t="s" s="1">
        <v>3</v>
      </c>
      <c r="C3" t="s">
        <v>4</v>
      </c>
    </row>
    <row r="4">
      <c r="B4" s="1" t="s">
        <v>5</v>
      </c>
      <c r="C4" t="s">
        <v>6</v>
      </c>
    </row>
    <row r="5">
      <c r="B5" t="s" s="1">
        <v>7</v>
      </c>
      <c r="C5" t="s">
        <v>389</v>
      </c>
    </row>
    <row r="6">
      <c r="B6" t="s" s="1">
        <v>8</v>
      </c>
      <c r="C6" t="s">
        <v>9</v>
      </c>
    </row>
    <row r="7">
      <c r="B7" t="s" s="1">
        <v>10</v>
      </c>
      <c r="C7" t="s">
        <v>9</v>
      </c>
    </row>
    <row r="8">
      <c r="B8" t="s" s="1">
        <v>11</v>
      </c>
      <c r="C8" t="s">
        <v>9</v>
      </c>
    </row>
    <row r="10">
      <c r="F10" t="s" s="6">
        <v>12</v>
      </c>
    </row>
    <row r="11">
      <c r="B11" s="7" t="s">
        <v>390</v>
      </c>
      <c r="C11" s="8"/>
      <c r="D11" s="8"/>
      <c r="E11" s="9"/>
      <c r="F11" s="22"/>
    </row>
    <row r="12" ht="28.0" customHeight="true">
      <c r="B12" s="10"/>
      <c r="C12" s="12" t="s">
        <v>391</v>
      </c>
      <c r="D12" s="37"/>
      <c r="E12" s="13"/>
      <c r="F12" s="23"/>
    </row>
    <row r="13" ht="28.0" customHeight="true">
      <c r="B13" s="10"/>
      <c r="C13" s="14"/>
      <c r="D13" s="11" t="s">
        <v>78</v>
      </c>
      <c r="E13" s="9"/>
      <c r="F13" s="50" t="n">
        <f>Hoja2!Q46</f>
      </c>
    </row>
    <row r="14" ht="28.0" customHeight="true">
      <c r="B14" s="10"/>
      <c r="C14" s="14"/>
      <c r="D14" s="15" t="s">
        <v>79</v>
      </c>
      <c r="E14" s="13"/>
      <c r="F14" s="51" t="n">
        <f>Hoja2!Q47</f>
      </c>
    </row>
    <row r="15">
      <c r="B15" s="10"/>
      <c r="C15" s="14"/>
      <c r="D15" s="11" t="s">
        <v>77</v>
      </c>
      <c r="E15" s="9"/>
      <c r="F15" s="50" t="n">
        <f>Hoja2!Q45</f>
      </c>
    </row>
    <row r="16" ht="28.0" customHeight="true">
      <c r="B16" s="10"/>
      <c r="C16" s="15"/>
      <c r="D16" s="40" t="s">
        <v>392</v>
      </c>
      <c r="E16" s="39"/>
      <c r="F16" s="51" t="n">
        <f>SUM(F13:F15)</f>
      </c>
    </row>
    <row r="17">
      <c r="B17" s="10"/>
      <c r="C17" s="7" t="s">
        <v>393</v>
      </c>
      <c r="D17" s="8"/>
      <c r="E17" s="9"/>
      <c r="F17" s="22"/>
    </row>
    <row r="18">
      <c r="B18" s="10"/>
      <c r="C18" s="10"/>
      <c r="D18" s="12" t="s">
        <v>394</v>
      </c>
      <c r="E18" s="13"/>
      <c r="F18" s="23"/>
    </row>
    <row r="19">
      <c r="B19" s="10"/>
      <c r="C19" s="10"/>
      <c r="D19" s="14"/>
      <c r="E19" s="18" t="s">
        <v>395</v>
      </c>
      <c r="F19" s="50" t="n"/>
    </row>
    <row r="20">
      <c r="B20" s="10"/>
      <c r="C20" s="10"/>
      <c r="D20" s="14"/>
      <c r="E20" s="19" t="s">
        <v>396</v>
      </c>
      <c r="F20" s="51" t="n"/>
    </row>
    <row r="21">
      <c r="B21" s="10"/>
      <c r="C21" s="10"/>
      <c r="D21" s="15"/>
      <c r="E21" s="65" t="s">
        <v>397</v>
      </c>
      <c r="F21" s="50" t="n">
        <f>F19+F20</f>
      </c>
    </row>
    <row r="22">
      <c r="B22" s="10"/>
      <c r="C22" s="10"/>
      <c r="D22" s="12" t="s">
        <v>398</v>
      </c>
      <c r="E22" s="13"/>
      <c r="F22" s="23"/>
    </row>
    <row r="23">
      <c r="B23" s="10"/>
      <c r="C23" s="10"/>
      <c r="D23" s="14"/>
      <c r="E23" s="18" t="s">
        <v>399</v>
      </c>
      <c r="F23" s="50" t="n"/>
    </row>
    <row r="24">
      <c r="B24" s="10"/>
      <c r="C24" s="10"/>
      <c r="D24" s="14"/>
      <c r="E24" s="19" t="s">
        <v>400</v>
      </c>
      <c r="F24" s="51" t="n"/>
    </row>
    <row r="25">
      <c r="B25" s="10"/>
      <c r="C25" s="10"/>
      <c r="D25" s="14"/>
      <c r="E25" s="18" t="s">
        <v>401</v>
      </c>
      <c r="F25" s="50" t="n"/>
    </row>
    <row r="26">
      <c r="B26" s="10"/>
      <c r="C26" s="10"/>
      <c r="D26" s="15"/>
      <c r="E26" s="57" t="s">
        <v>402</v>
      </c>
      <c r="F26" s="51" t="n">
        <f>SUM(F23:F25)</f>
      </c>
    </row>
    <row r="27">
      <c r="B27" s="10"/>
      <c r="C27" s="10"/>
      <c r="D27" s="11" t="s">
        <v>403</v>
      </c>
      <c r="E27" s="9"/>
      <c r="F27" s="50" t="n"/>
    </row>
    <row r="28">
      <c r="B28" s="10"/>
      <c r="C28" s="11"/>
      <c r="D28" s="40" t="s">
        <v>404</v>
      </c>
      <c r="E28" s="39"/>
      <c r="F28" s="51" t="n">
        <f>F21+F26+F27</f>
      </c>
    </row>
    <row r="29">
      <c r="B29" s="10"/>
      <c r="C29" s="7" t="s">
        <v>405</v>
      </c>
      <c r="D29" s="8"/>
      <c r="E29" s="9"/>
      <c r="F29" s="22"/>
    </row>
    <row r="30">
      <c r="B30" s="10"/>
      <c r="C30" s="10"/>
      <c r="D30" s="15" t="s">
        <v>406</v>
      </c>
      <c r="E30" s="13"/>
      <c r="F30" s="51" t="n"/>
    </row>
    <row r="31" ht="28.0" customHeight="true">
      <c r="B31" s="10"/>
      <c r="C31" s="10"/>
      <c r="D31" s="7" t="s">
        <v>407</v>
      </c>
      <c r="E31" s="9"/>
      <c r="F31" s="22"/>
    </row>
    <row r="32">
      <c r="B32" s="10"/>
      <c r="C32" s="10"/>
      <c r="D32" s="10"/>
      <c r="E32" s="19" t="s">
        <v>408</v>
      </c>
      <c r="F32" s="51" t="n"/>
    </row>
    <row r="33">
      <c r="B33" s="10"/>
      <c r="C33" s="10"/>
      <c r="D33" s="10"/>
      <c r="E33" s="18" t="s">
        <v>409</v>
      </c>
      <c r="F33" s="50" t="n"/>
    </row>
    <row r="34">
      <c r="B34" s="10"/>
      <c r="C34" s="10"/>
      <c r="D34" s="11"/>
      <c r="E34" s="57" t="s">
        <v>410</v>
      </c>
      <c r="F34" s="51" t="n">
        <f>F32+F33</f>
      </c>
    </row>
    <row r="35">
      <c r="B35" s="11"/>
      <c r="C35" s="11"/>
      <c r="D35" s="45" t="s">
        <v>411</v>
      </c>
      <c r="E35" s="44"/>
      <c r="F35" s="53" t="n">
        <f>F30+F34</f>
      </c>
    </row>
  </sheetData>
  <mergeCells>
    <mergeCell ref="B11:E11"/>
    <mergeCell ref="C12:E12"/>
    <mergeCell ref="D13:E13"/>
    <mergeCell ref="D14:E14"/>
    <mergeCell ref="D15:E15"/>
    <mergeCell ref="D16:E16"/>
    <mergeCell ref="C17:E17"/>
    <mergeCell ref="D18:E18"/>
    <mergeCell ref="D22:E22"/>
    <mergeCell ref="D27:E27"/>
    <mergeCell ref="D28:E28"/>
    <mergeCell ref="C29:E29"/>
    <mergeCell ref="D30:E30"/>
    <mergeCell ref="D31:E31"/>
    <mergeCell ref="D35:E35"/>
  </mergeCells>
  <hyperlinks>
    <hyperlink location="'Indice'!A1" ref="B2"/>
  </hyperlinks>
  <pageMargins bottom="0.75" footer="0.3" header="0.3" left="0.7" right="0.7" top="0.75"/>
</worksheet>
</file>

<file path=xl/worksheets/sheet10.xml><?xml version="1.0" encoding="utf-8"?>
<worksheet xmlns="http://schemas.openxmlformats.org/spreadsheetml/2006/main">
  <dimension ref="B2:E132"/>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412</v>
      </c>
    </row>
    <row r="6">
      <c r="B6" t="s" s="1">
        <v>8</v>
      </c>
      <c r="C6" t="s">
        <v>9</v>
      </c>
    </row>
    <row r="7">
      <c r="B7" t="s" s="1">
        <v>10</v>
      </c>
      <c r="C7" t="s">
        <v>9</v>
      </c>
    </row>
    <row r="8">
      <c r="B8" t="s" s="1">
        <v>11</v>
      </c>
      <c r="C8" t="s">
        <v>9</v>
      </c>
    </row>
    <row r="10">
      <c r="D10" t="s" s="6">
        <v>12</v>
      </c>
    </row>
    <row r="11" ht="28.0" customHeight="true">
      <c r="B11" s="7" t="s">
        <v>413</v>
      </c>
      <c r="C11" s="9"/>
      <c r="D11" s="21"/>
    </row>
    <row r="12">
      <c r="B12" s="10"/>
      <c r="C12" s="19" t="s">
        <v>414</v>
      </c>
      <c r="D12" s="20"/>
    </row>
    <row r="13">
      <c r="B13" s="10"/>
      <c r="C13" s="18" t="s">
        <v>415</v>
      </c>
      <c r="D13" s="21"/>
    </row>
    <row r="14">
      <c r="B14" s="10"/>
      <c r="C14" s="19" t="s">
        <v>416</v>
      </c>
      <c r="D14" s="20"/>
    </row>
    <row r="15">
      <c r="B15" s="10"/>
      <c r="C15" s="18" t="s">
        <v>417</v>
      </c>
      <c r="D15" s="21"/>
    </row>
    <row r="16">
      <c r="B16" s="10"/>
      <c r="C16" s="19" t="s">
        <v>418</v>
      </c>
      <c r="D16" s="20"/>
    </row>
    <row r="17">
      <c r="B17" s="10"/>
      <c r="C17" s="18" t="s">
        <v>419</v>
      </c>
      <c r="D17" s="21"/>
    </row>
    <row r="18">
      <c r="B18" s="10"/>
      <c r="C18" s="19" t="s">
        <v>420</v>
      </c>
      <c r="D18" s="20"/>
    </row>
    <row r="19">
      <c r="B19" s="10"/>
      <c r="C19" s="18" t="s">
        <v>421</v>
      </c>
      <c r="D19" s="21"/>
    </row>
    <row r="20">
      <c r="B20" s="10"/>
      <c r="C20" s="19" t="s">
        <v>422</v>
      </c>
      <c r="D20" s="20"/>
    </row>
    <row r="21">
      <c r="B21" s="10"/>
      <c r="C21" s="18" t="s">
        <v>423</v>
      </c>
      <c r="D21" s="21"/>
    </row>
    <row r="22">
      <c r="B22" s="10"/>
      <c r="C22" s="19" t="s">
        <v>424</v>
      </c>
      <c r="D22" s="20"/>
    </row>
    <row r="23">
      <c r="B23" s="10"/>
      <c r="C23" s="18" t="s">
        <v>425</v>
      </c>
      <c r="D23" s="21"/>
    </row>
    <row r="24">
      <c r="B24" s="10"/>
      <c r="C24" s="19" t="s">
        <v>426</v>
      </c>
      <c r="D24" s="20"/>
    </row>
    <row r="25">
      <c r="B25" s="10"/>
      <c r="C25" s="18" t="s">
        <v>427</v>
      </c>
      <c r="D25" s="21"/>
    </row>
    <row r="26">
      <c r="B26" s="10"/>
      <c r="C26" s="19" t="s">
        <v>428</v>
      </c>
      <c r="D26" s="20"/>
    </row>
    <row r="27">
      <c r="B27" s="10"/>
      <c r="C27" s="18" t="s">
        <v>429</v>
      </c>
      <c r="D27" s="21"/>
    </row>
    <row r="28">
      <c r="B28" s="10"/>
      <c r="C28" s="19" t="s">
        <v>430</v>
      </c>
      <c r="D28" s="20"/>
    </row>
    <row r="29">
      <c r="B29" s="10"/>
      <c r="C29" s="18" t="s">
        <v>431</v>
      </c>
      <c r="D29" s="21"/>
    </row>
    <row r="30">
      <c r="B30" s="10"/>
      <c r="C30" s="19" t="s">
        <v>432</v>
      </c>
      <c r="D30" s="20"/>
    </row>
    <row r="31">
      <c r="B31" s="10"/>
      <c r="C31" s="18" t="s">
        <v>433</v>
      </c>
      <c r="D31" s="21"/>
    </row>
    <row r="32">
      <c r="B32" s="10"/>
      <c r="C32" s="19" t="s">
        <v>434</v>
      </c>
      <c r="D32" s="20"/>
    </row>
    <row r="33">
      <c r="B33" s="10"/>
      <c r="C33" s="18" t="s">
        <v>435</v>
      </c>
      <c r="D33" s="21"/>
    </row>
    <row r="34">
      <c r="B34" s="10"/>
      <c r="C34" s="19" t="s">
        <v>436</v>
      </c>
      <c r="D34" s="20"/>
    </row>
    <row r="35">
      <c r="B35" s="10"/>
      <c r="C35" s="18" t="s">
        <v>437</v>
      </c>
      <c r="D35" s="21"/>
    </row>
    <row r="36">
      <c r="B36" s="10"/>
      <c r="C36" s="19" t="s">
        <v>438</v>
      </c>
      <c r="D36" s="20"/>
    </row>
    <row r="37">
      <c r="B37" s="10"/>
      <c r="C37" s="18" t="s">
        <v>439</v>
      </c>
      <c r="D37" s="21"/>
    </row>
    <row r="38">
      <c r="B38" s="10"/>
      <c r="C38" s="19" t="s">
        <v>440</v>
      </c>
      <c r="D38" s="20"/>
    </row>
    <row r="39">
      <c r="B39" s="10"/>
      <c r="C39" s="18" t="s">
        <v>441</v>
      </c>
      <c r="D39" s="21"/>
    </row>
    <row r="40">
      <c r="B40" s="10"/>
      <c r="C40" s="19" t="s">
        <v>442</v>
      </c>
      <c r="D40" s="20"/>
    </row>
    <row r="41">
      <c r="B41" s="10"/>
      <c r="C41" s="18" t="s">
        <v>443</v>
      </c>
      <c r="D41" s="21"/>
    </row>
    <row r="42">
      <c r="B42" s="10"/>
      <c r="C42" s="19" t="s">
        <v>444</v>
      </c>
      <c r="D42" s="20"/>
    </row>
    <row r="43">
      <c r="B43" s="10"/>
      <c r="C43" s="18" t="s">
        <v>445</v>
      </c>
      <c r="D43" s="21"/>
    </row>
    <row r="44">
      <c r="B44" s="10"/>
      <c r="C44" s="19" t="s">
        <v>446</v>
      </c>
      <c r="D44" s="20"/>
    </row>
    <row r="45">
      <c r="B45" s="10"/>
      <c r="C45" s="18" t="s">
        <v>447</v>
      </c>
      <c r="D45" s="21"/>
    </row>
    <row r="46">
      <c r="B46" s="10"/>
      <c r="C46" s="19" t="s">
        <v>448</v>
      </c>
      <c r="D46" s="20"/>
    </row>
    <row r="47">
      <c r="B47" s="10"/>
      <c r="C47" s="18" t="s">
        <v>449</v>
      </c>
      <c r="D47" s="21"/>
    </row>
    <row r="48">
      <c r="B48" s="10"/>
      <c r="C48" s="19" t="s">
        <v>450</v>
      </c>
      <c r="D48" s="20"/>
    </row>
    <row r="49">
      <c r="B49" s="10"/>
      <c r="C49" s="18" t="s">
        <v>451</v>
      </c>
      <c r="D49" s="21"/>
    </row>
    <row r="50">
      <c r="B50" s="10"/>
      <c r="C50" s="19" t="s">
        <v>452</v>
      </c>
      <c r="D50" s="20"/>
    </row>
    <row r="51">
      <c r="B51" s="10"/>
      <c r="C51" s="18" t="s">
        <v>453</v>
      </c>
      <c r="D51" s="21"/>
    </row>
    <row r="52">
      <c r="B52" s="10"/>
      <c r="C52" s="19" t="s">
        <v>454</v>
      </c>
      <c r="D52" s="20"/>
    </row>
    <row r="53">
      <c r="B53" s="10"/>
      <c r="C53" s="18" t="s">
        <v>455</v>
      </c>
      <c r="D53" s="21"/>
    </row>
    <row r="54">
      <c r="B54" s="10"/>
      <c r="C54" s="19" t="s">
        <v>456</v>
      </c>
      <c r="D54" s="20"/>
    </row>
    <row r="55">
      <c r="B55" s="10"/>
      <c r="C55" s="18" t="s">
        <v>457</v>
      </c>
      <c r="D55" s="21"/>
    </row>
    <row r="56">
      <c r="B56" s="10"/>
      <c r="C56" s="19" t="s">
        <v>458</v>
      </c>
      <c r="D56" s="20"/>
    </row>
    <row r="57">
      <c r="B57" s="10"/>
      <c r="C57" s="18" t="s">
        <v>459</v>
      </c>
      <c r="D57" s="21"/>
    </row>
    <row r="58">
      <c r="B58" s="10"/>
      <c r="C58" s="19" t="s">
        <v>460</v>
      </c>
      <c r="D58" s="20"/>
    </row>
    <row r="59">
      <c r="B59" s="10"/>
      <c r="C59" s="18" t="s">
        <v>461</v>
      </c>
      <c r="D59" s="21"/>
    </row>
    <row r="60">
      <c r="B60" s="10"/>
      <c r="C60" s="19" t="s">
        <v>462</v>
      </c>
      <c r="D60" s="20"/>
    </row>
    <row r="61">
      <c r="B61" s="10"/>
      <c r="C61" s="18" t="s">
        <v>463</v>
      </c>
      <c r="D61" s="21"/>
    </row>
    <row r="62">
      <c r="B62" s="10"/>
      <c r="C62" s="19" t="s">
        <v>464</v>
      </c>
      <c r="D62" s="20"/>
    </row>
    <row r="63">
      <c r="B63" s="10"/>
      <c r="C63" s="18" t="s">
        <v>465</v>
      </c>
      <c r="D63" s="21"/>
    </row>
    <row r="64">
      <c r="B64" s="10"/>
      <c r="C64" s="19" t="s">
        <v>466</v>
      </c>
      <c r="D64" s="20"/>
    </row>
    <row r="65">
      <c r="B65" s="10"/>
      <c r="C65" s="18" t="s">
        <v>467</v>
      </c>
      <c r="D65" s="21"/>
    </row>
    <row r="66">
      <c r="B66" s="10"/>
      <c r="C66" s="19" t="s">
        <v>468</v>
      </c>
      <c r="D66" s="20"/>
    </row>
    <row r="67">
      <c r="B67" s="10"/>
      <c r="C67" s="18" t="s">
        <v>14</v>
      </c>
      <c r="D67" s="21"/>
    </row>
    <row r="68">
      <c r="B68" s="10"/>
      <c r="C68" s="19" t="s">
        <v>469</v>
      </c>
      <c r="D68" s="20"/>
    </row>
    <row r="69">
      <c r="B69" s="10"/>
      <c r="C69" s="18" t="s">
        <v>470</v>
      </c>
      <c r="D69" s="21"/>
    </row>
    <row r="70">
      <c r="B70" s="10"/>
      <c r="C70" s="19" t="s">
        <v>471</v>
      </c>
      <c r="D70" s="20"/>
    </row>
    <row r="71">
      <c r="B71" s="10"/>
      <c r="C71" s="18" t="s">
        <v>472</v>
      </c>
      <c r="D71" s="21"/>
    </row>
    <row r="72">
      <c r="B72" s="10"/>
      <c r="C72" s="19" t="s">
        <v>473</v>
      </c>
      <c r="D72" s="20"/>
    </row>
    <row r="73">
      <c r="B73" s="10"/>
      <c r="C73" s="18" t="s">
        <v>474</v>
      </c>
      <c r="D73" s="21"/>
    </row>
    <row r="74">
      <c r="B74" s="10"/>
      <c r="C74" s="19" t="s">
        <v>475</v>
      </c>
      <c r="D74" s="20"/>
    </row>
    <row r="75">
      <c r="B75" s="10"/>
      <c r="C75" s="18" t="s">
        <v>476</v>
      </c>
      <c r="D75" s="21"/>
    </row>
    <row r="76">
      <c r="B76" s="10"/>
      <c r="C76" s="19" t="s">
        <v>477</v>
      </c>
      <c r="D76" s="20"/>
    </row>
    <row r="77">
      <c r="B77" s="10"/>
      <c r="C77" s="18" t="s">
        <v>478</v>
      </c>
      <c r="D77" s="21"/>
    </row>
    <row r="78">
      <c r="B78" s="10"/>
      <c r="C78" s="19" t="s">
        <v>479</v>
      </c>
      <c r="D78" s="20"/>
    </row>
    <row r="79">
      <c r="B79" s="10"/>
      <c r="C79" s="18" t="s">
        <v>480</v>
      </c>
      <c r="D79" s="21"/>
    </row>
    <row r="80">
      <c r="B80" s="10"/>
      <c r="C80" s="19" t="s">
        <v>481</v>
      </c>
      <c r="D80" s="20"/>
    </row>
    <row r="81">
      <c r="B81" s="10"/>
      <c r="C81" s="18" t="s">
        <v>482</v>
      </c>
      <c r="D81" s="21"/>
    </row>
    <row r="82">
      <c r="B82" s="10"/>
      <c r="C82" s="19" t="s">
        <v>483</v>
      </c>
      <c r="D82" s="20"/>
    </row>
    <row r="83">
      <c r="B83" s="10"/>
      <c r="C83" s="18" t="s">
        <v>484</v>
      </c>
      <c r="D83" s="21"/>
    </row>
    <row r="84">
      <c r="B84" s="10"/>
      <c r="C84" s="19" t="s">
        <v>485</v>
      </c>
      <c r="D84" s="20"/>
    </row>
    <row r="85">
      <c r="B85" s="10"/>
      <c r="C85" s="18" t="s">
        <v>486</v>
      </c>
      <c r="D85" s="21"/>
    </row>
    <row r="86">
      <c r="B86" s="10"/>
      <c r="C86" s="19" t="s">
        <v>487</v>
      </c>
      <c r="D86" s="20"/>
    </row>
    <row r="87">
      <c r="B87" s="10"/>
      <c r="C87" s="18" t="s">
        <v>488</v>
      </c>
      <c r="D87" s="21"/>
    </row>
    <row r="88">
      <c r="B88" s="10"/>
      <c r="C88" s="19" t="s">
        <v>489</v>
      </c>
      <c r="D88" s="20"/>
    </row>
    <row r="89">
      <c r="B89" s="10"/>
      <c r="C89" s="18" t="s">
        <v>490</v>
      </c>
      <c r="D89" s="21"/>
    </row>
    <row r="90">
      <c r="B90" s="10"/>
      <c r="C90" s="19" t="s">
        <v>491</v>
      </c>
      <c r="D90" s="20"/>
    </row>
    <row r="91">
      <c r="B91" s="10"/>
      <c r="C91" s="18" t="s">
        <v>492</v>
      </c>
      <c r="D91" s="21"/>
    </row>
    <row r="92">
      <c r="B92" s="10"/>
      <c r="C92" s="19" t="s">
        <v>493</v>
      </c>
      <c r="D92" s="20"/>
    </row>
    <row r="93">
      <c r="B93" s="10"/>
      <c r="C93" s="18" t="s">
        <v>494</v>
      </c>
      <c r="D93" s="21"/>
    </row>
    <row r="94">
      <c r="B94" s="10"/>
      <c r="C94" s="19" t="s">
        <v>495</v>
      </c>
      <c r="D94" s="20"/>
    </row>
    <row r="95">
      <c r="B95" s="10"/>
      <c r="C95" s="18" t="s">
        <v>496</v>
      </c>
      <c r="D95" s="21"/>
    </row>
    <row r="96">
      <c r="B96" s="10"/>
      <c r="C96" s="19" t="s">
        <v>497</v>
      </c>
      <c r="D96" s="20"/>
    </row>
    <row r="97">
      <c r="B97" s="10"/>
      <c r="C97" s="18" t="s">
        <v>498</v>
      </c>
      <c r="D97" s="21"/>
    </row>
    <row r="98">
      <c r="B98" s="10"/>
      <c r="C98" s="19" t="s">
        <v>499</v>
      </c>
      <c r="D98" s="20"/>
    </row>
    <row r="99">
      <c r="B99" s="10"/>
      <c r="C99" s="18" t="s">
        <v>500</v>
      </c>
      <c r="D99" s="21"/>
    </row>
    <row r="100">
      <c r="B100" s="10"/>
      <c r="C100" s="19" t="s">
        <v>501</v>
      </c>
      <c r="D100" s="20"/>
    </row>
    <row r="101">
      <c r="B101" s="10"/>
      <c r="C101" s="18" t="s">
        <v>502</v>
      </c>
      <c r="D101" s="21"/>
    </row>
    <row r="102">
      <c r="B102" s="10"/>
      <c r="C102" s="19" t="s">
        <v>503</v>
      </c>
      <c r="D102" s="20"/>
    </row>
    <row r="103">
      <c r="B103" s="10"/>
      <c r="C103" s="18" t="s">
        <v>504</v>
      </c>
      <c r="D103" s="21"/>
    </row>
    <row r="104">
      <c r="B104" s="10"/>
      <c r="C104" s="19" t="s">
        <v>505</v>
      </c>
      <c r="D104" s="20"/>
    </row>
    <row r="105">
      <c r="B105" s="10"/>
      <c r="C105" s="18" t="s">
        <v>506</v>
      </c>
      <c r="D105" s="21"/>
    </row>
    <row r="106">
      <c r="B106" s="10"/>
      <c r="C106" s="19" t="s">
        <v>507</v>
      </c>
      <c r="D106" s="20"/>
    </row>
    <row r="107">
      <c r="B107" s="10"/>
      <c r="C107" s="18" t="s">
        <v>508</v>
      </c>
      <c r="D107" s="21"/>
    </row>
    <row r="108">
      <c r="B108" s="10"/>
      <c r="C108" s="19" t="s">
        <v>509</v>
      </c>
      <c r="D108" s="20"/>
    </row>
    <row r="109">
      <c r="B109" s="10"/>
      <c r="C109" s="18" t="s">
        <v>510</v>
      </c>
      <c r="D109" s="21"/>
    </row>
    <row r="110">
      <c r="B110" s="10"/>
      <c r="C110" s="19" t="s">
        <v>511</v>
      </c>
      <c r="D110" s="20"/>
    </row>
    <row r="111">
      <c r="B111" s="10"/>
      <c r="C111" s="18" t="s">
        <v>512</v>
      </c>
      <c r="D111" s="21"/>
    </row>
    <row r="112">
      <c r="B112" s="10"/>
      <c r="C112" s="19" t="s">
        <v>513</v>
      </c>
      <c r="D112" s="20"/>
    </row>
    <row r="113">
      <c r="B113" s="10"/>
      <c r="C113" s="18" t="s">
        <v>514</v>
      </c>
      <c r="D113" s="21"/>
    </row>
    <row r="114">
      <c r="B114" s="10"/>
      <c r="C114" s="19" t="s">
        <v>515</v>
      </c>
      <c r="D114" s="20"/>
    </row>
    <row r="115">
      <c r="B115" s="10"/>
      <c r="C115" s="18" t="s">
        <v>516</v>
      </c>
      <c r="D115" s="21"/>
    </row>
    <row r="116">
      <c r="B116" s="10"/>
      <c r="C116" s="19" t="s">
        <v>517</v>
      </c>
      <c r="D116" s="20"/>
    </row>
    <row r="117">
      <c r="B117" s="10"/>
      <c r="C117" s="18" t="s">
        <v>518</v>
      </c>
      <c r="D117" s="21"/>
    </row>
    <row r="118">
      <c r="B118" s="10"/>
      <c r="C118" s="19" t="s">
        <v>519</v>
      </c>
      <c r="D118" s="20"/>
    </row>
    <row r="119">
      <c r="B119" s="10"/>
      <c r="C119" s="18" t="s">
        <v>520</v>
      </c>
      <c r="D119" s="21"/>
    </row>
    <row r="120">
      <c r="B120" s="10"/>
      <c r="C120" s="19" t="s">
        <v>521</v>
      </c>
      <c r="D120" s="20"/>
    </row>
    <row r="121">
      <c r="B121" s="10"/>
      <c r="C121" s="18" t="s">
        <v>522</v>
      </c>
      <c r="D121" s="21"/>
    </row>
    <row r="122">
      <c r="B122" s="10"/>
      <c r="C122" s="19" t="s">
        <v>523</v>
      </c>
      <c r="D122" s="20"/>
    </row>
    <row r="123">
      <c r="B123" s="10"/>
      <c r="C123" s="18" t="s">
        <v>524</v>
      </c>
      <c r="D123" s="21"/>
    </row>
    <row r="124">
      <c r="B124" s="10"/>
      <c r="C124" s="19" t="s">
        <v>525</v>
      </c>
      <c r="D124" s="20"/>
    </row>
    <row r="125">
      <c r="B125" s="10"/>
      <c r="C125" s="18" t="s">
        <v>526</v>
      </c>
      <c r="D125" s="21"/>
    </row>
    <row r="126">
      <c r="B126" s="10"/>
      <c r="C126" s="19" t="s">
        <v>527</v>
      </c>
      <c r="D126" s="20"/>
    </row>
    <row r="127">
      <c r="B127" s="10"/>
      <c r="C127" s="18" t="s">
        <v>528</v>
      </c>
      <c r="D127" s="21"/>
    </row>
    <row r="128">
      <c r="B128" s="10"/>
      <c r="C128" s="19" t="s">
        <v>529</v>
      </c>
      <c r="D128" s="20"/>
    </row>
    <row r="129">
      <c r="B129" s="10"/>
      <c r="C129" s="18" t="s">
        <v>530</v>
      </c>
      <c r="D129" s="21"/>
    </row>
    <row r="130">
      <c r="B130" s="10"/>
      <c r="C130" s="19" t="s">
        <v>531</v>
      </c>
      <c r="D130" s="20"/>
    </row>
    <row r="131">
      <c r="B131" s="10"/>
      <c r="C131" s="18" t="s">
        <v>532</v>
      </c>
      <c r="D131" s="21"/>
    </row>
    <row r="132">
      <c r="B132" s="11"/>
      <c r="C132" s="19" t="s">
        <v>533</v>
      </c>
      <c r="D132" s="28"/>
    </row>
  </sheetData>
  <mergeCells>
    <mergeCell ref="B11:C11"/>
  </mergeCells>
  <hyperlinks>
    <hyperlink location="'Indice'!A1" ref="B2"/>
  </hyperlinks>
  <pageMargins bottom="0.75" footer="0.3" header="0.3" left="0.7" right="0.7" top="0.75"/>
</worksheet>
</file>

<file path=xl/worksheets/sheet11.xml><?xml version="1.0" encoding="utf-8"?>
<worksheet xmlns="http://schemas.openxmlformats.org/spreadsheetml/2006/main">
  <dimension ref="B2:E81"/>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534</v>
      </c>
    </row>
    <row r="6">
      <c r="B6" t="s" s="1">
        <v>8</v>
      </c>
      <c r="C6" t="s">
        <v>9</v>
      </c>
    </row>
    <row r="7">
      <c r="B7" t="s" s="1">
        <v>10</v>
      </c>
      <c r="C7" t="s">
        <v>9</v>
      </c>
    </row>
    <row r="8">
      <c r="B8" t="s" s="1">
        <v>11</v>
      </c>
      <c r="C8" t="s">
        <v>9</v>
      </c>
    </row>
    <row r="10">
      <c r="D10" t="s" s="6">
        <v>12</v>
      </c>
    </row>
    <row r="11" ht="28.0" customHeight="true">
      <c r="B11" s="7" t="s">
        <v>527</v>
      </c>
      <c r="C11" s="9"/>
      <c r="D11" s="21"/>
    </row>
    <row r="12">
      <c r="B12" s="10"/>
      <c r="C12" s="19" t="s">
        <v>535</v>
      </c>
      <c r="D12" s="20"/>
    </row>
    <row r="13">
      <c r="B13" s="10"/>
      <c r="C13" s="18" t="s">
        <v>536</v>
      </c>
      <c r="D13" s="21"/>
    </row>
    <row r="14">
      <c r="B14" s="10"/>
      <c r="C14" s="19" t="s">
        <v>537</v>
      </c>
      <c r="D14" s="20"/>
    </row>
    <row r="15">
      <c r="B15" s="10"/>
      <c r="C15" s="18" t="s">
        <v>538</v>
      </c>
      <c r="D15" s="21"/>
    </row>
    <row r="16">
      <c r="B16" s="10"/>
      <c r="C16" s="19" t="s">
        <v>539</v>
      </c>
      <c r="D16" s="20"/>
    </row>
    <row r="17">
      <c r="B17" s="10"/>
      <c r="C17" s="18" t="s">
        <v>540</v>
      </c>
      <c r="D17" s="21"/>
    </row>
    <row r="18">
      <c r="B18" s="10"/>
      <c r="C18" s="19" t="s">
        <v>541</v>
      </c>
      <c r="D18" s="20"/>
    </row>
    <row r="19">
      <c r="B19" s="10"/>
      <c r="C19" s="18" t="s">
        <v>542</v>
      </c>
      <c r="D19" s="21"/>
    </row>
    <row r="20">
      <c r="B20" s="10"/>
      <c r="C20" s="19" t="s">
        <v>543</v>
      </c>
      <c r="D20" s="20"/>
    </row>
    <row r="21">
      <c r="B21" s="10"/>
      <c r="C21" s="18" t="s">
        <v>544</v>
      </c>
      <c r="D21" s="21"/>
    </row>
    <row r="22">
      <c r="B22" s="10"/>
      <c r="C22" s="19" t="s">
        <v>545</v>
      </c>
      <c r="D22" s="20"/>
    </row>
    <row r="23">
      <c r="B23" s="10"/>
      <c r="C23" s="18" t="s">
        <v>546</v>
      </c>
      <c r="D23" s="21"/>
    </row>
    <row r="24">
      <c r="B24" s="10"/>
      <c r="C24" s="19" t="s">
        <v>547</v>
      </c>
      <c r="D24" s="20"/>
    </row>
    <row r="25">
      <c r="B25" s="10"/>
      <c r="C25" s="18" t="s">
        <v>548</v>
      </c>
      <c r="D25" s="21"/>
    </row>
    <row r="26">
      <c r="B26" s="10"/>
      <c r="C26" s="19" t="s">
        <v>549</v>
      </c>
      <c r="D26" s="20"/>
    </row>
    <row r="27">
      <c r="B27" s="10"/>
      <c r="C27" s="18" t="s">
        <v>550</v>
      </c>
      <c r="D27" s="21"/>
    </row>
    <row r="28">
      <c r="B28" s="10"/>
      <c r="C28" s="19" t="s">
        <v>551</v>
      </c>
      <c r="D28" s="20"/>
    </row>
    <row r="29">
      <c r="B29" s="10"/>
      <c r="C29" s="18" t="s">
        <v>552</v>
      </c>
      <c r="D29" s="21"/>
    </row>
    <row r="30">
      <c r="B30" s="10"/>
      <c r="C30" s="19" t="s">
        <v>553</v>
      </c>
      <c r="D30" s="20"/>
    </row>
    <row r="31">
      <c r="B31" s="10"/>
      <c r="C31" s="18" t="s">
        <v>554</v>
      </c>
      <c r="D31" s="21"/>
    </row>
    <row r="32">
      <c r="B32" s="10"/>
      <c r="C32" s="19" t="s">
        <v>555</v>
      </c>
      <c r="D32" s="20"/>
    </row>
    <row r="33">
      <c r="B33" s="10"/>
      <c r="C33" s="18" t="s">
        <v>556</v>
      </c>
      <c r="D33" s="21"/>
    </row>
    <row r="34">
      <c r="B34" s="10"/>
      <c r="C34" s="19" t="s">
        <v>557</v>
      </c>
      <c r="D34" s="20"/>
    </row>
    <row r="35">
      <c r="B35" s="10"/>
      <c r="C35" s="18" t="s">
        <v>558</v>
      </c>
      <c r="D35" s="21"/>
    </row>
    <row r="36">
      <c r="B36" s="10"/>
      <c r="C36" s="19" t="s">
        <v>559</v>
      </c>
      <c r="D36" s="20"/>
    </row>
    <row r="37">
      <c r="B37" s="10"/>
      <c r="C37" s="18" t="s">
        <v>560</v>
      </c>
      <c r="D37" s="21"/>
    </row>
    <row r="38">
      <c r="B38" s="10"/>
      <c r="C38" s="19" t="s">
        <v>561</v>
      </c>
      <c r="D38" s="20"/>
    </row>
    <row r="39">
      <c r="B39" s="10"/>
      <c r="C39" s="18" t="s">
        <v>562</v>
      </c>
      <c r="D39" s="21"/>
    </row>
    <row r="40">
      <c r="B40" s="10"/>
      <c r="C40" s="19" t="s">
        <v>563</v>
      </c>
      <c r="D40" s="20"/>
    </row>
    <row r="41">
      <c r="B41" s="10"/>
      <c r="C41" s="18" t="s">
        <v>564</v>
      </c>
      <c r="D41" s="21"/>
    </row>
    <row r="42">
      <c r="B42" s="10"/>
      <c r="C42" s="19" t="s">
        <v>565</v>
      </c>
      <c r="D42" s="20"/>
    </row>
    <row r="43">
      <c r="B43" s="10"/>
      <c r="C43" s="18" t="s">
        <v>566</v>
      </c>
      <c r="D43" s="21"/>
    </row>
    <row r="44">
      <c r="B44" s="10"/>
      <c r="C44" s="19" t="s">
        <v>567</v>
      </c>
      <c r="D44" s="20"/>
    </row>
    <row r="45">
      <c r="B45" s="10"/>
      <c r="C45" s="18" t="s">
        <v>568</v>
      </c>
      <c r="D45" s="21"/>
    </row>
    <row r="46">
      <c r="B46" s="10"/>
      <c r="C46" s="19" t="s">
        <v>569</v>
      </c>
      <c r="D46" s="20"/>
    </row>
    <row r="47">
      <c r="B47" s="10"/>
      <c r="C47" s="18" t="s">
        <v>570</v>
      </c>
      <c r="D47" s="21"/>
    </row>
    <row r="48">
      <c r="B48" s="10"/>
      <c r="C48" s="19" t="s">
        <v>571</v>
      </c>
      <c r="D48" s="20"/>
    </row>
    <row r="49">
      <c r="B49" s="10"/>
      <c r="C49" s="18" t="s">
        <v>572</v>
      </c>
      <c r="D49" s="21"/>
    </row>
    <row r="50">
      <c r="B50" s="10"/>
      <c r="C50" s="19" t="s">
        <v>573</v>
      </c>
      <c r="D50" s="20"/>
    </row>
    <row r="51">
      <c r="B51" s="10"/>
      <c r="C51" s="18" t="s">
        <v>574</v>
      </c>
      <c r="D51" s="21"/>
    </row>
    <row r="52">
      <c r="B52" s="10"/>
      <c r="C52" s="19" t="s">
        <v>575</v>
      </c>
      <c r="D52" s="20"/>
    </row>
    <row r="53">
      <c r="B53" s="10"/>
      <c r="C53" s="18" t="s">
        <v>576</v>
      </c>
      <c r="D53" s="21"/>
    </row>
    <row r="54">
      <c r="B54" s="10"/>
      <c r="C54" s="19" t="s">
        <v>577</v>
      </c>
      <c r="D54" s="20"/>
    </row>
    <row r="55">
      <c r="B55" s="10"/>
      <c r="C55" s="18" t="s">
        <v>578</v>
      </c>
      <c r="D55" s="21"/>
    </row>
    <row r="56">
      <c r="B56" s="10"/>
      <c r="C56" s="19" t="s">
        <v>579</v>
      </c>
      <c r="D56" s="20"/>
    </row>
    <row r="57">
      <c r="B57" s="10"/>
      <c r="C57" s="18" t="s">
        <v>580</v>
      </c>
      <c r="D57" s="21"/>
    </row>
    <row r="58">
      <c r="B58" s="10"/>
      <c r="C58" s="19" t="s">
        <v>581</v>
      </c>
      <c r="D58" s="20"/>
    </row>
    <row r="59">
      <c r="B59" s="10"/>
      <c r="C59" s="18" t="s">
        <v>582</v>
      </c>
      <c r="D59" s="21"/>
    </row>
    <row r="60">
      <c r="B60" s="10"/>
      <c r="C60" s="19" t="s">
        <v>583</v>
      </c>
      <c r="D60" s="20"/>
    </row>
    <row r="61">
      <c r="B61" s="10"/>
      <c r="C61" s="18" t="s">
        <v>584</v>
      </c>
      <c r="D61" s="21"/>
    </row>
    <row r="62">
      <c r="B62" s="10"/>
      <c r="C62" s="19" t="s">
        <v>585</v>
      </c>
      <c r="D62" s="20"/>
    </row>
    <row r="63">
      <c r="B63" s="10"/>
      <c r="C63" s="18" t="s">
        <v>586</v>
      </c>
      <c r="D63" s="21"/>
    </row>
    <row r="64">
      <c r="B64" s="10"/>
      <c r="C64" s="19" t="s">
        <v>587</v>
      </c>
      <c r="D64" s="20"/>
    </row>
    <row r="65">
      <c r="B65" s="10"/>
      <c r="C65" s="18" t="s">
        <v>588</v>
      </c>
      <c r="D65" s="21"/>
    </row>
    <row r="66">
      <c r="B66" s="10"/>
      <c r="C66" s="19" t="s">
        <v>589</v>
      </c>
      <c r="D66" s="20"/>
    </row>
    <row r="67">
      <c r="B67" s="10"/>
      <c r="C67" s="18" t="s">
        <v>590</v>
      </c>
      <c r="D67" s="21"/>
    </row>
    <row r="68">
      <c r="B68" s="10"/>
      <c r="C68" s="19" t="s">
        <v>591</v>
      </c>
      <c r="D68" s="20"/>
    </row>
    <row r="69">
      <c r="B69" s="10"/>
      <c r="C69" s="18" t="s">
        <v>592</v>
      </c>
      <c r="D69" s="21"/>
    </row>
    <row r="70">
      <c r="B70" s="10"/>
      <c r="C70" s="19" t="s">
        <v>593</v>
      </c>
      <c r="D70" s="20"/>
    </row>
    <row r="71">
      <c r="B71" s="10"/>
      <c r="C71" s="18" t="s">
        <v>594</v>
      </c>
      <c r="D71" s="21"/>
    </row>
    <row r="72">
      <c r="B72" s="10"/>
      <c r="C72" s="19" t="s">
        <v>595</v>
      </c>
      <c r="D72" s="20"/>
    </row>
    <row r="73">
      <c r="B73" s="10"/>
      <c r="C73" s="18" t="s">
        <v>596</v>
      </c>
      <c r="D73" s="21"/>
    </row>
    <row r="74">
      <c r="B74" s="10"/>
      <c r="C74" s="19" t="s">
        <v>597</v>
      </c>
      <c r="D74" s="20"/>
    </row>
    <row r="75">
      <c r="B75" s="10"/>
      <c r="C75" s="18" t="s">
        <v>598</v>
      </c>
      <c r="D75" s="21"/>
    </row>
    <row r="76">
      <c r="B76" s="10"/>
      <c r="C76" s="19" t="s">
        <v>599</v>
      </c>
      <c r="D76" s="20"/>
    </row>
    <row r="77">
      <c r="B77" s="10"/>
      <c r="C77" s="18" t="s">
        <v>600</v>
      </c>
      <c r="D77" s="21"/>
    </row>
    <row r="78">
      <c r="B78" s="10"/>
      <c r="C78" s="19" t="s">
        <v>601</v>
      </c>
      <c r="D78" s="20"/>
    </row>
    <row r="79">
      <c r="B79" s="10"/>
      <c r="C79" s="18" t="s">
        <v>602</v>
      </c>
      <c r="D79" s="21"/>
    </row>
    <row r="80">
      <c r="B80" s="10"/>
      <c r="C80" s="19" t="s">
        <v>603</v>
      </c>
      <c r="D80" s="20"/>
    </row>
    <row r="81">
      <c r="B81" s="11"/>
      <c r="C81" s="18" t="s">
        <v>604</v>
      </c>
      <c r="D81" s="66"/>
    </row>
  </sheetData>
  <mergeCells>
    <mergeCell ref="B11:C11"/>
  </mergeCells>
  <hyperlinks>
    <hyperlink location="'Indice'!A1" ref="B2"/>
  </hyperlinks>
  <pageMargins bottom="0.75" footer="0.3" header="0.3" left="0.7" right="0.7" top="0.75"/>
</worksheet>
</file>

<file path=xl/worksheets/sheet12.xml><?xml version="1.0" encoding="utf-8"?>
<worksheet xmlns="http://schemas.openxmlformats.org/spreadsheetml/2006/main">
  <dimension ref="B2:G47"/>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s>
  <sheetData>
    <row r="2">
      <c r="B2" t="s" s="2">
        <v>1</v>
      </c>
    </row>
    <row r="3">
      <c r="B3" t="s" s="1">
        <v>3</v>
      </c>
      <c r="C3" t="s">
        <v>4</v>
      </c>
    </row>
    <row r="4">
      <c r="B4" s="1" t="s">
        <v>5</v>
      </c>
      <c r="C4" t="s">
        <v>6</v>
      </c>
    </row>
    <row r="5">
      <c r="B5" t="s" s="1">
        <v>7</v>
      </c>
      <c r="C5" t="s">
        <v>605</v>
      </c>
    </row>
    <row r="6">
      <c r="B6" t="s" s="1">
        <v>8</v>
      </c>
      <c r="C6" t="s">
        <v>9</v>
      </c>
    </row>
    <row r="7">
      <c r="B7" t="s" s="1">
        <v>10</v>
      </c>
      <c r="C7" t="s">
        <v>9</v>
      </c>
    </row>
    <row r="8">
      <c r="B8" t="s" s="1">
        <v>11</v>
      </c>
      <c r="C8" t="s">
        <v>9</v>
      </c>
    </row>
    <row r="10">
      <c r="F10" t="s" s="6">
        <v>12</v>
      </c>
    </row>
    <row r="11">
      <c r="B11" s="7" t="s">
        <v>413</v>
      </c>
      <c r="C11" s="8"/>
      <c r="D11" s="8"/>
      <c r="E11" s="9"/>
      <c r="F11" s="21"/>
    </row>
    <row r="12">
      <c r="B12" s="10"/>
      <c r="C12" s="15" t="s">
        <v>606</v>
      </c>
      <c r="D12" s="37"/>
      <c r="E12" s="13"/>
      <c r="F12" s="20"/>
    </row>
    <row r="13">
      <c r="B13" s="10"/>
      <c r="C13" s="11" t="s">
        <v>607</v>
      </c>
      <c r="D13" s="8"/>
      <c r="E13" s="9"/>
      <c r="F13" s="21"/>
    </row>
    <row r="14">
      <c r="B14" s="10"/>
      <c r="C14" s="15" t="s">
        <v>608</v>
      </c>
      <c r="D14" s="37"/>
      <c r="E14" s="13"/>
      <c r="F14" s="20"/>
    </row>
    <row r="15">
      <c r="B15" s="10"/>
      <c r="C15" s="11" t="s">
        <v>609</v>
      </c>
      <c r="D15" s="8"/>
      <c r="E15" s="9"/>
      <c r="F15" s="21"/>
    </row>
    <row r="16">
      <c r="B16" s="10"/>
      <c r="C16" s="15" t="s">
        <v>610</v>
      </c>
      <c r="D16" s="37"/>
      <c r="E16" s="13"/>
      <c r="F16" s="20"/>
    </row>
    <row r="17">
      <c r="B17" s="10"/>
      <c r="C17" s="11" t="s">
        <v>611</v>
      </c>
      <c r="D17" s="8"/>
      <c r="E17" s="9"/>
      <c r="F17" s="21"/>
    </row>
    <row r="18">
      <c r="B18" s="10"/>
      <c r="C18" s="15" t="s">
        <v>612</v>
      </c>
      <c r="D18" s="37"/>
      <c r="E18" s="13"/>
      <c r="F18" s="51" t="n"/>
    </row>
    <row r="19">
      <c r="B19" s="10"/>
      <c r="C19" s="11" t="s">
        <v>613</v>
      </c>
      <c r="D19" s="8"/>
      <c r="E19" s="9"/>
      <c r="F19" s="50" t="n"/>
    </row>
    <row r="20" ht="28.0" customHeight="true">
      <c r="B20" s="10"/>
      <c r="C20" s="15" t="s">
        <v>614</v>
      </c>
      <c r="D20" s="37"/>
      <c r="E20" s="13"/>
      <c r="F20" s="20"/>
    </row>
    <row r="21">
      <c r="B21" s="10"/>
      <c r="C21" s="11" t="s">
        <v>615</v>
      </c>
      <c r="D21" s="8"/>
      <c r="E21" s="9"/>
      <c r="F21" s="21"/>
    </row>
    <row r="22">
      <c r="B22" s="10"/>
      <c r="C22" s="15" t="s">
        <v>616</v>
      </c>
      <c r="D22" s="37"/>
      <c r="E22" s="13"/>
      <c r="F22" s="20"/>
    </row>
    <row r="23">
      <c r="B23" s="10"/>
      <c r="C23" s="11" t="s">
        <v>617</v>
      </c>
      <c r="D23" s="8"/>
      <c r="E23" s="9"/>
      <c r="F23" s="26" t="n"/>
    </row>
    <row r="24">
      <c r="B24" s="10"/>
      <c r="C24" s="15" t="s">
        <v>618</v>
      </c>
      <c r="D24" s="37"/>
      <c r="E24" s="13"/>
      <c r="F24" s="20"/>
    </row>
    <row r="25" ht="28.0" customHeight="true">
      <c r="B25" s="10"/>
      <c r="C25" s="11" t="s">
        <v>619</v>
      </c>
      <c r="D25" s="8"/>
      <c r="E25" s="9"/>
      <c r="F25" s="21"/>
    </row>
    <row r="26">
      <c r="B26" s="10"/>
      <c r="C26" s="15" t="s">
        <v>620</v>
      </c>
      <c r="D26" s="37"/>
      <c r="E26" s="13"/>
      <c r="F26" s="20"/>
    </row>
    <row r="27">
      <c r="B27" s="10"/>
      <c r="C27" s="11" t="s">
        <v>621</v>
      </c>
      <c r="D27" s="8"/>
      <c r="E27" s="9"/>
      <c r="F27" s="21"/>
    </row>
    <row r="28" ht="42.0" customHeight="true">
      <c r="B28" s="10"/>
      <c r="C28" s="15" t="s">
        <v>622</v>
      </c>
      <c r="D28" s="37"/>
      <c r="E28" s="13"/>
      <c r="F28" s="20"/>
    </row>
    <row r="29">
      <c r="B29" s="10"/>
      <c r="C29" s="11" t="s">
        <v>623</v>
      </c>
      <c r="D29" s="8"/>
      <c r="E29" s="9"/>
      <c r="F29" s="21"/>
    </row>
    <row r="30" ht="28.0" customHeight="true">
      <c r="B30" s="10"/>
      <c r="C30" s="15" t="s">
        <v>624</v>
      </c>
      <c r="D30" s="37"/>
      <c r="E30" s="13"/>
      <c r="F30" s="20"/>
    </row>
    <row r="31" ht="28.0" customHeight="true">
      <c r="B31" s="10"/>
      <c r="C31" s="11" t="s">
        <v>625</v>
      </c>
      <c r="D31" s="8"/>
      <c r="E31" s="9"/>
      <c r="F31" s="21"/>
    </row>
    <row r="32" ht="28.0" customHeight="true">
      <c r="B32" s="10"/>
      <c r="C32" s="15" t="s">
        <v>626</v>
      </c>
      <c r="D32" s="37"/>
      <c r="E32" s="13"/>
      <c r="F32" s="20"/>
    </row>
    <row r="33" ht="42.0" customHeight="true">
      <c r="B33" s="10"/>
      <c r="C33" s="7" t="s">
        <v>627</v>
      </c>
      <c r="D33" s="8"/>
      <c r="E33" s="9"/>
      <c r="F33" s="21"/>
    </row>
    <row r="34" ht="42.0" customHeight="true">
      <c r="B34" s="10"/>
      <c r="C34" s="10"/>
      <c r="D34" s="15" t="s">
        <v>628</v>
      </c>
      <c r="E34" s="13"/>
      <c r="F34" s="20"/>
    </row>
    <row r="35">
      <c r="B35" s="10"/>
      <c r="C35" s="10"/>
      <c r="D35" s="11" t="s">
        <v>629</v>
      </c>
      <c r="E35" s="9"/>
      <c r="F35" s="50" t="n"/>
    </row>
    <row r="36" ht="28.0" customHeight="true">
      <c r="B36" s="10"/>
      <c r="C36" s="11"/>
      <c r="D36" s="15" t="s">
        <v>630</v>
      </c>
      <c r="E36" s="13"/>
      <c r="F36" s="20"/>
    </row>
    <row r="37" ht="28.0" customHeight="true">
      <c r="B37" s="10"/>
      <c r="C37" s="7" t="s">
        <v>631</v>
      </c>
      <c r="D37" s="8"/>
      <c r="E37" s="9"/>
      <c r="F37" s="22"/>
    </row>
    <row r="38" ht="28.0" customHeight="true">
      <c r="B38" s="10"/>
      <c r="C38" s="10"/>
      <c r="D38" s="15" t="s">
        <v>632</v>
      </c>
      <c r="E38" s="13"/>
      <c r="F38" s="20"/>
    </row>
    <row r="39" ht="28.0" customHeight="true">
      <c r="B39" s="10"/>
      <c r="C39" s="10"/>
      <c r="D39" s="7" t="s">
        <v>633</v>
      </c>
      <c r="E39" s="9"/>
      <c r="F39" s="21"/>
    </row>
    <row r="40">
      <c r="B40" s="10"/>
      <c r="C40" s="11"/>
      <c r="D40" s="11"/>
      <c r="E40" s="19" t="s">
        <v>634</v>
      </c>
      <c r="F40" s="20"/>
    </row>
    <row r="41" ht="28.0" customHeight="true">
      <c r="B41" s="10"/>
      <c r="C41" s="11" t="s">
        <v>635</v>
      </c>
      <c r="D41" s="8"/>
      <c r="E41" s="9"/>
      <c r="F41" s="21"/>
    </row>
    <row r="42" ht="28.0" customHeight="true">
      <c r="B42" s="10"/>
      <c r="C42" s="12" t="s">
        <v>636</v>
      </c>
      <c r="D42" s="37"/>
      <c r="E42" s="13"/>
      <c r="F42" s="23"/>
    </row>
    <row r="43" ht="28.0" customHeight="true">
      <c r="B43" s="10"/>
      <c r="C43" s="14"/>
      <c r="D43" s="11" t="s">
        <v>637</v>
      </c>
      <c r="E43" s="9"/>
      <c r="F43" s="21"/>
    </row>
    <row r="44">
      <c r="B44" s="10"/>
      <c r="C44" s="14"/>
      <c r="D44" s="15" t="s">
        <v>638</v>
      </c>
      <c r="E44" s="13"/>
      <c r="F44" s="20"/>
    </row>
    <row r="45" ht="28.0" customHeight="true">
      <c r="B45" s="10"/>
      <c r="C45" s="14"/>
      <c r="D45" s="11" t="s">
        <v>639</v>
      </c>
      <c r="E45" s="9"/>
      <c r="F45" s="21"/>
    </row>
    <row r="46" ht="28.0" customHeight="true">
      <c r="B46" s="10"/>
      <c r="C46" s="14"/>
      <c r="D46" s="15" t="s">
        <v>640</v>
      </c>
      <c r="E46" s="13"/>
      <c r="F46" s="20"/>
    </row>
    <row r="47" ht="28.0" customHeight="true">
      <c r="B47" s="11"/>
      <c r="C47" s="15"/>
      <c r="D47" s="11" t="s">
        <v>641</v>
      </c>
      <c r="E47" s="9"/>
      <c r="F47" s="66"/>
    </row>
  </sheetData>
  <mergeCells>
    <mergeCell ref="B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D34:E34"/>
    <mergeCell ref="D35:E35"/>
    <mergeCell ref="D36:E36"/>
    <mergeCell ref="C37:E37"/>
    <mergeCell ref="D38:E38"/>
    <mergeCell ref="D39:E39"/>
    <mergeCell ref="C41:E41"/>
    <mergeCell ref="C42:E42"/>
    <mergeCell ref="D43:E43"/>
    <mergeCell ref="D44:E44"/>
    <mergeCell ref="D45:E45"/>
    <mergeCell ref="D46:E46"/>
    <mergeCell ref="D47:E47"/>
  </mergeCells>
  <dataValidations count="5">
    <dataValidation type="list" sqref="F33" allowBlank="true" errorStyle="stop" showErrorMessage="true" showDropDown="false">
      <formula1>sspdtipos_TipoSiNo</formula1>
    </dataValidation>
    <dataValidation type="list" sqref="F39" allowBlank="true" errorStyle="stop" showErrorMessage="true" showDropDown="false">
      <formula1>sspdtipos_TipoSiNo</formula1>
    </dataValidation>
    <dataValidation type="list" sqref="F43" allowBlank="true" errorStyle="stop" showErrorMessage="true" showDropDown="false">
      <formula1>sspdtipos_TipoSiNo</formula1>
    </dataValidation>
    <dataValidation type="list" sqref="F44" allowBlank="true" errorStyle="stop" showErrorMessage="true" showDropDown="false">
      <formula1>sspdtipos_TipoSiNo</formula1>
    </dataValidation>
    <dataValidation type="list" sqref="F46" allowBlank="true" errorStyle="stop" showErrorMessage="true" showDropDown="false">
      <formula1>sspdtipos_TipoSiNo</formula1>
    </dataValidation>
  </dataValidations>
  <hyperlinks>
    <hyperlink location="'Indice'!A1" ref="B2"/>
  </hyperlinks>
  <pageMargins bottom="0.75" footer="0.3" header="0.3" left="0.7" right="0.7" top="0.75"/>
</worksheet>
</file>

<file path=xl/worksheets/sheet13.xml><?xml version="1.0" encoding="utf-8"?>
<worksheet xmlns="http://schemas.openxmlformats.org/spreadsheetml/2006/main">
  <dimension ref="B2:I12"/>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s>
  <sheetData>
    <row r="2">
      <c r="B2" t="s" s="2">
        <v>1</v>
      </c>
    </row>
    <row r="3">
      <c r="B3" t="s" s="1">
        <v>3</v>
      </c>
      <c r="C3" t="s">
        <v>4</v>
      </c>
    </row>
    <row r="4">
      <c r="B4" s="1" t="s">
        <v>5</v>
      </c>
      <c r="C4" t="s">
        <v>6</v>
      </c>
    </row>
    <row r="5">
      <c r="B5" t="s" s="1">
        <v>7</v>
      </c>
      <c r="C5" t="s">
        <v>642</v>
      </c>
    </row>
    <row r="6">
      <c r="B6" t="s" s="1">
        <v>8</v>
      </c>
      <c r="C6" t="s">
        <v>9</v>
      </c>
    </row>
    <row r="7">
      <c r="B7" t="s" s="1">
        <v>10</v>
      </c>
      <c r="C7" t="s">
        <v>9</v>
      </c>
    </row>
    <row r="8">
      <c r="B8" t="s" s="1">
        <v>11</v>
      </c>
      <c r="C8" t="s">
        <v>12</v>
      </c>
    </row>
    <row r="10">
      <c r="C10" t="s" s="4">
        <v>643</v>
      </c>
      <c r="D10" s="29"/>
      <c r="E10" s="29"/>
      <c r="F10" s="29"/>
      <c r="G10" s="29"/>
      <c r="H10" s="30"/>
    </row>
    <row r="11">
      <c r="C11" t="s" s="34">
        <v>644</v>
      </c>
      <c r="D11" t="s" s="6">
        <v>645</v>
      </c>
      <c r="E11" t="s" s="34">
        <v>646</v>
      </c>
      <c r="F11" t="s" s="6">
        <v>647</v>
      </c>
      <c r="G11" t="s" s="34">
        <v>648</v>
      </c>
      <c r="H11" s="6" t="s">
        <v>649</v>
      </c>
    </row>
    <row r="12">
      <c r="B12" s="18" t="s">
        <v>650</v>
      </c>
      <c r="C12" s="58"/>
      <c r="D12" s="58"/>
      <c r="E12" s="58"/>
      <c r="F12" s="58"/>
      <c r="G12" s="58"/>
      <c r="H12" s="58"/>
    </row>
  </sheetData>
  <mergeCells>
    <mergeCell ref="C10:H10"/>
  </mergeCells>
  <hyperlinks>
    <hyperlink location="'Indice'!A1" ref="B2"/>
  </hyperlinks>
  <pageMargins bottom="0.75" footer="0.3" header="0.3" left="0.7" right="0.7" top="0.75"/>
</worksheet>
</file>

<file path=xl/worksheets/sheet14.xml><?xml version="1.0" encoding="utf-8"?>
<worksheet xmlns="http://schemas.openxmlformats.org/spreadsheetml/2006/main">
  <dimension ref="B2:E16"/>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651</v>
      </c>
    </row>
    <row r="6">
      <c r="B6" t="s" s="1">
        <v>8</v>
      </c>
      <c r="C6" t="s">
        <v>9</v>
      </c>
    </row>
    <row r="7">
      <c r="B7" t="s" s="1">
        <v>10</v>
      </c>
      <c r="C7" t="s">
        <v>9</v>
      </c>
    </row>
    <row r="8">
      <c r="B8" t="s" s="1">
        <v>11</v>
      </c>
      <c r="C8" t="s">
        <v>9</v>
      </c>
    </row>
    <row r="10">
      <c r="D10" t="s" s="6">
        <v>12</v>
      </c>
    </row>
    <row r="11" ht="28.0" customHeight="true">
      <c r="B11" s="7" t="s">
        <v>512</v>
      </c>
      <c r="C11" s="9"/>
      <c r="D11" s="21"/>
    </row>
    <row r="12">
      <c r="B12" s="10"/>
      <c r="C12" s="19" t="s">
        <v>652</v>
      </c>
      <c r="D12" s="20"/>
    </row>
    <row r="13">
      <c r="B13" s="10"/>
      <c r="C13" s="18" t="s">
        <v>653</v>
      </c>
      <c r="D13" s="50" t="n"/>
    </row>
    <row r="14">
      <c r="B14" s="10"/>
      <c r="C14" s="19" t="s">
        <v>654</v>
      </c>
      <c r="D14" s="20"/>
    </row>
    <row r="15">
      <c r="B15" s="10"/>
      <c r="C15" s="18" t="s">
        <v>655</v>
      </c>
      <c r="D15" s="50" t="n"/>
    </row>
    <row r="16">
      <c r="B16" s="11"/>
      <c r="C16" s="19" t="s">
        <v>656</v>
      </c>
      <c r="D16" s="52" t="n"/>
    </row>
  </sheetData>
  <mergeCells>
    <mergeCell ref="B11:C11"/>
  </mergeCells>
  <hyperlinks>
    <hyperlink location="'Indice'!A1" ref="B2"/>
  </hyperlinks>
  <pageMargins bottom="0.75" footer="0.3" header="0.3" left="0.7" right="0.7" top="0.75"/>
</worksheet>
</file>

<file path=xl/worksheets/sheet15.xml><?xml version="1.0" encoding="utf-8"?>
<worksheet xmlns="http://schemas.openxmlformats.org/spreadsheetml/2006/main">
  <dimension ref="B2:V45"/>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s>
  <sheetData>
    <row r="2">
      <c r="B2" t="s" s="2">
        <v>1</v>
      </c>
    </row>
    <row r="3">
      <c r="B3" t="s" s="1">
        <v>3</v>
      </c>
      <c r="C3" t="s">
        <v>4</v>
      </c>
    </row>
    <row r="4">
      <c r="B4" s="1" t="s">
        <v>5</v>
      </c>
      <c r="C4" t="s">
        <v>6</v>
      </c>
    </row>
    <row r="5">
      <c r="B5" t="s" s="1">
        <v>7</v>
      </c>
      <c r="C5" t="s">
        <v>657</v>
      </c>
    </row>
    <row r="6">
      <c r="B6" t="s" s="1">
        <v>8</v>
      </c>
      <c r="C6" t="s">
        <v>9</v>
      </c>
    </row>
    <row r="7">
      <c r="B7" t="s" s="1">
        <v>10</v>
      </c>
      <c r="C7" t="s">
        <v>9</v>
      </c>
    </row>
    <row r="8">
      <c r="B8" t="s" s="1">
        <v>11</v>
      </c>
      <c r="C8" t="s">
        <v>12</v>
      </c>
    </row>
    <row r="10">
      <c r="F10" t="s" s="4">
        <v>658</v>
      </c>
      <c r="G10" s="29"/>
      <c r="H10" s="29"/>
      <c r="I10" s="29"/>
      <c r="J10" s="29"/>
      <c r="K10" s="29"/>
      <c r="L10" s="29"/>
      <c r="M10" s="29"/>
      <c r="N10" s="29"/>
      <c r="O10" s="29"/>
      <c r="P10" s="29"/>
      <c r="Q10" s="29"/>
      <c r="R10" s="29"/>
      <c r="S10" s="29"/>
      <c r="T10" s="29"/>
      <c r="U10" s="30"/>
    </row>
    <row r="11">
      <c r="F11" t="s" s="32">
        <v>659</v>
      </c>
      <c r="G11" s="62"/>
      <c r="H11" t="s" s="5">
        <v>662</v>
      </c>
      <c r="I11" t="s" s="33">
        <v>663</v>
      </c>
      <c r="J11" t="s" s="5">
        <v>664</v>
      </c>
      <c r="K11" t="s" s="33">
        <v>665</v>
      </c>
      <c r="L11" t="s" s="5">
        <v>666</v>
      </c>
      <c r="M11" t="s" s="33">
        <v>667</v>
      </c>
      <c r="N11" t="s" s="5">
        <v>668</v>
      </c>
      <c r="O11" t="s" s="32">
        <v>669</v>
      </c>
      <c r="P11" s="61"/>
      <c r="Q11" s="61"/>
      <c r="R11" s="61"/>
      <c r="S11" s="62"/>
      <c r="T11" t="s" s="33">
        <v>675</v>
      </c>
      <c r="U11" s="64"/>
    </row>
    <row r="12" ht="28.0" customHeight="true">
      <c r="F12" t="s" s="6">
        <v>660</v>
      </c>
      <c r="G12" s="34" t="s">
        <v>661</v>
      </c>
      <c r="H12" s="35"/>
      <c r="I12" s="63"/>
      <c r="J12" s="35"/>
      <c r="K12" s="63"/>
      <c r="L12" s="35"/>
      <c r="M12" s="63"/>
      <c r="N12" s="35"/>
      <c r="O12" t="s" s="6">
        <v>670</v>
      </c>
      <c r="P12" t="s" s="34">
        <v>671</v>
      </c>
      <c r="Q12" t="s" s="6">
        <v>672</v>
      </c>
      <c r="R12" t="s" s="34">
        <v>673</v>
      </c>
      <c r="S12" s="6" t="s">
        <v>674</v>
      </c>
      <c r="T12" s="63"/>
      <c r="U12" s="36"/>
    </row>
    <row r="13">
      <c r="B13" s="7" t="s">
        <v>676</v>
      </c>
      <c r="C13" s="8"/>
      <c r="D13" s="8"/>
      <c r="E13" s="9"/>
      <c r="F13" s="22"/>
      <c r="G13" s="22"/>
      <c r="H13" s="22"/>
      <c r="I13" s="22"/>
      <c r="J13" s="22"/>
      <c r="K13" s="22"/>
      <c r="L13" s="22"/>
      <c r="M13" s="22"/>
      <c r="N13" s="22"/>
      <c r="O13" s="22"/>
      <c r="P13" s="22"/>
      <c r="Q13" s="22"/>
      <c r="R13" s="22"/>
      <c r="S13" s="22"/>
      <c r="T13" s="22"/>
      <c r="U13" s="22"/>
    </row>
    <row r="14">
      <c r="B14" s="10"/>
      <c r="C14" s="15" t="s">
        <v>677</v>
      </c>
      <c r="D14" s="37"/>
      <c r="E14" s="13"/>
      <c r="F14" s="20"/>
      <c r="G14" s="20"/>
      <c r="H14" s="20"/>
      <c r="I14" s="20"/>
      <c r="J14" s="20"/>
      <c r="K14" s="20"/>
      <c r="L14" s="20"/>
      <c r="M14" s="20"/>
      <c r="N14" s="20"/>
      <c r="O14" s="20"/>
      <c r="P14" s="20"/>
      <c r="Q14" s="20"/>
      <c r="R14" s="20"/>
      <c r="S14" s="20"/>
      <c r="T14" s="20"/>
      <c r="U14" s="23"/>
    </row>
    <row r="15">
      <c r="B15" s="10"/>
      <c r="C15" s="11" t="s">
        <v>678</v>
      </c>
      <c r="D15" s="8"/>
      <c r="E15" s="9"/>
      <c r="F15" s="21"/>
      <c r="G15" s="21"/>
      <c r="H15" s="21"/>
      <c r="I15" s="21"/>
      <c r="J15" s="21"/>
      <c r="K15" s="21"/>
      <c r="L15" s="21"/>
      <c r="M15" s="21"/>
      <c r="N15" s="21"/>
      <c r="O15" s="21"/>
      <c r="P15" s="21"/>
      <c r="Q15" s="21"/>
      <c r="R15" s="21"/>
      <c r="S15" s="21"/>
      <c r="T15" s="21"/>
      <c r="U15" s="22"/>
    </row>
    <row r="16">
      <c r="B16" s="10"/>
      <c r="C16" s="15" t="s">
        <v>679</v>
      </c>
      <c r="D16" s="37"/>
      <c r="E16" s="13"/>
      <c r="F16" s="20"/>
      <c r="G16" s="20"/>
      <c r="H16" s="20"/>
      <c r="I16" s="20"/>
      <c r="J16" s="20"/>
      <c r="K16" s="20"/>
      <c r="L16" s="20"/>
      <c r="M16" s="20"/>
      <c r="N16" s="20"/>
      <c r="O16" s="20"/>
      <c r="P16" s="20"/>
      <c r="Q16" s="20"/>
      <c r="R16" s="20"/>
      <c r="S16" s="20"/>
      <c r="T16" s="20"/>
      <c r="U16" s="23"/>
    </row>
    <row r="17">
      <c r="B17" s="10"/>
      <c r="C17" s="11" t="s">
        <v>680</v>
      </c>
      <c r="D17" s="8"/>
      <c r="E17" s="9"/>
      <c r="F17" s="21"/>
      <c r="G17" s="21"/>
      <c r="H17" s="21"/>
      <c r="I17" s="21"/>
      <c r="J17" s="21"/>
      <c r="K17" s="21"/>
      <c r="L17" s="21"/>
      <c r="M17" s="21"/>
      <c r="N17" s="21"/>
      <c r="O17" s="21"/>
      <c r="P17" s="21"/>
      <c r="Q17" s="21"/>
      <c r="R17" s="21"/>
      <c r="S17" s="21"/>
      <c r="T17" s="21"/>
      <c r="U17" s="22"/>
    </row>
    <row r="18" ht="28.0" customHeight="true">
      <c r="B18" s="10"/>
      <c r="C18" s="15" t="s">
        <v>681</v>
      </c>
      <c r="D18" s="37"/>
      <c r="E18" s="13"/>
      <c r="F18" s="20"/>
      <c r="G18" s="20"/>
      <c r="H18" s="20"/>
      <c r="I18" s="20"/>
      <c r="J18" s="20"/>
      <c r="K18" s="20"/>
      <c r="L18" s="20"/>
      <c r="M18" s="20"/>
      <c r="N18" s="20"/>
      <c r="O18" s="20"/>
      <c r="P18" s="20"/>
      <c r="Q18" s="20"/>
      <c r="R18" s="20"/>
      <c r="S18" s="20"/>
      <c r="T18" s="20"/>
      <c r="U18" s="23"/>
    </row>
    <row r="19">
      <c r="B19" s="10"/>
      <c r="C19" s="7" t="s">
        <v>682</v>
      </c>
      <c r="D19" s="8"/>
      <c r="E19" s="9"/>
      <c r="F19" s="22"/>
      <c r="G19" s="22"/>
      <c r="H19" s="22"/>
      <c r="I19" s="22"/>
      <c r="J19" s="22"/>
      <c r="K19" s="22"/>
      <c r="L19" s="22"/>
      <c r="M19" s="22"/>
      <c r="N19" s="22"/>
      <c r="O19" s="22"/>
      <c r="P19" s="22"/>
      <c r="Q19" s="22"/>
      <c r="R19" s="22"/>
      <c r="S19" s="22"/>
      <c r="T19" s="22"/>
      <c r="U19" s="22"/>
    </row>
    <row r="20">
      <c r="B20" s="10"/>
      <c r="C20" s="10"/>
      <c r="D20" s="15" t="s">
        <v>683</v>
      </c>
      <c r="E20" s="13"/>
      <c r="F20" s="51" t="n"/>
      <c r="G20" s="51" t="n"/>
      <c r="H20" s="51" t="n"/>
      <c r="I20" s="51" t="n"/>
      <c r="J20" s="51" t="n"/>
      <c r="K20" s="51" t="n"/>
      <c r="L20" s="51" t="n"/>
      <c r="M20" s="51" t="n"/>
      <c r="N20" s="51" t="n"/>
      <c r="O20" s="51" t="n"/>
      <c r="P20" s="51" t="n"/>
      <c r="Q20" s="51" t="n"/>
      <c r="R20" s="51" t="n"/>
      <c r="S20" s="51" t="n"/>
      <c r="T20" s="51" t="n"/>
      <c r="U20" s="51" t="n">
        <f>Hoja2!Q151</f>
      </c>
    </row>
    <row r="21">
      <c r="B21" s="10"/>
      <c r="C21" s="10"/>
      <c r="D21" s="7" t="s">
        <v>684</v>
      </c>
      <c r="E21" s="9"/>
      <c r="F21" s="22"/>
      <c r="G21" s="22"/>
      <c r="H21" s="22"/>
      <c r="I21" s="22"/>
      <c r="J21" s="22"/>
      <c r="K21" s="22"/>
      <c r="L21" s="22"/>
      <c r="M21" s="22"/>
      <c r="N21" s="22"/>
      <c r="O21" s="22"/>
      <c r="P21" s="22"/>
      <c r="Q21" s="22"/>
      <c r="R21" s="22"/>
      <c r="S21" s="22"/>
      <c r="T21" s="22"/>
      <c r="U21" s="22"/>
    </row>
    <row r="22">
      <c r="B22" s="10"/>
      <c r="C22" s="10"/>
      <c r="D22" s="10"/>
      <c r="E22" s="19" t="s">
        <v>685</v>
      </c>
      <c r="F22" s="51" t="n"/>
      <c r="G22" s="51" t="n"/>
      <c r="H22" s="51" t="n"/>
      <c r="I22" s="51" t="n"/>
      <c r="J22" s="51" t="n"/>
      <c r="K22" s="51" t="n"/>
      <c r="L22" s="51" t="n"/>
      <c r="M22" s="51" t="n"/>
      <c r="N22" s="51" t="n"/>
      <c r="O22" s="51" t="n"/>
      <c r="P22" s="51" t="n"/>
      <c r="Q22" s="51" t="n"/>
      <c r="R22" s="51" t="n"/>
      <c r="S22" s="51" t="n"/>
      <c r="T22" s="51" t="n"/>
      <c r="U22" s="51" t="n"/>
    </row>
    <row r="23">
      <c r="B23" s="10"/>
      <c r="C23" s="10"/>
      <c r="D23" s="10"/>
      <c r="E23" s="18" t="s">
        <v>686</v>
      </c>
      <c r="F23" s="50" t="n"/>
      <c r="G23" s="50" t="n"/>
      <c r="H23" s="50" t="n"/>
      <c r="I23" s="50" t="n"/>
      <c r="J23" s="50" t="n"/>
      <c r="K23" s="50" t="n"/>
      <c r="L23" s="50" t="n"/>
      <c r="M23" s="50" t="n"/>
      <c r="N23" s="50" t="n"/>
      <c r="O23" s="50" t="n"/>
      <c r="P23" s="50" t="n"/>
      <c r="Q23" s="50" t="n"/>
      <c r="R23" s="50" t="n"/>
      <c r="S23" s="50" t="n"/>
      <c r="T23" s="50" t="n"/>
      <c r="U23" s="50" t="n"/>
    </row>
    <row r="24">
      <c r="B24" s="10"/>
      <c r="C24" s="10"/>
      <c r="D24" s="10"/>
      <c r="E24" s="19" t="s">
        <v>687</v>
      </c>
      <c r="F24" s="51" t="n"/>
      <c r="G24" s="51" t="n"/>
      <c r="H24" s="51" t="n"/>
      <c r="I24" s="51" t="n"/>
      <c r="J24" s="51" t="n"/>
      <c r="K24" s="51" t="n"/>
      <c r="L24" s="51" t="n"/>
      <c r="M24" s="51" t="n"/>
      <c r="N24" s="51" t="n"/>
      <c r="O24" s="51" t="n"/>
      <c r="P24" s="51" t="n"/>
      <c r="Q24" s="51" t="n"/>
      <c r="R24" s="51" t="n"/>
      <c r="S24" s="51" t="n"/>
      <c r="T24" s="51" t="n"/>
      <c r="U24" s="51" t="n"/>
    </row>
    <row r="25">
      <c r="B25" s="10"/>
      <c r="C25" s="10"/>
      <c r="D25" s="10"/>
      <c r="E25" s="18" t="s">
        <v>688</v>
      </c>
      <c r="F25" s="50" t="n"/>
      <c r="G25" s="50" t="n"/>
      <c r="H25" s="50" t="n"/>
      <c r="I25" s="50" t="n"/>
      <c r="J25" s="50" t="n"/>
      <c r="K25" s="50" t="n"/>
      <c r="L25" s="50" t="n"/>
      <c r="M25" s="50" t="n"/>
      <c r="N25" s="50" t="n"/>
      <c r="O25" s="50" t="n"/>
      <c r="P25" s="50" t="n"/>
      <c r="Q25" s="50" t="n"/>
      <c r="R25" s="50" t="n"/>
      <c r="S25" s="50" t="n"/>
      <c r="T25" s="50" t="n"/>
      <c r="U25" s="50" t="n"/>
    </row>
    <row r="26">
      <c r="B26" s="10"/>
      <c r="C26" s="10"/>
      <c r="D26" s="10"/>
      <c r="E26" s="19" t="s">
        <v>689</v>
      </c>
      <c r="F26" s="51" t="n"/>
      <c r="G26" s="51" t="n"/>
      <c r="H26" s="51" t="n"/>
      <c r="I26" s="51" t="n"/>
      <c r="J26" s="51" t="n"/>
      <c r="K26" s="51" t="n"/>
      <c r="L26" s="51" t="n"/>
      <c r="M26" s="51" t="n"/>
      <c r="N26" s="51" t="n"/>
      <c r="O26" s="51" t="n"/>
      <c r="P26" s="51" t="n"/>
      <c r="Q26" s="51" t="n"/>
      <c r="R26" s="51" t="n"/>
      <c r="S26" s="51" t="n"/>
      <c r="T26" s="51" t="n"/>
      <c r="U26" s="51" t="n"/>
    </row>
    <row r="27">
      <c r="B27" s="10"/>
      <c r="C27" s="10"/>
      <c r="D27" s="10"/>
      <c r="E27" s="18" t="s">
        <v>690</v>
      </c>
      <c r="F27" s="50" t="n"/>
      <c r="G27" s="50" t="n"/>
      <c r="H27" s="50" t="n"/>
      <c r="I27" s="50" t="n"/>
      <c r="J27" s="50" t="n"/>
      <c r="K27" s="50" t="n"/>
      <c r="L27" s="50" t="n"/>
      <c r="M27" s="50" t="n"/>
      <c r="N27" s="50" t="n"/>
      <c r="O27" s="50" t="n"/>
      <c r="P27" s="50" t="n"/>
      <c r="Q27" s="50" t="n"/>
      <c r="R27" s="50" t="n"/>
      <c r="S27" s="50" t="n"/>
      <c r="T27" s="50" t="n"/>
      <c r="U27" s="50" t="n"/>
    </row>
    <row r="28">
      <c r="B28" s="10"/>
      <c r="C28" s="10"/>
      <c r="D28" s="10"/>
      <c r="E28" s="19" t="s">
        <v>691</v>
      </c>
      <c r="F28" s="51" t="n"/>
      <c r="G28" s="51" t="n"/>
      <c r="H28" s="51" t="n"/>
      <c r="I28" s="51" t="n"/>
      <c r="J28" s="51" t="n"/>
      <c r="K28" s="51" t="n"/>
      <c r="L28" s="51" t="n"/>
      <c r="M28" s="51" t="n"/>
      <c r="N28" s="51" t="n"/>
      <c r="O28" s="51" t="n"/>
      <c r="P28" s="51" t="n"/>
      <c r="Q28" s="51" t="n"/>
      <c r="R28" s="51" t="n"/>
      <c r="S28" s="51" t="n"/>
      <c r="T28" s="51" t="n"/>
      <c r="U28" s="51" t="n"/>
    </row>
    <row r="29">
      <c r="B29" s="10"/>
      <c r="C29" s="10"/>
      <c r="D29" s="10"/>
      <c r="E29" s="18" t="s">
        <v>692</v>
      </c>
      <c r="F29" s="50" t="n"/>
      <c r="G29" s="50" t="n"/>
      <c r="H29" s="50" t="n"/>
      <c r="I29" s="50" t="n"/>
      <c r="J29" s="50" t="n"/>
      <c r="K29" s="50" t="n"/>
      <c r="L29" s="50" t="n"/>
      <c r="M29" s="50" t="n"/>
      <c r="N29" s="50" t="n"/>
      <c r="O29" s="50" t="n"/>
      <c r="P29" s="50" t="n"/>
      <c r="Q29" s="50" t="n"/>
      <c r="R29" s="50" t="n"/>
      <c r="S29" s="50" t="n"/>
      <c r="T29" s="50" t="n"/>
      <c r="U29" s="50" t="n"/>
    </row>
    <row r="30">
      <c r="B30" s="10"/>
      <c r="C30" s="10"/>
      <c r="D30" s="10"/>
      <c r="E30" s="19" t="s">
        <v>693</v>
      </c>
      <c r="F30" s="51" t="n"/>
      <c r="G30" s="51" t="n"/>
      <c r="H30" s="51" t="n"/>
      <c r="I30" s="51" t="n"/>
      <c r="J30" s="51" t="n"/>
      <c r="K30" s="51" t="n"/>
      <c r="L30" s="51" t="n"/>
      <c r="M30" s="51" t="n"/>
      <c r="N30" s="51" t="n"/>
      <c r="O30" s="51" t="n"/>
      <c r="P30" s="51" t="n"/>
      <c r="Q30" s="51" t="n"/>
      <c r="R30" s="51" t="n"/>
      <c r="S30" s="51" t="n"/>
      <c r="T30" s="51" t="n"/>
      <c r="U30" s="51" t="n"/>
    </row>
    <row r="31">
      <c r="B31" s="10"/>
      <c r="C31" s="10"/>
      <c r="D31" s="10"/>
      <c r="E31" s="18" t="s">
        <v>694</v>
      </c>
      <c r="F31" s="50" t="n"/>
      <c r="G31" s="50" t="n"/>
      <c r="H31" s="50" t="n"/>
      <c r="I31" s="50" t="n"/>
      <c r="J31" s="50" t="n"/>
      <c r="K31" s="50" t="n"/>
      <c r="L31" s="50" t="n"/>
      <c r="M31" s="50" t="n"/>
      <c r="N31" s="50" t="n"/>
      <c r="O31" s="50" t="n"/>
      <c r="P31" s="50" t="n"/>
      <c r="Q31" s="50" t="n"/>
      <c r="R31" s="50" t="n"/>
      <c r="S31" s="50" t="n"/>
      <c r="T31" s="50" t="n"/>
      <c r="U31" s="50" t="n"/>
    </row>
    <row r="32">
      <c r="B32" s="10"/>
      <c r="C32" s="10"/>
      <c r="D32" s="10"/>
      <c r="E32" s="19" t="s">
        <v>695</v>
      </c>
      <c r="F32" s="51" t="n"/>
      <c r="G32" s="51" t="n"/>
      <c r="H32" s="51" t="n"/>
      <c r="I32" s="51" t="n"/>
      <c r="J32" s="51" t="n"/>
      <c r="K32" s="51" t="n"/>
      <c r="L32" s="51" t="n"/>
      <c r="M32" s="51" t="n"/>
      <c r="N32" s="51" t="n"/>
      <c r="O32" s="51" t="n"/>
      <c r="P32" s="51" t="n"/>
      <c r="Q32" s="51" t="n"/>
      <c r="R32" s="51" t="n"/>
      <c r="S32" s="51" t="n"/>
      <c r="T32" s="51" t="n"/>
      <c r="U32" s="51" t="n"/>
    </row>
    <row r="33">
      <c r="B33" s="10"/>
      <c r="C33" s="10"/>
      <c r="D33" s="10"/>
      <c r="E33" s="18" t="s">
        <v>696</v>
      </c>
      <c r="F33" s="50" t="n"/>
      <c r="G33" s="50" t="n"/>
      <c r="H33" s="50" t="n"/>
      <c r="I33" s="50" t="n"/>
      <c r="J33" s="50" t="n"/>
      <c r="K33" s="50" t="n"/>
      <c r="L33" s="50" t="n"/>
      <c r="M33" s="50" t="n"/>
      <c r="N33" s="50" t="n"/>
      <c r="O33" s="50" t="n"/>
      <c r="P33" s="50" t="n"/>
      <c r="Q33" s="50" t="n"/>
      <c r="R33" s="50" t="n"/>
      <c r="S33" s="50" t="n"/>
      <c r="T33" s="50" t="n"/>
      <c r="U33" s="50" t="n"/>
    </row>
    <row r="34">
      <c r="B34" s="10"/>
      <c r="C34" s="10"/>
      <c r="D34" s="11"/>
      <c r="E34" s="57" t="s">
        <v>697</v>
      </c>
      <c r="F34" s="51" t="n">
        <f>SUM(F22:F24)-F25-F26+F27+F28-F29+F30-F31-F32+F33</f>
      </c>
      <c r="G34" s="51" t="n">
        <f>SUM(G22:G24)-G25-G26+G27+G28-G29+G30-G31-G32+G33</f>
      </c>
      <c r="H34" s="51" t="n">
        <f>SUM(H22:H24)-H25-H26+H27+H28-H29+H30-H31-H32+H33</f>
      </c>
      <c r="I34" s="51" t="n">
        <f>SUM(I22:I24)-I25-I26+I27+I28-I29+I30-I31-I32+I33</f>
      </c>
      <c r="J34" s="51" t="n">
        <f>SUM(J22:J24)-J25-J26+J27+J28-J29+J30-J31-J32+J33</f>
      </c>
      <c r="K34" s="51" t="n">
        <f>SUM(K22:K24)-K25-K26+K27+K28-K29+K30-K31-K32+K33</f>
      </c>
      <c r="L34" s="51" t="n">
        <f>SUM(L22:L24)-L25-L26+L27+L28-L29+L30-L31-L32+L33</f>
      </c>
      <c r="M34" s="51" t="n">
        <f>SUM(M22:M24)-M25-M26+M27+M28-M29+M30-M31-M32+M33</f>
      </c>
      <c r="N34" s="51" t="n">
        <f>SUM(N22:N24)-N25-N26+N27+N28-N29+N30-N31-N32+N33</f>
      </c>
      <c r="O34" s="51" t="n">
        <f>SUM(O22:O24)-O25-O26+O27+O28-O29+O30-O31-O32+O33</f>
      </c>
      <c r="P34" s="51" t="n">
        <f>SUM(P22:P24)-P25-P26+P27+P28-P29+P30-P31-P32+P33</f>
      </c>
      <c r="Q34" s="51" t="n">
        <f>SUM(Q22:Q24)-Q25-Q26+Q27+Q28-Q29+Q30-Q31-Q32+Q33</f>
      </c>
      <c r="R34" s="51" t="n">
        <f>SUM(R22:R24)-R25-R26+R27+R28-R29+R30-R31-R32+R33</f>
      </c>
      <c r="S34" s="51" t="n">
        <f>SUM(S22:S24)-S25-S26+S27+S28-S29+S30-S31-S32+S33</f>
      </c>
      <c r="T34" s="51" t="n">
        <f>SUM(T22:T24)-T25-T26+T27+T28-T29+T30-T31-T32+T33</f>
      </c>
      <c r="U34" s="51" t="n">
        <f>SUM(U22:U24)-U25-U26+U27+U28-U29+U30-U31-U32+U33</f>
      </c>
    </row>
    <row r="35">
      <c r="B35" s="10"/>
      <c r="C35" s="11"/>
      <c r="D35" s="11" t="s">
        <v>698</v>
      </c>
      <c r="E35" s="9"/>
      <c r="F35" s="50" t="n"/>
      <c r="G35" s="50" t="n"/>
      <c r="H35" s="50" t="n"/>
      <c r="I35" s="50" t="n"/>
      <c r="J35" s="50" t="n"/>
      <c r="K35" s="50" t="n"/>
      <c r="L35" s="50" t="n"/>
      <c r="M35" s="50" t="n"/>
      <c r="N35" s="50" t="n"/>
      <c r="O35" s="50" t="n"/>
      <c r="P35" s="50" t="n"/>
      <c r="Q35" s="50" t="n"/>
      <c r="R35" s="50" t="n"/>
      <c r="S35" s="50" t="n"/>
      <c r="T35" s="50" t="n"/>
      <c r="U35" s="50" t="n">
        <f>Hoja2!Q40</f>
      </c>
    </row>
    <row r="36">
      <c r="B36" s="10"/>
      <c r="C36" s="12" t="s">
        <v>699</v>
      </c>
      <c r="D36" s="37"/>
      <c r="E36" s="13"/>
      <c r="F36" s="23"/>
      <c r="G36" s="23"/>
      <c r="H36" s="23"/>
      <c r="I36" s="23"/>
      <c r="J36" s="23"/>
      <c r="K36" s="23"/>
      <c r="L36" s="23"/>
      <c r="M36" s="23"/>
      <c r="N36" s="23"/>
      <c r="O36" s="23"/>
      <c r="P36" s="23"/>
      <c r="Q36" s="23"/>
      <c r="R36" s="23"/>
      <c r="S36" s="23"/>
      <c r="T36" s="23"/>
      <c r="U36" s="23"/>
    </row>
    <row r="37" ht="28.0" customHeight="true">
      <c r="B37" s="10"/>
      <c r="C37" s="14"/>
      <c r="D37" s="11" t="s">
        <v>700</v>
      </c>
      <c r="E37" s="9"/>
      <c r="F37" s="50" t="n"/>
      <c r="G37" s="50" t="n"/>
      <c r="H37" s="50" t="n"/>
      <c r="I37" s="50" t="n"/>
      <c r="J37" s="50" t="n"/>
      <c r="K37" s="50" t="n"/>
      <c r="L37" s="50" t="n"/>
      <c r="M37" s="50" t="n"/>
      <c r="N37" s="50" t="n"/>
      <c r="O37" s="50" t="n"/>
      <c r="P37" s="50" t="n"/>
      <c r="Q37" s="50" t="n"/>
      <c r="R37" s="50" t="n"/>
      <c r="S37" s="50" t="n"/>
      <c r="T37" s="50" t="n"/>
      <c r="U37" s="50" t="n"/>
    </row>
    <row r="38">
      <c r="B38" s="10"/>
      <c r="C38" s="14"/>
      <c r="D38" s="15" t="s">
        <v>701</v>
      </c>
      <c r="E38" s="13"/>
      <c r="F38" s="51" t="n"/>
      <c r="G38" s="51" t="n"/>
      <c r="H38" s="51" t="n"/>
      <c r="I38" s="51" t="n"/>
      <c r="J38" s="51" t="n"/>
      <c r="K38" s="51" t="n"/>
      <c r="L38" s="51" t="n"/>
      <c r="M38" s="51" t="n"/>
      <c r="N38" s="51" t="n"/>
      <c r="O38" s="51" t="n"/>
      <c r="P38" s="51" t="n"/>
      <c r="Q38" s="51" t="n"/>
      <c r="R38" s="51" t="n"/>
      <c r="S38" s="51" t="n"/>
      <c r="T38" s="51" t="n"/>
      <c r="U38" s="51" t="n"/>
    </row>
    <row r="39" ht="28.0" customHeight="true">
      <c r="B39" s="10"/>
      <c r="C39" s="14"/>
      <c r="D39" s="11" t="s">
        <v>702</v>
      </c>
      <c r="E39" s="9"/>
      <c r="F39" s="50" t="n"/>
      <c r="G39" s="50" t="n"/>
      <c r="H39" s="50" t="n"/>
      <c r="I39" s="50" t="n"/>
      <c r="J39" s="50" t="n"/>
      <c r="K39" s="50" t="n"/>
      <c r="L39" s="50" t="n"/>
      <c r="M39" s="50" t="n"/>
      <c r="N39" s="50" t="n"/>
      <c r="O39" s="50" t="n"/>
      <c r="P39" s="50" t="n"/>
      <c r="Q39" s="50" t="n"/>
      <c r="R39" s="50" t="n"/>
      <c r="S39" s="50" t="n"/>
      <c r="T39" s="50" t="n"/>
      <c r="U39" s="50" t="n"/>
    </row>
    <row r="40" ht="28.0" customHeight="true">
      <c r="B40" s="10"/>
      <c r="C40" s="15"/>
      <c r="D40" s="15" t="s">
        <v>703</v>
      </c>
      <c r="E40" s="13"/>
      <c r="F40" s="51" t="n"/>
      <c r="G40" s="51" t="n"/>
      <c r="H40" s="51" t="n"/>
      <c r="I40" s="51" t="n"/>
      <c r="J40" s="51" t="n"/>
      <c r="K40" s="51" t="n"/>
      <c r="L40" s="51" t="n"/>
      <c r="M40" s="51" t="n"/>
      <c r="N40" s="51" t="n"/>
      <c r="O40" s="51" t="n"/>
      <c r="P40" s="51" t="n"/>
      <c r="Q40" s="51" t="n"/>
      <c r="R40" s="51" t="n"/>
      <c r="S40" s="51" t="n"/>
      <c r="T40" s="51" t="n"/>
      <c r="U40" s="51" t="n"/>
    </row>
    <row r="41">
      <c r="B41" s="10"/>
      <c r="C41" s="7" t="s">
        <v>704</v>
      </c>
      <c r="D41" s="8"/>
      <c r="E41" s="9"/>
      <c r="F41" s="22"/>
      <c r="G41" s="22"/>
      <c r="H41" s="22"/>
      <c r="I41" s="22"/>
      <c r="J41" s="22"/>
      <c r="K41" s="22"/>
      <c r="L41" s="22"/>
      <c r="M41" s="22"/>
      <c r="N41" s="22"/>
      <c r="O41" s="22"/>
      <c r="P41" s="22"/>
      <c r="Q41" s="22"/>
      <c r="R41" s="22"/>
      <c r="S41" s="22"/>
      <c r="T41" s="22"/>
      <c r="U41" s="22"/>
    </row>
    <row r="42">
      <c r="B42" s="10"/>
      <c r="C42" s="10"/>
      <c r="D42" s="15" t="s">
        <v>705</v>
      </c>
      <c r="E42" s="13"/>
      <c r="F42" s="51" t="n"/>
      <c r="G42" s="51" t="n"/>
      <c r="H42" s="51" t="n"/>
      <c r="I42" s="51" t="n"/>
      <c r="J42" s="51" t="n"/>
      <c r="K42" s="51" t="n"/>
      <c r="L42" s="51" t="n"/>
      <c r="M42" s="51" t="n"/>
      <c r="N42" s="51" t="n"/>
      <c r="O42" s="51" t="n"/>
      <c r="P42" s="51" t="n"/>
      <c r="Q42" s="51" t="n"/>
      <c r="R42" s="51" t="n"/>
      <c r="S42" s="51" t="n"/>
      <c r="T42" s="51" t="n"/>
      <c r="U42" s="51" t="n"/>
    </row>
    <row r="43">
      <c r="B43" s="10"/>
      <c r="C43" s="10"/>
      <c r="D43" s="11" t="s">
        <v>706</v>
      </c>
      <c r="E43" s="9"/>
      <c r="F43" s="50" t="n"/>
      <c r="G43" s="50" t="n"/>
      <c r="H43" s="50" t="n"/>
      <c r="I43" s="50" t="n"/>
      <c r="J43" s="50" t="n"/>
      <c r="K43" s="50" t="n"/>
      <c r="L43" s="50" t="n"/>
      <c r="M43" s="50" t="n"/>
      <c r="N43" s="50" t="n"/>
      <c r="O43" s="50" t="n"/>
      <c r="P43" s="50" t="n"/>
      <c r="Q43" s="50" t="n"/>
      <c r="R43" s="50" t="n"/>
      <c r="S43" s="50" t="n"/>
      <c r="T43" s="50" t="n"/>
      <c r="U43" s="50" t="n"/>
    </row>
    <row r="44">
      <c r="B44" s="10"/>
      <c r="C44" s="10"/>
      <c r="D44" s="15" t="s">
        <v>707</v>
      </c>
      <c r="E44" s="13"/>
      <c r="F44" s="51" t="n"/>
      <c r="G44" s="51" t="n"/>
      <c r="H44" s="51" t="n"/>
      <c r="I44" s="51" t="n"/>
      <c r="J44" s="51" t="n"/>
      <c r="K44" s="51" t="n"/>
      <c r="L44" s="51" t="n"/>
      <c r="M44" s="51" t="n"/>
      <c r="N44" s="51" t="n"/>
      <c r="O44" s="51" t="n"/>
      <c r="P44" s="51" t="n"/>
      <c r="Q44" s="51" t="n"/>
      <c r="R44" s="51" t="n"/>
      <c r="S44" s="51" t="n"/>
      <c r="T44" s="51" t="n"/>
      <c r="U44" s="51" t="n"/>
    </row>
    <row r="45" ht="28.0" customHeight="true">
      <c r="B45" s="11"/>
      <c r="C45" s="11"/>
      <c r="D45" s="11" t="s">
        <v>708</v>
      </c>
      <c r="E45" s="9"/>
      <c r="F45" s="66"/>
      <c r="G45" s="66"/>
      <c r="H45" s="66"/>
      <c r="I45" s="66"/>
      <c r="J45" s="66"/>
      <c r="K45" s="66"/>
      <c r="L45" s="66"/>
      <c r="M45" s="66"/>
      <c r="N45" s="66"/>
      <c r="O45" s="66"/>
      <c r="P45" s="66"/>
      <c r="Q45" s="66"/>
      <c r="R45" s="66"/>
      <c r="S45" s="66"/>
      <c r="T45" s="66"/>
      <c r="U45" s="58"/>
    </row>
  </sheetData>
  <mergeCells>
    <mergeCell ref="F10:U10"/>
    <mergeCell ref="F11:G11"/>
    <mergeCell ref="H11:H12"/>
    <mergeCell ref="I11:I12"/>
    <mergeCell ref="J11:J12"/>
    <mergeCell ref="K11:K12"/>
    <mergeCell ref="L11:L12"/>
    <mergeCell ref="M11:M12"/>
    <mergeCell ref="N11:N12"/>
    <mergeCell ref="O11:S11"/>
    <mergeCell ref="T11:T12"/>
    <mergeCell ref="B13:E13"/>
    <mergeCell ref="C14:E14"/>
    <mergeCell ref="C15:E15"/>
    <mergeCell ref="C16:E16"/>
    <mergeCell ref="C17:E17"/>
    <mergeCell ref="C18:E18"/>
    <mergeCell ref="C19:E19"/>
    <mergeCell ref="D20:E20"/>
    <mergeCell ref="D21:E21"/>
    <mergeCell ref="D35:E35"/>
    <mergeCell ref="C36:E36"/>
    <mergeCell ref="D37:E37"/>
    <mergeCell ref="D38:E38"/>
    <mergeCell ref="D39:E39"/>
    <mergeCell ref="D40:E40"/>
    <mergeCell ref="C41:E41"/>
    <mergeCell ref="D42:E42"/>
    <mergeCell ref="D43:E43"/>
    <mergeCell ref="D44:E44"/>
    <mergeCell ref="D45:E45"/>
  </mergeCells>
  <hyperlinks>
    <hyperlink location="'Indice'!A1" ref="B2"/>
  </hyperlinks>
  <pageMargins bottom="0.75" footer="0.3" header="0.3" left="0.7" right="0.7" top="0.75"/>
</worksheet>
</file>

<file path=xl/worksheets/sheet16.xml><?xml version="1.0" encoding="utf-8"?>
<worksheet xmlns="http://schemas.openxmlformats.org/spreadsheetml/2006/main">
  <dimension ref="B2:E14"/>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709</v>
      </c>
    </row>
    <row r="6">
      <c r="B6" t="s" s="1">
        <v>8</v>
      </c>
      <c r="C6" t="s">
        <v>9</v>
      </c>
    </row>
    <row r="7">
      <c r="B7" t="s" s="1">
        <v>10</v>
      </c>
      <c r="C7" t="s">
        <v>9</v>
      </c>
    </row>
    <row r="8">
      <c r="B8" t="s" s="1">
        <v>11</v>
      </c>
      <c r="C8" t="s">
        <v>9</v>
      </c>
    </row>
    <row r="10">
      <c r="D10" t="s" s="6">
        <v>12</v>
      </c>
    </row>
    <row r="11">
      <c r="B11" s="7" t="s">
        <v>461</v>
      </c>
      <c r="C11" s="9"/>
      <c r="D11" s="21"/>
    </row>
    <row r="12">
      <c r="B12" s="10"/>
      <c r="C12" s="19" t="s">
        <v>710</v>
      </c>
      <c r="D12" s="20"/>
    </row>
    <row r="13">
      <c r="B13" s="10"/>
      <c r="C13" s="18" t="s">
        <v>711</v>
      </c>
      <c r="D13" s="21"/>
    </row>
    <row r="14">
      <c r="B14" s="11"/>
      <c r="C14" s="19" t="s">
        <v>712</v>
      </c>
      <c r="D14" s="28"/>
    </row>
  </sheetData>
  <mergeCells>
    <mergeCell ref="B11:C11"/>
  </mergeCells>
  <hyperlinks>
    <hyperlink location="'Indice'!A1" ref="B2"/>
  </hyperlinks>
  <pageMargins bottom="0.75" footer="0.3" header="0.3" left="0.7" right="0.7" top="0.75"/>
</worksheet>
</file>

<file path=xl/worksheets/sheet17.xml><?xml version="1.0" encoding="utf-8"?>
<worksheet xmlns="http://schemas.openxmlformats.org/spreadsheetml/2006/main">
  <dimension ref="B2:L16"/>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713</v>
      </c>
    </row>
    <row r="6">
      <c r="B6" t="s" s="1">
        <v>8</v>
      </c>
      <c r="C6" t="s">
        <v>9</v>
      </c>
    </row>
    <row r="7">
      <c r="B7" t="s" s="1">
        <v>10</v>
      </c>
      <c r="C7" t="s">
        <v>9</v>
      </c>
    </row>
    <row r="8">
      <c r="B8" t="s" s="1">
        <v>11</v>
      </c>
      <c r="C8" t="s">
        <v>12</v>
      </c>
    </row>
    <row r="10">
      <c r="D10" t="s" s="4">
        <v>714</v>
      </c>
      <c r="E10" s="29"/>
      <c r="F10" s="29"/>
      <c r="G10" s="29"/>
      <c r="H10" s="29"/>
      <c r="I10" s="29"/>
      <c r="J10" s="29"/>
      <c r="K10" s="30"/>
    </row>
    <row r="11">
      <c r="D11" t="s" s="34">
        <v>715</v>
      </c>
      <c r="E11" t="s" s="6">
        <v>716</v>
      </c>
      <c r="F11" t="s" s="34">
        <v>717</v>
      </c>
      <c r="G11" t="s" s="6">
        <v>718</v>
      </c>
      <c r="H11" t="s" s="34">
        <v>719</v>
      </c>
      <c r="I11" t="s" s="6">
        <v>720</v>
      </c>
      <c r="J11" t="s" s="34">
        <v>721</v>
      </c>
      <c r="K11" s="36"/>
    </row>
    <row r="12">
      <c r="B12" s="7" t="s">
        <v>722</v>
      </c>
      <c r="C12" s="9"/>
      <c r="D12" s="23"/>
      <c r="E12" s="23"/>
      <c r="F12" s="23"/>
      <c r="G12" s="23"/>
      <c r="H12" s="23"/>
      <c r="I12" s="23"/>
      <c r="J12" s="23"/>
      <c r="K12" s="23"/>
    </row>
    <row r="13">
      <c r="B13" s="10"/>
      <c r="C13" s="19" t="s">
        <v>723</v>
      </c>
      <c r="D13" s="50" t="n"/>
      <c r="E13" s="50" t="n"/>
      <c r="F13" s="50" t="n"/>
      <c r="G13" s="50" t="n"/>
      <c r="H13" s="50" t="n"/>
      <c r="I13" s="50" t="n"/>
      <c r="J13" s="50" t="n"/>
      <c r="K13" s="50" t="n"/>
    </row>
    <row r="14">
      <c r="B14" s="10"/>
      <c r="C14" s="18" t="s">
        <v>724</v>
      </c>
      <c r="D14" s="51" t="n"/>
      <c r="E14" s="51" t="n"/>
      <c r="F14" s="51" t="n"/>
      <c r="G14" s="51" t="n"/>
      <c r="H14" s="51" t="n"/>
      <c r="I14" s="51" t="n"/>
      <c r="J14" s="51" t="n"/>
      <c r="K14" s="51" t="n"/>
    </row>
    <row r="15">
      <c r="B15" s="10"/>
      <c r="C15" s="19" t="s">
        <v>725</v>
      </c>
      <c r="D15" s="50" t="n"/>
      <c r="E15" s="50" t="n"/>
      <c r="F15" s="50" t="n"/>
      <c r="G15" s="50" t="n"/>
      <c r="H15" s="50" t="n"/>
      <c r="I15" s="50" t="n"/>
      <c r="J15" s="50" t="n"/>
      <c r="K15" s="50" t="n"/>
    </row>
    <row r="16">
      <c r="B16" s="11"/>
      <c r="C16" s="18" t="s">
        <v>726</v>
      </c>
      <c r="D16" s="52" t="n"/>
      <c r="E16" s="52" t="n"/>
      <c r="F16" s="52" t="n"/>
      <c r="G16" s="52" t="n"/>
      <c r="H16" s="52" t="n"/>
      <c r="I16" s="52" t="n"/>
      <c r="J16" s="52" t="n"/>
      <c r="K16" s="52" t="n"/>
    </row>
  </sheetData>
  <mergeCells>
    <mergeCell ref="D10:K10"/>
    <mergeCell ref="B12:C12"/>
  </mergeCells>
  <hyperlinks>
    <hyperlink location="'Indice'!A1" ref="B2"/>
  </hyperlinks>
  <pageMargins bottom="0.75" footer="0.3" header="0.3" left="0.7" right="0.7" top="0.75"/>
</worksheet>
</file>

<file path=xl/worksheets/sheet18.xml><?xml version="1.0" encoding="utf-8"?>
<worksheet xmlns="http://schemas.openxmlformats.org/spreadsheetml/2006/main">
  <dimension ref="B2:H14"/>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727</v>
      </c>
    </row>
    <row r="6">
      <c r="B6" t="s" s="1">
        <v>8</v>
      </c>
      <c r="C6" t="s">
        <v>9</v>
      </c>
    </row>
    <row r="7">
      <c r="B7" t="s" s="1">
        <v>10</v>
      </c>
      <c r="C7" t="s">
        <v>9</v>
      </c>
    </row>
    <row r="8">
      <c r="B8" t="s" s="1">
        <v>11</v>
      </c>
      <c r="C8" t="s">
        <v>12</v>
      </c>
    </row>
    <row r="10">
      <c r="D10" t="s" s="4">
        <v>728</v>
      </c>
      <c r="E10" s="29"/>
      <c r="F10" s="29"/>
      <c r="G10" s="30"/>
    </row>
    <row r="11">
      <c r="D11" t="s" s="34">
        <v>729</v>
      </c>
      <c r="E11" t="s" s="6">
        <v>730</v>
      </c>
      <c r="F11" t="s" s="34">
        <v>731</v>
      </c>
      <c r="G11" s="36"/>
    </row>
    <row r="12" ht="28.0" customHeight="true">
      <c r="B12" s="7" t="s">
        <v>732</v>
      </c>
      <c r="C12" s="9"/>
      <c r="D12" s="23"/>
      <c r="E12" s="23"/>
      <c r="F12" s="23"/>
      <c r="G12" s="23"/>
    </row>
    <row r="13">
      <c r="B13" s="10"/>
      <c r="C13" s="19" t="s">
        <v>733</v>
      </c>
      <c r="D13" s="50" t="n"/>
      <c r="E13" s="50" t="n"/>
      <c r="F13" s="50" t="n"/>
      <c r="G13" s="50" t="n"/>
    </row>
    <row r="14">
      <c r="B14" s="11"/>
      <c r="C14" s="18" t="s">
        <v>734</v>
      </c>
      <c r="D14" s="52" t="n"/>
      <c r="E14" s="52" t="n"/>
      <c r="F14" s="52" t="n"/>
      <c r="G14" s="52" t="n"/>
    </row>
  </sheetData>
  <mergeCells>
    <mergeCell ref="D10:G10"/>
    <mergeCell ref="B12:C12"/>
  </mergeCells>
  <hyperlinks>
    <hyperlink location="'Indice'!A1" ref="B2"/>
  </hyperlinks>
  <pageMargins bottom="0.75" footer="0.3" header="0.3" left="0.7" right="0.7" top="0.75"/>
</worksheet>
</file>

<file path=xl/worksheets/sheet19.xml><?xml version="1.0" encoding="utf-8"?>
<worksheet xmlns="http://schemas.openxmlformats.org/spreadsheetml/2006/main">
  <dimension ref="B2:H16"/>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735</v>
      </c>
    </row>
    <row r="6">
      <c r="B6" t="s" s="1">
        <v>8</v>
      </c>
      <c r="C6" t="s">
        <v>9</v>
      </c>
    </row>
    <row r="7">
      <c r="B7" t="s" s="1">
        <v>10</v>
      </c>
      <c r="C7" t="s">
        <v>9</v>
      </c>
    </row>
    <row r="8">
      <c r="B8" t="s" s="1">
        <v>11</v>
      </c>
      <c r="C8" t="s">
        <v>12</v>
      </c>
    </row>
    <row r="10">
      <c r="D10" t="s" s="4">
        <v>736</v>
      </c>
      <c r="E10" s="29"/>
      <c r="F10" s="29"/>
      <c r="G10" s="30"/>
    </row>
    <row r="11">
      <c r="D11" t="s" s="34">
        <v>737</v>
      </c>
      <c r="E11" t="s" s="6">
        <v>738</v>
      </c>
      <c r="F11" t="s" s="34">
        <v>739</v>
      </c>
      <c r="G11" s="36"/>
    </row>
    <row r="12">
      <c r="B12" s="7" t="s">
        <v>740</v>
      </c>
      <c r="C12" s="9"/>
      <c r="D12" s="23"/>
      <c r="E12" s="23"/>
      <c r="F12" s="23"/>
      <c r="G12" s="23"/>
    </row>
    <row r="13">
      <c r="B13" s="10"/>
      <c r="C13" s="19" t="s">
        <v>741</v>
      </c>
      <c r="D13" s="21"/>
      <c r="E13" s="21"/>
      <c r="F13" s="21"/>
      <c r="G13" s="21"/>
    </row>
    <row r="14">
      <c r="B14" s="10"/>
      <c r="C14" s="18" t="s">
        <v>742</v>
      </c>
      <c r="D14" s="20"/>
      <c r="E14" s="20"/>
      <c r="F14" s="20"/>
      <c r="G14" s="20"/>
    </row>
    <row r="15">
      <c r="B15" s="10"/>
      <c r="C15" s="19" t="s">
        <v>743</v>
      </c>
      <c r="D15" s="21"/>
      <c r="E15" s="21"/>
      <c r="F15" s="21"/>
      <c r="G15" s="21"/>
    </row>
    <row r="16">
      <c r="B16" s="11"/>
      <c r="C16" s="18" t="s">
        <v>744</v>
      </c>
      <c r="D16" s="52" t="n"/>
      <c r="E16" s="52" t="n"/>
      <c r="F16" s="52" t="n"/>
      <c r="G16" s="52" t="n"/>
    </row>
  </sheetData>
  <mergeCells>
    <mergeCell ref="D10:G10"/>
    <mergeCell ref="B12:C12"/>
  </mergeCells>
  <hyperlinks>
    <hyperlink location="'Indice'!A1" ref="B2"/>
  </hyperlinks>
  <pageMargins bottom="0.75" footer="0.3" header="0.3" left="0.7" right="0.7" top="0.75"/>
</worksheet>
</file>

<file path=xl/worksheets/sheet20.xml><?xml version="1.0" encoding="utf-8"?>
<worksheet xmlns="http://schemas.openxmlformats.org/spreadsheetml/2006/main">
  <dimension ref="B2:E17"/>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745</v>
      </c>
    </row>
    <row r="6">
      <c r="B6" t="s" s="1">
        <v>8</v>
      </c>
      <c r="C6" t="s">
        <v>9</v>
      </c>
    </row>
    <row r="7">
      <c r="B7" t="s" s="1">
        <v>10</v>
      </c>
      <c r="C7" t="s">
        <v>9</v>
      </c>
    </row>
    <row r="8">
      <c r="B8" t="s" s="1">
        <v>11</v>
      </c>
      <c r="C8" t="s">
        <v>9</v>
      </c>
    </row>
    <row r="10">
      <c r="D10" t="s" s="6">
        <v>12</v>
      </c>
    </row>
    <row r="11" ht="28.0" customHeight="true">
      <c r="B11" s="7" t="s">
        <v>454</v>
      </c>
      <c r="C11" s="9"/>
      <c r="D11" s="21"/>
    </row>
    <row r="12">
      <c r="B12" s="10"/>
      <c r="C12" s="19" t="s">
        <v>746</v>
      </c>
      <c r="D12" s="20"/>
    </row>
    <row r="13">
      <c r="B13" s="10"/>
      <c r="C13" s="18" t="s">
        <v>747</v>
      </c>
      <c r="D13" s="21"/>
    </row>
    <row r="14">
      <c r="B14" s="10"/>
      <c r="C14" s="19" t="s">
        <v>748</v>
      </c>
      <c r="D14" s="20"/>
    </row>
    <row r="15">
      <c r="B15" s="10"/>
      <c r="C15" s="18" t="s">
        <v>749</v>
      </c>
      <c r="D15" s="21"/>
    </row>
    <row r="16">
      <c r="B16" s="10"/>
      <c r="C16" s="19" t="s">
        <v>750</v>
      </c>
      <c r="D16" s="20"/>
    </row>
    <row r="17">
      <c r="B17" s="11"/>
      <c r="C17" s="18" t="s">
        <v>751</v>
      </c>
      <c r="D17" s="66"/>
    </row>
  </sheetData>
  <mergeCells>
    <mergeCell ref="B11:C11"/>
  </mergeCells>
  <hyperlinks>
    <hyperlink location="'Indice'!A1" ref="B2"/>
  </hyperlinks>
  <pageMargins bottom="0.75" footer="0.3" header="0.3" left="0.7" right="0.7" top="0.75"/>
</worksheet>
</file>

<file path=xl/worksheets/sheet21.xml><?xml version="1.0" encoding="utf-8"?>
<worksheet xmlns="http://schemas.openxmlformats.org/spreadsheetml/2006/main">
  <dimension ref="B2:E27"/>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752</v>
      </c>
    </row>
    <row r="6">
      <c r="B6" t="s" s="1">
        <v>8</v>
      </c>
      <c r="C6" t="s">
        <v>9</v>
      </c>
    </row>
    <row r="7">
      <c r="B7" t="s" s="1">
        <v>10</v>
      </c>
      <c r="C7" t="s">
        <v>9</v>
      </c>
    </row>
    <row r="8">
      <c r="B8" t="s" s="1">
        <v>11</v>
      </c>
      <c r="C8" t="s">
        <v>9</v>
      </c>
    </row>
    <row r="10">
      <c r="D10" t="s" s="6">
        <v>12</v>
      </c>
    </row>
    <row r="11">
      <c r="B11" s="7" t="s">
        <v>753</v>
      </c>
      <c r="C11" s="9"/>
      <c r="D11" s="22"/>
    </row>
    <row r="12">
      <c r="B12" s="10"/>
      <c r="C12" s="19" t="s">
        <v>754</v>
      </c>
      <c r="D12" s="20"/>
    </row>
    <row r="13">
      <c r="B13" s="10"/>
      <c r="C13" s="18" t="s">
        <v>755</v>
      </c>
      <c r="D13" s="21"/>
    </row>
    <row r="14">
      <c r="B14" s="10"/>
      <c r="C14" s="19" t="s">
        <v>756</v>
      </c>
      <c r="D14" s="51" t="n"/>
    </row>
    <row r="15">
      <c r="B15" s="10"/>
      <c r="C15" s="18" t="s">
        <v>757</v>
      </c>
      <c r="D15" s="21"/>
    </row>
    <row r="16">
      <c r="B16" s="10"/>
      <c r="C16" s="19" t="s">
        <v>758</v>
      </c>
      <c r="D16" s="20"/>
    </row>
    <row r="17">
      <c r="B17" s="10"/>
      <c r="C17" s="18" t="s">
        <v>759</v>
      </c>
      <c r="D17" s="21"/>
    </row>
    <row r="18">
      <c r="B18" s="10"/>
      <c r="C18" s="19" t="s">
        <v>760</v>
      </c>
      <c r="D18" s="51" t="n"/>
    </row>
    <row r="19">
      <c r="B19" s="10"/>
      <c r="C19" s="18" t="s">
        <v>761</v>
      </c>
      <c r="D19" s="21"/>
    </row>
    <row r="20">
      <c r="B20" s="10"/>
      <c r="C20" s="19" t="s">
        <v>762</v>
      </c>
      <c r="D20" s="51" t="n"/>
    </row>
    <row r="21">
      <c r="B21" s="10"/>
      <c r="C21" s="18" t="s">
        <v>763</v>
      </c>
      <c r="D21" s="21"/>
    </row>
    <row r="22">
      <c r="B22" s="10"/>
      <c r="C22" s="19" t="s">
        <v>764</v>
      </c>
      <c r="D22" s="51" t="n"/>
    </row>
    <row r="23">
      <c r="B23" s="10"/>
      <c r="C23" s="18" t="s">
        <v>765</v>
      </c>
      <c r="D23" s="21"/>
    </row>
    <row r="24">
      <c r="B24" s="10"/>
      <c r="C24" s="19" t="s">
        <v>766</v>
      </c>
      <c r="D24" s="20"/>
    </row>
    <row r="25">
      <c r="B25" s="10"/>
      <c r="C25" s="18" t="s">
        <v>767</v>
      </c>
      <c r="D25" s="21"/>
    </row>
    <row r="26">
      <c r="B26" s="10"/>
      <c r="C26" s="19" t="s">
        <v>768</v>
      </c>
      <c r="D26" s="51" t="n"/>
    </row>
    <row r="27">
      <c r="B27" s="11"/>
      <c r="C27" s="18" t="s">
        <v>769</v>
      </c>
      <c r="D27" s="66"/>
    </row>
  </sheetData>
  <mergeCells>
    <mergeCell ref="B11:C11"/>
  </mergeCells>
  <hyperlinks>
    <hyperlink location="'Indice'!A1" ref="B2"/>
  </hyperlinks>
  <pageMargins bottom="0.75" footer="0.3" header="0.3" left="0.7" right="0.7" top="0.75"/>
</worksheet>
</file>

<file path=xl/worksheets/sheet22.xml><?xml version="1.0" encoding="utf-8"?>
<worksheet xmlns="http://schemas.openxmlformats.org/spreadsheetml/2006/main">
  <dimension ref="B2:R34"/>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s>
  <sheetData>
    <row r="2">
      <c r="B2" t="s" s="2">
        <v>1</v>
      </c>
    </row>
    <row r="3">
      <c r="B3" t="s" s="1">
        <v>3</v>
      </c>
      <c r="C3" t="s">
        <v>4</v>
      </c>
    </row>
    <row r="4">
      <c r="B4" s="1" t="s">
        <v>5</v>
      </c>
      <c r="C4" t="s">
        <v>6</v>
      </c>
    </row>
    <row r="5">
      <c r="B5" t="s" s="1">
        <v>7</v>
      </c>
      <c r="C5" t="s">
        <v>770</v>
      </c>
    </row>
    <row r="6">
      <c r="B6" t="s" s="1">
        <v>8</v>
      </c>
      <c r="C6" t="s">
        <v>9</v>
      </c>
    </row>
    <row r="7">
      <c r="B7" t="s" s="1">
        <v>10</v>
      </c>
      <c r="C7" t="s">
        <v>9</v>
      </c>
    </row>
    <row r="8">
      <c r="B8" t="s" s="1">
        <v>11</v>
      </c>
      <c r="C8" t="s">
        <v>12</v>
      </c>
    </row>
    <row r="10">
      <c r="F10" t="s" s="4">
        <v>771</v>
      </c>
      <c r="G10" s="29"/>
      <c r="H10" s="29"/>
      <c r="I10" s="29"/>
      <c r="J10" s="29"/>
      <c r="K10" s="29"/>
      <c r="L10" s="29"/>
      <c r="M10" s="29"/>
      <c r="N10" s="29"/>
      <c r="O10" s="29"/>
      <c r="P10" s="29"/>
      <c r="Q10" s="30"/>
    </row>
    <row r="11">
      <c r="F11" t="s" s="32">
        <v>772</v>
      </c>
      <c r="G11" s="61"/>
      <c r="H11" s="61"/>
      <c r="I11" s="61"/>
      <c r="J11" s="61"/>
      <c r="K11" s="61"/>
      <c r="L11" s="61"/>
      <c r="M11" s="61"/>
      <c r="N11" s="61"/>
      <c r="O11" s="62"/>
      <c r="P11" t="s" s="32">
        <v>782</v>
      </c>
      <c r="Q11" s="62"/>
    </row>
    <row r="12">
      <c r="F12" t="s" s="4">
        <v>773</v>
      </c>
      <c r="G12" s="29"/>
      <c r="H12" s="29"/>
      <c r="I12" s="29"/>
      <c r="J12" s="29"/>
      <c r="K12" s="29"/>
      <c r="L12" s="29"/>
      <c r="M12" s="30"/>
      <c r="N12" t="s" s="5">
        <v>781</v>
      </c>
      <c r="O12" s="60"/>
      <c r="P12" t="s" s="5">
        <v>783</v>
      </c>
      <c r="Q12" s="33" t="s">
        <v>784</v>
      </c>
    </row>
    <row r="13">
      <c r="F13" t="s" s="34">
        <v>774</v>
      </c>
      <c r="G13" t="s" s="6">
        <v>775</v>
      </c>
      <c r="H13" t="s" s="34">
        <v>776</v>
      </c>
      <c r="I13" t="s" s="6">
        <v>777</v>
      </c>
      <c r="J13" t="s" s="34">
        <v>778</v>
      </c>
      <c r="K13" t="s" s="6">
        <v>779</v>
      </c>
      <c r="L13" t="s" s="34">
        <v>780</v>
      </c>
      <c r="M13" s="35"/>
      <c r="N13" s="35"/>
      <c r="O13" s="63"/>
      <c r="P13" s="35"/>
      <c r="Q13" s="67"/>
    </row>
    <row r="14" ht="28.0" customHeight="true">
      <c r="B14" s="7" t="s">
        <v>785</v>
      </c>
      <c r="C14" s="8"/>
      <c r="D14" s="8"/>
      <c r="E14" s="9"/>
      <c r="F14" s="23"/>
      <c r="G14" s="23"/>
      <c r="H14" s="23"/>
      <c r="I14" s="23"/>
      <c r="J14" s="23"/>
      <c r="K14" s="23"/>
      <c r="L14" s="23"/>
      <c r="M14" s="23"/>
      <c r="N14" s="23"/>
      <c r="O14" s="23"/>
      <c r="P14" s="23"/>
      <c r="Q14" s="23"/>
    </row>
    <row r="15">
      <c r="B15" s="10"/>
      <c r="C15" s="12" t="s">
        <v>786</v>
      </c>
      <c r="D15" s="37"/>
      <c r="E15" s="13"/>
      <c r="F15" s="22"/>
      <c r="G15" s="22"/>
      <c r="H15" s="22"/>
      <c r="I15" s="22"/>
      <c r="J15" s="22"/>
      <c r="K15" s="22"/>
      <c r="L15" s="22"/>
      <c r="M15" s="22"/>
      <c r="N15" s="22"/>
      <c r="O15" s="22"/>
      <c r="P15" s="22"/>
      <c r="Q15" s="22"/>
    </row>
    <row r="16">
      <c r="B16" s="10"/>
      <c r="C16" s="14"/>
      <c r="D16" s="11" t="s">
        <v>787</v>
      </c>
      <c r="E16" s="9"/>
      <c r="F16" s="51" t="n"/>
      <c r="G16" s="51" t="n"/>
      <c r="H16" s="51" t="n"/>
      <c r="I16" s="51" t="n"/>
      <c r="J16" s="51" t="n"/>
      <c r="K16" s="51" t="n"/>
      <c r="L16" s="51" t="n"/>
      <c r="M16" s="51" t="n"/>
      <c r="N16" s="51" t="n"/>
      <c r="O16" s="51" t="n"/>
      <c r="P16" s="51" t="n"/>
      <c r="Q16" s="51" t="n"/>
    </row>
    <row r="17">
      <c r="B17" s="10"/>
      <c r="C17" s="14"/>
      <c r="D17" s="12" t="s">
        <v>788</v>
      </c>
      <c r="E17" s="13"/>
      <c r="F17" s="22"/>
      <c r="G17" s="22"/>
      <c r="H17" s="22"/>
      <c r="I17" s="22"/>
      <c r="J17" s="22"/>
      <c r="K17" s="22"/>
      <c r="L17" s="22"/>
      <c r="M17" s="22"/>
      <c r="N17" s="22"/>
      <c r="O17" s="22"/>
      <c r="P17" s="22"/>
      <c r="Q17" s="22"/>
    </row>
    <row r="18">
      <c r="B18" s="10"/>
      <c r="C18" s="14"/>
      <c r="D18" s="14"/>
      <c r="E18" s="18" t="s">
        <v>789</v>
      </c>
      <c r="F18" s="51" t="n"/>
      <c r="G18" s="51" t="n"/>
      <c r="H18" s="51" t="n"/>
      <c r="I18" s="51" t="n"/>
      <c r="J18" s="51" t="n"/>
      <c r="K18" s="51" t="n"/>
      <c r="L18" s="51" t="n"/>
      <c r="M18" s="51" t="n"/>
      <c r="N18" s="51" t="n"/>
      <c r="O18" s="51" t="n"/>
      <c r="P18" s="51" t="n"/>
      <c r="Q18" s="51" t="n"/>
    </row>
    <row r="19">
      <c r="B19" s="10"/>
      <c r="C19" s="14"/>
      <c r="D19" s="14"/>
      <c r="E19" s="19" t="s">
        <v>790</v>
      </c>
      <c r="F19" s="50" t="n"/>
      <c r="G19" s="50" t="n"/>
      <c r="H19" s="50" t="n"/>
      <c r="I19" s="50" t="n"/>
      <c r="J19" s="50" t="n"/>
      <c r="K19" s="50" t="n"/>
      <c r="L19" s="50" t="n"/>
      <c r="M19" s="50" t="n"/>
      <c r="N19" s="50" t="n"/>
      <c r="O19" s="50" t="n"/>
      <c r="P19" s="50" t="n"/>
      <c r="Q19" s="50" t="n"/>
    </row>
    <row r="20">
      <c r="B20" s="10"/>
      <c r="C20" s="14"/>
      <c r="D20" s="14"/>
      <c r="E20" s="18" t="s">
        <v>791</v>
      </c>
      <c r="F20" s="51" t="n"/>
      <c r="G20" s="51" t="n"/>
      <c r="H20" s="51" t="n"/>
      <c r="I20" s="51" t="n"/>
      <c r="J20" s="51" t="n"/>
      <c r="K20" s="51" t="n"/>
      <c r="L20" s="51" t="n"/>
      <c r="M20" s="51" t="n"/>
      <c r="N20" s="51" t="n"/>
      <c r="O20" s="51" t="n"/>
      <c r="P20" s="51" t="n"/>
      <c r="Q20" s="51" t="n"/>
    </row>
    <row r="21">
      <c r="B21" s="10"/>
      <c r="C21" s="14"/>
      <c r="D21" s="14"/>
      <c r="E21" s="19" t="s">
        <v>792</v>
      </c>
      <c r="F21" s="50" t="n"/>
      <c r="G21" s="50" t="n"/>
      <c r="H21" s="50" t="n"/>
      <c r="I21" s="50" t="n"/>
      <c r="J21" s="50" t="n"/>
      <c r="K21" s="50" t="n"/>
      <c r="L21" s="50" t="n"/>
      <c r="M21" s="50" t="n"/>
      <c r="N21" s="50" t="n"/>
      <c r="O21" s="50" t="n"/>
      <c r="P21" s="50" t="n"/>
      <c r="Q21" s="50" t="n"/>
    </row>
    <row r="22">
      <c r="B22" s="10"/>
      <c r="C22" s="14"/>
      <c r="D22" s="14"/>
      <c r="E22" s="18" t="s">
        <v>793</v>
      </c>
      <c r="F22" s="51" t="n"/>
      <c r="G22" s="51" t="n"/>
      <c r="H22" s="51" t="n"/>
      <c r="I22" s="51" t="n"/>
      <c r="J22" s="51" t="n"/>
      <c r="K22" s="51" t="n"/>
      <c r="L22" s="51" t="n"/>
      <c r="M22" s="51" t="n"/>
      <c r="N22" s="51" t="n"/>
      <c r="O22" s="51" t="n"/>
      <c r="P22" s="51" t="n"/>
      <c r="Q22" s="51" t="n"/>
    </row>
    <row r="23">
      <c r="B23" s="10"/>
      <c r="C23" s="14"/>
      <c r="D23" s="14"/>
      <c r="E23" s="19" t="s">
        <v>794</v>
      </c>
      <c r="F23" s="50" t="n"/>
      <c r="G23" s="50" t="n"/>
      <c r="H23" s="50" t="n"/>
      <c r="I23" s="50" t="n"/>
      <c r="J23" s="50" t="n"/>
      <c r="K23" s="50" t="n"/>
      <c r="L23" s="50" t="n"/>
      <c r="M23" s="50" t="n"/>
      <c r="N23" s="50" t="n"/>
      <c r="O23" s="50" t="n"/>
      <c r="P23" s="50" t="n"/>
      <c r="Q23" s="50" t="n"/>
    </row>
    <row r="24">
      <c r="B24" s="10"/>
      <c r="C24" s="14"/>
      <c r="D24" s="14"/>
      <c r="E24" s="18" t="s">
        <v>795</v>
      </c>
      <c r="F24" s="51" t="n"/>
      <c r="G24" s="51" t="n"/>
      <c r="H24" s="51" t="n"/>
      <c r="I24" s="51" t="n"/>
      <c r="J24" s="51" t="n"/>
      <c r="K24" s="51" t="n"/>
      <c r="L24" s="51" t="n"/>
      <c r="M24" s="51" t="n"/>
      <c r="N24" s="51" t="n"/>
      <c r="O24" s="51" t="n"/>
      <c r="P24" s="51" t="n"/>
      <c r="Q24" s="51" t="n"/>
    </row>
    <row r="25">
      <c r="B25" s="10"/>
      <c r="C25" s="14"/>
      <c r="D25" s="14"/>
      <c r="E25" s="19" t="s">
        <v>796</v>
      </c>
      <c r="F25" s="50" t="n"/>
      <c r="G25" s="50" t="n"/>
      <c r="H25" s="50" t="n"/>
      <c r="I25" s="50" t="n"/>
      <c r="J25" s="50" t="n"/>
      <c r="K25" s="50" t="n"/>
      <c r="L25" s="50" t="n"/>
      <c r="M25" s="50" t="n"/>
      <c r="N25" s="50" t="n"/>
      <c r="O25" s="50" t="n"/>
      <c r="P25" s="50" t="n"/>
      <c r="Q25" s="50" t="n"/>
    </row>
    <row r="26">
      <c r="B26" s="10"/>
      <c r="C26" s="14"/>
      <c r="D26" s="14"/>
      <c r="E26" s="18" t="s">
        <v>797</v>
      </c>
      <c r="F26" s="51" t="n"/>
      <c r="G26" s="51" t="n"/>
      <c r="H26" s="51" t="n"/>
      <c r="I26" s="51" t="n"/>
      <c r="J26" s="51" t="n"/>
      <c r="K26" s="51" t="n"/>
      <c r="L26" s="51" t="n"/>
      <c r="M26" s="51" t="n"/>
      <c r="N26" s="51" t="n"/>
      <c r="O26" s="51" t="n"/>
      <c r="P26" s="51" t="n"/>
      <c r="Q26" s="51" t="n"/>
    </row>
    <row r="27">
      <c r="B27" s="10"/>
      <c r="C27" s="14"/>
      <c r="D27" s="14"/>
      <c r="E27" s="19" t="s">
        <v>798</v>
      </c>
      <c r="F27" s="50" t="n"/>
      <c r="G27" s="50" t="n"/>
      <c r="H27" s="50" t="n"/>
      <c r="I27" s="50" t="n"/>
      <c r="J27" s="50" t="n"/>
      <c r="K27" s="50" t="n"/>
      <c r="L27" s="50" t="n"/>
      <c r="M27" s="50" t="n"/>
      <c r="N27" s="50" t="n"/>
      <c r="O27" s="50" t="n"/>
      <c r="P27" s="50" t="n"/>
      <c r="Q27" s="50" t="n"/>
    </row>
    <row r="28">
      <c r="B28" s="10"/>
      <c r="C28" s="14"/>
      <c r="D28" s="14"/>
      <c r="E28" s="18" t="s">
        <v>799</v>
      </c>
      <c r="F28" s="51" t="n"/>
      <c r="G28" s="51" t="n"/>
      <c r="H28" s="51" t="n"/>
      <c r="I28" s="51" t="n"/>
      <c r="J28" s="51" t="n"/>
      <c r="K28" s="51" t="n"/>
      <c r="L28" s="51" t="n"/>
      <c r="M28" s="51" t="n"/>
      <c r="N28" s="51" t="n"/>
      <c r="O28" s="51" t="n"/>
      <c r="P28" s="51" t="n"/>
      <c r="Q28" s="51" t="n"/>
    </row>
    <row r="29">
      <c r="B29" s="10"/>
      <c r="C29" s="14"/>
      <c r="D29" s="15"/>
      <c r="E29" s="57" t="s">
        <v>800</v>
      </c>
      <c r="F29" s="50" t="n">
        <f>-F18-F19+F20+F21-F22+F23+F24-SUM(F25:F28)</f>
      </c>
      <c r="G29" s="50" t="n">
        <f>-G18-G19+G20+G21-G22+G23+G24-SUM(G25:G28)</f>
      </c>
      <c r="H29" s="50" t="n">
        <f>-H18-H19+H20+H21-H22+H23+H24-SUM(H25:H28)</f>
      </c>
      <c r="I29" s="50" t="n">
        <f>-I18-I19+I20+I21-I22+I23+I24-SUM(I25:I28)</f>
      </c>
      <c r="J29" s="50" t="n">
        <f>-J18-J19+J20+J21-J22+J23+J24-SUM(J25:J28)</f>
      </c>
      <c r="K29" s="50" t="n">
        <f>-K18-K19+K20+K21-K22+K23+K24-SUM(K25:K28)</f>
      </c>
      <c r="L29" s="50" t="n">
        <f>-L18-L19+L20+L21-L22+L23+L24-SUM(L25:L28)</f>
      </c>
      <c r="M29" s="50" t="n">
        <f>-M18-M19+M20+M21-M22+M23+M24-SUM(M25:M28)</f>
      </c>
      <c r="N29" s="50" t="n">
        <f>-N18-N19+N20+N21-N22+N23+N24-SUM(N25:N28)</f>
      </c>
      <c r="O29" s="50" t="n">
        <f>-O18-O19+O20+O21-O22+O23+O24-SUM(O25:O28)</f>
      </c>
      <c r="P29" s="50" t="n">
        <f>-P18-P19+P20+P21-P22+P23+P24-SUM(P25:P28)</f>
      </c>
      <c r="Q29" s="50" t="n">
        <f>-Q18-Q19+Q20+Q21-Q22+Q23+Q24-SUM(Q25:Q28)</f>
      </c>
    </row>
    <row r="30">
      <c r="B30" s="10"/>
      <c r="C30" s="15"/>
      <c r="D30" s="11" t="s">
        <v>801</v>
      </c>
      <c r="E30" s="9"/>
      <c r="F30" s="51" t="n"/>
      <c r="G30" s="51" t="n"/>
      <c r="H30" s="51" t="n"/>
      <c r="I30" s="51" t="n"/>
      <c r="J30" s="51" t="n"/>
      <c r="K30" s="51" t="n"/>
      <c r="L30" s="51" t="n"/>
      <c r="M30" s="51" t="n"/>
      <c r="N30" s="51" t="n"/>
      <c r="O30" s="51" t="n"/>
      <c r="P30" s="51" t="n"/>
      <c r="Q30" s="51" t="n"/>
    </row>
    <row r="31">
      <c r="B31" s="10"/>
      <c r="C31" s="12" t="s">
        <v>802</v>
      </c>
      <c r="D31" s="37"/>
      <c r="E31" s="13"/>
      <c r="F31" s="22"/>
      <c r="G31" s="22"/>
      <c r="H31" s="22"/>
      <c r="I31" s="22"/>
      <c r="J31" s="22"/>
      <c r="K31" s="22"/>
      <c r="L31" s="22"/>
      <c r="M31" s="22"/>
      <c r="N31" s="22"/>
      <c r="O31" s="22"/>
      <c r="P31" s="22"/>
      <c r="Q31" s="22"/>
    </row>
    <row r="32">
      <c r="B32" s="10"/>
      <c r="C32" s="14"/>
      <c r="D32" s="11" t="s">
        <v>803</v>
      </c>
      <c r="E32" s="9"/>
      <c r="F32" s="51" t="n"/>
      <c r="G32" s="51" t="n"/>
      <c r="H32" s="51" t="n"/>
      <c r="I32" s="51" t="n"/>
      <c r="J32" s="51" t="n"/>
      <c r="K32" s="51" t="n"/>
      <c r="L32" s="51" t="n"/>
      <c r="M32" s="51" t="n"/>
      <c r="N32" s="51" t="n"/>
      <c r="O32" s="51" t="n"/>
      <c r="P32" s="51" t="n"/>
      <c r="Q32" s="51" t="n"/>
    </row>
    <row r="33">
      <c r="B33" s="10"/>
      <c r="C33" s="14"/>
      <c r="D33" s="15" t="s">
        <v>804</v>
      </c>
      <c r="E33" s="13"/>
      <c r="F33" s="50" t="n"/>
      <c r="G33" s="50" t="n"/>
      <c r="H33" s="50" t="n"/>
      <c r="I33" s="50" t="n"/>
      <c r="J33" s="50" t="n"/>
      <c r="K33" s="50" t="n"/>
      <c r="L33" s="50" t="n"/>
      <c r="M33" s="50" t="n"/>
      <c r="N33" s="50" t="n"/>
      <c r="O33" s="50" t="n"/>
      <c r="P33" s="50" t="n"/>
      <c r="Q33" s="50" t="n"/>
    </row>
    <row r="34">
      <c r="B34" s="11"/>
      <c r="C34" s="15"/>
      <c r="D34" s="11" t="s">
        <v>805</v>
      </c>
      <c r="E34" s="9"/>
      <c r="F34" s="52" t="n"/>
      <c r="G34" s="52" t="n"/>
      <c r="H34" s="52" t="n"/>
      <c r="I34" s="52" t="n"/>
      <c r="J34" s="52" t="n"/>
      <c r="K34" s="52" t="n"/>
      <c r="L34" s="52" t="n"/>
      <c r="M34" s="52" t="n"/>
      <c r="N34" s="52" t="n"/>
      <c r="O34" s="52" t="n"/>
      <c r="P34" s="52" t="n"/>
      <c r="Q34" s="52" t="n"/>
    </row>
  </sheetData>
  <mergeCells>
    <mergeCell ref="F10:Q10"/>
    <mergeCell ref="F11:O11"/>
    <mergeCell ref="F12:M12"/>
    <mergeCell ref="N12:N13"/>
    <mergeCell ref="P11:Q11"/>
    <mergeCell ref="P12:P13"/>
    <mergeCell ref="Q12:Q13"/>
    <mergeCell ref="B14:E14"/>
    <mergeCell ref="C15:E15"/>
    <mergeCell ref="D16:E16"/>
    <mergeCell ref="D17:E17"/>
    <mergeCell ref="D30:E30"/>
    <mergeCell ref="C31:E31"/>
    <mergeCell ref="D32:E32"/>
    <mergeCell ref="D33:E33"/>
    <mergeCell ref="D34:E34"/>
  </mergeCells>
  <hyperlinks>
    <hyperlink location="'Indice'!A1" ref="B2"/>
  </hyperlinks>
  <pageMargins bottom="0.75" footer="0.3" header="0.3" left="0.7" right="0.7" top="0.75"/>
</worksheet>
</file>

<file path=xl/worksheets/sheet23.xml><?xml version="1.0" encoding="utf-8"?>
<worksheet xmlns="http://schemas.openxmlformats.org/spreadsheetml/2006/main">
  <dimension ref="B2:E30"/>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806</v>
      </c>
    </row>
    <row r="6">
      <c r="B6" t="s" s="1">
        <v>8</v>
      </c>
      <c r="C6" t="s">
        <v>9</v>
      </c>
    </row>
    <row r="7">
      <c r="B7" t="s" s="1">
        <v>10</v>
      </c>
      <c r="C7" t="s">
        <v>9</v>
      </c>
    </row>
    <row r="8">
      <c r="B8" t="s" s="1">
        <v>11</v>
      </c>
      <c r="C8" t="s">
        <v>9</v>
      </c>
    </row>
    <row r="10">
      <c r="D10" t="s" s="6">
        <v>12</v>
      </c>
    </row>
    <row r="11">
      <c r="B11" s="7" t="s">
        <v>485</v>
      </c>
      <c r="C11" s="9"/>
      <c r="D11" s="21"/>
    </row>
    <row r="12">
      <c r="B12" s="10"/>
      <c r="C12" s="19" t="s">
        <v>807</v>
      </c>
      <c r="D12" s="20"/>
    </row>
    <row r="13">
      <c r="B13" s="10"/>
      <c r="C13" s="18" t="s">
        <v>808</v>
      </c>
      <c r="D13" s="21"/>
    </row>
    <row r="14">
      <c r="B14" s="10"/>
      <c r="C14" s="19" t="s">
        <v>809</v>
      </c>
      <c r="D14" s="20"/>
    </row>
    <row r="15">
      <c r="B15" s="10"/>
      <c r="C15" s="18" t="s">
        <v>810</v>
      </c>
      <c r="D15" s="50" t="n"/>
    </row>
    <row r="16">
      <c r="B16" s="10"/>
      <c r="C16" s="19" t="s">
        <v>811</v>
      </c>
      <c r="D16" s="51" t="n"/>
    </row>
    <row r="17">
      <c r="B17" s="10"/>
      <c r="C17" s="18" t="s">
        <v>812</v>
      </c>
      <c r="D17" s="21"/>
    </row>
    <row r="18">
      <c r="B18" s="10"/>
      <c r="C18" s="19" t="s">
        <v>813</v>
      </c>
      <c r="D18" s="51" t="n"/>
    </row>
    <row r="19">
      <c r="B19" s="10"/>
      <c r="C19" s="18" t="s">
        <v>814</v>
      </c>
      <c r="D19" s="21"/>
    </row>
    <row r="20">
      <c r="B20" s="10"/>
      <c r="C20" s="19" t="s">
        <v>815</v>
      </c>
      <c r="D20" s="20"/>
    </row>
    <row r="21">
      <c r="B21" s="10"/>
      <c r="C21" s="18" t="s">
        <v>816</v>
      </c>
      <c r="D21" s="21"/>
    </row>
    <row r="22">
      <c r="B22" s="10"/>
      <c r="C22" s="19" t="s">
        <v>817</v>
      </c>
      <c r="D22" s="20"/>
    </row>
    <row r="23">
      <c r="B23" s="10"/>
      <c r="C23" s="18" t="s">
        <v>818</v>
      </c>
      <c r="D23" s="21"/>
    </row>
    <row r="24">
      <c r="B24" s="10"/>
      <c r="C24" s="19" t="s">
        <v>819</v>
      </c>
      <c r="D24" s="20"/>
    </row>
    <row r="25">
      <c r="B25" s="10"/>
      <c r="C25" s="18" t="s">
        <v>820</v>
      </c>
      <c r="D25" s="22"/>
    </row>
    <row r="26">
      <c r="B26" s="10"/>
      <c r="C26" s="19" t="s">
        <v>821</v>
      </c>
      <c r="D26" s="51" t="n"/>
    </row>
    <row r="27">
      <c r="B27" s="10"/>
      <c r="C27" s="18" t="s">
        <v>822</v>
      </c>
      <c r="D27" s="21"/>
    </row>
    <row r="28">
      <c r="B28" s="10"/>
      <c r="C28" s="19" t="s">
        <v>823</v>
      </c>
      <c r="D28" s="20"/>
    </row>
    <row r="29">
      <c r="B29" s="10"/>
      <c r="C29" s="18" t="s">
        <v>824</v>
      </c>
      <c r="D29" s="21"/>
    </row>
    <row r="30">
      <c r="B30" s="11"/>
      <c r="C30" s="19" t="s">
        <v>825</v>
      </c>
      <c r="D30" s="28"/>
    </row>
  </sheetData>
  <mergeCells>
    <mergeCell ref="B11:C11"/>
  </mergeCells>
  <hyperlinks>
    <hyperlink location="'Indice'!A1" ref="B2"/>
  </hyperlinks>
  <pageMargins bottom="0.75" footer="0.3" header="0.3" left="0.7" right="0.7" top="0.75"/>
</worksheet>
</file>

<file path=xl/worksheets/sheet24.xml><?xml version="1.0" encoding="utf-8"?>
<worksheet xmlns="http://schemas.openxmlformats.org/spreadsheetml/2006/main">
  <dimension ref="B2:K31"/>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s>
  <sheetData>
    <row r="2">
      <c r="B2" t="s" s="2">
        <v>1</v>
      </c>
    </row>
    <row r="3">
      <c r="B3" t="s" s="1">
        <v>3</v>
      </c>
      <c r="C3" t="s">
        <v>4</v>
      </c>
    </row>
    <row r="4">
      <c r="B4" s="1" t="s">
        <v>5</v>
      </c>
      <c r="C4" t="s">
        <v>6</v>
      </c>
    </row>
    <row r="5">
      <c r="B5" t="s" s="1">
        <v>7</v>
      </c>
      <c r="C5" t="s">
        <v>826</v>
      </c>
    </row>
    <row r="6">
      <c r="B6" t="s" s="1">
        <v>8</v>
      </c>
      <c r="C6" t="s">
        <v>9</v>
      </c>
    </row>
    <row r="7">
      <c r="B7" t="s" s="1">
        <v>10</v>
      </c>
      <c r="C7" t="s">
        <v>9</v>
      </c>
    </row>
    <row r="8">
      <c r="B8" t="s" s="1">
        <v>11</v>
      </c>
      <c r="C8" t="s">
        <v>12</v>
      </c>
    </row>
    <row r="10">
      <c r="F10" t="s" s="4">
        <v>827</v>
      </c>
      <c r="G10" s="29"/>
      <c r="H10" s="29"/>
      <c r="I10" s="29"/>
      <c r="J10" s="30"/>
    </row>
    <row r="11">
      <c r="F11" t="s" s="33">
        <v>828</v>
      </c>
      <c r="G11" t="s" s="4">
        <v>829</v>
      </c>
      <c r="H11" s="29"/>
      <c r="I11" s="30"/>
      <c r="J11" s="64"/>
    </row>
    <row r="12">
      <c r="F12" s="63"/>
      <c r="G12" t="s" s="34">
        <v>830</v>
      </c>
      <c r="H12" t="s" s="6">
        <v>831</v>
      </c>
      <c r="I12" s="35"/>
      <c r="J12" s="36"/>
    </row>
    <row r="13">
      <c r="B13" s="7" t="s">
        <v>832</v>
      </c>
      <c r="C13" s="8"/>
      <c r="D13" s="8"/>
      <c r="E13" s="9"/>
      <c r="F13" s="22"/>
      <c r="G13" s="22"/>
      <c r="H13" s="22"/>
      <c r="I13" s="22"/>
      <c r="J13" s="22"/>
    </row>
    <row r="14">
      <c r="B14" s="10"/>
      <c r="C14" s="15" t="s">
        <v>833</v>
      </c>
      <c r="D14" s="37"/>
      <c r="E14" s="13"/>
      <c r="F14" s="51" t="n"/>
      <c r="G14" s="51" t="n"/>
      <c r="H14" s="51" t="n"/>
      <c r="I14" s="51" t="n"/>
      <c r="J14" s="51" t="n">
        <f>Hoja2!Q152</f>
      </c>
    </row>
    <row r="15">
      <c r="B15" s="10"/>
      <c r="C15" s="7" t="s">
        <v>834</v>
      </c>
      <c r="D15" s="8"/>
      <c r="E15" s="9"/>
      <c r="F15" s="22"/>
      <c r="G15" s="22"/>
      <c r="H15" s="22"/>
      <c r="I15" s="22"/>
      <c r="J15" s="22"/>
    </row>
    <row r="16">
      <c r="B16" s="10"/>
      <c r="C16" s="10"/>
      <c r="D16" s="12" t="s">
        <v>835</v>
      </c>
      <c r="E16" s="13"/>
      <c r="F16" s="23"/>
      <c r="G16" s="23"/>
      <c r="H16" s="23"/>
      <c r="I16" s="23"/>
      <c r="J16" s="23"/>
    </row>
    <row r="17">
      <c r="B17" s="10"/>
      <c r="C17" s="10"/>
      <c r="D17" s="14"/>
      <c r="E17" s="18" t="s">
        <v>836</v>
      </c>
      <c r="F17" s="50" t="n"/>
      <c r="G17" s="50" t="n"/>
      <c r="H17" s="50" t="n"/>
      <c r="I17" s="50" t="n"/>
      <c r="J17" s="50" t="n"/>
    </row>
    <row r="18">
      <c r="B18" s="10"/>
      <c r="C18" s="10"/>
      <c r="D18" s="14"/>
      <c r="E18" s="19" t="s">
        <v>837</v>
      </c>
      <c r="F18" s="51" t="n"/>
      <c r="G18" s="51" t="n"/>
      <c r="H18" s="51" t="n"/>
      <c r="I18" s="51" t="n"/>
      <c r="J18" s="51" t="n"/>
    </row>
    <row r="19">
      <c r="B19" s="10"/>
      <c r="C19" s="10"/>
      <c r="D19" s="15"/>
      <c r="E19" s="65" t="s">
        <v>838</v>
      </c>
      <c r="F19" s="50" t="n">
        <f>F17+F18</f>
      </c>
      <c r="G19" s="50" t="n">
        <f>G17+G18</f>
      </c>
      <c r="H19" s="50" t="n">
        <f>H17+H18</f>
      </c>
      <c r="I19" s="50" t="n">
        <f>I17+I18</f>
      </c>
      <c r="J19" s="50" t="n">
        <f>J17+J18</f>
      </c>
    </row>
    <row r="20" ht="28.0" customHeight="true">
      <c r="B20" s="10"/>
      <c r="C20" s="10"/>
      <c r="D20" s="15" t="s">
        <v>839</v>
      </c>
      <c r="E20" s="13"/>
      <c r="F20" s="51" t="n"/>
      <c r="G20" s="51" t="n"/>
      <c r="H20" s="51" t="n"/>
      <c r="I20" s="51" t="n"/>
      <c r="J20" s="51" t="n"/>
    </row>
    <row r="21" ht="28.0" customHeight="true">
      <c r="B21" s="10"/>
      <c r="C21" s="10"/>
      <c r="D21" s="11" t="s">
        <v>840</v>
      </c>
      <c r="E21" s="9"/>
      <c r="F21" s="50" t="n"/>
      <c r="G21" s="50" t="n"/>
      <c r="H21" s="50" t="n"/>
      <c r="I21" s="50" t="n"/>
      <c r="J21" s="50" t="n"/>
    </row>
    <row r="22">
      <c r="B22" s="10"/>
      <c r="C22" s="10"/>
      <c r="D22" s="49" t="s">
        <v>841</v>
      </c>
      <c r="E22" s="48"/>
      <c r="F22" s="51" t="n"/>
      <c r="G22" s="51" t="n"/>
      <c r="H22" s="51" t="n"/>
      <c r="I22" s="51" t="n"/>
      <c r="J22" s="51" t="n"/>
    </row>
    <row r="23" ht="28.0" customHeight="true">
      <c r="B23" s="10"/>
      <c r="C23" s="10"/>
      <c r="D23" s="56" t="s">
        <v>842</v>
      </c>
      <c r="E23" s="55"/>
      <c r="F23" s="50" t="n"/>
      <c r="G23" s="50" t="n"/>
      <c r="H23" s="50" t="n"/>
      <c r="I23" s="50" t="n"/>
      <c r="J23" s="50" t="n"/>
    </row>
    <row r="24" ht="28.0" customHeight="true">
      <c r="B24" s="10"/>
      <c r="C24" s="10"/>
      <c r="D24" s="15" t="s">
        <v>843</v>
      </c>
      <c r="E24" s="13"/>
      <c r="F24" s="51" t="n"/>
      <c r="G24" s="51" t="n"/>
      <c r="H24" s="51" t="n"/>
      <c r="I24" s="51" t="n"/>
      <c r="J24" s="51" t="n"/>
    </row>
    <row r="25" ht="28.0" customHeight="true">
      <c r="B25" s="10"/>
      <c r="C25" s="10"/>
      <c r="D25" s="11" t="s">
        <v>844</v>
      </c>
      <c r="E25" s="9"/>
      <c r="F25" s="50" t="n"/>
      <c r="G25" s="50" t="n"/>
      <c r="H25" s="50" t="n"/>
      <c r="I25" s="50" t="n"/>
      <c r="J25" s="50" t="n"/>
    </row>
    <row r="26" ht="28.0" customHeight="true">
      <c r="B26" s="10"/>
      <c r="C26" s="10"/>
      <c r="D26" s="15" t="s">
        <v>845</v>
      </c>
      <c r="E26" s="13"/>
      <c r="F26" s="51" t="n"/>
      <c r="G26" s="51" t="n"/>
      <c r="H26" s="51" t="n"/>
      <c r="I26" s="51" t="n"/>
      <c r="J26" s="51" t="n"/>
    </row>
    <row r="27">
      <c r="B27" s="10"/>
      <c r="C27" s="10"/>
      <c r="D27" s="56" t="s">
        <v>846</v>
      </c>
      <c r="E27" s="55"/>
      <c r="F27" s="50" t="n"/>
      <c r="G27" s="50" t="n"/>
      <c r="H27" s="50" t="n"/>
      <c r="I27" s="50" t="n"/>
      <c r="J27" s="50" t="n"/>
    </row>
    <row r="28" ht="28.0" customHeight="true">
      <c r="B28" s="10"/>
      <c r="C28" s="10"/>
      <c r="D28" s="49" t="s">
        <v>847</v>
      </c>
      <c r="E28" s="48"/>
      <c r="F28" s="51" t="n"/>
      <c r="G28" s="51" t="n"/>
      <c r="H28" s="51" t="n"/>
      <c r="I28" s="51" t="n"/>
      <c r="J28" s="51" t="n"/>
    </row>
    <row r="29">
      <c r="B29" s="10"/>
      <c r="C29" s="10"/>
      <c r="D29" s="11" t="s">
        <v>848</v>
      </c>
      <c r="E29" s="9"/>
      <c r="F29" s="50" t="n"/>
      <c r="G29" s="50" t="n"/>
      <c r="H29" s="50" t="n"/>
      <c r="I29" s="50" t="n"/>
      <c r="J29" s="50" t="n"/>
    </row>
    <row r="30">
      <c r="B30" s="10"/>
      <c r="C30" s="11"/>
      <c r="D30" s="40" t="s">
        <v>849</v>
      </c>
      <c r="E30" s="39"/>
      <c r="F30" s="51" t="n">
        <f>SUM(F19:F21)-F22-F23+SUM(F24:F26)-F27-F28+F29</f>
      </c>
      <c r="G30" s="51" t="n">
        <f>SUM(G19:G21)-G22-G23+SUM(G24:G26)-G27-G28+G29</f>
      </c>
      <c r="H30" s="51" t="n">
        <f>SUM(H19:H21)-H22-H23+SUM(H24:H26)-H27-H28+H29</f>
      </c>
      <c r="I30" s="51" t="n">
        <f>SUM(I19:I21)-I22-I23+SUM(I24:I26)-I27-I28+I29</f>
      </c>
      <c r="J30" s="51" t="n">
        <f>SUM(J19:J21)-J22-J23+SUM(J24:J26)-J27-J28+J29</f>
      </c>
    </row>
    <row r="31">
      <c r="B31" s="11"/>
      <c r="C31" s="11" t="s">
        <v>850</v>
      </c>
      <c r="D31" s="8"/>
      <c r="E31" s="9"/>
      <c r="F31" s="53" t="n"/>
      <c r="G31" s="53" t="n"/>
      <c r="H31" s="53" t="n"/>
      <c r="I31" s="53" t="n"/>
      <c r="J31" s="53" t="n">
        <f>Hoja2!Q41</f>
      </c>
    </row>
  </sheetData>
  <mergeCells>
    <mergeCell ref="F10:J10"/>
    <mergeCell ref="F11:F12"/>
    <mergeCell ref="G11:I11"/>
    <mergeCell ref="B13:E13"/>
    <mergeCell ref="C14:E14"/>
    <mergeCell ref="C15:E15"/>
    <mergeCell ref="D16:E16"/>
    <mergeCell ref="D20:E20"/>
    <mergeCell ref="D21:E21"/>
    <mergeCell ref="D22:E22"/>
    <mergeCell ref="D23:E23"/>
    <mergeCell ref="D24:E24"/>
    <mergeCell ref="D25:E25"/>
    <mergeCell ref="D26:E26"/>
    <mergeCell ref="D27:E27"/>
    <mergeCell ref="D28:E28"/>
    <mergeCell ref="D29:E29"/>
    <mergeCell ref="D30:E30"/>
    <mergeCell ref="C31:E31"/>
  </mergeCells>
  <hyperlinks>
    <hyperlink location="'Indice'!A1" ref="B2"/>
  </hyperlinks>
  <pageMargins bottom="0.75" footer="0.3" header="0.3" left="0.7" right="0.7" top="0.75"/>
</worksheet>
</file>

<file path=xl/worksheets/sheet25.xml><?xml version="1.0" encoding="utf-8"?>
<worksheet xmlns="http://schemas.openxmlformats.org/spreadsheetml/2006/main">
  <dimension ref="B2:AO12"/>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2">
      <c r="B2" t="s" s="2">
        <v>1</v>
      </c>
    </row>
    <row r="3">
      <c r="B3" t="s" s="1">
        <v>3</v>
      </c>
      <c r="C3" t="s">
        <v>4</v>
      </c>
    </row>
    <row r="4">
      <c r="B4" s="1" t="s">
        <v>5</v>
      </c>
      <c r="C4" t="s">
        <v>6</v>
      </c>
    </row>
    <row r="5">
      <c r="B5" t="s" s="1">
        <v>7</v>
      </c>
      <c r="C5" t="s">
        <v>851</v>
      </c>
    </row>
    <row r="6">
      <c r="B6" t="s" s="1">
        <v>8</v>
      </c>
      <c r="C6" t="s">
        <v>9</v>
      </c>
    </row>
    <row r="7">
      <c r="B7" t="s" s="1">
        <v>10</v>
      </c>
      <c r="C7" t="s">
        <v>9</v>
      </c>
    </row>
    <row r="8">
      <c r="B8" t="s" s="1">
        <v>11</v>
      </c>
      <c r="C8" t="s">
        <v>12</v>
      </c>
    </row>
    <row r="10">
      <c r="C10" t="s" s="4">
        <v>852</v>
      </c>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30"/>
    </row>
    <row r="11">
      <c r="C11" t="s" s="34">
        <v>853</v>
      </c>
      <c r="D11" t="s" s="6">
        <v>854</v>
      </c>
      <c r="E11" t="s" s="34">
        <v>855</v>
      </c>
      <c r="F11" t="s" s="6">
        <v>856</v>
      </c>
      <c r="G11" t="s" s="34">
        <v>857</v>
      </c>
      <c r="H11" t="s" s="6">
        <v>858</v>
      </c>
      <c r="I11" t="s" s="34">
        <v>859</v>
      </c>
      <c r="J11" t="s" s="6">
        <v>860</v>
      </c>
      <c r="K11" t="s" s="34">
        <v>861</v>
      </c>
      <c r="L11" t="s" s="6">
        <v>862</v>
      </c>
      <c r="M11" t="s" s="34">
        <v>863</v>
      </c>
      <c r="N11" t="s" s="6">
        <v>864</v>
      </c>
      <c r="O11" t="s" s="34">
        <v>865</v>
      </c>
      <c r="P11" t="s" s="6">
        <v>866</v>
      </c>
      <c r="Q11" t="s" s="34">
        <v>867</v>
      </c>
      <c r="R11" t="s" s="6">
        <v>868</v>
      </c>
      <c r="S11" t="s" s="34">
        <v>869</v>
      </c>
      <c r="T11" t="s" s="6">
        <v>870</v>
      </c>
      <c r="U11" t="s" s="34">
        <v>871</v>
      </c>
      <c r="V11" t="s" s="6">
        <v>872</v>
      </c>
      <c r="W11" t="s" s="34">
        <v>873</v>
      </c>
      <c r="X11" t="s" s="6">
        <v>874</v>
      </c>
      <c r="Y11" t="s" s="34">
        <v>875</v>
      </c>
      <c r="Z11" t="s" s="6">
        <v>876</v>
      </c>
      <c r="AA11" t="s" s="34">
        <v>877</v>
      </c>
      <c r="AB11" t="s" s="6">
        <v>878</v>
      </c>
      <c r="AC11" t="s" s="34">
        <v>879</v>
      </c>
      <c r="AD11" t="s" s="6">
        <v>880</v>
      </c>
      <c r="AE11" t="s" s="34">
        <v>881</v>
      </c>
      <c r="AF11" t="s" s="6">
        <v>882</v>
      </c>
      <c r="AG11" t="s" s="34">
        <v>883</v>
      </c>
      <c r="AH11" t="s" s="6">
        <v>884</v>
      </c>
      <c r="AI11" t="s" s="34">
        <v>885</v>
      </c>
      <c r="AJ11" t="s" s="6">
        <v>886</v>
      </c>
      <c r="AK11" t="s" s="34">
        <v>887</v>
      </c>
      <c r="AL11" t="s" s="6">
        <v>888</v>
      </c>
      <c r="AM11" t="s" s="34">
        <v>889</v>
      </c>
      <c r="AN11" s="6" t="s">
        <v>890</v>
      </c>
    </row>
    <row r="12">
      <c r="B12" s="18" t="s">
        <v>891</v>
      </c>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row>
  </sheetData>
  <mergeCells>
    <mergeCell ref="C10:AN10"/>
  </mergeCells>
  <hyperlinks>
    <hyperlink location="'Indice'!A1" ref="B2"/>
  </hyperlinks>
  <pageMargins bottom="0.75" footer="0.3" header="0.3" left="0.7" right="0.7" top="0.75"/>
</worksheet>
</file>

<file path=xl/worksheets/sheet26.xml><?xml version="1.0" encoding="utf-8"?>
<worksheet xmlns="http://schemas.openxmlformats.org/spreadsheetml/2006/main">
  <dimension ref="B2:E20"/>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892</v>
      </c>
    </row>
    <row r="6">
      <c r="B6" t="s" s="1">
        <v>8</v>
      </c>
      <c r="C6" t="s">
        <v>9</v>
      </c>
    </row>
    <row r="7">
      <c r="B7" t="s" s="1">
        <v>10</v>
      </c>
      <c r="C7" t="s">
        <v>9</v>
      </c>
    </row>
    <row r="8">
      <c r="B8" t="s" s="1">
        <v>11</v>
      </c>
      <c r="C8" t="s">
        <v>9</v>
      </c>
    </row>
    <row r="10">
      <c r="D10" t="s" s="6">
        <v>12</v>
      </c>
    </row>
    <row r="11">
      <c r="B11" s="7" t="s">
        <v>483</v>
      </c>
      <c r="C11" s="9"/>
      <c r="D11" s="21"/>
    </row>
    <row r="12">
      <c r="B12" s="10"/>
      <c r="C12" s="19" t="s">
        <v>582</v>
      </c>
      <c r="D12" s="20"/>
    </row>
    <row r="13">
      <c r="B13" s="10"/>
      <c r="C13" s="18" t="s">
        <v>893</v>
      </c>
      <c r="D13" s="21"/>
    </row>
    <row r="14">
      <c r="B14" s="10"/>
      <c r="C14" s="19" t="s">
        <v>894</v>
      </c>
      <c r="D14" s="51" t="n"/>
    </row>
    <row r="15">
      <c r="B15" s="10"/>
      <c r="C15" s="18" t="s">
        <v>895</v>
      </c>
      <c r="D15" s="50" t="n"/>
    </row>
    <row r="16">
      <c r="B16" s="10"/>
      <c r="C16" s="19" t="s">
        <v>896</v>
      </c>
      <c r="D16" s="51" t="n"/>
    </row>
    <row r="17">
      <c r="B17" s="10"/>
      <c r="C17" s="18" t="s">
        <v>897</v>
      </c>
      <c r="D17" s="50" t="n"/>
    </row>
    <row r="18">
      <c r="B18" s="10"/>
      <c r="C18" s="19" t="s">
        <v>898</v>
      </c>
      <c r="D18" s="20"/>
    </row>
    <row r="19">
      <c r="B19" s="10"/>
      <c r="C19" s="18" t="s">
        <v>899</v>
      </c>
      <c r="D19" s="50" t="n"/>
    </row>
    <row r="20">
      <c r="B20" s="11"/>
      <c r="C20" s="19" t="s">
        <v>900</v>
      </c>
      <c r="D20" s="52" t="n"/>
    </row>
  </sheetData>
  <mergeCells>
    <mergeCell ref="B11:C11"/>
  </mergeCells>
  <hyperlinks>
    <hyperlink location="'Indice'!A1" ref="B2"/>
  </hyperlinks>
  <pageMargins bottom="0.75" footer="0.3" header="0.3" left="0.7" right="0.7" top="0.75"/>
</worksheet>
</file>

<file path=xl/worksheets/sheet27.xml><?xml version="1.0" encoding="utf-8"?>
<worksheet xmlns="http://schemas.openxmlformats.org/spreadsheetml/2006/main">
  <dimension ref="B2:E20"/>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901</v>
      </c>
    </row>
    <row r="6">
      <c r="B6" t="s" s="1">
        <v>8</v>
      </c>
      <c r="C6" t="s">
        <v>9</v>
      </c>
    </row>
    <row r="7">
      <c r="B7" t="s" s="1">
        <v>10</v>
      </c>
      <c r="C7" t="s">
        <v>9</v>
      </c>
    </row>
    <row r="8">
      <c r="B8" t="s" s="1">
        <v>11</v>
      </c>
      <c r="C8" t="s">
        <v>9</v>
      </c>
    </row>
    <row r="10">
      <c r="D10" t="s" s="6">
        <v>12</v>
      </c>
    </row>
    <row r="11" ht="28.0" customHeight="true">
      <c r="B11" s="7" t="s">
        <v>902</v>
      </c>
      <c r="C11" s="9"/>
      <c r="D11" s="21"/>
    </row>
    <row r="12">
      <c r="B12" s="10"/>
      <c r="C12" s="19" t="s">
        <v>903</v>
      </c>
      <c r="D12" s="20"/>
    </row>
    <row r="13">
      <c r="B13" s="10"/>
      <c r="C13" s="18" t="s">
        <v>904</v>
      </c>
      <c r="D13" s="21"/>
    </row>
    <row r="14">
      <c r="B14" s="10"/>
      <c r="C14" s="19" t="s">
        <v>905</v>
      </c>
      <c r="D14" s="20"/>
    </row>
    <row r="15">
      <c r="B15" s="10"/>
      <c r="C15" s="18" t="s">
        <v>906</v>
      </c>
      <c r="D15" s="50" t="n"/>
    </row>
    <row r="16">
      <c r="B16" s="10"/>
      <c r="C16" s="19" t="s">
        <v>907</v>
      </c>
      <c r="D16" s="20"/>
    </row>
    <row r="17">
      <c r="B17" s="10"/>
      <c r="C17" s="18" t="s">
        <v>908</v>
      </c>
      <c r="D17" s="21"/>
    </row>
    <row r="18">
      <c r="B18" s="10"/>
      <c r="C18" s="19" t="s">
        <v>909</v>
      </c>
      <c r="D18" s="20"/>
    </row>
    <row r="19">
      <c r="B19" s="10"/>
      <c r="C19" s="18" t="s">
        <v>910</v>
      </c>
      <c r="D19" s="21"/>
    </row>
    <row r="20">
      <c r="B20" s="11"/>
      <c r="C20" s="19" t="s">
        <v>911</v>
      </c>
      <c r="D20" s="28"/>
    </row>
  </sheetData>
  <mergeCells>
    <mergeCell ref="B11:C11"/>
  </mergeCells>
  <hyperlinks>
    <hyperlink location="'Indice'!A1" ref="B2"/>
  </hyperlinks>
  <pageMargins bottom="0.75" footer="0.3" header="0.3" left="0.7" right="0.7" top="0.75"/>
</worksheet>
</file>

<file path=xl/worksheets/sheet28.xml><?xml version="1.0" encoding="utf-8"?>
<worksheet xmlns="http://schemas.openxmlformats.org/spreadsheetml/2006/main">
  <dimension ref="B2:N36"/>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s>
  <sheetData>
    <row r="2">
      <c r="B2" t="s" s="2">
        <v>1</v>
      </c>
    </row>
    <row r="3">
      <c r="B3" t="s" s="1">
        <v>3</v>
      </c>
      <c r="C3" t="s">
        <v>4</v>
      </c>
    </row>
    <row r="4">
      <c r="B4" s="1" t="s">
        <v>5</v>
      </c>
      <c r="C4" t="s">
        <v>6</v>
      </c>
    </row>
    <row r="5">
      <c r="B5" t="s" s="1">
        <v>7</v>
      </c>
      <c r="C5" t="s">
        <v>912</v>
      </c>
    </row>
    <row r="6">
      <c r="B6" t="s" s="1">
        <v>8</v>
      </c>
      <c r="C6" t="s">
        <v>9</v>
      </c>
    </row>
    <row r="7">
      <c r="B7" t="s" s="1">
        <v>10</v>
      </c>
      <c r="C7" t="s">
        <v>9</v>
      </c>
    </row>
    <row r="8">
      <c r="B8" t="s" s="1">
        <v>11</v>
      </c>
      <c r="C8" t="s">
        <v>12</v>
      </c>
    </row>
    <row r="10">
      <c r="G10" t="s" s="4">
        <v>913</v>
      </c>
      <c r="H10" s="29"/>
      <c r="I10" s="29"/>
      <c r="J10" s="29"/>
      <c r="K10" s="29"/>
      <c r="L10" s="29"/>
      <c r="M10" s="30"/>
    </row>
    <row r="11">
      <c r="G11" t="s" s="34">
        <v>914</v>
      </c>
      <c r="H11" t="s" s="6">
        <v>915</v>
      </c>
      <c r="I11" t="s" s="34">
        <v>916</v>
      </c>
      <c r="J11" t="s" s="6">
        <v>917</v>
      </c>
      <c r="K11" t="s" s="34">
        <v>918</v>
      </c>
      <c r="L11" t="s" s="6">
        <v>919</v>
      </c>
      <c r="M11" s="36"/>
    </row>
    <row r="12">
      <c r="B12" s="7" t="s">
        <v>920</v>
      </c>
      <c r="C12" s="8"/>
      <c r="D12" s="8"/>
      <c r="E12" s="8"/>
      <c r="F12" s="9"/>
      <c r="G12" s="23"/>
      <c r="H12" s="23"/>
      <c r="I12" s="23"/>
      <c r="J12" s="23"/>
      <c r="K12" s="23"/>
      <c r="L12" s="23"/>
      <c r="M12" s="23"/>
    </row>
    <row r="13">
      <c r="B13" s="10"/>
      <c r="C13" s="12" t="s">
        <v>921</v>
      </c>
      <c r="D13" s="37"/>
      <c r="E13" s="37"/>
      <c r="F13" s="13"/>
      <c r="G13" s="22"/>
      <c r="H13" s="22"/>
      <c r="I13" s="22"/>
      <c r="J13" s="22"/>
      <c r="K13" s="22"/>
      <c r="L13" s="22"/>
      <c r="M13" s="22"/>
    </row>
    <row r="14">
      <c r="B14" s="10"/>
      <c r="C14" s="14"/>
      <c r="D14" s="11" t="s">
        <v>922</v>
      </c>
      <c r="E14" s="8"/>
      <c r="F14" s="9"/>
      <c r="G14" s="51" t="n"/>
      <c r="H14" s="51" t="n"/>
      <c r="I14" s="51" t="n"/>
      <c r="J14" s="51" t="n"/>
      <c r="K14" s="51" t="n"/>
      <c r="L14" s="51" t="n"/>
      <c r="M14" s="51" t="n"/>
    </row>
    <row r="15">
      <c r="B15" s="10"/>
      <c r="C15" s="14"/>
      <c r="D15" s="12" t="s">
        <v>923</v>
      </c>
      <c r="E15" s="37"/>
      <c r="F15" s="13"/>
      <c r="G15" s="22"/>
      <c r="H15" s="22"/>
      <c r="I15" s="22"/>
      <c r="J15" s="22"/>
      <c r="K15" s="22"/>
      <c r="L15" s="22"/>
      <c r="M15" s="22"/>
    </row>
    <row r="16">
      <c r="B16" s="10"/>
      <c r="C16" s="14"/>
      <c r="D16" s="14"/>
      <c r="E16" s="7" t="s">
        <v>924</v>
      </c>
      <c r="F16" s="9"/>
      <c r="G16" s="23"/>
      <c r="H16" s="23"/>
      <c r="I16" s="23"/>
      <c r="J16" s="23"/>
      <c r="K16" s="23"/>
      <c r="L16" s="23"/>
      <c r="M16" s="23"/>
    </row>
    <row r="17">
      <c r="B17" s="10"/>
      <c r="C17" s="14"/>
      <c r="D17" s="14"/>
      <c r="E17" s="10"/>
      <c r="F17" s="19" t="s">
        <v>925</v>
      </c>
      <c r="G17" s="50" t="n"/>
      <c r="H17" s="50" t="n"/>
      <c r="I17" s="50" t="n"/>
      <c r="J17" s="50" t="n"/>
      <c r="K17" s="50" t="n"/>
      <c r="L17" s="50" t="n"/>
      <c r="M17" s="50" t="n"/>
    </row>
    <row r="18">
      <c r="B18" s="10"/>
      <c r="C18" s="14"/>
      <c r="D18" s="14"/>
      <c r="E18" s="10"/>
      <c r="F18" s="18" t="s">
        <v>926</v>
      </c>
      <c r="G18" s="51" t="n"/>
      <c r="H18" s="51" t="n"/>
      <c r="I18" s="51" t="n"/>
      <c r="J18" s="51" t="n"/>
      <c r="K18" s="51" t="n"/>
      <c r="L18" s="51" t="n"/>
      <c r="M18" s="51" t="n"/>
    </row>
    <row r="19">
      <c r="B19" s="10"/>
      <c r="C19" s="14"/>
      <c r="D19" s="14"/>
      <c r="E19" s="11"/>
      <c r="F19" s="57" t="s">
        <v>927</v>
      </c>
      <c r="G19" s="50" t="n">
        <f>G17+G18</f>
      </c>
      <c r="H19" s="50" t="n">
        <f>H17+H18</f>
      </c>
      <c r="I19" s="50" t="n">
        <f>I17+I18</f>
      </c>
      <c r="J19" s="50" t="n">
        <f>J17+J18</f>
      </c>
      <c r="K19" s="50" t="n">
        <f>K17+K18</f>
      </c>
      <c r="L19" s="50" t="n">
        <f>L17+L18</f>
      </c>
      <c r="M19" s="50" t="n">
        <f>M17+M18</f>
      </c>
    </row>
    <row r="20" ht="28.0" customHeight="true">
      <c r="B20" s="10"/>
      <c r="C20" s="14"/>
      <c r="D20" s="14"/>
      <c r="E20" s="11" t="s">
        <v>928</v>
      </c>
      <c r="F20" s="9"/>
      <c r="G20" s="51" t="n"/>
      <c r="H20" s="51" t="n"/>
      <c r="I20" s="51" t="n"/>
      <c r="J20" s="51" t="n"/>
      <c r="K20" s="51" t="n"/>
      <c r="L20" s="51" t="n"/>
      <c r="M20" s="51" t="n"/>
    </row>
    <row r="21">
      <c r="B21" s="10"/>
      <c r="C21" s="14"/>
      <c r="D21" s="14"/>
      <c r="E21" s="49" t="s">
        <v>929</v>
      </c>
      <c r="F21" s="48"/>
      <c r="G21" s="50" t="n"/>
      <c r="H21" s="50" t="n"/>
      <c r="I21" s="50" t="n"/>
      <c r="J21" s="50" t="n"/>
      <c r="K21" s="50" t="n"/>
      <c r="L21" s="50" t="n"/>
      <c r="M21" s="50" t="n"/>
    </row>
    <row r="22">
      <c r="B22" s="10"/>
      <c r="C22" s="14"/>
      <c r="D22" s="14"/>
      <c r="E22" s="56" t="s">
        <v>930</v>
      </c>
      <c r="F22" s="55"/>
      <c r="G22" s="51" t="n"/>
      <c r="H22" s="51" t="n"/>
      <c r="I22" s="51" t="n"/>
      <c r="J22" s="51" t="n"/>
      <c r="K22" s="51" t="n"/>
      <c r="L22" s="51" t="n"/>
      <c r="M22" s="51" t="n"/>
    </row>
    <row r="23" ht="28.0" customHeight="true">
      <c r="B23" s="10"/>
      <c r="C23" s="14"/>
      <c r="D23" s="14"/>
      <c r="E23" s="15" t="s">
        <v>931</v>
      </c>
      <c r="F23" s="13"/>
      <c r="G23" s="50" t="n"/>
      <c r="H23" s="50" t="n"/>
      <c r="I23" s="50" t="n"/>
      <c r="J23" s="50" t="n"/>
      <c r="K23" s="50" t="n"/>
      <c r="L23" s="50" t="n"/>
      <c r="M23" s="50" t="n"/>
    </row>
    <row r="24" ht="28.0" customHeight="true">
      <c r="B24" s="10"/>
      <c r="C24" s="14"/>
      <c r="D24" s="14"/>
      <c r="E24" s="11" t="s">
        <v>932</v>
      </c>
      <c r="F24" s="9"/>
      <c r="G24" s="51" t="n"/>
      <c r="H24" s="51" t="n"/>
      <c r="I24" s="51" t="n"/>
      <c r="J24" s="51" t="n"/>
      <c r="K24" s="51" t="n"/>
      <c r="L24" s="51" t="n"/>
      <c r="M24" s="51" t="n"/>
    </row>
    <row r="25" ht="28.0" customHeight="true">
      <c r="B25" s="10"/>
      <c r="C25" s="14"/>
      <c r="D25" s="14"/>
      <c r="E25" s="15" t="s">
        <v>933</v>
      </c>
      <c r="F25" s="13"/>
      <c r="G25" s="50" t="n"/>
      <c r="H25" s="50" t="n"/>
      <c r="I25" s="50" t="n"/>
      <c r="J25" s="50" t="n"/>
      <c r="K25" s="50" t="n"/>
      <c r="L25" s="50" t="n"/>
      <c r="M25" s="50" t="n"/>
    </row>
    <row r="26" ht="28.0" customHeight="true">
      <c r="B26" s="10"/>
      <c r="C26" s="14"/>
      <c r="D26" s="14"/>
      <c r="E26" s="56" t="s">
        <v>934</v>
      </c>
      <c r="F26" s="55"/>
      <c r="G26" s="51" t="n"/>
      <c r="H26" s="51" t="n"/>
      <c r="I26" s="51" t="n"/>
      <c r="J26" s="51" t="n"/>
      <c r="K26" s="51" t="n"/>
      <c r="L26" s="51" t="n"/>
      <c r="M26" s="51" t="n"/>
    </row>
    <row r="27" ht="28.0" customHeight="true">
      <c r="B27" s="10"/>
      <c r="C27" s="14"/>
      <c r="D27" s="14"/>
      <c r="E27" s="12" t="s">
        <v>935</v>
      </c>
      <c r="F27" s="13"/>
      <c r="G27" s="50" t="n"/>
      <c r="H27" s="50" t="n"/>
      <c r="I27" s="50" t="n"/>
      <c r="J27" s="50" t="n"/>
      <c r="K27" s="50" t="n"/>
      <c r="L27" s="50" t="n"/>
      <c r="M27" s="50" t="n"/>
    </row>
    <row r="28">
      <c r="B28" s="10"/>
      <c r="C28" s="14"/>
      <c r="D28" s="14"/>
      <c r="E28" s="15"/>
      <c r="F28" s="18" t="s">
        <v>936</v>
      </c>
      <c r="G28" s="51" t="n"/>
      <c r="H28" s="51" t="n"/>
      <c r="I28" s="51" t="n"/>
      <c r="J28" s="51" t="n"/>
      <c r="K28" s="51" t="n"/>
      <c r="L28" s="51" t="n"/>
      <c r="M28" s="51" t="n"/>
    </row>
    <row r="29">
      <c r="B29" s="10"/>
      <c r="C29" s="14"/>
      <c r="D29" s="15"/>
      <c r="E29" s="40" t="s">
        <v>937</v>
      </c>
      <c r="F29" s="39"/>
      <c r="G29" s="50" t="n">
        <f>G19+G20-G21-G22+SUM(G23:G25)-G26+G27</f>
      </c>
      <c r="H29" s="50" t="n">
        <f>H19+H20-H21-H22+SUM(H23:H25)-H26+H27</f>
      </c>
      <c r="I29" s="50" t="n">
        <f>I19+I20-I21-I22+SUM(I23:I25)-I26+I27</f>
      </c>
      <c r="J29" s="50" t="n">
        <f>J19+J20-J21-J22+SUM(J23:J25)-J26+J27</f>
      </c>
      <c r="K29" s="50" t="n">
        <f>K19+K20-K21-K22+SUM(K23:K25)-K26+K27</f>
      </c>
      <c r="L29" s="50" t="n">
        <f>L19+L20-L21-L22+SUM(L23:L25)-L26+L27</f>
      </c>
      <c r="M29" s="50" t="n">
        <f>M19+M20-M21-M22+SUM(M23:M25)-M26+M27</f>
      </c>
    </row>
    <row r="30">
      <c r="B30" s="10"/>
      <c r="C30" s="15"/>
      <c r="D30" s="11" t="s">
        <v>938</v>
      </c>
      <c r="E30" s="8"/>
      <c r="F30" s="9"/>
      <c r="G30" s="51" t="n"/>
      <c r="H30" s="51" t="n"/>
      <c r="I30" s="51" t="n"/>
      <c r="J30" s="51" t="n"/>
      <c r="K30" s="51" t="n"/>
      <c r="L30" s="51" t="n"/>
      <c r="M30" s="51" t="n"/>
    </row>
    <row r="31">
      <c r="B31" s="10"/>
      <c r="C31" s="15" t="s">
        <v>939</v>
      </c>
      <c r="D31" s="37"/>
      <c r="E31" s="37"/>
      <c r="F31" s="13"/>
      <c r="G31" s="21"/>
      <c r="H31" s="21"/>
      <c r="I31" s="21"/>
      <c r="J31" s="21"/>
      <c r="K31" s="21"/>
      <c r="L31" s="21"/>
      <c r="M31" s="21"/>
    </row>
    <row r="32">
      <c r="B32" s="10"/>
      <c r="C32" s="11" t="s">
        <v>940</v>
      </c>
      <c r="D32" s="8"/>
      <c r="E32" s="8"/>
      <c r="F32" s="9"/>
      <c r="G32" s="20"/>
      <c r="H32" s="20"/>
      <c r="I32" s="20"/>
      <c r="J32" s="20"/>
      <c r="K32" s="20"/>
      <c r="L32" s="20"/>
      <c r="M32" s="20"/>
    </row>
    <row r="33" ht="28.0" customHeight="true">
      <c r="B33" s="10"/>
      <c r="C33" s="15" t="s">
        <v>941</v>
      </c>
      <c r="D33" s="37"/>
      <c r="E33" s="37"/>
      <c r="F33" s="13"/>
      <c r="G33" s="21"/>
      <c r="H33" s="21"/>
      <c r="I33" s="21"/>
      <c r="J33" s="21"/>
      <c r="K33" s="21"/>
      <c r="L33" s="21"/>
      <c r="M33" s="21"/>
    </row>
    <row r="34" ht="28.0" customHeight="true">
      <c r="B34" s="10"/>
      <c r="C34" s="11" t="s">
        <v>942</v>
      </c>
      <c r="D34" s="8"/>
      <c r="E34" s="8"/>
      <c r="F34" s="9"/>
      <c r="G34" s="20"/>
      <c r="H34" s="20"/>
      <c r="I34" s="20"/>
      <c r="J34" s="20"/>
      <c r="K34" s="20"/>
      <c r="L34" s="20"/>
      <c r="M34" s="20"/>
    </row>
    <row r="35">
      <c r="B35" s="10"/>
      <c r="C35" s="15" t="s">
        <v>943</v>
      </c>
      <c r="D35" s="37"/>
      <c r="E35" s="37"/>
      <c r="F35" s="13"/>
      <c r="G35" s="50" t="n"/>
      <c r="H35" s="50" t="n"/>
      <c r="I35" s="50" t="n"/>
      <c r="J35" s="50" t="n"/>
      <c r="K35" s="50" t="n"/>
      <c r="L35" s="50" t="n"/>
      <c r="M35" s="50" t="n"/>
    </row>
    <row r="36">
      <c r="B36" s="11"/>
      <c r="C36" s="11" t="s">
        <v>944</v>
      </c>
      <c r="D36" s="8"/>
      <c r="E36" s="8"/>
      <c r="F36" s="9"/>
      <c r="G36" s="52" t="n"/>
      <c r="H36" s="52" t="n"/>
      <c r="I36" s="52" t="n"/>
      <c r="J36" s="52" t="n"/>
      <c r="K36" s="52" t="n"/>
      <c r="L36" s="52" t="n"/>
      <c r="M36" s="52" t="n"/>
    </row>
  </sheetData>
  <mergeCells>
    <mergeCell ref="G10:M10"/>
    <mergeCell ref="B12:F12"/>
    <mergeCell ref="C13:F13"/>
    <mergeCell ref="D14:F14"/>
    <mergeCell ref="D15:F15"/>
    <mergeCell ref="E16:F16"/>
    <mergeCell ref="E20:F20"/>
    <mergeCell ref="E21:F21"/>
    <mergeCell ref="E22:F22"/>
    <mergeCell ref="E23:F23"/>
    <mergeCell ref="E24:F24"/>
    <mergeCell ref="E25:F25"/>
    <mergeCell ref="E26:F26"/>
    <mergeCell ref="E27:F27"/>
    <mergeCell ref="E29:F29"/>
    <mergeCell ref="D30:F30"/>
    <mergeCell ref="C31:F31"/>
    <mergeCell ref="C32:F32"/>
    <mergeCell ref="C33:F33"/>
    <mergeCell ref="C34:F34"/>
    <mergeCell ref="C35:F35"/>
    <mergeCell ref="C36:F36"/>
  </mergeCells>
  <hyperlinks>
    <hyperlink location="'Indice'!A1" ref="B2"/>
  </hyperlinks>
  <pageMargins bottom="0.75" footer="0.3" header="0.3" left="0.7" right="0.7" top="0.75"/>
</worksheet>
</file>

<file path=xl/worksheets/sheet29.xml><?xml version="1.0" encoding="utf-8"?>
<worksheet xmlns="http://schemas.openxmlformats.org/spreadsheetml/2006/main">
  <dimension ref="B2:L17"/>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945</v>
      </c>
    </row>
    <row r="6">
      <c r="B6" t="s" s="1">
        <v>8</v>
      </c>
      <c r="C6" t="s">
        <v>9</v>
      </c>
    </row>
    <row r="7">
      <c r="B7" t="s" s="1">
        <v>10</v>
      </c>
      <c r="C7" t="s">
        <v>9</v>
      </c>
    </row>
    <row r="8">
      <c r="B8" t="s" s="1">
        <v>11</v>
      </c>
      <c r="C8" t="s">
        <v>12</v>
      </c>
    </row>
    <row r="10">
      <c r="D10" t="s" s="4">
        <v>946</v>
      </c>
      <c r="E10" s="29"/>
      <c r="F10" s="29"/>
      <c r="G10" s="29"/>
      <c r="H10" s="29"/>
      <c r="I10" s="29"/>
      <c r="J10" s="29"/>
      <c r="K10" s="30"/>
    </row>
    <row r="11">
      <c r="D11" t="s" s="34">
        <v>947</v>
      </c>
      <c r="E11" t="s" s="6">
        <v>948</v>
      </c>
      <c r="F11" t="s" s="34">
        <v>949</v>
      </c>
      <c r="G11" t="s" s="6">
        <v>950</v>
      </c>
      <c r="H11" t="s" s="34">
        <v>951</v>
      </c>
      <c r="I11" t="s" s="6">
        <v>952</v>
      </c>
      <c r="J11" t="s" s="34">
        <v>953</v>
      </c>
      <c r="K11" s="36"/>
    </row>
    <row r="12" ht="28.0" customHeight="true">
      <c r="B12" s="7" t="s">
        <v>954</v>
      </c>
      <c r="C12" s="9"/>
      <c r="D12" s="23"/>
      <c r="E12" s="23"/>
      <c r="F12" s="23"/>
      <c r="G12" s="23"/>
      <c r="H12" s="23"/>
      <c r="I12" s="23"/>
      <c r="J12" s="23"/>
      <c r="K12" s="23"/>
    </row>
    <row r="13">
      <c r="B13" s="10"/>
      <c r="C13" s="19" t="s">
        <v>955</v>
      </c>
      <c r="D13" s="21"/>
      <c r="E13" s="21"/>
      <c r="F13" s="21"/>
      <c r="G13" s="21"/>
      <c r="H13" s="21"/>
      <c r="I13" s="21"/>
      <c r="J13" s="21"/>
      <c r="K13" s="21"/>
    </row>
    <row r="14">
      <c r="B14" s="10"/>
      <c r="C14" s="18" t="s">
        <v>956</v>
      </c>
      <c r="D14" s="20"/>
      <c r="E14" s="20"/>
      <c r="F14" s="20"/>
      <c r="G14" s="20"/>
      <c r="H14" s="20"/>
      <c r="I14" s="20"/>
      <c r="J14" s="20"/>
      <c r="K14" s="20"/>
    </row>
    <row r="15">
      <c r="B15" s="10"/>
      <c r="C15" s="19" t="s">
        <v>957</v>
      </c>
      <c r="D15" s="50" t="n"/>
      <c r="E15" s="50" t="n"/>
      <c r="F15" s="50" t="n"/>
      <c r="G15" s="50" t="n"/>
      <c r="H15" s="50" t="n"/>
      <c r="I15" s="50" t="n"/>
      <c r="J15" s="50" t="n"/>
      <c r="K15" s="50" t="n"/>
    </row>
    <row r="16">
      <c r="B16" s="10"/>
      <c r="C16" s="18" t="s">
        <v>958</v>
      </c>
      <c r="D16" s="20"/>
      <c r="E16" s="20"/>
      <c r="F16" s="20"/>
      <c r="G16" s="20"/>
      <c r="H16" s="20"/>
      <c r="I16" s="20"/>
      <c r="J16" s="20"/>
      <c r="K16" s="20"/>
    </row>
    <row r="17">
      <c r="B17" s="11"/>
      <c r="C17" s="19" t="s">
        <v>959</v>
      </c>
      <c r="D17" s="66"/>
      <c r="E17" s="66"/>
      <c r="F17" s="66"/>
      <c r="G17" s="66"/>
      <c r="H17" s="66"/>
      <c r="I17" s="66"/>
      <c r="J17" s="66"/>
      <c r="K17" s="66"/>
    </row>
  </sheetData>
  <mergeCells>
    <mergeCell ref="D10:K10"/>
    <mergeCell ref="B12:C12"/>
  </mergeCells>
  <hyperlinks>
    <hyperlink location="'Indice'!A1" ref="B2"/>
  </hyperlinks>
  <pageMargins bottom="0.75" footer="0.3" header="0.3" left="0.7" right="0.7" top="0.75"/>
</worksheet>
</file>

<file path=xl/worksheets/sheet30.xml><?xml version="1.0" encoding="utf-8"?>
<worksheet xmlns="http://schemas.openxmlformats.org/spreadsheetml/2006/main">
  <dimension ref="B2:E14"/>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960</v>
      </c>
    </row>
    <row r="6">
      <c r="B6" t="s" s="1">
        <v>8</v>
      </c>
      <c r="C6" t="s">
        <v>9</v>
      </c>
    </row>
    <row r="7">
      <c r="B7" t="s" s="1">
        <v>10</v>
      </c>
      <c r="C7" t="s">
        <v>9</v>
      </c>
    </row>
    <row r="8">
      <c r="B8" t="s" s="1">
        <v>11</v>
      </c>
      <c r="C8" t="s">
        <v>9</v>
      </c>
    </row>
    <row r="10">
      <c r="D10" t="s" s="6">
        <v>12</v>
      </c>
    </row>
    <row r="11" ht="28.0" customHeight="true">
      <c r="B11" s="7" t="s">
        <v>961</v>
      </c>
      <c r="C11" s="9"/>
      <c r="D11" s="22"/>
    </row>
    <row r="12">
      <c r="B12" s="10"/>
      <c r="C12" s="19" t="s">
        <v>962</v>
      </c>
      <c r="D12" s="20"/>
    </row>
    <row r="13">
      <c r="B13" s="10"/>
      <c r="C13" s="18" t="s">
        <v>963</v>
      </c>
      <c r="D13" s="50" t="n"/>
    </row>
    <row r="14">
      <c r="B14" s="11"/>
      <c r="C14" s="19" t="s">
        <v>964</v>
      </c>
      <c r="D14" s="52" t="n"/>
    </row>
  </sheetData>
  <mergeCells>
    <mergeCell ref="B11:C11"/>
  </mergeCells>
  <hyperlinks>
    <hyperlink location="'Indice'!A1" ref="B2"/>
  </hyperlinks>
  <pageMargins bottom="0.75" footer="0.3" header="0.3" left="0.7" right="0.7" top="0.75"/>
</worksheet>
</file>

<file path=xl/worksheets/sheet31.xml><?xml version="1.0" encoding="utf-8"?>
<worksheet xmlns="http://schemas.openxmlformats.org/spreadsheetml/2006/main">
  <dimension ref="B2:E14"/>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965</v>
      </c>
    </row>
    <row r="6">
      <c r="B6" t="s" s="1">
        <v>8</v>
      </c>
      <c r="C6" t="s">
        <v>9</v>
      </c>
    </row>
    <row r="7">
      <c r="B7" t="s" s="1">
        <v>10</v>
      </c>
      <c r="C7" t="s">
        <v>9</v>
      </c>
    </row>
    <row r="8">
      <c r="B8" t="s" s="1">
        <v>11</v>
      </c>
      <c r="C8" t="s">
        <v>9</v>
      </c>
    </row>
    <row r="10">
      <c r="D10" t="s" s="6">
        <v>12</v>
      </c>
    </row>
    <row r="11" ht="28.0" customHeight="true">
      <c r="B11" s="7" t="s">
        <v>472</v>
      </c>
      <c r="C11" s="9"/>
      <c r="D11" s="21"/>
    </row>
    <row r="12">
      <c r="B12" s="10"/>
      <c r="C12" s="19" t="s">
        <v>966</v>
      </c>
      <c r="D12" s="20"/>
    </row>
    <row r="13">
      <c r="B13" s="10"/>
      <c r="C13" s="18" t="s">
        <v>967</v>
      </c>
      <c r="D13" s="21"/>
    </row>
    <row r="14">
      <c r="B14" s="11"/>
      <c r="C14" s="19" t="s">
        <v>968</v>
      </c>
      <c r="D14" s="28"/>
    </row>
  </sheetData>
  <mergeCells>
    <mergeCell ref="B11:C11"/>
  </mergeCells>
  <hyperlinks>
    <hyperlink location="'Indice'!A1" ref="B2"/>
  </hyperlinks>
  <pageMargins bottom="0.75" footer="0.3" header="0.3" left="0.7" right="0.7" top="0.75"/>
</worksheet>
</file>

<file path=xl/worksheets/sheet32.xml><?xml version="1.0" encoding="utf-8"?>
<worksheet xmlns="http://schemas.openxmlformats.org/spreadsheetml/2006/main">
  <dimension ref="B2:J18"/>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 min="8" max="8" width="15.0" customWidth="true"/>
    <col min="9" max="9" width="15.0" customWidth="true"/>
  </cols>
  <sheetData>
    <row r="2">
      <c r="B2" t="s" s="2">
        <v>1</v>
      </c>
    </row>
    <row r="3">
      <c r="B3" t="s" s="1">
        <v>3</v>
      </c>
      <c r="C3" t="s">
        <v>4</v>
      </c>
    </row>
    <row r="4">
      <c r="B4" s="1" t="s">
        <v>5</v>
      </c>
      <c r="C4" t="s">
        <v>6</v>
      </c>
    </row>
    <row r="5">
      <c r="B5" t="s" s="1">
        <v>7</v>
      </c>
      <c r="C5" t="s">
        <v>969</v>
      </c>
    </row>
    <row r="6">
      <c r="B6" t="s" s="1">
        <v>8</v>
      </c>
      <c r="C6" t="s">
        <v>9</v>
      </c>
    </row>
    <row r="7">
      <c r="B7" t="s" s="1">
        <v>10</v>
      </c>
      <c r="C7" t="s">
        <v>9</v>
      </c>
    </row>
    <row r="8">
      <c r="B8" t="s" s="1">
        <v>11</v>
      </c>
      <c r="C8" t="s">
        <v>12</v>
      </c>
    </row>
    <row r="10">
      <c r="D10" t="s" s="4">
        <v>771</v>
      </c>
      <c r="E10" s="29"/>
      <c r="F10" s="29"/>
      <c r="G10" s="29"/>
      <c r="H10" s="29"/>
      <c r="I10" s="30"/>
    </row>
    <row r="11">
      <c r="D11" t="s" s="34">
        <v>658</v>
      </c>
      <c r="E11" t="s" s="6">
        <v>773</v>
      </c>
      <c r="F11" t="s" s="34">
        <v>781</v>
      </c>
      <c r="G11" t="s" s="6">
        <v>970</v>
      </c>
      <c r="H11" t="s" s="34">
        <v>971</v>
      </c>
      <c r="I11" s="36"/>
    </row>
    <row r="12" ht="28.0" customHeight="true">
      <c r="B12" s="7" t="s">
        <v>972</v>
      </c>
      <c r="C12" s="9"/>
      <c r="D12" s="23"/>
      <c r="E12" s="23"/>
      <c r="F12" s="23"/>
      <c r="G12" s="23"/>
      <c r="H12" s="23"/>
      <c r="I12" s="23"/>
    </row>
    <row r="13">
      <c r="B13" s="10"/>
      <c r="C13" s="19" t="s">
        <v>973</v>
      </c>
      <c r="D13" s="50" t="n"/>
      <c r="E13" s="50" t="n"/>
      <c r="F13" s="50" t="n"/>
      <c r="G13" s="50" t="n"/>
      <c r="H13" s="50" t="n"/>
      <c r="I13" s="50" t="n"/>
    </row>
    <row r="14">
      <c r="B14" s="10"/>
      <c r="C14" s="18" t="s">
        <v>974</v>
      </c>
      <c r="D14" s="20"/>
      <c r="E14" s="20"/>
      <c r="F14" s="20"/>
      <c r="G14" s="20"/>
      <c r="H14" s="20"/>
      <c r="I14" s="20"/>
    </row>
    <row r="15">
      <c r="B15" s="10"/>
      <c r="C15" s="19" t="s">
        <v>975</v>
      </c>
      <c r="D15" s="50" t="n"/>
      <c r="E15" s="50" t="n"/>
      <c r="F15" s="50" t="n"/>
      <c r="G15" s="50" t="n"/>
      <c r="H15" s="50" t="n"/>
      <c r="I15" s="50" t="n"/>
    </row>
    <row r="16">
      <c r="B16" s="10"/>
      <c r="C16" s="18" t="s">
        <v>976</v>
      </c>
      <c r="D16" s="20"/>
      <c r="E16" s="20"/>
      <c r="F16" s="20"/>
      <c r="G16" s="20"/>
      <c r="H16" s="20"/>
      <c r="I16" s="20"/>
    </row>
    <row r="17">
      <c r="B17" s="10"/>
      <c r="C17" s="19" t="s">
        <v>977</v>
      </c>
      <c r="D17" s="50" t="n"/>
      <c r="E17" s="50" t="n"/>
      <c r="F17" s="50" t="n"/>
      <c r="G17" s="50" t="n"/>
      <c r="H17" s="50" t="n"/>
      <c r="I17" s="50" t="n"/>
    </row>
    <row r="18">
      <c r="B18" s="11"/>
      <c r="C18" s="18" t="s">
        <v>978</v>
      </c>
      <c r="D18" s="52" t="n"/>
      <c r="E18" s="52" t="n"/>
      <c r="F18" s="52" t="n"/>
      <c r="G18" s="52" t="n"/>
      <c r="H18" s="52" t="n"/>
      <c r="I18" s="52" t="n"/>
    </row>
  </sheetData>
  <mergeCells>
    <mergeCell ref="D10:I10"/>
    <mergeCell ref="B12:C12"/>
  </mergeCells>
  <hyperlinks>
    <hyperlink location="'Indice'!A1" ref="B2"/>
  </hyperlinks>
  <pageMargins bottom="0.75" footer="0.3" header="0.3" left="0.7" right="0.7" top="0.75"/>
</worksheet>
</file>

<file path=xl/worksheets/sheet33.xml><?xml version="1.0" encoding="utf-8"?>
<worksheet xmlns="http://schemas.openxmlformats.org/spreadsheetml/2006/main">
  <dimension ref="B2:F18"/>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979</v>
      </c>
    </row>
    <row r="6">
      <c r="B6" t="s" s="1">
        <v>8</v>
      </c>
      <c r="C6" t="s">
        <v>9</v>
      </c>
    </row>
    <row r="7">
      <c r="B7" t="s" s="1">
        <v>10</v>
      </c>
      <c r="C7" t="s">
        <v>9</v>
      </c>
    </row>
    <row r="8">
      <c r="B8" t="s" s="1">
        <v>11</v>
      </c>
      <c r="C8" t="s">
        <v>9</v>
      </c>
    </row>
    <row r="10">
      <c r="E10" t="s" s="6">
        <v>12</v>
      </c>
    </row>
    <row r="11">
      <c r="B11" s="7" t="s">
        <v>491</v>
      </c>
      <c r="C11" s="8"/>
      <c r="D11" s="9"/>
      <c r="E11" s="21"/>
    </row>
    <row r="12" ht="28.0" customHeight="true">
      <c r="B12" s="10"/>
      <c r="C12" s="15" t="s">
        <v>980</v>
      </c>
      <c r="D12" s="13"/>
      <c r="E12" s="51" t="n"/>
    </row>
    <row r="13" ht="28.0" customHeight="true">
      <c r="B13" s="10"/>
      <c r="C13" s="11" t="s">
        <v>981</v>
      </c>
      <c r="D13" s="9"/>
      <c r="E13" s="21"/>
    </row>
    <row r="14">
      <c r="B14" s="10"/>
      <c r="C14" s="12" t="s">
        <v>982</v>
      </c>
      <c r="D14" s="13"/>
      <c r="E14" s="23"/>
    </row>
    <row r="15">
      <c r="B15" s="10"/>
      <c r="C15" s="14"/>
      <c r="D15" s="18" t="s">
        <v>983</v>
      </c>
      <c r="E15" s="50" t="n"/>
    </row>
    <row r="16">
      <c r="B16" s="10"/>
      <c r="C16" s="14"/>
      <c r="D16" s="19" t="s">
        <v>984</v>
      </c>
      <c r="E16" s="51" t="n"/>
    </row>
    <row r="17">
      <c r="B17" s="10"/>
      <c r="C17" s="15"/>
      <c r="D17" s="18" t="s">
        <v>985</v>
      </c>
      <c r="E17" s="50" t="n">
        <f>E15+E16</f>
      </c>
    </row>
    <row r="18" ht="28.0" customHeight="true">
      <c r="B18" s="11"/>
      <c r="C18" s="15" t="s">
        <v>986</v>
      </c>
      <c r="D18" s="13"/>
      <c r="E18" s="28"/>
    </row>
  </sheetData>
  <mergeCells>
    <mergeCell ref="B11:D11"/>
    <mergeCell ref="C12:D12"/>
    <mergeCell ref="C13:D13"/>
    <mergeCell ref="C14:D14"/>
    <mergeCell ref="C18:D18"/>
  </mergeCells>
  <hyperlinks>
    <hyperlink location="'Indice'!A1" ref="B2"/>
  </hyperlinks>
  <pageMargins bottom="0.75" footer="0.3" header="0.3" left="0.7" right="0.7" top="0.75"/>
</worksheet>
</file>

<file path=xl/worksheets/sheet34.xml><?xml version="1.0" encoding="utf-8"?>
<worksheet xmlns="http://schemas.openxmlformats.org/spreadsheetml/2006/main">
  <dimension ref="B2:F26"/>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987</v>
      </c>
    </row>
    <row r="6">
      <c r="B6" t="s" s="1">
        <v>8</v>
      </c>
      <c r="C6" t="s">
        <v>9</v>
      </c>
    </row>
    <row r="7">
      <c r="B7" t="s" s="1">
        <v>10</v>
      </c>
      <c r="C7" t="s">
        <v>9</v>
      </c>
    </row>
    <row r="8">
      <c r="B8" t="s" s="1">
        <v>11</v>
      </c>
      <c r="C8" t="s">
        <v>9</v>
      </c>
    </row>
    <row r="10">
      <c r="E10" t="s" s="6">
        <v>12</v>
      </c>
    </row>
    <row r="11" ht="28.0" customHeight="true">
      <c r="B11" s="7" t="s">
        <v>522</v>
      </c>
      <c r="C11" s="8"/>
      <c r="D11" s="9"/>
      <c r="E11" s="21"/>
    </row>
    <row r="12" ht="28.0" customHeight="true">
      <c r="B12" s="10"/>
      <c r="C12" s="12" t="s">
        <v>988</v>
      </c>
      <c r="D12" s="13"/>
      <c r="E12" s="20"/>
    </row>
    <row r="13">
      <c r="B13" s="10"/>
      <c r="C13" s="14"/>
      <c r="D13" s="18" t="s">
        <v>989</v>
      </c>
      <c r="E13" s="21"/>
    </row>
    <row r="14">
      <c r="B14" s="10"/>
      <c r="C14" s="14"/>
      <c r="D14" s="19" t="s">
        <v>990</v>
      </c>
      <c r="E14" s="20"/>
    </row>
    <row r="15">
      <c r="B15" s="10"/>
      <c r="C15" s="14"/>
      <c r="D15" s="18" t="s">
        <v>991</v>
      </c>
      <c r="E15" s="21"/>
    </row>
    <row r="16">
      <c r="B16" s="10"/>
      <c r="C16" s="14"/>
      <c r="D16" s="19" t="s">
        <v>992</v>
      </c>
      <c r="E16" s="20"/>
    </row>
    <row r="17">
      <c r="B17" s="10"/>
      <c r="C17" s="14"/>
      <c r="D17" s="18" t="s">
        <v>993</v>
      </c>
      <c r="E17" s="21"/>
    </row>
    <row r="18">
      <c r="B18" s="10"/>
      <c r="C18" s="14"/>
      <c r="D18" s="19" t="s">
        <v>994</v>
      </c>
      <c r="E18" s="20"/>
    </row>
    <row r="19">
      <c r="B19" s="10"/>
      <c r="C19" s="14"/>
      <c r="D19" s="18" t="s">
        <v>995</v>
      </c>
      <c r="E19" s="21"/>
    </row>
    <row r="20">
      <c r="B20" s="10"/>
      <c r="C20" s="14"/>
      <c r="D20" s="19" t="s">
        <v>996</v>
      </c>
      <c r="E20" s="20"/>
    </row>
    <row r="21">
      <c r="B21" s="10"/>
      <c r="C21" s="14"/>
      <c r="D21" s="18" t="s">
        <v>997</v>
      </c>
      <c r="E21" s="21"/>
    </row>
    <row r="22">
      <c r="B22" s="10"/>
      <c r="C22" s="14"/>
      <c r="D22" s="19" t="s">
        <v>998</v>
      </c>
      <c r="E22" s="20"/>
    </row>
    <row r="23">
      <c r="B23" s="10"/>
      <c r="C23" s="14"/>
      <c r="D23" s="18" t="s">
        <v>999</v>
      </c>
      <c r="E23" s="50" t="n"/>
    </row>
    <row r="24">
      <c r="B24" s="10"/>
      <c r="C24" s="14"/>
      <c r="D24" s="19" t="s">
        <v>1000</v>
      </c>
      <c r="E24" s="51" t="n"/>
    </row>
    <row r="25">
      <c r="B25" s="10"/>
      <c r="C25" s="14"/>
      <c r="D25" s="18" t="s">
        <v>1001</v>
      </c>
      <c r="E25" s="50" t="n"/>
    </row>
    <row r="26">
      <c r="B26" s="11"/>
      <c r="C26" s="15"/>
      <c r="D26" s="19" t="s">
        <v>1002</v>
      </c>
      <c r="E26" s="52" t="n"/>
    </row>
  </sheetData>
  <mergeCells>
    <mergeCell ref="B11:D11"/>
    <mergeCell ref="C12:D12"/>
  </mergeCells>
  <hyperlinks>
    <hyperlink location="'Indice'!A1" ref="B2"/>
  </hyperlinks>
  <pageMargins bottom="0.75" footer="0.3" header="0.3" left="0.7" right="0.7" top="0.75"/>
</worksheet>
</file>

<file path=xl/worksheets/sheet35.xml><?xml version="1.0" encoding="utf-8"?>
<worksheet xmlns="http://schemas.openxmlformats.org/spreadsheetml/2006/main">
  <dimension ref="B2:F13"/>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1003</v>
      </c>
    </row>
    <row r="6">
      <c r="B6" t="s" s="1">
        <v>8</v>
      </c>
      <c r="C6" t="s">
        <v>9</v>
      </c>
    </row>
    <row r="7">
      <c r="B7" t="s" s="1">
        <v>10</v>
      </c>
      <c r="C7" t="s">
        <v>9</v>
      </c>
    </row>
    <row r="8">
      <c r="B8" t="s" s="1">
        <v>11</v>
      </c>
      <c r="C8" t="s">
        <v>9</v>
      </c>
    </row>
    <row r="10">
      <c r="E10" t="s" s="6">
        <v>12</v>
      </c>
    </row>
    <row r="11">
      <c r="B11" s="7" t="s">
        <v>446</v>
      </c>
      <c r="C11" s="8"/>
      <c r="D11" s="9"/>
      <c r="E11" s="21"/>
    </row>
    <row r="12" ht="28.0" customHeight="true">
      <c r="B12" s="10"/>
      <c r="C12" s="12" t="s">
        <v>1004</v>
      </c>
      <c r="D12" s="13"/>
      <c r="E12" s="20"/>
    </row>
    <row r="13">
      <c r="B13" s="11"/>
      <c r="C13" s="15"/>
      <c r="D13" s="18" t="s">
        <v>1005</v>
      </c>
      <c r="E13" s="66"/>
    </row>
  </sheetData>
  <mergeCells>
    <mergeCell ref="B11:D11"/>
    <mergeCell ref="C12:D12"/>
  </mergeCells>
  <hyperlinks>
    <hyperlink location="'Indice'!A1" ref="B2"/>
  </hyperlinks>
  <pageMargins bottom="0.75" footer="0.3" header="0.3" left="0.7" right="0.7" top="0.75"/>
</worksheet>
</file>

<file path=xl/worksheets/sheet36.xml><?xml version="1.0" encoding="utf-8"?>
<worksheet xmlns="http://schemas.openxmlformats.org/spreadsheetml/2006/main">
  <dimension ref="B2:G77"/>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s>
  <sheetData>
    <row r="2">
      <c r="B2" t="s" s="2">
        <v>1</v>
      </c>
    </row>
    <row r="3">
      <c r="B3" t="s" s="1">
        <v>3</v>
      </c>
      <c r="C3" t="s">
        <v>4</v>
      </c>
    </row>
    <row r="4">
      <c r="B4" s="1" t="s">
        <v>5</v>
      </c>
      <c r="C4" t="s">
        <v>6</v>
      </c>
    </row>
    <row r="5">
      <c r="B5" t="s" s="1">
        <v>7</v>
      </c>
      <c r="C5" t="s">
        <v>1006</v>
      </c>
    </row>
    <row r="6">
      <c r="B6" t="s" s="1">
        <v>8</v>
      </c>
      <c r="C6" t="s">
        <v>9</v>
      </c>
    </row>
    <row r="7">
      <c r="B7" t="s" s="1">
        <v>10</v>
      </c>
      <c r="C7" t="s">
        <v>9</v>
      </c>
    </row>
    <row r="8">
      <c r="B8" t="s" s="1">
        <v>11</v>
      </c>
      <c r="C8" t="s">
        <v>9</v>
      </c>
    </row>
    <row r="10">
      <c r="F10" t="s" s="6">
        <v>12</v>
      </c>
    </row>
    <row r="11">
      <c r="B11" s="7" t="s">
        <v>473</v>
      </c>
      <c r="C11" s="8"/>
      <c r="D11" s="8"/>
      <c r="E11" s="9"/>
      <c r="F11" s="21"/>
    </row>
    <row r="12">
      <c r="B12" s="10"/>
      <c r="C12" s="12" t="s">
        <v>1007</v>
      </c>
      <c r="D12" s="37"/>
      <c r="E12" s="13"/>
      <c r="F12" s="23"/>
    </row>
    <row r="13" ht="28.0" customHeight="true">
      <c r="B13" s="10"/>
      <c r="C13" s="14"/>
      <c r="D13" s="7" t="s">
        <v>1008</v>
      </c>
      <c r="E13" s="9"/>
      <c r="F13" s="22"/>
    </row>
    <row r="14">
      <c r="B14" s="10"/>
      <c r="C14" s="14"/>
      <c r="D14" s="10"/>
      <c r="E14" s="19" t="s">
        <v>1009</v>
      </c>
      <c r="F14" s="51" t="n"/>
    </row>
    <row r="15">
      <c r="B15" s="10"/>
      <c r="C15" s="14"/>
      <c r="D15" s="10"/>
      <c r="E15" s="18" t="s">
        <v>1010</v>
      </c>
      <c r="F15" s="50" t="n"/>
    </row>
    <row r="16">
      <c r="B16" s="10"/>
      <c r="C16" s="14"/>
      <c r="D16" s="11"/>
      <c r="E16" s="57" t="s">
        <v>1011</v>
      </c>
      <c r="F16" s="51" t="n">
        <f>F14+F15</f>
      </c>
    </row>
    <row r="17" ht="28.0" customHeight="true">
      <c r="B17" s="10"/>
      <c r="C17" s="14"/>
      <c r="D17" s="11" t="s">
        <v>1012</v>
      </c>
      <c r="E17" s="9"/>
      <c r="F17" s="50" t="n"/>
    </row>
    <row r="18" ht="28.0" customHeight="true">
      <c r="B18" s="10"/>
      <c r="C18" s="14"/>
      <c r="D18" s="15" t="s">
        <v>1013</v>
      </c>
      <c r="E18" s="13"/>
      <c r="F18" s="51" t="n"/>
    </row>
    <row r="19" ht="42.0" customHeight="true">
      <c r="B19" s="10"/>
      <c r="C19" s="14"/>
      <c r="D19" s="56" t="s">
        <v>1014</v>
      </c>
      <c r="E19" s="55"/>
      <c r="F19" s="50" t="n"/>
    </row>
    <row r="20" ht="42.0" customHeight="true">
      <c r="B20" s="10"/>
      <c r="C20" s="14"/>
      <c r="D20" s="49" t="s">
        <v>1015</v>
      </c>
      <c r="E20" s="48"/>
      <c r="F20" s="51" t="n"/>
    </row>
    <row r="21" ht="28.0" customHeight="true">
      <c r="B21" s="10"/>
      <c r="C21" s="14"/>
      <c r="D21" s="11" t="s">
        <v>1016</v>
      </c>
      <c r="E21" s="9"/>
      <c r="F21" s="50" t="n"/>
    </row>
    <row r="22" ht="28.0" customHeight="true">
      <c r="B22" s="10"/>
      <c r="C22" s="14"/>
      <c r="D22" s="15" t="s">
        <v>1017</v>
      </c>
      <c r="E22" s="13"/>
      <c r="F22" s="51" t="n"/>
    </row>
    <row r="23">
      <c r="B23" s="10"/>
      <c r="C23" s="14"/>
      <c r="D23" s="11" t="s">
        <v>1018</v>
      </c>
      <c r="E23" s="9"/>
      <c r="F23" s="50" t="n"/>
    </row>
    <row r="24">
      <c r="B24" s="10"/>
      <c r="C24" s="14"/>
      <c r="D24" s="15" t="s">
        <v>1019</v>
      </c>
      <c r="E24" s="13"/>
      <c r="F24" s="51" t="n"/>
    </row>
    <row r="25">
      <c r="B25" s="10"/>
      <c r="C25" s="15"/>
      <c r="D25" s="45" t="s">
        <v>1020</v>
      </c>
      <c r="E25" s="44"/>
      <c r="F25" s="50" t="n">
        <f>SUM(F16:F18)-F19-F20+SUM(F21:F24)</f>
      </c>
    </row>
    <row r="26" ht="28.0" customHeight="true">
      <c r="B26" s="10"/>
      <c r="C26" s="12" t="s">
        <v>1021</v>
      </c>
      <c r="D26" s="37"/>
      <c r="E26" s="13"/>
      <c r="F26" s="23"/>
    </row>
    <row r="27" ht="28.0" customHeight="true">
      <c r="B27" s="10"/>
      <c r="C27" s="14"/>
      <c r="D27" s="11" t="s">
        <v>1022</v>
      </c>
      <c r="E27" s="9"/>
      <c r="F27" s="50" t="n"/>
    </row>
    <row r="28" ht="28.0" customHeight="true">
      <c r="B28" s="10"/>
      <c r="C28" s="14"/>
      <c r="D28" s="15" t="s">
        <v>1023</v>
      </c>
      <c r="E28" s="13"/>
      <c r="F28" s="51" t="n"/>
    </row>
    <row r="29" ht="28.0" customHeight="true">
      <c r="B29" s="10"/>
      <c r="C29" s="15"/>
      <c r="D29" s="45" t="s">
        <v>1024</v>
      </c>
      <c r="E29" s="44"/>
      <c r="F29" s="50" t="n">
        <f>F27+F28</f>
      </c>
    </row>
    <row r="30">
      <c r="B30" s="10"/>
      <c r="C30" s="12" t="s">
        <v>1025</v>
      </c>
      <c r="D30" s="37"/>
      <c r="E30" s="13"/>
      <c r="F30" s="23"/>
    </row>
    <row r="31" ht="28.0" customHeight="true">
      <c r="B31" s="10"/>
      <c r="C31" s="14"/>
      <c r="D31" s="56" t="s">
        <v>260</v>
      </c>
      <c r="E31" s="55"/>
      <c r="F31" s="50" t="n">
        <f>Hoja4!H82</f>
      </c>
    </row>
    <row r="32" ht="42.0" customHeight="true">
      <c r="B32" s="10"/>
      <c r="C32" s="14"/>
      <c r="D32" s="15" t="s">
        <v>253</v>
      </c>
      <c r="E32" s="13"/>
      <c r="F32" s="51" t="n">
        <f>Hoja4!H75</f>
      </c>
    </row>
    <row r="33" ht="28.0" customHeight="true">
      <c r="B33" s="10"/>
      <c r="C33" s="14"/>
      <c r="D33" s="11" t="s">
        <v>1026</v>
      </c>
      <c r="E33" s="9"/>
      <c r="F33" s="50" t="n">
        <f>Hoja4!H84</f>
      </c>
    </row>
    <row r="34" ht="42.0" customHeight="true">
      <c r="B34" s="10"/>
      <c r="C34" s="14"/>
      <c r="D34" s="49" t="s">
        <v>251</v>
      </c>
      <c r="E34" s="48"/>
      <c r="F34" s="51" t="n">
        <f>Hoja4!H73</f>
      </c>
    </row>
    <row r="35" ht="28.0" customHeight="true">
      <c r="B35" s="10"/>
      <c r="C35" s="14"/>
      <c r="D35" s="11" t="s">
        <v>1027</v>
      </c>
      <c r="E35" s="9"/>
      <c r="F35" s="50" t="n">
        <f>Hoja4!H74</f>
      </c>
    </row>
    <row r="36" ht="28.0" customHeight="true">
      <c r="B36" s="10"/>
      <c r="C36" s="14"/>
      <c r="D36" s="15" t="s">
        <v>1028</v>
      </c>
      <c r="E36" s="13"/>
      <c r="F36" s="51" t="n">
        <f>Hoja4!H72</f>
      </c>
    </row>
    <row r="37" ht="28.0" customHeight="true">
      <c r="B37" s="10"/>
      <c r="C37" s="14"/>
      <c r="D37" s="11" t="s">
        <v>1029</v>
      </c>
      <c r="E37" s="9"/>
      <c r="F37" s="50" t="n">
        <f>Hoja4!H85</f>
      </c>
    </row>
    <row r="38" ht="42.0" customHeight="true">
      <c r="B38" s="10"/>
      <c r="C38" s="14"/>
      <c r="D38" s="15" t="s">
        <v>1030</v>
      </c>
      <c r="E38" s="13"/>
      <c r="F38" s="51" t="n">
        <f>Hoja4!H76</f>
      </c>
    </row>
    <row r="39" ht="28.0" customHeight="true">
      <c r="B39" s="10"/>
      <c r="C39" s="14"/>
      <c r="D39" s="11" t="s">
        <v>1031</v>
      </c>
      <c r="E39" s="9"/>
      <c r="F39" s="50" t="n">
        <f>Hoja4!H77</f>
      </c>
    </row>
    <row r="40" ht="28.0" customHeight="true">
      <c r="B40" s="10"/>
      <c r="C40" s="14"/>
      <c r="D40" s="15" t="s">
        <v>1032</v>
      </c>
      <c r="E40" s="13"/>
      <c r="F40" s="51" t="n">
        <f>Hoja4!H86</f>
      </c>
    </row>
    <row r="41" ht="42.0" customHeight="true">
      <c r="B41" s="10"/>
      <c r="C41" s="14"/>
      <c r="D41" s="11" t="s">
        <v>268</v>
      </c>
      <c r="E41" s="9"/>
      <c r="F41" s="50" t="n">
        <f>Hoja4!H90</f>
      </c>
    </row>
    <row r="42" ht="42.0" customHeight="true">
      <c r="B42" s="10"/>
      <c r="C42" s="14"/>
      <c r="D42" s="15" t="s">
        <v>256</v>
      </c>
      <c r="E42" s="13"/>
      <c r="F42" s="51" t="n">
        <f>Hoja4!H78</f>
      </c>
    </row>
    <row r="43" ht="28.0" customHeight="true">
      <c r="B43" s="10"/>
      <c r="C43" s="14"/>
      <c r="D43" s="11" t="s">
        <v>269</v>
      </c>
      <c r="E43" s="9"/>
      <c r="F43" s="50" t="n">
        <f>Hoja4!H91</f>
      </c>
    </row>
    <row r="44" ht="28.0" customHeight="true">
      <c r="B44" s="10"/>
      <c r="C44" s="15"/>
      <c r="D44" s="40" t="s">
        <v>1033</v>
      </c>
      <c r="E44" s="39"/>
      <c r="F44" s="51" t="n">
        <f>SUM(F31:F43)</f>
      </c>
    </row>
    <row r="45" ht="42.0" customHeight="true">
      <c r="B45" s="10"/>
      <c r="C45" s="11" t="s">
        <v>1034</v>
      </c>
      <c r="D45" s="8"/>
      <c r="E45" s="9"/>
      <c r="F45" s="50" t="n"/>
    </row>
    <row r="46">
      <c r="B46" s="10"/>
      <c r="C46" s="12" t="s">
        <v>1035</v>
      </c>
      <c r="D46" s="37"/>
      <c r="E46" s="13"/>
      <c r="F46" s="23"/>
    </row>
    <row r="47" ht="28.0" customHeight="true">
      <c r="B47" s="10"/>
      <c r="C47" s="14"/>
      <c r="D47" s="11" t="s">
        <v>1036</v>
      </c>
      <c r="E47" s="9"/>
      <c r="F47" s="50" t="n"/>
    </row>
    <row r="48" ht="28.0" customHeight="true">
      <c r="B48" s="10"/>
      <c r="C48" s="15"/>
      <c r="D48" s="15" t="s">
        <v>1037</v>
      </c>
      <c r="E48" s="13"/>
      <c r="F48" s="51" t="n"/>
    </row>
    <row r="49" ht="28.0" customHeight="true">
      <c r="B49" s="10"/>
      <c r="C49" s="11" t="s">
        <v>1038</v>
      </c>
      <c r="D49" s="8"/>
      <c r="E49" s="9"/>
      <c r="F49" s="21"/>
    </row>
    <row r="50" ht="28.0" customHeight="true">
      <c r="B50" s="10"/>
      <c r="C50" s="15" t="s">
        <v>1039</v>
      </c>
      <c r="D50" s="37"/>
      <c r="E50" s="13"/>
      <c r="F50" s="20"/>
    </row>
    <row r="51" ht="28.0" customHeight="true">
      <c r="B51" s="10"/>
      <c r="C51" s="11" t="s">
        <v>1040</v>
      </c>
      <c r="D51" s="8"/>
      <c r="E51" s="9"/>
      <c r="F51" s="21"/>
    </row>
    <row r="52" ht="28.0" customHeight="true">
      <c r="B52" s="10"/>
      <c r="C52" s="15" t="s">
        <v>1041</v>
      </c>
      <c r="D52" s="37"/>
      <c r="E52" s="13"/>
      <c r="F52" s="20"/>
    </row>
    <row r="53" ht="28.0" customHeight="true">
      <c r="B53" s="10"/>
      <c r="C53" s="11" t="s">
        <v>1042</v>
      </c>
      <c r="D53" s="8"/>
      <c r="E53" s="9"/>
      <c r="F53" s="21"/>
    </row>
    <row r="54" ht="42.0" customHeight="true">
      <c r="B54" s="10"/>
      <c r="C54" s="15" t="s">
        <v>1043</v>
      </c>
      <c r="D54" s="37"/>
      <c r="E54" s="13"/>
      <c r="F54" s="20"/>
    </row>
    <row r="55" ht="28.0" customHeight="true">
      <c r="B55" s="10"/>
      <c r="C55" s="7" t="s">
        <v>1044</v>
      </c>
      <c r="D55" s="8"/>
      <c r="E55" s="9"/>
      <c r="F55" s="22"/>
    </row>
    <row r="56">
      <c r="B56" s="10"/>
      <c r="C56" s="10"/>
      <c r="D56" s="15" t="s">
        <v>1045</v>
      </c>
      <c r="E56" s="13"/>
      <c r="F56" s="51" t="n"/>
    </row>
    <row r="57">
      <c r="B57" s="10"/>
      <c r="C57" s="10"/>
      <c r="D57" s="11" t="s">
        <v>1046</v>
      </c>
      <c r="E57" s="9"/>
      <c r="F57" s="50" t="n"/>
    </row>
    <row r="58">
      <c r="B58" s="10"/>
      <c r="C58" s="10"/>
      <c r="D58" s="49" t="s">
        <v>1047</v>
      </c>
      <c r="E58" s="48"/>
      <c r="F58" s="51" t="n"/>
    </row>
    <row r="59" ht="28.0" customHeight="true">
      <c r="B59" s="10"/>
      <c r="C59" s="10"/>
      <c r="D59" s="11" t="s">
        <v>1048</v>
      </c>
      <c r="E59" s="9"/>
      <c r="F59" s="50" t="n"/>
    </row>
    <row r="60">
      <c r="B60" s="10"/>
      <c r="C60" s="10"/>
      <c r="D60" s="15" t="s">
        <v>1049</v>
      </c>
      <c r="E60" s="13"/>
      <c r="F60" s="51" t="n"/>
    </row>
    <row r="61">
      <c r="B61" s="10"/>
      <c r="C61" s="10"/>
      <c r="D61" s="11" t="s">
        <v>1050</v>
      </c>
      <c r="E61" s="9"/>
      <c r="F61" s="50" t="n"/>
    </row>
    <row r="62">
      <c r="B62" s="10"/>
      <c r="C62" s="10"/>
      <c r="D62" s="15" t="s">
        <v>1051</v>
      </c>
      <c r="E62" s="13"/>
      <c r="F62" s="51" t="n"/>
    </row>
    <row r="63">
      <c r="B63" s="10"/>
      <c r="C63" s="10"/>
      <c r="D63" s="11" t="s">
        <v>1052</v>
      </c>
      <c r="E63" s="9"/>
      <c r="F63" s="50" t="n"/>
    </row>
    <row r="64" ht="28.0" customHeight="true">
      <c r="B64" s="10"/>
      <c r="C64" s="10"/>
      <c r="D64" s="15" t="s">
        <v>1053</v>
      </c>
      <c r="E64" s="13"/>
      <c r="F64" s="51" t="n"/>
    </row>
    <row r="65">
      <c r="B65" s="10"/>
      <c r="C65" s="11"/>
      <c r="D65" s="45" t="s">
        <v>1020</v>
      </c>
      <c r="E65" s="44"/>
      <c r="F65" s="50" t="n">
        <f>SUM(F16:F18)-F19-F20+SUM(F21:F24)</f>
      </c>
    </row>
    <row r="66" ht="28.0" customHeight="true">
      <c r="B66" s="10"/>
      <c r="C66" s="12" t="s">
        <v>1054</v>
      </c>
      <c r="D66" s="37"/>
      <c r="E66" s="13"/>
      <c r="F66" s="23"/>
    </row>
    <row r="67">
      <c r="B67" s="10"/>
      <c r="C67" s="14"/>
      <c r="D67" s="11" t="s">
        <v>1045</v>
      </c>
      <c r="E67" s="9"/>
      <c r="F67" s="50" t="n">
        <f>F56</f>
      </c>
    </row>
    <row r="68">
      <c r="B68" s="10"/>
      <c r="C68" s="14"/>
      <c r="D68" s="15" t="s">
        <v>1055</v>
      </c>
      <c r="E68" s="13"/>
      <c r="F68" s="51" t="n"/>
    </row>
    <row r="69" ht="28.0" customHeight="true">
      <c r="B69" s="10"/>
      <c r="C69" s="14"/>
      <c r="D69" s="56" t="s">
        <v>1056</v>
      </c>
      <c r="E69" s="55"/>
      <c r="F69" s="50" t="n"/>
    </row>
    <row r="70" ht="28.0" customHeight="true">
      <c r="B70" s="10"/>
      <c r="C70" s="14"/>
      <c r="D70" s="15" t="s">
        <v>1057</v>
      </c>
      <c r="E70" s="13"/>
      <c r="F70" s="51" t="n"/>
    </row>
    <row r="71">
      <c r="B71" s="10"/>
      <c r="C71" s="14"/>
      <c r="D71" s="11" t="s">
        <v>1058</v>
      </c>
      <c r="E71" s="9"/>
      <c r="F71" s="50" t="n"/>
    </row>
    <row r="72">
      <c r="B72" s="10"/>
      <c r="C72" s="14"/>
      <c r="D72" s="15" t="s">
        <v>1059</v>
      </c>
      <c r="E72" s="13"/>
      <c r="F72" s="51" t="n"/>
    </row>
    <row r="73" ht="28.0" customHeight="true">
      <c r="B73" s="10"/>
      <c r="C73" s="14"/>
      <c r="D73" s="11" t="s">
        <v>1060</v>
      </c>
      <c r="E73" s="9"/>
      <c r="F73" s="50" t="n"/>
    </row>
    <row r="74">
      <c r="B74" s="10"/>
      <c r="C74" s="14"/>
      <c r="D74" s="15" t="s">
        <v>1061</v>
      </c>
      <c r="E74" s="13"/>
      <c r="F74" s="51" t="n"/>
    </row>
    <row r="75" ht="28.0" customHeight="true">
      <c r="B75" s="10"/>
      <c r="C75" s="14"/>
      <c r="D75" s="11" t="s">
        <v>1062</v>
      </c>
      <c r="E75" s="9"/>
      <c r="F75" s="50" t="n"/>
    </row>
    <row r="76" ht="28.0" customHeight="true">
      <c r="B76" s="10"/>
      <c r="C76" s="14"/>
      <c r="D76" s="15" t="s">
        <v>1063</v>
      </c>
      <c r="E76" s="13"/>
      <c r="F76" s="51" t="n"/>
    </row>
    <row r="77">
      <c r="B77" s="11"/>
      <c r="C77" s="15"/>
      <c r="D77" s="45" t="s">
        <v>1064</v>
      </c>
      <c r="E77" s="44"/>
      <c r="F77" s="53" t="n"/>
    </row>
  </sheetData>
  <mergeCells>
    <mergeCell ref="B11:E11"/>
    <mergeCell ref="C12:E12"/>
    <mergeCell ref="D13:E13"/>
    <mergeCell ref="D17:E17"/>
    <mergeCell ref="D18:E18"/>
    <mergeCell ref="D19:E19"/>
    <mergeCell ref="D20:E20"/>
    <mergeCell ref="D21:E21"/>
    <mergeCell ref="D22:E22"/>
    <mergeCell ref="D23:E23"/>
    <mergeCell ref="D24:E24"/>
    <mergeCell ref="D25:E25"/>
    <mergeCell ref="C26:E26"/>
    <mergeCell ref="D27:E27"/>
    <mergeCell ref="D28:E28"/>
    <mergeCell ref="D29:E29"/>
    <mergeCell ref="C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C45:E45"/>
    <mergeCell ref="C46:E46"/>
    <mergeCell ref="D47:E47"/>
    <mergeCell ref="D48:E48"/>
    <mergeCell ref="C49:E49"/>
    <mergeCell ref="C50:E50"/>
    <mergeCell ref="C51:E51"/>
    <mergeCell ref="C52:E52"/>
    <mergeCell ref="C53:E53"/>
    <mergeCell ref="C54:E54"/>
    <mergeCell ref="C55:E55"/>
    <mergeCell ref="D56:E56"/>
    <mergeCell ref="D57:E57"/>
    <mergeCell ref="D58:E58"/>
    <mergeCell ref="D59:E59"/>
    <mergeCell ref="D60:E60"/>
    <mergeCell ref="D61:E61"/>
    <mergeCell ref="D62:E62"/>
    <mergeCell ref="D63:E63"/>
    <mergeCell ref="D64:E64"/>
    <mergeCell ref="D65:E65"/>
    <mergeCell ref="C66:E66"/>
    <mergeCell ref="D67:E67"/>
    <mergeCell ref="D68:E68"/>
    <mergeCell ref="D69:E69"/>
    <mergeCell ref="D70:E70"/>
    <mergeCell ref="D71:E71"/>
    <mergeCell ref="D72:E72"/>
    <mergeCell ref="D73:E73"/>
    <mergeCell ref="D74:E74"/>
    <mergeCell ref="D75:E75"/>
    <mergeCell ref="D76:E76"/>
    <mergeCell ref="D77:E77"/>
  </mergeCells>
  <hyperlinks>
    <hyperlink location="'Indice'!A1" ref="B2"/>
  </hyperlinks>
  <pageMargins bottom="0.75" footer="0.3" header="0.3" left="0.7" right="0.7" top="0.75"/>
</worksheet>
</file>

<file path=xl/worksheets/sheet37.xml><?xml version="1.0" encoding="utf-8"?>
<worksheet xmlns="http://schemas.openxmlformats.org/spreadsheetml/2006/main">
  <dimension ref="B2:F20"/>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1065</v>
      </c>
    </row>
    <row r="6">
      <c r="B6" t="s" s="1">
        <v>8</v>
      </c>
      <c r="C6" t="s">
        <v>9</v>
      </c>
    </row>
    <row r="7">
      <c r="B7" t="s" s="1">
        <v>10</v>
      </c>
      <c r="C7" t="s">
        <v>9</v>
      </c>
    </row>
    <row r="8">
      <c r="B8" t="s" s="1">
        <v>11</v>
      </c>
      <c r="C8" t="s">
        <v>9</v>
      </c>
    </row>
    <row r="10">
      <c r="E10" t="s" s="6">
        <v>12</v>
      </c>
    </row>
    <row r="11">
      <c r="B11" s="7" t="s">
        <v>1066</v>
      </c>
      <c r="C11" s="8"/>
      <c r="D11" s="9"/>
      <c r="E11" s="21"/>
    </row>
    <row r="12">
      <c r="B12" s="10"/>
      <c r="C12" s="12" t="s">
        <v>1067</v>
      </c>
      <c r="D12" s="13"/>
      <c r="E12" s="23"/>
    </row>
    <row r="13">
      <c r="B13" s="10"/>
      <c r="C13" s="14"/>
      <c r="D13" s="18" t="s">
        <v>1068</v>
      </c>
      <c r="E13" s="50" t="n"/>
    </row>
    <row r="14">
      <c r="B14" s="10"/>
      <c r="C14" s="14"/>
      <c r="D14" s="19" t="s">
        <v>1069</v>
      </c>
      <c r="E14" s="51" t="n"/>
    </row>
    <row r="15">
      <c r="B15" s="10"/>
      <c r="C15" s="15"/>
      <c r="D15" s="65" t="s">
        <v>1070</v>
      </c>
      <c r="E15" s="50" t="n">
        <f>E13+E14</f>
      </c>
    </row>
    <row r="16">
      <c r="B16" s="10"/>
      <c r="C16" s="12" t="s">
        <v>1071</v>
      </c>
      <c r="D16" s="13"/>
      <c r="E16" s="23"/>
    </row>
    <row r="17">
      <c r="B17" s="10"/>
      <c r="C17" s="14"/>
      <c r="D17" s="18" t="s">
        <v>1072</v>
      </c>
      <c r="E17" s="50" t="n"/>
    </row>
    <row r="18">
      <c r="B18" s="10"/>
      <c r="C18" s="14"/>
      <c r="D18" s="19" t="s">
        <v>1073</v>
      </c>
      <c r="E18" s="51" t="n"/>
    </row>
    <row r="19">
      <c r="B19" s="10"/>
      <c r="C19" s="15"/>
      <c r="D19" s="65" t="s">
        <v>1074</v>
      </c>
      <c r="E19" s="50" t="n">
        <f>E17+E18</f>
      </c>
    </row>
    <row r="20" ht="28.0" customHeight="true">
      <c r="B20" s="11"/>
      <c r="C20" s="15" t="s">
        <v>1075</v>
      </c>
      <c r="D20" s="13"/>
      <c r="E20" s="52" t="n"/>
    </row>
  </sheetData>
  <mergeCells>
    <mergeCell ref="B11:D11"/>
    <mergeCell ref="C12:D12"/>
    <mergeCell ref="C16:D16"/>
    <mergeCell ref="C20:D20"/>
  </mergeCells>
  <hyperlinks>
    <hyperlink location="'Indice'!A1" ref="B2"/>
  </hyperlinks>
  <pageMargins bottom="0.75" footer="0.3" header="0.3" left="0.7" right="0.7" top="0.75"/>
</worksheet>
</file>

<file path=xl/worksheets/sheet38.xml><?xml version="1.0" encoding="utf-8"?>
<worksheet xmlns="http://schemas.openxmlformats.org/spreadsheetml/2006/main">
  <dimension ref="B2:F24"/>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1076</v>
      </c>
    </row>
    <row r="6">
      <c r="B6" t="s" s="1">
        <v>8</v>
      </c>
      <c r="C6" t="s">
        <v>9</v>
      </c>
    </row>
    <row r="7">
      <c r="B7" t="s" s="1">
        <v>10</v>
      </c>
      <c r="C7" t="s">
        <v>9</v>
      </c>
    </row>
    <row r="8">
      <c r="B8" t="s" s="1">
        <v>11</v>
      </c>
      <c r="C8" t="s">
        <v>9</v>
      </c>
    </row>
    <row r="10">
      <c r="E10" t="s" s="6">
        <v>12</v>
      </c>
    </row>
    <row r="11" ht="28.0" customHeight="true">
      <c r="B11" s="7" t="s">
        <v>445</v>
      </c>
      <c r="C11" s="8"/>
      <c r="D11" s="9"/>
      <c r="E11" s="21"/>
    </row>
    <row r="12">
      <c r="B12" s="10"/>
      <c r="C12" s="15" t="s">
        <v>1077</v>
      </c>
      <c r="D12" s="13"/>
      <c r="E12" s="20"/>
    </row>
    <row r="13">
      <c r="B13" s="10"/>
      <c r="C13" s="11" t="s">
        <v>1078</v>
      </c>
      <c r="D13" s="9"/>
      <c r="E13" s="21"/>
    </row>
    <row r="14" ht="28.0" customHeight="true">
      <c r="B14" s="10"/>
      <c r="C14" s="15" t="s">
        <v>1079</v>
      </c>
      <c r="D14" s="13"/>
      <c r="E14" s="20"/>
    </row>
    <row r="15">
      <c r="B15" s="10"/>
      <c r="C15" s="11" t="s">
        <v>1080</v>
      </c>
      <c r="D15" s="9"/>
      <c r="E15" s="21"/>
    </row>
    <row r="16" ht="28.0" customHeight="true">
      <c r="B16" s="10"/>
      <c r="C16" s="15" t="s">
        <v>1081</v>
      </c>
      <c r="D16" s="13"/>
      <c r="E16" s="20"/>
    </row>
    <row r="17" ht="28.0" customHeight="true">
      <c r="B17" s="10"/>
      <c r="C17" s="11" t="s">
        <v>1082</v>
      </c>
      <c r="D17" s="9"/>
      <c r="E17" s="21"/>
    </row>
    <row r="18">
      <c r="B18" s="10"/>
      <c r="C18" s="15" t="s">
        <v>1083</v>
      </c>
      <c r="D18" s="13"/>
      <c r="E18" s="51" t="n"/>
    </row>
    <row r="19">
      <c r="B19" s="10"/>
      <c r="C19" s="11" t="s">
        <v>1084</v>
      </c>
      <c r="D19" s="9"/>
      <c r="E19" s="50" t="n"/>
    </row>
    <row r="20">
      <c r="B20" s="10"/>
      <c r="C20" s="15" t="s">
        <v>1085</v>
      </c>
      <c r="D20" s="13"/>
      <c r="E20" s="51" t="n"/>
    </row>
    <row r="21">
      <c r="B21" s="10"/>
      <c r="C21" s="11" t="s">
        <v>1086</v>
      </c>
      <c r="D21" s="9"/>
      <c r="E21" s="22"/>
    </row>
    <row r="22">
      <c r="B22" s="10"/>
      <c r="C22" s="12" t="s">
        <v>1087</v>
      </c>
      <c r="D22" s="13"/>
      <c r="E22" s="23"/>
    </row>
    <row r="23">
      <c r="B23" s="10"/>
      <c r="C23" s="14"/>
      <c r="D23" s="18" t="s">
        <v>1088</v>
      </c>
      <c r="E23" s="50" t="n"/>
    </row>
    <row r="24">
      <c r="B24" s="11"/>
      <c r="C24" s="15"/>
      <c r="D24" s="19" t="s">
        <v>1089</v>
      </c>
      <c r="E24" s="52" t="n"/>
    </row>
  </sheetData>
  <mergeCells>
    <mergeCell ref="B11:D11"/>
    <mergeCell ref="C12:D12"/>
    <mergeCell ref="C13:D13"/>
    <mergeCell ref="C14:D14"/>
    <mergeCell ref="C15:D15"/>
    <mergeCell ref="C16:D16"/>
    <mergeCell ref="C17:D17"/>
    <mergeCell ref="C18:D18"/>
    <mergeCell ref="C19:D19"/>
    <mergeCell ref="C20:D20"/>
    <mergeCell ref="C21:D21"/>
    <mergeCell ref="C22:D22"/>
  </mergeCells>
  <dataValidations count="1">
    <dataValidation type="list" sqref="E12" allowBlank="true" errorStyle="stop" showErrorMessage="true" showDropDown="false">
      <formula1>sspdtipos_TipoDivisa</formula1>
    </dataValidation>
  </dataValidations>
  <hyperlinks>
    <hyperlink location="'Indice'!A1" ref="B2"/>
  </hyperlinks>
  <pageMargins bottom="0.75" footer="0.3" header="0.3" left="0.7" right="0.7" top="0.75"/>
</worksheet>
</file>

<file path=xl/worksheets/sheet39.xml><?xml version="1.0" encoding="utf-8"?>
<worksheet xmlns="http://schemas.openxmlformats.org/spreadsheetml/2006/main">
  <dimension ref="B2:M17"/>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s>
  <sheetData>
    <row r="2">
      <c r="B2" t="s" s="2">
        <v>1</v>
      </c>
    </row>
    <row r="3">
      <c r="B3" t="s" s="1">
        <v>3</v>
      </c>
      <c r="C3" t="s">
        <v>4</v>
      </c>
    </row>
    <row r="4">
      <c r="B4" s="1" t="s">
        <v>5</v>
      </c>
      <c r="C4" t="s">
        <v>6</v>
      </c>
    </row>
    <row r="5">
      <c r="B5" t="s" s="1">
        <v>7</v>
      </c>
      <c r="C5" t="s">
        <v>1093</v>
      </c>
    </row>
    <row r="6">
      <c r="B6" t="s" s="1">
        <v>8</v>
      </c>
      <c r="C6" t="s">
        <v>9</v>
      </c>
    </row>
    <row r="7">
      <c r="B7" t="s" s="1">
        <v>10</v>
      </c>
      <c r="C7" t="s">
        <v>9</v>
      </c>
    </row>
    <row r="8">
      <c r="B8" t="s" s="1">
        <v>11</v>
      </c>
      <c r="C8" t="s">
        <v>12</v>
      </c>
    </row>
    <row r="10">
      <c r="D10" t="s" s="4">
        <v>1094</v>
      </c>
      <c r="E10" s="29"/>
      <c r="F10" s="29"/>
      <c r="G10" s="29"/>
      <c r="H10" s="29"/>
      <c r="I10" s="29"/>
      <c r="J10" s="29"/>
      <c r="K10" s="29"/>
      <c r="L10" s="30"/>
    </row>
    <row r="11">
      <c r="D11" t="s" s="34">
        <v>1095</v>
      </c>
      <c r="E11" t="s" s="6">
        <v>1096</v>
      </c>
      <c r="F11" t="s" s="34">
        <v>1097</v>
      </c>
      <c r="G11" t="s" s="6">
        <v>1098</v>
      </c>
      <c r="H11" t="s" s="34">
        <v>1099</v>
      </c>
      <c r="I11" t="s" s="6">
        <v>1100</v>
      </c>
      <c r="J11" t="s" s="34">
        <v>1101</v>
      </c>
      <c r="K11" t="s" s="6">
        <v>1102</v>
      </c>
      <c r="L11" s="34" t="s">
        <v>1103</v>
      </c>
    </row>
    <row r="12">
      <c r="B12" s="7" t="s">
        <v>1104</v>
      </c>
      <c r="C12" s="9"/>
      <c r="D12" s="23"/>
      <c r="E12" s="23"/>
      <c r="F12" s="23"/>
      <c r="G12" s="23"/>
      <c r="H12" s="23"/>
      <c r="I12" s="23"/>
      <c r="J12" s="23"/>
      <c r="K12" s="23"/>
      <c r="L12" s="23"/>
    </row>
    <row r="13">
      <c r="B13" s="10"/>
      <c r="C13" s="19" t="s">
        <v>1105</v>
      </c>
      <c r="D13" s="21"/>
      <c r="E13" s="21"/>
      <c r="F13" s="21"/>
      <c r="G13" s="21"/>
      <c r="H13" s="21"/>
      <c r="I13" s="22"/>
      <c r="J13" s="22"/>
      <c r="K13" s="22"/>
      <c r="L13" s="22"/>
    </row>
    <row r="14">
      <c r="B14" s="10"/>
      <c r="C14" s="18" t="s">
        <v>1106</v>
      </c>
      <c r="D14" s="20"/>
      <c r="E14" s="20"/>
      <c r="F14" s="20"/>
      <c r="G14" s="20"/>
      <c r="H14" s="20"/>
      <c r="I14" s="20"/>
      <c r="J14" s="20"/>
      <c r="K14" s="20"/>
      <c r="L14" s="23"/>
    </row>
    <row r="15">
      <c r="B15" s="10"/>
      <c r="C15" s="19" t="s">
        <v>1107</v>
      </c>
      <c r="D15" s="21"/>
      <c r="E15" s="21"/>
      <c r="F15" s="21"/>
      <c r="G15" s="21"/>
      <c r="H15" s="21"/>
      <c r="I15" s="21"/>
      <c r="J15" s="21"/>
      <c r="K15" s="21"/>
      <c r="L15" s="22"/>
    </row>
    <row r="16">
      <c r="B16" s="10"/>
      <c r="C16" s="18" t="s">
        <v>1108</v>
      </c>
      <c r="D16" s="20"/>
      <c r="E16" s="20"/>
      <c r="F16" s="20"/>
      <c r="G16" s="20"/>
      <c r="H16" s="20"/>
      <c r="I16" s="20"/>
      <c r="J16" s="20"/>
      <c r="K16" s="20"/>
      <c r="L16" s="20"/>
    </row>
    <row r="17">
      <c r="B17" s="11"/>
      <c r="C17" s="19" t="s">
        <v>1109</v>
      </c>
      <c r="D17" s="66"/>
      <c r="E17" s="66"/>
      <c r="F17" s="66"/>
      <c r="G17" s="66"/>
      <c r="H17" s="66"/>
      <c r="I17" s="66"/>
      <c r="J17" s="66"/>
      <c r="K17" s="66"/>
      <c r="L17" s="58"/>
    </row>
  </sheetData>
  <mergeCells>
    <mergeCell ref="D10:L10"/>
    <mergeCell ref="B12:C12"/>
  </mergeCells>
  <dataValidations count="6">
    <dataValidation type="list" sqref="F13" allowBlank="true" errorStyle="stop" showErrorMessage="true" showDropDown="false">
      <formula1>sspdtipos_TipoIdentificacionResponsablesInformacion</formula1>
    </dataValidation>
    <dataValidation type="list" sqref="F14" allowBlank="true" errorStyle="stop" showErrorMessage="true" showDropDown="false">
      <formula1>sspdtipos_TipoIdentificacionResponsablesInformacion</formula1>
    </dataValidation>
    <dataValidation type="list" sqref="F15" allowBlank="true" errorStyle="stop" showErrorMessage="true" showDropDown="false">
      <formula1>sspdtipos_TipoIdentificacionResponsablesInformacion</formula1>
    </dataValidation>
    <dataValidation type="list" sqref="F16" allowBlank="true" errorStyle="stop" showErrorMessage="true" showDropDown="false">
      <formula1>sspdtipos_TipoIdentificacionResponsablesInformacion</formula1>
    </dataValidation>
    <dataValidation type="list" sqref="L16" allowBlank="true" errorStyle="stop" showErrorMessage="true" showDropDown="false">
      <formula1>sspdtipos_TipoDeDictamenDeAuditoria</formula1>
    </dataValidation>
    <dataValidation type="list" sqref="F17" allowBlank="true" errorStyle="stop" showErrorMessage="true" showDropDown="false">
      <formula1>sspdtipos_TipoIdentificacionResponsablesInformacion</formula1>
    </dataValidation>
  </dataValidations>
  <hyperlinks>
    <hyperlink location="'Indice'!A1" ref="B2"/>
  </hyperlinks>
  <pageMargins bottom="0.75" footer="0.3" header="0.3" left="0.7" right="0.7" top="0.75"/>
</worksheet>
</file>

<file path=xl/worksheets/sheet40.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1121</v>
      </c>
    </row>
    <row r="6">
      <c r="B6" t="s" s="1">
        <v>8</v>
      </c>
      <c r="C6" t="s">
        <v>9</v>
      </c>
    </row>
    <row r="7">
      <c r="B7" t="s" s="1">
        <v>10</v>
      </c>
      <c r="C7" t="s">
        <v>9</v>
      </c>
    </row>
    <row r="8">
      <c r="B8" t="s" s="1">
        <v>11</v>
      </c>
      <c r="C8" t="s">
        <v>12</v>
      </c>
    </row>
    <row r="10">
      <c r="E10" t="s" s="4">
        <v>36</v>
      </c>
      <c r="F10" s="29"/>
      <c r="G10" s="30"/>
    </row>
    <row r="11">
      <c r="E11" t="s" s="34">
        <v>1122</v>
      </c>
      <c r="F11" t="s" s="6">
        <v>1123</v>
      </c>
      <c r="G11" s="36"/>
    </row>
    <row r="12">
      <c r="B12" s="7" t="s">
        <v>1124</v>
      </c>
      <c r="C12" s="8"/>
      <c r="D12" s="9"/>
      <c r="E12" s="23"/>
      <c r="F12" s="23"/>
      <c r="G12" s="23"/>
    </row>
    <row r="13">
      <c r="B13" s="10"/>
      <c r="C13" s="15" t="s">
        <v>1125</v>
      </c>
      <c r="D13" s="13"/>
      <c r="E13" s="50" t="n"/>
      <c r="F13" s="50" t="n"/>
      <c r="G13" s="50" t="n"/>
    </row>
    <row r="14">
      <c r="B14" s="10"/>
      <c r="C14" s="11" t="s">
        <v>1126</v>
      </c>
      <c r="D14" s="9"/>
      <c r="E14" s="51" t="n"/>
      <c r="F14" s="51" t="n"/>
      <c r="G14" s="51" t="n"/>
    </row>
    <row r="15">
      <c r="B15" s="10"/>
      <c r="C15" s="15" t="s">
        <v>1127</v>
      </c>
      <c r="D15" s="13"/>
      <c r="E15" s="50" t="n"/>
      <c r="F15" s="50" t="n"/>
      <c r="G15" s="50" t="n"/>
    </row>
    <row r="16">
      <c r="B16" s="10"/>
      <c r="C16" s="11" t="s">
        <v>1128</v>
      </c>
      <c r="D16" s="9"/>
      <c r="E16" s="51" t="n"/>
      <c r="F16" s="51" t="n"/>
      <c r="G16" s="51" t="n"/>
    </row>
    <row r="17">
      <c r="B17" s="10"/>
      <c r="C17" s="15" t="s">
        <v>1129</v>
      </c>
      <c r="D17" s="13"/>
      <c r="E17" s="50" t="n"/>
      <c r="F17" s="50" t="n"/>
      <c r="G17" s="50" t="n"/>
    </row>
    <row r="18">
      <c r="B18" s="10"/>
      <c r="C18" s="11" t="s">
        <v>1130</v>
      </c>
      <c r="D18" s="9"/>
      <c r="E18" s="51" t="n"/>
      <c r="F18" s="51" t="n"/>
      <c r="G18" s="51" t="n"/>
    </row>
    <row r="19">
      <c r="B19" s="10"/>
      <c r="C19" s="15" t="s">
        <v>1131</v>
      </c>
      <c r="D19" s="13"/>
      <c r="E19" s="50" t="n"/>
      <c r="F19" s="50" t="n"/>
      <c r="G19" s="50" t="n"/>
    </row>
    <row r="20">
      <c r="B20" s="10"/>
      <c r="C20" s="7" t="s">
        <v>1132</v>
      </c>
      <c r="D20" s="9"/>
      <c r="E20" s="23"/>
      <c r="F20" s="23"/>
      <c r="G20" s="23"/>
    </row>
    <row r="21">
      <c r="B21" s="10"/>
      <c r="C21" s="10"/>
      <c r="D21" s="19" t="s">
        <v>1133</v>
      </c>
      <c r="E21" s="50" t="n"/>
      <c r="F21" s="50" t="n"/>
      <c r="G21" s="50" t="n"/>
    </row>
    <row r="22">
      <c r="B22" s="10"/>
      <c r="C22" s="10"/>
      <c r="D22" s="18" t="s">
        <v>1134</v>
      </c>
      <c r="E22" s="51" t="n"/>
      <c r="F22" s="51" t="n"/>
      <c r="G22" s="51" t="n"/>
    </row>
    <row r="23">
      <c r="B23" s="10"/>
      <c r="C23" s="10"/>
      <c r="D23" s="19" t="s">
        <v>1135</v>
      </c>
      <c r="E23" s="50" t="n"/>
      <c r="F23" s="50" t="n"/>
      <c r="G23" s="50" t="n"/>
    </row>
    <row r="24">
      <c r="B24" s="10"/>
      <c r="C24" s="11"/>
      <c r="D24" s="65" t="s">
        <v>1136</v>
      </c>
      <c r="E24" s="51" t="n">
        <f>SUM(E21:E23)</f>
      </c>
      <c r="F24" s="51" t="n">
        <f>SUM(F21:F23)</f>
      </c>
      <c r="G24" s="51" t="n">
        <f>SUM(G21:G23)</f>
      </c>
    </row>
    <row r="25">
      <c r="B25" s="10"/>
      <c r="C25" s="15" t="s">
        <v>1137</v>
      </c>
      <c r="D25" s="13"/>
      <c r="E25" s="50" t="n"/>
      <c r="F25" s="50" t="n"/>
      <c r="G25" s="50" t="n"/>
    </row>
    <row r="26">
      <c r="B26" s="10"/>
      <c r="C26" s="7" t="s">
        <v>1138</v>
      </c>
      <c r="D26" s="9"/>
      <c r="E26" s="23"/>
      <c r="F26" s="23"/>
      <c r="G26" s="23"/>
    </row>
    <row r="27">
      <c r="B27" s="10"/>
      <c r="C27" s="10"/>
      <c r="D27" s="19" t="s">
        <v>1139</v>
      </c>
      <c r="E27" s="50" t="n"/>
      <c r="F27" s="50" t="n"/>
      <c r="G27" s="50" t="n"/>
    </row>
    <row r="28">
      <c r="B28" s="10"/>
      <c r="C28" s="10"/>
      <c r="D28" s="18" t="s">
        <v>1140</v>
      </c>
      <c r="E28" s="51" t="n"/>
      <c r="F28" s="51" t="n"/>
      <c r="G28" s="51" t="n"/>
    </row>
    <row r="29">
      <c r="B29" s="10"/>
      <c r="C29" s="10"/>
      <c r="D29" s="19" t="s">
        <v>1141</v>
      </c>
      <c r="E29" s="50" t="n"/>
      <c r="F29" s="50" t="n"/>
      <c r="G29" s="50" t="n"/>
    </row>
    <row r="30">
      <c r="B30" s="10"/>
      <c r="C30" s="10"/>
      <c r="D30" s="18" t="s">
        <v>1142</v>
      </c>
      <c r="E30" s="51" t="n"/>
      <c r="F30" s="51" t="n"/>
      <c r="G30" s="51" t="n"/>
    </row>
    <row r="31">
      <c r="B31" s="10"/>
      <c r="C31" s="10"/>
      <c r="D31" s="19" t="s">
        <v>1143</v>
      </c>
      <c r="E31" s="50" t="n"/>
      <c r="F31" s="50" t="n"/>
      <c r="G31" s="50" t="n"/>
    </row>
    <row r="32">
      <c r="B32" s="10"/>
      <c r="C32" s="10"/>
      <c r="D32" s="18" t="s">
        <v>1144</v>
      </c>
      <c r="E32" s="51" t="n"/>
      <c r="F32" s="51" t="n"/>
      <c r="G32" s="51" t="n"/>
    </row>
    <row r="33">
      <c r="B33" s="10"/>
      <c r="C33" s="11"/>
      <c r="D33" s="57" t="s">
        <v>1145</v>
      </c>
      <c r="E33" s="50" t="n">
        <f>SUM(E27:E32)</f>
      </c>
      <c r="F33" s="50" t="n">
        <f>SUM(F27:F32)</f>
      </c>
      <c r="G33" s="50" t="n">
        <f>SUM(G27:G32)</f>
      </c>
    </row>
    <row r="34">
      <c r="B34" s="10"/>
      <c r="C34" s="11" t="s">
        <v>1146</v>
      </c>
      <c r="D34" s="9"/>
      <c r="E34" s="51" t="n"/>
      <c r="F34" s="51" t="n"/>
      <c r="G34" s="51" t="n"/>
    </row>
    <row r="35">
      <c r="B35" s="10"/>
      <c r="C35" s="15" t="s">
        <v>1147</v>
      </c>
      <c r="D35" s="13"/>
      <c r="E35" s="50" t="n"/>
      <c r="F35" s="50" t="n"/>
      <c r="G35" s="50" t="n"/>
    </row>
    <row r="36">
      <c r="B36" s="10"/>
      <c r="C36" s="7" t="s">
        <v>1148</v>
      </c>
      <c r="D36" s="9"/>
      <c r="E36" s="23"/>
      <c r="F36" s="23"/>
      <c r="G36" s="23"/>
    </row>
    <row r="37">
      <c r="B37" s="10"/>
      <c r="C37" s="10"/>
      <c r="D37" s="19" t="s">
        <v>1149</v>
      </c>
      <c r="E37" s="50" t="n"/>
      <c r="F37" s="50" t="n"/>
      <c r="G37" s="50" t="n"/>
    </row>
    <row r="38">
      <c r="B38" s="10"/>
      <c r="C38" s="10"/>
      <c r="D38" s="18" t="s">
        <v>1150</v>
      </c>
      <c r="E38" s="51" t="n"/>
      <c r="F38" s="51" t="n"/>
      <c r="G38" s="51" t="n"/>
    </row>
    <row r="39">
      <c r="B39" s="10"/>
      <c r="C39" s="10"/>
      <c r="D39" s="19" t="s">
        <v>1151</v>
      </c>
      <c r="E39" s="50" t="n"/>
      <c r="F39" s="50" t="n"/>
      <c r="G39" s="50" t="n"/>
    </row>
    <row r="40">
      <c r="B40" s="10"/>
      <c r="C40" s="10"/>
      <c r="D40" s="18" t="s">
        <v>1152</v>
      </c>
      <c r="E40" s="51" t="n"/>
      <c r="F40" s="51" t="n"/>
      <c r="G40" s="51" t="n"/>
    </row>
    <row r="41">
      <c r="B41" s="10"/>
      <c r="C41" s="10"/>
      <c r="D41" s="19" t="s">
        <v>1153</v>
      </c>
      <c r="E41" s="50" t="n"/>
      <c r="F41" s="50" t="n"/>
      <c r="G41" s="50" t="n"/>
    </row>
    <row r="42">
      <c r="B42" s="10"/>
      <c r="C42" s="10"/>
      <c r="D42" s="18" t="s">
        <v>1154</v>
      </c>
      <c r="E42" s="51" t="n"/>
      <c r="F42" s="51" t="n"/>
      <c r="G42" s="51" t="n"/>
    </row>
    <row r="43">
      <c r="B43" s="10"/>
      <c r="C43" s="10"/>
      <c r="D43" s="19" t="s">
        <v>1155</v>
      </c>
      <c r="E43" s="50" t="n"/>
      <c r="F43" s="50" t="n"/>
      <c r="G43" s="50" t="n"/>
    </row>
    <row r="44">
      <c r="B44" s="10"/>
      <c r="C44" s="10"/>
      <c r="D44" s="18" t="s">
        <v>1156</v>
      </c>
      <c r="E44" s="51" t="n"/>
      <c r="F44" s="51" t="n"/>
      <c r="G44" s="51" t="n"/>
    </row>
    <row r="45">
      <c r="B45" s="10"/>
      <c r="C45" s="10"/>
      <c r="D45" s="19" t="s">
        <v>1157</v>
      </c>
      <c r="E45" s="50" t="n"/>
      <c r="F45" s="50" t="n"/>
      <c r="G45" s="50" t="n"/>
    </row>
    <row r="46">
      <c r="B46" s="10"/>
      <c r="C46" s="10"/>
      <c r="D46" s="18" t="s">
        <v>1158</v>
      </c>
      <c r="E46" s="51" t="n"/>
      <c r="F46" s="51" t="n"/>
      <c r="G46" s="51" t="n"/>
    </row>
    <row r="47">
      <c r="B47" s="10"/>
      <c r="C47" s="10"/>
      <c r="D47" s="19" t="s">
        <v>1159</v>
      </c>
      <c r="E47" s="50" t="n"/>
      <c r="F47" s="50" t="n"/>
      <c r="G47" s="50" t="n"/>
    </row>
    <row r="48">
      <c r="B48" s="10"/>
      <c r="C48" s="10"/>
      <c r="D48" s="18" t="s">
        <v>1160</v>
      </c>
      <c r="E48" s="51" t="n"/>
      <c r="F48" s="51" t="n"/>
      <c r="G48" s="51" t="n"/>
    </row>
    <row r="49">
      <c r="B49" s="10"/>
      <c r="C49" s="10"/>
      <c r="D49" s="19" t="s">
        <v>1161</v>
      </c>
      <c r="E49" s="50" t="n"/>
      <c r="F49" s="50" t="n"/>
      <c r="G49" s="50" t="n"/>
    </row>
    <row r="50">
      <c r="B50" s="10"/>
      <c r="C50" s="11"/>
      <c r="D50" s="65" t="s">
        <v>1162</v>
      </c>
      <c r="E50" s="51" t="n">
        <f>SUM(E37:E49)</f>
      </c>
      <c r="F50" s="51" t="n">
        <f>SUM(F37:F49)</f>
      </c>
      <c r="G50" s="51" t="n">
        <f>SUM(G37:G49)</f>
      </c>
    </row>
    <row r="51">
      <c r="B51" s="10"/>
      <c r="C51" s="12" t="s">
        <v>1163</v>
      </c>
      <c r="D51" s="13"/>
      <c r="E51" s="22"/>
      <c r="F51" s="22"/>
      <c r="G51" s="22"/>
    </row>
    <row r="52">
      <c r="B52" s="10"/>
      <c r="C52" s="14"/>
      <c r="D52" s="18" t="s">
        <v>1164</v>
      </c>
      <c r="E52" s="51" t="n"/>
      <c r="F52" s="51" t="n"/>
      <c r="G52" s="51" t="n"/>
    </row>
    <row r="53">
      <c r="B53" s="10"/>
      <c r="C53" s="14"/>
      <c r="D53" s="19" t="s">
        <v>1165</v>
      </c>
      <c r="E53" s="50" t="n"/>
      <c r="F53" s="50" t="n"/>
      <c r="G53" s="50" t="n"/>
    </row>
    <row r="54">
      <c r="B54" s="10"/>
      <c r="C54" s="14"/>
      <c r="D54" s="18" t="s">
        <v>1166</v>
      </c>
      <c r="E54" s="51" t="n"/>
      <c r="F54" s="51" t="n"/>
      <c r="G54" s="51" t="n"/>
    </row>
    <row r="55">
      <c r="B55" s="10"/>
      <c r="C55" s="14"/>
      <c r="D55" s="19" t="s">
        <v>1167</v>
      </c>
      <c r="E55" s="50" t="n"/>
      <c r="F55" s="50" t="n"/>
      <c r="G55" s="50" t="n"/>
    </row>
    <row r="56">
      <c r="B56" s="10"/>
      <c r="C56" s="14"/>
      <c r="D56" s="18" t="s">
        <v>1168</v>
      </c>
      <c r="E56" s="51" t="n"/>
      <c r="F56" s="51" t="n"/>
      <c r="G56" s="51" t="n"/>
    </row>
    <row r="57">
      <c r="B57" s="10"/>
      <c r="C57" s="14"/>
      <c r="D57" s="19" t="s">
        <v>1169</v>
      </c>
      <c r="E57" s="50" t="n"/>
      <c r="F57" s="50" t="n"/>
      <c r="G57" s="50" t="n"/>
    </row>
    <row r="58">
      <c r="B58" s="10"/>
      <c r="C58" s="14"/>
      <c r="D58" s="18" t="s">
        <v>1170</v>
      </c>
      <c r="E58" s="51" t="n"/>
      <c r="F58" s="51" t="n"/>
      <c r="G58" s="51" t="n"/>
    </row>
    <row r="59">
      <c r="B59" s="10"/>
      <c r="C59" s="14"/>
      <c r="D59" s="19" t="s">
        <v>1171</v>
      </c>
      <c r="E59" s="50" t="n"/>
      <c r="F59" s="50" t="n"/>
      <c r="G59" s="50" t="n"/>
    </row>
    <row r="60">
      <c r="B60" s="10"/>
      <c r="C60" s="14"/>
      <c r="D60" s="18" t="s">
        <v>1172</v>
      </c>
      <c r="E60" s="51" t="n"/>
      <c r="F60" s="51" t="n"/>
      <c r="G60" s="51" t="n"/>
    </row>
    <row r="61">
      <c r="B61" s="10"/>
      <c r="C61" s="14"/>
      <c r="D61" s="19" t="s">
        <v>1173</v>
      </c>
      <c r="E61" s="50" t="n"/>
      <c r="F61" s="50" t="n"/>
      <c r="G61" s="50" t="n"/>
    </row>
    <row r="62">
      <c r="B62" s="10"/>
      <c r="C62" s="14"/>
      <c r="D62" s="18" t="s">
        <v>1174</v>
      </c>
      <c r="E62" s="51" t="n"/>
      <c r="F62" s="51" t="n"/>
      <c r="G62" s="51" t="n"/>
    </row>
    <row r="63">
      <c r="B63" s="10"/>
      <c r="C63" s="15"/>
      <c r="D63" s="57" t="s">
        <v>1175</v>
      </c>
      <c r="E63" s="50" t="n">
        <f>SUM(E52:E62)</f>
      </c>
      <c r="F63" s="50" t="n">
        <f>SUM(F52:F62)</f>
      </c>
      <c r="G63" s="50" t="n">
        <f>SUM(G52:G62)</f>
      </c>
    </row>
    <row r="64">
      <c r="B64" s="10"/>
      <c r="C64" s="7" t="s">
        <v>1176</v>
      </c>
      <c r="D64" s="9"/>
      <c r="E64" s="23"/>
      <c r="F64" s="23"/>
      <c r="G64" s="23"/>
    </row>
    <row r="65">
      <c r="B65" s="10"/>
      <c r="C65" s="10"/>
      <c r="D65" s="19" t="s">
        <v>1177</v>
      </c>
      <c r="E65" s="50" t="n"/>
      <c r="F65" s="50" t="n"/>
      <c r="G65" s="50" t="n"/>
    </row>
    <row r="66">
      <c r="B66" s="10"/>
      <c r="C66" s="10"/>
      <c r="D66" s="18" t="s">
        <v>1178</v>
      </c>
      <c r="E66" s="51" t="n"/>
      <c r="F66" s="51" t="n"/>
      <c r="G66" s="51" t="n"/>
    </row>
    <row r="67">
      <c r="B67" s="10"/>
      <c r="C67" s="10"/>
      <c r="D67" s="19" t="s">
        <v>1179</v>
      </c>
      <c r="E67" s="50" t="n"/>
      <c r="F67" s="50" t="n"/>
      <c r="G67" s="50" t="n"/>
    </row>
    <row r="68">
      <c r="B68" s="10"/>
      <c r="C68" s="10"/>
      <c r="D68" s="18" t="s">
        <v>1180</v>
      </c>
      <c r="E68" s="51" t="n"/>
      <c r="F68" s="51" t="n"/>
      <c r="G68" s="51" t="n"/>
    </row>
    <row r="69">
      <c r="B69" s="10"/>
      <c r="C69" s="10"/>
      <c r="D69" s="19" t="s">
        <v>1181</v>
      </c>
      <c r="E69" s="50" t="n"/>
      <c r="F69" s="50" t="n"/>
      <c r="G69" s="50" t="n"/>
    </row>
    <row r="70">
      <c r="B70" s="10"/>
      <c r="C70" s="10"/>
      <c r="D70" s="18" t="s">
        <v>1182</v>
      </c>
      <c r="E70" s="51" t="n"/>
      <c r="F70" s="51" t="n"/>
      <c r="G70" s="51" t="n"/>
    </row>
    <row r="71">
      <c r="B71" s="10"/>
      <c r="C71" s="11"/>
      <c r="D71" s="57" t="s">
        <v>1183</v>
      </c>
      <c r="E71" s="50" t="n">
        <f>SUM(E65:E70)</f>
      </c>
      <c r="F71" s="50" t="n">
        <f>SUM(F65:F70)</f>
      </c>
      <c r="G71" s="50" t="n">
        <f>SUM(G65:G70)</f>
      </c>
    </row>
    <row r="72">
      <c r="B72" s="10"/>
      <c r="C72" s="11" t="s">
        <v>1184</v>
      </c>
      <c r="D72" s="9"/>
      <c r="E72" s="51" t="n"/>
      <c r="F72" s="51" t="n"/>
      <c r="G72" s="51" t="n"/>
    </row>
    <row r="73">
      <c r="B73" s="10"/>
      <c r="C73" s="15" t="s">
        <v>1185</v>
      </c>
      <c r="D73" s="13"/>
      <c r="E73" s="50" t="n"/>
      <c r="F73" s="50" t="n"/>
      <c r="G73" s="50" t="n"/>
    </row>
    <row r="74">
      <c r="B74" s="10"/>
      <c r="C74" s="11" t="s">
        <v>1186</v>
      </c>
      <c r="D74" s="9"/>
      <c r="E74" s="51" t="n"/>
      <c r="F74" s="51" t="n"/>
      <c r="G74" s="51" t="n"/>
    </row>
    <row r="75">
      <c r="B75" s="10"/>
      <c r="C75" s="15" t="s">
        <v>1187</v>
      </c>
      <c r="D75" s="13"/>
      <c r="E75" s="50" t="n"/>
      <c r="F75" s="50" t="n"/>
      <c r="G75" s="50" t="n"/>
    </row>
    <row r="76">
      <c r="B76" s="10"/>
      <c r="C76" s="11" t="s">
        <v>1188</v>
      </c>
      <c r="D76" s="9"/>
      <c r="E76" s="51" t="n"/>
      <c r="F76" s="51" t="n"/>
      <c r="G76" s="51" t="n"/>
    </row>
    <row r="77">
      <c r="B77" s="10"/>
      <c r="C77" s="15" t="s">
        <v>1189</v>
      </c>
      <c r="D77" s="13"/>
      <c r="E77" s="50" t="n"/>
      <c r="F77" s="50" t="n"/>
      <c r="G77" s="50" t="n"/>
    </row>
    <row r="78">
      <c r="B78" s="10"/>
      <c r="C78" s="11" t="s">
        <v>1190</v>
      </c>
      <c r="D78" s="9"/>
      <c r="E78" s="51" t="n"/>
      <c r="F78" s="51" t="n"/>
      <c r="G78" s="51" t="n"/>
    </row>
    <row r="79">
      <c r="B79" s="10"/>
      <c r="C79" s="15" t="s">
        <v>1191</v>
      </c>
      <c r="D79" s="13"/>
      <c r="E79" s="50" t="n"/>
      <c r="F79" s="50" t="n"/>
      <c r="G79" s="50" t="n"/>
    </row>
    <row r="80">
      <c r="B80" s="10"/>
      <c r="C80" s="11" t="s">
        <v>1192</v>
      </c>
      <c r="D80" s="9"/>
      <c r="E80" s="51" t="n"/>
      <c r="F80" s="51" t="n"/>
      <c r="G80" s="51" t="n"/>
    </row>
    <row r="81">
      <c r="B81" s="10"/>
      <c r="C81" s="15" t="s">
        <v>1193</v>
      </c>
      <c r="D81" s="13"/>
      <c r="E81" s="50" t="n"/>
      <c r="F81" s="50" t="n"/>
      <c r="G81" s="50" t="n"/>
    </row>
    <row r="82">
      <c r="B82" s="11"/>
      <c r="C82" s="45" t="s">
        <v>1194</v>
      </c>
      <c r="D82" s="44"/>
      <c r="E82" s="52" t="n">
        <f>SUM(E13:E19)+E24+E25+SUM(E33:E35)+E50+E63+SUM(E71:E81)</f>
      </c>
      <c r="F82" s="52" t="n">
        <f>SUM(F13:F19)+F24+F25+SUM(F33:F35)+F50+F63+SUM(F71:F81)</f>
      </c>
      <c r="G82" s="52"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41.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1195</v>
      </c>
    </row>
    <row r="6">
      <c r="B6" t="s" s="1">
        <v>8</v>
      </c>
      <c r="C6" t="s">
        <v>9</v>
      </c>
    </row>
    <row r="7">
      <c r="B7" t="s" s="1">
        <v>10</v>
      </c>
      <c r="C7" t="s">
        <v>9</v>
      </c>
    </row>
    <row r="8">
      <c r="B8" t="s" s="1">
        <v>11</v>
      </c>
      <c r="C8" t="s">
        <v>12</v>
      </c>
    </row>
    <row r="10">
      <c r="E10" t="s" s="4">
        <v>37</v>
      </c>
      <c r="F10" s="29"/>
      <c r="G10" s="30"/>
    </row>
    <row r="11">
      <c r="E11" t="s" s="34">
        <v>1196</v>
      </c>
      <c r="F11" t="s" s="6">
        <v>1197</v>
      </c>
      <c r="G11" s="36"/>
    </row>
    <row r="12">
      <c r="B12" s="7" t="s">
        <v>1124</v>
      </c>
      <c r="C12" s="8"/>
      <c r="D12" s="9"/>
      <c r="E12" s="23"/>
      <c r="F12" s="23"/>
      <c r="G12" s="23"/>
    </row>
    <row r="13">
      <c r="B13" s="10"/>
      <c r="C13" s="15" t="s">
        <v>1125</v>
      </c>
      <c r="D13" s="13"/>
      <c r="E13" s="50" t="n"/>
      <c r="F13" s="50" t="n"/>
      <c r="G13" s="50" t="n"/>
    </row>
    <row r="14">
      <c r="B14" s="10"/>
      <c r="C14" s="11" t="s">
        <v>1126</v>
      </c>
      <c r="D14" s="9"/>
      <c r="E14" s="51" t="n"/>
      <c r="F14" s="51" t="n"/>
      <c r="G14" s="51" t="n"/>
    </row>
    <row r="15">
      <c r="B15" s="10"/>
      <c r="C15" s="15" t="s">
        <v>1127</v>
      </c>
      <c r="D15" s="13"/>
      <c r="E15" s="50" t="n"/>
      <c r="F15" s="50" t="n"/>
      <c r="G15" s="50" t="n"/>
    </row>
    <row r="16">
      <c r="B16" s="10"/>
      <c r="C16" s="11" t="s">
        <v>1128</v>
      </c>
      <c r="D16" s="9"/>
      <c r="E16" s="51" t="n"/>
      <c r="F16" s="51" t="n"/>
      <c r="G16" s="51" t="n"/>
    </row>
    <row r="17">
      <c r="B17" s="10"/>
      <c r="C17" s="15" t="s">
        <v>1129</v>
      </c>
      <c r="D17" s="13"/>
      <c r="E17" s="50" t="n"/>
      <c r="F17" s="50" t="n"/>
      <c r="G17" s="50" t="n"/>
    </row>
    <row r="18">
      <c r="B18" s="10"/>
      <c r="C18" s="11" t="s">
        <v>1130</v>
      </c>
      <c r="D18" s="9"/>
      <c r="E18" s="51" t="n"/>
      <c r="F18" s="51" t="n"/>
      <c r="G18" s="51" t="n"/>
    </row>
    <row r="19">
      <c r="B19" s="10"/>
      <c r="C19" s="15" t="s">
        <v>1131</v>
      </c>
      <c r="D19" s="13"/>
      <c r="E19" s="50" t="n"/>
      <c r="F19" s="50" t="n"/>
      <c r="G19" s="50" t="n"/>
    </row>
    <row r="20">
      <c r="B20" s="10"/>
      <c r="C20" s="7" t="s">
        <v>1132</v>
      </c>
      <c r="D20" s="9"/>
      <c r="E20" s="23"/>
      <c r="F20" s="23"/>
      <c r="G20" s="23"/>
    </row>
    <row r="21">
      <c r="B21" s="10"/>
      <c r="C21" s="10"/>
      <c r="D21" s="19" t="s">
        <v>1133</v>
      </c>
      <c r="E21" s="50" t="n"/>
      <c r="F21" s="50" t="n"/>
      <c r="G21" s="50" t="n"/>
    </row>
    <row r="22">
      <c r="B22" s="10"/>
      <c r="C22" s="10"/>
      <c r="D22" s="18" t="s">
        <v>1134</v>
      </c>
      <c r="E22" s="51" t="n"/>
      <c r="F22" s="51" t="n"/>
      <c r="G22" s="51" t="n"/>
    </row>
    <row r="23">
      <c r="B23" s="10"/>
      <c r="C23" s="10"/>
      <c r="D23" s="19" t="s">
        <v>1135</v>
      </c>
      <c r="E23" s="50" t="n"/>
      <c r="F23" s="50" t="n"/>
      <c r="G23" s="50" t="n"/>
    </row>
    <row r="24">
      <c r="B24" s="10"/>
      <c r="C24" s="11"/>
      <c r="D24" s="65" t="s">
        <v>1136</v>
      </c>
      <c r="E24" s="51" t="n">
        <f>SUM(E21:E23)</f>
      </c>
      <c r="F24" s="51" t="n">
        <f>SUM(F21:F23)</f>
      </c>
      <c r="G24" s="51" t="n">
        <f>SUM(G21:G23)</f>
      </c>
    </row>
    <row r="25">
      <c r="B25" s="10"/>
      <c r="C25" s="15" t="s">
        <v>1137</v>
      </c>
      <c r="D25" s="13"/>
      <c r="E25" s="50" t="n"/>
      <c r="F25" s="50" t="n"/>
      <c r="G25" s="50" t="n"/>
    </row>
    <row r="26">
      <c r="B26" s="10"/>
      <c r="C26" s="7" t="s">
        <v>1138</v>
      </c>
      <c r="D26" s="9"/>
      <c r="E26" s="23"/>
      <c r="F26" s="23"/>
      <c r="G26" s="23"/>
    </row>
    <row r="27">
      <c r="B27" s="10"/>
      <c r="C27" s="10"/>
      <c r="D27" s="19" t="s">
        <v>1139</v>
      </c>
      <c r="E27" s="50" t="n"/>
      <c r="F27" s="50" t="n"/>
      <c r="G27" s="50" t="n"/>
    </row>
    <row r="28">
      <c r="B28" s="10"/>
      <c r="C28" s="10"/>
      <c r="D28" s="18" t="s">
        <v>1140</v>
      </c>
      <c r="E28" s="51" t="n"/>
      <c r="F28" s="51" t="n"/>
      <c r="G28" s="51" t="n"/>
    </row>
    <row r="29">
      <c r="B29" s="10"/>
      <c r="C29" s="10"/>
      <c r="D29" s="19" t="s">
        <v>1141</v>
      </c>
      <c r="E29" s="50" t="n"/>
      <c r="F29" s="50" t="n"/>
      <c r="G29" s="50" t="n"/>
    </row>
    <row r="30">
      <c r="B30" s="10"/>
      <c r="C30" s="10"/>
      <c r="D30" s="18" t="s">
        <v>1142</v>
      </c>
      <c r="E30" s="51" t="n"/>
      <c r="F30" s="51" t="n"/>
      <c r="G30" s="51" t="n"/>
    </row>
    <row r="31">
      <c r="B31" s="10"/>
      <c r="C31" s="10"/>
      <c r="D31" s="19" t="s">
        <v>1143</v>
      </c>
      <c r="E31" s="50" t="n"/>
      <c r="F31" s="50" t="n"/>
      <c r="G31" s="50" t="n"/>
    </row>
    <row r="32">
      <c r="B32" s="10"/>
      <c r="C32" s="10"/>
      <c r="D32" s="18" t="s">
        <v>1144</v>
      </c>
      <c r="E32" s="51" t="n"/>
      <c r="F32" s="51" t="n"/>
      <c r="G32" s="51" t="n"/>
    </row>
    <row r="33">
      <c r="B33" s="10"/>
      <c r="C33" s="11"/>
      <c r="D33" s="57" t="s">
        <v>1145</v>
      </c>
      <c r="E33" s="50" t="n">
        <f>SUM(E27:E32)</f>
      </c>
      <c r="F33" s="50" t="n">
        <f>SUM(F27:F32)</f>
      </c>
      <c r="G33" s="50" t="n">
        <f>SUM(G27:G32)</f>
      </c>
    </row>
    <row r="34">
      <c r="B34" s="10"/>
      <c r="C34" s="11" t="s">
        <v>1146</v>
      </c>
      <c r="D34" s="9"/>
      <c r="E34" s="51" t="n"/>
      <c r="F34" s="51" t="n"/>
      <c r="G34" s="51" t="n"/>
    </row>
    <row r="35">
      <c r="B35" s="10"/>
      <c r="C35" s="15" t="s">
        <v>1147</v>
      </c>
      <c r="D35" s="13"/>
      <c r="E35" s="50" t="n"/>
      <c r="F35" s="50" t="n"/>
      <c r="G35" s="50" t="n"/>
    </row>
    <row r="36">
      <c r="B36" s="10"/>
      <c r="C36" s="7" t="s">
        <v>1148</v>
      </c>
      <c r="D36" s="9"/>
      <c r="E36" s="23"/>
      <c r="F36" s="23"/>
      <c r="G36" s="23"/>
    </row>
    <row r="37">
      <c r="B37" s="10"/>
      <c r="C37" s="10"/>
      <c r="D37" s="19" t="s">
        <v>1149</v>
      </c>
      <c r="E37" s="50" t="n"/>
      <c r="F37" s="50" t="n"/>
      <c r="G37" s="50" t="n"/>
    </row>
    <row r="38">
      <c r="B38" s="10"/>
      <c r="C38" s="10"/>
      <c r="D38" s="18" t="s">
        <v>1150</v>
      </c>
      <c r="E38" s="51" t="n"/>
      <c r="F38" s="51" t="n"/>
      <c r="G38" s="51" t="n"/>
    </row>
    <row r="39">
      <c r="B39" s="10"/>
      <c r="C39" s="10"/>
      <c r="D39" s="19" t="s">
        <v>1151</v>
      </c>
      <c r="E39" s="50" t="n"/>
      <c r="F39" s="50" t="n"/>
      <c r="G39" s="50" t="n"/>
    </row>
    <row r="40">
      <c r="B40" s="10"/>
      <c r="C40" s="10"/>
      <c r="D40" s="18" t="s">
        <v>1152</v>
      </c>
      <c r="E40" s="51" t="n"/>
      <c r="F40" s="51" t="n"/>
      <c r="G40" s="51" t="n"/>
    </row>
    <row r="41">
      <c r="B41" s="10"/>
      <c r="C41" s="10"/>
      <c r="D41" s="19" t="s">
        <v>1153</v>
      </c>
      <c r="E41" s="50" t="n"/>
      <c r="F41" s="50" t="n"/>
      <c r="G41" s="50" t="n"/>
    </row>
    <row r="42">
      <c r="B42" s="10"/>
      <c r="C42" s="10"/>
      <c r="D42" s="18" t="s">
        <v>1154</v>
      </c>
      <c r="E42" s="51" t="n"/>
      <c r="F42" s="51" t="n"/>
      <c r="G42" s="51" t="n"/>
    </row>
    <row r="43">
      <c r="B43" s="10"/>
      <c r="C43" s="10"/>
      <c r="D43" s="19" t="s">
        <v>1155</v>
      </c>
      <c r="E43" s="50" t="n"/>
      <c r="F43" s="50" t="n"/>
      <c r="G43" s="50" t="n"/>
    </row>
    <row r="44">
      <c r="B44" s="10"/>
      <c r="C44" s="10"/>
      <c r="D44" s="18" t="s">
        <v>1156</v>
      </c>
      <c r="E44" s="51" t="n"/>
      <c r="F44" s="51" t="n"/>
      <c r="G44" s="51" t="n"/>
    </row>
    <row r="45">
      <c r="B45" s="10"/>
      <c r="C45" s="10"/>
      <c r="D45" s="19" t="s">
        <v>1157</v>
      </c>
      <c r="E45" s="50" t="n"/>
      <c r="F45" s="50" t="n"/>
      <c r="G45" s="50" t="n"/>
    </row>
    <row r="46">
      <c r="B46" s="10"/>
      <c r="C46" s="10"/>
      <c r="D46" s="18" t="s">
        <v>1158</v>
      </c>
      <c r="E46" s="51" t="n"/>
      <c r="F46" s="51" t="n"/>
      <c r="G46" s="51" t="n"/>
    </row>
    <row r="47">
      <c r="B47" s="10"/>
      <c r="C47" s="10"/>
      <c r="D47" s="19" t="s">
        <v>1159</v>
      </c>
      <c r="E47" s="50" t="n"/>
      <c r="F47" s="50" t="n"/>
      <c r="G47" s="50" t="n"/>
    </row>
    <row r="48">
      <c r="B48" s="10"/>
      <c r="C48" s="10"/>
      <c r="D48" s="18" t="s">
        <v>1160</v>
      </c>
      <c r="E48" s="51" t="n"/>
      <c r="F48" s="51" t="n"/>
      <c r="G48" s="51" t="n"/>
    </row>
    <row r="49">
      <c r="B49" s="10"/>
      <c r="C49" s="10"/>
      <c r="D49" s="19" t="s">
        <v>1161</v>
      </c>
      <c r="E49" s="50" t="n"/>
      <c r="F49" s="50" t="n"/>
      <c r="G49" s="50" t="n"/>
    </row>
    <row r="50">
      <c r="B50" s="10"/>
      <c r="C50" s="11"/>
      <c r="D50" s="65" t="s">
        <v>1162</v>
      </c>
      <c r="E50" s="51" t="n">
        <f>SUM(E37:E49)</f>
      </c>
      <c r="F50" s="51" t="n">
        <f>SUM(F37:F49)</f>
      </c>
      <c r="G50" s="51" t="n">
        <f>SUM(G37:G49)</f>
      </c>
    </row>
    <row r="51">
      <c r="B51" s="10"/>
      <c r="C51" s="12" t="s">
        <v>1163</v>
      </c>
      <c r="D51" s="13"/>
      <c r="E51" s="22"/>
      <c r="F51" s="22"/>
      <c r="G51" s="22"/>
    </row>
    <row r="52">
      <c r="B52" s="10"/>
      <c r="C52" s="14"/>
      <c r="D52" s="18" t="s">
        <v>1164</v>
      </c>
      <c r="E52" s="51" t="n"/>
      <c r="F52" s="51" t="n"/>
      <c r="G52" s="51" t="n"/>
    </row>
    <row r="53">
      <c r="B53" s="10"/>
      <c r="C53" s="14"/>
      <c r="D53" s="19" t="s">
        <v>1165</v>
      </c>
      <c r="E53" s="50" t="n"/>
      <c r="F53" s="50" t="n"/>
      <c r="G53" s="50" t="n"/>
    </row>
    <row r="54">
      <c r="B54" s="10"/>
      <c r="C54" s="14"/>
      <c r="D54" s="18" t="s">
        <v>1166</v>
      </c>
      <c r="E54" s="51" t="n"/>
      <c r="F54" s="51" t="n"/>
      <c r="G54" s="51" t="n"/>
    </row>
    <row r="55">
      <c r="B55" s="10"/>
      <c r="C55" s="14"/>
      <c r="D55" s="19" t="s">
        <v>1167</v>
      </c>
      <c r="E55" s="50" t="n"/>
      <c r="F55" s="50" t="n"/>
      <c r="G55" s="50" t="n"/>
    </row>
    <row r="56">
      <c r="B56" s="10"/>
      <c r="C56" s="14"/>
      <c r="D56" s="18" t="s">
        <v>1168</v>
      </c>
      <c r="E56" s="51" t="n"/>
      <c r="F56" s="51" t="n"/>
      <c r="G56" s="51" t="n"/>
    </row>
    <row r="57">
      <c r="B57" s="10"/>
      <c r="C57" s="14"/>
      <c r="D57" s="19" t="s">
        <v>1169</v>
      </c>
      <c r="E57" s="50" t="n"/>
      <c r="F57" s="50" t="n"/>
      <c r="G57" s="50" t="n"/>
    </row>
    <row r="58">
      <c r="B58" s="10"/>
      <c r="C58" s="14"/>
      <c r="D58" s="18" t="s">
        <v>1170</v>
      </c>
      <c r="E58" s="51" t="n"/>
      <c r="F58" s="51" t="n"/>
      <c r="G58" s="51" t="n"/>
    </row>
    <row r="59">
      <c r="B59" s="10"/>
      <c r="C59" s="14"/>
      <c r="D59" s="19" t="s">
        <v>1171</v>
      </c>
      <c r="E59" s="50" t="n"/>
      <c r="F59" s="50" t="n"/>
      <c r="G59" s="50" t="n"/>
    </row>
    <row r="60">
      <c r="B60" s="10"/>
      <c r="C60" s="14"/>
      <c r="D60" s="18" t="s">
        <v>1172</v>
      </c>
      <c r="E60" s="51" t="n"/>
      <c r="F60" s="51" t="n"/>
      <c r="G60" s="51" t="n"/>
    </row>
    <row r="61">
      <c r="B61" s="10"/>
      <c r="C61" s="14"/>
      <c r="D61" s="19" t="s">
        <v>1173</v>
      </c>
      <c r="E61" s="50" t="n"/>
      <c r="F61" s="50" t="n"/>
      <c r="G61" s="50" t="n"/>
    </row>
    <row r="62">
      <c r="B62" s="10"/>
      <c r="C62" s="14"/>
      <c r="D62" s="18" t="s">
        <v>1174</v>
      </c>
      <c r="E62" s="51" t="n"/>
      <c r="F62" s="51" t="n"/>
      <c r="G62" s="51" t="n"/>
    </row>
    <row r="63">
      <c r="B63" s="10"/>
      <c r="C63" s="15"/>
      <c r="D63" s="57" t="s">
        <v>1175</v>
      </c>
      <c r="E63" s="50" t="n">
        <f>SUM(E52:E62)</f>
      </c>
      <c r="F63" s="50" t="n">
        <f>SUM(F52:F62)</f>
      </c>
      <c r="G63" s="50" t="n">
        <f>SUM(G52:G62)</f>
      </c>
    </row>
    <row r="64">
      <c r="B64" s="10"/>
      <c r="C64" s="7" t="s">
        <v>1176</v>
      </c>
      <c r="D64" s="9"/>
      <c r="E64" s="23"/>
      <c r="F64" s="23"/>
      <c r="G64" s="23"/>
    </row>
    <row r="65">
      <c r="B65" s="10"/>
      <c r="C65" s="10"/>
      <c r="D65" s="19" t="s">
        <v>1177</v>
      </c>
      <c r="E65" s="50" t="n"/>
      <c r="F65" s="50" t="n"/>
      <c r="G65" s="50" t="n"/>
    </row>
    <row r="66">
      <c r="B66" s="10"/>
      <c r="C66" s="10"/>
      <c r="D66" s="18" t="s">
        <v>1178</v>
      </c>
      <c r="E66" s="51" t="n"/>
      <c r="F66" s="51" t="n"/>
      <c r="G66" s="51" t="n"/>
    </row>
    <row r="67">
      <c r="B67" s="10"/>
      <c r="C67" s="10"/>
      <c r="D67" s="19" t="s">
        <v>1179</v>
      </c>
      <c r="E67" s="50" t="n"/>
      <c r="F67" s="50" t="n"/>
      <c r="G67" s="50" t="n"/>
    </row>
    <row r="68">
      <c r="B68" s="10"/>
      <c r="C68" s="10"/>
      <c r="D68" s="18" t="s">
        <v>1180</v>
      </c>
      <c r="E68" s="51" t="n"/>
      <c r="F68" s="51" t="n"/>
      <c r="G68" s="51" t="n"/>
    </row>
    <row r="69">
      <c r="B69" s="10"/>
      <c r="C69" s="10"/>
      <c r="D69" s="19" t="s">
        <v>1181</v>
      </c>
      <c r="E69" s="50" t="n"/>
      <c r="F69" s="50" t="n"/>
      <c r="G69" s="50" t="n"/>
    </row>
    <row r="70">
      <c r="B70" s="10"/>
      <c r="C70" s="10"/>
      <c r="D70" s="18" t="s">
        <v>1182</v>
      </c>
      <c r="E70" s="51" t="n"/>
      <c r="F70" s="51" t="n"/>
      <c r="G70" s="51" t="n"/>
    </row>
    <row r="71">
      <c r="B71" s="10"/>
      <c r="C71" s="11"/>
      <c r="D71" s="57" t="s">
        <v>1183</v>
      </c>
      <c r="E71" s="50" t="n">
        <f>SUM(E65:E70)</f>
      </c>
      <c r="F71" s="50" t="n">
        <f>SUM(F65:F70)</f>
      </c>
      <c r="G71" s="50" t="n">
        <f>SUM(G65:G70)</f>
      </c>
    </row>
    <row r="72">
      <c r="B72" s="10"/>
      <c r="C72" s="11" t="s">
        <v>1184</v>
      </c>
      <c r="D72" s="9"/>
      <c r="E72" s="51" t="n"/>
      <c r="F72" s="51" t="n"/>
      <c r="G72" s="51" t="n"/>
    </row>
    <row r="73">
      <c r="B73" s="10"/>
      <c r="C73" s="15" t="s">
        <v>1185</v>
      </c>
      <c r="D73" s="13"/>
      <c r="E73" s="50" t="n"/>
      <c r="F73" s="50" t="n"/>
      <c r="G73" s="50" t="n"/>
    </row>
    <row r="74">
      <c r="B74" s="10"/>
      <c r="C74" s="11" t="s">
        <v>1186</v>
      </c>
      <c r="D74" s="9"/>
      <c r="E74" s="51" t="n"/>
      <c r="F74" s="51" t="n"/>
      <c r="G74" s="51" t="n"/>
    </row>
    <row r="75">
      <c r="B75" s="10"/>
      <c r="C75" s="15" t="s">
        <v>1187</v>
      </c>
      <c r="D75" s="13"/>
      <c r="E75" s="50" t="n"/>
      <c r="F75" s="50" t="n"/>
      <c r="G75" s="50" t="n"/>
    </row>
    <row r="76">
      <c r="B76" s="10"/>
      <c r="C76" s="11" t="s">
        <v>1188</v>
      </c>
      <c r="D76" s="9"/>
      <c r="E76" s="51" t="n"/>
      <c r="F76" s="51" t="n"/>
      <c r="G76" s="51" t="n"/>
    </row>
    <row r="77">
      <c r="B77" s="10"/>
      <c r="C77" s="15" t="s">
        <v>1189</v>
      </c>
      <c r="D77" s="13"/>
      <c r="E77" s="50" t="n"/>
      <c r="F77" s="50" t="n"/>
      <c r="G77" s="50" t="n"/>
    </row>
    <row r="78">
      <c r="B78" s="10"/>
      <c r="C78" s="11" t="s">
        <v>1190</v>
      </c>
      <c r="D78" s="9"/>
      <c r="E78" s="51" t="n"/>
      <c r="F78" s="51" t="n"/>
      <c r="G78" s="51" t="n"/>
    </row>
    <row r="79">
      <c r="B79" s="10"/>
      <c r="C79" s="15" t="s">
        <v>1191</v>
      </c>
      <c r="D79" s="13"/>
      <c r="E79" s="50" t="n"/>
      <c r="F79" s="50" t="n"/>
      <c r="G79" s="50" t="n"/>
    </row>
    <row r="80">
      <c r="B80" s="10"/>
      <c r="C80" s="11" t="s">
        <v>1192</v>
      </c>
      <c r="D80" s="9"/>
      <c r="E80" s="51" t="n"/>
      <c r="F80" s="51" t="n"/>
      <c r="G80" s="51" t="n"/>
    </row>
    <row r="81">
      <c r="B81" s="10"/>
      <c r="C81" s="15" t="s">
        <v>1193</v>
      </c>
      <c r="D81" s="13"/>
      <c r="E81" s="50" t="n"/>
      <c r="F81" s="50" t="n"/>
      <c r="G81" s="50" t="n"/>
    </row>
    <row r="82">
      <c r="B82" s="11"/>
      <c r="C82" s="45" t="s">
        <v>1194</v>
      </c>
      <c r="D82" s="44"/>
      <c r="E82" s="52" t="n">
        <f>SUM(E13:E19)+E24+E25+SUM(E33:E35)+E50+E63+SUM(E71:E81)</f>
      </c>
      <c r="F82" s="52" t="n">
        <f>SUM(F13:F19)+F24+F25+SUM(F33:F35)+F50+F63+SUM(F71:F81)</f>
      </c>
      <c r="G82" s="52"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42.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1198</v>
      </c>
    </row>
    <row r="6">
      <c r="B6" t="s" s="1">
        <v>8</v>
      </c>
      <c r="C6" t="s">
        <v>9</v>
      </c>
    </row>
    <row r="7">
      <c r="B7" t="s" s="1">
        <v>10</v>
      </c>
      <c r="C7" t="s">
        <v>9</v>
      </c>
    </row>
    <row r="8">
      <c r="B8" t="s" s="1">
        <v>11</v>
      </c>
      <c r="C8" t="s">
        <v>12</v>
      </c>
    </row>
    <row r="10">
      <c r="E10" t="s" s="4">
        <v>38</v>
      </c>
      <c r="F10" s="29"/>
      <c r="G10" s="30"/>
    </row>
    <row r="11">
      <c r="E11" t="s" s="34">
        <v>1199</v>
      </c>
      <c r="F11" t="s" s="6">
        <v>1200</v>
      </c>
      <c r="G11" s="36"/>
    </row>
    <row r="12">
      <c r="B12" s="7" t="s">
        <v>1124</v>
      </c>
      <c r="C12" s="8"/>
      <c r="D12" s="9"/>
      <c r="E12" s="23"/>
      <c r="F12" s="23"/>
      <c r="G12" s="23"/>
    </row>
    <row r="13">
      <c r="B13" s="10"/>
      <c r="C13" s="15" t="s">
        <v>1125</v>
      </c>
      <c r="D13" s="13"/>
      <c r="E13" s="50" t="n"/>
      <c r="F13" s="50" t="n"/>
      <c r="G13" s="50" t="n"/>
    </row>
    <row r="14">
      <c r="B14" s="10"/>
      <c r="C14" s="11" t="s">
        <v>1126</v>
      </c>
      <c r="D14" s="9"/>
      <c r="E14" s="51" t="n"/>
      <c r="F14" s="51" t="n"/>
      <c r="G14" s="51" t="n"/>
    </row>
    <row r="15">
      <c r="B15" s="10"/>
      <c r="C15" s="15" t="s">
        <v>1127</v>
      </c>
      <c r="D15" s="13"/>
      <c r="E15" s="50" t="n"/>
      <c r="F15" s="50" t="n"/>
      <c r="G15" s="50" t="n"/>
    </row>
    <row r="16">
      <c r="B16" s="10"/>
      <c r="C16" s="11" t="s">
        <v>1128</v>
      </c>
      <c r="D16" s="9"/>
      <c r="E16" s="51" t="n"/>
      <c r="F16" s="51" t="n"/>
      <c r="G16" s="51" t="n"/>
    </row>
    <row r="17">
      <c r="B17" s="10"/>
      <c r="C17" s="15" t="s">
        <v>1129</v>
      </c>
      <c r="D17" s="13"/>
      <c r="E17" s="50" t="n"/>
      <c r="F17" s="50" t="n"/>
      <c r="G17" s="50" t="n"/>
    </row>
    <row r="18">
      <c r="B18" s="10"/>
      <c r="C18" s="11" t="s">
        <v>1130</v>
      </c>
      <c r="D18" s="9"/>
      <c r="E18" s="51" t="n"/>
      <c r="F18" s="51" t="n"/>
      <c r="G18" s="51" t="n"/>
    </row>
    <row r="19">
      <c r="B19" s="10"/>
      <c r="C19" s="15" t="s">
        <v>1131</v>
      </c>
      <c r="D19" s="13"/>
      <c r="E19" s="50" t="n"/>
      <c r="F19" s="50" t="n"/>
      <c r="G19" s="50" t="n"/>
    </row>
    <row r="20">
      <c r="B20" s="10"/>
      <c r="C20" s="7" t="s">
        <v>1132</v>
      </c>
      <c r="D20" s="9"/>
      <c r="E20" s="23"/>
      <c r="F20" s="23"/>
      <c r="G20" s="23"/>
    </row>
    <row r="21">
      <c r="B21" s="10"/>
      <c r="C21" s="10"/>
      <c r="D21" s="19" t="s">
        <v>1133</v>
      </c>
      <c r="E21" s="50" t="n"/>
      <c r="F21" s="50" t="n"/>
      <c r="G21" s="50" t="n"/>
    </row>
    <row r="22">
      <c r="B22" s="10"/>
      <c r="C22" s="10"/>
      <c r="D22" s="18" t="s">
        <v>1134</v>
      </c>
      <c r="E22" s="51" t="n"/>
      <c r="F22" s="51" t="n"/>
      <c r="G22" s="51" t="n"/>
    </row>
    <row r="23">
      <c r="B23" s="10"/>
      <c r="C23" s="10"/>
      <c r="D23" s="19" t="s">
        <v>1135</v>
      </c>
      <c r="E23" s="50" t="n"/>
      <c r="F23" s="50" t="n"/>
      <c r="G23" s="50" t="n"/>
    </row>
    <row r="24">
      <c r="B24" s="10"/>
      <c r="C24" s="11"/>
      <c r="D24" s="65" t="s">
        <v>1136</v>
      </c>
      <c r="E24" s="51" t="n">
        <f>SUM(E21:E23)</f>
      </c>
      <c r="F24" s="51" t="n">
        <f>SUM(F21:F23)</f>
      </c>
      <c r="G24" s="51" t="n">
        <f>SUM(G21:G23)</f>
      </c>
    </row>
    <row r="25">
      <c r="B25" s="10"/>
      <c r="C25" s="15" t="s">
        <v>1137</v>
      </c>
      <c r="D25" s="13"/>
      <c r="E25" s="50" t="n"/>
      <c r="F25" s="50" t="n"/>
      <c r="G25" s="50" t="n"/>
    </row>
    <row r="26">
      <c r="B26" s="10"/>
      <c r="C26" s="7" t="s">
        <v>1138</v>
      </c>
      <c r="D26" s="9"/>
      <c r="E26" s="23"/>
      <c r="F26" s="23"/>
      <c r="G26" s="23"/>
    </row>
    <row r="27">
      <c r="B27" s="10"/>
      <c r="C27" s="10"/>
      <c r="D27" s="19" t="s">
        <v>1139</v>
      </c>
      <c r="E27" s="50" t="n"/>
      <c r="F27" s="50" t="n"/>
      <c r="G27" s="50" t="n"/>
    </row>
    <row r="28">
      <c r="B28" s="10"/>
      <c r="C28" s="10"/>
      <c r="D28" s="18" t="s">
        <v>1140</v>
      </c>
      <c r="E28" s="51" t="n"/>
      <c r="F28" s="51" t="n"/>
      <c r="G28" s="51" t="n"/>
    </row>
    <row r="29">
      <c r="B29" s="10"/>
      <c r="C29" s="10"/>
      <c r="D29" s="19" t="s">
        <v>1141</v>
      </c>
      <c r="E29" s="50" t="n"/>
      <c r="F29" s="50" t="n"/>
      <c r="G29" s="50" t="n"/>
    </row>
    <row r="30">
      <c r="B30" s="10"/>
      <c r="C30" s="10"/>
      <c r="D30" s="18" t="s">
        <v>1142</v>
      </c>
      <c r="E30" s="51" t="n"/>
      <c r="F30" s="51" t="n"/>
      <c r="G30" s="51" t="n"/>
    </row>
    <row r="31">
      <c r="B31" s="10"/>
      <c r="C31" s="10"/>
      <c r="D31" s="19" t="s">
        <v>1143</v>
      </c>
      <c r="E31" s="50" t="n"/>
      <c r="F31" s="50" t="n"/>
      <c r="G31" s="50" t="n"/>
    </row>
    <row r="32">
      <c r="B32" s="10"/>
      <c r="C32" s="10"/>
      <c r="D32" s="18" t="s">
        <v>1144</v>
      </c>
      <c r="E32" s="51" t="n"/>
      <c r="F32" s="51" t="n"/>
      <c r="G32" s="51" t="n"/>
    </row>
    <row r="33">
      <c r="B33" s="10"/>
      <c r="C33" s="11"/>
      <c r="D33" s="57" t="s">
        <v>1145</v>
      </c>
      <c r="E33" s="50" t="n">
        <f>SUM(E27:E32)</f>
      </c>
      <c r="F33" s="50" t="n">
        <f>SUM(F27:F32)</f>
      </c>
      <c r="G33" s="50" t="n">
        <f>SUM(G27:G32)</f>
      </c>
    </row>
    <row r="34">
      <c r="B34" s="10"/>
      <c r="C34" s="11" t="s">
        <v>1146</v>
      </c>
      <c r="D34" s="9"/>
      <c r="E34" s="51" t="n"/>
      <c r="F34" s="51" t="n"/>
      <c r="G34" s="51" t="n"/>
    </row>
    <row r="35">
      <c r="B35" s="10"/>
      <c r="C35" s="15" t="s">
        <v>1147</v>
      </c>
      <c r="D35" s="13"/>
      <c r="E35" s="50" t="n"/>
      <c r="F35" s="50" t="n"/>
      <c r="G35" s="50" t="n"/>
    </row>
    <row r="36">
      <c r="B36" s="10"/>
      <c r="C36" s="7" t="s">
        <v>1148</v>
      </c>
      <c r="D36" s="9"/>
      <c r="E36" s="23"/>
      <c r="F36" s="23"/>
      <c r="G36" s="23"/>
    </row>
    <row r="37">
      <c r="B37" s="10"/>
      <c r="C37" s="10"/>
      <c r="D37" s="19" t="s">
        <v>1149</v>
      </c>
      <c r="E37" s="50" t="n"/>
      <c r="F37" s="50" t="n"/>
      <c r="G37" s="50" t="n"/>
    </row>
    <row r="38">
      <c r="B38" s="10"/>
      <c r="C38" s="10"/>
      <c r="D38" s="18" t="s">
        <v>1150</v>
      </c>
      <c r="E38" s="51" t="n"/>
      <c r="F38" s="51" t="n"/>
      <c r="G38" s="51" t="n"/>
    </row>
    <row r="39">
      <c r="B39" s="10"/>
      <c r="C39" s="10"/>
      <c r="D39" s="19" t="s">
        <v>1151</v>
      </c>
      <c r="E39" s="50" t="n"/>
      <c r="F39" s="50" t="n"/>
      <c r="G39" s="50" t="n"/>
    </row>
    <row r="40">
      <c r="B40" s="10"/>
      <c r="C40" s="10"/>
      <c r="D40" s="18" t="s">
        <v>1152</v>
      </c>
      <c r="E40" s="51" t="n"/>
      <c r="F40" s="51" t="n"/>
      <c r="G40" s="51" t="n"/>
    </row>
    <row r="41">
      <c r="B41" s="10"/>
      <c r="C41" s="10"/>
      <c r="D41" s="19" t="s">
        <v>1153</v>
      </c>
      <c r="E41" s="50" t="n"/>
      <c r="F41" s="50" t="n"/>
      <c r="G41" s="50" t="n"/>
    </row>
    <row r="42">
      <c r="B42" s="10"/>
      <c r="C42" s="10"/>
      <c r="D42" s="18" t="s">
        <v>1154</v>
      </c>
      <c r="E42" s="51" t="n"/>
      <c r="F42" s="51" t="n"/>
      <c r="G42" s="51" t="n"/>
    </row>
    <row r="43">
      <c r="B43" s="10"/>
      <c r="C43" s="10"/>
      <c r="D43" s="19" t="s">
        <v>1155</v>
      </c>
      <c r="E43" s="50" t="n"/>
      <c r="F43" s="50" t="n"/>
      <c r="G43" s="50" t="n"/>
    </row>
    <row r="44">
      <c r="B44" s="10"/>
      <c r="C44" s="10"/>
      <c r="D44" s="18" t="s">
        <v>1156</v>
      </c>
      <c r="E44" s="51" t="n"/>
      <c r="F44" s="51" t="n"/>
      <c r="G44" s="51" t="n"/>
    </row>
    <row r="45">
      <c r="B45" s="10"/>
      <c r="C45" s="10"/>
      <c r="D45" s="19" t="s">
        <v>1157</v>
      </c>
      <c r="E45" s="50" t="n"/>
      <c r="F45" s="50" t="n"/>
      <c r="G45" s="50" t="n"/>
    </row>
    <row r="46">
      <c r="B46" s="10"/>
      <c r="C46" s="10"/>
      <c r="D46" s="18" t="s">
        <v>1158</v>
      </c>
      <c r="E46" s="51" t="n"/>
      <c r="F46" s="51" t="n"/>
      <c r="G46" s="51" t="n"/>
    </row>
    <row r="47">
      <c r="B47" s="10"/>
      <c r="C47" s="10"/>
      <c r="D47" s="19" t="s">
        <v>1159</v>
      </c>
      <c r="E47" s="50" t="n"/>
      <c r="F47" s="50" t="n"/>
      <c r="G47" s="50" t="n"/>
    </row>
    <row r="48">
      <c r="B48" s="10"/>
      <c r="C48" s="10"/>
      <c r="D48" s="18" t="s">
        <v>1160</v>
      </c>
      <c r="E48" s="51" t="n"/>
      <c r="F48" s="51" t="n"/>
      <c r="G48" s="51" t="n"/>
    </row>
    <row r="49">
      <c r="B49" s="10"/>
      <c r="C49" s="10"/>
      <c r="D49" s="19" t="s">
        <v>1161</v>
      </c>
      <c r="E49" s="50" t="n"/>
      <c r="F49" s="50" t="n"/>
      <c r="G49" s="50" t="n"/>
    </row>
    <row r="50">
      <c r="B50" s="10"/>
      <c r="C50" s="11"/>
      <c r="D50" s="65" t="s">
        <v>1162</v>
      </c>
      <c r="E50" s="51" t="n">
        <f>SUM(E37:E49)</f>
      </c>
      <c r="F50" s="51" t="n">
        <f>SUM(F37:F49)</f>
      </c>
      <c r="G50" s="51" t="n">
        <f>SUM(G37:G49)</f>
      </c>
    </row>
    <row r="51">
      <c r="B51" s="10"/>
      <c r="C51" s="12" t="s">
        <v>1163</v>
      </c>
      <c r="D51" s="13"/>
      <c r="E51" s="22"/>
      <c r="F51" s="22"/>
      <c r="G51" s="22"/>
    </row>
    <row r="52">
      <c r="B52" s="10"/>
      <c r="C52" s="14"/>
      <c r="D52" s="18" t="s">
        <v>1164</v>
      </c>
      <c r="E52" s="51" t="n"/>
      <c r="F52" s="51" t="n"/>
      <c r="G52" s="51" t="n"/>
    </row>
    <row r="53">
      <c r="B53" s="10"/>
      <c r="C53" s="14"/>
      <c r="D53" s="19" t="s">
        <v>1165</v>
      </c>
      <c r="E53" s="50" t="n"/>
      <c r="F53" s="50" t="n"/>
      <c r="G53" s="50" t="n"/>
    </row>
    <row r="54">
      <c r="B54" s="10"/>
      <c r="C54" s="14"/>
      <c r="D54" s="18" t="s">
        <v>1166</v>
      </c>
      <c r="E54" s="51" t="n"/>
      <c r="F54" s="51" t="n"/>
      <c r="G54" s="51" t="n"/>
    </row>
    <row r="55">
      <c r="B55" s="10"/>
      <c r="C55" s="14"/>
      <c r="D55" s="19" t="s">
        <v>1167</v>
      </c>
      <c r="E55" s="50" t="n"/>
      <c r="F55" s="50" t="n"/>
      <c r="G55" s="50" t="n"/>
    </row>
    <row r="56">
      <c r="B56" s="10"/>
      <c r="C56" s="14"/>
      <c r="D56" s="18" t="s">
        <v>1168</v>
      </c>
      <c r="E56" s="51" t="n"/>
      <c r="F56" s="51" t="n"/>
      <c r="G56" s="51" t="n"/>
    </row>
    <row r="57">
      <c r="B57" s="10"/>
      <c r="C57" s="14"/>
      <c r="D57" s="19" t="s">
        <v>1169</v>
      </c>
      <c r="E57" s="50" t="n"/>
      <c r="F57" s="50" t="n"/>
      <c r="G57" s="50" t="n"/>
    </row>
    <row r="58">
      <c r="B58" s="10"/>
      <c r="C58" s="14"/>
      <c r="D58" s="18" t="s">
        <v>1170</v>
      </c>
      <c r="E58" s="51" t="n"/>
      <c r="F58" s="51" t="n"/>
      <c r="G58" s="51" t="n"/>
    </row>
    <row r="59">
      <c r="B59" s="10"/>
      <c r="C59" s="14"/>
      <c r="D59" s="19" t="s">
        <v>1171</v>
      </c>
      <c r="E59" s="50" t="n"/>
      <c r="F59" s="50" t="n"/>
      <c r="G59" s="50" t="n"/>
    </row>
    <row r="60">
      <c r="B60" s="10"/>
      <c r="C60" s="14"/>
      <c r="D60" s="18" t="s">
        <v>1172</v>
      </c>
      <c r="E60" s="51" t="n"/>
      <c r="F60" s="51" t="n"/>
      <c r="G60" s="51" t="n"/>
    </row>
    <row r="61">
      <c r="B61" s="10"/>
      <c r="C61" s="14"/>
      <c r="D61" s="19" t="s">
        <v>1173</v>
      </c>
      <c r="E61" s="50" t="n"/>
      <c r="F61" s="50" t="n"/>
      <c r="G61" s="50" t="n"/>
    </row>
    <row r="62">
      <c r="B62" s="10"/>
      <c r="C62" s="14"/>
      <c r="D62" s="18" t="s">
        <v>1174</v>
      </c>
      <c r="E62" s="51" t="n"/>
      <c r="F62" s="51" t="n"/>
      <c r="G62" s="51" t="n"/>
    </row>
    <row r="63">
      <c r="B63" s="10"/>
      <c r="C63" s="15"/>
      <c r="D63" s="57" t="s">
        <v>1175</v>
      </c>
      <c r="E63" s="50" t="n">
        <f>SUM(E52:E62)</f>
      </c>
      <c r="F63" s="50" t="n">
        <f>SUM(F52:F62)</f>
      </c>
      <c r="G63" s="50" t="n">
        <f>SUM(G52:G62)</f>
      </c>
    </row>
    <row r="64">
      <c r="B64" s="10"/>
      <c r="C64" s="7" t="s">
        <v>1176</v>
      </c>
      <c r="D64" s="9"/>
      <c r="E64" s="23"/>
      <c r="F64" s="23"/>
      <c r="G64" s="23"/>
    </row>
    <row r="65">
      <c r="B65" s="10"/>
      <c r="C65" s="10"/>
      <c r="D65" s="19" t="s">
        <v>1177</v>
      </c>
      <c r="E65" s="50" t="n"/>
      <c r="F65" s="50" t="n"/>
      <c r="G65" s="50" t="n"/>
    </row>
    <row r="66">
      <c r="B66" s="10"/>
      <c r="C66" s="10"/>
      <c r="D66" s="18" t="s">
        <v>1178</v>
      </c>
      <c r="E66" s="51" t="n"/>
      <c r="F66" s="51" t="n"/>
      <c r="G66" s="51" t="n"/>
    </row>
    <row r="67">
      <c r="B67" s="10"/>
      <c r="C67" s="10"/>
      <c r="D67" s="19" t="s">
        <v>1179</v>
      </c>
      <c r="E67" s="50" t="n"/>
      <c r="F67" s="50" t="n"/>
      <c r="G67" s="50" t="n"/>
    </row>
    <row r="68">
      <c r="B68" s="10"/>
      <c r="C68" s="10"/>
      <c r="D68" s="18" t="s">
        <v>1180</v>
      </c>
      <c r="E68" s="51" t="n"/>
      <c r="F68" s="51" t="n"/>
      <c r="G68" s="51" t="n"/>
    </row>
    <row r="69">
      <c r="B69" s="10"/>
      <c r="C69" s="10"/>
      <c r="D69" s="19" t="s">
        <v>1181</v>
      </c>
      <c r="E69" s="50" t="n"/>
      <c r="F69" s="50" t="n"/>
      <c r="G69" s="50" t="n"/>
    </row>
    <row r="70">
      <c r="B70" s="10"/>
      <c r="C70" s="10"/>
      <c r="D70" s="18" t="s">
        <v>1182</v>
      </c>
      <c r="E70" s="51" t="n"/>
      <c r="F70" s="51" t="n"/>
      <c r="G70" s="51" t="n"/>
    </row>
    <row r="71">
      <c r="B71" s="10"/>
      <c r="C71" s="11"/>
      <c r="D71" s="57" t="s">
        <v>1183</v>
      </c>
      <c r="E71" s="50" t="n">
        <f>SUM(E65:E70)</f>
      </c>
      <c r="F71" s="50" t="n">
        <f>SUM(F65:F70)</f>
      </c>
      <c r="G71" s="50" t="n">
        <f>SUM(G65:G70)</f>
      </c>
    </row>
    <row r="72">
      <c r="B72" s="10"/>
      <c r="C72" s="11" t="s">
        <v>1184</v>
      </c>
      <c r="D72" s="9"/>
      <c r="E72" s="51" t="n"/>
      <c r="F72" s="51" t="n"/>
      <c r="G72" s="51" t="n"/>
    </row>
    <row r="73">
      <c r="B73" s="10"/>
      <c r="C73" s="15" t="s">
        <v>1185</v>
      </c>
      <c r="D73" s="13"/>
      <c r="E73" s="50" t="n"/>
      <c r="F73" s="50" t="n"/>
      <c r="G73" s="50" t="n"/>
    </row>
    <row r="74">
      <c r="B74" s="10"/>
      <c r="C74" s="11" t="s">
        <v>1186</v>
      </c>
      <c r="D74" s="9"/>
      <c r="E74" s="51" t="n"/>
      <c r="F74" s="51" t="n"/>
      <c r="G74" s="51" t="n"/>
    </row>
    <row r="75">
      <c r="B75" s="10"/>
      <c r="C75" s="15" t="s">
        <v>1187</v>
      </c>
      <c r="D75" s="13"/>
      <c r="E75" s="50" t="n"/>
      <c r="F75" s="50" t="n"/>
      <c r="G75" s="50" t="n"/>
    </row>
    <row r="76">
      <c r="B76" s="10"/>
      <c r="C76" s="11" t="s">
        <v>1188</v>
      </c>
      <c r="D76" s="9"/>
      <c r="E76" s="51" t="n"/>
      <c r="F76" s="51" t="n"/>
      <c r="G76" s="51" t="n"/>
    </row>
    <row r="77">
      <c r="B77" s="10"/>
      <c r="C77" s="15" t="s">
        <v>1189</v>
      </c>
      <c r="D77" s="13"/>
      <c r="E77" s="50" t="n"/>
      <c r="F77" s="50" t="n"/>
      <c r="G77" s="50" t="n"/>
    </row>
    <row r="78">
      <c r="B78" s="10"/>
      <c r="C78" s="11" t="s">
        <v>1190</v>
      </c>
      <c r="D78" s="9"/>
      <c r="E78" s="51" t="n"/>
      <c r="F78" s="51" t="n"/>
      <c r="G78" s="51" t="n"/>
    </row>
    <row r="79">
      <c r="B79" s="10"/>
      <c r="C79" s="15" t="s">
        <v>1191</v>
      </c>
      <c r="D79" s="13"/>
      <c r="E79" s="50" t="n"/>
      <c r="F79" s="50" t="n"/>
      <c r="G79" s="50" t="n"/>
    </row>
    <row r="80">
      <c r="B80" s="10"/>
      <c r="C80" s="11" t="s">
        <v>1192</v>
      </c>
      <c r="D80" s="9"/>
      <c r="E80" s="51" t="n"/>
      <c r="F80" s="51" t="n"/>
      <c r="G80" s="51" t="n"/>
    </row>
    <row r="81">
      <c r="B81" s="10"/>
      <c r="C81" s="15" t="s">
        <v>1193</v>
      </c>
      <c r="D81" s="13"/>
      <c r="E81" s="50" t="n"/>
      <c r="F81" s="50" t="n"/>
      <c r="G81" s="50" t="n"/>
    </row>
    <row r="82">
      <c r="B82" s="11"/>
      <c r="C82" s="45" t="s">
        <v>1194</v>
      </c>
      <c r="D82" s="44"/>
      <c r="E82" s="52" t="n">
        <f>SUM(E13:E19)+E24+E25+SUM(E33:E35)+E50+E63+SUM(E71:E81)</f>
      </c>
      <c r="F82" s="52" t="n">
        <f>SUM(F13:F19)+F24+F25+SUM(F33:F35)+F50+F63+SUM(F71:F81)</f>
      </c>
      <c r="G82" s="52"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43.xml><?xml version="1.0" encoding="utf-8"?>
<worksheet xmlns="http://schemas.openxmlformats.org/spreadsheetml/2006/main">
  <dimension ref="B2:AI84"/>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s>
  <sheetData>
    <row r="2">
      <c r="B2" t="s" s="2">
        <v>1</v>
      </c>
    </row>
    <row r="3">
      <c r="B3" t="s" s="1">
        <v>3</v>
      </c>
      <c r="C3" t="s">
        <v>4</v>
      </c>
    </row>
    <row r="4">
      <c r="B4" s="1" t="s">
        <v>5</v>
      </c>
      <c r="C4" t="s">
        <v>6</v>
      </c>
    </row>
    <row r="5">
      <c r="B5" t="s" s="1">
        <v>7</v>
      </c>
      <c r="C5" t="s">
        <v>1201</v>
      </c>
    </row>
    <row r="6">
      <c r="B6" t="s" s="1">
        <v>8</v>
      </c>
      <c r="C6" t="s">
        <v>9</v>
      </c>
    </row>
    <row r="7">
      <c r="B7" t="s" s="1">
        <v>10</v>
      </c>
      <c r="C7" t="s">
        <v>9</v>
      </c>
    </row>
    <row r="8">
      <c r="B8" t="s" s="1">
        <v>11</v>
      </c>
      <c r="C8" t="s">
        <v>12</v>
      </c>
    </row>
    <row r="10">
      <c r="E10" t="s" s="4">
        <v>39</v>
      </c>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30"/>
    </row>
    <row r="11">
      <c r="E11" t="s" s="32">
        <v>1202</v>
      </c>
      <c r="F11" s="61"/>
      <c r="G11" s="61"/>
      <c r="H11" s="61"/>
      <c r="I11" s="61"/>
      <c r="J11" s="61"/>
      <c r="K11" s="61"/>
      <c r="L11" s="61"/>
      <c r="M11" s="61"/>
      <c r="N11" s="61"/>
      <c r="O11" s="61"/>
      <c r="P11" s="61"/>
      <c r="Q11" s="61"/>
      <c r="R11" s="61"/>
      <c r="S11" s="62"/>
      <c r="T11" t="s" s="4">
        <v>1217</v>
      </c>
      <c r="U11" s="29"/>
      <c r="V11" s="29"/>
      <c r="W11" s="29"/>
      <c r="X11" s="29"/>
      <c r="Y11" s="29"/>
      <c r="Z11" s="29"/>
      <c r="AA11" s="29"/>
      <c r="AB11" s="29"/>
      <c r="AC11" s="29"/>
      <c r="AD11" s="29"/>
      <c r="AE11" s="30"/>
      <c r="AF11" t="s" s="5">
        <v>1226</v>
      </c>
      <c r="AG11" t="s" s="33">
        <v>1227</v>
      </c>
      <c r="AH11" s="64"/>
    </row>
    <row r="12">
      <c r="E12" t="s" s="4">
        <v>1203</v>
      </c>
      <c r="F12" s="29"/>
      <c r="G12" s="30"/>
      <c r="H12" t="s" s="32">
        <v>1206</v>
      </c>
      <c r="I12" s="61"/>
      <c r="J12" s="62"/>
      <c r="K12" t="s" s="4">
        <v>1209</v>
      </c>
      <c r="L12" s="29"/>
      <c r="M12" s="30"/>
      <c r="N12" t="s" s="32">
        <v>1212</v>
      </c>
      <c r="O12" s="61"/>
      <c r="P12" s="62"/>
      <c r="Q12" t="s" s="5">
        <v>1215</v>
      </c>
      <c r="R12" t="s" s="33">
        <v>1216</v>
      </c>
      <c r="S12" s="60"/>
      <c r="T12" t="s" s="32">
        <v>1203</v>
      </c>
      <c r="U12" s="61"/>
      <c r="V12" s="62"/>
      <c r="W12" t="s" s="4">
        <v>1209</v>
      </c>
      <c r="X12" s="29"/>
      <c r="Y12" s="30"/>
      <c r="Z12" t="s" s="32">
        <v>1212</v>
      </c>
      <c r="AA12" s="61"/>
      <c r="AB12" s="62"/>
      <c r="AC12" t="s" s="5">
        <v>1224</v>
      </c>
      <c r="AD12" t="s" s="33">
        <v>1225</v>
      </c>
      <c r="AE12" s="31"/>
      <c r="AF12" s="31"/>
      <c r="AG12" s="60"/>
      <c r="AH12" s="64"/>
    </row>
    <row r="13" ht="28.0" customHeight="true">
      <c r="E13" t="s" s="34">
        <v>1204</v>
      </c>
      <c r="F13" t="s" s="6">
        <v>1205</v>
      </c>
      <c r="G13" s="35"/>
      <c r="H13" t="s" s="6">
        <v>1207</v>
      </c>
      <c r="I13" t="s" s="34">
        <v>1208</v>
      </c>
      <c r="J13" s="63"/>
      <c r="K13" t="s" s="34">
        <v>1210</v>
      </c>
      <c r="L13" t="s" s="6">
        <v>1211</v>
      </c>
      <c r="M13" s="35"/>
      <c r="N13" t="s" s="6">
        <v>1213</v>
      </c>
      <c r="O13" t="s" s="34">
        <v>1214</v>
      </c>
      <c r="P13" s="63"/>
      <c r="Q13" s="35"/>
      <c r="R13" s="63"/>
      <c r="S13" s="63"/>
      <c r="T13" t="s" s="6">
        <v>1218</v>
      </c>
      <c r="U13" t="s" s="34">
        <v>1219</v>
      </c>
      <c r="V13" s="63"/>
      <c r="W13" t="s" s="34">
        <v>1220</v>
      </c>
      <c r="X13" t="s" s="6">
        <v>1221</v>
      </c>
      <c r="Y13" s="35"/>
      <c r="Z13" t="s" s="6">
        <v>1222</v>
      </c>
      <c r="AA13" t="s" s="34">
        <v>1223</v>
      </c>
      <c r="AB13" s="63"/>
      <c r="AC13" s="35"/>
      <c r="AD13" s="63"/>
      <c r="AE13" s="35"/>
      <c r="AF13" s="35"/>
      <c r="AG13" s="63"/>
      <c r="AH13" s="36"/>
    </row>
    <row r="14">
      <c r="B14" s="7" t="s">
        <v>1124</v>
      </c>
      <c r="C14" s="8"/>
      <c r="D14" s="9"/>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row>
    <row r="15">
      <c r="B15" s="10"/>
      <c r="C15" s="15" t="s">
        <v>1125</v>
      </c>
      <c r="D15" s="13"/>
      <c r="E15" s="50" t="n"/>
      <c r="F15" s="50" t="n"/>
      <c r="G15" s="50" t="n"/>
      <c r="H15" s="50" t="n"/>
      <c r="I15" s="50" t="n"/>
      <c r="J15" s="50" t="n"/>
      <c r="K15" s="50" t="n"/>
      <c r="L15" s="50" t="n"/>
      <c r="M15" s="50" t="n"/>
      <c r="N15" s="50" t="n"/>
      <c r="O15" s="50" t="n"/>
      <c r="P15" s="50" t="n"/>
      <c r="Q15" s="50" t="n"/>
      <c r="R15" s="50" t="n"/>
      <c r="S15" s="50" t="n"/>
      <c r="T15" s="50" t="n"/>
      <c r="U15" s="50" t="n"/>
      <c r="V15" s="50" t="n"/>
      <c r="W15" s="50" t="n"/>
      <c r="X15" s="50" t="n"/>
      <c r="Y15" s="50" t="n"/>
      <c r="Z15" s="50" t="n"/>
      <c r="AA15" s="50" t="n"/>
      <c r="AB15" s="50" t="n"/>
      <c r="AC15" s="50" t="n"/>
      <c r="AD15" s="50" t="n"/>
      <c r="AE15" s="50" t="n"/>
      <c r="AF15" s="50" t="n"/>
      <c r="AG15" s="50" t="n"/>
      <c r="AH15" s="50" t="n"/>
    </row>
    <row r="16">
      <c r="B16" s="10"/>
      <c r="C16" s="11" t="s">
        <v>1126</v>
      </c>
      <c r="D16" s="9"/>
      <c r="E16" s="51" t="n"/>
      <c r="F16" s="51" t="n"/>
      <c r="G16" s="51" t="n"/>
      <c r="H16" s="51" t="n"/>
      <c r="I16" s="51" t="n"/>
      <c r="J16" s="51" t="n"/>
      <c r="K16" s="51" t="n"/>
      <c r="L16" s="51" t="n"/>
      <c r="M16" s="51" t="n"/>
      <c r="N16" s="51"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row>
    <row r="17">
      <c r="B17" s="10"/>
      <c r="C17" s="15" t="s">
        <v>1127</v>
      </c>
      <c r="D17" s="13"/>
      <c r="E17" s="50" t="n"/>
      <c r="F17" s="50" t="n"/>
      <c r="G17" s="50" t="n"/>
      <c r="H17" s="50" t="n"/>
      <c r="I17" s="50" t="n"/>
      <c r="J17" s="50" t="n"/>
      <c r="K17" s="50" t="n"/>
      <c r="L17" s="50" t="n"/>
      <c r="M17" s="50" t="n"/>
      <c r="N17" s="50" t="n"/>
      <c r="O17" s="50" t="n"/>
      <c r="P17" s="50" t="n"/>
      <c r="Q17" s="50" t="n"/>
      <c r="R17" s="50" t="n"/>
      <c r="S17" s="50" t="n"/>
      <c r="T17" s="50" t="n"/>
      <c r="U17" s="50" t="n"/>
      <c r="V17" s="50" t="n"/>
      <c r="W17" s="50" t="n"/>
      <c r="X17" s="50" t="n"/>
      <c r="Y17" s="50" t="n"/>
      <c r="Z17" s="50" t="n"/>
      <c r="AA17" s="50" t="n"/>
      <c r="AB17" s="50" t="n"/>
      <c r="AC17" s="50" t="n"/>
      <c r="AD17" s="50" t="n"/>
      <c r="AE17" s="50" t="n"/>
      <c r="AF17" s="50" t="n"/>
      <c r="AG17" s="50" t="n"/>
      <c r="AH17" s="50" t="n"/>
    </row>
    <row r="18">
      <c r="B18" s="10"/>
      <c r="C18" s="11" t="s">
        <v>1128</v>
      </c>
      <c r="D18" s="9"/>
      <c r="E18" s="51" t="n"/>
      <c r="F18" s="51" t="n"/>
      <c r="G18" s="51" t="n"/>
      <c r="H18" s="51" t="n"/>
      <c r="I18" s="51" t="n"/>
      <c r="J18" s="51" t="n"/>
      <c r="K18" s="51" t="n"/>
      <c r="L18" s="51" t="n"/>
      <c r="M18" s="51" t="n"/>
      <c r="N18" s="51" t="n"/>
      <c r="O18" s="51" t="n"/>
      <c r="P18" s="51" t="n"/>
      <c r="Q18" s="51" t="n"/>
      <c r="R18" s="51" t="n"/>
      <c r="S18" s="51" t="n"/>
      <c r="T18" s="51" t="n"/>
      <c r="U18" s="51" t="n"/>
      <c r="V18" s="51" t="n"/>
      <c r="W18" s="51" t="n"/>
      <c r="X18" s="51" t="n"/>
      <c r="Y18" s="51" t="n"/>
      <c r="Z18" s="51" t="n"/>
      <c r="AA18" s="51" t="n"/>
      <c r="AB18" s="51" t="n"/>
      <c r="AC18" s="51" t="n"/>
      <c r="AD18" s="51" t="n"/>
      <c r="AE18" s="51" t="n"/>
      <c r="AF18" s="51" t="n"/>
      <c r="AG18" s="51" t="n"/>
      <c r="AH18" s="51" t="n"/>
    </row>
    <row r="19">
      <c r="B19" s="10"/>
      <c r="C19" s="15" t="s">
        <v>1129</v>
      </c>
      <c r="D19" s="13"/>
      <c r="E19" s="50" t="n"/>
      <c r="F19" s="50" t="n"/>
      <c r="G19" s="50" t="n"/>
      <c r="H19" s="50" t="n"/>
      <c r="I19" s="50" t="n"/>
      <c r="J19" s="50" t="n"/>
      <c r="K19" s="50" t="n"/>
      <c r="L19" s="50" t="n"/>
      <c r="M19" s="50" t="n"/>
      <c r="N19" s="50" t="n"/>
      <c r="O19" s="50" t="n"/>
      <c r="P19" s="50" t="n"/>
      <c r="Q19" s="50" t="n"/>
      <c r="R19" s="50" t="n"/>
      <c r="S19" s="50" t="n"/>
      <c r="T19" s="50" t="n"/>
      <c r="U19" s="50" t="n"/>
      <c r="V19" s="50" t="n"/>
      <c r="W19" s="50" t="n"/>
      <c r="X19" s="50" t="n"/>
      <c r="Y19" s="50" t="n"/>
      <c r="Z19" s="50" t="n"/>
      <c r="AA19" s="50" t="n"/>
      <c r="AB19" s="50" t="n"/>
      <c r="AC19" s="50" t="n"/>
      <c r="AD19" s="50" t="n"/>
      <c r="AE19" s="50" t="n"/>
      <c r="AF19" s="50" t="n"/>
      <c r="AG19" s="50" t="n"/>
      <c r="AH19" s="50" t="n"/>
    </row>
    <row r="20">
      <c r="B20" s="10"/>
      <c r="C20" s="11" t="s">
        <v>1130</v>
      </c>
      <c r="D20" s="9"/>
      <c r="E20" s="51" t="n"/>
      <c r="F20" s="51" t="n"/>
      <c r="G20" s="51" t="n"/>
      <c r="H20" s="51" t="n"/>
      <c r="I20" s="51" t="n"/>
      <c r="J20" s="51" t="n"/>
      <c r="K20" s="51" t="n"/>
      <c r="L20" s="51" t="n"/>
      <c r="M20" s="51" t="n"/>
      <c r="N20" s="51" t="n"/>
      <c r="O20" s="51" t="n"/>
      <c r="P20" s="51" t="n"/>
      <c r="Q20" s="51" t="n"/>
      <c r="R20" s="51" t="n"/>
      <c r="S20" s="51" t="n"/>
      <c r="T20" s="51" t="n"/>
      <c r="U20" s="51" t="n"/>
      <c r="V20" s="51" t="n"/>
      <c r="W20" s="51" t="n"/>
      <c r="X20" s="51" t="n"/>
      <c r="Y20" s="51" t="n"/>
      <c r="Z20" s="51" t="n"/>
      <c r="AA20" s="51" t="n"/>
      <c r="AB20" s="51" t="n"/>
      <c r="AC20" s="51" t="n"/>
      <c r="AD20" s="51" t="n"/>
      <c r="AE20" s="51" t="n"/>
      <c r="AF20" s="51" t="n"/>
      <c r="AG20" s="51" t="n"/>
      <c r="AH20" s="51" t="n"/>
    </row>
    <row r="21">
      <c r="B21" s="10"/>
      <c r="C21" s="15" t="s">
        <v>1131</v>
      </c>
      <c r="D21" s="13"/>
      <c r="E21" s="50" t="n"/>
      <c r="F21" s="50" t="n"/>
      <c r="G21" s="50" t="n"/>
      <c r="H21" s="50" t="n"/>
      <c r="I21" s="50" t="n"/>
      <c r="J21" s="50" t="n"/>
      <c r="K21" s="50" t="n"/>
      <c r="L21" s="50" t="n"/>
      <c r="M21" s="50" t="n"/>
      <c r="N21" s="50" t="n"/>
      <c r="O21" s="50" t="n"/>
      <c r="P21" s="50" t="n"/>
      <c r="Q21" s="50" t="n"/>
      <c r="R21" s="50" t="n"/>
      <c r="S21" s="50" t="n"/>
      <c r="T21" s="50" t="n"/>
      <c r="U21" s="50" t="n"/>
      <c r="V21" s="50" t="n"/>
      <c r="W21" s="50" t="n"/>
      <c r="X21" s="50" t="n"/>
      <c r="Y21" s="50" t="n"/>
      <c r="Z21" s="50" t="n"/>
      <c r="AA21" s="50" t="n"/>
      <c r="AB21" s="50" t="n"/>
      <c r="AC21" s="50" t="n"/>
      <c r="AD21" s="50" t="n"/>
      <c r="AE21" s="50" t="n"/>
      <c r="AF21" s="50" t="n"/>
      <c r="AG21" s="50" t="n"/>
      <c r="AH21" s="50" t="n"/>
    </row>
    <row r="22">
      <c r="B22" s="10"/>
      <c r="C22" s="7" t="s">
        <v>1132</v>
      </c>
      <c r="D22" s="9"/>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row>
    <row r="23">
      <c r="B23" s="10"/>
      <c r="C23" s="10"/>
      <c r="D23" s="19" t="s">
        <v>1133</v>
      </c>
      <c r="E23" s="50" t="n"/>
      <c r="F23" s="50" t="n"/>
      <c r="G23" s="50" t="n"/>
      <c r="H23" s="50" t="n"/>
      <c r="I23" s="50" t="n"/>
      <c r="J23" s="50" t="n"/>
      <c r="K23" s="50" t="n"/>
      <c r="L23" s="50" t="n"/>
      <c r="M23" s="50" t="n"/>
      <c r="N23" s="50" t="n"/>
      <c r="O23" s="50" t="n"/>
      <c r="P23" s="50" t="n"/>
      <c r="Q23" s="50" t="n"/>
      <c r="R23" s="50" t="n"/>
      <c r="S23" s="50" t="n"/>
      <c r="T23" s="50" t="n"/>
      <c r="U23" s="50" t="n"/>
      <c r="V23" s="50" t="n"/>
      <c r="W23" s="50" t="n"/>
      <c r="X23" s="50" t="n"/>
      <c r="Y23" s="50" t="n"/>
      <c r="Z23" s="50" t="n"/>
      <c r="AA23" s="50" t="n"/>
      <c r="AB23" s="50" t="n"/>
      <c r="AC23" s="50" t="n"/>
      <c r="AD23" s="50" t="n"/>
      <c r="AE23" s="50" t="n"/>
      <c r="AF23" s="50" t="n"/>
      <c r="AG23" s="50" t="n"/>
      <c r="AH23" s="50" t="n"/>
    </row>
    <row r="24">
      <c r="B24" s="10"/>
      <c r="C24" s="10"/>
      <c r="D24" s="18" t="s">
        <v>1134</v>
      </c>
      <c r="E24" s="51" t="n"/>
      <c r="F24" s="51" t="n"/>
      <c r="G24" s="51" t="n"/>
      <c r="H24" s="51" t="n"/>
      <c r="I24" s="51" t="n"/>
      <c r="J24" s="51" t="n"/>
      <c r="K24" s="51" t="n"/>
      <c r="L24" s="51" t="n"/>
      <c r="M24" s="51" t="n"/>
      <c r="N24" s="51" t="n"/>
      <c r="O24" s="51" t="n"/>
      <c r="P24" s="51" t="n"/>
      <c r="Q24" s="51" t="n"/>
      <c r="R24" s="51" t="n"/>
      <c r="S24" s="51" t="n"/>
      <c r="T24" s="51" t="n"/>
      <c r="U24" s="51" t="n"/>
      <c r="V24" s="51" t="n"/>
      <c r="W24" s="51" t="n"/>
      <c r="X24" s="51" t="n"/>
      <c r="Y24" s="51" t="n"/>
      <c r="Z24" s="51" t="n"/>
      <c r="AA24" s="51" t="n"/>
      <c r="AB24" s="51" t="n"/>
      <c r="AC24" s="51" t="n"/>
      <c r="AD24" s="51" t="n"/>
      <c r="AE24" s="51" t="n"/>
      <c r="AF24" s="51" t="n"/>
      <c r="AG24" s="51" t="n"/>
      <c r="AH24" s="51" t="n"/>
    </row>
    <row r="25">
      <c r="B25" s="10"/>
      <c r="C25" s="10"/>
      <c r="D25" s="19" t="s">
        <v>1135</v>
      </c>
      <c r="E25" s="50" t="n"/>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row>
    <row r="26">
      <c r="B26" s="10"/>
      <c r="C26" s="11"/>
      <c r="D26" s="65" t="s">
        <v>1136</v>
      </c>
      <c r="E26" s="51" t="n">
        <f>SUM(E23:E25)</f>
      </c>
      <c r="F26" s="51" t="n">
        <f>SUM(F23:F25)</f>
      </c>
      <c r="G26" s="51" t="n">
        <f>SUM(G23:G25)</f>
      </c>
      <c r="H26" s="51" t="n">
        <f>SUM(H23:H25)</f>
      </c>
      <c r="I26" s="51" t="n">
        <f>SUM(I23:I25)</f>
      </c>
      <c r="J26" s="51" t="n">
        <f>SUM(J23:J25)</f>
      </c>
      <c r="K26" s="51" t="n">
        <f>SUM(K23:K25)</f>
      </c>
      <c r="L26" s="51" t="n">
        <f>SUM(L23:L25)</f>
      </c>
      <c r="M26" s="51" t="n">
        <f>SUM(M23:M25)</f>
      </c>
      <c r="N26" s="51" t="n">
        <f>SUM(N23:N25)</f>
      </c>
      <c r="O26" s="51" t="n">
        <f>SUM(O23:O25)</f>
      </c>
      <c r="P26" s="51" t="n">
        <f>SUM(P23:P25)</f>
      </c>
      <c r="Q26" s="51" t="n">
        <f>SUM(Q23:Q25)</f>
      </c>
      <c r="R26" s="51" t="n">
        <f>SUM(R23:R25)</f>
      </c>
      <c r="S26" s="51" t="n">
        <f>SUM(S23:S25)</f>
      </c>
      <c r="T26" s="51" t="n">
        <f>SUM(T23:T25)</f>
      </c>
      <c r="U26" s="51" t="n">
        <f>SUM(U23:U25)</f>
      </c>
      <c r="V26" s="51" t="n">
        <f>SUM(V23:V25)</f>
      </c>
      <c r="W26" s="51" t="n">
        <f>SUM(W23:W25)</f>
      </c>
      <c r="X26" s="51" t="n">
        <f>SUM(X23:X25)</f>
      </c>
      <c r="Y26" s="51" t="n">
        <f>SUM(Y23:Y25)</f>
      </c>
      <c r="Z26" s="51" t="n">
        <f>SUM(Z23:Z25)</f>
      </c>
      <c r="AA26" s="51" t="n">
        <f>SUM(AA23:AA25)</f>
      </c>
      <c r="AB26" s="51" t="n">
        <f>SUM(AB23:AB25)</f>
      </c>
      <c r="AC26" s="51" t="n">
        <f>SUM(AC23:AC25)</f>
      </c>
      <c r="AD26" s="51" t="n">
        <f>SUM(AD23:AD25)</f>
      </c>
      <c r="AE26" s="51" t="n">
        <f>SUM(AE23:AE25)</f>
      </c>
      <c r="AF26" s="51" t="n">
        <f>SUM(AF23:AF25)</f>
      </c>
      <c r="AG26" s="51" t="n">
        <f>SUM(AG23:AG25)</f>
      </c>
      <c r="AH26" s="51" t="n">
        <f>SUM(AH23:AH25)</f>
      </c>
    </row>
    <row r="27">
      <c r="B27" s="10"/>
      <c r="C27" s="15" t="s">
        <v>1137</v>
      </c>
      <c r="D27" s="13"/>
      <c r="E27" s="50" t="n"/>
      <c r="F27" s="50" t="n"/>
      <c r="G27" s="50" t="n"/>
      <c r="H27" s="50" t="n"/>
      <c r="I27" s="50" t="n"/>
      <c r="J27" s="50" t="n"/>
      <c r="K27" s="50" t="n"/>
      <c r="L27" s="50" t="n"/>
      <c r="M27" s="50" t="n"/>
      <c r="N27" s="50" t="n"/>
      <c r="O27" s="50" t="n"/>
      <c r="P27" s="50" t="n"/>
      <c r="Q27" s="50" t="n"/>
      <c r="R27" s="50" t="n"/>
      <c r="S27" s="50" t="n"/>
      <c r="T27" s="50" t="n"/>
      <c r="U27" s="50" t="n"/>
      <c r="V27" s="50" t="n"/>
      <c r="W27" s="50" t="n"/>
      <c r="X27" s="50" t="n"/>
      <c r="Y27" s="50" t="n"/>
      <c r="Z27" s="50" t="n"/>
      <c r="AA27" s="50" t="n"/>
      <c r="AB27" s="50" t="n"/>
      <c r="AC27" s="50" t="n"/>
      <c r="AD27" s="50" t="n"/>
      <c r="AE27" s="50" t="n"/>
      <c r="AF27" s="50" t="n"/>
      <c r="AG27" s="50" t="n"/>
      <c r="AH27" s="50" t="n"/>
    </row>
    <row r="28">
      <c r="B28" s="10"/>
      <c r="C28" s="7" t="s">
        <v>1138</v>
      </c>
      <c r="D28" s="9"/>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row>
    <row r="29">
      <c r="B29" s="10"/>
      <c r="C29" s="10"/>
      <c r="D29" s="19" t="s">
        <v>1139</v>
      </c>
      <c r="E29" s="50" t="n"/>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row>
    <row r="30">
      <c r="B30" s="10"/>
      <c r="C30" s="10"/>
      <c r="D30" s="18" t="s">
        <v>1140</v>
      </c>
      <c r="E30" s="51" t="n"/>
      <c r="F30" s="51" t="n"/>
      <c r="G30" s="51" t="n"/>
      <c r="H30" s="51" t="n"/>
      <c r="I30" s="51" t="n"/>
      <c r="J30" s="51" t="n"/>
      <c r="K30" s="51" t="n"/>
      <c r="L30" s="51" t="n"/>
      <c r="M30" s="51" t="n"/>
      <c r="N30" s="51" t="n"/>
      <c r="O30" s="51" t="n"/>
      <c r="P30" s="51" t="n"/>
      <c r="Q30" s="51" t="n"/>
      <c r="R30" s="51" t="n"/>
      <c r="S30" s="51" t="n"/>
      <c r="T30" s="51" t="n"/>
      <c r="U30" s="51" t="n"/>
      <c r="V30" s="51" t="n"/>
      <c r="W30" s="51" t="n"/>
      <c r="X30" s="51" t="n"/>
      <c r="Y30" s="51" t="n"/>
      <c r="Z30" s="51" t="n"/>
      <c r="AA30" s="51" t="n"/>
      <c r="AB30" s="51" t="n"/>
      <c r="AC30" s="51" t="n"/>
      <c r="AD30" s="51" t="n"/>
      <c r="AE30" s="51" t="n"/>
      <c r="AF30" s="51" t="n"/>
      <c r="AG30" s="51" t="n"/>
      <c r="AH30" s="51" t="n"/>
    </row>
    <row r="31">
      <c r="B31" s="10"/>
      <c r="C31" s="10"/>
      <c r="D31" s="19" t="s">
        <v>1141</v>
      </c>
      <c r="E31" s="50" t="n"/>
      <c r="F31" s="50" t="n"/>
      <c r="G31" s="50" t="n"/>
      <c r="H31" s="50" t="n"/>
      <c r="I31" s="50" t="n"/>
      <c r="J31" s="50" t="n"/>
      <c r="K31" s="50" t="n"/>
      <c r="L31" s="50" t="n"/>
      <c r="M31" s="50" t="n"/>
      <c r="N31" s="50" t="n"/>
      <c r="O31" s="50" t="n"/>
      <c r="P31" s="50" t="n"/>
      <c r="Q31" s="50" t="n"/>
      <c r="R31" s="50" t="n"/>
      <c r="S31" s="50" t="n"/>
      <c r="T31" s="50" t="n"/>
      <c r="U31" s="50" t="n"/>
      <c r="V31" s="50" t="n"/>
      <c r="W31" s="50" t="n"/>
      <c r="X31" s="50" t="n"/>
      <c r="Y31" s="50" t="n"/>
      <c r="Z31" s="50" t="n"/>
      <c r="AA31" s="50" t="n"/>
      <c r="AB31" s="50" t="n"/>
      <c r="AC31" s="50" t="n"/>
      <c r="AD31" s="50" t="n"/>
      <c r="AE31" s="50" t="n"/>
      <c r="AF31" s="50" t="n"/>
      <c r="AG31" s="50" t="n"/>
      <c r="AH31" s="50" t="n"/>
    </row>
    <row r="32">
      <c r="B32" s="10"/>
      <c r="C32" s="10"/>
      <c r="D32" s="18" t="s">
        <v>1142</v>
      </c>
      <c r="E32" s="51" t="n"/>
      <c r="F32" s="51" t="n"/>
      <c r="G32" s="51" t="n"/>
      <c r="H32" s="51" t="n"/>
      <c r="I32" s="51" t="n"/>
      <c r="J32" s="51" t="n"/>
      <c r="K32" s="51" t="n"/>
      <c r="L32" s="51" t="n"/>
      <c r="M32" s="51" t="n"/>
      <c r="N32" s="51" t="n"/>
      <c r="O32" s="51" t="n"/>
      <c r="P32" s="51" t="n"/>
      <c r="Q32" s="51" t="n"/>
      <c r="R32" s="51" t="n"/>
      <c r="S32" s="51" t="n"/>
      <c r="T32" s="51" t="n"/>
      <c r="U32" s="51" t="n"/>
      <c r="V32" s="51" t="n"/>
      <c r="W32" s="51" t="n"/>
      <c r="X32" s="51" t="n"/>
      <c r="Y32" s="51" t="n"/>
      <c r="Z32" s="51" t="n"/>
      <c r="AA32" s="51" t="n"/>
      <c r="AB32" s="51" t="n"/>
      <c r="AC32" s="51" t="n"/>
      <c r="AD32" s="51" t="n"/>
      <c r="AE32" s="51" t="n"/>
      <c r="AF32" s="51" t="n"/>
      <c r="AG32" s="51" t="n"/>
      <c r="AH32" s="51" t="n"/>
    </row>
    <row r="33">
      <c r="B33" s="10"/>
      <c r="C33" s="10"/>
      <c r="D33" s="19" t="s">
        <v>1143</v>
      </c>
      <c r="E33" s="50" t="n"/>
      <c r="F33" s="50" t="n"/>
      <c r="G33" s="50" t="n"/>
      <c r="H33" s="50" t="n"/>
      <c r="I33" s="50" t="n"/>
      <c r="J33" s="50" t="n"/>
      <c r="K33" s="50" t="n"/>
      <c r="L33" s="50" t="n"/>
      <c r="M33" s="50" t="n"/>
      <c r="N33" s="50" t="n"/>
      <c r="O33" s="50" t="n"/>
      <c r="P33" s="50" t="n"/>
      <c r="Q33" s="50" t="n"/>
      <c r="R33" s="50" t="n"/>
      <c r="S33" s="50" t="n"/>
      <c r="T33" s="50" t="n"/>
      <c r="U33" s="50" t="n"/>
      <c r="V33" s="50" t="n"/>
      <c r="W33" s="50" t="n"/>
      <c r="X33" s="50" t="n"/>
      <c r="Y33" s="50" t="n"/>
      <c r="Z33" s="50" t="n"/>
      <c r="AA33" s="50" t="n"/>
      <c r="AB33" s="50" t="n"/>
      <c r="AC33" s="50" t="n"/>
      <c r="AD33" s="50" t="n"/>
      <c r="AE33" s="50" t="n"/>
      <c r="AF33" s="50" t="n"/>
      <c r="AG33" s="50" t="n"/>
      <c r="AH33" s="50" t="n"/>
    </row>
    <row r="34">
      <c r="B34" s="10"/>
      <c r="C34" s="10"/>
      <c r="D34" s="18" t="s">
        <v>1144</v>
      </c>
      <c r="E34" s="51" t="n"/>
      <c r="F34" s="51" t="n"/>
      <c r="G34" s="51" t="n"/>
      <c r="H34" s="51" t="n"/>
      <c r="I34" s="51" t="n"/>
      <c r="J34" s="51" t="n"/>
      <c r="K34" s="51" t="n"/>
      <c r="L34" s="51" t="n"/>
      <c r="M34" s="51" t="n"/>
      <c r="N34" s="51" t="n"/>
      <c r="O34" s="51" t="n"/>
      <c r="P34" s="51" t="n"/>
      <c r="Q34" s="51" t="n"/>
      <c r="R34" s="51" t="n"/>
      <c r="S34" s="51" t="n"/>
      <c r="T34" s="51" t="n"/>
      <c r="U34" s="51" t="n"/>
      <c r="V34" s="51" t="n"/>
      <c r="W34" s="51" t="n"/>
      <c r="X34" s="51" t="n"/>
      <c r="Y34" s="51" t="n"/>
      <c r="Z34" s="51" t="n"/>
      <c r="AA34" s="51" t="n"/>
      <c r="AB34" s="51" t="n"/>
      <c r="AC34" s="51" t="n"/>
      <c r="AD34" s="51" t="n"/>
      <c r="AE34" s="51" t="n"/>
      <c r="AF34" s="51" t="n"/>
      <c r="AG34" s="51" t="n"/>
      <c r="AH34" s="51" t="n"/>
    </row>
    <row r="35">
      <c r="B35" s="10"/>
      <c r="C35" s="11"/>
      <c r="D35" s="57" t="s">
        <v>1145</v>
      </c>
      <c r="E35" s="50" t="n">
        <f>SUM(E29:E34)</f>
      </c>
      <c r="F35" s="50" t="n">
        <f>SUM(F29:F34)</f>
      </c>
      <c r="G35" s="50" t="n">
        <f>SUM(G29:G34)</f>
      </c>
      <c r="H35" s="50" t="n">
        <f>SUM(H29:H34)</f>
      </c>
      <c r="I35" s="50" t="n">
        <f>SUM(I29:I34)</f>
      </c>
      <c r="J35" s="50" t="n">
        <f>SUM(J29:J34)</f>
      </c>
      <c r="K35" s="50" t="n">
        <f>SUM(K29:K34)</f>
      </c>
      <c r="L35" s="50" t="n">
        <f>SUM(L29:L34)</f>
      </c>
      <c r="M35" s="50" t="n">
        <f>SUM(M29:M34)</f>
      </c>
      <c r="N35" s="50" t="n">
        <f>SUM(N29:N34)</f>
      </c>
      <c r="O35" s="50" t="n">
        <f>SUM(O29:O34)</f>
      </c>
      <c r="P35" s="50" t="n">
        <f>SUM(P29:P34)</f>
      </c>
      <c r="Q35" s="50" t="n">
        <f>SUM(Q29:Q34)</f>
      </c>
      <c r="R35" s="50" t="n">
        <f>SUM(R29:R34)</f>
      </c>
      <c r="S35" s="50" t="n">
        <f>SUM(S29:S34)</f>
      </c>
      <c r="T35" s="50" t="n">
        <f>SUM(T29:T34)</f>
      </c>
      <c r="U35" s="50" t="n">
        <f>SUM(U29:U34)</f>
      </c>
      <c r="V35" s="50" t="n">
        <f>SUM(V29:V34)</f>
      </c>
      <c r="W35" s="50" t="n">
        <f>SUM(W29:W34)</f>
      </c>
      <c r="X35" s="50" t="n">
        <f>SUM(X29:X34)</f>
      </c>
      <c r="Y35" s="50" t="n">
        <f>SUM(Y29:Y34)</f>
      </c>
      <c r="Z35" s="50" t="n">
        <f>SUM(Z29:Z34)</f>
      </c>
      <c r="AA35" s="50" t="n">
        <f>SUM(AA29:AA34)</f>
      </c>
      <c r="AB35" s="50" t="n">
        <f>SUM(AB29:AB34)</f>
      </c>
      <c r="AC35" s="50" t="n">
        <f>SUM(AC29:AC34)</f>
      </c>
      <c r="AD35" s="50" t="n">
        <f>SUM(AD29:AD34)</f>
      </c>
      <c r="AE35" s="50" t="n">
        <f>SUM(AE29:AE34)</f>
      </c>
      <c r="AF35" s="50" t="n">
        <f>SUM(AF29:AF34)</f>
      </c>
      <c r="AG35" s="50" t="n">
        <f>SUM(AG29:AG34)</f>
      </c>
      <c r="AH35" s="50" t="n">
        <f>SUM(AH29:AH34)</f>
      </c>
    </row>
    <row r="36">
      <c r="B36" s="10"/>
      <c r="C36" s="11" t="s">
        <v>1146</v>
      </c>
      <c r="D36" s="9"/>
      <c r="E36" s="51" t="n"/>
      <c r="F36" s="51" t="n"/>
      <c r="G36" s="51" t="n"/>
      <c r="H36" s="51" t="n"/>
      <c r="I36" s="51" t="n"/>
      <c r="J36" s="51" t="n"/>
      <c r="K36" s="51" t="n"/>
      <c r="L36" s="51" t="n"/>
      <c r="M36" s="51" t="n"/>
      <c r="N36" s="51" t="n"/>
      <c r="O36" s="51" t="n"/>
      <c r="P36" s="51" t="n"/>
      <c r="Q36" s="51" t="n"/>
      <c r="R36" s="51" t="n"/>
      <c r="S36" s="51" t="n"/>
      <c r="T36" s="51" t="n"/>
      <c r="U36" s="51" t="n"/>
      <c r="V36" s="51" t="n"/>
      <c r="W36" s="51" t="n"/>
      <c r="X36" s="51" t="n"/>
      <c r="Y36" s="51" t="n"/>
      <c r="Z36" s="51" t="n"/>
      <c r="AA36" s="51" t="n"/>
      <c r="AB36" s="51" t="n"/>
      <c r="AC36" s="51" t="n"/>
      <c r="AD36" s="51" t="n"/>
      <c r="AE36" s="51" t="n"/>
      <c r="AF36" s="51" t="n"/>
      <c r="AG36" s="51" t="n"/>
      <c r="AH36" s="51" t="n"/>
    </row>
    <row r="37">
      <c r="B37" s="10"/>
      <c r="C37" s="15" t="s">
        <v>1147</v>
      </c>
      <c r="D37" s="13"/>
      <c r="E37" s="50" t="n"/>
      <c r="F37" s="50" t="n"/>
      <c r="G37" s="50" t="n"/>
      <c r="H37" s="50" t="n"/>
      <c r="I37" s="50" t="n"/>
      <c r="J37" s="50" t="n"/>
      <c r="K37" s="50" t="n"/>
      <c r="L37" s="50" t="n"/>
      <c r="M37" s="50" t="n"/>
      <c r="N37" s="50" t="n"/>
      <c r="O37" s="50" t="n"/>
      <c r="P37" s="50" t="n"/>
      <c r="Q37" s="50" t="n"/>
      <c r="R37" s="50" t="n"/>
      <c r="S37" s="50" t="n"/>
      <c r="T37" s="50" t="n"/>
      <c r="U37" s="50" t="n"/>
      <c r="V37" s="50" t="n"/>
      <c r="W37" s="50" t="n"/>
      <c r="X37" s="50" t="n"/>
      <c r="Y37" s="50" t="n"/>
      <c r="Z37" s="50" t="n"/>
      <c r="AA37" s="50" t="n"/>
      <c r="AB37" s="50" t="n"/>
      <c r="AC37" s="50" t="n"/>
      <c r="AD37" s="50" t="n"/>
      <c r="AE37" s="50" t="n"/>
      <c r="AF37" s="50" t="n"/>
      <c r="AG37" s="50" t="n"/>
      <c r="AH37" s="50" t="n"/>
    </row>
    <row r="38">
      <c r="B38" s="10"/>
      <c r="C38" s="7" t="s">
        <v>1148</v>
      </c>
      <c r="D38" s="9"/>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row>
    <row r="39">
      <c r="B39" s="10"/>
      <c r="C39" s="10"/>
      <c r="D39" s="19" t="s">
        <v>1149</v>
      </c>
      <c r="E39" s="50" t="n"/>
      <c r="F39" s="50" t="n"/>
      <c r="G39" s="50" t="n"/>
      <c r="H39" s="50" t="n"/>
      <c r="I39" s="50" t="n"/>
      <c r="J39" s="50" t="n"/>
      <c r="K39" s="50" t="n"/>
      <c r="L39" s="50" t="n"/>
      <c r="M39" s="50" t="n"/>
      <c r="N39" s="50" t="n"/>
      <c r="O39" s="50" t="n"/>
      <c r="P39" s="50" t="n"/>
      <c r="Q39" s="50" t="n"/>
      <c r="R39" s="50" t="n"/>
      <c r="S39" s="50" t="n"/>
      <c r="T39" s="50" t="n"/>
      <c r="U39" s="50" t="n"/>
      <c r="V39" s="50" t="n"/>
      <c r="W39" s="50" t="n"/>
      <c r="X39" s="50" t="n"/>
      <c r="Y39" s="50" t="n"/>
      <c r="Z39" s="50" t="n"/>
      <c r="AA39" s="50" t="n"/>
      <c r="AB39" s="50" t="n"/>
      <c r="AC39" s="50" t="n"/>
      <c r="AD39" s="50" t="n"/>
      <c r="AE39" s="50" t="n"/>
      <c r="AF39" s="50" t="n"/>
      <c r="AG39" s="50" t="n"/>
      <c r="AH39" s="50" t="n"/>
    </row>
    <row r="40">
      <c r="B40" s="10"/>
      <c r="C40" s="10"/>
      <c r="D40" s="18" t="s">
        <v>1150</v>
      </c>
      <c r="E40" s="51" t="n"/>
      <c r="F40" s="51" t="n"/>
      <c r="G40" s="51" t="n"/>
      <c r="H40" s="51" t="n"/>
      <c r="I40" s="51" t="n"/>
      <c r="J40" s="51" t="n"/>
      <c r="K40" s="51" t="n"/>
      <c r="L40" s="51" t="n"/>
      <c r="M40" s="51" t="n"/>
      <c r="N40" s="51" t="n"/>
      <c r="O40" s="51" t="n"/>
      <c r="P40" s="51" t="n"/>
      <c r="Q40" s="51" t="n"/>
      <c r="R40" s="51" t="n"/>
      <c r="S40" s="51" t="n"/>
      <c r="T40" s="51" t="n"/>
      <c r="U40" s="51" t="n"/>
      <c r="V40" s="51" t="n"/>
      <c r="W40" s="51" t="n"/>
      <c r="X40" s="51" t="n"/>
      <c r="Y40" s="51" t="n"/>
      <c r="Z40" s="51" t="n"/>
      <c r="AA40" s="51" t="n"/>
      <c r="AB40" s="51" t="n"/>
      <c r="AC40" s="51" t="n"/>
      <c r="AD40" s="51" t="n"/>
      <c r="AE40" s="51" t="n"/>
      <c r="AF40" s="51" t="n"/>
      <c r="AG40" s="51" t="n"/>
      <c r="AH40" s="51" t="n"/>
    </row>
    <row r="41">
      <c r="B41" s="10"/>
      <c r="C41" s="10"/>
      <c r="D41" s="19" t="s">
        <v>1151</v>
      </c>
      <c r="E41" s="50" t="n"/>
      <c r="F41" s="50" t="n"/>
      <c r="G41" s="50" t="n"/>
      <c r="H41" s="50" t="n"/>
      <c r="I41" s="50" t="n"/>
      <c r="J41" s="50" t="n"/>
      <c r="K41" s="50" t="n"/>
      <c r="L41" s="50" t="n"/>
      <c r="M41" s="50" t="n"/>
      <c r="N41" s="50" t="n"/>
      <c r="O41" s="50" t="n"/>
      <c r="P41" s="50" t="n"/>
      <c r="Q41" s="50" t="n"/>
      <c r="R41" s="50" t="n"/>
      <c r="S41" s="50" t="n"/>
      <c r="T41" s="50" t="n"/>
      <c r="U41" s="50" t="n"/>
      <c r="V41" s="50" t="n"/>
      <c r="W41" s="50" t="n"/>
      <c r="X41" s="50" t="n"/>
      <c r="Y41" s="50" t="n"/>
      <c r="Z41" s="50" t="n"/>
      <c r="AA41" s="50" t="n"/>
      <c r="AB41" s="50" t="n"/>
      <c r="AC41" s="50" t="n"/>
      <c r="AD41" s="50" t="n"/>
      <c r="AE41" s="50" t="n"/>
      <c r="AF41" s="50" t="n"/>
      <c r="AG41" s="50" t="n"/>
      <c r="AH41" s="50" t="n"/>
    </row>
    <row r="42">
      <c r="B42" s="10"/>
      <c r="C42" s="10"/>
      <c r="D42" s="18" t="s">
        <v>1152</v>
      </c>
      <c r="E42" s="51" t="n"/>
      <c r="F42" s="51" t="n"/>
      <c r="G42" s="51" t="n"/>
      <c r="H42" s="51" t="n"/>
      <c r="I42" s="51" t="n"/>
      <c r="J42" s="51" t="n"/>
      <c r="K42" s="51" t="n"/>
      <c r="L42" s="51" t="n"/>
      <c r="M42" s="51" t="n"/>
      <c r="N42" s="51" t="n"/>
      <c r="O42" s="51" t="n"/>
      <c r="P42" s="51" t="n"/>
      <c r="Q42" s="51" t="n"/>
      <c r="R42" s="51" t="n"/>
      <c r="S42" s="51" t="n"/>
      <c r="T42" s="51" t="n"/>
      <c r="U42" s="51" t="n"/>
      <c r="V42" s="51" t="n"/>
      <c r="W42" s="51" t="n"/>
      <c r="X42" s="51" t="n"/>
      <c r="Y42" s="51" t="n"/>
      <c r="Z42" s="51" t="n"/>
      <c r="AA42" s="51" t="n"/>
      <c r="AB42" s="51" t="n"/>
      <c r="AC42" s="51" t="n"/>
      <c r="AD42" s="51" t="n"/>
      <c r="AE42" s="51" t="n"/>
      <c r="AF42" s="51" t="n"/>
      <c r="AG42" s="51" t="n"/>
      <c r="AH42" s="51" t="n"/>
    </row>
    <row r="43">
      <c r="B43" s="10"/>
      <c r="C43" s="10"/>
      <c r="D43" s="19" t="s">
        <v>1153</v>
      </c>
      <c r="E43" s="50" t="n"/>
      <c r="F43" s="50" t="n"/>
      <c r="G43" s="50" t="n"/>
      <c r="H43" s="50" t="n"/>
      <c r="I43" s="50" t="n"/>
      <c r="J43" s="50" t="n"/>
      <c r="K43" s="50" t="n"/>
      <c r="L43" s="50" t="n"/>
      <c r="M43" s="50" t="n"/>
      <c r="N43" s="50" t="n"/>
      <c r="O43" s="50" t="n"/>
      <c r="P43" s="50" t="n"/>
      <c r="Q43" s="50" t="n"/>
      <c r="R43" s="50" t="n"/>
      <c r="S43" s="50" t="n"/>
      <c r="T43" s="50" t="n"/>
      <c r="U43" s="50" t="n"/>
      <c r="V43" s="50" t="n"/>
      <c r="W43" s="50" t="n"/>
      <c r="X43" s="50" t="n"/>
      <c r="Y43" s="50" t="n"/>
      <c r="Z43" s="50" t="n"/>
      <c r="AA43" s="50" t="n"/>
      <c r="AB43" s="50" t="n"/>
      <c r="AC43" s="50" t="n"/>
      <c r="AD43" s="50" t="n"/>
      <c r="AE43" s="50" t="n"/>
      <c r="AF43" s="50" t="n"/>
      <c r="AG43" s="50" t="n"/>
      <c r="AH43" s="50" t="n"/>
    </row>
    <row r="44">
      <c r="B44" s="10"/>
      <c r="C44" s="10"/>
      <c r="D44" s="18" t="s">
        <v>1154</v>
      </c>
      <c r="E44" s="51" t="n"/>
      <c r="F44" s="51" t="n"/>
      <c r="G44" s="51" t="n"/>
      <c r="H44" s="51" t="n"/>
      <c r="I44" s="51" t="n"/>
      <c r="J44" s="51" t="n"/>
      <c r="K44" s="51" t="n"/>
      <c r="L44" s="51" t="n"/>
      <c r="M44" s="51" t="n"/>
      <c r="N44" s="51" t="n"/>
      <c r="O44" s="51" t="n"/>
      <c r="P44" s="51" t="n"/>
      <c r="Q44" s="51" t="n"/>
      <c r="R44" s="51" t="n"/>
      <c r="S44" s="51" t="n"/>
      <c r="T44" s="51" t="n"/>
      <c r="U44" s="51" t="n"/>
      <c r="V44" s="51" t="n"/>
      <c r="W44" s="51" t="n"/>
      <c r="X44" s="51" t="n"/>
      <c r="Y44" s="51" t="n"/>
      <c r="Z44" s="51" t="n"/>
      <c r="AA44" s="51" t="n"/>
      <c r="AB44" s="51" t="n"/>
      <c r="AC44" s="51" t="n"/>
      <c r="AD44" s="51" t="n"/>
      <c r="AE44" s="51" t="n"/>
      <c r="AF44" s="51" t="n"/>
      <c r="AG44" s="51" t="n"/>
      <c r="AH44" s="51" t="n"/>
    </row>
    <row r="45">
      <c r="B45" s="10"/>
      <c r="C45" s="10"/>
      <c r="D45" s="19" t="s">
        <v>1155</v>
      </c>
      <c r="E45" s="50" t="n"/>
      <c r="F45" s="50" t="n"/>
      <c r="G45" s="50" t="n"/>
      <c r="H45" s="50" t="n"/>
      <c r="I45" s="50" t="n"/>
      <c r="J45" s="50" t="n"/>
      <c r="K45" s="50" t="n"/>
      <c r="L45" s="50" t="n"/>
      <c r="M45" s="50" t="n"/>
      <c r="N45" s="50" t="n"/>
      <c r="O45" s="50" t="n"/>
      <c r="P45" s="50" t="n"/>
      <c r="Q45" s="50" t="n"/>
      <c r="R45" s="50" t="n"/>
      <c r="S45" s="50" t="n"/>
      <c r="T45" s="50" t="n"/>
      <c r="U45" s="50" t="n"/>
      <c r="V45" s="50" t="n"/>
      <c r="W45" s="50" t="n"/>
      <c r="X45" s="50" t="n"/>
      <c r="Y45" s="50" t="n"/>
      <c r="Z45" s="50" t="n"/>
      <c r="AA45" s="50" t="n"/>
      <c r="AB45" s="50" t="n"/>
      <c r="AC45" s="50" t="n"/>
      <c r="AD45" s="50" t="n"/>
      <c r="AE45" s="50" t="n"/>
      <c r="AF45" s="50" t="n"/>
      <c r="AG45" s="50" t="n"/>
      <c r="AH45" s="50" t="n"/>
    </row>
    <row r="46">
      <c r="B46" s="10"/>
      <c r="C46" s="10"/>
      <c r="D46" s="18" t="s">
        <v>1156</v>
      </c>
      <c r="E46" s="51" t="n"/>
      <c r="F46" s="51" t="n"/>
      <c r="G46" s="51" t="n"/>
      <c r="H46" s="51" t="n"/>
      <c r="I46" s="51" t="n"/>
      <c r="J46" s="51" t="n"/>
      <c r="K46" s="51" t="n"/>
      <c r="L46" s="51" t="n"/>
      <c r="M46" s="51" t="n"/>
      <c r="N46" s="51" t="n"/>
      <c r="O46" s="51" t="n"/>
      <c r="P46" s="51" t="n"/>
      <c r="Q46" s="51" t="n"/>
      <c r="R46" s="51" t="n"/>
      <c r="S46" s="51" t="n"/>
      <c r="T46" s="51" t="n"/>
      <c r="U46" s="51" t="n"/>
      <c r="V46" s="51" t="n"/>
      <c r="W46" s="51" t="n"/>
      <c r="X46" s="51" t="n"/>
      <c r="Y46" s="51" t="n"/>
      <c r="Z46" s="51" t="n"/>
      <c r="AA46" s="51" t="n"/>
      <c r="AB46" s="51" t="n"/>
      <c r="AC46" s="51" t="n"/>
      <c r="AD46" s="51" t="n"/>
      <c r="AE46" s="51" t="n"/>
      <c r="AF46" s="51" t="n"/>
      <c r="AG46" s="51" t="n"/>
      <c r="AH46" s="51" t="n"/>
    </row>
    <row r="47">
      <c r="B47" s="10"/>
      <c r="C47" s="10"/>
      <c r="D47" s="19" t="s">
        <v>1157</v>
      </c>
      <c r="E47" s="50" t="n"/>
      <c r="F47" s="50" t="n"/>
      <c r="G47" s="50" t="n"/>
      <c r="H47" s="50" t="n"/>
      <c r="I47" s="50" t="n"/>
      <c r="J47" s="50" t="n"/>
      <c r="K47" s="50" t="n"/>
      <c r="L47" s="50" t="n"/>
      <c r="M47" s="50" t="n"/>
      <c r="N47" s="50" t="n"/>
      <c r="O47" s="50" t="n"/>
      <c r="P47" s="50" t="n"/>
      <c r="Q47" s="50" t="n"/>
      <c r="R47" s="50" t="n"/>
      <c r="S47" s="50" t="n"/>
      <c r="T47" s="50" t="n"/>
      <c r="U47" s="50" t="n"/>
      <c r="V47" s="50" t="n"/>
      <c r="W47" s="50" t="n"/>
      <c r="X47" s="50" t="n"/>
      <c r="Y47" s="50" t="n"/>
      <c r="Z47" s="50" t="n"/>
      <c r="AA47" s="50" t="n"/>
      <c r="AB47" s="50" t="n"/>
      <c r="AC47" s="50" t="n"/>
      <c r="AD47" s="50" t="n"/>
      <c r="AE47" s="50" t="n"/>
      <c r="AF47" s="50" t="n"/>
      <c r="AG47" s="50" t="n"/>
      <c r="AH47" s="50" t="n"/>
    </row>
    <row r="48">
      <c r="B48" s="10"/>
      <c r="C48" s="10"/>
      <c r="D48" s="18" t="s">
        <v>1158</v>
      </c>
      <c r="E48" s="51" t="n"/>
      <c r="F48" s="51" t="n"/>
      <c r="G48" s="51" t="n"/>
      <c r="H48" s="51" t="n"/>
      <c r="I48" s="51" t="n"/>
      <c r="J48" s="51" t="n"/>
      <c r="K48" s="51" t="n"/>
      <c r="L48" s="51" t="n"/>
      <c r="M48" s="51" t="n"/>
      <c r="N48" s="51" t="n"/>
      <c r="O48" s="51" t="n"/>
      <c r="P48" s="51" t="n"/>
      <c r="Q48" s="51" t="n"/>
      <c r="R48" s="51" t="n"/>
      <c r="S48" s="51" t="n"/>
      <c r="T48" s="51" t="n"/>
      <c r="U48" s="51" t="n"/>
      <c r="V48" s="51" t="n"/>
      <c r="W48" s="51" t="n"/>
      <c r="X48" s="51" t="n"/>
      <c r="Y48" s="51" t="n"/>
      <c r="Z48" s="51" t="n"/>
      <c r="AA48" s="51" t="n"/>
      <c r="AB48" s="51" t="n"/>
      <c r="AC48" s="51" t="n"/>
      <c r="AD48" s="51" t="n"/>
      <c r="AE48" s="51" t="n"/>
      <c r="AF48" s="51" t="n"/>
      <c r="AG48" s="51" t="n"/>
      <c r="AH48" s="51" t="n"/>
    </row>
    <row r="49">
      <c r="B49" s="10"/>
      <c r="C49" s="10"/>
      <c r="D49" s="19" t="s">
        <v>1159</v>
      </c>
      <c r="E49" s="50" t="n"/>
      <c r="F49" s="50" t="n"/>
      <c r="G49" s="50" t="n"/>
      <c r="H49" s="50" t="n"/>
      <c r="I49" s="50" t="n"/>
      <c r="J49" s="50" t="n"/>
      <c r="K49" s="50" t="n"/>
      <c r="L49" s="50" t="n"/>
      <c r="M49" s="50" t="n"/>
      <c r="N49" s="50" t="n"/>
      <c r="O49" s="50" t="n"/>
      <c r="P49" s="50" t="n"/>
      <c r="Q49" s="50" t="n"/>
      <c r="R49" s="50" t="n"/>
      <c r="S49" s="50" t="n"/>
      <c r="T49" s="50" t="n"/>
      <c r="U49" s="50" t="n"/>
      <c r="V49" s="50" t="n"/>
      <c r="W49" s="50" t="n"/>
      <c r="X49" s="50" t="n"/>
      <c r="Y49" s="50" t="n"/>
      <c r="Z49" s="50" t="n"/>
      <c r="AA49" s="50" t="n"/>
      <c r="AB49" s="50" t="n"/>
      <c r="AC49" s="50" t="n"/>
      <c r="AD49" s="50" t="n"/>
      <c r="AE49" s="50" t="n"/>
      <c r="AF49" s="50" t="n"/>
      <c r="AG49" s="50" t="n"/>
      <c r="AH49" s="50" t="n"/>
    </row>
    <row r="50">
      <c r="B50" s="10"/>
      <c r="C50" s="10"/>
      <c r="D50" s="18" t="s">
        <v>1160</v>
      </c>
      <c r="E50" s="51" t="n"/>
      <c r="F50" s="51" t="n"/>
      <c r="G50" s="51" t="n"/>
      <c r="H50" s="51" t="n"/>
      <c r="I50" s="51" t="n"/>
      <c r="J50" s="51" t="n"/>
      <c r="K50" s="51" t="n"/>
      <c r="L50" s="51" t="n"/>
      <c r="M50" s="51" t="n"/>
      <c r="N50" s="51" t="n"/>
      <c r="O50" s="51" t="n"/>
      <c r="P50" s="51" t="n"/>
      <c r="Q50" s="51" t="n"/>
      <c r="R50" s="51" t="n"/>
      <c r="S50" s="51" t="n"/>
      <c r="T50" s="51" t="n"/>
      <c r="U50" s="51" t="n"/>
      <c r="V50" s="51" t="n"/>
      <c r="W50" s="51" t="n"/>
      <c r="X50" s="51" t="n"/>
      <c r="Y50" s="51" t="n"/>
      <c r="Z50" s="51" t="n"/>
      <c r="AA50" s="51" t="n"/>
      <c r="AB50" s="51" t="n"/>
      <c r="AC50" s="51" t="n"/>
      <c r="AD50" s="51" t="n"/>
      <c r="AE50" s="51" t="n"/>
      <c r="AF50" s="51" t="n"/>
      <c r="AG50" s="51" t="n"/>
      <c r="AH50" s="51" t="n"/>
    </row>
    <row r="51">
      <c r="B51" s="10"/>
      <c r="C51" s="10"/>
      <c r="D51" s="19" t="s">
        <v>1161</v>
      </c>
      <c r="E51" s="50" t="n"/>
      <c r="F51" s="50" t="n"/>
      <c r="G51" s="50" t="n"/>
      <c r="H51" s="50" t="n"/>
      <c r="I51" s="50" t="n"/>
      <c r="J51" s="50" t="n"/>
      <c r="K51" s="50" t="n"/>
      <c r="L51" s="50" t="n"/>
      <c r="M51" s="50" t="n"/>
      <c r="N51" s="50" t="n"/>
      <c r="O51" s="50" t="n"/>
      <c r="P51" s="50" t="n"/>
      <c r="Q51" s="50" t="n"/>
      <c r="R51" s="50" t="n"/>
      <c r="S51" s="50" t="n"/>
      <c r="T51" s="50" t="n"/>
      <c r="U51" s="50" t="n"/>
      <c r="V51" s="50" t="n"/>
      <c r="W51" s="50" t="n"/>
      <c r="X51" s="50" t="n"/>
      <c r="Y51" s="50" t="n"/>
      <c r="Z51" s="50" t="n"/>
      <c r="AA51" s="50" t="n"/>
      <c r="AB51" s="50" t="n"/>
      <c r="AC51" s="50" t="n"/>
      <c r="AD51" s="50" t="n"/>
      <c r="AE51" s="50" t="n"/>
      <c r="AF51" s="50" t="n"/>
      <c r="AG51" s="50" t="n"/>
      <c r="AH51" s="50" t="n"/>
    </row>
    <row r="52">
      <c r="B52" s="10"/>
      <c r="C52" s="11"/>
      <c r="D52" s="65" t="s">
        <v>1162</v>
      </c>
      <c r="E52" s="51" t="n">
        <f>SUM(E39:E51)</f>
      </c>
      <c r="F52" s="51" t="n">
        <f>SUM(F39:F51)</f>
      </c>
      <c r="G52" s="51" t="n">
        <f>SUM(G39:G51)</f>
      </c>
      <c r="H52" s="51" t="n">
        <f>SUM(H39:H51)</f>
      </c>
      <c r="I52" s="51" t="n">
        <f>SUM(I39:I51)</f>
      </c>
      <c r="J52" s="51" t="n">
        <f>SUM(J39:J51)</f>
      </c>
      <c r="K52" s="51" t="n">
        <f>SUM(K39:K51)</f>
      </c>
      <c r="L52" s="51" t="n">
        <f>SUM(L39:L51)</f>
      </c>
      <c r="M52" s="51" t="n">
        <f>SUM(M39:M51)</f>
      </c>
      <c r="N52" s="51" t="n">
        <f>SUM(N39:N51)</f>
      </c>
      <c r="O52" s="51" t="n">
        <f>SUM(O39:O51)</f>
      </c>
      <c r="P52" s="51" t="n">
        <f>SUM(P39:P51)</f>
      </c>
      <c r="Q52" s="51" t="n">
        <f>SUM(Q39:Q51)</f>
      </c>
      <c r="R52" s="51" t="n">
        <f>SUM(R39:R51)</f>
      </c>
      <c r="S52" s="51" t="n">
        <f>SUM(S39:S51)</f>
      </c>
      <c r="T52" s="51" t="n">
        <f>SUM(T39:T51)</f>
      </c>
      <c r="U52" s="51" t="n">
        <f>SUM(U39:U51)</f>
      </c>
      <c r="V52" s="51" t="n">
        <f>SUM(V39:V51)</f>
      </c>
      <c r="W52" s="51" t="n">
        <f>SUM(W39:W51)</f>
      </c>
      <c r="X52" s="51" t="n">
        <f>SUM(X39:X51)</f>
      </c>
      <c r="Y52" s="51" t="n">
        <f>SUM(Y39:Y51)</f>
      </c>
      <c r="Z52" s="51" t="n">
        <f>SUM(Z39:Z51)</f>
      </c>
      <c r="AA52" s="51" t="n">
        <f>SUM(AA39:AA51)</f>
      </c>
      <c r="AB52" s="51" t="n">
        <f>SUM(AB39:AB51)</f>
      </c>
      <c r="AC52" s="51" t="n">
        <f>SUM(AC39:AC51)</f>
      </c>
      <c r="AD52" s="51" t="n">
        <f>SUM(AD39:AD51)</f>
      </c>
      <c r="AE52" s="51" t="n">
        <f>SUM(AE39:AE51)</f>
      </c>
      <c r="AF52" s="51" t="n">
        <f>SUM(AF39:AF51)</f>
      </c>
      <c r="AG52" s="51" t="n">
        <f>SUM(AG39:AG51)</f>
      </c>
      <c r="AH52" s="51" t="n">
        <f>SUM(AH39:AH51)</f>
      </c>
    </row>
    <row r="53">
      <c r="B53" s="10"/>
      <c r="C53" s="12" t="s">
        <v>1163</v>
      </c>
      <c r="D53" s="13"/>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row>
    <row r="54">
      <c r="B54" s="10"/>
      <c r="C54" s="14"/>
      <c r="D54" s="18" t="s">
        <v>1164</v>
      </c>
      <c r="E54" s="51" t="n"/>
      <c r="F54" s="51" t="n"/>
      <c r="G54" s="51" t="n"/>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51" t="n"/>
      <c r="AE54" s="51" t="n"/>
      <c r="AF54" s="51" t="n"/>
      <c r="AG54" s="51" t="n"/>
      <c r="AH54" s="51" t="n"/>
    </row>
    <row r="55">
      <c r="B55" s="10"/>
      <c r="C55" s="14"/>
      <c r="D55" s="19" t="s">
        <v>1165</v>
      </c>
      <c r="E55" s="50" t="n"/>
      <c r="F55" s="50" t="n"/>
      <c r="G55" s="50" t="n"/>
      <c r="H55" s="50" t="n"/>
      <c r="I55" s="50" t="n"/>
      <c r="J55" s="50" t="n"/>
      <c r="K55" s="50" t="n"/>
      <c r="L55" s="50" t="n"/>
      <c r="M55" s="50" t="n"/>
      <c r="N55" s="50" t="n"/>
      <c r="O55" s="50" t="n"/>
      <c r="P55" s="50" t="n"/>
      <c r="Q55" s="50" t="n"/>
      <c r="R55" s="50" t="n"/>
      <c r="S55" s="50" t="n"/>
      <c r="T55" s="50" t="n"/>
      <c r="U55" s="50" t="n"/>
      <c r="V55" s="50" t="n"/>
      <c r="W55" s="50" t="n"/>
      <c r="X55" s="50" t="n"/>
      <c r="Y55" s="50" t="n"/>
      <c r="Z55" s="50" t="n"/>
      <c r="AA55" s="50" t="n"/>
      <c r="AB55" s="50" t="n"/>
      <c r="AC55" s="50" t="n"/>
      <c r="AD55" s="50" t="n"/>
      <c r="AE55" s="50" t="n"/>
      <c r="AF55" s="50" t="n"/>
      <c r="AG55" s="50" t="n"/>
      <c r="AH55" s="50" t="n"/>
    </row>
    <row r="56">
      <c r="B56" s="10"/>
      <c r="C56" s="14"/>
      <c r="D56" s="18" t="s">
        <v>1166</v>
      </c>
      <c r="E56" s="51" t="n"/>
      <c r="F56" s="51" t="n"/>
      <c r="G56" s="51" t="n"/>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51" t="n"/>
      <c r="AE56" s="51" t="n"/>
      <c r="AF56" s="51" t="n"/>
      <c r="AG56" s="51" t="n"/>
      <c r="AH56" s="51" t="n"/>
    </row>
    <row r="57">
      <c r="B57" s="10"/>
      <c r="C57" s="14"/>
      <c r="D57" s="19" t="s">
        <v>1167</v>
      </c>
      <c r="E57" s="50" t="n"/>
      <c r="F57" s="50" t="n"/>
      <c r="G57" s="50" t="n"/>
      <c r="H57" s="50" t="n"/>
      <c r="I57" s="50" t="n"/>
      <c r="J57" s="50" t="n"/>
      <c r="K57" s="50" t="n"/>
      <c r="L57" s="50" t="n"/>
      <c r="M57" s="50" t="n"/>
      <c r="N57" s="50" t="n"/>
      <c r="O57" s="50" t="n"/>
      <c r="P57" s="50" t="n"/>
      <c r="Q57" s="50" t="n"/>
      <c r="R57" s="50" t="n"/>
      <c r="S57" s="50" t="n"/>
      <c r="T57" s="50" t="n"/>
      <c r="U57" s="50" t="n"/>
      <c r="V57" s="50" t="n"/>
      <c r="W57" s="50" t="n"/>
      <c r="X57" s="50" t="n"/>
      <c r="Y57" s="50" t="n"/>
      <c r="Z57" s="50" t="n"/>
      <c r="AA57" s="50" t="n"/>
      <c r="AB57" s="50" t="n"/>
      <c r="AC57" s="50" t="n"/>
      <c r="AD57" s="50" t="n"/>
      <c r="AE57" s="50" t="n"/>
      <c r="AF57" s="50" t="n"/>
      <c r="AG57" s="50" t="n"/>
      <c r="AH57" s="50" t="n"/>
    </row>
    <row r="58">
      <c r="B58" s="10"/>
      <c r="C58" s="14"/>
      <c r="D58" s="18" t="s">
        <v>1168</v>
      </c>
      <c r="E58" s="51" t="n"/>
      <c r="F58" s="51" t="n"/>
      <c r="G58" s="51" t="n"/>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51" t="n"/>
      <c r="AE58" s="51" t="n"/>
      <c r="AF58" s="51" t="n"/>
      <c r="AG58" s="51" t="n"/>
      <c r="AH58" s="51" t="n"/>
    </row>
    <row r="59">
      <c r="B59" s="10"/>
      <c r="C59" s="14"/>
      <c r="D59" s="19" t="s">
        <v>1169</v>
      </c>
      <c r="E59" s="50" t="n"/>
      <c r="F59" s="50" t="n"/>
      <c r="G59" s="50" t="n"/>
      <c r="H59" s="50" t="n"/>
      <c r="I59" s="50" t="n"/>
      <c r="J59" s="50" t="n"/>
      <c r="K59" s="50" t="n"/>
      <c r="L59" s="50" t="n"/>
      <c r="M59" s="50" t="n"/>
      <c r="N59" s="50" t="n"/>
      <c r="O59" s="50" t="n"/>
      <c r="P59" s="50" t="n"/>
      <c r="Q59" s="50" t="n"/>
      <c r="R59" s="50" t="n"/>
      <c r="S59" s="50" t="n"/>
      <c r="T59" s="50" t="n"/>
      <c r="U59" s="50" t="n"/>
      <c r="V59" s="50" t="n"/>
      <c r="W59" s="50" t="n"/>
      <c r="X59" s="50" t="n"/>
      <c r="Y59" s="50" t="n"/>
      <c r="Z59" s="50" t="n"/>
      <c r="AA59" s="50" t="n"/>
      <c r="AB59" s="50" t="n"/>
      <c r="AC59" s="50" t="n"/>
      <c r="AD59" s="50" t="n"/>
      <c r="AE59" s="50" t="n"/>
      <c r="AF59" s="50" t="n"/>
      <c r="AG59" s="50" t="n"/>
      <c r="AH59" s="50" t="n"/>
    </row>
    <row r="60">
      <c r="B60" s="10"/>
      <c r="C60" s="14"/>
      <c r="D60" s="18" t="s">
        <v>1170</v>
      </c>
      <c r="E60" s="51" t="n"/>
      <c r="F60" s="51" t="n"/>
      <c r="G60" s="51" t="n"/>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51" t="n"/>
      <c r="AE60" s="51" t="n"/>
      <c r="AF60" s="51" t="n"/>
      <c r="AG60" s="51" t="n"/>
      <c r="AH60" s="51" t="n"/>
    </row>
    <row r="61">
      <c r="B61" s="10"/>
      <c r="C61" s="14"/>
      <c r="D61" s="19" t="s">
        <v>1171</v>
      </c>
      <c r="E61" s="50" t="n"/>
      <c r="F61" s="50" t="n"/>
      <c r="G61" s="50" t="n"/>
      <c r="H61" s="50" t="n"/>
      <c r="I61" s="50" t="n"/>
      <c r="J61" s="50" t="n"/>
      <c r="K61" s="50" t="n"/>
      <c r="L61" s="50" t="n"/>
      <c r="M61" s="50" t="n"/>
      <c r="N61" s="50" t="n"/>
      <c r="O61" s="50" t="n"/>
      <c r="P61" s="50" t="n"/>
      <c r="Q61" s="50" t="n"/>
      <c r="R61" s="50" t="n"/>
      <c r="S61" s="50" t="n"/>
      <c r="T61" s="50" t="n"/>
      <c r="U61" s="50" t="n"/>
      <c r="V61" s="50" t="n"/>
      <c r="W61" s="50" t="n"/>
      <c r="X61" s="50" t="n"/>
      <c r="Y61" s="50" t="n"/>
      <c r="Z61" s="50" t="n"/>
      <c r="AA61" s="50" t="n"/>
      <c r="AB61" s="50" t="n"/>
      <c r="AC61" s="50" t="n"/>
      <c r="AD61" s="50" t="n"/>
      <c r="AE61" s="50" t="n"/>
      <c r="AF61" s="50" t="n"/>
      <c r="AG61" s="50" t="n"/>
      <c r="AH61" s="50" t="n"/>
    </row>
    <row r="62">
      <c r="B62" s="10"/>
      <c r="C62" s="14"/>
      <c r="D62" s="18" t="s">
        <v>1172</v>
      </c>
      <c r="E62" s="51" t="n"/>
      <c r="F62" s="51" t="n"/>
      <c r="G62" s="51" t="n"/>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51" t="n"/>
      <c r="AE62" s="51" t="n"/>
      <c r="AF62" s="51" t="n"/>
      <c r="AG62" s="51" t="n"/>
      <c r="AH62" s="51" t="n"/>
    </row>
    <row r="63">
      <c r="B63" s="10"/>
      <c r="C63" s="14"/>
      <c r="D63" s="19" t="s">
        <v>1173</v>
      </c>
      <c r="E63" s="50" t="n"/>
      <c r="F63" s="50" t="n"/>
      <c r="G63" s="50" t="n"/>
      <c r="H63" s="50" t="n"/>
      <c r="I63" s="50" t="n"/>
      <c r="J63" s="50" t="n"/>
      <c r="K63" s="50" t="n"/>
      <c r="L63" s="50" t="n"/>
      <c r="M63" s="50" t="n"/>
      <c r="N63" s="50" t="n"/>
      <c r="O63" s="50" t="n"/>
      <c r="P63" s="50" t="n"/>
      <c r="Q63" s="50" t="n"/>
      <c r="R63" s="50" t="n"/>
      <c r="S63" s="50" t="n"/>
      <c r="T63" s="50" t="n"/>
      <c r="U63" s="50" t="n"/>
      <c r="V63" s="50" t="n"/>
      <c r="W63" s="50" t="n"/>
      <c r="X63" s="50" t="n"/>
      <c r="Y63" s="50" t="n"/>
      <c r="Z63" s="50" t="n"/>
      <c r="AA63" s="50" t="n"/>
      <c r="AB63" s="50" t="n"/>
      <c r="AC63" s="50" t="n"/>
      <c r="AD63" s="50" t="n"/>
      <c r="AE63" s="50" t="n"/>
      <c r="AF63" s="50" t="n"/>
      <c r="AG63" s="50" t="n"/>
      <c r="AH63" s="50" t="n"/>
    </row>
    <row r="64">
      <c r="B64" s="10"/>
      <c r="C64" s="14"/>
      <c r="D64" s="18" t="s">
        <v>1174</v>
      </c>
      <c r="E64" s="51" t="n"/>
      <c r="F64" s="51" t="n"/>
      <c r="G64" s="51" t="n"/>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51" t="n"/>
      <c r="AE64" s="51" t="n"/>
      <c r="AF64" s="51" t="n"/>
      <c r="AG64" s="51" t="n"/>
      <c r="AH64" s="51" t="n"/>
    </row>
    <row r="65">
      <c r="B65" s="10"/>
      <c r="C65" s="15"/>
      <c r="D65" s="57" t="s">
        <v>1175</v>
      </c>
      <c r="E65" s="50" t="n">
        <f>SUM(E54:E64)</f>
      </c>
      <c r="F65" s="50" t="n">
        <f>SUM(F54:F64)</f>
      </c>
      <c r="G65" s="50" t="n">
        <f>SUM(G54:G64)</f>
      </c>
      <c r="H65" s="50" t="n">
        <f>SUM(H54:H64)</f>
      </c>
      <c r="I65" s="50" t="n">
        <f>SUM(I54:I64)</f>
      </c>
      <c r="J65" s="50" t="n">
        <f>SUM(J54:J64)</f>
      </c>
      <c r="K65" s="50" t="n">
        <f>SUM(K54:K64)</f>
      </c>
      <c r="L65" s="50" t="n">
        <f>SUM(L54:L64)</f>
      </c>
      <c r="M65" s="50" t="n">
        <f>SUM(M54:M64)</f>
      </c>
      <c r="N65" s="50" t="n">
        <f>SUM(N54:N64)</f>
      </c>
      <c r="O65" s="50" t="n">
        <f>SUM(O54:O64)</f>
      </c>
      <c r="P65" s="50" t="n">
        <f>SUM(P54:P64)</f>
      </c>
      <c r="Q65" s="50" t="n">
        <f>SUM(Q54:Q64)</f>
      </c>
      <c r="R65" s="50" t="n">
        <f>SUM(R54:R64)</f>
      </c>
      <c r="S65" s="50" t="n">
        <f>SUM(S54:S64)</f>
      </c>
      <c r="T65" s="50" t="n">
        <f>SUM(T54:T64)</f>
      </c>
      <c r="U65" s="50" t="n">
        <f>SUM(U54:U64)</f>
      </c>
      <c r="V65" s="50" t="n">
        <f>SUM(V54:V64)</f>
      </c>
      <c r="W65" s="50" t="n">
        <f>SUM(W54:W64)</f>
      </c>
      <c r="X65" s="50" t="n">
        <f>SUM(X54:X64)</f>
      </c>
      <c r="Y65" s="50" t="n">
        <f>SUM(Y54:Y64)</f>
      </c>
      <c r="Z65" s="50" t="n">
        <f>SUM(Z54:Z64)</f>
      </c>
      <c r="AA65" s="50" t="n">
        <f>SUM(AA54:AA64)</f>
      </c>
      <c r="AB65" s="50" t="n">
        <f>SUM(AB54:AB64)</f>
      </c>
      <c r="AC65" s="50" t="n">
        <f>SUM(AC54:AC64)</f>
      </c>
      <c r="AD65" s="50" t="n">
        <f>SUM(AD54:AD64)</f>
      </c>
      <c r="AE65" s="50" t="n">
        <f>SUM(AE54:AE64)</f>
      </c>
      <c r="AF65" s="50" t="n">
        <f>SUM(AF54:AF64)</f>
      </c>
      <c r="AG65" s="50" t="n">
        <f>SUM(AG54:AG64)</f>
      </c>
      <c r="AH65" s="50" t="n">
        <f>SUM(AH54:AH64)</f>
      </c>
    </row>
    <row r="66">
      <c r="B66" s="10"/>
      <c r="C66" s="7" t="s">
        <v>1176</v>
      </c>
      <c r="D66" s="9"/>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row>
    <row r="67">
      <c r="B67" s="10"/>
      <c r="C67" s="10"/>
      <c r="D67" s="19" t="s">
        <v>1177</v>
      </c>
      <c r="E67" s="50" t="n"/>
      <c r="F67" s="50" t="n"/>
      <c r="G67" s="50" t="n"/>
      <c r="H67" s="50" t="n"/>
      <c r="I67" s="50" t="n"/>
      <c r="J67" s="50" t="n"/>
      <c r="K67" s="50" t="n"/>
      <c r="L67" s="50" t="n"/>
      <c r="M67" s="50" t="n"/>
      <c r="N67" s="50" t="n"/>
      <c r="O67" s="50" t="n"/>
      <c r="P67" s="50" t="n"/>
      <c r="Q67" s="50" t="n"/>
      <c r="R67" s="50" t="n"/>
      <c r="S67" s="50" t="n"/>
      <c r="T67" s="50" t="n"/>
      <c r="U67" s="50" t="n"/>
      <c r="V67" s="50" t="n"/>
      <c r="W67" s="50" t="n"/>
      <c r="X67" s="50" t="n"/>
      <c r="Y67" s="50" t="n"/>
      <c r="Z67" s="50" t="n"/>
      <c r="AA67" s="50" t="n"/>
      <c r="AB67" s="50" t="n"/>
      <c r="AC67" s="50" t="n"/>
      <c r="AD67" s="50" t="n"/>
      <c r="AE67" s="50" t="n"/>
      <c r="AF67" s="50" t="n"/>
      <c r="AG67" s="50" t="n"/>
      <c r="AH67" s="50" t="n"/>
    </row>
    <row r="68">
      <c r="B68" s="10"/>
      <c r="C68" s="10"/>
      <c r="D68" s="18" t="s">
        <v>1178</v>
      </c>
      <c r="E68" s="51" t="n"/>
      <c r="F68" s="51" t="n"/>
      <c r="G68" s="51" t="n"/>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51" t="n"/>
      <c r="AE68" s="51" t="n"/>
      <c r="AF68" s="51" t="n"/>
      <c r="AG68" s="51" t="n"/>
      <c r="AH68" s="51" t="n"/>
    </row>
    <row r="69">
      <c r="B69" s="10"/>
      <c r="C69" s="10"/>
      <c r="D69" s="19" t="s">
        <v>1179</v>
      </c>
      <c r="E69" s="50" t="n"/>
      <c r="F69" s="50" t="n"/>
      <c r="G69" s="50" t="n"/>
      <c r="H69" s="50" t="n"/>
      <c r="I69" s="50" t="n"/>
      <c r="J69" s="50" t="n"/>
      <c r="K69" s="50" t="n"/>
      <c r="L69" s="50" t="n"/>
      <c r="M69" s="50" t="n"/>
      <c r="N69" s="50" t="n"/>
      <c r="O69" s="50" t="n"/>
      <c r="P69" s="50" t="n"/>
      <c r="Q69" s="50" t="n"/>
      <c r="R69" s="50" t="n"/>
      <c r="S69" s="50" t="n"/>
      <c r="T69" s="50" t="n"/>
      <c r="U69" s="50" t="n"/>
      <c r="V69" s="50" t="n"/>
      <c r="W69" s="50" t="n"/>
      <c r="X69" s="50" t="n"/>
      <c r="Y69" s="50" t="n"/>
      <c r="Z69" s="50" t="n"/>
      <c r="AA69" s="50" t="n"/>
      <c r="AB69" s="50" t="n"/>
      <c r="AC69" s="50" t="n"/>
      <c r="AD69" s="50" t="n"/>
      <c r="AE69" s="50" t="n"/>
      <c r="AF69" s="50" t="n"/>
      <c r="AG69" s="50" t="n"/>
      <c r="AH69" s="50" t="n"/>
    </row>
    <row r="70">
      <c r="B70" s="10"/>
      <c r="C70" s="10"/>
      <c r="D70" s="18" t="s">
        <v>1180</v>
      </c>
      <c r="E70" s="51" t="n"/>
      <c r="F70" s="51" t="n"/>
      <c r="G70" s="51" t="n"/>
      <c r="H70" s="51" t="n"/>
      <c r="I70" s="51" t="n"/>
      <c r="J70" s="51" t="n"/>
      <c r="K70" s="51" t="n"/>
      <c r="L70" s="51" t="n"/>
      <c r="M70" s="51" t="n"/>
      <c r="N70" s="51" t="n"/>
      <c r="O70" s="51" t="n"/>
      <c r="P70" s="51" t="n"/>
      <c r="Q70" s="51" t="n"/>
      <c r="R70" s="51" t="n"/>
      <c r="S70" s="51" t="n"/>
      <c r="T70" s="51" t="n"/>
      <c r="U70" s="51" t="n"/>
      <c r="V70" s="51" t="n"/>
      <c r="W70" s="51" t="n"/>
      <c r="X70" s="51" t="n"/>
      <c r="Y70" s="51" t="n"/>
      <c r="Z70" s="51" t="n"/>
      <c r="AA70" s="51" t="n"/>
      <c r="AB70" s="51" t="n"/>
      <c r="AC70" s="51" t="n"/>
      <c r="AD70" s="51" t="n"/>
      <c r="AE70" s="51" t="n"/>
      <c r="AF70" s="51" t="n"/>
      <c r="AG70" s="51" t="n"/>
      <c r="AH70" s="51" t="n"/>
    </row>
    <row r="71">
      <c r="B71" s="10"/>
      <c r="C71" s="10"/>
      <c r="D71" s="19" t="s">
        <v>1181</v>
      </c>
      <c r="E71" s="50" t="n"/>
      <c r="F71" s="50" t="n"/>
      <c r="G71" s="50" t="n"/>
      <c r="H71" s="50" t="n"/>
      <c r="I71" s="50" t="n"/>
      <c r="J71" s="50" t="n"/>
      <c r="K71" s="50" t="n"/>
      <c r="L71" s="50" t="n"/>
      <c r="M71" s="50" t="n"/>
      <c r="N71" s="50" t="n"/>
      <c r="O71" s="50" t="n"/>
      <c r="P71" s="50" t="n"/>
      <c r="Q71" s="50" t="n"/>
      <c r="R71" s="50" t="n"/>
      <c r="S71" s="50" t="n"/>
      <c r="T71" s="50" t="n"/>
      <c r="U71" s="50" t="n"/>
      <c r="V71" s="50" t="n"/>
      <c r="W71" s="50" t="n"/>
      <c r="X71" s="50" t="n"/>
      <c r="Y71" s="50" t="n"/>
      <c r="Z71" s="50" t="n"/>
      <c r="AA71" s="50" t="n"/>
      <c r="AB71" s="50" t="n"/>
      <c r="AC71" s="50" t="n"/>
      <c r="AD71" s="50" t="n"/>
      <c r="AE71" s="50" t="n"/>
      <c r="AF71" s="50" t="n"/>
      <c r="AG71" s="50" t="n"/>
      <c r="AH71" s="50" t="n"/>
    </row>
    <row r="72">
      <c r="B72" s="10"/>
      <c r="C72" s="10"/>
      <c r="D72" s="18" t="s">
        <v>1182</v>
      </c>
      <c r="E72" s="51" t="n"/>
      <c r="F72" s="51" t="n"/>
      <c r="G72" s="51" t="n"/>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1" t="n"/>
      <c r="AD72" s="51" t="n"/>
      <c r="AE72" s="51" t="n"/>
      <c r="AF72" s="51" t="n"/>
      <c r="AG72" s="51" t="n"/>
      <c r="AH72" s="51" t="n"/>
    </row>
    <row r="73">
      <c r="B73" s="10"/>
      <c r="C73" s="11"/>
      <c r="D73" s="57" t="s">
        <v>1183</v>
      </c>
      <c r="E73" s="50" t="n">
        <f>SUM(E67:E72)</f>
      </c>
      <c r="F73" s="50" t="n">
        <f>SUM(F67:F72)</f>
      </c>
      <c r="G73" s="50" t="n">
        <f>SUM(G67:G72)</f>
      </c>
      <c r="H73" s="50" t="n">
        <f>SUM(H67:H72)</f>
      </c>
      <c r="I73" s="50" t="n">
        <f>SUM(I67:I72)</f>
      </c>
      <c r="J73" s="50" t="n">
        <f>SUM(J67:J72)</f>
      </c>
      <c r="K73" s="50" t="n">
        <f>SUM(K67:K72)</f>
      </c>
      <c r="L73" s="50" t="n">
        <f>SUM(L67:L72)</f>
      </c>
      <c r="M73" s="50" t="n">
        <f>SUM(M67:M72)</f>
      </c>
      <c r="N73" s="50" t="n">
        <f>SUM(N67:N72)</f>
      </c>
      <c r="O73" s="50" t="n">
        <f>SUM(O67:O72)</f>
      </c>
      <c r="P73" s="50" t="n">
        <f>SUM(P67:P72)</f>
      </c>
      <c r="Q73" s="50" t="n">
        <f>SUM(Q67:Q72)</f>
      </c>
      <c r="R73" s="50" t="n">
        <f>SUM(R67:R72)</f>
      </c>
      <c r="S73" s="50" t="n">
        <f>SUM(S67:S72)</f>
      </c>
      <c r="T73" s="50" t="n">
        <f>SUM(T67:T72)</f>
      </c>
      <c r="U73" s="50" t="n">
        <f>SUM(U67:U72)</f>
      </c>
      <c r="V73" s="50" t="n">
        <f>SUM(V67:V72)</f>
      </c>
      <c r="W73" s="50" t="n">
        <f>SUM(W67:W72)</f>
      </c>
      <c r="X73" s="50" t="n">
        <f>SUM(X67:X72)</f>
      </c>
      <c r="Y73" s="50" t="n">
        <f>SUM(Y67:Y72)</f>
      </c>
      <c r="Z73" s="50" t="n">
        <f>SUM(Z67:Z72)</f>
      </c>
      <c r="AA73" s="50" t="n">
        <f>SUM(AA67:AA72)</f>
      </c>
      <c r="AB73" s="50" t="n">
        <f>SUM(AB67:AB72)</f>
      </c>
      <c r="AC73" s="50" t="n">
        <f>SUM(AC67:AC72)</f>
      </c>
      <c r="AD73" s="50" t="n">
        <f>SUM(AD67:AD72)</f>
      </c>
      <c r="AE73" s="50" t="n">
        <f>SUM(AE67:AE72)</f>
      </c>
      <c r="AF73" s="50" t="n">
        <f>SUM(AF67:AF72)</f>
      </c>
      <c r="AG73" s="50" t="n">
        <f>SUM(AG67:AG72)</f>
      </c>
      <c r="AH73" s="50" t="n">
        <f>SUM(AH67:AH72)</f>
      </c>
    </row>
    <row r="74">
      <c r="B74" s="10"/>
      <c r="C74" s="11" t="s">
        <v>1184</v>
      </c>
      <c r="D74" s="9"/>
      <c r="E74" s="51" t="n"/>
      <c r="F74" s="51" t="n"/>
      <c r="G74" s="51" t="n"/>
      <c r="H74" s="51" t="n"/>
      <c r="I74" s="51" t="n"/>
      <c r="J74" s="51" t="n"/>
      <c r="K74" s="51" t="n"/>
      <c r="L74" s="51" t="n"/>
      <c r="M74" s="51" t="n"/>
      <c r="N74" s="51" t="n"/>
      <c r="O74" s="51" t="n"/>
      <c r="P74" s="51" t="n"/>
      <c r="Q74" s="51" t="n"/>
      <c r="R74" s="51" t="n"/>
      <c r="S74" s="51" t="n"/>
      <c r="T74" s="51" t="n"/>
      <c r="U74" s="51" t="n"/>
      <c r="V74" s="51" t="n"/>
      <c r="W74" s="51" t="n"/>
      <c r="X74" s="51" t="n"/>
      <c r="Y74" s="51" t="n"/>
      <c r="Z74" s="51" t="n"/>
      <c r="AA74" s="51" t="n"/>
      <c r="AB74" s="51" t="n"/>
      <c r="AC74" s="51" t="n"/>
      <c r="AD74" s="51" t="n"/>
      <c r="AE74" s="51" t="n"/>
      <c r="AF74" s="51" t="n"/>
      <c r="AG74" s="51" t="n"/>
      <c r="AH74" s="51" t="n"/>
    </row>
    <row r="75">
      <c r="B75" s="10"/>
      <c r="C75" s="15" t="s">
        <v>1185</v>
      </c>
      <c r="D75" s="13"/>
      <c r="E75" s="50" t="n"/>
      <c r="F75" s="50" t="n"/>
      <c r="G75" s="50" t="n"/>
      <c r="H75" s="50" t="n"/>
      <c r="I75" s="50" t="n"/>
      <c r="J75" s="50" t="n"/>
      <c r="K75" s="50" t="n"/>
      <c r="L75" s="50" t="n"/>
      <c r="M75" s="50" t="n"/>
      <c r="N75" s="50" t="n"/>
      <c r="O75" s="50" t="n"/>
      <c r="P75" s="50" t="n"/>
      <c r="Q75" s="50" t="n"/>
      <c r="R75" s="50" t="n"/>
      <c r="S75" s="50" t="n"/>
      <c r="T75" s="50" t="n"/>
      <c r="U75" s="50" t="n"/>
      <c r="V75" s="50" t="n"/>
      <c r="W75" s="50" t="n"/>
      <c r="X75" s="50" t="n"/>
      <c r="Y75" s="50" t="n"/>
      <c r="Z75" s="50" t="n"/>
      <c r="AA75" s="50" t="n"/>
      <c r="AB75" s="50" t="n"/>
      <c r="AC75" s="50" t="n"/>
      <c r="AD75" s="50" t="n"/>
      <c r="AE75" s="50" t="n"/>
      <c r="AF75" s="50" t="n"/>
      <c r="AG75" s="50" t="n"/>
      <c r="AH75" s="50" t="n"/>
    </row>
    <row r="76">
      <c r="B76" s="10"/>
      <c r="C76" s="11" t="s">
        <v>1186</v>
      </c>
      <c r="D76" s="9"/>
      <c r="E76" s="51" t="n"/>
      <c r="F76" s="51" t="n"/>
      <c r="G76" s="51" t="n"/>
      <c r="H76" s="51" t="n"/>
      <c r="I76" s="51" t="n"/>
      <c r="J76" s="51" t="n"/>
      <c r="K76" s="51" t="n"/>
      <c r="L76" s="51" t="n"/>
      <c r="M76" s="51" t="n"/>
      <c r="N76" s="51" t="n"/>
      <c r="O76" s="51" t="n"/>
      <c r="P76" s="51" t="n"/>
      <c r="Q76" s="51" t="n"/>
      <c r="R76" s="51" t="n"/>
      <c r="S76" s="51" t="n"/>
      <c r="T76" s="51" t="n"/>
      <c r="U76" s="51" t="n"/>
      <c r="V76" s="51" t="n"/>
      <c r="W76" s="51" t="n"/>
      <c r="X76" s="51" t="n"/>
      <c r="Y76" s="51" t="n"/>
      <c r="Z76" s="51" t="n"/>
      <c r="AA76" s="51" t="n"/>
      <c r="AB76" s="51" t="n"/>
      <c r="AC76" s="51" t="n"/>
      <c r="AD76" s="51" t="n"/>
      <c r="AE76" s="51" t="n"/>
      <c r="AF76" s="51" t="n"/>
      <c r="AG76" s="51" t="n"/>
      <c r="AH76" s="51" t="n"/>
    </row>
    <row r="77">
      <c r="B77" s="10"/>
      <c r="C77" s="15" t="s">
        <v>1187</v>
      </c>
      <c r="D77" s="13"/>
      <c r="E77" s="50" t="n"/>
      <c r="F77" s="50" t="n"/>
      <c r="G77" s="50" t="n"/>
      <c r="H77" s="50" t="n"/>
      <c r="I77" s="50" t="n"/>
      <c r="J77" s="50" t="n"/>
      <c r="K77" s="50" t="n"/>
      <c r="L77" s="50" t="n"/>
      <c r="M77" s="50" t="n"/>
      <c r="N77" s="50" t="n"/>
      <c r="O77" s="50" t="n"/>
      <c r="P77" s="50" t="n"/>
      <c r="Q77" s="50" t="n"/>
      <c r="R77" s="50" t="n"/>
      <c r="S77" s="50" t="n"/>
      <c r="T77" s="50" t="n"/>
      <c r="U77" s="50" t="n"/>
      <c r="V77" s="50" t="n"/>
      <c r="W77" s="50" t="n"/>
      <c r="X77" s="50" t="n"/>
      <c r="Y77" s="50" t="n"/>
      <c r="Z77" s="50" t="n"/>
      <c r="AA77" s="50" t="n"/>
      <c r="AB77" s="50" t="n"/>
      <c r="AC77" s="50" t="n"/>
      <c r="AD77" s="50" t="n"/>
      <c r="AE77" s="50" t="n"/>
      <c r="AF77" s="50" t="n"/>
      <c r="AG77" s="50" t="n"/>
      <c r="AH77" s="50" t="n"/>
    </row>
    <row r="78">
      <c r="B78" s="10"/>
      <c r="C78" s="11" t="s">
        <v>1188</v>
      </c>
      <c r="D78" s="9"/>
      <c r="E78" s="51" t="n"/>
      <c r="F78" s="51" t="n"/>
      <c r="G78" s="51" t="n"/>
      <c r="H78" s="51" t="n"/>
      <c r="I78" s="51" t="n"/>
      <c r="J78" s="51" t="n"/>
      <c r="K78" s="51" t="n"/>
      <c r="L78" s="51" t="n"/>
      <c r="M78" s="51" t="n"/>
      <c r="N78" s="51" t="n"/>
      <c r="O78" s="51" t="n"/>
      <c r="P78" s="51" t="n"/>
      <c r="Q78" s="51" t="n"/>
      <c r="R78" s="51" t="n"/>
      <c r="S78" s="51" t="n"/>
      <c r="T78" s="51" t="n"/>
      <c r="U78" s="51" t="n"/>
      <c r="V78" s="51" t="n"/>
      <c r="W78" s="51" t="n"/>
      <c r="X78" s="51" t="n"/>
      <c r="Y78" s="51" t="n"/>
      <c r="Z78" s="51" t="n"/>
      <c r="AA78" s="51" t="n"/>
      <c r="AB78" s="51" t="n"/>
      <c r="AC78" s="51" t="n"/>
      <c r="AD78" s="51" t="n"/>
      <c r="AE78" s="51" t="n"/>
      <c r="AF78" s="51" t="n"/>
      <c r="AG78" s="51" t="n"/>
      <c r="AH78" s="51" t="n"/>
    </row>
    <row r="79">
      <c r="B79" s="10"/>
      <c r="C79" s="15" t="s">
        <v>1189</v>
      </c>
      <c r="D79" s="13"/>
      <c r="E79" s="50" t="n"/>
      <c r="F79" s="50" t="n"/>
      <c r="G79" s="50" t="n"/>
      <c r="H79" s="50" t="n"/>
      <c r="I79" s="50" t="n"/>
      <c r="J79" s="50" t="n"/>
      <c r="K79" s="50" t="n"/>
      <c r="L79" s="50" t="n"/>
      <c r="M79" s="50" t="n"/>
      <c r="N79" s="50" t="n"/>
      <c r="O79" s="50" t="n"/>
      <c r="P79" s="50" t="n"/>
      <c r="Q79" s="50" t="n"/>
      <c r="R79" s="50" t="n"/>
      <c r="S79" s="50" t="n"/>
      <c r="T79" s="50" t="n"/>
      <c r="U79" s="50" t="n"/>
      <c r="V79" s="50" t="n"/>
      <c r="W79" s="50" t="n"/>
      <c r="X79" s="50" t="n"/>
      <c r="Y79" s="50" t="n"/>
      <c r="Z79" s="50" t="n"/>
      <c r="AA79" s="50" t="n"/>
      <c r="AB79" s="50" t="n"/>
      <c r="AC79" s="50" t="n"/>
      <c r="AD79" s="50" t="n"/>
      <c r="AE79" s="50" t="n"/>
      <c r="AF79" s="50" t="n"/>
      <c r="AG79" s="50" t="n"/>
      <c r="AH79" s="50" t="n"/>
    </row>
    <row r="80">
      <c r="B80" s="10"/>
      <c r="C80" s="11" t="s">
        <v>1190</v>
      </c>
      <c r="D80" s="9"/>
      <c r="E80" s="51" t="n"/>
      <c r="F80" s="51" t="n"/>
      <c r="G80" s="51" t="n"/>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1" t="n"/>
      <c r="AD80" s="51" t="n"/>
      <c r="AE80" s="51" t="n"/>
      <c r="AF80" s="51" t="n"/>
      <c r="AG80" s="51" t="n"/>
      <c r="AH80" s="51" t="n"/>
    </row>
    <row r="81">
      <c r="B81" s="10"/>
      <c r="C81" s="15" t="s">
        <v>1191</v>
      </c>
      <c r="D81" s="13"/>
      <c r="E81" s="50" t="n"/>
      <c r="F81" s="50" t="n"/>
      <c r="G81" s="50" t="n"/>
      <c r="H81" s="50" t="n"/>
      <c r="I81" s="50" t="n"/>
      <c r="J81" s="50" t="n"/>
      <c r="K81" s="50" t="n"/>
      <c r="L81" s="50" t="n"/>
      <c r="M81" s="50" t="n"/>
      <c r="N81" s="50" t="n"/>
      <c r="O81" s="50" t="n"/>
      <c r="P81" s="50" t="n"/>
      <c r="Q81" s="50" t="n"/>
      <c r="R81" s="50" t="n"/>
      <c r="S81" s="50" t="n"/>
      <c r="T81" s="50" t="n"/>
      <c r="U81" s="50" t="n"/>
      <c r="V81" s="50" t="n"/>
      <c r="W81" s="50" t="n"/>
      <c r="X81" s="50" t="n"/>
      <c r="Y81" s="50" t="n"/>
      <c r="Z81" s="50" t="n"/>
      <c r="AA81" s="50" t="n"/>
      <c r="AB81" s="50" t="n"/>
      <c r="AC81" s="50" t="n"/>
      <c r="AD81" s="50" t="n"/>
      <c r="AE81" s="50" t="n"/>
      <c r="AF81" s="50" t="n"/>
      <c r="AG81" s="50" t="n"/>
      <c r="AH81" s="50" t="n"/>
    </row>
    <row r="82">
      <c r="B82" s="10"/>
      <c r="C82" s="11" t="s">
        <v>1192</v>
      </c>
      <c r="D82" s="9"/>
      <c r="E82" s="51" t="n"/>
      <c r="F82" s="51" t="n"/>
      <c r="G82" s="51" t="n"/>
      <c r="H82" s="51" t="n"/>
      <c r="I82" s="51" t="n"/>
      <c r="J82" s="51" t="n"/>
      <c r="K82" s="51" t="n"/>
      <c r="L82" s="51" t="n"/>
      <c r="M82" s="51" t="n"/>
      <c r="N82" s="51" t="n"/>
      <c r="O82" s="51" t="n"/>
      <c r="P82" s="51" t="n"/>
      <c r="Q82" s="51" t="n"/>
      <c r="R82" s="51" t="n"/>
      <c r="S82" s="51" t="n"/>
      <c r="T82" s="51" t="n"/>
      <c r="U82" s="51" t="n"/>
      <c r="V82" s="51" t="n"/>
      <c r="W82" s="51" t="n"/>
      <c r="X82" s="51" t="n"/>
      <c r="Y82" s="51" t="n"/>
      <c r="Z82" s="51" t="n"/>
      <c r="AA82" s="51" t="n"/>
      <c r="AB82" s="51" t="n"/>
      <c r="AC82" s="51" t="n"/>
      <c r="AD82" s="51" t="n"/>
      <c r="AE82" s="51" t="n"/>
      <c r="AF82" s="51" t="n"/>
      <c r="AG82" s="51" t="n"/>
      <c r="AH82" s="51" t="n"/>
    </row>
    <row r="83">
      <c r="B83" s="10"/>
      <c r="C83" s="15" t="s">
        <v>1193</v>
      </c>
      <c r="D83" s="13"/>
      <c r="E83" s="50" t="n"/>
      <c r="F83" s="50" t="n"/>
      <c r="G83" s="50" t="n"/>
      <c r="H83" s="50" t="n"/>
      <c r="I83" s="50" t="n"/>
      <c r="J83" s="50" t="n"/>
      <c r="K83" s="50" t="n"/>
      <c r="L83" s="50" t="n"/>
      <c r="M83" s="50" t="n"/>
      <c r="N83" s="50" t="n"/>
      <c r="O83" s="50" t="n"/>
      <c r="P83" s="50" t="n"/>
      <c r="Q83" s="50" t="n"/>
      <c r="R83" s="50" t="n"/>
      <c r="S83" s="50" t="n"/>
      <c r="T83" s="50" t="n"/>
      <c r="U83" s="50" t="n"/>
      <c r="V83" s="50" t="n"/>
      <c r="W83" s="50" t="n"/>
      <c r="X83" s="50" t="n"/>
      <c r="Y83" s="50" t="n"/>
      <c r="Z83" s="50" t="n"/>
      <c r="AA83" s="50" t="n"/>
      <c r="AB83" s="50" t="n"/>
      <c r="AC83" s="50" t="n"/>
      <c r="AD83" s="50" t="n"/>
      <c r="AE83" s="50" t="n"/>
      <c r="AF83" s="50" t="n"/>
      <c r="AG83" s="50" t="n"/>
      <c r="AH83" s="50" t="n"/>
    </row>
    <row r="84">
      <c r="B84" s="11"/>
      <c r="C84" s="45" t="s">
        <v>1194</v>
      </c>
      <c r="D84" s="44"/>
      <c r="E84" s="52" t="n">
        <f>SUM(E15:E21)+E26+E27+SUM(E35:E37)+E52+E65+SUM(E73:E83)</f>
      </c>
      <c r="F84" s="52" t="n">
        <f>SUM(F15:F21)+F26+F27+SUM(F35:F37)+F52+F65+SUM(F73:F83)</f>
      </c>
      <c r="G84" s="52" t="n">
        <f>SUM(G15:G21)+G26+G27+SUM(G35:G37)+G52+G65+SUM(G73:G83)</f>
      </c>
      <c r="H84" s="52" t="n">
        <f>SUM(H15:H21)+H26+H27+SUM(H35:H37)+H52+H65+SUM(H73:H83)</f>
      </c>
      <c r="I84" s="52" t="n">
        <f>SUM(I15:I21)+I26+I27+SUM(I35:I37)+I52+I65+SUM(I73:I83)</f>
      </c>
      <c r="J84" s="52" t="n">
        <f>SUM(J15:J21)+J26+J27+SUM(J35:J37)+J52+J65+SUM(J73:J83)</f>
      </c>
      <c r="K84" s="52" t="n">
        <f>SUM(K15:K21)+K26+K27+SUM(K35:K37)+K52+K65+SUM(K73:K83)</f>
      </c>
      <c r="L84" s="52" t="n">
        <f>SUM(L15:L21)+L26+L27+SUM(L35:L37)+L52+L65+SUM(L73:L83)</f>
      </c>
      <c r="M84" s="52" t="n">
        <f>SUM(M15:M21)+M26+M27+SUM(M35:M37)+M52+M65+SUM(M73:M83)</f>
      </c>
      <c r="N84" s="52" t="n">
        <f>SUM(N15:N21)+N26+N27+SUM(N35:N37)+N52+N65+SUM(N73:N83)</f>
      </c>
      <c r="O84" s="52" t="n">
        <f>SUM(O15:O21)+O26+O27+SUM(O35:O37)+O52+O65+SUM(O73:O83)</f>
      </c>
      <c r="P84" s="52" t="n">
        <f>SUM(P15:P21)+P26+P27+SUM(P35:P37)+P52+P65+SUM(P73:P83)</f>
      </c>
      <c r="Q84" s="52" t="n">
        <f>SUM(Q15:Q21)+Q26+Q27+SUM(Q35:Q37)+Q52+Q65+SUM(Q73:Q83)</f>
      </c>
      <c r="R84" s="52" t="n">
        <f>SUM(R15:R21)+R26+R27+SUM(R35:R37)+R52+R65+SUM(R73:R83)</f>
      </c>
      <c r="S84" s="52" t="n">
        <f>SUM(S15:S21)+S26+S27+SUM(S35:S37)+S52+S65+SUM(S73:S83)</f>
      </c>
      <c r="T84" s="52" t="n">
        <f>SUM(T15:T21)+T26+T27+SUM(T35:T37)+T52+T65+SUM(T73:T83)</f>
      </c>
      <c r="U84" s="52" t="n">
        <f>SUM(U15:U21)+U26+U27+SUM(U35:U37)+U52+U65+SUM(U73:U83)</f>
      </c>
      <c r="V84" s="52" t="n">
        <f>SUM(V15:V21)+V26+V27+SUM(V35:V37)+V52+V65+SUM(V73:V83)</f>
      </c>
      <c r="W84" s="52" t="n">
        <f>SUM(W15:W21)+W26+W27+SUM(W35:W37)+W52+W65+SUM(W73:W83)</f>
      </c>
      <c r="X84" s="52" t="n">
        <f>SUM(X15:X21)+X26+X27+SUM(X35:X37)+X52+X65+SUM(X73:X83)</f>
      </c>
      <c r="Y84" s="52" t="n">
        <f>SUM(Y15:Y21)+Y26+Y27+SUM(Y35:Y37)+Y52+Y65+SUM(Y73:Y83)</f>
      </c>
      <c r="Z84" s="52" t="n">
        <f>SUM(Z15:Z21)+Z26+Z27+SUM(Z35:Z37)+Z52+Z65+SUM(Z73:Z83)</f>
      </c>
      <c r="AA84" s="52" t="n">
        <f>SUM(AA15:AA21)+AA26+AA27+SUM(AA35:AA37)+AA52+AA65+SUM(AA73:AA83)</f>
      </c>
      <c r="AB84" s="52" t="n">
        <f>SUM(AB15:AB21)+AB26+AB27+SUM(AB35:AB37)+AB52+AB65+SUM(AB73:AB83)</f>
      </c>
      <c r="AC84" s="52" t="n">
        <f>SUM(AC15:AC21)+AC26+AC27+SUM(AC35:AC37)+AC52+AC65+SUM(AC73:AC83)</f>
      </c>
      <c r="AD84" s="52" t="n">
        <f>SUM(AD15:AD21)+AD26+AD27+SUM(AD35:AD37)+AD52+AD65+SUM(AD73:AD83)</f>
      </c>
      <c r="AE84" s="52" t="n">
        <f>SUM(AE15:AE21)+AE26+AE27+SUM(AE35:AE37)+AE52+AE65+SUM(AE73:AE83)</f>
      </c>
      <c r="AF84" s="52" t="n">
        <f>SUM(AF15:AF21)+AF26+AF27+SUM(AF35:AF37)+AF52+AF65+SUM(AF73:AF83)</f>
      </c>
      <c r="AG84" s="52" t="n">
        <f>SUM(AG15:AG21)+AG26+AG27+SUM(AG35:AG37)+AG52+AG65+SUM(AG73:AG83)</f>
      </c>
      <c r="AH84" s="52" t="n">
        <f>SUM(AH15:AH21)+AH26+AH27+SUM(AH35:AH37)+AH52+AH65+SUM(AH73:AH83)</f>
      </c>
    </row>
  </sheetData>
  <mergeCells>
    <mergeCell ref="E10:AH10"/>
    <mergeCell ref="E11:S11"/>
    <mergeCell ref="E12:G12"/>
    <mergeCell ref="H12:J12"/>
    <mergeCell ref="K12:M12"/>
    <mergeCell ref="N12:P12"/>
    <mergeCell ref="Q12:Q13"/>
    <mergeCell ref="R12:R13"/>
    <mergeCell ref="T11:AE11"/>
    <mergeCell ref="T12:V12"/>
    <mergeCell ref="W12:Y12"/>
    <mergeCell ref="Z12:AB12"/>
    <mergeCell ref="AC12:AC13"/>
    <mergeCell ref="AD12:AD13"/>
    <mergeCell ref="AF11:AF13"/>
    <mergeCell ref="AG11:AG13"/>
    <mergeCell ref="B14:D14"/>
    <mergeCell ref="C15:D15"/>
    <mergeCell ref="C16:D16"/>
    <mergeCell ref="C17:D17"/>
    <mergeCell ref="C18:D18"/>
    <mergeCell ref="C19:D19"/>
    <mergeCell ref="C20:D20"/>
    <mergeCell ref="C21:D21"/>
    <mergeCell ref="C22:D22"/>
    <mergeCell ref="C27:D27"/>
    <mergeCell ref="C28:D28"/>
    <mergeCell ref="C36:D36"/>
    <mergeCell ref="C37:D37"/>
    <mergeCell ref="C38:D38"/>
    <mergeCell ref="C53:D53"/>
    <mergeCell ref="C66:D66"/>
    <mergeCell ref="C74:D74"/>
    <mergeCell ref="C75:D75"/>
    <mergeCell ref="C76:D76"/>
    <mergeCell ref="C77:D77"/>
    <mergeCell ref="C78:D78"/>
    <mergeCell ref="C79:D79"/>
    <mergeCell ref="C80:D80"/>
    <mergeCell ref="C81:D81"/>
    <mergeCell ref="C82:D82"/>
    <mergeCell ref="C83:D83"/>
    <mergeCell ref="C84:D84"/>
  </mergeCells>
  <hyperlinks>
    <hyperlink location="'Indice'!A1" ref="B2"/>
  </hyperlinks>
  <pageMargins bottom="0.75" footer="0.3" header="0.3" left="0.7" right="0.7" top="0.75"/>
</worksheet>
</file>

<file path=xl/worksheets/sheet44.xml><?xml version="1.0" encoding="utf-8"?>
<worksheet xmlns="http://schemas.openxmlformats.org/spreadsheetml/2006/main">
  <dimension ref="B2:Z83"/>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s>
  <sheetData>
    <row r="2">
      <c r="B2" t="s" s="2">
        <v>1</v>
      </c>
    </row>
    <row r="3">
      <c r="B3" t="s" s="1">
        <v>3</v>
      </c>
      <c r="C3" t="s">
        <v>4</v>
      </c>
    </row>
    <row r="4">
      <c r="B4" s="1" t="s">
        <v>5</v>
      </c>
      <c r="C4" t="s">
        <v>6</v>
      </c>
    </row>
    <row r="5">
      <c r="B5" t="s" s="1">
        <v>7</v>
      </c>
      <c r="C5" t="s">
        <v>1228</v>
      </c>
    </row>
    <row r="6">
      <c r="B6" t="s" s="1">
        <v>8</v>
      </c>
      <c r="C6" t="s">
        <v>9</v>
      </c>
    </row>
    <row r="7">
      <c r="B7" t="s" s="1">
        <v>10</v>
      </c>
      <c r="C7" t="s">
        <v>9</v>
      </c>
    </row>
    <row r="8">
      <c r="B8" t="s" s="1">
        <v>11</v>
      </c>
      <c r="C8" t="s">
        <v>12</v>
      </c>
    </row>
    <row r="10">
      <c r="E10" t="s" s="4">
        <v>40</v>
      </c>
      <c r="F10" s="29"/>
      <c r="G10" s="29"/>
      <c r="H10" s="29"/>
      <c r="I10" s="29"/>
      <c r="J10" s="29"/>
      <c r="K10" s="29"/>
      <c r="L10" s="29"/>
      <c r="M10" s="29"/>
      <c r="N10" s="29"/>
      <c r="O10" s="29"/>
      <c r="P10" s="29"/>
      <c r="Q10" s="29"/>
      <c r="R10" s="29"/>
      <c r="S10" s="29"/>
      <c r="T10" s="29"/>
      <c r="U10" s="29"/>
      <c r="V10" s="29"/>
      <c r="W10" s="29"/>
      <c r="X10" s="29"/>
      <c r="Y10" s="30"/>
    </row>
    <row r="11">
      <c r="E11" t="s" s="32">
        <v>1229</v>
      </c>
      <c r="F11" s="61"/>
      <c r="G11" s="62"/>
      <c r="H11" t="s" s="4">
        <v>1232</v>
      </c>
      <c r="I11" s="29"/>
      <c r="J11" s="30"/>
      <c r="K11" t="s" s="32">
        <v>1209</v>
      </c>
      <c r="L11" s="61"/>
      <c r="M11" s="62"/>
      <c r="N11" t="s" s="4">
        <v>1212</v>
      </c>
      <c r="O11" s="29"/>
      <c r="P11" s="30"/>
      <c r="Q11" t="s" s="32">
        <v>1239</v>
      </c>
      <c r="R11" s="61"/>
      <c r="S11" s="62"/>
      <c r="T11" t="s" s="4">
        <v>1242</v>
      </c>
      <c r="U11" s="29"/>
      <c r="V11" s="30"/>
      <c r="W11" t="s" s="33">
        <v>1245</v>
      </c>
      <c r="X11" t="s" s="5">
        <v>1246</v>
      </c>
      <c r="Y11" s="64"/>
    </row>
    <row r="12" ht="28.0" customHeight="true">
      <c r="E12" t="s" s="6">
        <v>1230</v>
      </c>
      <c r="F12" t="s" s="34">
        <v>1231</v>
      </c>
      <c r="G12" s="63"/>
      <c r="H12" t="s" s="34">
        <v>1233</v>
      </c>
      <c r="I12" t="s" s="6">
        <v>1234</v>
      </c>
      <c r="J12" s="35"/>
      <c r="K12" t="s" s="6">
        <v>1235</v>
      </c>
      <c r="L12" t="s" s="34">
        <v>1236</v>
      </c>
      <c r="M12" s="63"/>
      <c r="N12" t="s" s="34">
        <v>1237</v>
      </c>
      <c r="O12" t="s" s="6">
        <v>1238</v>
      </c>
      <c r="P12" s="35"/>
      <c r="Q12" t="s" s="6">
        <v>1240</v>
      </c>
      <c r="R12" t="s" s="34">
        <v>1241</v>
      </c>
      <c r="S12" s="63"/>
      <c r="T12" t="s" s="34">
        <v>1243</v>
      </c>
      <c r="U12" t="s" s="6">
        <v>1244</v>
      </c>
      <c r="V12" s="35"/>
      <c r="W12" s="63"/>
      <c r="X12" s="35"/>
      <c r="Y12" s="36"/>
    </row>
    <row r="13">
      <c r="B13" s="7" t="s">
        <v>1124</v>
      </c>
      <c r="C13" s="8"/>
      <c r="D13" s="9"/>
      <c r="E13" s="22"/>
      <c r="F13" s="22"/>
      <c r="G13" s="22"/>
      <c r="H13" s="22"/>
      <c r="I13" s="22"/>
      <c r="J13" s="22"/>
      <c r="K13" s="22"/>
      <c r="L13" s="22"/>
      <c r="M13" s="22"/>
      <c r="N13" s="22"/>
      <c r="O13" s="22"/>
      <c r="P13" s="22"/>
      <c r="Q13" s="22"/>
      <c r="R13" s="22"/>
      <c r="S13" s="22"/>
      <c r="T13" s="22"/>
      <c r="U13" s="22"/>
      <c r="V13" s="22"/>
      <c r="W13" s="22"/>
      <c r="X13" s="22"/>
      <c r="Y13" s="22"/>
    </row>
    <row r="14">
      <c r="B14" s="10"/>
      <c r="C14" s="15" t="s">
        <v>1125</v>
      </c>
      <c r="D14" s="13"/>
      <c r="E14" s="51" t="n"/>
      <c r="F14" s="51" t="n"/>
      <c r="G14" s="51" t="n"/>
      <c r="H14" s="51" t="n"/>
      <c r="I14" s="51" t="n"/>
      <c r="J14" s="51" t="n"/>
      <c r="K14" s="51" t="n"/>
      <c r="L14" s="51" t="n"/>
      <c r="M14" s="51" t="n"/>
      <c r="N14" s="51" t="n"/>
      <c r="O14" s="51" t="n"/>
      <c r="P14" s="51" t="n"/>
      <c r="Q14" s="51" t="n"/>
      <c r="R14" s="51" t="n"/>
      <c r="S14" s="51" t="n"/>
      <c r="T14" s="51" t="n"/>
      <c r="U14" s="51" t="n"/>
      <c r="V14" s="51" t="n"/>
      <c r="W14" s="51" t="n"/>
      <c r="X14" s="51" t="n"/>
      <c r="Y14" s="51" t="n"/>
    </row>
    <row r="15">
      <c r="B15" s="10"/>
      <c r="C15" s="11" t="s">
        <v>1126</v>
      </c>
      <c r="D15" s="9"/>
      <c r="E15" s="50" t="n"/>
      <c r="F15" s="50" t="n"/>
      <c r="G15" s="50" t="n"/>
      <c r="H15" s="50" t="n"/>
      <c r="I15" s="50" t="n"/>
      <c r="J15" s="50" t="n"/>
      <c r="K15" s="50" t="n"/>
      <c r="L15" s="50" t="n"/>
      <c r="M15" s="50" t="n"/>
      <c r="N15" s="50" t="n"/>
      <c r="O15" s="50" t="n"/>
      <c r="P15" s="50" t="n"/>
      <c r="Q15" s="50" t="n"/>
      <c r="R15" s="50" t="n"/>
      <c r="S15" s="50" t="n"/>
      <c r="T15" s="50" t="n"/>
      <c r="U15" s="50" t="n"/>
      <c r="V15" s="50" t="n"/>
      <c r="W15" s="50" t="n"/>
      <c r="X15" s="50" t="n"/>
      <c r="Y15" s="50" t="n"/>
    </row>
    <row r="16">
      <c r="B16" s="10"/>
      <c r="C16" s="15" t="s">
        <v>1127</v>
      </c>
      <c r="D16" s="13"/>
      <c r="E16" s="51" t="n"/>
      <c r="F16" s="51" t="n"/>
      <c r="G16" s="51" t="n"/>
      <c r="H16" s="51" t="n"/>
      <c r="I16" s="51" t="n"/>
      <c r="J16" s="51" t="n"/>
      <c r="K16" s="51" t="n"/>
      <c r="L16" s="51" t="n"/>
      <c r="M16" s="51" t="n"/>
      <c r="N16" s="51" t="n"/>
      <c r="O16" s="51" t="n"/>
      <c r="P16" s="51" t="n"/>
      <c r="Q16" s="51" t="n"/>
      <c r="R16" s="51" t="n"/>
      <c r="S16" s="51" t="n"/>
      <c r="T16" s="51" t="n"/>
      <c r="U16" s="51" t="n"/>
      <c r="V16" s="51" t="n"/>
      <c r="W16" s="51" t="n"/>
      <c r="X16" s="51" t="n"/>
      <c r="Y16" s="51" t="n"/>
    </row>
    <row r="17">
      <c r="B17" s="10"/>
      <c r="C17" s="11" t="s">
        <v>1128</v>
      </c>
      <c r="D17" s="9"/>
      <c r="E17" s="50" t="n"/>
      <c r="F17" s="50" t="n"/>
      <c r="G17" s="50" t="n"/>
      <c r="H17" s="50" t="n"/>
      <c r="I17" s="50" t="n"/>
      <c r="J17" s="50" t="n"/>
      <c r="K17" s="50" t="n"/>
      <c r="L17" s="50" t="n"/>
      <c r="M17" s="50" t="n"/>
      <c r="N17" s="50" t="n"/>
      <c r="O17" s="50" t="n"/>
      <c r="P17" s="50" t="n"/>
      <c r="Q17" s="50" t="n"/>
      <c r="R17" s="50" t="n"/>
      <c r="S17" s="50" t="n"/>
      <c r="T17" s="50" t="n"/>
      <c r="U17" s="50" t="n"/>
      <c r="V17" s="50" t="n"/>
      <c r="W17" s="50" t="n"/>
      <c r="X17" s="50" t="n"/>
      <c r="Y17" s="50" t="n"/>
    </row>
    <row r="18">
      <c r="B18" s="10"/>
      <c r="C18" s="15" t="s">
        <v>1129</v>
      </c>
      <c r="D18" s="13"/>
      <c r="E18" s="51" t="n"/>
      <c r="F18" s="51" t="n"/>
      <c r="G18" s="51" t="n"/>
      <c r="H18" s="51" t="n"/>
      <c r="I18" s="51" t="n"/>
      <c r="J18" s="51" t="n"/>
      <c r="K18" s="51" t="n"/>
      <c r="L18" s="51" t="n"/>
      <c r="M18" s="51" t="n"/>
      <c r="N18" s="51" t="n"/>
      <c r="O18" s="51" t="n"/>
      <c r="P18" s="51" t="n"/>
      <c r="Q18" s="51" t="n"/>
      <c r="R18" s="51" t="n"/>
      <c r="S18" s="51" t="n"/>
      <c r="T18" s="51" t="n"/>
      <c r="U18" s="51" t="n"/>
      <c r="V18" s="51" t="n"/>
      <c r="W18" s="51" t="n"/>
      <c r="X18" s="51" t="n"/>
      <c r="Y18" s="51" t="n"/>
    </row>
    <row r="19">
      <c r="B19" s="10"/>
      <c r="C19" s="11" t="s">
        <v>1130</v>
      </c>
      <c r="D19" s="9"/>
      <c r="E19" s="50" t="n"/>
      <c r="F19" s="50" t="n"/>
      <c r="G19" s="50" t="n"/>
      <c r="H19" s="50" t="n"/>
      <c r="I19" s="50" t="n"/>
      <c r="J19" s="50" t="n"/>
      <c r="K19" s="50" t="n"/>
      <c r="L19" s="50" t="n"/>
      <c r="M19" s="50" t="n"/>
      <c r="N19" s="50" t="n"/>
      <c r="O19" s="50" t="n"/>
      <c r="P19" s="50" t="n"/>
      <c r="Q19" s="50" t="n"/>
      <c r="R19" s="50" t="n"/>
      <c r="S19" s="50" t="n"/>
      <c r="T19" s="50" t="n"/>
      <c r="U19" s="50" t="n"/>
      <c r="V19" s="50" t="n"/>
      <c r="W19" s="50" t="n"/>
      <c r="X19" s="50" t="n"/>
      <c r="Y19" s="50" t="n"/>
    </row>
    <row r="20">
      <c r="B20" s="10"/>
      <c r="C20" s="15" t="s">
        <v>1131</v>
      </c>
      <c r="D20" s="13"/>
      <c r="E20" s="51" t="n"/>
      <c r="F20" s="51" t="n"/>
      <c r="G20" s="51" t="n"/>
      <c r="H20" s="51" t="n"/>
      <c r="I20" s="51" t="n"/>
      <c r="J20" s="51" t="n"/>
      <c r="K20" s="51" t="n"/>
      <c r="L20" s="51" t="n"/>
      <c r="M20" s="51" t="n"/>
      <c r="N20" s="51" t="n"/>
      <c r="O20" s="51" t="n"/>
      <c r="P20" s="51" t="n"/>
      <c r="Q20" s="51" t="n"/>
      <c r="R20" s="51" t="n"/>
      <c r="S20" s="51" t="n"/>
      <c r="T20" s="51" t="n"/>
      <c r="U20" s="51" t="n"/>
      <c r="V20" s="51" t="n"/>
      <c r="W20" s="51" t="n"/>
      <c r="X20" s="51" t="n"/>
      <c r="Y20" s="51" t="n"/>
    </row>
    <row r="21">
      <c r="B21" s="10"/>
      <c r="C21" s="7" t="s">
        <v>1132</v>
      </c>
      <c r="D21" s="9"/>
      <c r="E21" s="22"/>
      <c r="F21" s="22"/>
      <c r="G21" s="22"/>
      <c r="H21" s="22"/>
      <c r="I21" s="22"/>
      <c r="J21" s="22"/>
      <c r="K21" s="22"/>
      <c r="L21" s="22"/>
      <c r="M21" s="22"/>
      <c r="N21" s="22"/>
      <c r="O21" s="22"/>
      <c r="P21" s="22"/>
      <c r="Q21" s="22"/>
      <c r="R21" s="22"/>
      <c r="S21" s="22"/>
      <c r="T21" s="22"/>
      <c r="U21" s="22"/>
      <c r="V21" s="22"/>
      <c r="W21" s="22"/>
      <c r="X21" s="22"/>
      <c r="Y21" s="22"/>
    </row>
    <row r="22">
      <c r="B22" s="10"/>
      <c r="C22" s="10"/>
      <c r="D22" s="19" t="s">
        <v>1133</v>
      </c>
      <c r="E22" s="51" t="n"/>
      <c r="F22" s="51" t="n"/>
      <c r="G22" s="51" t="n"/>
      <c r="H22" s="51" t="n"/>
      <c r="I22" s="51" t="n"/>
      <c r="J22" s="51" t="n"/>
      <c r="K22" s="51" t="n"/>
      <c r="L22" s="51" t="n"/>
      <c r="M22" s="51" t="n"/>
      <c r="N22" s="51" t="n"/>
      <c r="O22" s="51" t="n"/>
      <c r="P22" s="51" t="n"/>
      <c r="Q22" s="51" t="n"/>
      <c r="R22" s="51" t="n"/>
      <c r="S22" s="51" t="n"/>
      <c r="T22" s="51" t="n"/>
      <c r="U22" s="51" t="n"/>
      <c r="V22" s="51" t="n"/>
      <c r="W22" s="51" t="n"/>
      <c r="X22" s="51" t="n"/>
      <c r="Y22" s="51" t="n"/>
    </row>
    <row r="23">
      <c r="B23" s="10"/>
      <c r="C23" s="10"/>
      <c r="D23" s="18" t="s">
        <v>1134</v>
      </c>
      <c r="E23" s="50" t="n"/>
      <c r="F23" s="50" t="n"/>
      <c r="G23" s="50" t="n"/>
      <c r="H23" s="50" t="n"/>
      <c r="I23" s="50" t="n"/>
      <c r="J23" s="50" t="n"/>
      <c r="K23" s="50" t="n"/>
      <c r="L23" s="50" t="n"/>
      <c r="M23" s="50" t="n"/>
      <c r="N23" s="50" t="n"/>
      <c r="O23" s="50" t="n"/>
      <c r="P23" s="50" t="n"/>
      <c r="Q23" s="50" t="n"/>
      <c r="R23" s="50" t="n"/>
      <c r="S23" s="50" t="n"/>
      <c r="T23" s="50" t="n"/>
      <c r="U23" s="50" t="n"/>
      <c r="V23" s="50" t="n"/>
      <c r="W23" s="50" t="n"/>
      <c r="X23" s="50" t="n"/>
      <c r="Y23" s="50" t="n"/>
    </row>
    <row r="24">
      <c r="B24" s="10"/>
      <c r="C24" s="10"/>
      <c r="D24" s="19" t="s">
        <v>1135</v>
      </c>
      <c r="E24" s="51" t="n"/>
      <c r="F24" s="51" t="n"/>
      <c r="G24" s="51" t="n"/>
      <c r="H24" s="51" t="n"/>
      <c r="I24" s="51" t="n"/>
      <c r="J24" s="51" t="n"/>
      <c r="K24" s="51" t="n"/>
      <c r="L24" s="51" t="n"/>
      <c r="M24" s="51" t="n"/>
      <c r="N24" s="51" t="n"/>
      <c r="O24" s="51" t="n"/>
      <c r="P24" s="51" t="n"/>
      <c r="Q24" s="51" t="n"/>
      <c r="R24" s="51" t="n"/>
      <c r="S24" s="51" t="n"/>
      <c r="T24" s="51" t="n"/>
      <c r="U24" s="51" t="n"/>
      <c r="V24" s="51" t="n"/>
      <c r="W24" s="51" t="n"/>
      <c r="X24" s="51" t="n"/>
      <c r="Y24" s="51" t="n"/>
    </row>
    <row r="25">
      <c r="B25" s="10"/>
      <c r="C25" s="11"/>
      <c r="D25" s="65" t="s">
        <v>1136</v>
      </c>
      <c r="E25" s="50" t="n">
        <f>SUM(E22:E24)</f>
      </c>
      <c r="F25" s="50" t="n">
        <f>SUM(F22:F24)</f>
      </c>
      <c r="G25" s="50" t="n">
        <f>SUM(G22:G24)</f>
      </c>
      <c r="H25" s="50" t="n">
        <f>SUM(H22:H24)</f>
      </c>
      <c r="I25" s="50" t="n">
        <f>SUM(I22:I24)</f>
      </c>
      <c r="J25" s="50" t="n">
        <f>SUM(J22:J24)</f>
      </c>
      <c r="K25" s="50" t="n">
        <f>SUM(K22:K24)</f>
      </c>
      <c r="L25" s="50" t="n">
        <f>SUM(L22:L24)</f>
      </c>
      <c r="M25" s="50" t="n">
        <f>SUM(M22:M24)</f>
      </c>
      <c r="N25" s="50" t="n">
        <f>SUM(N22:N24)</f>
      </c>
      <c r="O25" s="50" t="n">
        <f>SUM(O22:O24)</f>
      </c>
      <c r="P25" s="50" t="n">
        <f>SUM(P22:P24)</f>
      </c>
      <c r="Q25" s="50" t="n">
        <f>SUM(Q22:Q24)</f>
      </c>
      <c r="R25" s="50" t="n">
        <f>SUM(R22:R24)</f>
      </c>
      <c r="S25" s="50" t="n">
        <f>SUM(S22:S24)</f>
      </c>
      <c r="T25" s="50" t="n">
        <f>SUM(T22:T24)</f>
      </c>
      <c r="U25" s="50" t="n">
        <f>SUM(U22:U24)</f>
      </c>
      <c r="V25" s="50" t="n">
        <f>SUM(V22:V24)</f>
      </c>
      <c r="W25" s="50" t="n">
        <f>SUM(W22:W24)</f>
      </c>
      <c r="X25" s="50" t="n">
        <f>SUM(X22:X24)</f>
      </c>
      <c r="Y25" s="50" t="n">
        <f>SUM(Y22:Y24)</f>
      </c>
    </row>
    <row r="26">
      <c r="B26" s="10"/>
      <c r="C26" s="15" t="s">
        <v>1137</v>
      </c>
      <c r="D26" s="13"/>
      <c r="E26" s="51" t="n"/>
      <c r="F26" s="51" t="n"/>
      <c r="G26" s="51" t="n"/>
      <c r="H26" s="51" t="n"/>
      <c r="I26" s="51" t="n"/>
      <c r="J26" s="51" t="n"/>
      <c r="K26" s="51" t="n"/>
      <c r="L26" s="51" t="n"/>
      <c r="M26" s="51" t="n"/>
      <c r="N26" s="51" t="n"/>
      <c r="O26" s="51" t="n"/>
      <c r="P26" s="51" t="n"/>
      <c r="Q26" s="51" t="n"/>
      <c r="R26" s="51" t="n"/>
      <c r="S26" s="51" t="n"/>
      <c r="T26" s="51" t="n"/>
      <c r="U26" s="51" t="n"/>
      <c r="V26" s="51" t="n"/>
      <c r="W26" s="51" t="n"/>
      <c r="X26" s="51" t="n"/>
      <c r="Y26" s="51" t="n"/>
    </row>
    <row r="27">
      <c r="B27" s="10"/>
      <c r="C27" s="7" t="s">
        <v>1138</v>
      </c>
      <c r="D27" s="9"/>
      <c r="E27" s="22"/>
      <c r="F27" s="22"/>
      <c r="G27" s="22"/>
      <c r="H27" s="22"/>
      <c r="I27" s="22"/>
      <c r="J27" s="22"/>
      <c r="K27" s="22"/>
      <c r="L27" s="22"/>
      <c r="M27" s="22"/>
      <c r="N27" s="22"/>
      <c r="O27" s="22"/>
      <c r="P27" s="22"/>
      <c r="Q27" s="22"/>
      <c r="R27" s="22"/>
      <c r="S27" s="22"/>
      <c r="T27" s="22"/>
      <c r="U27" s="22"/>
      <c r="V27" s="22"/>
      <c r="W27" s="22"/>
      <c r="X27" s="22"/>
      <c r="Y27" s="22"/>
    </row>
    <row r="28">
      <c r="B28" s="10"/>
      <c r="C28" s="10"/>
      <c r="D28" s="19" t="s">
        <v>1139</v>
      </c>
      <c r="E28" s="51" t="n"/>
      <c r="F28" s="51" t="n"/>
      <c r="G28" s="51" t="n"/>
      <c r="H28" s="51" t="n"/>
      <c r="I28" s="51" t="n"/>
      <c r="J28" s="51" t="n"/>
      <c r="K28" s="51" t="n"/>
      <c r="L28" s="51" t="n"/>
      <c r="M28" s="51" t="n"/>
      <c r="N28" s="51" t="n"/>
      <c r="O28" s="51" t="n"/>
      <c r="P28" s="51" t="n"/>
      <c r="Q28" s="51" t="n"/>
      <c r="R28" s="51" t="n"/>
      <c r="S28" s="51" t="n"/>
      <c r="T28" s="51" t="n"/>
      <c r="U28" s="51" t="n"/>
      <c r="V28" s="51" t="n"/>
      <c r="W28" s="51" t="n"/>
      <c r="X28" s="51" t="n"/>
      <c r="Y28" s="51" t="n"/>
    </row>
    <row r="29">
      <c r="B29" s="10"/>
      <c r="C29" s="10"/>
      <c r="D29" s="18" t="s">
        <v>1140</v>
      </c>
      <c r="E29" s="50" t="n"/>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row>
    <row r="30">
      <c r="B30" s="10"/>
      <c r="C30" s="10"/>
      <c r="D30" s="19" t="s">
        <v>1141</v>
      </c>
      <c r="E30" s="51" t="n"/>
      <c r="F30" s="51" t="n"/>
      <c r="G30" s="51" t="n"/>
      <c r="H30" s="51" t="n"/>
      <c r="I30" s="51" t="n"/>
      <c r="J30" s="51" t="n"/>
      <c r="K30" s="51" t="n"/>
      <c r="L30" s="51" t="n"/>
      <c r="M30" s="51" t="n"/>
      <c r="N30" s="51" t="n"/>
      <c r="O30" s="51" t="n"/>
      <c r="P30" s="51" t="n"/>
      <c r="Q30" s="51" t="n"/>
      <c r="R30" s="51" t="n"/>
      <c r="S30" s="51" t="n"/>
      <c r="T30" s="51" t="n"/>
      <c r="U30" s="51" t="n"/>
      <c r="V30" s="51" t="n"/>
      <c r="W30" s="51" t="n"/>
      <c r="X30" s="51" t="n"/>
      <c r="Y30" s="51" t="n"/>
    </row>
    <row r="31">
      <c r="B31" s="10"/>
      <c r="C31" s="10"/>
      <c r="D31" s="18" t="s">
        <v>1142</v>
      </c>
      <c r="E31" s="50" t="n"/>
      <c r="F31" s="50" t="n"/>
      <c r="G31" s="50" t="n"/>
      <c r="H31" s="50" t="n"/>
      <c r="I31" s="50" t="n"/>
      <c r="J31" s="50" t="n"/>
      <c r="K31" s="50" t="n"/>
      <c r="L31" s="50" t="n"/>
      <c r="M31" s="50" t="n"/>
      <c r="N31" s="50" t="n"/>
      <c r="O31" s="50" t="n"/>
      <c r="P31" s="50" t="n"/>
      <c r="Q31" s="50" t="n"/>
      <c r="R31" s="50" t="n"/>
      <c r="S31" s="50" t="n"/>
      <c r="T31" s="50" t="n"/>
      <c r="U31" s="50" t="n"/>
      <c r="V31" s="50" t="n"/>
      <c r="W31" s="50" t="n"/>
      <c r="X31" s="50" t="n"/>
      <c r="Y31" s="50" t="n"/>
    </row>
    <row r="32">
      <c r="B32" s="10"/>
      <c r="C32" s="10"/>
      <c r="D32" s="19" t="s">
        <v>1143</v>
      </c>
      <c r="E32" s="51" t="n"/>
      <c r="F32" s="51" t="n"/>
      <c r="G32" s="51" t="n"/>
      <c r="H32" s="51" t="n"/>
      <c r="I32" s="51" t="n"/>
      <c r="J32" s="51" t="n"/>
      <c r="K32" s="51" t="n"/>
      <c r="L32" s="51" t="n"/>
      <c r="M32" s="51" t="n"/>
      <c r="N32" s="51" t="n"/>
      <c r="O32" s="51" t="n"/>
      <c r="P32" s="51" t="n"/>
      <c r="Q32" s="51" t="n"/>
      <c r="R32" s="51" t="n"/>
      <c r="S32" s="51" t="n"/>
      <c r="T32" s="51" t="n"/>
      <c r="U32" s="51" t="n"/>
      <c r="V32" s="51" t="n"/>
      <c r="W32" s="51" t="n"/>
      <c r="X32" s="51" t="n"/>
      <c r="Y32" s="51" t="n"/>
    </row>
    <row r="33">
      <c r="B33" s="10"/>
      <c r="C33" s="10"/>
      <c r="D33" s="18" t="s">
        <v>1144</v>
      </c>
      <c r="E33" s="50" t="n"/>
      <c r="F33" s="50" t="n"/>
      <c r="G33" s="50" t="n"/>
      <c r="H33" s="50" t="n"/>
      <c r="I33" s="50" t="n"/>
      <c r="J33" s="50" t="n"/>
      <c r="K33" s="50" t="n"/>
      <c r="L33" s="50" t="n"/>
      <c r="M33" s="50" t="n"/>
      <c r="N33" s="50" t="n"/>
      <c r="O33" s="50" t="n"/>
      <c r="P33" s="50" t="n"/>
      <c r="Q33" s="50" t="n"/>
      <c r="R33" s="50" t="n"/>
      <c r="S33" s="50" t="n"/>
      <c r="T33" s="50" t="n"/>
      <c r="U33" s="50" t="n"/>
      <c r="V33" s="50" t="n"/>
      <c r="W33" s="50" t="n"/>
      <c r="X33" s="50" t="n"/>
      <c r="Y33" s="50" t="n"/>
    </row>
    <row r="34">
      <c r="B34" s="10"/>
      <c r="C34" s="11"/>
      <c r="D34" s="57" t="s">
        <v>1145</v>
      </c>
      <c r="E34" s="51" t="n">
        <f>SUM(E28:E33)</f>
      </c>
      <c r="F34" s="51" t="n">
        <f>SUM(F28:F33)</f>
      </c>
      <c r="G34" s="51" t="n">
        <f>SUM(G28:G33)</f>
      </c>
      <c r="H34" s="51" t="n">
        <f>SUM(H28:H33)</f>
      </c>
      <c r="I34" s="51" t="n">
        <f>SUM(I28:I33)</f>
      </c>
      <c r="J34" s="51" t="n">
        <f>SUM(J28:J33)</f>
      </c>
      <c r="K34" s="51" t="n">
        <f>SUM(K28:K33)</f>
      </c>
      <c r="L34" s="51" t="n">
        <f>SUM(L28:L33)</f>
      </c>
      <c r="M34" s="51" t="n">
        <f>SUM(M28:M33)</f>
      </c>
      <c r="N34" s="51" t="n">
        <f>SUM(N28:N33)</f>
      </c>
      <c r="O34" s="51" t="n">
        <f>SUM(O28:O33)</f>
      </c>
      <c r="P34" s="51" t="n">
        <f>SUM(P28:P33)</f>
      </c>
      <c r="Q34" s="51" t="n">
        <f>SUM(Q28:Q33)</f>
      </c>
      <c r="R34" s="51" t="n">
        <f>SUM(R28:R33)</f>
      </c>
      <c r="S34" s="51" t="n">
        <f>SUM(S28:S33)</f>
      </c>
      <c r="T34" s="51" t="n">
        <f>SUM(T28:T33)</f>
      </c>
      <c r="U34" s="51" t="n">
        <f>SUM(U28:U33)</f>
      </c>
      <c r="V34" s="51" t="n">
        <f>SUM(V28:V33)</f>
      </c>
      <c r="W34" s="51" t="n">
        <f>SUM(W28:W33)</f>
      </c>
      <c r="X34" s="51" t="n">
        <f>SUM(X28:X33)</f>
      </c>
      <c r="Y34" s="51" t="n">
        <f>SUM(Y28:Y33)</f>
      </c>
    </row>
    <row r="35">
      <c r="B35" s="10"/>
      <c r="C35" s="11" t="s">
        <v>1146</v>
      </c>
      <c r="D35" s="9"/>
      <c r="E35" s="50" t="n"/>
      <c r="F35" s="50" t="n"/>
      <c r="G35" s="50" t="n"/>
      <c r="H35" s="50" t="n"/>
      <c r="I35" s="50" t="n"/>
      <c r="J35" s="50" t="n"/>
      <c r="K35" s="50" t="n"/>
      <c r="L35" s="50" t="n"/>
      <c r="M35" s="50" t="n"/>
      <c r="N35" s="50" t="n"/>
      <c r="O35" s="50" t="n"/>
      <c r="P35" s="50" t="n"/>
      <c r="Q35" s="50" t="n"/>
      <c r="R35" s="50" t="n"/>
      <c r="S35" s="50" t="n"/>
      <c r="T35" s="50" t="n"/>
      <c r="U35" s="50" t="n"/>
      <c r="V35" s="50" t="n"/>
      <c r="W35" s="50" t="n"/>
      <c r="X35" s="50" t="n"/>
      <c r="Y35" s="50" t="n"/>
    </row>
    <row r="36">
      <c r="B36" s="10"/>
      <c r="C36" s="15" t="s">
        <v>1147</v>
      </c>
      <c r="D36" s="13"/>
      <c r="E36" s="51" t="n"/>
      <c r="F36" s="51" t="n"/>
      <c r="G36" s="51" t="n"/>
      <c r="H36" s="51" t="n"/>
      <c r="I36" s="51" t="n"/>
      <c r="J36" s="51" t="n"/>
      <c r="K36" s="51" t="n"/>
      <c r="L36" s="51" t="n"/>
      <c r="M36" s="51" t="n"/>
      <c r="N36" s="51" t="n"/>
      <c r="O36" s="51" t="n"/>
      <c r="P36" s="51" t="n"/>
      <c r="Q36" s="51" t="n"/>
      <c r="R36" s="51" t="n"/>
      <c r="S36" s="51" t="n"/>
      <c r="T36" s="51" t="n"/>
      <c r="U36" s="51" t="n"/>
      <c r="V36" s="51" t="n"/>
      <c r="W36" s="51" t="n"/>
      <c r="X36" s="51" t="n"/>
      <c r="Y36" s="51" t="n"/>
    </row>
    <row r="37">
      <c r="B37" s="10"/>
      <c r="C37" s="7" t="s">
        <v>1148</v>
      </c>
      <c r="D37" s="9"/>
      <c r="E37" s="22"/>
      <c r="F37" s="22"/>
      <c r="G37" s="22"/>
      <c r="H37" s="22"/>
      <c r="I37" s="22"/>
      <c r="J37" s="22"/>
      <c r="K37" s="22"/>
      <c r="L37" s="22"/>
      <c r="M37" s="22"/>
      <c r="N37" s="22"/>
      <c r="O37" s="22"/>
      <c r="P37" s="22"/>
      <c r="Q37" s="22"/>
      <c r="R37" s="22"/>
      <c r="S37" s="22"/>
      <c r="T37" s="22"/>
      <c r="U37" s="22"/>
      <c r="V37" s="22"/>
      <c r="W37" s="22"/>
      <c r="X37" s="22"/>
      <c r="Y37" s="22"/>
    </row>
    <row r="38">
      <c r="B38" s="10"/>
      <c r="C38" s="10"/>
      <c r="D38" s="19" t="s">
        <v>1149</v>
      </c>
      <c r="E38" s="51" t="n"/>
      <c r="F38" s="51" t="n"/>
      <c r="G38" s="51" t="n"/>
      <c r="H38" s="51" t="n"/>
      <c r="I38" s="51" t="n"/>
      <c r="J38" s="51" t="n"/>
      <c r="K38" s="51" t="n"/>
      <c r="L38" s="51" t="n"/>
      <c r="M38" s="51" t="n"/>
      <c r="N38" s="51" t="n"/>
      <c r="O38" s="51" t="n"/>
      <c r="P38" s="51" t="n"/>
      <c r="Q38" s="51" t="n"/>
      <c r="R38" s="51" t="n"/>
      <c r="S38" s="51" t="n"/>
      <c r="T38" s="51" t="n"/>
      <c r="U38" s="51" t="n"/>
      <c r="V38" s="51" t="n"/>
      <c r="W38" s="51" t="n"/>
      <c r="X38" s="51" t="n"/>
      <c r="Y38" s="51" t="n"/>
    </row>
    <row r="39">
      <c r="B39" s="10"/>
      <c r="C39" s="10"/>
      <c r="D39" s="18" t="s">
        <v>1150</v>
      </c>
      <c r="E39" s="50" t="n"/>
      <c r="F39" s="50" t="n"/>
      <c r="G39" s="50" t="n"/>
      <c r="H39" s="50" t="n"/>
      <c r="I39" s="50" t="n"/>
      <c r="J39" s="50" t="n"/>
      <c r="K39" s="50" t="n"/>
      <c r="L39" s="50" t="n"/>
      <c r="M39" s="50" t="n"/>
      <c r="N39" s="50" t="n"/>
      <c r="O39" s="50" t="n"/>
      <c r="P39" s="50" t="n"/>
      <c r="Q39" s="50" t="n"/>
      <c r="R39" s="50" t="n"/>
      <c r="S39" s="50" t="n"/>
      <c r="T39" s="50" t="n"/>
      <c r="U39" s="50" t="n"/>
      <c r="V39" s="50" t="n"/>
      <c r="W39" s="50" t="n"/>
      <c r="X39" s="50" t="n"/>
      <c r="Y39" s="50" t="n"/>
    </row>
    <row r="40">
      <c r="B40" s="10"/>
      <c r="C40" s="10"/>
      <c r="D40" s="19" t="s">
        <v>1151</v>
      </c>
      <c r="E40" s="51" t="n"/>
      <c r="F40" s="51" t="n"/>
      <c r="G40" s="51" t="n"/>
      <c r="H40" s="51" t="n"/>
      <c r="I40" s="51" t="n"/>
      <c r="J40" s="51" t="n"/>
      <c r="K40" s="51" t="n"/>
      <c r="L40" s="51" t="n"/>
      <c r="M40" s="51" t="n"/>
      <c r="N40" s="51" t="n"/>
      <c r="O40" s="51" t="n"/>
      <c r="P40" s="51" t="n"/>
      <c r="Q40" s="51" t="n"/>
      <c r="R40" s="51" t="n"/>
      <c r="S40" s="51" t="n"/>
      <c r="T40" s="51" t="n"/>
      <c r="U40" s="51" t="n"/>
      <c r="V40" s="51" t="n"/>
      <c r="W40" s="51" t="n"/>
      <c r="X40" s="51" t="n"/>
      <c r="Y40" s="51" t="n"/>
    </row>
    <row r="41">
      <c r="B41" s="10"/>
      <c r="C41" s="10"/>
      <c r="D41" s="18" t="s">
        <v>1152</v>
      </c>
      <c r="E41" s="50" t="n"/>
      <c r="F41" s="50" t="n"/>
      <c r="G41" s="50" t="n"/>
      <c r="H41" s="50" t="n"/>
      <c r="I41" s="50" t="n"/>
      <c r="J41" s="50" t="n"/>
      <c r="K41" s="50" t="n"/>
      <c r="L41" s="50" t="n"/>
      <c r="M41" s="50" t="n"/>
      <c r="N41" s="50" t="n"/>
      <c r="O41" s="50" t="n"/>
      <c r="P41" s="50" t="n"/>
      <c r="Q41" s="50" t="n"/>
      <c r="R41" s="50" t="n"/>
      <c r="S41" s="50" t="n"/>
      <c r="T41" s="50" t="n"/>
      <c r="U41" s="50" t="n"/>
      <c r="V41" s="50" t="n"/>
      <c r="W41" s="50" t="n"/>
      <c r="X41" s="50" t="n"/>
      <c r="Y41" s="50" t="n"/>
    </row>
    <row r="42">
      <c r="B42" s="10"/>
      <c r="C42" s="10"/>
      <c r="D42" s="19" t="s">
        <v>1153</v>
      </c>
      <c r="E42" s="51" t="n"/>
      <c r="F42" s="51" t="n"/>
      <c r="G42" s="51" t="n"/>
      <c r="H42" s="51" t="n"/>
      <c r="I42" s="51" t="n"/>
      <c r="J42" s="51" t="n"/>
      <c r="K42" s="51" t="n"/>
      <c r="L42" s="51" t="n"/>
      <c r="M42" s="51" t="n"/>
      <c r="N42" s="51" t="n"/>
      <c r="O42" s="51" t="n"/>
      <c r="P42" s="51" t="n"/>
      <c r="Q42" s="51" t="n"/>
      <c r="R42" s="51" t="n"/>
      <c r="S42" s="51" t="n"/>
      <c r="T42" s="51" t="n"/>
      <c r="U42" s="51" t="n"/>
      <c r="V42" s="51" t="n"/>
      <c r="W42" s="51" t="n"/>
      <c r="X42" s="51" t="n"/>
      <c r="Y42" s="51" t="n"/>
    </row>
    <row r="43">
      <c r="B43" s="10"/>
      <c r="C43" s="10"/>
      <c r="D43" s="18" t="s">
        <v>1154</v>
      </c>
      <c r="E43" s="50" t="n"/>
      <c r="F43" s="50" t="n"/>
      <c r="G43" s="50" t="n"/>
      <c r="H43" s="50" t="n"/>
      <c r="I43" s="50" t="n"/>
      <c r="J43" s="50" t="n"/>
      <c r="K43" s="50" t="n"/>
      <c r="L43" s="50" t="n"/>
      <c r="M43" s="50" t="n"/>
      <c r="N43" s="50" t="n"/>
      <c r="O43" s="50" t="n"/>
      <c r="P43" s="50" t="n"/>
      <c r="Q43" s="50" t="n"/>
      <c r="R43" s="50" t="n"/>
      <c r="S43" s="50" t="n"/>
      <c r="T43" s="50" t="n"/>
      <c r="U43" s="50" t="n"/>
      <c r="V43" s="50" t="n"/>
      <c r="W43" s="50" t="n"/>
      <c r="X43" s="50" t="n"/>
      <c r="Y43" s="50" t="n"/>
    </row>
    <row r="44">
      <c r="B44" s="10"/>
      <c r="C44" s="10"/>
      <c r="D44" s="19" t="s">
        <v>1155</v>
      </c>
      <c r="E44" s="51" t="n"/>
      <c r="F44" s="51" t="n"/>
      <c r="G44" s="51" t="n"/>
      <c r="H44" s="51" t="n"/>
      <c r="I44" s="51" t="n"/>
      <c r="J44" s="51" t="n"/>
      <c r="K44" s="51" t="n"/>
      <c r="L44" s="51" t="n"/>
      <c r="M44" s="51" t="n"/>
      <c r="N44" s="51" t="n"/>
      <c r="O44" s="51" t="n"/>
      <c r="P44" s="51" t="n"/>
      <c r="Q44" s="51" t="n"/>
      <c r="R44" s="51" t="n"/>
      <c r="S44" s="51" t="n"/>
      <c r="T44" s="51" t="n"/>
      <c r="U44" s="51" t="n"/>
      <c r="V44" s="51" t="n"/>
      <c r="W44" s="51" t="n"/>
      <c r="X44" s="51" t="n"/>
      <c r="Y44" s="51" t="n"/>
    </row>
    <row r="45">
      <c r="B45" s="10"/>
      <c r="C45" s="10"/>
      <c r="D45" s="18" t="s">
        <v>1156</v>
      </c>
      <c r="E45" s="50" t="n"/>
      <c r="F45" s="50" t="n"/>
      <c r="G45" s="50" t="n"/>
      <c r="H45" s="50" t="n"/>
      <c r="I45" s="50" t="n"/>
      <c r="J45" s="50" t="n"/>
      <c r="K45" s="50" t="n"/>
      <c r="L45" s="50" t="n"/>
      <c r="M45" s="50" t="n"/>
      <c r="N45" s="50" t="n"/>
      <c r="O45" s="50" t="n"/>
      <c r="P45" s="50" t="n"/>
      <c r="Q45" s="50" t="n"/>
      <c r="R45" s="50" t="n"/>
      <c r="S45" s="50" t="n"/>
      <c r="T45" s="50" t="n"/>
      <c r="U45" s="50" t="n"/>
      <c r="V45" s="50" t="n"/>
      <c r="W45" s="50" t="n"/>
      <c r="X45" s="50" t="n"/>
      <c r="Y45" s="50" t="n"/>
    </row>
    <row r="46">
      <c r="B46" s="10"/>
      <c r="C46" s="10"/>
      <c r="D46" s="19" t="s">
        <v>1157</v>
      </c>
      <c r="E46" s="51" t="n"/>
      <c r="F46" s="51" t="n"/>
      <c r="G46" s="51" t="n"/>
      <c r="H46" s="51" t="n"/>
      <c r="I46" s="51" t="n"/>
      <c r="J46" s="51" t="n"/>
      <c r="K46" s="51" t="n"/>
      <c r="L46" s="51" t="n"/>
      <c r="M46" s="51" t="n"/>
      <c r="N46" s="51" t="n"/>
      <c r="O46" s="51" t="n"/>
      <c r="P46" s="51" t="n"/>
      <c r="Q46" s="51" t="n"/>
      <c r="R46" s="51" t="n"/>
      <c r="S46" s="51" t="n"/>
      <c r="T46" s="51" t="n"/>
      <c r="U46" s="51" t="n"/>
      <c r="V46" s="51" t="n"/>
      <c r="W46" s="51" t="n"/>
      <c r="X46" s="51" t="n"/>
      <c r="Y46" s="51" t="n"/>
    </row>
    <row r="47">
      <c r="B47" s="10"/>
      <c r="C47" s="10"/>
      <c r="D47" s="18" t="s">
        <v>1158</v>
      </c>
      <c r="E47" s="50" t="n"/>
      <c r="F47" s="50" t="n"/>
      <c r="G47" s="50" t="n"/>
      <c r="H47" s="50" t="n"/>
      <c r="I47" s="50" t="n"/>
      <c r="J47" s="50" t="n"/>
      <c r="K47" s="50" t="n"/>
      <c r="L47" s="50" t="n"/>
      <c r="M47" s="50" t="n"/>
      <c r="N47" s="50" t="n"/>
      <c r="O47" s="50" t="n"/>
      <c r="P47" s="50" t="n"/>
      <c r="Q47" s="50" t="n"/>
      <c r="R47" s="50" t="n"/>
      <c r="S47" s="50" t="n"/>
      <c r="T47" s="50" t="n"/>
      <c r="U47" s="50" t="n"/>
      <c r="V47" s="50" t="n"/>
      <c r="W47" s="50" t="n"/>
      <c r="X47" s="50" t="n"/>
      <c r="Y47" s="50" t="n"/>
    </row>
    <row r="48">
      <c r="B48" s="10"/>
      <c r="C48" s="10"/>
      <c r="D48" s="19" t="s">
        <v>1159</v>
      </c>
      <c r="E48" s="51" t="n"/>
      <c r="F48" s="51" t="n"/>
      <c r="G48" s="51" t="n"/>
      <c r="H48" s="51" t="n"/>
      <c r="I48" s="51" t="n"/>
      <c r="J48" s="51" t="n"/>
      <c r="K48" s="51" t="n"/>
      <c r="L48" s="51" t="n"/>
      <c r="M48" s="51" t="n"/>
      <c r="N48" s="51" t="n"/>
      <c r="O48" s="51" t="n"/>
      <c r="P48" s="51" t="n"/>
      <c r="Q48" s="51" t="n"/>
      <c r="R48" s="51" t="n"/>
      <c r="S48" s="51" t="n"/>
      <c r="T48" s="51" t="n"/>
      <c r="U48" s="51" t="n"/>
      <c r="V48" s="51" t="n"/>
      <c r="W48" s="51" t="n"/>
      <c r="X48" s="51" t="n"/>
      <c r="Y48" s="51" t="n"/>
    </row>
    <row r="49">
      <c r="B49" s="10"/>
      <c r="C49" s="10"/>
      <c r="D49" s="18" t="s">
        <v>1160</v>
      </c>
      <c r="E49" s="50" t="n"/>
      <c r="F49" s="50" t="n"/>
      <c r="G49" s="50" t="n"/>
      <c r="H49" s="50" t="n"/>
      <c r="I49" s="50" t="n"/>
      <c r="J49" s="50" t="n"/>
      <c r="K49" s="50" t="n"/>
      <c r="L49" s="50" t="n"/>
      <c r="M49" s="50" t="n"/>
      <c r="N49" s="50" t="n"/>
      <c r="O49" s="50" t="n"/>
      <c r="P49" s="50" t="n"/>
      <c r="Q49" s="50" t="n"/>
      <c r="R49" s="50" t="n"/>
      <c r="S49" s="50" t="n"/>
      <c r="T49" s="50" t="n"/>
      <c r="U49" s="50" t="n"/>
      <c r="V49" s="50" t="n"/>
      <c r="W49" s="50" t="n"/>
      <c r="X49" s="50" t="n"/>
      <c r="Y49" s="50" t="n"/>
    </row>
    <row r="50">
      <c r="B50" s="10"/>
      <c r="C50" s="10"/>
      <c r="D50" s="19" t="s">
        <v>1161</v>
      </c>
      <c r="E50" s="51" t="n"/>
      <c r="F50" s="51" t="n"/>
      <c r="G50" s="51" t="n"/>
      <c r="H50" s="51" t="n"/>
      <c r="I50" s="51" t="n"/>
      <c r="J50" s="51" t="n"/>
      <c r="K50" s="51" t="n"/>
      <c r="L50" s="51" t="n"/>
      <c r="M50" s="51" t="n"/>
      <c r="N50" s="51" t="n"/>
      <c r="O50" s="51" t="n"/>
      <c r="P50" s="51" t="n"/>
      <c r="Q50" s="51" t="n"/>
      <c r="R50" s="51" t="n"/>
      <c r="S50" s="51" t="n"/>
      <c r="T50" s="51" t="n"/>
      <c r="U50" s="51" t="n"/>
      <c r="V50" s="51" t="n"/>
      <c r="W50" s="51" t="n"/>
      <c r="X50" s="51" t="n"/>
      <c r="Y50" s="51" t="n"/>
    </row>
    <row r="51">
      <c r="B51" s="10"/>
      <c r="C51" s="11"/>
      <c r="D51" s="65" t="s">
        <v>1162</v>
      </c>
      <c r="E51" s="50" t="n">
        <f>SUM(E38:E50)</f>
      </c>
      <c r="F51" s="50" t="n">
        <f>SUM(F38:F50)</f>
      </c>
      <c r="G51" s="50" t="n">
        <f>SUM(G38:G50)</f>
      </c>
      <c r="H51" s="50" t="n">
        <f>SUM(H38:H50)</f>
      </c>
      <c r="I51" s="50" t="n">
        <f>SUM(I38:I50)</f>
      </c>
      <c r="J51" s="50" t="n">
        <f>SUM(J38:J50)</f>
      </c>
      <c r="K51" s="50" t="n">
        <f>SUM(K38:K50)</f>
      </c>
      <c r="L51" s="50" t="n">
        <f>SUM(L38:L50)</f>
      </c>
      <c r="M51" s="50" t="n">
        <f>SUM(M38:M50)</f>
      </c>
      <c r="N51" s="50" t="n">
        <f>SUM(N38:N50)</f>
      </c>
      <c r="O51" s="50" t="n">
        <f>SUM(O38:O50)</f>
      </c>
      <c r="P51" s="50" t="n">
        <f>SUM(P38:P50)</f>
      </c>
      <c r="Q51" s="50" t="n">
        <f>SUM(Q38:Q50)</f>
      </c>
      <c r="R51" s="50" t="n">
        <f>SUM(R38:R50)</f>
      </c>
      <c r="S51" s="50" t="n">
        <f>SUM(S38:S50)</f>
      </c>
      <c r="T51" s="50" t="n">
        <f>SUM(T38:T50)</f>
      </c>
      <c r="U51" s="50" t="n">
        <f>SUM(U38:U50)</f>
      </c>
      <c r="V51" s="50" t="n">
        <f>SUM(V38:V50)</f>
      </c>
      <c r="W51" s="50" t="n">
        <f>SUM(W38:W50)</f>
      </c>
      <c r="X51" s="50" t="n">
        <f>SUM(X38:X50)</f>
      </c>
      <c r="Y51" s="50" t="n">
        <f>SUM(Y38:Y50)</f>
      </c>
    </row>
    <row r="52">
      <c r="B52" s="10"/>
      <c r="C52" s="12" t="s">
        <v>1163</v>
      </c>
      <c r="D52" s="13"/>
      <c r="E52" s="23"/>
      <c r="F52" s="23"/>
      <c r="G52" s="23"/>
      <c r="H52" s="23"/>
      <c r="I52" s="23"/>
      <c r="J52" s="23"/>
      <c r="K52" s="23"/>
      <c r="L52" s="23"/>
      <c r="M52" s="23"/>
      <c r="N52" s="23"/>
      <c r="O52" s="23"/>
      <c r="P52" s="23"/>
      <c r="Q52" s="23"/>
      <c r="R52" s="23"/>
      <c r="S52" s="23"/>
      <c r="T52" s="23"/>
      <c r="U52" s="23"/>
      <c r="V52" s="23"/>
      <c r="W52" s="23"/>
      <c r="X52" s="23"/>
      <c r="Y52" s="23"/>
    </row>
    <row r="53">
      <c r="B53" s="10"/>
      <c r="C53" s="14"/>
      <c r="D53" s="18" t="s">
        <v>1164</v>
      </c>
      <c r="E53" s="50" t="n"/>
      <c r="F53" s="50" t="n"/>
      <c r="G53" s="50" t="n"/>
      <c r="H53" s="50" t="n"/>
      <c r="I53" s="50" t="n"/>
      <c r="J53" s="50" t="n"/>
      <c r="K53" s="50" t="n"/>
      <c r="L53" s="50" t="n"/>
      <c r="M53" s="50" t="n"/>
      <c r="N53" s="50" t="n"/>
      <c r="O53" s="50" t="n"/>
      <c r="P53" s="50" t="n"/>
      <c r="Q53" s="50" t="n"/>
      <c r="R53" s="50" t="n"/>
      <c r="S53" s="50" t="n"/>
      <c r="T53" s="50" t="n"/>
      <c r="U53" s="50" t="n"/>
      <c r="V53" s="50" t="n"/>
      <c r="W53" s="50" t="n"/>
      <c r="X53" s="50" t="n"/>
      <c r="Y53" s="50" t="n"/>
    </row>
    <row r="54">
      <c r="B54" s="10"/>
      <c r="C54" s="14"/>
      <c r="D54" s="19" t="s">
        <v>1165</v>
      </c>
      <c r="E54" s="51" t="n"/>
      <c r="F54" s="51" t="n"/>
      <c r="G54" s="51" t="n"/>
      <c r="H54" s="51" t="n"/>
      <c r="I54" s="51" t="n"/>
      <c r="J54" s="51" t="n"/>
      <c r="K54" s="51" t="n"/>
      <c r="L54" s="51" t="n"/>
      <c r="M54" s="51" t="n"/>
      <c r="N54" s="51" t="n"/>
      <c r="O54" s="51" t="n"/>
      <c r="P54" s="51" t="n"/>
      <c r="Q54" s="51" t="n"/>
      <c r="R54" s="51" t="n"/>
      <c r="S54" s="51" t="n"/>
      <c r="T54" s="51" t="n"/>
      <c r="U54" s="51" t="n"/>
      <c r="V54" s="51" t="n"/>
      <c r="W54" s="51" t="n"/>
      <c r="X54" s="51" t="n"/>
      <c r="Y54" s="51" t="n"/>
    </row>
    <row r="55">
      <c r="B55" s="10"/>
      <c r="C55" s="14"/>
      <c r="D55" s="18" t="s">
        <v>1166</v>
      </c>
      <c r="E55" s="50" t="n"/>
      <c r="F55" s="50" t="n"/>
      <c r="G55" s="50" t="n"/>
      <c r="H55" s="50" t="n"/>
      <c r="I55" s="50" t="n"/>
      <c r="J55" s="50" t="n"/>
      <c r="K55" s="50" t="n"/>
      <c r="L55" s="50" t="n"/>
      <c r="M55" s="50" t="n"/>
      <c r="N55" s="50" t="n"/>
      <c r="O55" s="50" t="n"/>
      <c r="P55" s="50" t="n"/>
      <c r="Q55" s="50" t="n"/>
      <c r="R55" s="50" t="n"/>
      <c r="S55" s="50" t="n"/>
      <c r="T55" s="50" t="n"/>
      <c r="U55" s="50" t="n"/>
      <c r="V55" s="50" t="n"/>
      <c r="W55" s="50" t="n"/>
      <c r="X55" s="50" t="n"/>
      <c r="Y55" s="50" t="n"/>
    </row>
    <row r="56">
      <c r="B56" s="10"/>
      <c r="C56" s="14"/>
      <c r="D56" s="19" t="s">
        <v>1167</v>
      </c>
      <c r="E56" s="51" t="n"/>
      <c r="F56" s="51" t="n"/>
      <c r="G56" s="51" t="n"/>
      <c r="H56" s="51" t="n"/>
      <c r="I56" s="51" t="n"/>
      <c r="J56" s="51" t="n"/>
      <c r="K56" s="51" t="n"/>
      <c r="L56" s="51" t="n"/>
      <c r="M56" s="51" t="n"/>
      <c r="N56" s="51" t="n"/>
      <c r="O56" s="51" t="n"/>
      <c r="P56" s="51" t="n"/>
      <c r="Q56" s="51" t="n"/>
      <c r="R56" s="51" t="n"/>
      <c r="S56" s="51" t="n"/>
      <c r="T56" s="51" t="n"/>
      <c r="U56" s="51" t="n"/>
      <c r="V56" s="51" t="n"/>
      <c r="W56" s="51" t="n"/>
      <c r="X56" s="51" t="n"/>
      <c r="Y56" s="51" t="n"/>
    </row>
    <row r="57">
      <c r="B57" s="10"/>
      <c r="C57" s="14"/>
      <c r="D57" s="18" t="s">
        <v>1168</v>
      </c>
      <c r="E57" s="50" t="n"/>
      <c r="F57" s="50" t="n"/>
      <c r="G57" s="50" t="n"/>
      <c r="H57" s="50" t="n"/>
      <c r="I57" s="50" t="n"/>
      <c r="J57" s="50" t="n"/>
      <c r="K57" s="50" t="n"/>
      <c r="L57" s="50" t="n"/>
      <c r="M57" s="50" t="n"/>
      <c r="N57" s="50" t="n"/>
      <c r="O57" s="50" t="n"/>
      <c r="P57" s="50" t="n"/>
      <c r="Q57" s="50" t="n"/>
      <c r="R57" s="50" t="n"/>
      <c r="S57" s="50" t="n"/>
      <c r="T57" s="50" t="n"/>
      <c r="U57" s="50" t="n"/>
      <c r="V57" s="50" t="n"/>
      <c r="W57" s="50" t="n"/>
      <c r="X57" s="50" t="n"/>
      <c r="Y57" s="50" t="n"/>
    </row>
    <row r="58">
      <c r="B58" s="10"/>
      <c r="C58" s="14"/>
      <c r="D58" s="19" t="s">
        <v>1169</v>
      </c>
      <c r="E58" s="51" t="n"/>
      <c r="F58" s="51" t="n"/>
      <c r="G58" s="51" t="n"/>
      <c r="H58" s="51" t="n"/>
      <c r="I58" s="51" t="n"/>
      <c r="J58" s="51" t="n"/>
      <c r="K58" s="51" t="n"/>
      <c r="L58" s="51" t="n"/>
      <c r="M58" s="51" t="n"/>
      <c r="N58" s="51" t="n"/>
      <c r="O58" s="51" t="n"/>
      <c r="P58" s="51" t="n"/>
      <c r="Q58" s="51" t="n"/>
      <c r="R58" s="51" t="n"/>
      <c r="S58" s="51" t="n"/>
      <c r="T58" s="51" t="n"/>
      <c r="U58" s="51" t="n"/>
      <c r="V58" s="51" t="n"/>
      <c r="W58" s="51" t="n"/>
      <c r="X58" s="51" t="n"/>
      <c r="Y58" s="51" t="n"/>
    </row>
    <row r="59">
      <c r="B59" s="10"/>
      <c r="C59" s="14"/>
      <c r="D59" s="18" t="s">
        <v>1170</v>
      </c>
      <c r="E59" s="50" t="n"/>
      <c r="F59" s="50" t="n"/>
      <c r="G59" s="50" t="n"/>
      <c r="H59" s="50" t="n"/>
      <c r="I59" s="50" t="n"/>
      <c r="J59" s="50" t="n"/>
      <c r="K59" s="50" t="n"/>
      <c r="L59" s="50" t="n"/>
      <c r="M59" s="50" t="n"/>
      <c r="N59" s="50" t="n"/>
      <c r="O59" s="50" t="n"/>
      <c r="P59" s="50" t="n"/>
      <c r="Q59" s="50" t="n"/>
      <c r="R59" s="50" t="n"/>
      <c r="S59" s="50" t="n"/>
      <c r="T59" s="50" t="n"/>
      <c r="U59" s="50" t="n"/>
      <c r="V59" s="50" t="n"/>
      <c r="W59" s="50" t="n"/>
      <c r="X59" s="50" t="n"/>
      <c r="Y59" s="50" t="n"/>
    </row>
    <row r="60">
      <c r="B60" s="10"/>
      <c r="C60" s="14"/>
      <c r="D60" s="19" t="s">
        <v>1171</v>
      </c>
      <c r="E60" s="51" t="n"/>
      <c r="F60" s="51" t="n"/>
      <c r="G60" s="51" t="n"/>
      <c r="H60" s="51" t="n"/>
      <c r="I60" s="51" t="n"/>
      <c r="J60" s="51" t="n"/>
      <c r="K60" s="51" t="n"/>
      <c r="L60" s="51" t="n"/>
      <c r="M60" s="51" t="n"/>
      <c r="N60" s="51" t="n"/>
      <c r="O60" s="51" t="n"/>
      <c r="P60" s="51" t="n"/>
      <c r="Q60" s="51" t="n"/>
      <c r="R60" s="51" t="n"/>
      <c r="S60" s="51" t="n"/>
      <c r="T60" s="51" t="n"/>
      <c r="U60" s="51" t="n"/>
      <c r="V60" s="51" t="n"/>
      <c r="W60" s="51" t="n"/>
      <c r="X60" s="51" t="n"/>
      <c r="Y60" s="51" t="n"/>
    </row>
    <row r="61">
      <c r="B61" s="10"/>
      <c r="C61" s="14"/>
      <c r="D61" s="18" t="s">
        <v>1172</v>
      </c>
      <c r="E61" s="50" t="n"/>
      <c r="F61" s="50" t="n"/>
      <c r="G61" s="50" t="n"/>
      <c r="H61" s="50" t="n"/>
      <c r="I61" s="50" t="n"/>
      <c r="J61" s="50" t="n"/>
      <c r="K61" s="50" t="n"/>
      <c r="L61" s="50" t="n"/>
      <c r="M61" s="50" t="n"/>
      <c r="N61" s="50" t="n"/>
      <c r="O61" s="50" t="n"/>
      <c r="P61" s="50" t="n"/>
      <c r="Q61" s="50" t="n"/>
      <c r="R61" s="50" t="n"/>
      <c r="S61" s="50" t="n"/>
      <c r="T61" s="50" t="n"/>
      <c r="U61" s="50" t="n"/>
      <c r="V61" s="50" t="n"/>
      <c r="W61" s="50" t="n"/>
      <c r="X61" s="50" t="n"/>
      <c r="Y61" s="50" t="n"/>
    </row>
    <row r="62">
      <c r="B62" s="10"/>
      <c r="C62" s="14"/>
      <c r="D62" s="19" t="s">
        <v>1173</v>
      </c>
      <c r="E62" s="51" t="n"/>
      <c r="F62" s="51" t="n"/>
      <c r="G62" s="51" t="n"/>
      <c r="H62" s="51" t="n"/>
      <c r="I62" s="51" t="n"/>
      <c r="J62" s="51" t="n"/>
      <c r="K62" s="51" t="n"/>
      <c r="L62" s="51" t="n"/>
      <c r="M62" s="51" t="n"/>
      <c r="N62" s="51" t="n"/>
      <c r="O62" s="51" t="n"/>
      <c r="P62" s="51" t="n"/>
      <c r="Q62" s="51" t="n"/>
      <c r="R62" s="51" t="n"/>
      <c r="S62" s="51" t="n"/>
      <c r="T62" s="51" t="n"/>
      <c r="U62" s="51" t="n"/>
      <c r="V62" s="51" t="n"/>
      <c r="W62" s="51" t="n"/>
      <c r="X62" s="51" t="n"/>
      <c r="Y62" s="51" t="n"/>
    </row>
    <row r="63">
      <c r="B63" s="10"/>
      <c r="C63" s="14"/>
      <c r="D63" s="18" t="s">
        <v>1174</v>
      </c>
      <c r="E63" s="50" t="n"/>
      <c r="F63" s="50" t="n"/>
      <c r="G63" s="50" t="n"/>
      <c r="H63" s="50" t="n"/>
      <c r="I63" s="50" t="n"/>
      <c r="J63" s="50" t="n"/>
      <c r="K63" s="50" t="n"/>
      <c r="L63" s="50" t="n"/>
      <c r="M63" s="50" t="n"/>
      <c r="N63" s="50" t="n"/>
      <c r="O63" s="50" t="n"/>
      <c r="P63" s="50" t="n"/>
      <c r="Q63" s="50" t="n"/>
      <c r="R63" s="50" t="n"/>
      <c r="S63" s="50" t="n"/>
      <c r="T63" s="50" t="n"/>
      <c r="U63" s="50" t="n"/>
      <c r="V63" s="50" t="n"/>
      <c r="W63" s="50" t="n"/>
      <c r="X63" s="50" t="n"/>
      <c r="Y63" s="50" t="n"/>
    </row>
    <row r="64">
      <c r="B64" s="10"/>
      <c r="C64" s="15"/>
      <c r="D64" s="57" t="s">
        <v>1175</v>
      </c>
      <c r="E64" s="51" t="n">
        <f>SUM(E53:E63)</f>
      </c>
      <c r="F64" s="51" t="n">
        <f>SUM(F53:F63)</f>
      </c>
      <c r="G64" s="51" t="n">
        <f>SUM(G53:G63)</f>
      </c>
      <c r="H64" s="51" t="n">
        <f>SUM(H53:H63)</f>
      </c>
      <c r="I64" s="51" t="n">
        <f>SUM(I53:I63)</f>
      </c>
      <c r="J64" s="51" t="n">
        <f>SUM(J53:J63)</f>
      </c>
      <c r="K64" s="51" t="n">
        <f>SUM(K53:K63)</f>
      </c>
      <c r="L64" s="51" t="n">
        <f>SUM(L53:L63)</f>
      </c>
      <c r="M64" s="51" t="n">
        <f>SUM(M53:M63)</f>
      </c>
      <c r="N64" s="51" t="n">
        <f>SUM(N53:N63)</f>
      </c>
      <c r="O64" s="51" t="n">
        <f>SUM(O53:O63)</f>
      </c>
      <c r="P64" s="51" t="n">
        <f>SUM(P53:P63)</f>
      </c>
      <c r="Q64" s="51" t="n">
        <f>SUM(Q53:Q63)</f>
      </c>
      <c r="R64" s="51" t="n">
        <f>SUM(R53:R63)</f>
      </c>
      <c r="S64" s="51" t="n">
        <f>SUM(S53:S63)</f>
      </c>
      <c r="T64" s="51" t="n">
        <f>SUM(T53:T63)</f>
      </c>
      <c r="U64" s="51" t="n">
        <f>SUM(U53:U63)</f>
      </c>
      <c r="V64" s="51" t="n">
        <f>SUM(V53:V63)</f>
      </c>
      <c r="W64" s="51" t="n">
        <f>SUM(W53:W63)</f>
      </c>
      <c r="X64" s="51" t="n">
        <f>SUM(X53:X63)</f>
      </c>
      <c r="Y64" s="51" t="n">
        <f>SUM(Y53:Y63)</f>
      </c>
    </row>
    <row r="65">
      <c r="B65" s="10"/>
      <c r="C65" s="7" t="s">
        <v>1176</v>
      </c>
      <c r="D65" s="9"/>
      <c r="E65" s="22"/>
      <c r="F65" s="22"/>
      <c r="G65" s="22"/>
      <c r="H65" s="22"/>
      <c r="I65" s="22"/>
      <c r="J65" s="22"/>
      <c r="K65" s="22"/>
      <c r="L65" s="22"/>
      <c r="M65" s="22"/>
      <c r="N65" s="22"/>
      <c r="O65" s="22"/>
      <c r="P65" s="22"/>
      <c r="Q65" s="22"/>
      <c r="R65" s="22"/>
      <c r="S65" s="22"/>
      <c r="T65" s="22"/>
      <c r="U65" s="22"/>
      <c r="V65" s="22"/>
      <c r="W65" s="22"/>
      <c r="X65" s="22"/>
      <c r="Y65" s="22"/>
    </row>
    <row r="66">
      <c r="B66" s="10"/>
      <c r="C66" s="10"/>
      <c r="D66" s="19" t="s">
        <v>1177</v>
      </c>
      <c r="E66" s="51" t="n"/>
      <c r="F66" s="51" t="n"/>
      <c r="G66" s="51" t="n"/>
      <c r="H66" s="51" t="n"/>
      <c r="I66" s="51" t="n"/>
      <c r="J66" s="51" t="n"/>
      <c r="K66" s="51" t="n"/>
      <c r="L66" s="51" t="n"/>
      <c r="M66" s="51" t="n"/>
      <c r="N66" s="51" t="n"/>
      <c r="O66" s="51" t="n"/>
      <c r="P66" s="51" t="n"/>
      <c r="Q66" s="51" t="n"/>
      <c r="R66" s="51" t="n"/>
      <c r="S66" s="51" t="n"/>
      <c r="T66" s="51" t="n"/>
      <c r="U66" s="51" t="n"/>
      <c r="V66" s="51" t="n"/>
      <c r="W66" s="51" t="n"/>
      <c r="X66" s="51" t="n"/>
      <c r="Y66" s="51" t="n"/>
    </row>
    <row r="67">
      <c r="B67" s="10"/>
      <c r="C67" s="10"/>
      <c r="D67" s="18" t="s">
        <v>1178</v>
      </c>
      <c r="E67" s="50" t="n"/>
      <c r="F67" s="50" t="n"/>
      <c r="G67" s="50" t="n"/>
      <c r="H67" s="50" t="n"/>
      <c r="I67" s="50" t="n"/>
      <c r="J67" s="50" t="n"/>
      <c r="K67" s="50" t="n"/>
      <c r="L67" s="50" t="n"/>
      <c r="M67" s="50" t="n"/>
      <c r="N67" s="50" t="n"/>
      <c r="O67" s="50" t="n"/>
      <c r="P67" s="50" t="n"/>
      <c r="Q67" s="50" t="n"/>
      <c r="R67" s="50" t="n"/>
      <c r="S67" s="50" t="n"/>
      <c r="T67" s="50" t="n"/>
      <c r="U67" s="50" t="n"/>
      <c r="V67" s="50" t="n"/>
      <c r="W67" s="50" t="n"/>
      <c r="X67" s="50" t="n"/>
      <c r="Y67" s="50" t="n"/>
    </row>
    <row r="68">
      <c r="B68" s="10"/>
      <c r="C68" s="10"/>
      <c r="D68" s="19" t="s">
        <v>1179</v>
      </c>
      <c r="E68" s="51" t="n"/>
      <c r="F68" s="51" t="n"/>
      <c r="G68" s="51" t="n"/>
      <c r="H68" s="51" t="n"/>
      <c r="I68" s="51" t="n"/>
      <c r="J68" s="51" t="n"/>
      <c r="K68" s="51" t="n"/>
      <c r="L68" s="51" t="n"/>
      <c r="M68" s="51" t="n"/>
      <c r="N68" s="51" t="n"/>
      <c r="O68" s="51" t="n"/>
      <c r="P68" s="51" t="n"/>
      <c r="Q68" s="51" t="n"/>
      <c r="R68" s="51" t="n"/>
      <c r="S68" s="51" t="n"/>
      <c r="T68" s="51" t="n"/>
      <c r="U68" s="51" t="n"/>
      <c r="V68" s="51" t="n"/>
      <c r="W68" s="51" t="n"/>
      <c r="X68" s="51" t="n"/>
      <c r="Y68" s="51" t="n"/>
    </row>
    <row r="69">
      <c r="B69" s="10"/>
      <c r="C69" s="10"/>
      <c r="D69" s="18" t="s">
        <v>1180</v>
      </c>
      <c r="E69" s="50" t="n"/>
      <c r="F69" s="50" t="n"/>
      <c r="G69" s="50" t="n"/>
      <c r="H69" s="50" t="n"/>
      <c r="I69" s="50" t="n"/>
      <c r="J69" s="50" t="n"/>
      <c r="K69" s="50" t="n"/>
      <c r="L69" s="50" t="n"/>
      <c r="M69" s="50" t="n"/>
      <c r="N69" s="50" t="n"/>
      <c r="O69" s="50" t="n"/>
      <c r="P69" s="50" t="n"/>
      <c r="Q69" s="50" t="n"/>
      <c r="R69" s="50" t="n"/>
      <c r="S69" s="50" t="n"/>
      <c r="T69" s="50" t="n"/>
      <c r="U69" s="50" t="n"/>
      <c r="V69" s="50" t="n"/>
      <c r="W69" s="50" t="n"/>
      <c r="X69" s="50" t="n"/>
      <c r="Y69" s="50" t="n"/>
    </row>
    <row r="70">
      <c r="B70" s="10"/>
      <c r="C70" s="10"/>
      <c r="D70" s="19" t="s">
        <v>1181</v>
      </c>
      <c r="E70" s="51" t="n"/>
      <c r="F70" s="51" t="n"/>
      <c r="G70" s="51" t="n"/>
      <c r="H70" s="51" t="n"/>
      <c r="I70" s="51" t="n"/>
      <c r="J70" s="51" t="n"/>
      <c r="K70" s="51" t="n"/>
      <c r="L70" s="51" t="n"/>
      <c r="M70" s="51" t="n"/>
      <c r="N70" s="51" t="n"/>
      <c r="O70" s="51" t="n"/>
      <c r="P70" s="51" t="n"/>
      <c r="Q70" s="51" t="n"/>
      <c r="R70" s="51" t="n"/>
      <c r="S70" s="51" t="n"/>
      <c r="T70" s="51" t="n"/>
      <c r="U70" s="51" t="n"/>
      <c r="V70" s="51" t="n"/>
      <c r="W70" s="51" t="n"/>
      <c r="X70" s="51" t="n"/>
      <c r="Y70" s="51" t="n"/>
    </row>
    <row r="71">
      <c r="B71" s="10"/>
      <c r="C71" s="10"/>
      <c r="D71" s="18" t="s">
        <v>1182</v>
      </c>
      <c r="E71" s="50" t="n"/>
      <c r="F71" s="50" t="n"/>
      <c r="G71" s="50" t="n"/>
      <c r="H71" s="50" t="n"/>
      <c r="I71" s="50" t="n"/>
      <c r="J71" s="50" t="n"/>
      <c r="K71" s="50" t="n"/>
      <c r="L71" s="50" t="n"/>
      <c r="M71" s="50" t="n"/>
      <c r="N71" s="50" t="n"/>
      <c r="O71" s="50" t="n"/>
      <c r="P71" s="50" t="n"/>
      <c r="Q71" s="50" t="n"/>
      <c r="R71" s="50" t="n"/>
      <c r="S71" s="50" t="n"/>
      <c r="T71" s="50" t="n"/>
      <c r="U71" s="50" t="n"/>
      <c r="V71" s="50" t="n"/>
      <c r="W71" s="50" t="n"/>
      <c r="X71" s="50" t="n"/>
      <c r="Y71" s="50" t="n"/>
    </row>
    <row r="72">
      <c r="B72" s="10"/>
      <c r="C72" s="11"/>
      <c r="D72" s="57" t="s">
        <v>1183</v>
      </c>
      <c r="E72" s="51" t="n">
        <f>SUM(E66:E71)</f>
      </c>
      <c r="F72" s="51" t="n">
        <f>SUM(F66:F71)</f>
      </c>
      <c r="G72" s="51" t="n">
        <f>SUM(G66:G71)</f>
      </c>
      <c r="H72" s="51" t="n">
        <f>SUM(H66:H71)</f>
      </c>
      <c r="I72" s="51" t="n">
        <f>SUM(I66:I71)</f>
      </c>
      <c r="J72" s="51" t="n">
        <f>SUM(J66:J71)</f>
      </c>
      <c r="K72" s="51" t="n">
        <f>SUM(K66:K71)</f>
      </c>
      <c r="L72" s="51" t="n">
        <f>SUM(L66:L71)</f>
      </c>
      <c r="M72" s="51" t="n">
        <f>SUM(M66:M71)</f>
      </c>
      <c r="N72" s="51" t="n">
        <f>SUM(N66:N71)</f>
      </c>
      <c r="O72" s="51" t="n">
        <f>SUM(O66:O71)</f>
      </c>
      <c r="P72" s="51" t="n">
        <f>SUM(P66:P71)</f>
      </c>
      <c r="Q72" s="51" t="n">
        <f>SUM(Q66:Q71)</f>
      </c>
      <c r="R72" s="51" t="n">
        <f>SUM(R66:R71)</f>
      </c>
      <c r="S72" s="51" t="n">
        <f>SUM(S66:S71)</f>
      </c>
      <c r="T72" s="51" t="n">
        <f>SUM(T66:T71)</f>
      </c>
      <c r="U72" s="51" t="n">
        <f>SUM(U66:U71)</f>
      </c>
      <c r="V72" s="51" t="n">
        <f>SUM(V66:V71)</f>
      </c>
      <c r="W72" s="51" t="n">
        <f>SUM(W66:W71)</f>
      </c>
      <c r="X72" s="51" t="n">
        <f>SUM(X66:X71)</f>
      </c>
      <c r="Y72" s="51" t="n">
        <f>SUM(Y66:Y71)</f>
      </c>
    </row>
    <row r="73">
      <c r="B73" s="10"/>
      <c r="C73" s="11" t="s">
        <v>1184</v>
      </c>
      <c r="D73" s="9"/>
      <c r="E73" s="50" t="n"/>
      <c r="F73" s="50" t="n"/>
      <c r="G73" s="50" t="n"/>
      <c r="H73" s="50" t="n"/>
      <c r="I73" s="50" t="n"/>
      <c r="J73" s="50" t="n"/>
      <c r="K73" s="50" t="n"/>
      <c r="L73" s="50" t="n"/>
      <c r="M73" s="50" t="n"/>
      <c r="N73" s="50" t="n"/>
      <c r="O73" s="50" t="n"/>
      <c r="P73" s="50" t="n"/>
      <c r="Q73" s="50" t="n"/>
      <c r="R73" s="50" t="n"/>
      <c r="S73" s="50" t="n"/>
      <c r="T73" s="50" t="n"/>
      <c r="U73" s="50" t="n"/>
      <c r="V73" s="50" t="n"/>
      <c r="W73" s="50" t="n"/>
      <c r="X73" s="50" t="n"/>
      <c r="Y73" s="50" t="n"/>
    </row>
    <row r="74">
      <c r="B74" s="10"/>
      <c r="C74" s="15" t="s">
        <v>1185</v>
      </c>
      <c r="D74" s="13"/>
      <c r="E74" s="51" t="n"/>
      <c r="F74" s="51" t="n"/>
      <c r="G74" s="51" t="n"/>
      <c r="H74" s="51" t="n"/>
      <c r="I74" s="51" t="n"/>
      <c r="J74" s="51" t="n"/>
      <c r="K74" s="51" t="n"/>
      <c r="L74" s="51" t="n"/>
      <c r="M74" s="51" t="n"/>
      <c r="N74" s="51" t="n"/>
      <c r="O74" s="51" t="n"/>
      <c r="P74" s="51" t="n"/>
      <c r="Q74" s="51" t="n"/>
      <c r="R74" s="51" t="n"/>
      <c r="S74" s="51" t="n"/>
      <c r="T74" s="51" t="n"/>
      <c r="U74" s="51" t="n"/>
      <c r="V74" s="51" t="n"/>
      <c r="W74" s="51" t="n"/>
      <c r="X74" s="51" t="n"/>
      <c r="Y74" s="51" t="n"/>
    </row>
    <row r="75">
      <c r="B75" s="10"/>
      <c r="C75" s="11" t="s">
        <v>1186</v>
      </c>
      <c r="D75" s="9"/>
      <c r="E75" s="50" t="n"/>
      <c r="F75" s="50" t="n"/>
      <c r="G75" s="50" t="n"/>
      <c r="H75" s="50" t="n"/>
      <c r="I75" s="50" t="n"/>
      <c r="J75" s="50" t="n"/>
      <c r="K75" s="50" t="n"/>
      <c r="L75" s="50" t="n"/>
      <c r="M75" s="50" t="n"/>
      <c r="N75" s="50" t="n"/>
      <c r="O75" s="50" t="n"/>
      <c r="P75" s="50" t="n"/>
      <c r="Q75" s="50" t="n"/>
      <c r="R75" s="50" t="n"/>
      <c r="S75" s="50" t="n"/>
      <c r="T75" s="50" t="n"/>
      <c r="U75" s="50" t="n"/>
      <c r="V75" s="50" t="n"/>
      <c r="W75" s="50" t="n"/>
      <c r="X75" s="50" t="n"/>
      <c r="Y75" s="50" t="n"/>
    </row>
    <row r="76">
      <c r="B76" s="10"/>
      <c r="C76" s="15" t="s">
        <v>1187</v>
      </c>
      <c r="D76" s="13"/>
      <c r="E76" s="51" t="n"/>
      <c r="F76" s="51" t="n"/>
      <c r="G76" s="51" t="n"/>
      <c r="H76" s="51" t="n"/>
      <c r="I76" s="51" t="n"/>
      <c r="J76" s="51" t="n"/>
      <c r="K76" s="51" t="n"/>
      <c r="L76" s="51" t="n"/>
      <c r="M76" s="51" t="n"/>
      <c r="N76" s="51" t="n"/>
      <c r="O76" s="51" t="n"/>
      <c r="P76" s="51" t="n"/>
      <c r="Q76" s="51" t="n"/>
      <c r="R76" s="51" t="n"/>
      <c r="S76" s="51" t="n"/>
      <c r="T76" s="51" t="n"/>
      <c r="U76" s="51" t="n"/>
      <c r="V76" s="51" t="n"/>
      <c r="W76" s="51" t="n"/>
      <c r="X76" s="51" t="n"/>
      <c r="Y76" s="51" t="n"/>
    </row>
    <row r="77">
      <c r="B77" s="10"/>
      <c r="C77" s="11" t="s">
        <v>1188</v>
      </c>
      <c r="D77" s="9"/>
      <c r="E77" s="50" t="n"/>
      <c r="F77" s="50" t="n"/>
      <c r="G77" s="50" t="n"/>
      <c r="H77" s="50" t="n"/>
      <c r="I77" s="50" t="n"/>
      <c r="J77" s="50" t="n"/>
      <c r="K77" s="50" t="n"/>
      <c r="L77" s="50" t="n"/>
      <c r="M77" s="50" t="n"/>
      <c r="N77" s="50" t="n"/>
      <c r="O77" s="50" t="n"/>
      <c r="P77" s="50" t="n"/>
      <c r="Q77" s="50" t="n"/>
      <c r="R77" s="50" t="n"/>
      <c r="S77" s="50" t="n"/>
      <c r="T77" s="50" t="n"/>
      <c r="U77" s="50" t="n"/>
      <c r="V77" s="50" t="n"/>
      <c r="W77" s="50" t="n"/>
      <c r="X77" s="50" t="n"/>
      <c r="Y77" s="50" t="n"/>
    </row>
    <row r="78">
      <c r="B78" s="10"/>
      <c r="C78" s="15" t="s">
        <v>1189</v>
      </c>
      <c r="D78" s="13"/>
      <c r="E78" s="51" t="n"/>
      <c r="F78" s="51" t="n"/>
      <c r="G78" s="51" t="n"/>
      <c r="H78" s="51" t="n"/>
      <c r="I78" s="51" t="n"/>
      <c r="J78" s="51" t="n"/>
      <c r="K78" s="51" t="n"/>
      <c r="L78" s="51" t="n"/>
      <c r="M78" s="51" t="n"/>
      <c r="N78" s="51" t="n"/>
      <c r="O78" s="51" t="n"/>
      <c r="P78" s="51" t="n"/>
      <c r="Q78" s="51" t="n"/>
      <c r="R78" s="51" t="n"/>
      <c r="S78" s="51" t="n"/>
      <c r="T78" s="51" t="n"/>
      <c r="U78" s="51" t="n"/>
      <c r="V78" s="51" t="n"/>
      <c r="W78" s="51" t="n"/>
      <c r="X78" s="51" t="n"/>
      <c r="Y78" s="51" t="n"/>
    </row>
    <row r="79">
      <c r="B79" s="10"/>
      <c r="C79" s="11" t="s">
        <v>1190</v>
      </c>
      <c r="D79" s="9"/>
      <c r="E79" s="50" t="n"/>
      <c r="F79" s="50" t="n"/>
      <c r="G79" s="50" t="n"/>
      <c r="H79" s="50" t="n"/>
      <c r="I79" s="50" t="n"/>
      <c r="J79" s="50" t="n"/>
      <c r="K79" s="50" t="n"/>
      <c r="L79" s="50" t="n"/>
      <c r="M79" s="50" t="n"/>
      <c r="N79" s="50" t="n"/>
      <c r="O79" s="50" t="n"/>
      <c r="P79" s="50" t="n"/>
      <c r="Q79" s="50" t="n"/>
      <c r="R79" s="50" t="n"/>
      <c r="S79" s="50" t="n"/>
      <c r="T79" s="50" t="n"/>
      <c r="U79" s="50" t="n"/>
      <c r="V79" s="50" t="n"/>
      <c r="W79" s="50" t="n"/>
      <c r="X79" s="50" t="n"/>
      <c r="Y79" s="50" t="n"/>
    </row>
    <row r="80">
      <c r="B80" s="10"/>
      <c r="C80" s="15" t="s">
        <v>1191</v>
      </c>
      <c r="D80" s="13"/>
      <c r="E80" s="51" t="n"/>
      <c r="F80" s="51" t="n"/>
      <c r="G80" s="51" t="n"/>
      <c r="H80" s="51" t="n"/>
      <c r="I80" s="51" t="n"/>
      <c r="J80" s="51" t="n"/>
      <c r="K80" s="51" t="n"/>
      <c r="L80" s="51" t="n"/>
      <c r="M80" s="51" t="n"/>
      <c r="N80" s="51" t="n"/>
      <c r="O80" s="51" t="n"/>
      <c r="P80" s="51" t="n"/>
      <c r="Q80" s="51" t="n"/>
      <c r="R80" s="51" t="n"/>
      <c r="S80" s="51" t="n"/>
      <c r="T80" s="51" t="n"/>
      <c r="U80" s="51" t="n"/>
      <c r="V80" s="51" t="n"/>
      <c r="W80" s="51" t="n"/>
      <c r="X80" s="51" t="n"/>
      <c r="Y80" s="51" t="n"/>
    </row>
    <row r="81">
      <c r="B81" s="10"/>
      <c r="C81" s="11" t="s">
        <v>1192</v>
      </c>
      <c r="D81" s="9"/>
      <c r="E81" s="50" t="n"/>
      <c r="F81" s="50" t="n"/>
      <c r="G81" s="50" t="n"/>
      <c r="H81" s="50" t="n"/>
      <c r="I81" s="50" t="n"/>
      <c r="J81" s="50" t="n"/>
      <c r="K81" s="50" t="n"/>
      <c r="L81" s="50" t="n"/>
      <c r="M81" s="50" t="n"/>
      <c r="N81" s="50" t="n"/>
      <c r="O81" s="50" t="n"/>
      <c r="P81" s="50" t="n"/>
      <c r="Q81" s="50" t="n"/>
      <c r="R81" s="50" t="n"/>
      <c r="S81" s="50" t="n"/>
      <c r="T81" s="50" t="n"/>
      <c r="U81" s="50" t="n"/>
      <c r="V81" s="50" t="n"/>
      <c r="W81" s="50" t="n"/>
      <c r="X81" s="50" t="n"/>
      <c r="Y81" s="50" t="n"/>
    </row>
    <row r="82">
      <c r="B82" s="10"/>
      <c r="C82" s="15" t="s">
        <v>1193</v>
      </c>
      <c r="D82" s="13"/>
      <c r="E82" s="51" t="n"/>
      <c r="F82" s="51" t="n"/>
      <c r="G82" s="51" t="n"/>
      <c r="H82" s="51" t="n"/>
      <c r="I82" s="51" t="n"/>
      <c r="J82" s="51" t="n"/>
      <c r="K82" s="51" t="n"/>
      <c r="L82" s="51" t="n"/>
      <c r="M82" s="51" t="n"/>
      <c r="N82" s="51" t="n"/>
      <c r="O82" s="51" t="n"/>
      <c r="P82" s="51" t="n"/>
      <c r="Q82" s="51" t="n"/>
      <c r="R82" s="51" t="n"/>
      <c r="S82" s="51" t="n"/>
      <c r="T82" s="51" t="n"/>
      <c r="U82" s="51" t="n"/>
      <c r="V82" s="51" t="n"/>
      <c r="W82" s="51" t="n"/>
      <c r="X82" s="51" t="n"/>
      <c r="Y82" s="51" t="n"/>
    </row>
    <row r="83">
      <c r="B83" s="11"/>
      <c r="C83" s="45" t="s">
        <v>1194</v>
      </c>
      <c r="D83" s="44"/>
      <c r="E83" s="53" t="n">
        <f>SUM(E14:E20)+E25+E26+SUM(E34:E36)+E51+E64+SUM(E72:E82)</f>
      </c>
      <c r="F83" s="53" t="n">
        <f>SUM(F14:F20)+F25+F26+SUM(F34:F36)+F51+F64+SUM(F72:F82)</f>
      </c>
      <c r="G83" s="53" t="n">
        <f>SUM(G14:G20)+G25+G26+SUM(G34:G36)+G51+G64+SUM(G72:G82)</f>
      </c>
      <c r="H83" s="53" t="n">
        <f>SUM(H14:H20)+H25+H26+SUM(H34:H36)+H51+H64+SUM(H72:H82)</f>
      </c>
      <c r="I83" s="53" t="n">
        <f>SUM(I14:I20)+I25+I26+SUM(I34:I36)+I51+I64+SUM(I72:I82)</f>
      </c>
      <c r="J83" s="53" t="n">
        <f>SUM(J14:J20)+J25+J26+SUM(J34:J36)+J51+J64+SUM(J72:J82)</f>
      </c>
      <c r="K83" s="53" t="n">
        <f>SUM(K14:K20)+K25+K26+SUM(K34:K36)+K51+K64+SUM(K72:K82)</f>
      </c>
      <c r="L83" s="53" t="n">
        <f>SUM(L14:L20)+L25+L26+SUM(L34:L36)+L51+L64+SUM(L72:L82)</f>
      </c>
      <c r="M83" s="53" t="n">
        <f>SUM(M14:M20)+M25+M26+SUM(M34:M36)+M51+M64+SUM(M72:M82)</f>
      </c>
      <c r="N83" s="53" t="n">
        <f>SUM(N14:N20)+N25+N26+SUM(N34:N36)+N51+N64+SUM(N72:N82)</f>
      </c>
      <c r="O83" s="53" t="n">
        <f>SUM(O14:O20)+O25+O26+SUM(O34:O36)+O51+O64+SUM(O72:O82)</f>
      </c>
      <c r="P83" s="53" t="n">
        <f>SUM(P14:P20)+P25+P26+SUM(P34:P36)+P51+P64+SUM(P72:P82)</f>
      </c>
      <c r="Q83" s="53" t="n">
        <f>SUM(Q14:Q20)+Q25+Q26+SUM(Q34:Q36)+Q51+Q64+SUM(Q72:Q82)</f>
      </c>
      <c r="R83" s="53" t="n">
        <f>SUM(R14:R20)+R25+R26+SUM(R34:R36)+R51+R64+SUM(R72:R82)</f>
      </c>
      <c r="S83" s="53" t="n">
        <f>SUM(S14:S20)+S25+S26+SUM(S34:S36)+S51+S64+SUM(S72:S82)</f>
      </c>
      <c r="T83" s="53" t="n">
        <f>SUM(T14:T20)+T25+T26+SUM(T34:T36)+T51+T64+SUM(T72:T82)</f>
      </c>
      <c r="U83" s="53" t="n">
        <f>SUM(U14:U20)+U25+U26+SUM(U34:U36)+U51+U64+SUM(U72:U82)</f>
      </c>
      <c r="V83" s="53" t="n">
        <f>SUM(V14:V20)+V25+V26+SUM(V34:V36)+V51+V64+SUM(V72:V82)</f>
      </c>
      <c r="W83" s="53" t="n">
        <f>SUM(W14:W20)+W25+W26+SUM(W34:W36)+W51+W64+SUM(W72:W82)</f>
      </c>
      <c r="X83" s="53" t="n">
        <f>SUM(X14:X20)+X25+X26+SUM(X34:X36)+X51+X64+SUM(X72:X82)</f>
      </c>
      <c r="Y83" s="53" t="n">
        <f>SUM(Y14:Y20)+Y25+Y26+SUM(Y34:Y36)+Y51+Y64+SUM(Y72:Y82)</f>
      </c>
    </row>
  </sheetData>
  <mergeCells>
    <mergeCell ref="E10:Y10"/>
    <mergeCell ref="E11:G11"/>
    <mergeCell ref="H11:J11"/>
    <mergeCell ref="K11:M11"/>
    <mergeCell ref="N11:P11"/>
    <mergeCell ref="Q11:S11"/>
    <mergeCell ref="T11:V11"/>
    <mergeCell ref="W11:W12"/>
    <mergeCell ref="X11:X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hyperlinks>
    <hyperlink location="'Indice'!A1" ref="B2"/>
  </hyperlinks>
  <pageMargins bottom="0.75" footer="0.3" header="0.3" left="0.7" right="0.7" top="0.75"/>
</worksheet>
</file>

<file path=xl/worksheets/sheet45.xml><?xml version="1.0" encoding="utf-8"?>
<worksheet xmlns="http://schemas.openxmlformats.org/spreadsheetml/2006/main">
  <dimension ref="B2:T83"/>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1247</v>
      </c>
    </row>
    <row r="6">
      <c r="B6" t="s" s="1">
        <v>8</v>
      </c>
      <c r="C6" t="s">
        <v>9</v>
      </c>
    </row>
    <row r="7">
      <c r="B7" t="s" s="1">
        <v>10</v>
      </c>
      <c r="C7" t="s">
        <v>9</v>
      </c>
    </row>
    <row r="8">
      <c r="B8" t="s" s="1">
        <v>11</v>
      </c>
      <c r="C8" t="s">
        <v>12</v>
      </c>
    </row>
    <row r="10">
      <c r="E10" t="s" s="4">
        <v>41</v>
      </c>
      <c r="F10" s="29"/>
      <c r="G10" s="29"/>
      <c r="H10" s="29"/>
      <c r="I10" s="29"/>
      <c r="J10" s="29"/>
      <c r="K10" s="29"/>
      <c r="L10" s="29"/>
      <c r="M10" s="29"/>
      <c r="N10" s="29"/>
      <c r="O10" s="29"/>
      <c r="P10" s="29"/>
      <c r="Q10" s="29"/>
      <c r="R10" s="29"/>
      <c r="S10" s="30"/>
    </row>
    <row r="11">
      <c r="E11" t="s" s="32">
        <v>1248</v>
      </c>
      <c r="F11" s="61"/>
      <c r="G11" s="62"/>
      <c r="H11" t="s" s="4">
        <v>1251</v>
      </c>
      <c r="I11" s="29"/>
      <c r="J11" s="30"/>
      <c r="K11" t="s" s="32">
        <v>1254</v>
      </c>
      <c r="L11" s="61"/>
      <c r="M11" s="62"/>
      <c r="N11" t="s" s="4">
        <v>1232</v>
      </c>
      <c r="O11" s="29"/>
      <c r="P11" s="30"/>
      <c r="Q11" t="s" s="33">
        <v>1259</v>
      </c>
      <c r="R11" t="s" s="5">
        <v>1260</v>
      </c>
      <c r="S11" s="64"/>
    </row>
    <row r="12">
      <c r="E12" t="s" s="6">
        <v>1249</v>
      </c>
      <c r="F12" t="s" s="34">
        <v>1250</v>
      </c>
      <c r="G12" s="63"/>
      <c r="H12" t="s" s="34">
        <v>1252</v>
      </c>
      <c r="I12" t="s" s="6">
        <v>1253</v>
      </c>
      <c r="J12" s="35"/>
      <c r="K12" t="s" s="6">
        <v>1255</v>
      </c>
      <c r="L12" t="s" s="34">
        <v>1256</v>
      </c>
      <c r="M12" s="63"/>
      <c r="N12" t="s" s="34">
        <v>1257</v>
      </c>
      <c r="O12" t="s" s="6">
        <v>1258</v>
      </c>
      <c r="P12" s="35"/>
      <c r="Q12" s="63"/>
      <c r="R12" s="35"/>
      <c r="S12" s="36"/>
    </row>
    <row r="13">
      <c r="B13" s="7" t="s">
        <v>1124</v>
      </c>
      <c r="C13" s="8"/>
      <c r="D13" s="9"/>
      <c r="E13" s="22"/>
      <c r="F13" s="22"/>
      <c r="G13" s="22"/>
      <c r="H13" s="22"/>
      <c r="I13" s="22"/>
      <c r="J13" s="22"/>
      <c r="K13" s="22"/>
      <c r="L13" s="22"/>
      <c r="M13" s="22"/>
      <c r="N13" s="22"/>
      <c r="O13" s="22"/>
      <c r="P13" s="22"/>
      <c r="Q13" s="22"/>
      <c r="R13" s="22"/>
      <c r="S13" s="22"/>
    </row>
    <row r="14">
      <c r="B14" s="10"/>
      <c r="C14" s="15" t="s">
        <v>1125</v>
      </c>
      <c r="D14" s="13"/>
      <c r="E14" s="51" t="n"/>
      <c r="F14" s="51" t="n"/>
      <c r="G14" s="51" t="n"/>
      <c r="H14" s="51" t="n"/>
      <c r="I14" s="51" t="n"/>
      <c r="J14" s="51" t="n"/>
      <c r="K14" s="51" t="n"/>
      <c r="L14" s="51" t="n"/>
      <c r="M14" s="51" t="n"/>
      <c r="N14" s="51" t="n"/>
      <c r="O14" s="51" t="n"/>
      <c r="P14" s="51" t="n"/>
      <c r="Q14" s="51" t="n"/>
      <c r="R14" s="51" t="n"/>
      <c r="S14" s="51" t="n"/>
    </row>
    <row r="15">
      <c r="B15" s="10"/>
      <c r="C15" s="11" t="s">
        <v>1126</v>
      </c>
      <c r="D15" s="9"/>
      <c r="E15" s="50" t="n"/>
      <c r="F15" s="50" t="n"/>
      <c r="G15" s="50" t="n"/>
      <c r="H15" s="50" t="n"/>
      <c r="I15" s="50" t="n"/>
      <c r="J15" s="50" t="n"/>
      <c r="K15" s="50" t="n"/>
      <c r="L15" s="50" t="n"/>
      <c r="M15" s="50" t="n"/>
      <c r="N15" s="50" t="n"/>
      <c r="O15" s="50" t="n"/>
      <c r="P15" s="50" t="n"/>
      <c r="Q15" s="50" t="n"/>
      <c r="R15" s="50" t="n"/>
      <c r="S15" s="50" t="n"/>
    </row>
    <row r="16">
      <c r="B16" s="10"/>
      <c r="C16" s="15" t="s">
        <v>1127</v>
      </c>
      <c r="D16" s="13"/>
      <c r="E16" s="51" t="n"/>
      <c r="F16" s="51" t="n"/>
      <c r="G16" s="51" t="n"/>
      <c r="H16" s="51" t="n"/>
      <c r="I16" s="51" t="n"/>
      <c r="J16" s="51" t="n"/>
      <c r="K16" s="51" t="n"/>
      <c r="L16" s="51" t="n"/>
      <c r="M16" s="51" t="n"/>
      <c r="N16" s="51" t="n"/>
      <c r="O16" s="51" t="n"/>
      <c r="P16" s="51" t="n"/>
      <c r="Q16" s="51" t="n"/>
      <c r="R16" s="51" t="n"/>
      <c r="S16" s="51" t="n"/>
    </row>
    <row r="17">
      <c r="B17" s="10"/>
      <c r="C17" s="11" t="s">
        <v>1128</v>
      </c>
      <c r="D17" s="9"/>
      <c r="E17" s="50" t="n"/>
      <c r="F17" s="50" t="n"/>
      <c r="G17" s="50" t="n"/>
      <c r="H17" s="50" t="n"/>
      <c r="I17" s="50" t="n"/>
      <c r="J17" s="50" t="n"/>
      <c r="K17" s="50" t="n"/>
      <c r="L17" s="50" t="n"/>
      <c r="M17" s="50" t="n"/>
      <c r="N17" s="50" t="n"/>
      <c r="O17" s="50" t="n"/>
      <c r="P17" s="50" t="n"/>
      <c r="Q17" s="50" t="n"/>
      <c r="R17" s="50" t="n"/>
      <c r="S17" s="50" t="n"/>
    </row>
    <row r="18">
      <c r="B18" s="10"/>
      <c r="C18" s="15" t="s">
        <v>1129</v>
      </c>
      <c r="D18" s="13"/>
      <c r="E18" s="51" t="n"/>
      <c r="F18" s="51" t="n"/>
      <c r="G18" s="51" t="n"/>
      <c r="H18" s="51" t="n"/>
      <c r="I18" s="51" t="n"/>
      <c r="J18" s="51" t="n"/>
      <c r="K18" s="51" t="n"/>
      <c r="L18" s="51" t="n"/>
      <c r="M18" s="51" t="n"/>
      <c r="N18" s="51" t="n"/>
      <c r="O18" s="51" t="n"/>
      <c r="P18" s="51" t="n"/>
      <c r="Q18" s="51" t="n"/>
      <c r="R18" s="51" t="n"/>
      <c r="S18" s="51" t="n"/>
    </row>
    <row r="19">
      <c r="B19" s="10"/>
      <c r="C19" s="11" t="s">
        <v>1130</v>
      </c>
      <c r="D19" s="9"/>
      <c r="E19" s="50" t="n"/>
      <c r="F19" s="50" t="n"/>
      <c r="G19" s="50" t="n"/>
      <c r="H19" s="50" t="n"/>
      <c r="I19" s="50" t="n"/>
      <c r="J19" s="50" t="n"/>
      <c r="K19" s="50" t="n"/>
      <c r="L19" s="50" t="n"/>
      <c r="M19" s="50" t="n"/>
      <c r="N19" s="50" t="n"/>
      <c r="O19" s="50" t="n"/>
      <c r="P19" s="50" t="n"/>
      <c r="Q19" s="50" t="n"/>
      <c r="R19" s="50" t="n"/>
      <c r="S19" s="50" t="n"/>
    </row>
    <row r="20">
      <c r="B20" s="10"/>
      <c r="C20" s="15" t="s">
        <v>1131</v>
      </c>
      <c r="D20" s="13"/>
      <c r="E20" s="51" t="n"/>
      <c r="F20" s="51" t="n"/>
      <c r="G20" s="51" t="n"/>
      <c r="H20" s="51" t="n"/>
      <c r="I20" s="51" t="n"/>
      <c r="J20" s="51" t="n"/>
      <c r="K20" s="51" t="n"/>
      <c r="L20" s="51" t="n"/>
      <c r="M20" s="51" t="n"/>
      <c r="N20" s="51" t="n"/>
      <c r="O20" s="51" t="n"/>
      <c r="P20" s="51" t="n"/>
      <c r="Q20" s="51" t="n"/>
      <c r="R20" s="51" t="n"/>
      <c r="S20" s="51" t="n"/>
    </row>
    <row r="21">
      <c r="B21" s="10"/>
      <c r="C21" s="7" t="s">
        <v>1132</v>
      </c>
      <c r="D21" s="9"/>
      <c r="E21" s="22"/>
      <c r="F21" s="22"/>
      <c r="G21" s="22"/>
      <c r="H21" s="22"/>
      <c r="I21" s="22"/>
      <c r="J21" s="22"/>
      <c r="K21" s="22"/>
      <c r="L21" s="22"/>
      <c r="M21" s="22"/>
      <c r="N21" s="22"/>
      <c r="O21" s="22"/>
      <c r="P21" s="22"/>
      <c r="Q21" s="22"/>
      <c r="R21" s="22"/>
      <c r="S21" s="22"/>
    </row>
    <row r="22">
      <c r="B22" s="10"/>
      <c r="C22" s="10"/>
      <c r="D22" s="19" t="s">
        <v>1133</v>
      </c>
      <c r="E22" s="51" t="n"/>
      <c r="F22" s="51" t="n"/>
      <c r="G22" s="51" t="n"/>
      <c r="H22" s="51" t="n"/>
      <c r="I22" s="51" t="n"/>
      <c r="J22" s="51" t="n"/>
      <c r="K22" s="51" t="n"/>
      <c r="L22" s="51" t="n"/>
      <c r="M22" s="51" t="n"/>
      <c r="N22" s="51" t="n"/>
      <c r="O22" s="51" t="n"/>
      <c r="P22" s="51" t="n"/>
      <c r="Q22" s="51" t="n"/>
      <c r="R22" s="51" t="n"/>
      <c r="S22" s="51" t="n"/>
    </row>
    <row r="23">
      <c r="B23" s="10"/>
      <c r="C23" s="10"/>
      <c r="D23" s="18" t="s">
        <v>1134</v>
      </c>
      <c r="E23" s="50" t="n"/>
      <c r="F23" s="50" t="n"/>
      <c r="G23" s="50" t="n"/>
      <c r="H23" s="50" t="n"/>
      <c r="I23" s="50" t="n"/>
      <c r="J23" s="50" t="n"/>
      <c r="K23" s="50" t="n"/>
      <c r="L23" s="50" t="n"/>
      <c r="M23" s="50" t="n"/>
      <c r="N23" s="50" t="n"/>
      <c r="O23" s="50" t="n"/>
      <c r="P23" s="50" t="n"/>
      <c r="Q23" s="50" t="n"/>
      <c r="R23" s="50" t="n"/>
      <c r="S23" s="50" t="n"/>
    </row>
    <row r="24">
      <c r="B24" s="10"/>
      <c r="C24" s="10"/>
      <c r="D24" s="19" t="s">
        <v>1135</v>
      </c>
      <c r="E24" s="51" t="n"/>
      <c r="F24" s="51" t="n"/>
      <c r="G24" s="51" t="n"/>
      <c r="H24" s="51" t="n"/>
      <c r="I24" s="51" t="n"/>
      <c r="J24" s="51" t="n"/>
      <c r="K24" s="51" t="n"/>
      <c r="L24" s="51" t="n"/>
      <c r="M24" s="51" t="n"/>
      <c r="N24" s="51" t="n"/>
      <c r="O24" s="51" t="n"/>
      <c r="P24" s="51" t="n"/>
      <c r="Q24" s="51" t="n"/>
      <c r="R24" s="51" t="n"/>
      <c r="S24" s="51" t="n"/>
    </row>
    <row r="25">
      <c r="B25" s="10"/>
      <c r="C25" s="11"/>
      <c r="D25" s="65" t="s">
        <v>1136</v>
      </c>
      <c r="E25" s="50" t="n">
        <f>SUM(E22:E24)</f>
      </c>
      <c r="F25" s="50" t="n">
        <f>SUM(F22:F24)</f>
      </c>
      <c r="G25" s="50" t="n">
        <f>SUM(G22:G24)</f>
      </c>
      <c r="H25" s="50" t="n">
        <f>SUM(H22:H24)</f>
      </c>
      <c r="I25" s="50" t="n">
        <f>SUM(I22:I24)</f>
      </c>
      <c r="J25" s="50" t="n">
        <f>SUM(J22:J24)</f>
      </c>
      <c r="K25" s="50" t="n">
        <f>SUM(K22:K24)</f>
      </c>
      <c r="L25" s="50" t="n">
        <f>SUM(L22:L24)</f>
      </c>
      <c r="M25" s="50" t="n">
        <f>SUM(M22:M24)</f>
      </c>
      <c r="N25" s="50" t="n">
        <f>SUM(N22:N24)</f>
      </c>
      <c r="O25" s="50" t="n">
        <f>SUM(O22:O24)</f>
      </c>
      <c r="P25" s="50" t="n">
        <f>SUM(P22:P24)</f>
      </c>
      <c r="Q25" s="50" t="n">
        <f>SUM(Q22:Q24)</f>
      </c>
      <c r="R25" s="50" t="n">
        <f>SUM(R22:R24)</f>
      </c>
      <c r="S25" s="50" t="n">
        <f>SUM(S22:S24)</f>
      </c>
    </row>
    <row r="26">
      <c r="B26" s="10"/>
      <c r="C26" s="15" t="s">
        <v>1137</v>
      </c>
      <c r="D26" s="13"/>
      <c r="E26" s="51" t="n"/>
      <c r="F26" s="51" t="n"/>
      <c r="G26" s="51" t="n"/>
      <c r="H26" s="51" t="n"/>
      <c r="I26" s="51" t="n"/>
      <c r="J26" s="51" t="n"/>
      <c r="K26" s="51" t="n"/>
      <c r="L26" s="51" t="n"/>
      <c r="M26" s="51" t="n"/>
      <c r="N26" s="51" t="n"/>
      <c r="O26" s="51" t="n"/>
      <c r="P26" s="51" t="n"/>
      <c r="Q26" s="51" t="n"/>
      <c r="R26" s="51" t="n"/>
      <c r="S26" s="51" t="n"/>
    </row>
    <row r="27">
      <c r="B27" s="10"/>
      <c r="C27" s="7" t="s">
        <v>1138</v>
      </c>
      <c r="D27" s="9"/>
      <c r="E27" s="22"/>
      <c r="F27" s="22"/>
      <c r="G27" s="22"/>
      <c r="H27" s="22"/>
      <c r="I27" s="22"/>
      <c r="J27" s="22"/>
      <c r="K27" s="22"/>
      <c r="L27" s="22"/>
      <c r="M27" s="22"/>
      <c r="N27" s="22"/>
      <c r="O27" s="22"/>
      <c r="P27" s="22"/>
      <c r="Q27" s="22"/>
      <c r="R27" s="22"/>
      <c r="S27" s="22"/>
    </row>
    <row r="28">
      <c r="B28" s="10"/>
      <c r="C28" s="10"/>
      <c r="D28" s="19" t="s">
        <v>1139</v>
      </c>
      <c r="E28" s="51" t="n"/>
      <c r="F28" s="51" t="n"/>
      <c r="G28" s="51" t="n"/>
      <c r="H28" s="51" t="n"/>
      <c r="I28" s="51" t="n"/>
      <c r="J28" s="51" t="n"/>
      <c r="K28" s="51" t="n"/>
      <c r="L28" s="51" t="n"/>
      <c r="M28" s="51" t="n"/>
      <c r="N28" s="51" t="n"/>
      <c r="O28" s="51" t="n"/>
      <c r="P28" s="51" t="n"/>
      <c r="Q28" s="51" t="n"/>
      <c r="R28" s="51" t="n"/>
      <c r="S28" s="51" t="n"/>
    </row>
    <row r="29">
      <c r="B29" s="10"/>
      <c r="C29" s="10"/>
      <c r="D29" s="18" t="s">
        <v>1140</v>
      </c>
      <c r="E29" s="50" t="n"/>
      <c r="F29" s="50" t="n"/>
      <c r="G29" s="50" t="n"/>
      <c r="H29" s="50" t="n"/>
      <c r="I29" s="50" t="n"/>
      <c r="J29" s="50" t="n"/>
      <c r="K29" s="50" t="n"/>
      <c r="L29" s="50" t="n"/>
      <c r="M29" s="50" t="n"/>
      <c r="N29" s="50" t="n"/>
      <c r="O29" s="50" t="n"/>
      <c r="P29" s="50" t="n"/>
      <c r="Q29" s="50" t="n"/>
      <c r="R29" s="50" t="n"/>
      <c r="S29" s="50" t="n"/>
    </row>
    <row r="30">
      <c r="B30" s="10"/>
      <c r="C30" s="10"/>
      <c r="D30" s="19" t="s">
        <v>1141</v>
      </c>
      <c r="E30" s="51" t="n"/>
      <c r="F30" s="51" t="n"/>
      <c r="G30" s="51" t="n"/>
      <c r="H30" s="51" t="n"/>
      <c r="I30" s="51" t="n"/>
      <c r="J30" s="51" t="n"/>
      <c r="K30" s="51" t="n"/>
      <c r="L30" s="51" t="n"/>
      <c r="M30" s="51" t="n"/>
      <c r="N30" s="51" t="n"/>
      <c r="O30" s="51" t="n"/>
      <c r="P30" s="51" t="n"/>
      <c r="Q30" s="51" t="n"/>
      <c r="R30" s="51" t="n"/>
      <c r="S30" s="51" t="n"/>
    </row>
    <row r="31">
      <c r="B31" s="10"/>
      <c r="C31" s="10"/>
      <c r="D31" s="18" t="s">
        <v>1142</v>
      </c>
      <c r="E31" s="50" t="n"/>
      <c r="F31" s="50" t="n"/>
      <c r="G31" s="50" t="n"/>
      <c r="H31" s="50" t="n"/>
      <c r="I31" s="50" t="n"/>
      <c r="J31" s="50" t="n"/>
      <c r="K31" s="50" t="n"/>
      <c r="L31" s="50" t="n"/>
      <c r="M31" s="50" t="n"/>
      <c r="N31" s="50" t="n"/>
      <c r="O31" s="50" t="n"/>
      <c r="P31" s="50" t="n"/>
      <c r="Q31" s="50" t="n"/>
      <c r="R31" s="50" t="n"/>
      <c r="S31" s="50" t="n"/>
    </row>
    <row r="32">
      <c r="B32" s="10"/>
      <c r="C32" s="10"/>
      <c r="D32" s="19" t="s">
        <v>1143</v>
      </c>
      <c r="E32" s="51" t="n"/>
      <c r="F32" s="51" t="n"/>
      <c r="G32" s="51" t="n"/>
      <c r="H32" s="51" t="n"/>
      <c r="I32" s="51" t="n"/>
      <c r="J32" s="51" t="n"/>
      <c r="K32" s="51" t="n"/>
      <c r="L32" s="51" t="n"/>
      <c r="M32" s="51" t="n"/>
      <c r="N32" s="51" t="n"/>
      <c r="O32" s="51" t="n"/>
      <c r="P32" s="51" t="n"/>
      <c r="Q32" s="51" t="n"/>
      <c r="R32" s="51" t="n"/>
      <c r="S32" s="51" t="n"/>
    </row>
    <row r="33">
      <c r="B33" s="10"/>
      <c r="C33" s="10"/>
      <c r="D33" s="18" t="s">
        <v>1144</v>
      </c>
      <c r="E33" s="50" t="n"/>
      <c r="F33" s="50" t="n"/>
      <c r="G33" s="50" t="n"/>
      <c r="H33" s="50" t="n"/>
      <c r="I33" s="50" t="n"/>
      <c r="J33" s="50" t="n"/>
      <c r="K33" s="50" t="n"/>
      <c r="L33" s="50" t="n"/>
      <c r="M33" s="50" t="n"/>
      <c r="N33" s="50" t="n"/>
      <c r="O33" s="50" t="n"/>
      <c r="P33" s="50" t="n"/>
      <c r="Q33" s="50" t="n"/>
      <c r="R33" s="50" t="n"/>
      <c r="S33" s="50" t="n"/>
    </row>
    <row r="34">
      <c r="B34" s="10"/>
      <c r="C34" s="11"/>
      <c r="D34" s="57" t="s">
        <v>1145</v>
      </c>
      <c r="E34" s="51" t="n">
        <f>SUM(E28:E33)</f>
      </c>
      <c r="F34" s="51" t="n">
        <f>SUM(F28:F33)</f>
      </c>
      <c r="G34" s="51" t="n">
        <f>SUM(G28:G33)</f>
      </c>
      <c r="H34" s="51" t="n">
        <f>SUM(H28:H33)</f>
      </c>
      <c r="I34" s="51" t="n">
        <f>SUM(I28:I33)</f>
      </c>
      <c r="J34" s="51" t="n">
        <f>SUM(J28:J33)</f>
      </c>
      <c r="K34" s="51" t="n">
        <f>SUM(K28:K33)</f>
      </c>
      <c r="L34" s="51" t="n">
        <f>SUM(L28:L33)</f>
      </c>
      <c r="M34" s="51" t="n">
        <f>SUM(M28:M33)</f>
      </c>
      <c r="N34" s="51" t="n">
        <f>SUM(N28:N33)</f>
      </c>
      <c r="O34" s="51" t="n">
        <f>SUM(O28:O33)</f>
      </c>
      <c r="P34" s="51" t="n">
        <f>SUM(P28:P33)</f>
      </c>
      <c r="Q34" s="51" t="n">
        <f>SUM(Q28:Q33)</f>
      </c>
      <c r="R34" s="51" t="n">
        <f>SUM(R28:R33)</f>
      </c>
      <c r="S34" s="51" t="n">
        <f>SUM(S28:S33)</f>
      </c>
    </row>
    <row r="35">
      <c r="B35" s="10"/>
      <c r="C35" s="11" t="s">
        <v>1146</v>
      </c>
      <c r="D35" s="9"/>
      <c r="E35" s="50" t="n"/>
      <c r="F35" s="50" t="n"/>
      <c r="G35" s="50" t="n"/>
      <c r="H35" s="50" t="n"/>
      <c r="I35" s="50" t="n"/>
      <c r="J35" s="50" t="n"/>
      <c r="K35" s="50" t="n"/>
      <c r="L35" s="50" t="n"/>
      <c r="M35" s="50" t="n"/>
      <c r="N35" s="50" t="n"/>
      <c r="O35" s="50" t="n"/>
      <c r="P35" s="50" t="n"/>
      <c r="Q35" s="50" t="n"/>
      <c r="R35" s="50" t="n"/>
      <c r="S35" s="50" t="n"/>
    </row>
    <row r="36">
      <c r="B36" s="10"/>
      <c r="C36" s="15" t="s">
        <v>1147</v>
      </c>
      <c r="D36" s="13"/>
      <c r="E36" s="51" t="n"/>
      <c r="F36" s="51" t="n"/>
      <c r="G36" s="51" t="n"/>
      <c r="H36" s="51" t="n"/>
      <c r="I36" s="51" t="n"/>
      <c r="J36" s="51" t="n"/>
      <c r="K36" s="51" t="n"/>
      <c r="L36" s="51" t="n"/>
      <c r="M36" s="51" t="n"/>
      <c r="N36" s="51" t="n"/>
      <c r="O36" s="51" t="n"/>
      <c r="P36" s="51" t="n"/>
      <c r="Q36" s="51" t="n"/>
      <c r="R36" s="51" t="n"/>
      <c r="S36" s="51" t="n"/>
    </row>
    <row r="37">
      <c r="B37" s="10"/>
      <c r="C37" s="7" t="s">
        <v>1148</v>
      </c>
      <c r="D37" s="9"/>
      <c r="E37" s="22"/>
      <c r="F37" s="22"/>
      <c r="G37" s="22"/>
      <c r="H37" s="22"/>
      <c r="I37" s="22"/>
      <c r="J37" s="22"/>
      <c r="K37" s="22"/>
      <c r="L37" s="22"/>
      <c r="M37" s="22"/>
      <c r="N37" s="22"/>
      <c r="O37" s="22"/>
      <c r="P37" s="22"/>
      <c r="Q37" s="22"/>
      <c r="R37" s="22"/>
      <c r="S37" s="22"/>
    </row>
    <row r="38">
      <c r="B38" s="10"/>
      <c r="C38" s="10"/>
      <c r="D38" s="19" t="s">
        <v>1149</v>
      </c>
      <c r="E38" s="51" t="n"/>
      <c r="F38" s="51" t="n"/>
      <c r="G38" s="51" t="n"/>
      <c r="H38" s="51" t="n"/>
      <c r="I38" s="51" t="n"/>
      <c r="J38" s="51" t="n"/>
      <c r="K38" s="51" t="n"/>
      <c r="L38" s="51" t="n"/>
      <c r="M38" s="51" t="n"/>
      <c r="N38" s="51" t="n"/>
      <c r="O38" s="51" t="n"/>
      <c r="P38" s="51" t="n"/>
      <c r="Q38" s="51" t="n"/>
      <c r="R38" s="51" t="n"/>
      <c r="S38" s="51" t="n"/>
    </row>
    <row r="39">
      <c r="B39" s="10"/>
      <c r="C39" s="10"/>
      <c r="D39" s="18" t="s">
        <v>1150</v>
      </c>
      <c r="E39" s="50" t="n"/>
      <c r="F39" s="50" t="n"/>
      <c r="G39" s="50" t="n"/>
      <c r="H39" s="50" t="n"/>
      <c r="I39" s="50" t="n"/>
      <c r="J39" s="50" t="n"/>
      <c r="K39" s="50" t="n"/>
      <c r="L39" s="50" t="n"/>
      <c r="M39" s="50" t="n"/>
      <c r="N39" s="50" t="n"/>
      <c r="O39" s="50" t="n"/>
      <c r="P39" s="50" t="n"/>
      <c r="Q39" s="50" t="n"/>
      <c r="R39" s="50" t="n"/>
      <c r="S39" s="50" t="n"/>
    </row>
    <row r="40">
      <c r="B40" s="10"/>
      <c r="C40" s="10"/>
      <c r="D40" s="19" t="s">
        <v>1151</v>
      </c>
      <c r="E40" s="51" t="n"/>
      <c r="F40" s="51" t="n"/>
      <c r="G40" s="51" t="n"/>
      <c r="H40" s="51" t="n"/>
      <c r="I40" s="51" t="n"/>
      <c r="J40" s="51" t="n"/>
      <c r="K40" s="51" t="n"/>
      <c r="L40" s="51" t="n"/>
      <c r="M40" s="51" t="n"/>
      <c r="N40" s="51" t="n"/>
      <c r="O40" s="51" t="n"/>
      <c r="P40" s="51" t="n"/>
      <c r="Q40" s="51" t="n"/>
      <c r="R40" s="51" t="n"/>
      <c r="S40" s="51" t="n"/>
    </row>
    <row r="41">
      <c r="B41" s="10"/>
      <c r="C41" s="10"/>
      <c r="D41" s="18" t="s">
        <v>1152</v>
      </c>
      <c r="E41" s="50" t="n"/>
      <c r="F41" s="50" t="n"/>
      <c r="G41" s="50" t="n"/>
      <c r="H41" s="50" t="n"/>
      <c r="I41" s="50" t="n"/>
      <c r="J41" s="50" t="n"/>
      <c r="K41" s="50" t="n"/>
      <c r="L41" s="50" t="n"/>
      <c r="M41" s="50" t="n"/>
      <c r="N41" s="50" t="n"/>
      <c r="O41" s="50" t="n"/>
      <c r="P41" s="50" t="n"/>
      <c r="Q41" s="50" t="n"/>
      <c r="R41" s="50" t="n"/>
      <c r="S41" s="50" t="n"/>
    </row>
    <row r="42">
      <c r="B42" s="10"/>
      <c r="C42" s="10"/>
      <c r="D42" s="19" t="s">
        <v>1153</v>
      </c>
      <c r="E42" s="51" t="n"/>
      <c r="F42" s="51" t="n"/>
      <c r="G42" s="51" t="n"/>
      <c r="H42" s="51" t="n"/>
      <c r="I42" s="51" t="n"/>
      <c r="J42" s="51" t="n"/>
      <c r="K42" s="51" t="n"/>
      <c r="L42" s="51" t="n"/>
      <c r="M42" s="51" t="n"/>
      <c r="N42" s="51" t="n"/>
      <c r="O42" s="51" t="n"/>
      <c r="P42" s="51" t="n"/>
      <c r="Q42" s="51" t="n"/>
      <c r="R42" s="51" t="n"/>
      <c r="S42" s="51" t="n"/>
    </row>
    <row r="43">
      <c r="B43" s="10"/>
      <c r="C43" s="10"/>
      <c r="D43" s="18" t="s">
        <v>1154</v>
      </c>
      <c r="E43" s="50" t="n"/>
      <c r="F43" s="50" t="n"/>
      <c r="G43" s="50" t="n"/>
      <c r="H43" s="50" t="n"/>
      <c r="I43" s="50" t="n"/>
      <c r="J43" s="50" t="n"/>
      <c r="K43" s="50" t="n"/>
      <c r="L43" s="50" t="n"/>
      <c r="M43" s="50" t="n"/>
      <c r="N43" s="50" t="n"/>
      <c r="O43" s="50" t="n"/>
      <c r="P43" s="50" t="n"/>
      <c r="Q43" s="50" t="n"/>
      <c r="R43" s="50" t="n"/>
      <c r="S43" s="50" t="n"/>
    </row>
    <row r="44">
      <c r="B44" s="10"/>
      <c r="C44" s="10"/>
      <c r="D44" s="19" t="s">
        <v>1155</v>
      </c>
      <c r="E44" s="51" t="n"/>
      <c r="F44" s="51" t="n"/>
      <c r="G44" s="51" t="n"/>
      <c r="H44" s="51" t="n"/>
      <c r="I44" s="51" t="n"/>
      <c r="J44" s="51" t="n"/>
      <c r="K44" s="51" t="n"/>
      <c r="L44" s="51" t="n"/>
      <c r="M44" s="51" t="n"/>
      <c r="N44" s="51" t="n"/>
      <c r="O44" s="51" t="n"/>
      <c r="P44" s="51" t="n"/>
      <c r="Q44" s="51" t="n"/>
      <c r="R44" s="51" t="n"/>
      <c r="S44" s="51" t="n"/>
    </row>
    <row r="45">
      <c r="B45" s="10"/>
      <c r="C45" s="10"/>
      <c r="D45" s="18" t="s">
        <v>1156</v>
      </c>
      <c r="E45" s="50" t="n"/>
      <c r="F45" s="50" t="n"/>
      <c r="G45" s="50" t="n"/>
      <c r="H45" s="50" t="n"/>
      <c r="I45" s="50" t="n"/>
      <c r="J45" s="50" t="n"/>
      <c r="K45" s="50" t="n"/>
      <c r="L45" s="50" t="n"/>
      <c r="M45" s="50" t="n"/>
      <c r="N45" s="50" t="n"/>
      <c r="O45" s="50" t="n"/>
      <c r="P45" s="50" t="n"/>
      <c r="Q45" s="50" t="n"/>
      <c r="R45" s="50" t="n"/>
      <c r="S45" s="50" t="n"/>
    </row>
    <row r="46">
      <c r="B46" s="10"/>
      <c r="C46" s="10"/>
      <c r="D46" s="19" t="s">
        <v>1157</v>
      </c>
      <c r="E46" s="51" t="n"/>
      <c r="F46" s="51" t="n"/>
      <c r="G46" s="51" t="n"/>
      <c r="H46" s="51" t="n"/>
      <c r="I46" s="51" t="n"/>
      <c r="J46" s="51" t="n"/>
      <c r="K46" s="51" t="n"/>
      <c r="L46" s="51" t="n"/>
      <c r="M46" s="51" t="n"/>
      <c r="N46" s="51" t="n"/>
      <c r="O46" s="51" t="n"/>
      <c r="P46" s="51" t="n"/>
      <c r="Q46" s="51" t="n"/>
      <c r="R46" s="51" t="n"/>
      <c r="S46" s="51" t="n"/>
    </row>
    <row r="47">
      <c r="B47" s="10"/>
      <c r="C47" s="10"/>
      <c r="D47" s="18" t="s">
        <v>1158</v>
      </c>
      <c r="E47" s="50" t="n"/>
      <c r="F47" s="50" t="n"/>
      <c r="G47" s="50" t="n"/>
      <c r="H47" s="50" t="n"/>
      <c r="I47" s="50" t="n"/>
      <c r="J47" s="50" t="n"/>
      <c r="K47" s="50" t="n"/>
      <c r="L47" s="50" t="n"/>
      <c r="M47" s="50" t="n"/>
      <c r="N47" s="50" t="n"/>
      <c r="O47" s="50" t="n"/>
      <c r="P47" s="50" t="n"/>
      <c r="Q47" s="50" t="n"/>
      <c r="R47" s="50" t="n"/>
      <c r="S47" s="50" t="n"/>
    </row>
    <row r="48">
      <c r="B48" s="10"/>
      <c r="C48" s="10"/>
      <c r="D48" s="19" t="s">
        <v>1159</v>
      </c>
      <c r="E48" s="51" t="n"/>
      <c r="F48" s="51" t="n"/>
      <c r="G48" s="51" t="n"/>
      <c r="H48" s="51" t="n"/>
      <c r="I48" s="51" t="n"/>
      <c r="J48" s="51" t="n"/>
      <c r="K48" s="51" t="n"/>
      <c r="L48" s="51" t="n"/>
      <c r="M48" s="51" t="n"/>
      <c r="N48" s="51" t="n"/>
      <c r="O48" s="51" t="n"/>
      <c r="P48" s="51" t="n"/>
      <c r="Q48" s="51" t="n"/>
      <c r="R48" s="51" t="n"/>
      <c r="S48" s="51" t="n"/>
    </row>
    <row r="49">
      <c r="B49" s="10"/>
      <c r="C49" s="10"/>
      <c r="D49" s="18" t="s">
        <v>1160</v>
      </c>
      <c r="E49" s="50" t="n"/>
      <c r="F49" s="50" t="n"/>
      <c r="G49" s="50" t="n"/>
      <c r="H49" s="50" t="n"/>
      <c r="I49" s="50" t="n"/>
      <c r="J49" s="50" t="n"/>
      <c r="K49" s="50" t="n"/>
      <c r="L49" s="50" t="n"/>
      <c r="M49" s="50" t="n"/>
      <c r="N49" s="50" t="n"/>
      <c r="O49" s="50" t="n"/>
      <c r="P49" s="50" t="n"/>
      <c r="Q49" s="50" t="n"/>
      <c r="R49" s="50" t="n"/>
      <c r="S49" s="50" t="n"/>
    </row>
    <row r="50">
      <c r="B50" s="10"/>
      <c r="C50" s="10"/>
      <c r="D50" s="19" t="s">
        <v>1161</v>
      </c>
      <c r="E50" s="51" t="n"/>
      <c r="F50" s="51" t="n"/>
      <c r="G50" s="51" t="n"/>
      <c r="H50" s="51" t="n"/>
      <c r="I50" s="51" t="n"/>
      <c r="J50" s="51" t="n"/>
      <c r="K50" s="51" t="n"/>
      <c r="L50" s="51" t="n"/>
      <c r="M50" s="51" t="n"/>
      <c r="N50" s="51" t="n"/>
      <c r="O50" s="51" t="n"/>
      <c r="P50" s="51" t="n"/>
      <c r="Q50" s="51" t="n"/>
      <c r="R50" s="51" t="n"/>
      <c r="S50" s="51" t="n"/>
    </row>
    <row r="51">
      <c r="B51" s="10"/>
      <c r="C51" s="11"/>
      <c r="D51" s="65" t="s">
        <v>1162</v>
      </c>
      <c r="E51" s="50" t="n">
        <f>SUM(E38:E50)</f>
      </c>
      <c r="F51" s="50" t="n">
        <f>SUM(F38:F50)</f>
      </c>
      <c r="G51" s="50" t="n">
        <f>SUM(G38:G50)</f>
      </c>
      <c r="H51" s="50" t="n">
        <f>SUM(H38:H50)</f>
      </c>
      <c r="I51" s="50" t="n">
        <f>SUM(I38:I50)</f>
      </c>
      <c r="J51" s="50" t="n">
        <f>SUM(J38:J50)</f>
      </c>
      <c r="K51" s="50" t="n">
        <f>SUM(K38:K50)</f>
      </c>
      <c r="L51" s="50" t="n">
        <f>SUM(L38:L50)</f>
      </c>
      <c r="M51" s="50" t="n">
        <f>SUM(M38:M50)</f>
      </c>
      <c r="N51" s="50" t="n">
        <f>SUM(N38:N50)</f>
      </c>
      <c r="O51" s="50" t="n">
        <f>SUM(O38:O50)</f>
      </c>
      <c r="P51" s="50" t="n">
        <f>SUM(P38:P50)</f>
      </c>
      <c r="Q51" s="50" t="n">
        <f>SUM(Q38:Q50)</f>
      </c>
      <c r="R51" s="50" t="n">
        <f>SUM(R38:R50)</f>
      </c>
      <c r="S51" s="50" t="n">
        <f>SUM(S38:S50)</f>
      </c>
    </row>
    <row r="52">
      <c r="B52" s="10"/>
      <c r="C52" s="12" t="s">
        <v>1163</v>
      </c>
      <c r="D52" s="13"/>
      <c r="E52" s="23"/>
      <c r="F52" s="23"/>
      <c r="G52" s="23"/>
      <c r="H52" s="23"/>
      <c r="I52" s="23"/>
      <c r="J52" s="23"/>
      <c r="K52" s="23"/>
      <c r="L52" s="23"/>
      <c r="M52" s="23"/>
      <c r="N52" s="23"/>
      <c r="O52" s="23"/>
      <c r="P52" s="23"/>
      <c r="Q52" s="23"/>
      <c r="R52" s="23"/>
      <c r="S52" s="23"/>
    </row>
    <row r="53">
      <c r="B53" s="10"/>
      <c r="C53" s="14"/>
      <c r="D53" s="18" t="s">
        <v>1164</v>
      </c>
      <c r="E53" s="50" t="n"/>
      <c r="F53" s="50" t="n"/>
      <c r="G53" s="50" t="n"/>
      <c r="H53" s="50" t="n"/>
      <c r="I53" s="50" t="n"/>
      <c r="J53" s="50" t="n"/>
      <c r="K53" s="50" t="n"/>
      <c r="L53" s="50" t="n"/>
      <c r="M53" s="50" t="n"/>
      <c r="N53" s="50" t="n"/>
      <c r="O53" s="50" t="n"/>
      <c r="P53" s="50" t="n"/>
      <c r="Q53" s="50" t="n"/>
      <c r="R53" s="50" t="n"/>
      <c r="S53" s="50" t="n"/>
    </row>
    <row r="54">
      <c r="B54" s="10"/>
      <c r="C54" s="14"/>
      <c r="D54" s="19" t="s">
        <v>1165</v>
      </c>
      <c r="E54" s="51" t="n"/>
      <c r="F54" s="51" t="n"/>
      <c r="G54" s="51" t="n"/>
      <c r="H54" s="51" t="n"/>
      <c r="I54" s="51" t="n"/>
      <c r="J54" s="51" t="n"/>
      <c r="K54" s="51" t="n"/>
      <c r="L54" s="51" t="n"/>
      <c r="M54" s="51" t="n"/>
      <c r="N54" s="51" t="n"/>
      <c r="O54" s="51" t="n"/>
      <c r="P54" s="51" t="n"/>
      <c r="Q54" s="51" t="n"/>
      <c r="R54" s="51" t="n"/>
      <c r="S54" s="51" t="n"/>
    </row>
    <row r="55">
      <c r="B55" s="10"/>
      <c r="C55" s="14"/>
      <c r="D55" s="18" t="s">
        <v>1166</v>
      </c>
      <c r="E55" s="50" t="n"/>
      <c r="F55" s="50" t="n"/>
      <c r="G55" s="50" t="n"/>
      <c r="H55" s="50" t="n"/>
      <c r="I55" s="50" t="n"/>
      <c r="J55" s="50" t="n"/>
      <c r="K55" s="50" t="n"/>
      <c r="L55" s="50" t="n"/>
      <c r="M55" s="50" t="n"/>
      <c r="N55" s="50" t="n"/>
      <c r="O55" s="50" t="n"/>
      <c r="P55" s="50" t="n"/>
      <c r="Q55" s="50" t="n"/>
      <c r="R55" s="50" t="n"/>
      <c r="S55" s="50" t="n"/>
    </row>
    <row r="56">
      <c r="B56" s="10"/>
      <c r="C56" s="14"/>
      <c r="D56" s="19" t="s">
        <v>1167</v>
      </c>
      <c r="E56" s="51" t="n"/>
      <c r="F56" s="51" t="n"/>
      <c r="G56" s="51" t="n"/>
      <c r="H56" s="51" t="n"/>
      <c r="I56" s="51" t="n"/>
      <c r="J56" s="51" t="n"/>
      <c r="K56" s="51" t="n"/>
      <c r="L56" s="51" t="n"/>
      <c r="M56" s="51" t="n"/>
      <c r="N56" s="51" t="n"/>
      <c r="O56" s="51" t="n"/>
      <c r="P56" s="51" t="n"/>
      <c r="Q56" s="51" t="n"/>
      <c r="R56" s="51" t="n"/>
      <c r="S56" s="51" t="n"/>
    </row>
    <row r="57">
      <c r="B57" s="10"/>
      <c r="C57" s="14"/>
      <c r="D57" s="18" t="s">
        <v>1168</v>
      </c>
      <c r="E57" s="50" t="n"/>
      <c r="F57" s="50" t="n"/>
      <c r="G57" s="50" t="n"/>
      <c r="H57" s="50" t="n"/>
      <c r="I57" s="50" t="n"/>
      <c r="J57" s="50" t="n"/>
      <c r="K57" s="50" t="n"/>
      <c r="L57" s="50" t="n"/>
      <c r="M57" s="50" t="n"/>
      <c r="N57" s="50" t="n"/>
      <c r="O57" s="50" t="n"/>
      <c r="P57" s="50" t="n"/>
      <c r="Q57" s="50" t="n"/>
      <c r="R57" s="50" t="n"/>
      <c r="S57" s="50" t="n"/>
    </row>
    <row r="58">
      <c r="B58" s="10"/>
      <c r="C58" s="14"/>
      <c r="D58" s="19" t="s">
        <v>1169</v>
      </c>
      <c r="E58" s="51" t="n"/>
      <c r="F58" s="51" t="n"/>
      <c r="G58" s="51" t="n"/>
      <c r="H58" s="51" t="n"/>
      <c r="I58" s="51" t="n"/>
      <c r="J58" s="51" t="n"/>
      <c r="K58" s="51" t="n"/>
      <c r="L58" s="51" t="n"/>
      <c r="M58" s="51" t="n"/>
      <c r="N58" s="51" t="n"/>
      <c r="O58" s="51" t="n"/>
      <c r="P58" s="51" t="n"/>
      <c r="Q58" s="51" t="n"/>
      <c r="R58" s="51" t="n"/>
      <c r="S58" s="51" t="n"/>
    </row>
    <row r="59">
      <c r="B59" s="10"/>
      <c r="C59" s="14"/>
      <c r="D59" s="18" t="s">
        <v>1170</v>
      </c>
      <c r="E59" s="50" t="n"/>
      <c r="F59" s="50" t="n"/>
      <c r="G59" s="50" t="n"/>
      <c r="H59" s="50" t="n"/>
      <c r="I59" s="50" t="n"/>
      <c r="J59" s="50" t="n"/>
      <c r="K59" s="50" t="n"/>
      <c r="L59" s="50" t="n"/>
      <c r="M59" s="50" t="n"/>
      <c r="N59" s="50" t="n"/>
      <c r="O59" s="50" t="n"/>
      <c r="P59" s="50" t="n"/>
      <c r="Q59" s="50" t="n"/>
      <c r="R59" s="50" t="n"/>
      <c r="S59" s="50" t="n"/>
    </row>
    <row r="60">
      <c r="B60" s="10"/>
      <c r="C60" s="14"/>
      <c r="D60" s="19" t="s">
        <v>1171</v>
      </c>
      <c r="E60" s="51" t="n"/>
      <c r="F60" s="51" t="n"/>
      <c r="G60" s="51" t="n"/>
      <c r="H60" s="51" t="n"/>
      <c r="I60" s="51" t="n"/>
      <c r="J60" s="51" t="n"/>
      <c r="K60" s="51" t="n"/>
      <c r="L60" s="51" t="n"/>
      <c r="M60" s="51" t="n"/>
      <c r="N60" s="51" t="n"/>
      <c r="O60" s="51" t="n"/>
      <c r="P60" s="51" t="n"/>
      <c r="Q60" s="51" t="n"/>
      <c r="R60" s="51" t="n"/>
      <c r="S60" s="51" t="n"/>
    </row>
    <row r="61">
      <c r="B61" s="10"/>
      <c r="C61" s="14"/>
      <c r="D61" s="18" t="s">
        <v>1172</v>
      </c>
      <c r="E61" s="50" t="n"/>
      <c r="F61" s="50" t="n"/>
      <c r="G61" s="50" t="n"/>
      <c r="H61" s="50" t="n"/>
      <c r="I61" s="50" t="n"/>
      <c r="J61" s="50" t="n"/>
      <c r="K61" s="50" t="n"/>
      <c r="L61" s="50" t="n"/>
      <c r="M61" s="50" t="n"/>
      <c r="N61" s="50" t="n"/>
      <c r="O61" s="50" t="n"/>
      <c r="P61" s="50" t="n"/>
      <c r="Q61" s="50" t="n"/>
      <c r="R61" s="50" t="n"/>
      <c r="S61" s="50" t="n"/>
    </row>
    <row r="62">
      <c r="B62" s="10"/>
      <c r="C62" s="14"/>
      <c r="D62" s="19" t="s">
        <v>1173</v>
      </c>
      <c r="E62" s="51" t="n"/>
      <c r="F62" s="51" t="n"/>
      <c r="G62" s="51" t="n"/>
      <c r="H62" s="51" t="n"/>
      <c r="I62" s="51" t="n"/>
      <c r="J62" s="51" t="n"/>
      <c r="K62" s="51" t="n"/>
      <c r="L62" s="51" t="n"/>
      <c r="M62" s="51" t="n"/>
      <c r="N62" s="51" t="n"/>
      <c r="O62" s="51" t="n"/>
      <c r="P62" s="51" t="n"/>
      <c r="Q62" s="51" t="n"/>
      <c r="R62" s="51" t="n"/>
      <c r="S62" s="51" t="n"/>
    </row>
    <row r="63">
      <c r="B63" s="10"/>
      <c r="C63" s="14"/>
      <c r="D63" s="18" t="s">
        <v>1174</v>
      </c>
      <c r="E63" s="50" t="n"/>
      <c r="F63" s="50" t="n"/>
      <c r="G63" s="50" t="n"/>
      <c r="H63" s="50" t="n"/>
      <c r="I63" s="50" t="n"/>
      <c r="J63" s="50" t="n"/>
      <c r="K63" s="50" t="n"/>
      <c r="L63" s="50" t="n"/>
      <c r="M63" s="50" t="n"/>
      <c r="N63" s="50" t="n"/>
      <c r="O63" s="50" t="n"/>
      <c r="P63" s="50" t="n"/>
      <c r="Q63" s="50" t="n"/>
      <c r="R63" s="50" t="n"/>
      <c r="S63" s="50" t="n"/>
    </row>
    <row r="64">
      <c r="B64" s="10"/>
      <c r="C64" s="15"/>
      <c r="D64" s="57" t="s">
        <v>1175</v>
      </c>
      <c r="E64" s="51" t="n">
        <f>SUM(E53:E63)</f>
      </c>
      <c r="F64" s="51" t="n">
        <f>SUM(F53:F63)</f>
      </c>
      <c r="G64" s="51" t="n">
        <f>SUM(G53:G63)</f>
      </c>
      <c r="H64" s="51" t="n">
        <f>SUM(H53:H63)</f>
      </c>
      <c r="I64" s="51" t="n">
        <f>SUM(I53:I63)</f>
      </c>
      <c r="J64" s="51" t="n">
        <f>SUM(J53:J63)</f>
      </c>
      <c r="K64" s="51" t="n">
        <f>SUM(K53:K63)</f>
      </c>
      <c r="L64" s="51" t="n">
        <f>SUM(L53:L63)</f>
      </c>
      <c r="M64" s="51" t="n">
        <f>SUM(M53:M63)</f>
      </c>
      <c r="N64" s="51" t="n">
        <f>SUM(N53:N63)</f>
      </c>
      <c r="O64" s="51" t="n">
        <f>SUM(O53:O63)</f>
      </c>
      <c r="P64" s="51" t="n">
        <f>SUM(P53:P63)</f>
      </c>
      <c r="Q64" s="51" t="n">
        <f>SUM(Q53:Q63)</f>
      </c>
      <c r="R64" s="51" t="n">
        <f>SUM(R53:R63)</f>
      </c>
      <c r="S64" s="51" t="n">
        <f>SUM(S53:S63)</f>
      </c>
    </row>
    <row r="65">
      <c r="B65" s="10"/>
      <c r="C65" s="7" t="s">
        <v>1176</v>
      </c>
      <c r="D65" s="9"/>
      <c r="E65" s="22"/>
      <c r="F65" s="22"/>
      <c r="G65" s="22"/>
      <c r="H65" s="22"/>
      <c r="I65" s="22"/>
      <c r="J65" s="22"/>
      <c r="K65" s="22"/>
      <c r="L65" s="22"/>
      <c r="M65" s="22"/>
      <c r="N65" s="22"/>
      <c r="O65" s="22"/>
      <c r="P65" s="22"/>
      <c r="Q65" s="22"/>
      <c r="R65" s="22"/>
      <c r="S65" s="22"/>
    </row>
    <row r="66">
      <c r="B66" s="10"/>
      <c r="C66" s="10"/>
      <c r="D66" s="19" t="s">
        <v>1177</v>
      </c>
      <c r="E66" s="51" t="n"/>
      <c r="F66" s="51" t="n"/>
      <c r="G66" s="51" t="n"/>
      <c r="H66" s="51" t="n"/>
      <c r="I66" s="51" t="n"/>
      <c r="J66" s="51" t="n"/>
      <c r="K66" s="51" t="n"/>
      <c r="L66" s="51" t="n"/>
      <c r="M66" s="51" t="n"/>
      <c r="N66" s="51" t="n"/>
      <c r="O66" s="51" t="n"/>
      <c r="P66" s="51" t="n"/>
      <c r="Q66" s="51" t="n"/>
      <c r="R66" s="51" t="n"/>
      <c r="S66" s="51" t="n"/>
    </row>
    <row r="67">
      <c r="B67" s="10"/>
      <c r="C67" s="10"/>
      <c r="D67" s="18" t="s">
        <v>1178</v>
      </c>
      <c r="E67" s="50" t="n"/>
      <c r="F67" s="50" t="n"/>
      <c r="G67" s="50" t="n"/>
      <c r="H67" s="50" t="n"/>
      <c r="I67" s="50" t="n"/>
      <c r="J67" s="50" t="n"/>
      <c r="K67" s="50" t="n"/>
      <c r="L67" s="50" t="n"/>
      <c r="M67" s="50" t="n"/>
      <c r="N67" s="50" t="n"/>
      <c r="O67" s="50" t="n"/>
      <c r="P67" s="50" t="n"/>
      <c r="Q67" s="50" t="n"/>
      <c r="R67" s="50" t="n"/>
      <c r="S67" s="50" t="n"/>
    </row>
    <row r="68">
      <c r="B68" s="10"/>
      <c r="C68" s="10"/>
      <c r="D68" s="19" t="s">
        <v>1179</v>
      </c>
      <c r="E68" s="51" t="n"/>
      <c r="F68" s="51" t="n"/>
      <c r="G68" s="51" t="n"/>
      <c r="H68" s="51" t="n"/>
      <c r="I68" s="51" t="n"/>
      <c r="J68" s="51" t="n"/>
      <c r="K68" s="51" t="n"/>
      <c r="L68" s="51" t="n"/>
      <c r="M68" s="51" t="n"/>
      <c r="N68" s="51" t="n"/>
      <c r="O68" s="51" t="n"/>
      <c r="P68" s="51" t="n"/>
      <c r="Q68" s="51" t="n"/>
      <c r="R68" s="51" t="n"/>
      <c r="S68" s="51" t="n"/>
    </row>
    <row r="69">
      <c r="B69" s="10"/>
      <c r="C69" s="10"/>
      <c r="D69" s="18" t="s">
        <v>1180</v>
      </c>
      <c r="E69" s="50" t="n"/>
      <c r="F69" s="50" t="n"/>
      <c r="G69" s="50" t="n"/>
      <c r="H69" s="50" t="n"/>
      <c r="I69" s="50" t="n"/>
      <c r="J69" s="50" t="n"/>
      <c r="K69" s="50" t="n"/>
      <c r="L69" s="50" t="n"/>
      <c r="M69" s="50" t="n"/>
      <c r="N69" s="50" t="n"/>
      <c r="O69" s="50" t="n"/>
      <c r="P69" s="50" t="n"/>
      <c r="Q69" s="50" t="n"/>
      <c r="R69" s="50" t="n"/>
      <c r="S69" s="50" t="n"/>
    </row>
    <row r="70">
      <c r="B70" s="10"/>
      <c r="C70" s="10"/>
      <c r="D70" s="19" t="s">
        <v>1181</v>
      </c>
      <c r="E70" s="51" t="n"/>
      <c r="F70" s="51" t="n"/>
      <c r="G70" s="51" t="n"/>
      <c r="H70" s="51" t="n"/>
      <c r="I70" s="51" t="n"/>
      <c r="J70" s="51" t="n"/>
      <c r="K70" s="51" t="n"/>
      <c r="L70" s="51" t="n"/>
      <c r="M70" s="51" t="n"/>
      <c r="N70" s="51" t="n"/>
      <c r="O70" s="51" t="n"/>
      <c r="P70" s="51" t="n"/>
      <c r="Q70" s="51" t="n"/>
      <c r="R70" s="51" t="n"/>
      <c r="S70" s="51" t="n"/>
    </row>
    <row r="71">
      <c r="B71" s="10"/>
      <c r="C71" s="10"/>
      <c r="D71" s="18" t="s">
        <v>1182</v>
      </c>
      <c r="E71" s="50" t="n"/>
      <c r="F71" s="50" t="n"/>
      <c r="G71" s="50" t="n"/>
      <c r="H71" s="50" t="n"/>
      <c r="I71" s="50" t="n"/>
      <c r="J71" s="50" t="n"/>
      <c r="K71" s="50" t="n"/>
      <c r="L71" s="50" t="n"/>
      <c r="M71" s="50" t="n"/>
      <c r="N71" s="50" t="n"/>
      <c r="O71" s="50" t="n"/>
      <c r="P71" s="50" t="n"/>
      <c r="Q71" s="50" t="n"/>
      <c r="R71" s="50" t="n"/>
      <c r="S71" s="50" t="n"/>
    </row>
    <row r="72">
      <c r="B72" s="10"/>
      <c r="C72" s="11"/>
      <c r="D72" s="57" t="s">
        <v>1183</v>
      </c>
      <c r="E72" s="51" t="n">
        <f>SUM(E66:E71)</f>
      </c>
      <c r="F72" s="51" t="n">
        <f>SUM(F66:F71)</f>
      </c>
      <c r="G72" s="51" t="n">
        <f>SUM(G66:G71)</f>
      </c>
      <c r="H72" s="51" t="n">
        <f>SUM(H66:H71)</f>
      </c>
      <c r="I72" s="51" t="n">
        <f>SUM(I66:I71)</f>
      </c>
      <c r="J72" s="51" t="n">
        <f>SUM(J66:J71)</f>
      </c>
      <c r="K72" s="51" t="n">
        <f>SUM(K66:K71)</f>
      </c>
      <c r="L72" s="51" t="n">
        <f>SUM(L66:L71)</f>
      </c>
      <c r="M72" s="51" t="n">
        <f>SUM(M66:M71)</f>
      </c>
      <c r="N72" s="51" t="n">
        <f>SUM(N66:N71)</f>
      </c>
      <c r="O72" s="51" t="n">
        <f>SUM(O66:O71)</f>
      </c>
      <c r="P72" s="51" t="n">
        <f>SUM(P66:P71)</f>
      </c>
      <c r="Q72" s="51" t="n">
        <f>SUM(Q66:Q71)</f>
      </c>
      <c r="R72" s="51" t="n">
        <f>SUM(R66:R71)</f>
      </c>
      <c r="S72" s="51" t="n">
        <f>SUM(S66:S71)</f>
      </c>
    </row>
    <row r="73">
      <c r="B73" s="10"/>
      <c r="C73" s="11" t="s">
        <v>1184</v>
      </c>
      <c r="D73" s="9"/>
      <c r="E73" s="50" t="n"/>
      <c r="F73" s="50" t="n"/>
      <c r="G73" s="50" t="n"/>
      <c r="H73" s="50" t="n"/>
      <c r="I73" s="50" t="n"/>
      <c r="J73" s="50" t="n"/>
      <c r="K73" s="50" t="n"/>
      <c r="L73" s="50" t="n"/>
      <c r="M73" s="50" t="n"/>
      <c r="N73" s="50" t="n"/>
      <c r="O73" s="50" t="n"/>
      <c r="P73" s="50" t="n"/>
      <c r="Q73" s="50" t="n"/>
      <c r="R73" s="50" t="n"/>
      <c r="S73" s="50" t="n"/>
    </row>
    <row r="74">
      <c r="B74" s="10"/>
      <c r="C74" s="15" t="s">
        <v>1185</v>
      </c>
      <c r="D74" s="13"/>
      <c r="E74" s="51" t="n"/>
      <c r="F74" s="51" t="n"/>
      <c r="G74" s="51" t="n"/>
      <c r="H74" s="51" t="n"/>
      <c r="I74" s="51" t="n"/>
      <c r="J74" s="51" t="n"/>
      <c r="K74" s="51" t="n"/>
      <c r="L74" s="51" t="n"/>
      <c r="M74" s="51" t="n"/>
      <c r="N74" s="51" t="n"/>
      <c r="O74" s="51" t="n"/>
      <c r="P74" s="51" t="n"/>
      <c r="Q74" s="51" t="n"/>
      <c r="R74" s="51" t="n"/>
      <c r="S74" s="51" t="n"/>
    </row>
    <row r="75">
      <c r="B75" s="10"/>
      <c r="C75" s="11" t="s">
        <v>1186</v>
      </c>
      <c r="D75" s="9"/>
      <c r="E75" s="50" t="n"/>
      <c r="F75" s="50" t="n"/>
      <c r="G75" s="50" t="n"/>
      <c r="H75" s="50" t="n"/>
      <c r="I75" s="50" t="n"/>
      <c r="J75" s="50" t="n"/>
      <c r="K75" s="50" t="n"/>
      <c r="L75" s="50" t="n"/>
      <c r="M75" s="50" t="n"/>
      <c r="N75" s="50" t="n"/>
      <c r="O75" s="50" t="n"/>
      <c r="P75" s="50" t="n"/>
      <c r="Q75" s="50" t="n"/>
      <c r="R75" s="50" t="n"/>
      <c r="S75" s="50" t="n"/>
    </row>
    <row r="76">
      <c r="B76" s="10"/>
      <c r="C76" s="15" t="s">
        <v>1187</v>
      </c>
      <c r="D76" s="13"/>
      <c r="E76" s="51" t="n"/>
      <c r="F76" s="51" t="n"/>
      <c r="G76" s="51" t="n"/>
      <c r="H76" s="51" t="n"/>
      <c r="I76" s="51" t="n"/>
      <c r="J76" s="51" t="n"/>
      <c r="K76" s="51" t="n"/>
      <c r="L76" s="51" t="n"/>
      <c r="M76" s="51" t="n"/>
      <c r="N76" s="51" t="n"/>
      <c r="O76" s="51" t="n"/>
      <c r="P76" s="51" t="n"/>
      <c r="Q76" s="51" t="n"/>
      <c r="R76" s="51" t="n"/>
      <c r="S76" s="51" t="n"/>
    </row>
    <row r="77">
      <c r="B77" s="10"/>
      <c r="C77" s="11" t="s">
        <v>1188</v>
      </c>
      <c r="D77" s="9"/>
      <c r="E77" s="50" t="n"/>
      <c r="F77" s="50" t="n"/>
      <c r="G77" s="50" t="n"/>
      <c r="H77" s="50" t="n"/>
      <c r="I77" s="50" t="n"/>
      <c r="J77" s="50" t="n"/>
      <c r="K77" s="50" t="n"/>
      <c r="L77" s="50" t="n"/>
      <c r="M77" s="50" t="n"/>
      <c r="N77" s="50" t="n"/>
      <c r="O77" s="50" t="n"/>
      <c r="P77" s="50" t="n"/>
      <c r="Q77" s="50" t="n"/>
      <c r="R77" s="50" t="n"/>
      <c r="S77" s="50" t="n"/>
    </row>
    <row r="78">
      <c r="B78" s="10"/>
      <c r="C78" s="15" t="s">
        <v>1189</v>
      </c>
      <c r="D78" s="13"/>
      <c r="E78" s="51" t="n"/>
      <c r="F78" s="51" t="n"/>
      <c r="G78" s="51" t="n"/>
      <c r="H78" s="51" t="n"/>
      <c r="I78" s="51" t="n"/>
      <c r="J78" s="51" t="n"/>
      <c r="K78" s="51" t="n"/>
      <c r="L78" s="51" t="n"/>
      <c r="M78" s="51" t="n"/>
      <c r="N78" s="51" t="n"/>
      <c r="O78" s="51" t="n"/>
      <c r="P78" s="51" t="n"/>
      <c r="Q78" s="51" t="n"/>
      <c r="R78" s="51" t="n"/>
      <c r="S78" s="51" t="n"/>
    </row>
    <row r="79">
      <c r="B79" s="10"/>
      <c r="C79" s="11" t="s">
        <v>1190</v>
      </c>
      <c r="D79" s="9"/>
      <c r="E79" s="50" t="n"/>
      <c r="F79" s="50" t="n"/>
      <c r="G79" s="50" t="n"/>
      <c r="H79" s="50" t="n"/>
      <c r="I79" s="50" t="n"/>
      <c r="J79" s="50" t="n"/>
      <c r="K79" s="50" t="n"/>
      <c r="L79" s="50" t="n"/>
      <c r="M79" s="50" t="n"/>
      <c r="N79" s="50" t="n"/>
      <c r="O79" s="50" t="n"/>
      <c r="P79" s="50" t="n"/>
      <c r="Q79" s="50" t="n"/>
      <c r="R79" s="50" t="n"/>
      <c r="S79" s="50" t="n"/>
    </row>
    <row r="80">
      <c r="B80" s="10"/>
      <c r="C80" s="15" t="s">
        <v>1191</v>
      </c>
      <c r="D80" s="13"/>
      <c r="E80" s="51" t="n"/>
      <c r="F80" s="51" t="n"/>
      <c r="G80" s="51" t="n"/>
      <c r="H80" s="51" t="n"/>
      <c r="I80" s="51" t="n"/>
      <c r="J80" s="51" t="n"/>
      <c r="K80" s="51" t="n"/>
      <c r="L80" s="51" t="n"/>
      <c r="M80" s="51" t="n"/>
      <c r="N80" s="51" t="n"/>
      <c r="O80" s="51" t="n"/>
      <c r="P80" s="51" t="n"/>
      <c r="Q80" s="51" t="n"/>
      <c r="R80" s="51" t="n"/>
      <c r="S80" s="51" t="n"/>
    </row>
    <row r="81">
      <c r="B81" s="10"/>
      <c r="C81" s="11" t="s">
        <v>1192</v>
      </c>
      <c r="D81" s="9"/>
      <c r="E81" s="50" t="n"/>
      <c r="F81" s="50" t="n"/>
      <c r="G81" s="50" t="n"/>
      <c r="H81" s="50" t="n"/>
      <c r="I81" s="50" t="n"/>
      <c r="J81" s="50" t="n"/>
      <c r="K81" s="50" t="n"/>
      <c r="L81" s="50" t="n"/>
      <c r="M81" s="50" t="n"/>
      <c r="N81" s="50" t="n"/>
      <c r="O81" s="50" t="n"/>
      <c r="P81" s="50" t="n"/>
      <c r="Q81" s="50" t="n"/>
      <c r="R81" s="50" t="n"/>
      <c r="S81" s="50" t="n"/>
    </row>
    <row r="82">
      <c r="B82" s="10"/>
      <c r="C82" s="15" t="s">
        <v>1193</v>
      </c>
      <c r="D82" s="13"/>
      <c r="E82" s="51" t="n"/>
      <c r="F82" s="51" t="n"/>
      <c r="G82" s="51" t="n"/>
      <c r="H82" s="51" t="n"/>
      <c r="I82" s="51" t="n"/>
      <c r="J82" s="51" t="n"/>
      <c r="K82" s="51" t="n"/>
      <c r="L82" s="51" t="n"/>
      <c r="M82" s="51" t="n"/>
      <c r="N82" s="51" t="n"/>
      <c r="O82" s="51" t="n"/>
      <c r="P82" s="51" t="n"/>
      <c r="Q82" s="51" t="n"/>
      <c r="R82" s="51" t="n"/>
      <c r="S82" s="51" t="n"/>
    </row>
    <row r="83">
      <c r="B83" s="11"/>
      <c r="C83" s="45" t="s">
        <v>1194</v>
      </c>
      <c r="D83" s="44"/>
      <c r="E83" s="53" t="n">
        <f>SUM(E14:E20)+E25+E26+SUM(E34:E36)+E51+E64+SUM(E72:E82)</f>
      </c>
      <c r="F83" s="53" t="n">
        <f>SUM(F14:F20)+F25+F26+SUM(F34:F36)+F51+F64+SUM(F72:F82)</f>
      </c>
      <c r="G83" s="53" t="n">
        <f>SUM(G14:G20)+G25+G26+SUM(G34:G36)+G51+G64+SUM(G72:G82)</f>
      </c>
      <c r="H83" s="53" t="n">
        <f>SUM(H14:H20)+H25+H26+SUM(H34:H36)+H51+H64+SUM(H72:H82)</f>
      </c>
      <c r="I83" s="53" t="n">
        <f>SUM(I14:I20)+I25+I26+SUM(I34:I36)+I51+I64+SUM(I72:I82)</f>
      </c>
      <c r="J83" s="53" t="n">
        <f>SUM(J14:J20)+J25+J26+SUM(J34:J36)+J51+J64+SUM(J72:J82)</f>
      </c>
      <c r="K83" s="53" t="n">
        <f>SUM(K14:K20)+K25+K26+SUM(K34:K36)+K51+K64+SUM(K72:K82)</f>
      </c>
      <c r="L83" s="53" t="n">
        <f>SUM(L14:L20)+L25+L26+SUM(L34:L36)+L51+L64+SUM(L72:L82)</f>
      </c>
      <c r="M83" s="53" t="n">
        <f>SUM(M14:M20)+M25+M26+SUM(M34:M36)+M51+M64+SUM(M72:M82)</f>
      </c>
      <c r="N83" s="53" t="n">
        <f>SUM(N14:N20)+N25+N26+SUM(N34:N36)+N51+N64+SUM(N72:N82)</f>
      </c>
      <c r="O83" s="53" t="n">
        <f>SUM(O14:O20)+O25+O26+SUM(O34:O36)+O51+O64+SUM(O72:O82)</f>
      </c>
      <c r="P83" s="53" t="n">
        <f>SUM(P14:P20)+P25+P26+SUM(P34:P36)+P51+P64+SUM(P72:P82)</f>
      </c>
      <c r="Q83" s="53" t="n">
        <f>SUM(Q14:Q20)+Q25+Q26+SUM(Q34:Q36)+Q51+Q64+SUM(Q72:Q82)</f>
      </c>
      <c r="R83" s="53" t="n">
        <f>SUM(R14:R20)+R25+R26+SUM(R34:R36)+R51+R64+SUM(R72:R82)</f>
      </c>
      <c r="S83" s="53" t="n">
        <f>SUM(S14:S20)+S25+S26+SUM(S34:S36)+S51+S64+SUM(S72:S82)</f>
      </c>
    </row>
  </sheetData>
  <mergeCells>
    <mergeCell ref="E10:S10"/>
    <mergeCell ref="E11:G11"/>
    <mergeCell ref="H11:J11"/>
    <mergeCell ref="K11:M11"/>
    <mergeCell ref="N11:P11"/>
    <mergeCell ref="Q11:Q12"/>
    <mergeCell ref="R11:R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hyperlinks>
    <hyperlink location="'Indice'!A1" ref="B2"/>
  </hyperlinks>
  <pageMargins bottom="0.75" footer="0.3" header="0.3" left="0.7" right="0.7" top="0.75"/>
</worksheet>
</file>

<file path=xl/worksheets/sheet46.xml><?xml version="1.0" encoding="utf-8"?>
<worksheet xmlns="http://schemas.openxmlformats.org/spreadsheetml/2006/main">
  <dimension ref="B2:Q83"/>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s>
  <sheetData>
    <row r="2">
      <c r="B2" t="s" s="2">
        <v>1</v>
      </c>
    </row>
    <row r="3">
      <c r="B3" t="s" s="1">
        <v>3</v>
      </c>
      <c r="C3" t="s">
        <v>4</v>
      </c>
    </row>
    <row r="4">
      <c r="B4" s="1" t="s">
        <v>5</v>
      </c>
      <c r="C4" t="s">
        <v>6</v>
      </c>
    </row>
    <row r="5">
      <c r="B5" t="s" s="1">
        <v>7</v>
      </c>
      <c r="C5" t="s">
        <v>1261</v>
      </c>
    </row>
    <row r="6">
      <c r="B6" t="s" s="1">
        <v>8</v>
      </c>
      <c r="C6" t="s">
        <v>9</v>
      </c>
    </row>
    <row r="7">
      <c r="B7" t="s" s="1">
        <v>10</v>
      </c>
      <c r="C7" t="s">
        <v>9</v>
      </c>
    </row>
    <row r="8">
      <c r="B8" t="s" s="1">
        <v>11</v>
      </c>
      <c r="C8" t="s">
        <v>12</v>
      </c>
    </row>
    <row r="10">
      <c r="E10" t="s" s="4">
        <v>1262</v>
      </c>
      <c r="F10" s="29"/>
      <c r="G10" s="29"/>
      <c r="H10" s="29"/>
      <c r="I10" s="29"/>
      <c r="J10" s="29"/>
      <c r="K10" s="29"/>
      <c r="L10" s="29"/>
      <c r="M10" s="29"/>
      <c r="N10" s="29"/>
      <c r="O10" s="29"/>
      <c r="P10" s="30"/>
    </row>
    <row r="11" ht="28.0" customHeight="true">
      <c r="E11" t="s" s="32">
        <v>1263</v>
      </c>
      <c r="F11" s="61"/>
      <c r="G11" s="62"/>
      <c r="H11" t="s" s="4">
        <v>43</v>
      </c>
      <c r="I11" s="29"/>
      <c r="J11" s="30"/>
      <c r="K11" t="s" s="32">
        <v>42</v>
      </c>
      <c r="L11" s="61"/>
      <c r="M11" s="62"/>
      <c r="N11" t="s" s="5">
        <v>1270</v>
      </c>
      <c r="O11" t="s" s="33">
        <v>1271</v>
      </c>
      <c r="P11" s="64"/>
    </row>
    <row r="12">
      <c r="E12" t="s" s="6">
        <v>1264</v>
      </c>
      <c r="F12" t="s" s="34">
        <v>1265</v>
      </c>
      <c r="G12" s="63"/>
      <c r="H12" t="s" s="34">
        <v>1266</v>
      </c>
      <c r="I12" t="s" s="6">
        <v>1267</v>
      </c>
      <c r="J12" s="35"/>
      <c r="K12" t="s" s="6">
        <v>1268</v>
      </c>
      <c r="L12" t="s" s="34">
        <v>1269</v>
      </c>
      <c r="M12" s="63"/>
      <c r="N12" s="35"/>
      <c r="O12" s="63"/>
      <c r="P12" s="36"/>
    </row>
    <row r="13">
      <c r="B13" s="7" t="s">
        <v>1124</v>
      </c>
      <c r="C13" s="8"/>
      <c r="D13" s="9"/>
      <c r="E13" s="22"/>
      <c r="F13" s="22"/>
      <c r="G13" s="22"/>
      <c r="H13" s="22"/>
      <c r="I13" s="22"/>
      <c r="J13" s="22"/>
      <c r="K13" s="22"/>
      <c r="L13" s="22"/>
      <c r="M13" s="22"/>
      <c r="N13" s="22"/>
      <c r="O13" s="22"/>
      <c r="P13" s="22"/>
    </row>
    <row r="14">
      <c r="B14" s="10"/>
      <c r="C14" s="15" t="s">
        <v>1125</v>
      </c>
      <c r="D14" s="13"/>
      <c r="E14" s="51" t="n"/>
      <c r="F14" s="51" t="n"/>
      <c r="G14" s="51" t="n"/>
      <c r="H14" s="51" t="n"/>
      <c r="I14" s="51" t="n"/>
      <c r="J14" s="51" t="n"/>
      <c r="K14" s="51" t="n"/>
      <c r="L14" s="51" t="n"/>
      <c r="M14" s="51" t="n"/>
      <c r="N14" s="51" t="n"/>
      <c r="O14" s="51" t="n"/>
      <c r="P14" s="51" t="n"/>
    </row>
    <row r="15">
      <c r="B15" s="10"/>
      <c r="C15" s="11" t="s">
        <v>1126</v>
      </c>
      <c r="D15" s="9"/>
      <c r="E15" s="50" t="n"/>
      <c r="F15" s="50" t="n"/>
      <c r="G15" s="50" t="n"/>
      <c r="H15" s="50" t="n"/>
      <c r="I15" s="50" t="n"/>
      <c r="J15" s="50" t="n"/>
      <c r="K15" s="50" t="n"/>
      <c r="L15" s="50" t="n"/>
      <c r="M15" s="50" t="n"/>
      <c r="N15" s="50" t="n"/>
      <c r="O15" s="50" t="n"/>
      <c r="P15" s="50" t="n"/>
    </row>
    <row r="16">
      <c r="B16" s="10"/>
      <c r="C16" s="15" t="s">
        <v>1127</v>
      </c>
      <c r="D16" s="13"/>
      <c r="E16" s="51" t="n"/>
      <c r="F16" s="51" t="n"/>
      <c r="G16" s="51" t="n"/>
      <c r="H16" s="51" t="n"/>
      <c r="I16" s="51" t="n"/>
      <c r="J16" s="51" t="n"/>
      <c r="K16" s="51" t="n"/>
      <c r="L16" s="51" t="n"/>
      <c r="M16" s="51" t="n"/>
      <c r="N16" s="51" t="n"/>
      <c r="O16" s="51" t="n"/>
      <c r="P16" s="51" t="n"/>
    </row>
    <row r="17">
      <c r="B17" s="10"/>
      <c r="C17" s="11" t="s">
        <v>1128</v>
      </c>
      <c r="D17" s="9"/>
      <c r="E17" s="50" t="n"/>
      <c r="F17" s="50" t="n"/>
      <c r="G17" s="50" t="n"/>
      <c r="H17" s="50" t="n"/>
      <c r="I17" s="50" t="n"/>
      <c r="J17" s="50" t="n"/>
      <c r="K17" s="50" t="n"/>
      <c r="L17" s="50" t="n"/>
      <c r="M17" s="50" t="n"/>
      <c r="N17" s="50" t="n"/>
      <c r="O17" s="50" t="n"/>
      <c r="P17" s="50" t="n"/>
    </row>
    <row r="18">
      <c r="B18" s="10"/>
      <c r="C18" s="15" t="s">
        <v>1129</v>
      </c>
      <c r="D18" s="13"/>
      <c r="E18" s="51" t="n"/>
      <c r="F18" s="51" t="n"/>
      <c r="G18" s="51" t="n"/>
      <c r="H18" s="51" t="n"/>
      <c r="I18" s="51" t="n"/>
      <c r="J18" s="51" t="n"/>
      <c r="K18" s="51" t="n"/>
      <c r="L18" s="51" t="n"/>
      <c r="M18" s="51" t="n"/>
      <c r="N18" s="51" t="n"/>
      <c r="O18" s="51" t="n"/>
      <c r="P18" s="51" t="n"/>
    </row>
    <row r="19">
      <c r="B19" s="10"/>
      <c r="C19" s="11" t="s">
        <v>1130</v>
      </c>
      <c r="D19" s="9"/>
      <c r="E19" s="50" t="n"/>
      <c r="F19" s="50" t="n"/>
      <c r="G19" s="50" t="n"/>
      <c r="H19" s="50" t="n"/>
      <c r="I19" s="50" t="n"/>
      <c r="J19" s="50" t="n"/>
      <c r="K19" s="50" t="n"/>
      <c r="L19" s="50" t="n"/>
      <c r="M19" s="50" t="n"/>
      <c r="N19" s="50" t="n"/>
      <c r="O19" s="50" t="n"/>
      <c r="P19" s="50" t="n"/>
    </row>
    <row r="20">
      <c r="B20" s="10"/>
      <c r="C20" s="15" t="s">
        <v>1131</v>
      </c>
      <c r="D20" s="13"/>
      <c r="E20" s="51" t="n"/>
      <c r="F20" s="51" t="n"/>
      <c r="G20" s="51" t="n"/>
      <c r="H20" s="51" t="n"/>
      <c r="I20" s="51" t="n"/>
      <c r="J20" s="51" t="n"/>
      <c r="K20" s="51" t="n"/>
      <c r="L20" s="51" t="n"/>
      <c r="M20" s="51" t="n"/>
      <c r="N20" s="51" t="n"/>
      <c r="O20" s="51" t="n"/>
      <c r="P20" s="51" t="n"/>
    </row>
    <row r="21">
      <c r="B21" s="10"/>
      <c r="C21" s="7" t="s">
        <v>1132</v>
      </c>
      <c r="D21" s="9"/>
      <c r="E21" s="22"/>
      <c r="F21" s="22"/>
      <c r="G21" s="22"/>
      <c r="H21" s="22"/>
      <c r="I21" s="22"/>
      <c r="J21" s="22"/>
      <c r="K21" s="22"/>
      <c r="L21" s="22"/>
      <c r="M21" s="22"/>
      <c r="N21" s="22"/>
      <c r="O21" s="22"/>
      <c r="P21" s="22"/>
    </row>
    <row r="22">
      <c r="B22" s="10"/>
      <c r="C22" s="10"/>
      <c r="D22" s="19" t="s">
        <v>1133</v>
      </c>
      <c r="E22" s="51" t="n"/>
      <c r="F22" s="51" t="n"/>
      <c r="G22" s="51" t="n"/>
      <c r="H22" s="51" t="n"/>
      <c r="I22" s="51" t="n"/>
      <c r="J22" s="51" t="n"/>
      <c r="K22" s="51" t="n"/>
      <c r="L22" s="51" t="n"/>
      <c r="M22" s="51" t="n"/>
      <c r="N22" s="51" t="n"/>
      <c r="O22" s="51" t="n"/>
      <c r="P22" s="51" t="n"/>
    </row>
    <row r="23">
      <c r="B23" s="10"/>
      <c r="C23" s="10"/>
      <c r="D23" s="18" t="s">
        <v>1134</v>
      </c>
      <c r="E23" s="50" t="n"/>
      <c r="F23" s="50" t="n"/>
      <c r="G23" s="50" t="n"/>
      <c r="H23" s="50" t="n"/>
      <c r="I23" s="50" t="n"/>
      <c r="J23" s="50" t="n"/>
      <c r="K23" s="50" t="n"/>
      <c r="L23" s="50" t="n"/>
      <c r="M23" s="50" t="n"/>
      <c r="N23" s="50" t="n"/>
      <c r="O23" s="50" t="n"/>
      <c r="P23" s="50" t="n"/>
    </row>
    <row r="24">
      <c r="B24" s="10"/>
      <c r="C24" s="10"/>
      <c r="D24" s="19" t="s">
        <v>1135</v>
      </c>
      <c r="E24" s="51" t="n"/>
      <c r="F24" s="51" t="n"/>
      <c r="G24" s="51" t="n"/>
      <c r="H24" s="51" t="n"/>
      <c r="I24" s="51" t="n"/>
      <c r="J24" s="51" t="n"/>
      <c r="K24" s="51" t="n"/>
      <c r="L24" s="51" t="n"/>
      <c r="M24" s="51" t="n"/>
      <c r="N24" s="51" t="n"/>
      <c r="O24" s="51" t="n"/>
      <c r="P24" s="51" t="n"/>
    </row>
    <row r="25">
      <c r="B25" s="10"/>
      <c r="C25" s="11"/>
      <c r="D25" s="65" t="s">
        <v>1136</v>
      </c>
      <c r="E25" s="50" t="n">
        <f>SUM(E22:E24)</f>
      </c>
      <c r="F25" s="50" t="n">
        <f>SUM(F22:F24)</f>
      </c>
      <c r="G25" s="50" t="n">
        <f>SUM(G22:G24)</f>
      </c>
      <c r="H25" s="50" t="n">
        <f>SUM(H22:H24)</f>
      </c>
      <c r="I25" s="50" t="n">
        <f>SUM(I22:I24)</f>
      </c>
      <c r="J25" s="50" t="n">
        <f>SUM(J22:J24)</f>
      </c>
      <c r="K25" s="50" t="n">
        <f>SUM(K22:K24)</f>
      </c>
      <c r="L25" s="50" t="n">
        <f>SUM(L22:L24)</f>
      </c>
      <c r="M25" s="50" t="n">
        <f>SUM(M22:M24)</f>
      </c>
      <c r="N25" s="50" t="n">
        <f>SUM(N22:N24)</f>
      </c>
      <c r="O25" s="50" t="n">
        <f>SUM(O22:O24)</f>
      </c>
      <c r="P25" s="50" t="n">
        <f>SUM(P22:P24)</f>
      </c>
    </row>
    <row r="26">
      <c r="B26" s="10"/>
      <c r="C26" s="15" t="s">
        <v>1137</v>
      </c>
      <c r="D26" s="13"/>
      <c r="E26" s="51" t="n"/>
      <c r="F26" s="51" t="n"/>
      <c r="G26" s="51" t="n"/>
      <c r="H26" s="51" t="n"/>
      <c r="I26" s="51" t="n"/>
      <c r="J26" s="51" t="n"/>
      <c r="K26" s="51" t="n"/>
      <c r="L26" s="51" t="n"/>
      <c r="M26" s="51" t="n"/>
      <c r="N26" s="51" t="n"/>
      <c r="O26" s="51" t="n"/>
      <c r="P26" s="51" t="n"/>
    </row>
    <row r="27">
      <c r="B27" s="10"/>
      <c r="C27" s="7" t="s">
        <v>1138</v>
      </c>
      <c r="D27" s="9"/>
      <c r="E27" s="22"/>
      <c r="F27" s="22"/>
      <c r="G27" s="22"/>
      <c r="H27" s="22"/>
      <c r="I27" s="22"/>
      <c r="J27" s="22"/>
      <c r="K27" s="22"/>
      <c r="L27" s="22"/>
      <c r="M27" s="22"/>
      <c r="N27" s="22"/>
      <c r="O27" s="22"/>
      <c r="P27" s="22"/>
    </row>
    <row r="28">
      <c r="B28" s="10"/>
      <c r="C28" s="10"/>
      <c r="D28" s="19" t="s">
        <v>1139</v>
      </c>
      <c r="E28" s="51" t="n"/>
      <c r="F28" s="51" t="n"/>
      <c r="G28" s="51" t="n"/>
      <c r="H28" s="51" t="n"/>
      <c r="I28" s="51" t="n"/>
      <c r="J28" s="51" t="n"/>
      <c r="K28" s="51" t="n"/>
      <c r="L28" s="51" t="n"/>
      <c r="M28" s="51" t="n"/>
      <c r="N28" s="51" t="n"/>
      <c r="O28" s="51" t="n"/>
      <c r="P28" s="51" t="n"/>
    </row>
    <row r="29">
      <c r="B29" s="10"/>
      <c r="C29" s="10"/>
      <c r="D29" s="18" t="s">
        <v>1140</v>
      </c>
      <c r="E29" s="50" t="n"/>
      <c r="F29" s="50" t="n"/>
      <c r="G29" s="50" t="n"/>
      <c r="H29" s="50" t="n"/>
      <c r="I29" s="50" t="n"/>
      <c r="J29" s="50" t="n"/>
      <c r="K29" s="50" t="n"/>
      <c r="L29" s="50" t="n"/>
      <c r="M29" s="50" t="n"/>
      <c r="N29" s="50" t="n"/>
      <c r="O29" s="50" t="n"/>
      <c r="P29" s="50" t="n"/>
    </row>
    <row r="30">
      <c r="B30" s="10"/>
      <c r="C30" s="10"/>
      <c r="D30" s="19" t="s">
        <v>1141</v>
      </c>
      <c r="E30" s="51" t="n"/>
      <c r="F30" s="51" t="n"/>
      <c r="G30" s="51" t="n"/>
      <c r="H30" s="51" t="n"/>
      <c r="I30" s="51" t="n"/>
      <c r="J30" s="51" t="n"/>
      <c r="K30" s="51" t="n"/>
      <c r="L30" s="51" t="n"/>
      <c r="M30" s="51" t="n"/>
      <c r="N30" s="51" t="n"/>
      <c r="O30" s="51" t="n"/>
      <c r="P30" s="51" t="n"/>
    </row>
    <row r="31">
      <c r="B31" s="10"/>
      <c r="C31" s="10"/>
      <c r="D31" s="18" t="s">
        <v>1142</v>
      </c>
      <c r="E31" s="50" t="n"/>
      <c r="F31" s="50" t="n"/>
      <c r="G31" s="50" t="n"/>
      <c r="H31" s="50" t="n"/>
      <c r="I31" s="50" t="n"/>
      <c r="J31" s="50" t="n"/>
      <c r="K31" s="50" t="n"/>
      <c r="L31" s="50" t="n"/>
      <c r="M31" s="50" t="n"/>
      <c r="N31" s="50" t="n"/>
      <c r="O31" s="50" t="n"/>
      <c r="P31" s="50" t="n"/>
    </row>
    <row r="32">
      <c r="B32" s="10"/>
      <c r="C32" s="10"/>
      <c r="D32" s="19" t="s">
        <v>1143</v>
      </c>
      <c r="E32" s="51" t="n"/>
      <c r="F32" s="51" t="n"/>
      <c r="G32" s="51" t="n"/>
      <c r="H32" s="51" t="n"/>
      <c r="I32" s="51" t="n"/>
      <c r="J32" s="51" t="n"/>
      <c r="K32" s="51" t="n"/>
      <c r="L32" s="51" t="n"/>
      <c r="M32" s="51" t="n"/>
      <c r="N32" s="51" t="n"/>
      <c r="O32" s="51" t="n"/>
      <c r="P32" s="51" t="n"/>
    </row>
    <row r="33">
      <c r="B33" s="10"/>
      <c r="C33" s="10"/>
      <c r="D33" s="18" t="s">
        <v>1144</v>
      </c>
      <c r="E33" s="50" t="n"/>
      <c r="F33" s="50" t="n"/>
      <c r="G33" s="50" t="n"/>
      <c r="H33" s="50" t="n"/>
      <c r="I33" s="50" t="n"/>
      <c r="J33" s="50" t="n"/>
      <c r="K33" s="50" t="n"/>
      <c r="L33" s="50" t="n"/>
      <c r="M33" s="50" t="n"/>
      <c r="N33" s="50" t="n"/>
      <c r="O33" s="50" t="n"/>
      <c r="P33" s="50" t="n"/>
    </row>
    <row r="34">
      <c r="B34" s="10"/>
      <c r="C34" s="11"/>
      <c r="D34" s="57" t="s">
        <v>1145</v>
      </c>
      <c r="E34" s="51" t="n">
        <f>SUM(E28:E33)</f>
      </c>
      <c r="F34" s="51" t="n">
        <f>SUM(F28:F33)</f>
      </c>
      <c r="G34" s="51" t="n">
        <f>SUM(G28:G33)</f>
      </c>
      <c r="H34" s="51" t="n">
        <f>SUM(H28:H33)</f>
      </c>
      <c r="I34" s="51" t="n">
        <f>SUM(I28:I33)</f>
      </c>
      <c r="J34" s="51" t="n">
        <f>SUM(J28:J33)</f>
      </c>
      <c r="K34" s="51" t="n">
        <f>SUM(K28:K33)</f>
      </c>
      <c r="L34" s="51" t="n">
        <f>SUM(L28:L33)</f>
      </c>
      <c r="M34" s="51" t="n">
        <f>SUM(M28:M33)</f>
      </c>
      <c r="N34" s="51" t="n">
        <f>SUM(N28:N33)</f>
      </c>
      <c r="O34" s="51" t="n">
        <f>SUM(O28:O33)</f>
      </c>
      <c r="P34" s="51" t="n">
        <f>SUM(P28:P33)</f>
      </c>
    </row>
    <row r="35">
      <c r="B35" s="10"/>
      <c r="C35" s="11" t="s">
        <v>1146</v>
      </c>
      <c r="D35" s="9"/>
      <c r="E35" s="50" t="n"/>
      <c r="F35" s="50" t="n"/>
      <c r="G35" s="50" t="n"/>
      <c r="H35" s="50" t="n"/>
      <c r="I35" s="50" t="n"/>
      <c r="J35" s="50" t="n"/>
      <c r="K35" s="50" t="n"/>
      <c r="L35" s="50" t="n"/>
      <c r="M35" s="50" t="n"/>
      <c r="N35" s="50" t="n"/>
      <c r="O35" s="50" t="n"/>
      <c r="P35" s="50" t="n"/>
    </row>
    <row r="36">
      <c r="B36" s="10"/>
      <c r="C36" s="15" t="s">
        <v>1147</v>
      </c>
      <c r="D36" s="13"/>
      <c r="E36" s="51" t="n"/>
      <c r="F36" s="51" t="n"/>
      <c r="G36" s="51" t="n"/>
      <c r="H36" s="51" t="n"/>
      <c r="I36" s="51" t="n"/>
      <c r="J36" s="51" t="n"/>
      <c r="K36" s="51" t="n"/>
      <c r="L36" s="51" t="n"/>
      <c r="M36" s="51" t="n"/>
      <c r="N36" s="51" t="n"/>
      <c r="O36" s="51" t="n"/>
      <c r="P36" s="51" t="n"/>
    </row>
    <row r="37">
      <c r="B37" s="10"/>
      <c r="C37" s="7" t="s">
        <v>1148</v>
      </c>
      <c r="D37" s="9"/>
      <c r="E37" s="22"/>
      <c r="F37" s="22"/>
      <c r="G37" s="22"/>
      <c r="H37" s="22"/>
      <c r="I37" s="22"/>
      <c r="J37" s="22"/>
      <c r="K37" s="22"/>
      <c r="L37" s="22"/>
      <c r="M37" s="22"/>
      <c r="N37" s="22"/>
      <c r="O37" s="22"/>
      <c r="P37" s="22"/>
    </row>
    <row r="38">
      <c r="B38" s="10"/>
      <c r="C38" s="10"/>
      <c r="D38" s="19" t="s">
        <v>1149</v>
      </c>
      <c r="E38" s="51" t="n"/>
      <c r="F38" s="51" t="n"/>
      <c r="G38" s="51" t="n"/>
      <c r="H38" s="51" t="n"/>
      <c r="I38" s="51" t="n"/>
      <c r="J38" s="51" t="n"/>
      <c r="K38" s="51" t="n"/>
      <c r="L38" s="51" t="n"/>
      <c r="M38" s="51" t="n"/>
      <c r="N38" s="51" t="n"/>
      <c r="O38" s="51" t="n"/>
      <c r="P38" s="51" t="n"/>
    </row>
    <row r="39">
      <c r="B39" s="10"/>
      <c r="C39" s="10"/>
      <c r="D39" s="18" t="s">
        <v>1150</v>
      </c>
      <c r="E39" s="50" t="n"/>
      <c r="F39" s="50" t="n"/>
      <c r="G39" s="50" t="n"/>
      <c r="H39" s="50" t="n"/>
      <c r="I39" s="50" t="n"/>
      <c r="J39" s="50" t="n"/>
      <c r="K39" s="50" t="n"/>
      <c r="L39" s="50" t="n"/>
      <c r="M39" s="50" t="n"/>
      <c r="N39" s="50" t="n"/>
      <c r="O39" s="50" t="n"/>
      <c r="P39" s="50" t="n"/>
    </row>
    <row r="40">
      <c r="B40" s="10"/>
      <c r="C40" s="10"/>
      <c r="D40" s="19" t="s">
        <v>1151</v>
      </c>
      <c r="E40" s="51" t="n"/>
      <c r="F40" s="51" t="n"/>
      <c r="G40" s="51" t="n"/>
      <c r="H40" s="51" t="n"/>
      <c r="I40" s="51" t="n"/>
      <c r="J40" s="51" t="n"/>
      <c r="K40" s="51" t="n"/>
      <c r="L40" s="51" t="n"/>
      <c r="M40" s="51" t="n"/>
      <c r="N40" s="51" t="n"/>
      <c r="O40" s="51" t="n"/>
      <c r="P40" s="51" t="n"/>
    </row>
    <row r="41">
      <c r="B41" s="10"/>
      <c r="C41" s="10"/>
      <c r="D41" s="18" t="s">
        <v>1152</v>
      </c>
      <c r="E41" s="50" t="n"/>
      <c r="F41" s="50" t="n"/>
      <c r="G41" s="50" t="n"/>
      <c r="H41" s="50" t="n"/>
      <c r="I41" s="50" t="n"/>
      <c r="J41" s="50" t="n"/>
      <c r="K41" s="50" t="n"/>
      <c r="L41" s="50" t="n"/>
      <c r="M41" s="50" t="n"/>
      <c r="N41" s="50" t="n"/>
      <c r="O41" s="50" t="n"/>
      <c r="P41" s="50" t="n"/>
    </row>
    <row r="42">
      <c r="B42" s="10"/>
      <c r="C42" s="10"/>
      <c r="D42" s="19" t="s">
        <v>1153</v>
      </c>
      <c r="E42" s="51" t="n"/>
      <c r="F42" s="51" t="n"/>
      <c r="G42" s="51" t="n"/>
      <c r="H42" s="51" t="n"/>
      <c r="I42" s="51" t="n"/>
      <c r="J42" s="51" t="n"/>
      <c r="K42" s="51" t="n"/>
      <c r="L42" s="51" t="n"/>
      <c r="M42" s="51" t="n"/>
      <c r="N42" s="51" t="n"/>
      <c r="O42" s="51" t="n"/>
      <c r="P42" s="51" t="n"/>
    </row>
    <row r="43">
      <c r="B43" s="10"/>
      <c r="C43" s="10"/>
      <c r="D43" s="18" t="s">
        <v>1154</v>
      </c>
      <c r="E43" s="50" t="n"/>
      <c r="F43" s="50" t="n"/>
      <c r="G43" s="50" t="n"/>
      <c r="H43" s="50" t="n"/>
      <c r="I43" s="50" t="n"/>
      <c r="J43" s="50" t="n"/>
      <c r="K43" s="50" t="n"/>
      <c r="L43" s="50" t="n"/>
      <c r="M43" s="50" t="n"/>
      <c r="N43" s="50" t="n"/>
      <c r="O43" s="50" t="n"/>
      <c r="P43" s="50" t="n"/>
    </row>
    <row r="44">
      <c r="B44" s="10"/>
      <c r="C44" s="10"/>
      <c r="D44" s="19" t="s">
        <v>1155</v>
      </c>
      <c r="E44" s="51" t="n"/>
      <c r="F44" s="51" t="n"/>
      <c r="G44" s="51" t="n"/>
      <c r="H44" s="51" t="n"/>
      <c r="I44" s="51" t="n"/>
      <c r="J44" s="51" t="n"/>
      <c r="K44" s="51" t="n"/>
      <c r="L44" s="51" t="n"/>
      <c r="M44" s="51" t="n"/>
      <c r="N44" s="51" t="n"/>
      <c r="O44" s="51" t="n"/>
      <c r="P44" s="51" t="n"/>
    </row>
    <row r="45">
      <c r="B45" s="10"/>
      <c r="C45" s="10"/>
      <c r="D45" s="18" t="s">
        <v>1156</v>
      </c>
      <c r="E45" s="50" t="n"/>
      <c r="F45" s="50" t="n"/>
      <c r="G45" s="50" t="n"/>
      <c r="H45" s="50" t="n"/>
      <c r="I45" s="50" t="n"/>
      <c r="J45" s="50" t="n"/>
      <c r="K45" s="50" t="n"/>
      <c r="L45" s="50" t="n"/>
      <c r="M45" s="50" t="n"/>
      <c r="N45" s="50" t="n"/>
      <c r="O45" s="50" t="n"/>
      <c r="P45" s="50" t="n"/>
    </row>
    <row r="46">
      <c r="B46" s="10"/>
      <c r="C46" s="10"/>
      <c r="D46" s="19" t="s">
        <v>1157</v>
      </c>
      <c r="E46" s="51" t="n"/>
      <c r="F46" s="51" t="n"/>
      <c r="G46" s="51" t="n"/>
      <c r="H46" s="51" t="n"/>
      <c r="I46" s="51" t="n"/>
      <c r="J46" s="51" t="n"/>
      <c r="K46" s="51" t="n"/>
      <c r="L46" s="51" t="n"/>
      <c r="M46" s="51" t="n"/>
      <c r="N46" s="51" t="n"/>
      <c r="O46" s="51" t="n"/>
      <c r="P46" s="51" t="n"/>
    </row>
    <row r="47">
      <c r="B47" s="10"/>
      <c r="C47" s="10"/>
      <c r="D47" s="18" t="s">
        <v>1158</v>
      </c>
      <c r="E47" s="50" t="n"/>
      <c r="F47" s="50" t="n"/>
      <c r="G47" s="50" t="n"/>
      <c r="H47" s="50" t="n"/>
      <c r="I47" s="50" t="n"/>
      <c r="J47" s="50" t="n"/>
      <c r="K47" s="50" t="n"/>
      <c r="L47" s="50" t="n"/>
      <c r="M47" s="50" t="n"/>
      <c r="N47" s="50" t="n"/>
      <c r="O47" s="50" t="n"/>
      <c r="P47" s="50" t="n"/>
    </row>
    <row r="48">
      <c r="B48" s="10"/>
      <c r="C48" s="10"/>
      <c r="D48" s="19" t="s">
        <v>1159</v>
      </c>
      <c r="E48" s="51" t="n"/>
      <c r="F48" s="51" t="n"/>
      <c r="G48" s="51" t="n"/>
      <c r="H48" s="51" t="n"/>
      <c r="I48" s="51" t="n"/>
      <c r="J48" s="51" t="n"/>
      <c r="K48" s="51" t="n"/>
      <c r="L48" s="51" t="n"/>
      <c r="M48" s="51" t="n"/>
      <c r="N48" s="51" t="n"/>
      <c r="O48" s="51" t="n"/>
      <c r="P48" s="51" t="n"/>
    </row>
    <row r="49">
      <c r="B49" s="10"/>
      <c r="C49" s="10"/>
      <c r="D49" s="18" t="s">
        <v>1160</v>
      </c>
      <c r="E49" s="50" t="n"/>
      <c r="F49" s="50" t="n"/>
      <c r="G49" s="50" t="n"/>
      <c r="H49" s="50" t="n"/>
      <c r="I49" s="50" t="n"/>
      <c r="J49" s="50" t="n"/>
      <c r="K49" s="50" t="n"/>
      <c r="L49" s="50" t="n"/>
      <c r="M49" s="50" t="n"/>
      <c r="N49" s="50" t="n"/>
      <c r="O49" s="50" t="n"/>
      <c r="P49" s="50" t="n"/>
    </row>
    <row r="50">
      <c r="B50" s="10"/>
      <c r="C50" s="10"/>
      <c r="D50" s="19" t="s">
        <v>1161</v>
      </c>
      <c r="E50" s="51" t="n"/>
      <c r="F50" s="51" t="n"/>
      <c r="G50" s="51" t="n"/>
      <c r="H50" s="51" t="n"/>
      <c r="I50" s="51" t="n"/>
      <c r="J50" s="51" t="n"/>
      <c r="K50" s="51" t="n"/>
      <c r="L50" s="51" t="n"/>
      <c r="M50" s="51" t="n"/>
      <c r="N50" s="51" t="n"/>
      <c r="O50" s="51" t="n"/>
      <c r="P50" s="51" t="n"/>
    </row>
    <row r="51">
      <c r="B51" s="10"/>
      <c r="C51" s="11"/>
      <c r="D51" s="65" t="s">
        <v>1162</v>
      </c>
      <c r="E51" s="50" t="n">
        <f>SUM(E38:E50)</f>
      </c>
      <c r="F51" s="50" t="n">
        <f>SUM(F38:F50)</f>
      </c>
      <c r="G51" s="50" t="n">
        <f>SUM(G38:G50)</f>
      </c>
      <c r="H51" s="50" t="n">
        <f>SUM(H38:H50)</f>
      </c>
      <c r="I51" s="50" t="n">
        <f>SUM(I38:I50)</f>
      </c>
      <c r="J51" s="50" t="n">
        <f>SUM(J38:J50)</f>
      </c>
      <c r="K51" s="50" t="n">
        <f>SUM(K38:K50)</f>
      </c>
      <c r="L51" s="50" t="n">
        <f>SUM(L38:L50)</f>
      </c>
      <c r="M51" s="50" t="n">
        <f>SUM(M38:M50)</f>
      </c>
      <c r="N51" s="50" t="n">
        <f>SUM(N38:N50)</f>
      </c>
      <c r="O51" s="50" t="n">
        <f>SUM(O38:O50)</f>
      </c>
      <c r="P51" s="50" t="n">
        <f>SUM(P38:P50)</f>
      </c>
    </row>
    <row r="52">
      <c r="B52" s="10"/>
      <c r="C52" s="12" t="s">
        <v>1163</v>
      </c>
      <c r="D52" s="13"/>
      <c r="E52" s="23"/>
      <c r="F52" s="23"/>
      <c r="G52" s="23"/>
      <c r="H52" s="23"/>
      <c r="I52" s="23"/>
      <c r="J52" s="23"/>
      <c r="K52" s="23"/>
      <c r="L52" s="23"/>
      <c r="M52" s="23"/>
      <c r="N52" s="23"/>
      <c r="O52" s="23"/>
      <c r="P52" s="23"/>
    </row>
    <row r="53">
      <c r="B53" s="10"/>
      <c r="C53" s="14"/>
      <c r="D53" s="18" t="s">
        <v>1164</v>
      </c>
      <c r="E53" s="50" t="n"/>
      <c r="F53" s="50" t="n"/>
      <c r="G53" s="50" t="n"/>
      <c r="H53" s="50" t="n"/>
      <c r="I53" s="50" t="n"/>
      <c r="J53" s="50" t="n"/>
      <c r="K53" s="50" t="n"/>
      <c r="L53" s="50" t="n"/>
      <c r="M53" s="50" t="n"/>
      <c r="N53" s="50" t="n"/>
      <c r="O53" s="50" t="n"/>
      <c r="P53" s="50" t="n"/>
    </row>
    <row r="54">
      <c r="B54" s="10"/>
      <c r="C54" s="14"/>
      <c r="D54" s="19" t="s">
        <v>1165</v>
      </c>
      <c r="E54" s="51" t="n"/>
      <c r="F54" s="51" t="n"/>
      <c r="G54" s="51" t="n"/>
      <c r="H54" s="51" t="n"/>
      <c r="I54" s="51" t="n"/>
      <c r="J54" s="51" t="n"/>
      <c r="K54" s="51" t="n"/>
      <c r="L54" s="51" t="n"/>
      <c r="M54" s="51" t="n"/>
      <c r="N54" s="51" t="n"/>
      <c r="O54" s="51" t="n"/>
      <c r="P54" s="51" t="n"/>
    </row>
    <row r="55">
      <c r="B55" s="10"/>
      <c r="C55" s="14"/>
      <c r="D55" s="18" t="s">
        <v>1166</v>
      </c>
      <c r="E55" s="50" t="n"/>
      <c r="F55" s="50" t="n"/>
      <c r="G55" s="50" t="n"/>
      <c r="H55" s="50" t="n"/>
      <c r="I55" s="50" t="n"/>
      <c r="J55" s="50" t="n"/>
      <c r="K55" s="50" t="n"/>
      <c r="L55" s="50" t="n"/>
      <c r="M55" s="50" t="n"/>
      <c r="N55" s="50" t="n"/>
      <c r="O55" s="50" t="n"/>
      <c r="P55" s="50" t="n"/>
    </row>
    <row r="56">
      <c r="B56" s="10"/>
      <c r="C56" s="14"/>
      <c r="D56" s="19" t="s">
        <v>1167</v>
      </c>
      <c r="E56" s="51" t="n"/>
      <c r="F56" s="51" t="n"/>
      <c r="G56" s="51" t="n"/>
      <c r="H56" s="51" t="n"/>
      <c r="I56" s="51" t="n"/>
      <c r="J56" s="51" t="n"/>
      <c r="K56" s="51" t="n"/>
      <c r="L56" s="51" t="n"/>
      <c r="M56" s="51" t="n"/>
      <c r="N56" s="51" t="n"/>
      <c r="O56" s="51" t="n"/>
      <c r="P56" s="51" t="n"/>
    </row>
    <row r="57">
      <c r="B57" s="10"/>
      <c r="C57" s="14"/>
      <c r="D57" s="18" t="s">
        <v>1168</v>
      </c>
      <c r="E57" s="50" t="n"/>
      <c r="F57" s="50" t="n"/>
      <c r="G57" s="50" t="n"/>
      <c r="H57" s="50" t="n"/>
      <c r="I57" s="50" t="n"/>
      <c r="J57" s="50" t="n"/>
      <c r="K57" s="50" t="n"/>
      <c r="L57" s="50" t="n"/>
      <c r="M57" s="50" t="n"/>
      <c r="N57" s="50" t="n"/>
      <c r="O57" s="50" t="n"/>
      <c r="P57" s="50" t="n"/>
    </row>
    <row r="58">
      <c r="B58" s="10"/>
      <c r="C58" s="14"/>
      <c r="D58" s="19" t="s">
        <v>1169</v>
      </c>
      <c r="E58" s="51" t="n"/>
      <c r="F58" s="51" t="n"/>
      <c r="G58" s="51" t="n"/>
      <c r="H58" s="51" t="n"/>
      <c r="I58" s="51" t="n"/>
      <c r="J58" s="51" t="n"/>
      <c r="K58" s="51" t="n"/>
      <c r="L58" s="51" t="n"/>
      <c r="M58" s="51" t="n"/>
      <c r="N58" s="51" t="n"/>
      <c r="O58" s="51" t="n"/>
      <c r="P58" s="51" t="n"/>
    </row>
    <row r="59">
      <c r="B59" s="10"/>
      <c r="C59" s="14"/>
      <c r="D59" s="18" t="s">
        <v>1170</v>
      </c>
      <c r="E59" s="50" t="n"/>
      <c r="F59" s="50" t="n"/>
      <c r="G59" s="50" t="n"/>
      <c r="H59" s="50" t="n"/>
      <c r="I59" s="50" t="n"/>
      <c r="J59" s="50" t="n"/>
      <c r="K59" s="50" t="n"/>
      <c r="L59" s="50" t="n"/>
      <c r="M59" s="50" t="n"/>
      <c r="N59" s="50" t="n"/>
      <c r="O59" s="50" t="n"/>
      <c r="P59" s="50" t="n"/>
    </row>
    <row r="60">
      <c r="B60" s="10"/>
      <c r="C60" s="14"/>
      <c r="D60" s="19" t="s">
        <v>1171</v>
      </c>
      <c r="E60" s="51" t="n"/>
      <c r="F60" s="51" t="n"/>
      <c r="G60" s="51" t="n"/>
      <c r="H60" s="51" t="n"/>
      <c r="I60" s="51" t="n"/>
      <c r="J60" s="51" t="n"/>
      <c r="K60" s="51" t="n"/>
      <c r="L60" s="51" t="n"/>
      <c r="M60" s="51" t="n"/>
      <c r="N60" s="51" t="n"/>
      <c r="O60" s="51" t="n"/>
      <c r="P60" s="51" t="n"/>
    </row>
    <row r="61">
      <c r="B61" s="10"/>
      <c r="C61" s="14"/>
      <c r="D61" s="18" t="s">
        <v>1172</v>
      </c>
      <c r="E61" s="50" t="n"/>
      <c r="F61" s="50" t="n"/>
      <c r="G61" s="50" t="n"/>
      <c r="H61" s="50" t="n"/>
      <c r="I61" s="50" t="n"/>
      <c r="J61" s="50" t="n"/>
      <c r="K61" s="50" t="n"/>
      <c r="L61" s="50" t="n"/>
      <c r="M61" s="50" t="n"/>
      <c r="N61" s="50" t="n"/>
      <c r="O61" s="50" t="n"/>
      <c r="P61" s="50" t="n"/>
    </row>
    <row r="62">
      <c r="B62" s="10"/>
      <c r="C62" s="14"/>
      <c r="D62" s="19" t="s">
        <v>1173</v>
      </c>
      <c r="E62" s="51" t="n"/>
      <c r="F62" s="51" t="n"/>
      <c r="G62" s="51" t="n"/>
      <c r="H62" s="51" t="n"/>
      <c r="I62" s="51" t="n"/>
      <c r="J62" s="51" t="n"/>
      <c r="K62" s="51" t="n"/>
      <c r="L62" s="51" t="n"/>
      <c r="M62" s="51" t="n"/>
      <c r="N62" s="51" t="n"/>
      <c r="O62" s="51" t="n"/>
      <c r="P62" s="51" t="n"/>
    </row>
    <row r="63">
      <c r="B63" s="10"/>
      <c r="C63" s="14"/>
      <c r="D63" s="18" t="s">
        <v>1174</v>
      </c>
      <c r="E63" s="50" t="n"/>
      <c r="F63" s="50" t="n"/>
      <c r="G63" s="50" t="n"/>
      <c r="H63" s="50" t="n"/>
      <c r="I63" s="50" t="n"/>
      <c r="J63" s="50" t="n"/>
      <c r="K63" s="50" t="n"/>
      <c r="L63" s="50" t="n"/>
      <c r="M63" s="50" t="n"/>
      <c r="N63" s="50" t="n"/>
      <c r="O63" s="50" t="n"/>
      <c r="P63" s="50" t="n"/>
    </row>
    <row r="64">
      <c r="B64" s="10"/>
      <c r="C64" s="15"/>
      <c r="D64" s="57" t="s">
        <v>1175</v>
      </c>
      <c r="E64" s="51" t="n">
        <f>SUM(E53:E63)</f>
      </c>
      <c r="F64" s="51" t="n">
        <f>SUM(F53:F63)</f>
      </c>
      <c r="G64" s="51" t="n">
        <f>SUM(G53:G63)</f>
      </c>
      <c r="H64" s="51" t="n">
        <f>SUM(H53:H63)</f>
      </c>
      <c r="I64" s="51" t="n">
        <f>SUM(I53:I63)</f>
      </c>
      <c r="J64" s="51" t="n">
        <f>SUM(J53:J63)</f>
      </c>
      <c r="K64" s="51" t="n">
        <f>SUM(K53:K63)</f>
      </c>
      <c r="L64" s="51" t="n">
        <f>SUM(L53:L63)</f>
      </c>
      <c r="M64" s="51" t="n">
        <f>SUM(M53:M63)</f>
      </c>
      <c r="N64" s="51" t="n">
        <f>SUM(N53:N63)</f>
      </c>
      <c r="O64" s="51" t="n">
        <f>SUM(O53:O63)</f>
      </c>
      <c r="P64" s="51" t="n">
        <f>SUM(P53:P63)</f>
      </c>
    </row>
    <row r="65">
      <c r="B65" s="10"/>
      <c r="C65" s="7" t="s">
        <v>1176</v>
      </c>
      <c r="D65" s="9"/>
      <c r="E65" s="22"/>
      <c r="F65" s="22"/>
      <c r="G65" s="22"/>
      <c r="H65" s="22"/>
      <c r="I65" s="22"/>
      <c r="J65" s="22"/>
      <c r="K65" s="22"/>
      <c r="L65" s="22"/>
      <c r="M65" s="22"/>
      <c r="N65" s="22"/>
      <c r="O65" s="22"/>
      <c r="P65" s="22"/>
    </row>
    <row r="66">
      <c r="B66" s="10"/>
      <c r="C66" s="10"/>
      <c r="D66" s="19" t="s">
        <v>1177</v>
      </c>
      <c r="E66" s="51" t="n"/>
      <c r="F66" s="51" t="n"/>
      <c r="G66" s="51" t="n"/>
      <c r="H66" s="51" t="n"/>
      <c r="I66" s="51" t="n"/>
      <c r="J66" s="51" t="n"/>
      <c r="K66" s="51" t="n"/>
      <c r="L66" s="51" t="n"/>
      <c r="M66" s="51" t="n"/>
      <c r="N66" s="51" t="n"/>
      <c r="O66" s="51" t="n"/>
      <c r="P66" s="51" t="n"/>
    </row>
    <row r="67">
      <c r="B67" s="10"/>
      <c r="C67" s="10"/>
      <c r="D67" s="18" t="s">
        <v>1178</v>
      </c>
      <c r="E67" s="50" t="n"/>
      <c r="F67" s="50" t="n"/>
      <c r="G67" s="50" t="n"/>
      <c r="H67" s="50" t="n"/>
      <c r="I67" s="50" t="n"/>
      <c r="J67" s="50" t="n"/>
      <c r="K67" s="50" t="n"/>
      <c r="L67" s="50" t="n"/>
      <c r="M67" s="50" t="n"/>
      <c r="N67" s="50" t="n"/>
      <c r="O67" s="50" t="n"/>
      <c r="P67" s="50" t="n"/>
    </row>
    <row r="68">
      <c r="B68" s="10"/>
      <c r="C68" s="10"/>
      <c r="D68" s="19" t="s">
        <v>1179</v>
      </c>
      <c r="E68" s="51" t="n"/>
      <c r="F68" s="51" t="n"/>
      <c r="G68" s="51" t="n"/>
      <c r="H68" s="51" t="n"/>
      <c r="I68" s="51" t="n"/>
      <c r="J68" s="51" t="n"/>
      <c r="K68" s="51" t="n"/>
      <c r="L68" s="51" t="n"/>
      <c r="M68" s="51" t="n"/>
      <c r="N68" s="51" t="n"/>
      <c r="O68" s="51" t="n"/>
      <c r="P68" s="51" t="n"/>
    </row>
    <row r="69">
      <c r="B69" s="10"/>
      <c r="C69" s="10"/>
      <c r="D69" s="18" t="s">
        <v>1180</v>
      </c>
      <c r="E69" s="50" t="n"/>
      <c r="F69" s="50" t="n"/>
      <c r="G69" s="50" t="n"/>
      <c r="H69" s="50" t="n"/>
      <c r="I69" s="50" t="n"/>
      <c r="J69" s="50" t="n"/>
      <c r="K69" s="50" t="n"/>
      <c r="L69" s="50" t="n"/>
      <c r="M69" s="50" t="n"/>
      <c r="N69" s="50" t="n"/>
      <c r="O69" s="50" t="n"/>
      <c r="P69" s="50" t="n"/>
    </row>
    <row r="70">
      <c r="B70" s="10"/>
      <c r="C70" s="10"/>
      <c r="D70" s="19" t="s">
        <v>1181</v>
      </c>
      <c r="E70" s="51" t="n"/>
      <c r="F70" s="51" t="n"/>
      <c r="G70" s="51" t="n"/>
      <c r="H70" s="51" t="n"/>
      <c r="I70" s="51" t="n"/>
      <c r="J70" s="51" t="n"/>
      <c r="K70" s="51" t="n"/>
      <c r="L70" s="51" t="n"/>
      <c r="M70" s="51" t="n"/>
      <c r="N70" s="51" t="n"/>
      <c r="O70" s="51" t="n"/>
      <c r="P70" s="51" t="n"/>
    </row>
    <row r="71">
      <c r="B71" s="10"/>
      <c r="C71" s="10"/>
      <c r="D71" s="18" t="s">
        <v>1182</v>
      </c>
      <c r="E71" s="50" t="n"/>
      <c r="F71" s="50" t="n"/>
      <c r="G71" s="50" t="n"/>
      <c r="H71" s="50" t="n"/>
      <c r="I71" s="50" t="n"/>
      <c r="J71" s="50" t="n"/>
      <c r="K71" s="50" t="n"/>
      <c r="L71" s="50" t="n"/>
      <c r="M71" s="50" t="n"/>
      <c r="N71" s="50" t="n"/>
      <c r="O71" s="50" t="n"/>
      <c r="P71" s="50" t="n"/>
    </row>
    <row r="72">
      <c r="B72" s="10"/>
      <c r="C72" s="11"/>
      <c r="D72" s="57" t="s">
        <v>1183</v>
      </c>
      <c r="E72" s="51" t="n">
        <f>SUM(E66:E71)</f>
      </c>
      <c r="F72" s="51" t="n">
        <f>SUM(F66:F71)</f>
      </c>
      <c r="G72" s="51" t="n">
        <f>SUM(G66:G71)</f>
      </c>
      <c r="H72" s="51" t="n">
        <f>SUM(H66:H71)</f>
      </c>
      <c r="I72" s="51" t="n">
        <f>SUM(I66:I71)</f>
      </c>
      <c r="J72" s="51" t="n">
        <f>SUM(J66:J71)</f>
      </c>
      <c r="K72" s="51" t="n">
        <f>SUM(K66:K71)</f>
      </c>
      <c r="L72" s="51" t="n">
        <f>SUM(L66:L71)</f>
      </c>
      <c r="M72" s="51" t="n">
        <f>SUM(M66:M71)</f>
      </c>
      <c r="N72" s="51" t="n">
        <f>SUM(N66:N71)</f>
      </c>
      <c r="O72" s="51" t="n">
        <f>SUM(O66:O71)</f>
      </c>
      <c r="P72" s="51" t="n">
        <f>SUM(P66:P71)</f>
      </c>
    </row>
    <row r="73">
      <c r="B73" s="10"/>
      <c r="C73" s="11" t="s">
        <v>1184</v>
      </c>
      <c r="D73" s="9"/>
      <c r="E73" s="50" t="n"/>
      <c r="F73" s="50" t="n"/>
      <c r="G73" s="50" t="n"/>
      <c r="H73" s="50" t="n"/>
      <c r="I73" s="50" t="n"/>
      <c r="J73" s="50" t="n"/>
      <c r="K73" s="50" t="n"/>
      <c r="L73" s="50" t="n"/>
      <c r="M73" s="50" t="n"/>
      <c r="N73" s="50" t="n"/>
      <c r="O73" s="50" t="n"/>
      <c r="P73" s="50" t="n"/>
    </row>
    <row r="74">
      <c r="B74" s="10"/>
      <c r="C74" s="15" t="s">
        <v>1185</v>
      </c>
      <c r="D74" s="13"/>
      <c r="E74" s="51" t="n"/>
      <c r="F74" s="51" t="n"/>
      <c r="G74" s="51" t="n"/>
      <c r="H74" s="51" t="n"/>
      <c r="I74" s="51" t="n"/>
      <c r="J74" s="51" t="n"/>
      <c r="K74" s="51" t="n"/>
      <c r="L74" s="51" t="n"/>
      <c r="M74" s="51" t="n"/>
      <c r="N74" s="51" t="n"/>
      <c r="O74" s="51" t="n"/>
      <c r="P74" s="51" t="n"/>
    </row>
    <row r="75">
      <c r="B75" s="10"/>
      <c r="C75" s="11" t="s">
        <v>1186</v>
      </c>
      <c r="D75" s="9"/>
      <c r="E75" s="50" t="n"/>
      <c r="F75" s="50" t="n"/>
      <c r="G75" s="50" t="n"/>
      <c r="H75" s="50" t="n"/>
      <c r="I75" s="50" t="n"/>
      <c r="J75" s="50" t="n"/>
      <c r="K75" s="50" t="n"/>
      <c r="L75" s="50" t="n"/>
      <c r="M75" s="50" t="n"/>
      <c r="N75" s="50" t="n"/>
      <c r="O75" s="50" t="n"/>
      <c r="P75" s="50" t="n"/>
    </row>
    <row r="76">
      <c r="B76" s="10"/>
      <c r="C76" s="15" t="s">
        <v>1187</v>
      </c>
      <c r="D76" s="13"/>
      <c r="E76" s="51" t="n"/>
      <c r="F76" s="51" t="n"/>
      <c r="G76" s="51" t="n"/>
      <c r="H76" s="51" t="n"/>
      <c r="I76" s="51" t="n"/>
      <c r="J76" s="51" t="n"/>
      <c r="K76" s="51" t="n"/>
      <c r="L76" s="51" t="n"/>
      <c r="M76" s="51" t="n"/>
      <c r="N76" s="51" t="n"/>
      <c r="O76" s="51" t="n"/>
      <c r="P76" s="51" t="n"/>
    </row>
    <row r="77">
      <c r="B77" s="10"/>
      <c r="C77" s="11" t="s">
        <v>1188</v>
      </c>
      <c r="D77" s="9"/>
      <c r="E77" s="50" t="n"/>
      <c r="F77" s="50" t="n"/>
      <c r="G77" s="50" t="n"/>
      <c r="H77" s="50" t="n"/>
      <c r="I77" s="50" t="n"/>
      <c r="J77" s="50" t="n"/>
      <c r="K77" s="50" t="n"/>
      <c r="L77" s="50" t="n"/>
      <c r="M77" s="50" t="n"/>
      <c r="N77" s="50" t="n"/>
      <c r="O77" s="50" t="n"/>
      <c r="P77" s="50" t="n"/>
    </row>
    <row r="78">
      <c r="B78" s="10"/>
      <c r="C78" s="15" t="s">
        <v>1189</v>
      </c>
      <c r="D78" s="13"/>
      <c r="E78" s="51" t="n"/>
      <c r="F78" s="51" t="n"/>
      <c r="G78" s="51" t="n"/>
      <c r="H78" s="51" t="n"/>
      <c r="I78" s="51" t="n"/>
      <c r="J78" s="51" t="n"/>
      <c r="K78" s="51" t="n"/>
      <c r="L78" s="51" t="n"/>
      <c r="M78" s="51" t="n"/>
      <c r="N78" s="51" t="n"/>
      <c r="O78" s="51" t="n"/>
      <c r="P78" s="51" t="n"/>
    </row>
    <row r="79">
      <c r="B79" s="10"/>
      <c r="C79" s="11" t="s">
        <v>1190</v>
      </c>
      <c r="D79" s="9"/>
      <c r="E79" s="50" t="n"/>
      <c r="F79" s="50" t="n"/>
      <c r="G79" s="50" t="n"/>
      <c r="H79" s="50" t="n"/>
      <c r="I79" s="50" t="n"/>
      <c r="J79" s="50" t="n"/>
      <c r="K79" s="50" t="n"/>
      <c r="L79" s="50" t="n"/>
      <c r="M79" s="50" t="n"/>
      <c r="N79" s="50" t="n"/>
      <c r="O79" s="50" t="n"/>
      <c r="P79" s="50" t="n"/>
    </row>
    <row r="80">
      <c r="B80" s="10"/>
      <c r="C80" s="15" t="s">
        <v>1191</v>
      </c>
      <c r="D80" s="13"/>
      <c r="E80" s="51" t="n"/>
      <c r="F80" s="51" t="n"/>
      <c r="G80" s="51" t="n"/>
      <c r="H80" s="51" t="n"/>
      <c r="I80" s="51" t="n"/>
      <c r="J80" s="51" t="n"/>
      <c r="K80" s="51" t="n"/>
      <c r="L80" s="51" t="n"/>
      <c r="M80" s="51" t="n"/>
      <c r="N80" s="51" t="n"/>
      <c r="O80" s="51" t="n"/>
      <c r="P80" s="51" t="n"/>
    </row>
    <row r="81">
      <c r="B81" s="10"/>
      <c r="C81" s="11" t="s">
        <v>1192</v>
      </c>
      <c r="D81" s="9"/>
      <c r="E81" s="50" t="n"/>
      <c r="F81" s="50" t="n"/>
      <c r="G81" s="50" t="n"/>
      <c r="H81" s="50" t="n"/>
      <c r="I81" s="50" t="n"/>
      <c r="J81" s="50" t="n"/>
      <c r="K81" s="50" t="n"/>
      <c r="L81" s="50" t="n"/>
      <c r="M81" s="50" t="n"/>
      <c r="N81" s="50" t="n"/>
      <c r="O81" s="50" t="n"/>
      <c r="P81" s="50" t="n"/>
    </row>
    <row r="82">
      <c r="B82" s="10"/>
      <c r="C82" s="15" t="s">
        <v>1193</v>
      </c>
      <c r="D82" s="13"/>
      <c r="E82" s="51" t="n"/>
      <c r="F82" s="51" t="n"/>
      <c r="G82" s="51" t="n"/>
      <c r="H82" s="51" t="n"/>
      <c r="I82" s="51" t="n"/>
      <c r="J82" s="51" t="n"/>
      <c r="K82" s="51" t="n"/>
      <c r="L82" s="51" t="n"/>
      <c r="M82" s="51" t="n"/>
      <c r="N82" s="51" t="n"/>
      <c r="O82" s="51" t="n"/>
      <c r="P82" s="51" t="n"/>
    </row>
    <row r="83">
      <c r="B83" s="11"/>
      <c r="C83" s="45" t="s">
        <v>1194</v>
      </c>
      <c r="D83" s="44"/>
      <c r="E83" s="53" t="n">
        <f>SUM(E14:E20)+E25+E26+SUM(E34:E36)+E51+E64+SUM(E72:E82)</f>
      </c>
      <c r="F83" s="53" t="n">
        <f>SUM(F14:F20)+F25+F26+SUM(F34:F36)+F51+F64+SUM(F72:F82)</f>
      </c>
      <c r="G83" s="53" t="n">
        <f>SUM(G14:G20)+G25+G26+SUM(G34:G36)+G51+G64+SUM(G72:G82)</f>
      </c>
      <c r="H83" s="53" t="n">
        <f>SUM(H14:H20)+H25+H26+SUM(H34:H36)+H51+H64+SUM(H72:H82)</f>
      </c>
      <c r="I83" s="53" t="n">
        <f>SUM(I14:I20)+I25+I26+SUM(I34:I36)+I51+I64+SUM(I72:I82)</f>
      </c>
      <c r="J83" s="53" t="n">
        <f>SUM(J14:J20)+J25+J26+SUM(J34:J36)+J51+J64+SUM(J72:J82)</f>
      </c>
      <c r="K83" s="53" t="n">
        <f>SUM(K14:K20)+K25+K26+SUM(K34:K36)+K51+K64+SUM(K72:K82)</f>
      </c>
      <c r="L83" s="53" t="n">
        <f>SUM(L14:L20)+L25+L26+SUM(L34:L36)+L51+L64+SUM(L72:L82)</f>
      </c>
      <c r="M83" s="53" t="n">
        <f>SUM(M14:M20)+M25+M26+SUM(M34:M36)+M51+M64+SUM(M72:M82)</f>
      </c>
      <c r="N83" s="53" t="n">
        <f>SUM(N14:N20)+N25+N26+SUM(N34:N36)+N51+N64+SUM(N72:N82)</f>
      </c>
      <c r="O83" s="53" t="n">
        <f>SUM(O14:O20)+O25+O26+SUM(O34:O36)+O51+O64+SUM(O72:O82)</f>
      </c>
      <c r="P83" s="53" t="n">
        <f>SUM(P14:P20)+P25+P26+SUM(P34:P36)+P51+P64+SUM(P72:P82)</f>
      </c>
    </row>
  </sheetData>
  <mergeCells>
    <mergeCell ref="E10:P10"/>
    <mergeCell ref="E11:G11"/>
    <mergeCell ref="H11:J11"/>
    <mergeCell ref="K11:M11"/>
    <mergeCell ref="N11:N12"/>
    <mergeCell ref="O11:O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hyperlinks>
    <hyperlink location="'Indice'!A1" ref="B2"/>
  </hyperlinks>
  <pageMargins bottom="0.75" footer="0.3" header="0.3" left="0.7" right="0.7" top="0.75"/>
</worksheet>
</file>

<file path=xl/worksheets/sheet47.xml><?xml version="1.0" encoding="utf-8"?>
<worksheet xmlns="http://schemas.openxmlformats.org/spreadsheetml/2006/main">
  <dimension ref="B2:L131"/>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2.70703125" customWidth="true"/>
    <col min="7" max="7" width="2.70703125" customWidth="true"/>
    <col min="8" max="8" width="50.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1272</v>
      </c>
    </row>
    <row r="6">
      <c r="B6" t="s" s="1">
        <v>8</v>
      </c>
      <c r="C6" t="s">
        <v>9</v>
      </c>
    </row>
    <row r="7">
      <c r="B7" t="s" s="1">
        <v>10</v>
      </c>
      <c r="C7" t="s">
        <v>9</v>
      </c>
    </row>
    <row r="8">
      <c r="B8" t="s" s="1">
        <v>11</v>
      </c>
      <c r="C8" t="s">
        <v>12</v>
      </c>
    </row>
    <row r="10">
      <c r="I10" t="s" s="4">
        <v>1273</v>
      </c>
      <c r="J10" s="29"/>
      <c r="K10" s="30"/>
    </row>
    <row r="11">
      <c r="I11" t="s" s="34">
        <v>1274</v>
      </c>
      <c r="J11" t="s" s="6">
        <v>1275</v>
      </c>
      <c r="K11" s="34" t="s">
        <v>1276</v>
      </c>
    </row>
    <row r="12">
      <c r="B12" s="7" t="s">
        <v>1277</v>
      </c>
      <c r="C12" s="8"/>
      <c r="D12" s="8"/>
      <c r="E12" s="8"/>
      <c r="F12" s="8"/>
      <c r="G12" s="8"/>
      <c r="H12" s="9"/>
      <c r="I12" s="23"/>
      <c r="J12" s="23"/>
      <c r="K12" s="23"/>
    </row>
    <row r="13">
      <c r="B13" s="10"/>
      <c r="C13" s="12" t="s">
        <v>1278</v>
      </c>
      <c r="D13" s="37"/>
      <c r="E13" s="37"/>
      <c r="F13" s="37"/>
      <c r="G13" s="37"/>
      <c r="H13" s="13"/>
      <c r="I13" s="22"/>
      <c r="J13" s="22"/>
      <c r="K13" s="22"/>
    </row>
    <row r="14">
      <c r="B14" s="10"/>
      <c r="C14" s="14"/>
      <c r="D14" s="7" t="s">
        <v>1279</v>
      </c>
      <c r="E14" s="8"/>
      <c r="F14" s="8"/>
      <c r="G14" s="8"/>
      <c r="H14" s="9"/>
      <c r="I14" s="23"/>
      <c r="J14" s="23"/>
      <c r="K14" s="23"/>
    </row>
    <row r="15">
      <c r="B15" s="10"/>
      <c r="C15" s="14"/>
      <c r="D15" s="10"/>
      <c r="E15" s="15" t="s">
        <v>1280</v>
      </c>
      <c r="F15" s="37"/>
      <c r="G15" s="37"/>
      <c r="H15" s="13"/>
      <c r="I15" s="50" t="n"/>
      <c r="J15" s="22"/>
      <c r="K15" s="22"/>
    </row>
    <row r="16">
      <c r="B16" s="10"/>
      <c r="C16" s="14"/>
      <c r="D16" s="10"/>
      <c r="E16" s="11" t="s">
        <v>1281</v>
      </c>
      <c r="F16" s="8"/>
      <c r="G16" s="8"/>
      <c r="H16" s="9"/>
      <c r="I16" s="51" t="n"/>
      <c r="J16" s="23"/>
      <c r="K16" s="23"/>
    </row>
    <row r="17">
      <c r="B17" s="10"/>
      <c r="C17" s="14"/>
      <c r="D17" s="10"/>
      <c r="E17" s="15" t="s">
        <v>1282</v>
      </c>
      <c r="F17" s="37"/>
      <c r="G17" s="37"/>
      <c r="H17" s="13"/>
      <c r="I17" s="50" t="n"/>
      <c r="J17" s="22"/>
      <c r="K17" s="22"/>
    </row>
    <row r="18">
      <c r="B18" s="10"/>
      <c r="C18" s="14"/>
      <c r="D18" s="11"/>
      <c r="E18" s="45" t="s">
        <v>1283</v>
      </c>
      <c r="F18" s="43"/>
      <c r="G18" s="43"/>
      <c r="H18" s="44"/>
      <c r="I18" s="51" t="n">
        <f>SUM(I15:I17)</f>
      </c>
      <c r="J18" s="51" t="n"/>
      <c r="K18" s="51" t="n"/>
    </row>
    <row r="19">
      <c r="B19" s="10"/>
      <c r="C19" s="14"/>
      <c r="D19" s="12" t="s">
        <v>1284</v>
      </c>
      <c r="E19" s="37"/>
      <c r="F19" s="37"/>
      <c r="G19" s="37"/>
      <c r="H19" s="13"/>
      <c r="I19" s="22"/>
      <c r="J19" s="22"/>
      <c r="K19" s="22"/>
    </row>
    <row r="20">
      <c r="B20" s="10"/>
      <c r="C20" s="14"/>
      <c r="D20" s="14"/>
      <c r="E20" s="11" t="s">
        <v>1285</v>
      </c>
      <c r="F20" s="8"/>
      <c r="G20" s="8"/>
      <c r="H20" s="9"/>
      <c r="I20" s="51" t="n"/>
      <c r="J20" s="23"/>
      <c r="K20" s="23"/>
    </row>
    <row r="21">
      <c r="B21" s="10"/>
      <c r="C21" s="14"/>
      <c r="D21" s="14"/>
      <c r="E21" s="15" t="s">
        <v>1286</v>
      </c>
      <c r="F21" s="37"/>
      <c r="G21" s="37"/>
      <c r="H21" s="13"/>
      <c r="I21" s="50" t="n"/>
      <c r="J21" s="22"/>
      <c r="K21" s="22"/>
    </row>
    <row r="22">
      <c r="B22" s="10"/>
      <c r="C22" s="14"/>
      <c r="D22" s="14"/>
      <c r="E22" s="11" t="s">
        <v>1282</v>
      </c>
      <c r="F22" s="8"/>
      <c r="G22" s="8"/>
      <c r="H22" s="9"/>
      <c r="I22" s="51" t="n"/>
      <c r="J22" s="23"/>
      <c r="K22" s="23"/>
    </row>
    <row r="23">
      <c r="B23" s="10"/>
      <c r="C23" s="14"/>
      <c r="D23" s="15"/>
      <c r="E23" s="40" t="s">
        <v>1287</v>
      </c>
      <c r="F23" s="41"/>
      <c r="G23" s="41"/>
      <c r="H23" s="39"/>
      <c r="I23" s="50" t="n">
        <f>SUM(I20:I22)</f>
      </c>
      <c r="J23" s="50" t="n"/>
      <c r="K23" s="50" t="n"/>
    </row>
    <row r="24">
      <c r="B24" s="10"/>
      <c r="C24" s="14"/>
      <c r="D24" s="7" t="s">
        <v>1288</v>
      </c>
      <c r="E24" s="8"/>
      <c r="F24" s="8"/>
      <c r="G24" s="8"/>
      <c r="H24" s="9"/>
      <c r="I24" s="23"/>
      <c r="J24" s="23"/>
      <c r="K24" s="23"/>
    </row>
    <row r="25">
      <c r="B25" s="10"/>
      <c r="C25" s="14"/>
      <c r="D25" s="10"/>
      <c r="E25" s="15" t="s">
        <v>1289</v>
      </c>
      <c r="F25" s="37"/>
      <c r="G25" s="37"/>
      <c r="H25" s="13"/>
      <c r="I25" s="50" t="n"/>
      <c r="J25" s="22"/>
      <c r="K25" s="22"/>
    </row>
    <row r="26">
      <c r="B26" s="10"/>
      <c r="C26" s="14"/>
      <c r="D26" s="10"/>
      <c r="E26" s="11" t="s">
        <v>1186</v>
      </c>
      <c r="F26" s="8"/>
      <c r="G26" s="8"/>
      <c r="H26" s="9"/>
      <c r="I26" s="51" t="n"/>
      <c r="J26" s="23"/>
      <c r="K26" s="23"/>
    </row>
    <row r="27">
      <c r="B27" s="10"/>
      <c r="C27" s="14"/>
      <c r="D27" s="10"/>
      <c r="E27" s="15" t="s">
        <v>1290</v>
      </c>
      <c r="F27" s="37"/>
      <c r="G27" s="37"/>
      <c r="H27" s="13"/>
      <c r="I27" s="50" t="n"/>
      <c r="J27" s="22"/>
      <c r="K27" s="22"/>
    </row>
    <row r="28">
      <c r="B28" s="10"/>
      <c r="C28" s="14"/>
      <c r="D28" s="10"/>
      <c r="E28" s="11" t="s">
        <v>1282</v>
      </c>
      <c r="F28" s="8"/>
      <c r="G28" s="8"/>
      <c r="H28" s="9"/>
      <c r="I28" s="51" t="n"/>
      <c r="J28" s="23"/>
      <c r="K28" s="23"/>
    </row>
    <row r="29">
      <c r="B29" s="10"/>
      <c r="C29" s="14"/>
      <c r="D29" s="10"/>
      <c r="E29" s="15" t="s">
        <v>1291</v>
      </c>
      <c r="F29" s="37"/>
      <c r="G29" s="37"/>
      <c r="H29" s="13"/>
      <c r="I29" s="50" t="n"/>
      <c r="J29" s="22"/>
      <c r="K29" s="22"/>
    </row>
    <row r="30">
      <c r="B30" s="10"/>
      <c r="C30" s="14"/>
      <c r="D30" s="10"/>
      <c r="E30" s="11" t="s">
        <v>1292</v>
      </c>
      <c r="F30" s="8"/>
      <c r="G30" s="8"/>
      <c r="H30" s="9"/>
      <c r="I30" s="51" t="n"/>
      <c r="J30" s="23"/>
      <c r="K30" s="23"/>
    </row>
    <row r="31">
      <c r="B31" s="10"/>
      <c r="C31" s="14"/>
      <c r="D31" s="10"/>
      <c r="E31" s="15" t="s">
        <v>1293</v>
      </c>
      <c r="F31" s="37"/>
      <c r="G31" s="37"/>
      <c r="H31" s="13"/>
      <c r="I31" s="50" t="n"/>
      <c r="J31" s="22"/>
      <c r="K31" s="22"/>
    </row>
    <row r="32">
      <c r="B32" s="10"/>
      <c r="C32" s="14"/>
      <c r="D32" s="10"/>
      <c r="E32" s="11" t="s">
        <v>1294</v>
      </c>
      <c r="F32" s="8"/>
      <c r="G32" s="8"/>
      <c r="H32" s="9"/>
      <c r="I32" s="51" t="n"/>
      <c r="J32" s="23"/>
      <c r="K32" s="23"/>
    </row>
    <row r="33">
      <c r="B33" s="10"/>
      <c r="C33" s="14"/>
      <c r="D33" s="10"/>
      <c r="E33" s="15" t="s">
        <v>1295</v>
      </c>
      <c r="F33" s="37"/>
      <c r="G33" s="37"/>
      <c r="H33" s="13"/>
      <c r="I33" s="50" t="n"/>
      <c r="J33" s="22"/>
      <c r="K33" s="22"/>
    </row>
    <row r="34">
      <c r="B34" s="10"/>
      <c r="C34" s="14"/>
      <c r="D34" s="10"/>
      <c r="E34" s="11" t="s">
        <v>1296</v>
      </c>
      <c r="F34" s="8"/>
      <c r="G34" s="8"/>
      <c r="H34" s="9"/>
      <c r="I34" s="51" t="n"/>
      <c r="J34" s="23"/>
      <c r="K34" s="23"/>
    </row>
    <row r="35">
      <c r="B35" s="10"/>
      <c r="C35" s="14"/>
      <c r="D35" s="10"/>
      <c r="E35" s="15" t="s">
        <v>1297</v>
      </c>
      <c r="F35" s="37"/>
      <c r="G35" s="37"/>
      <c r="H35" s="13"/>
      <c r="I35" s="50" t="n"/>
      <c r="J35" s="22"/>
      <c r="K35" s="22"/>
    </row>
    <row r="36">
      <c r="B36" s="10"/>
      <c r="C36" s="14"/>
      <c r="D36" s="10"/>
      <c r="E36" s="11" t="s">
        <v>1298</v>
      </c>
      <c r="F36" s="8"/>
      <c r="G36" s="8"/>
      <c r="H36" s="9"/>
      <c r="I36" s="51" t="n"/>
      <c r="J36" s="23"/>
      <c r="K36" s="23"/>
    </row>
    <row r="37">
      <c r="B37" s="10"/>
      <c r="C37" s="14"/>
      <c r="D37" s="10"/>
      <c r="E37" s="15" t="s">
        <v>1299</v>
      </c>
      <c r="F37" s="37"/>
      <c r="G37" s="37"/>
      <c r="H37" s="13"/>
      <c r="I37" s="50" t="n"/>
      <c r="J37" s="22"/>
      <c r="K37" s="22"/>
    </row>
    <row r="38">
      <c r="B38" s="10"/>
      <c r="C38" s="14"/>
      <c r="D38" s="10"/>
      <c r="E38" s="11" t="s">
        <v>1300</v>
      </c>
      <c r="F38" s="8"/>
      <c r="G38" s="8"/>
      <c r="H38" s="9"/>
      <c r="I38" s="51" t="n"/>
      <c r="J38" s="23"/>
      <c r="K38" s="23"/>
    </row>
    <row r="39">
      <c r="B39" s="10"/>
      <c r="C39" s="14"/>
      <c r="D39" s="10"/>
      <c r="E39" s="15" t="s">
        <v>1301</v>
      </c>
      <c r="F39" s="37"/>
      <c r="G39" s="37"/>
      <c r="H39" s="13"/>
      <c r="I39" s="50" t="n"/>
      <c r="J39" s="22"/>
      <c r="K39" s="22"/>
    </row>
    <row r="40">
      <c r="B40" s="10"/>
      <c r="C40" s="14"/>
      <c r="D40" s="11"/>
      <c r="E40" s="45" t="s">
        <v>1302</v>
      </c>
      <c r="F40" s="43"/>
      <c r="G40" s="43"/>
      <c r="H40" s="44"/>
      <c r="I40" s="51" t="n">
        <f>SUM(I25:I39)</f>
      </c>
      <c r="J40" s="51" t="n"/>
      <c r="K40" s="51" t="n"/>
    </row>
    <row r="41">
      <c r="B41" s="10"/>
      <c r="C41" s="14"/>
      <c r="D41" s="12" t="s">
        <v>1303</v>
      </c>
      <c r="E41" s="37"/>
      <c r="F41" s="37"/>
      <c r="G41" s="37"/>
      <c r="H41" s="13"/>
      <c r="I41" s="22"/>
      <c r="J41" s="22"/>
      <c r="K41" s="22"/>
    </row>
    <row r="42">
      <c r="B42" s="10"/>
      <c r="C42" s="14"/>
      <c r="D42" s="14"/>
      <c r="E42" s="7" t="s">
        <v>1304</v>
      </c>
      <c r="F42" s="8"/>
      <c r="G42" s="8"/>
      <c r="H42" s="9"/>
      <c r="I42" s="23"/>
      <c r="J42" s="23"/>
      <c r="K42" s="23"/>
    </row>
    <row r="43">
      <c r="B43" s="10"/>
      <c r="C43" s="14"/>
      <c r="D43" s="14"/>
      <c r="E43" s="10"/>
      <c r="F43" s="12" t="s">
        <v>1305</v>
      </c>
      <c r="G43" s="37"/>
      <c r="H43" s="13"/>
      <c r="I43" s="22"/>
      <c r="J43" s="22"/>
      <c r="K43" s="22"/>
    </row>
    <row r="44">
      <c r="B44" s="10"/>
      <c r="C44" s="14"/>
      <c r="D44" s="14"/>
      <c r="E44" s="10"/>
      <c r="F44" s="14"/>
      <c r="G44" s="11" t="s">
        <v>1306</v>
      </c>
      <c r="H44" s="9"/>
      <c r="I44" s="51" t="n"/>
      <c r="J44" s="51" t="n"/>
      <c r="K44" s="51" t="n"/>
    </row>
    <row r="45">
      <c r="B45" s="10"/>
      <c r="C45" s="14"/>
      <c r="D45" s="14"/>
      <c r="E45" s="10"/>
      <c r="F45" s="14"/>
      <c r="G45" s="12" t="s">
        <v>1307</v>
      </c>
      <c r="H45" s="13"/>
      <c r="I45" s="22"/>
      <c r="J45" s="22"/>
      <c r="K45" s="22"/>
    </row>
    <row r="46">
      <c r="B46" s="10"/>
      <c r="C46" s="14"/>
      <c r="D46" s="14"/>
      <c r="E46" s="10"/>
      <c r="F46" s="14"/>
      <c r="G46" s="14"/>
      <c r="H46" s="18" t="s">
        <v>1308</v>
      </c>
      <c r="I46" s="51" t="n"/>
      <c r="J46" s="51" t="n"/>
      <c r="K46" s="51" t="n"/>
    </row>
    <row r="47">
      <c r="B47" s="10"/>
      <c r="C47" s="14"/>
      <c r="D47" s="14"/>
      <c r="E47" s="10"/>
      <c r="F47" s="14"/>
      <c r="G47" s="14"/>
      <c r="H47" s="19" t="s">
        <v>1309</v>
      </c>
      <c r="I47" s="50" t="n"/>
      <c r="J47" s="50" t="n"/>
      <c r="K47" s="50" t="n"/>
    </row>
    <row r="48">
      <c r="B48" s="10"/>
      <c r="C48" s="14"/>
      <c r="D48" s="14"/>
      <c r="E48" s="10"/>
      <c r="F48" s="14"/>
      <c r="G48" s="14"/>
      <c r="H48" s="18" t="s">
        <v>1310</v>
      </c>
      <c r="I48" s="51" t="n"/>
      <c r="J48" s="51" t="n"/>
      <c r="K48" s="51" t="n"/>
    </row>
    <row r="49">
      <c r="B49" s="10"/>
      <c r="C49" s="14"/>
      <c r="D49" s="14"/>
      <c r="E49" s="10"/>
      <c r="F49" s="14"/>
      <c r="G49" s="14"/>
      <c r="H49" s="19" t="s">
        <v>1311</v>
      </c>
      <c r="I49" s="50" t="n"/>
      <c r="J49" s="50" t="n"/>
      <c r="K49" s="50" t="n"/>
    </row>
    <row r="50">
      <c r="B50" s="10"/>
      <c r="C50" s="14"/>
      <c r="D50" s="14"/>
      <c r="E50" s="10"/>
      <c r="F50" s="14"/>
      <c r="G50" s="14"/>
      <c r="H50" s="18" t="s">
        <v>1312</v>
      </c>
      <c r="I50" s="51" t="n"/>
      <c r="J50" s="51" t="n"/>
      <c r="K50" s="51" t="n"/>
    </row>
    <row r="51">
      <c r="B51" s="10"/>
      <c r="C51" s="14"/>
      <c r="D51" s="14"/>
      <c r="E51" s="10"/>
      <c r="F51" s="14"/>
      <c r="G51" s="14"/>
      <c r="H51" s="19" t="s">
        <v>1313</v>
      </c>
      <c r="I51" s="50" t="n"/>
      <c r="J51" s="50" t="n"/>
      <c r="K51" s="50" t="n"/>
    </row>
    <row r="52">
      <c r="B52" s="10"/>
      <c r="C52" s="14"/>
      <c r="D52" s="14"/>
      <c r="E52" s="10"/>
      <c r="F52" s="14"/>
      <c r="G52" s="15"/>
      <c r="H52" s="65" t="s">
        <v>1314</v>
      </c>
      <c r="I52" s="51" t="n">
        <f>SUM(I46:I51)</f>
      </c>
      <c r="J52" s="51" t="n">
        <f>SUM(J46:J51)</f>
      </c>
      <c r="K52" s="51" t="n">
        <f>SUM(K46:K51)</f>
      </c>
    </row>
    <row r="53">
      <c r="B53" s="10"/>
      <c r="C53" s="14"/>
      <c r="D53" s="14"/>
      <c r="E53" s="10"/>
      <c r="F53" s="14"/>
      <c r="G53" s="15" t="s">
        <v>1315</v>
      </c>
      <c r="H53" s="13"/>
      <c r="I53" s="50" t="n"/>
      <c r="J53" s="50" t="n"/>
      <c r="K53" s="50" t="n"/>
    </row>
    <row r="54">
      <c r="B54" s="10"/>
      <c r="C54" s="14"/>
      <c r="D54" s="14"/>
      <c r="E54" s="10"/>
      <c r="F54" s="15"/>
      <c r="G54" s="45" t="s">
        <v>1316</v>
      </c>
      <c r="H54" s="44"/>
      <c r="I54" s="51" t="n">
        <f>I44+I52+I53</f>
      </c>
      <c r="J54" s="51" t="n">
        <f>J44+J52+J53</f>
      </c>
      <c r="K54" s="51" t="n">
        <f>K44+K52+K53</f>
      </c>
    </row>
    <row r="55">
      <c r="B55" s="10"/>
      <c r="C55" s="14"/>
      <c r="D55" s="14"/>
      <c r="E55" s="10"/>
      <c r="F55" s="15" t="s">
        <v>1317</v>
      </c>
      <c r="G55" s="37"/>
      <c r="H55" s="13"/>
      <c r="I55" s="50" t="n"/>
      <c r="J55" s="50" t="n"/>
      <c r="K55" s="50" t="n"/>
    </row>
    <row r="56">
      <c r="B56" s="10"/>
      <c r="C56" s="14"/>
      <c r="D56" s="14"/>
      <c r="E56" s="10"/>
      <c r="F56" s="11" t="s">
        <v>1281</v>
      </c>
      <c r="G56" s="8"/>
      <c r="H56" s="9"/>
      <c r="I56" s="51" t="n"/>
      <c r="J56" s="51" t="n"/>
      <c r="K56" s="51" t="n"/>
    </row>
    <row r="57">
      <c r="B57" s="10"/>
      <c r="C57" s="14"/>
      <c r="D57" s="14"/>
      <c r="E57" s="10"/>
      <c r="F57" s="12" t="s">
        <v>1318</v>
      </c>
      <c r="G57" s="37"/>
      <c r="H57" s="13"/>
      <c r="I57" s="22"/>
      <c r="J57" s="22"/>
      <c r="K57" s="22"/>
    </row>
    <row r="58">
      <c r="B58" s="10"/>
      <c r="C58" s="14"/>
      <c r="D58" s="14"/>
      <c r="E58" s="10"/>
      <c r="F58" s="14"/>
      <c r="G58" s="11" t="s">
        <v>1319</v>
      </c>
      <c r="H58" s="9"/>
      <c r="I58" s="51" t="n"/>
      <c r="J58" s="51" t="n"/>
      <c r="K58" s="51" t="n"/>
    </row>
    <row r="59">
      <c r="B59" s="10"/>
      <c r="C59" s="14"/>
      <c r="D59" s="14"/>
      <c r="E59" s="10"/>
      <c r="F59" s="14"/>
      <c r="G59" s="15" t="s">
        <v>1320</v>
      </c>
      <c r="H59" s="13"/>
      <c r="I59" s="50" t="n"/>
      <c r="J59" s="50" t="n"/>
      <c r="K59" s="50" t="n"/>
    </row>
    <row r="60">
      <c r="B60" s="10"/>
      <c r="C60" s="14"/>
      <c r="D60" s="14"/>
      <c r="E60" s="10"/>
      <c r="F60" s="15"/>
      <c r="G60" s="45" t="s">
        <v>1321</v>
      </c>
      <c r="H60" s="44"/>
      <c r="I60" s="51" t="n">
        <f>I58+I59</f>
      </c>
      <c r="J60" s="51" t="n">
        <f>J58+J59</f>
      </c>
      <c r="K60" s="51" t="n">
        <f>K58+K59</f>
      </c>
    </row>
    <row r="61">
      <c r="B61" s="10"/>
      <c r="C61" s="14"/>
      <c r="D61" s="14"/>
      <c r="E61" s="11"/>
      <c r="F61" s="40" t="s">
        <v>1322</v>
      </c>
      <c r="G61" s="41"/>
      <c r="H61" s="39"/>
      <c r="I61" s="50" t="n">
        <f>SUM(I54:I56)+I60</f>
      </c>
      <c r="J61" s="50" t="n">
        <f>SUM(J54:J56)+J60</f>
      </c>
      <c r="K61" s="50" t="n">
        <f>SUM(K54:K56)+K60</f>
      </c>
    </row>
    <row r="62">
      <c r="B62" s="10"/>
      <c r="C62" s="14"/>
      <c r="D62" s="14"/>
      <c r="E62" s="7" t="s">
        <v>1323</v>
      </c>
      <c r="F62" s="8"/>
      <c r="G62" s="8"/>
      <c r="H62" s="9"/>
      <c r="I62" s="23"/>
      <c r="J62" s="23"/>
      <c r="K62" s="23"/>
    </row>
    <row r="63">
      <c r="B63" s="10"/>
      <c r="C63" s="14"/>
      <c r="D63" s="14"/>
      <c r="E63" s="10"/>
      <c r="F63" s="15" t="s">
        <v>1324</v>
      </c>
      <c r="G63" s="37"/>
      <c r="H63" s="13"/>
      <c r="I63" s="50" t="n"/>
      <c r="J63" s="50" t="n"/>
      <c r="K63" s="50" t="n"/>
    </row>
    <row r="64">
      <c r="B64" s="10"/>
      <c r="C64" s="14"/>
      <c r="D64" s="14"/>
      <c r="E64" s="10"/>
      <c r="F64" s="11" t="s">
        <v>1281</v>
      </c>
      <c r="G64" s="8"/>
      <c r="H64" s="9"/>
      <c r="I64" s="51" t="n"/>
      <c r="J64" s="51" t="n"/>
      <c r="K64" s="51" t="n"/>
    </row>
    <row r="65">
      <c r="B65" s="10"/>
      <c r="C65" s="14"/>
      <c r="D65" s="14"/>
      <c r="E65" s="10"/>
      <c r="F65" s="15" t="s">
        <v>1282</v>
      </c>
      <c r="G65" s="37"/>
      <c r="H65" s="13"/>
      <c r="I65" s="50" t="n"/>
      <c r="J65" s="50" t="n"/>
      <c r="K65" s="50" t="n"/>
    </row>
    <row r="66">
      <c r="B66" s="10"/>
      <c r="C66" s="14"/>
      <c r="D66" s="14"/>
      <c r="E66" s="11"/>
      <c r="F66" s="45" t="s">
        <v>1325</v>
      </c>
      <c r="G66" s="43"/>
      <c r="H66" s="44"/>
      <c r="I66" s="51" t="n">
        <f>SUM(I63:I65)</f>
      </c>
      <c r="J66" s="51" t="n">
        <f>SUM(J63:J65)</f>
      </c>
      <c r="K66" s="51" t="n">
        <f>SUM(K63:K65)</f>
      </c>
    </row>
    <row r="67">
      <c r="B67" s="10"/>
      <c r="C67" s="14"/>
      <c r="D67" s="15"/>
      <c r="E67" s="40" t="s">
        <v>1326</v>
      </c>
      <c r="F67" s="41"/>
      <c r="G67" s="41"/>
      <c r="H67" s="39"/>
      <c r="I67" s="50" t="n">
        <f>I61+I66</f>
      </c>
      <c r="J67" s="50" t="n">
        <f>J61+J66</f>
      </c>
      <c r="K67" s="50" t="n">
        <f>K61+K66</f>
      </c>
    </row>
    <row r="68">
      <c r="B68" s="10"/>
      <c r="C68" s="14"/>
      <c r="D68" s="7" t="s">
        <v>1327</v>
      </c>
      <c r="E68" s="8"/>
      <c r="F68" s="8"/>
      <c r="G68" s="8"/>
      <c r="H68" s="9"/>
      <c r="I68" s="23"/>
      <c r="J68" s="23"/>
      <c r="K68" s="23"/>
    </row>
    <row r="69">
      <c r="B69" s="10"/>
      <c r="C69" s="14"/>
      <c r="D69" s="10"/>
      <c r="E69" s="12" t="s">
        <v>1328</v>
      </c>
      <c r="F69" s="37"/>
      <c r="G69" s="37"/>
      <c r="H69" s="13"/>
      <c r="I69" s="22"/>
      <c r="J69" s="22"/>
      <c r="K69" s="22"/>
    </row>
    <row r="70">
      <c r="B70" s="10"/>
      <c r="C70" s="14"/>
      <c r="D70" s="10"/>
      <c r="E70" s="14"/>
      <c r="F70" s="11" t="s">
        <v>1329</v>
      </c>
      <c r="G70" s="8"/>
      <c r="H70" s="9"/>
      <c r="I70" s="51" t="n"/>
      <c r="J70" s="51" t="n"/>
      <c r="K70" s="51" t="n"/>
    </row>
    <row r="71">
      <c r="B71" s="10"/>
      <c r="C71" s="14"/>
      <c r="D71" s="10"/>
      <c r="E71" s="14"/>
      <c r="F71" s="15" t="s">
        <v>1330</v>
      </c>
      <c r="G71" s="37"/>
      <c r="H71" s="13"/>
      <c r="I71" s="50" t="n"/>
      <c r="J71" s="50" t="n"/>
      <c r="K71" s="50" t="n"/>
    </row>
    <row r="72">
      <c r="B72" s="10"/>
      <c r="C72" s="14"/>
      <c r="D72" s="10"/>
      <c r="E72" s="14"/>
      <c r="F72" s="11" t="s">
        <v>1331</v>
      </c>
      <c r="G72" s="8"/>
      <c r="H72" s="9"/>
      <c r="I72" s="51" t="n"/>
      <c r="J72" s="51" t="n"/>
      <c r="K72" s="51" t="n"/>
    </row>
    <row r="73">
      <c r="B73" s="10"/>
      <c r="C73" s="14"/>
      <c r="D73" s="10"/>
      <c r="E73" s="14"/>
      <c r="F73" s="15" t="s">
        <v>1332</v>
      </c>
      <c r="G73" s="37"/>
      <c r="H73" s="13"/>
      <c r="I73" s="50" t="n"/>
      <c r="J73" s="50" t="n"/>
      <c r="K73" s="50" t="n"/>
    </row>
    <row r="74">
      <c r="B74" s="10"/>
      <c r="C74" s="14"/>
      <c r="D74" s="10"/>
      <c r="E74" s="14"/>
      <c r="F74" s="11" t="s">
        <v>1333</v>
      </c>
      <c r="G74" s="8"/>
      <c r="H74" s="9"/>
      <c r="I74" s="51" t="n"/>
      <c r="J74" s="51" t="n"/>
      <c r="K74" s="51" t="n"/>
    </row>
    <row r="75">
      <c r="B75" s="10"/>
      <c r="C75" s="14"/>
      <c r="D75" s="10"/>
      <c r="E75" s="14"/>
      <c r="F75" s="15" t="s">
        <v>1334</v>
      </c>
      <c r="G75" s="37"/>
      <c r="H75" s="13"/>
      <c r="I75" s="50" t="n"/>
      <c r="J75" s="50" t="n"/>
      <c r="K75" s="50" t="n"/>
    </row>
    <row r="76">
      <c r="B76" s="10"/>
      <c r="C76" s="14"/>
      <c r="D76" s="10"/>
      <c r="E76" s="14"/>
      <c r="F76" s="11" t="s">
        <v>1335</v>
      </c>
      <c r="G76" s="8"/>
      <c r="H76" s="9"/>
      <c r="I76" s="51" t="n"/>
      <c r="J76" s="51" t="n"/>
      <c r="K76" s="51" t="n"/>
    </row>
    <row r="77">
      <c r="B77" s="10"/>
      <c r="C77" s="14"/>
      <c r="D77" s="10"/>
      <c r="E77" s="14"/>
      <c r="F77" s="15" t="s">
        <v>1336</v>
      </c>
      <c r="G77" s="37"/>
      <c r="H77" s="13"/>
      <c r="I77" s="50" t="n"/>
      <c r="J77" s="50" t="n"/>
      <c r="K77" s="50" t="n"/>
    </row>
    <row r="78">
      <c r="B78" s="10"/>
      <c r="C78" s="14"/>
      <c r="D78" s="10"/>
      <c r="E78" s="14"/>
      <c r="F78" s="11" t="s">
        <v>1337</v>
      </c>
      <c r="G78" s="8"/>
      <c r="H78" s="9"/>
      <c r="I78" s="51" t="n"/>
      <c r="J78" s="51" t="n"/>
      <c r="K78" s="51" t="n"/>
    </row>
    <row r="79">
      <c r="B79" s="10"/>
      <c r="C79" s="14"/>
      <c r="D79" s="10"/>
      <c r="E79" s="14"/>
      <c r="F79" s="15" t="s">
        <v>1338</v>
      </c>
      <c r="G79" s="37"/>
      <c r="H79" s="13"/>
      <c r="I79" s="50" t="n"/>
      <c r="J79" s="50" t="n"/>
      <c r="K79" s="50" t="n"/>
    </row>
    <row r="80">
      <c r="B80" s="10"/>
      <c r="C80" s="14"/>
      <c r="D80" s="10"/>
      <c r="E80" s="14"/>
      <c r="F80" s="11" t="s">
        <v>1339</v>
      </c>
      <c r="G80" s="8"/>
      <c r="H80" s="9"/>
      <c r="I80" s="51" t="n"/>
      <c r="J80" s="51" t="n"/>
      <c r="K80" s="51" t="n"/>
    </row>
    <row r="81">
      <c r="B81" s="10"/>
      <c r="C81" s="14"/>
      <c r="D81" s="10"/>
      <c r="E81" s="15"/>
      <c r="F81" s="40" t="s">
        <v>1340</v>
      </c>
      <c r="G81" s="41"/>
      <c r="H81" s="39"/>
      <c r="I81" s="50" t="n">
        <f>SUM(I70:I80)</f>
      </c>
      <c r="J81" s="50" t="n">
        <f>SUM(J70:J80)</f>
      </c>
      <c r="K81" s="50" t="n">
        <f>SUM(K70:K80)</f>
      </c>
    </row>
    <row r="82">
      <c r="B82" s="10"/>
      <c r="C82" s="14"/>
      <c r="D82" s="10"/>
      <c r="E82" s="7" t="s">
        <v>1341</v>
      </c>
      <c r="F82" s="8"/>
      <c r="G82" s="8"/>
      <c r="H82" s="9"/>
      <c r="I82" s="23"/>
      <c r="J82" s="23"/>
      <c r="K82" s="23"/>
    </row>
    <row r="83">
      <c r="B83" s="10"/>
      <c r="C83" s="14"/>
      <c r="D83" s="10"/>
      <c r="E83" s="10"/>
      <c r="F83" s="15" t="s">
        <v>1342</v>
      </c>
      <c r="G83" s="37"/>
      <c r="H83" s="13"/>
      <c r="I83" s="50" t="n"/>
      <c r="J83" s="50" t="n"/>
      <c r="K83" s="50" t="n"/>
    </row>
    <row r="84">
      <c r="B84" s="10"/>
      <c r="C84" s="14"/>
      <c r="D84" s="10"/>
      <c r="E84" s="10"/>
      <c r="F84" s="11" t="s">
        <v>1343</v>
      </c>
      <c r="G84" s="8"/>
      <c r="H84" s="9"/>
      <c r="I84" s="51" t="n"/>
      <c r="J84" s="51" t="n"/>
      <c r="K84" s="51" t="n"/>
    </row>
    <row r="85">
      <c r="B85" s="10"/>
      <c r="C85" s="14"/>
      <c r="D85" s="10"/>
      <c r="E85" s="10"/>
      <c r="F85" s="15" t="s">
        <v>1344</v>
      </c>
      <c r="G85" s="37"/>
      <c r="H85" s="13"/>
      <c r="I85" s="50" t="n"/>
      <c r="J85" s="50" t="n"/>
      <c r="K85" s="50" t="n"/>
    </row>
    <row r="86">
      <c r="B86" s="10"/>
      <c r="C86" s="14"/>
      <c r="D86" s="10"/>
      <c r="E86" s="10"/>
      <c r="F86" s="11" t="s">
        <v>1345</v>
      </c>
      <c r="G86" s="8"/>
      <c r="H86" s="9"/>
      <c r="I86" s="51" t="n"/>
      <c r="J86" s="51" t="n"/>
      <c r="K86" s="51" t="n"/>
    </row>
    <row r="87">
      <c r="B87" s="10"/>
      <c r="C87" s="14"/>
      <c r="D87" s="10"/>
      <c r="E87" s="10"/>
      <c r="F87" s="15" t="s">
        <v>1346</v>
      </c>
      <c r="G87" s="37"/>
      <c r="H87" s="13"/>
      <c r="I87" s="50" t="n"/>
      <c r="J87" s="50" t="n"/>
      <c r="K87" s="50" t="n"/>
    </row>
    <row r="88">
      <c r="B88" s="10"/>
      <c r="C88" s="14"/>
      <c r="D88" s="10"/>
      <c r="E88" s="10"/>
      <c r="F88" s="11" t="s">
        <v>1339</v>
      </c>
      <c r="G88" s="8"/>
      <c r="H88" s="9"/>
      <c r="I88" s="51" t="n"/>
      <c r="J88" s="51" t="n"/>
      <c r="K88" s="51" t="n"/>
    </row>
    <row r="89">
      <c r="B89" s="10"/>
      <c r="C89" s="14"/>
      <c r="D89" s="10"/>
      <c r="E89" s="11"/>
      <c r="F89" s="40" t="s">
        <v>1347</v>
      </c>
      <c r="G89" s="41"/>
      <c r="H89" s="39"/>
      <c r="I89" s="50" t="n">
        <f>SUM(I83:I88)</f>
      </c>
      <c r="J89" s="50" t="n">
        <f>SUM(J83:J88)</f>
      </c>
      <c r="K89" s="50" t="n">
        <f>SUM(K83:K88)</f>
      </c>
    </row>
    <row r="90">
      <c r="B90" s="10"/>
      <c r="C90" s="14"/>
      <c r="D90" s="10"/>
      <c r="E90" s="7" t="s">
        <v>1348</v>
      </c>
      <c r="F90" s="8"/>
      <c r="G90" s="8"/>
      <c r="H90" s="9"/>
      <c r="I90" s="23"/>
      <c r="J90" s="23"/>
      <c r="K90" s="23"/>
    </row>
    <row r="91">
      <c r="B91" s="10"/>
      <c r="C91" s="14"/>
      <c r="D91" s="10"/>
      <c r="E91" s="10"/>
      <c r="F91" s="15" t="s">
        <v>1349</v>
      </c>
      <c r="G91" s="37"/>
      <c r="H91" s="13"/>
      <c r="I91" s="50" t="n"/>
      <c r="J91" s="50" t="n"/>
      <c r="K91" s="50" t="n"/>
    </row>
    <row r="92">
      <c r="B92" s="10"/>
      <c r="C92" s="14"/>
      <c r="D92" s="10"/>
      <c r="E92" s="10"/>
      <c r="F92" s="11" t="s">
        <v>1350</v>
      </c>
      <c r="G92" s="8"/>
      <c r="H92" s="9"/>
      <c r="I92" s="51" t="n"/>
      <c r="J92" s="51" t="n"/>
      <c r="K92" s="51" t="n"/>
    </row>
    <row r="93">
      <c r="B93" s="10"/>
      <c r="C93" s="14"/>
      <c r="D93" s="10"/>
      <c r="E93" s="10"/>
      <c r="F93" s="15" t="s">
        <v>1351</v>
      </c>
      <c r="G93" s="37"/>
      <c r="H93" s="13"/>
      <c r="I93" s="50" t="n"/>
      <c r="J93" s="50" t="n"/>
      <c r="K93" s="50" t="n"/>
    </row>
    <row r="94">
      <c r="B94" s="10"/>
      <c r="C94" s="14"/>
      <c r="D94" s="10"/>
      <c r="E94" s="11"/>
      <c r="F94" s="45" t="s">
        <v>1352</v>
      </c>
      <c r="G94" s="43"/>
      <c r="H94" s="44"/>
      <c r="I94" s="51" t="n">
        <f>SUM(I91:I93)</f>
      </c>
      <c r="J94" s="51" t="n">
        <f>SUM(J91:J93)</f>
      </c>
      <c r="K94" s="51" t="n">
        <f>SUM(K91:K93)</f>
      </c>
    </row>
    <row r="95">
      <c r="B95" s="10"/>
      <c r="C95" s="14"/>
      <c r="D95" s="10"/>
      <c r="E95" s="12" t="s">
        <v>1318</v>
      </c>
      <c r="F95" s="37"/>
      <c r="G95" s="37"/>
      <c r="H95" s="13"/>
      <c r="I95" s="22"/>
      <c r="J95" s="22"/>
      <c r="K95" s="22"/>
    </row>
    <row r="96">
      <c r="B96" s="10"/>
      <c r="C96" s="14"/>
      <c r="D96" s="10"/>
      <c r="E96" s="14"/>
      <c r="F96" s="11" t="s">
        <v>1353</v>
      </c>
      <c r="G96" s="8"/>
      <c r="H96" s="9"/>
      <c r="I96" s="51" t="n"/>
      <c r="J96" s="51" t="n"/>
      <c r="K96" s="51" t="n"/>
    </row>
    <row r="97">
      <c r="B97" s="10"/>
      <c r="C97" s="14"/>
      <c r="D97" s="10"/>
      <c r="E97" s="14"/>
      <c r="F97" s="15" t="s">
        <v>1354</v>
      </c>
      <c r="G97" s="37"/>
      <c r="H97" s="13"/>
      <c r="I97" s="50" t="n"/>
      <c r="J97" s="50" t="n"/>
      <c r="K97" s="50" t="n"/>
    </row>
    <row r="98">
      <c r="B98" s="10"/>
      <c r="C98" s="14"/>
      <c r="D98" s="10"/>
      <c r="E98" s="14"/>
      <c r="F98" s="11" t="s">
        <v>1330</v>
      </c>
      <c r="G98" s="8"/>
      <c r="H98" s="9"/>
      <c r="I98" s="51" t="n"/>
      <c r="J98" s="51" t="n"/>
      <c r="K98" s="51" t="n"/>
    </row>
    <row r="99">
      <c r="B99" s="10"/>
      <c r="C99" s="14"/>
      <c r="D99" s="10"/>
      <c r="E99" s="14"/>
      <c r="F99" s="15" t="s">
        <v>1336</v>
      </c>
      <c r="G99" s="37"/>
      <c r="H99" s="13"/>
      <c r="I99" s="50" t="n"/>
      <c r="J99" s="50" t="n"/>
      <c r="K99" s="50" t="n"/>
    </row>
    <row r="100">
      <c r="B100" s="10"/>
      <c r="C100" s="14"/>
      <c r="D100" s="10"/>
      <c r="E100" s="14"/>
      <c r="F100" s="11" t="s">
        <v>1343</v>
      </c>
      <c r="G100" s="8"/>
      <c r="H100" s="9"/>
      <c r="I100" s="51" t="n"/>
      <c r="J100" s="51" t="n"/>
      <c r="K100" s="51" t="n"/>
    </row>
    <row r="101">
      <c r="B101" s="10"/>
      <c r="C101" s="14"/>
      <c r="D101" s="10"/>
      <c r="E101" s="14"/>
      <c r="F101" s="15" t="s">
        <v>1335</v>
      </c>
      <c r="G101" s="37"/>
      <c r="H101" s="13"/>
      <c r="I101" s="50" t="n"/>
      <c r="J101" s="50" t="n"/>
      <c r="K101" s="50" t="n"/>
    </row>
    <row r="102">
      <c r="B102" s="10"/>
      <c r="C102" s="14"/>
      <c r="D102" s="10"/>
      <c r="E102" s="14"/>
      <c r="F102" s="11" t="s">
        <v>1344</v>
      </c>
      <c r="G102" s="8"/>
      <c r="H102" s="9"/>
      <c r="I102" s="51" t="n"/>
      <c r="J102" s="51" t="n"/>
      <c r="K102" s="51" t="n"/>
    </row>
    <row r="103">
      <c r="B103" s="10"/>
      <c r="C103" s="14"/>
      <c r="D103" s="10"/>
      <c r="E103" s="14"/>
      <c r="F103" s="15" t="s">
        <v>1337</v>
      </c>
      <c r="G103" s="37"/>
      <c r="H103" s="13"/>
      <c r="I103" s="50" t="n"/>
      <c r="J103" s="50" t="n"/>
      <c r="K103" s="50" t="n"/>
    </row>
    <row r="104">
      <c r="B104" s="10"/>
      <c r="C104" s="14"/>
      <c r="D104" s="10"/>
      <c r="E104" s="14"/>
      <c r="F104" s="11" t="s">
        <v>1339</v>
      </c>
      <c r="G104" s="8"/>
      <c r="H104" s="9"/>
      <c r="I104" s="51" t="n"/>
      <c r="J104" s="51" t="n"/>
      <c r="K104" s="51" t="n"/>
    </row>
    <row r="105">
      <c r="B105" s="10"/>
      <c r="C105" s="14"/>
      <c r="D105" s="10"/>
      <c r="E105" s="15"/>
      <c r="F105" s="40" t="s">
        <v>1321</v>
      </c>
      <c r="G105" s="41"/>
      <c r="H105" s="39"/>
      <c r="I105" s="50" t="n">
        <f>SUM(I96:I104)</f>
      </c>
      <c r="J105" s="50" t="n">
        <f>SUM(J96:J104)</f>
      </c>
      <c r="K105" s="50" t="n">
        <f>SUM(K96:K104)</f>
      </c>
    </row>
    <row r="106">
      <c r="B106" s="10"/>
      <c r="C106" s="14"/>
      <c r="D106" s="10"/>
      <c r="E106" s="7" t="s">
        <v>1355</v>
      </c>
      <c r="F106" s="8"/>
      <c r="G106" s="8"/>
      <c r="H106" s="9"/>
      <c r="I106" s="23"/>
      <c r="J106" s="23"/>
      <c r="K106" s="23"/>
    </row>
    <row r="107">
      <c r="B107" s="10"/>
      <c r="C107" s="14"/>
      <c r="D107" s="10"/>
      <c r="E107" s="10"/>
      <c r="F107" s="15" t="s">
        <v>1356</v>
      </c>
      <c r="G107" s="37"/>
      <c r="H107" s="13"/>
      <c r="I107" s="50" t="n"/>
      <c r="J107" s="50" t="n"/>
      <c r="K107" s="50" t="n"/>
    </row>
    <row r="108">
      <c r="B108" s="10"/>
      <c r="C108" s="14"/>
      <c r="D108" s="10"/>
      <c r="E108" s="10"/>
      <c r="F108" s="11" t="s">
        <v>1339</v>
      </c>
      <c r="G108" s="8"/>
      <c r="H108" s="9"/>
      <c r="I108" s="51" t="n"/>
      <c r="J108" s="51" t="n"/>
      <c r="K108" s="51" t="n"/>
    </row>
    <row r="109">
      <c r="B109" s="10"/>
      <c r="C109" s="14"/>
      <c r="D109" s="10"/>
      <c r="E109" s="11"/>
      <c r="F109" s="40" t="s">
        <v>1357</v>
      </c>
      <c r="G109" s="41"/>
      <c r="H109" s="39"/>
      <c r="I109" s="50" t="n">
        <f>I107+I108</f>
      </c>
      <c r="J109" s="50" t="n">
        <f>J107+J108</f>
      </c>
      <c r="K109" s="50" t="n">
        <f>K107+K108</f>
      </c>
    </row>
    <row r="110">
      <c r="B110" s="10"/>
      <c r="C110" s="14"/>
      <c r="D110" s="10"/>
      <c r="E110" s="7" t="s">
        <v>1358</v>
      </c>
      <c r="F110" s="8"/>
      <c r="G110" s="8"/>
      <c r="H110" s="9"/>
      <c r="I110" s="23"/>
      <c r="J110" s="23"/>
      <c r="K110" s="23"/>
    </row>
    <row r="111">
      <c r="B111" s="10"/>
      <c r="C111" s="14"/>
      <c r="D111" s="10"/>
      <c r="E111" s="10"/>
      <c r="F111" s="15" t="s">
        <v>1359</v>
      </c>
      <c r="G111" s="37"/>
      <c r="H111" s="13"/>
      <c r="I111" s="50" t="n"/>
      <c r="J111" s="50" t="n"/>
      <c r="K111" s="50" t="n"/>
    </row>
    <row r="112">
      <c r="B112" s="10"/>
      <c r="C112" s="14"/>
      <c r="D112" s="10"/>
      <c r="E112" s="10"/>
      <c r="F112" s="11" t="s">
        <v>1360</v>
      </c>
      <c r="G112" s="8"/>
      <c r="H112" s="9"/>
      <c r="I112" s="51" t="n"/>
      <c r="J112" s="51" t="n"/>
      <c r="K112" s="51" t="n"/>
    </row>
    <row r="113">
      <c r="B113" s="10"/>
      <c r="C113" s="14"/>
      <c r="D113" s="10"/>
      <c r="E113" s="11"/>
      <c r="F113" s="40" t="s">
        <v>1361</v>
      </c>
      <c r="G113" s="41"/>
      <c r="H113" s="39"/>
      <c r="I113" s="50" t="n">
        <f>I111+I112</f>
      </c>
      <c r="J113" s="50" t="n">
        <f>J111+J112</f>
      </c>
      <c r="K113" s="50" t="n">
        <f>K111+K112</f>
      </c>
    </row>
    <row r="114">
      <c r="B114" s="10"/>
      <c r="C114" s="14"/>
      <c r="D114" s="11"/>
      <c r="E114" s="45" t="s">
        <v>1362</v>
      </c>
      <c r="F114" s="43"/>
      <c r="G114" s="43"/>
      <c r="H114" s="44"/>
      <c r="I114" s="51" t="n">
        <f>I81+I94+I105+I89+I113+I109</f>
      </c>
      <c r="J114" s="51" t="n">
        <f>J81+J94+J105+J89+J113+J109</f>
      </c>
      <c r="K114" s="51" t="n">
        <f>K81+K94+K105+K89+K113+K109</f>
      </c>
    </row>
    <row r="115">
      <c r="B115" s="10"/>
      <c r="C115" s="14"/>
      <c r="D115" s="12" t="s">
        <v>1363</v>
      </c>
      <c r="E115" s="37"/>
      <c r="F115" s="37"/>
      <c r="G115" s="37"/>
      <c r="H115" s="13"/>
      <c r="I115" s="22"/>
      <c r="J115" s="22"/>
      <c r="K115" s="22"/>
    </row>
    <row r="116">
      <c r="B116" s="10"/>
      <c r="C116" s="14"/>
      <c r="D116" s="14"/>
      <c r="E116" s="7" t="s">
        <v>1364</v>
      </c>
      <c r="F116" s="8"/>
      <c r="G116" s="8"/>
      <c r="H116" s="9"/>
      <c r="I116" s="23"/>
      <c r="J116" s="23"/>
      <c r="K116" s="23"/>
    </row>
    <row r="117">
      <c r="B117" s="10"/>
      <c r="C117" s="14"/>
      <c r="D117" s="14"/>
      <c r="E117" s="10"/>
      <c r="F117" s="15" t="s">
        <v>1365</v>
      </c>
      <c r="G117" s="37"/>
      <c r="H117" s="13"/>
      <c r="I117" s="50" t="n"/>
      <c r="J117" s="50" t="n"/>
      <c r="K117" s="50" t="n"/>
    </row>
    <row r="118">
      <c r="B118" s="10"/>
      <c r="C118" s="14"/>
      <c r="D118" s="14"/>
      <c r="E118" s="10"/>
      <c r="F118" s="11" t="s">
        <v>1366</v>
      </c>
      <c r="G118" s="8"/>
      <c r="H118" s="9"/>
      <c r="I118" s="51" t="n"/>
      <c r="J118" s="51" t="n"/>
      <c r="K118" s="51" t="n"/>
    </row>
    <row r="119">
      <c r="B119" s="10"/>
      <c r="C119" s="14"/>
      <c r="D119" s="14"/>
      <c r="E119" s="11"/>
      <c r="F119" s="40" t="s">
        <v>1367</v>
      </c>
      <c r="G119" s="41"/>
      <c r="H119" s="39"/>
      <c r="I119" s="50" t="n">
        <f>I117+I118</f>
      </c>
      <c r="J119" s="50" t="n">
        <f>J117+J118</f>
      </c>
      <c r="K119" s="50" t="n">
        <f>K117+K118</f>
      </c>
    </row>
    <row r="120">
      <c r="B120" s="10"/>
      <c r="C120" s="14"/>
      <c r="D120" s="14"/>
      <c r="E120" s="11" t="s">
        <v>1281</v>
      </c>
      <c r="F120" s="8"/>
      <c r="G120" s="8"/>
      <c r="H120" s="9"/>
      <c r="I120" s="51" t="n"/>
      <c r="J120" s="51" t="n"/>
      <c r="K120" s="51" t="n"/>
    </row>
    <row r="121">
      <c r="B121" s="10"/>
      <c r="C121" s="14"/>
      <c r="D121" s="14"/>
      <c r="E121" s="15" t="s">
        <v>1368</v>
      </c>
      <c r="F121" s="37"/>
      <c r="G121" s="37"/>
      <c r="H121" s="13"/>
      <c r="I121" s="50" t="n"/>
      <c r="J121" s="50" t="n"/>
      <c r="K121" s="50" t="n"/>
    </row>
    <row r="122">
      <c r="B122" s="10"/>
      <c r="C122" s="14"/>
      <c r="D122" s="14"/>
      <c r="E122" s="7" t="s">
        <v>1341</v>
      </c>
      <c r="F122" s="8"/>
      <c r="G122" s="8"/>
      <c r="H122" s="9"/>
      <c r="I122" s="23"/>
      <c r="J122" s="23"/>
      <c r="K122" s="23"/>
    </row>
    <row r="123">
      <c r="B123" s="10"/>
      <c r="C123" s="14"/>
      <c r="D123" s="14"/>
      <c r="E123" s="10"/>
      <c r="F123" s="15" t="s">
        <v>1369</v>
      </c>
      <c r="G123" s="37"/>
      <c r="H123" s="13"/>
      <c r="I123" s="50" t="n"/>
      <c r="J123" s="50" t="n"/>
      <c r="K123" s="50" t="n"/>
    </row>
    <row r="124">
      <c r="B124" s="10"/>
      <c r="C124" s="14"/>
      <c r="D124" s="14"/>
      <c r="E124" s="10"/>
      <c r="F124" s="11" t="s">
        <v>1370</v>
      </c>
      <c r="G124" s="8"/>
      <c r="H124" s="9"/>
      <c r="I124" s="51" t="n"/>
      <c r="J124" s="51" t="n"/>
      <c r="K124" s="51" t="n"/>
    </row>
    <row r="125">
      <c r="B125" s="10"/>
      <c r="C125" s="14"/>
      <c r="D125" s="14"/>
      <c r="E125" s="10"/>
      <c r="F125" s="15" t="s">
        <v>1371</v>
      </c>
      <c r="G125" s="37"/>
      <c r="H125" s="13"/>
      <c r="I125" s="50" t="n"/>
      <c r="J125" s="50" t="n"/>
      <c r="K125" s="50" t="n"/>
    </row>
    <row r="126">
      <c r="B126" s="10"/>
      <c r="C126" s="14"/>
      <c r="D126" s="14"/>
      <c r="E126" s="11"/>
      <c r="F126" s="45" t="s">
        <v>1347</v>
      </c>
      <c r="G126" s="43"/>
      <c r="H126" s="44"/>
      <c r="I126" s="51" t="n">
        <f>SUM(I123:I125)</f>
      </c>
      <c r="J126" s="51" t="n">
        <f>SUM(J123:J125)</f>
      </c>
      <c r="K126" s="51" t="n">
        <f>SUM(K123:K125)</f>
      </c>
    </row>
    <row r="127">
      <c r="B127" s="10"/>
      <c r="C127" s="14"/>
      <c r="D127" s="15"/>
      <c r="E127" s="40" t="s">
        <v>1372</v>
      </c>
      <c r="F127" s="41"/>
      <c r="G127" s="41"/>
      <c r="H127" s="39"/>
      <c r="I127" s="50" t="n">
        <f>SUM(I119:I121)+I126</f>
      </c>
      <c r="J127" s="50" t="n">
        <f>SUM(J119:J121)+J126</f>
      </c>
      <c r="K127" s="50" t="n">
        <f>SUM(K119:K121)+K126</f>
      </c>
    </row>
    <row r="128">
      <c r="B128" s="10"/>
      <c r="C128" s="14"/>
      <c r="D128" s="45" t="s">
        <v>1373</v>
      </c>
      <c r="E128" s="43"/>
      <c r="F128" s="43"/>
      <c r="G128" s="43"/>
      <c r="H128" s="44"/>
      <c r="I128" s="51" t="n">
        <f>I67+I114+I127+I40+I18+I23</f>
      </c>
      <c r="J128" s="51" t="n">
        <f>J67+J114+J127+J40+J18+J23</f>
      </c>
      <c r="K128" s="51" t="n">
        <f>K67+K114+K127+K40+K18+K23</f>
      </c>
    </row>
    <row r="129">
      <c r="B129" s="10"/>
      <c r="C129" s="14"/>
      <c r="D129" s="15" t="s">
        <v>1374</v>
      </c>
      <c r="E129" s="37"/>
      <c r="F129" s="37"/>
      <c r="G129" s="37"/>
      <c r="H129" s="13"/>
      <c r="I129" s="50" t="n"/>
      <c r="J129" s="50" t="n"/>
      <c r="K129" s="50" t="n"/>
    </row>
    <row r="130">
      <c r="B130" s="10"/>
      <c r="C130" s="14"/>
      <c r="D130" s="11" t="s">
        <v>1375</v>
      </c>
      <c r="E130" s="8"/>
      <c r="F130" s="8"/>
      <c r="G130" s="8"/>
      <c r="H130" s="9"/>
      <c r="I130" s="51" t="n"/>
      <c r="J130" s="51" t="n"/>
      <c r="K130" s="51" t="n"/>
    </row>
    <row r="131">
      <c r="B131" s="11"/>
      <c r="C131" s="15"/>
      <c r="D131" s="40" t="s">
        <v>1376</v>
      </c>
      <c r="E131" s="41"/>
      <c r="F131" s="41"/>
      <c r="G131" s="41"/>
      <c r="H131" s="39"/>
      <c r="I131" s="53" t="n">
        <f>SUM(I128:I130)</f>
      </c>
      <c r="J131" s="53" t="n">
        <f>SUM(J128:J130)</f>
      </c>
      <c r="K131" s="53" t="n">
        <f>SUM(K128:K130)</f>
      </c>
    </row>
  </sheetData>
  <mergeCells>
    <mergeCell ref="I10:K10"/>
    <mergeCell ref="B12:H12"/>
    <mergeCell ref="C13:H13"/>
    <mergeCell ref="D14:H14"/>
    <mergeCell ref="E15:H15"/>
    <mergeCell ref="E16:H16"/>
    <mergeCell ref="E17:H17"/>
    <mergeCell ref="E18:H18"/>
    <mergeCell ref="D19:H19"/>
    <mergeCell ref="E20:H20"/>
    <mergeCell ref="E21:H21"/>
    <mergeCell ref="E22:H22"/>
    <mergeCell ref="E23:H23"/>
    <mergeCell ref="D24:H24"/>
    <mergeCell ref="E25:H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D41:H41"/>
    <mergeCell ref="E42:H42"/>
    <mergeCell ref="F43:H43"/>
    <mergeCell ref="G44:H44"/>
    <mergeCell ref="G45:H45"/>
    <mergeCell ref="G53:H53"/>
    <mergeCell ref="G54:H54"/>
    <mergeCell ref="F55:H55"/>
    <mergeCell ref="F56:H56"/>
    <mergeCell ref="F57:H57"/>
    <mergeCell ref="G58:H58"/>
    <mergeCell ref="G59:H59"/>
    <mergeCell ref="G60:H60"/>
    <mergeCell ref="F61:H61"/>
    <mergeCell ref="E62:H62"/>
    <mergeCell ref="F63:H63"/>
    <mergeCell ref="F64:H64"/>
    <mergeCell ref="F65:H65"/>
    <mergeCell ref="F66:H66"/>
    <mergeCell ref="E67:H67"/>
    <mergeCell ref="D68:H68"/>
    <mergeCell ref="E69:H69"/>
    <mergeCell ref="F70:H70"/>
    <mergeCell ref="F71:H71"/>
    <mergeCell ref="F72:H72"/>
    <mergeCell ref="F73:H73"/>
    <mergeCell ref="F74:H74"/>
    <mergeCell ref="F75:H75"/>
    <mergeCell ref="F76:H76"/>
    <mergeCell ref="F77:H77"/>
    <mergeCell ref="F78:H78"/>
    <mergeCell ref="F79:H79"/>
    <mergeCell ref="F80:H80"/>
    <mergeCell ref="F81:H81"/>
    <mergeCell ref="E82:H82"/>
    <mergeCell ref="F83:H83"/>
    <mergeCell ref="F84:H84"/>
    <mergeCell ref="F85:H85"/>
    <mergeCell ref="F86:H86"/>
    <mergeCell ref="F87:H87"/>
    <mergeCell ref="F88:H88"/>
    <mergeCell ref="F89:H89"/>
    <mergeCell ref="E90:H90"/>
    <mergeCell ref="F91:H91"/>
    <mergeCell ref="F92:H92"/>
    <mergeCell ref="F93:H93"/>
    <mergeCell ref="F94:H94"/>
    <mergeCell ref="E95:H95"/>
    <mergeCell ref="F96:H96"/>
    <mergeCell ref="F97:H97"/>
    <mergeCell ref="F98:H98"/>
    <mergeCell ref="F99:H99"/>
    <mergeCell ref="F100:H100"/>
    <mergeCell ref="F101:H101"/>
    <mergeCell ref="F102:H102"/>
    <mergeCell ref="F103:H103"/>
    <mergeCell ref="F104:H104"/>
    <mergeCell ref="F105:H105"/>
    <mergeCell ref="E106:H106"/>
    <mergeCell ref="F107:H107"/>
    <mergeCell ref="F108:H108"/>
    <mergeCell ref="F109:H109"/>
    <mergeCell ref="E110:H110"/>
    <mergeCell ref="F111:H111"/>
    <mergeCell ref="F112:H112"/>
    <mergeCell ref="F113:H113"/>
    <mergeCell ref="E114:H114"/>
    <mergeCell ref="D115:H115"/>
    <mergeCell ref="E116:H116"/>
    <mergeCell ref="F117:H117"/>
    <mergeCell ref="F118:H118"/>
    <mergeCell ref="F119:H119"/>
    <mergeCell ref="E120:H120"/>
    <mergeCell ref="E121:H121"/>
    <mergeCell ref="E122:H122"/>
    <mergeCell ref="F123:H123"/>
    <mergeCell ref="F124:H124"/>
    <mergeCell ref="F125:H125"/>
    <mergeCell ref="F126:H126"/>
    <mergeCell ref="E127:H127"/>
    <mergeCell ref="D128:H128"/>
    <mergeCell ref="D129:H129"/>
    <mergeCell ref="D130:H130"/>
    <mergeCell ref="D131:H131"/>
  </mergeCells>
  <hyperlinks>
    <hyperlink location="'Indice'!A1" ref="B2"/>
  </hyperlinks>
  <pageMargins bottom="0.75" footer="0.3" header="0.3" left="0.7" right="0.7" top="0.75"/>
</worksheet>
</file>

<file path=xl/worksheets/sheet48.xml><?xml version="1.0" encoding="utf-8"?>
<worksheet xmlns="http://schemas.openxmlformats.org/spreadsheetml/2006/main">
  <dimension ref="B2:T48"/>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1377</v>
      </c>
    </row>
    <row r="6">
      <c r="B6" t="s" s="1">
        <v>8</v>
      </c>
      <c r="C6" t="s">
        <v>9</v>
      </c>
    </row>
    <row r="7">
      <c r="B7" t="s" s="1">
        <v>10</v>
      </c>
      <c r="C7" t="s">
        <v>9</v>
      </c>
    </row>
    <row r="8">
      <c r="B8" t="s" s="1">
        <v>11</v>
      </c>
      <c r="C8" t="s">
        <v>12</v>
      </c>
    </row>
    <row r="10">
      <c r="G10" t="s" s="4">
        <v>1378</v>
      </c>
      <c r="H10" s="29"/>
      <c r="I10" s="29"/>
      <c r="J10" s="29"/>
      <c r="K10" s="29"/>
      <c r="L10" s="29"/>
      <c r="M10" s="29"/>
      <c r="N10" s="29"/>
      <c r="O10" s="29"/>
      <c r="P10" s="29"/>
      <c r="Q10" s="29"/>
      <c r="R10" s="29"/>
      <c r="S10" s="30"/>
    </row>
    <row r="11">
      <c r="G11" t="s" s="32">
        <v>1379</v>
      </c>
      <c r="H11" s="61"/>
      <c r="I11" s="62"/>
      <c r="J11" t="s" s="4">
        <v>35</v>
      </c>
      <c r="K11" s="29"/>
      <c r="L11" s="29"/>
      <c r="M11" s="29"/>
      <c r="N11" s="29"/>
      <c r="O11" s="29"/>
      <c r="P11" s="29"/>
      <c r="Q11" s="29"/>
      <c r="R11" s="29"/>
      <c r="S11" s="30"/>
    </row>
    <row r="12">
      <c r="G12" t="s" s="6">
        <v>1380</v>
      </c>
      <c r="H12" t="s" s="34">
        <v>1381</v>
      </c>
      <c r="I12" s="63"/>
      <c r="J12" t="s" s="34">
        <v>1382</v>
      </c>
      <c r="K12" t="s" s="6">
        <v>1383</v>
      </c>
      <c r="L12" t="s" s="34">
        <v>1384</v>
      </c>
      <c r="M12" t="s" s="6">
        <v>1385</v>
      </c>
      <c r="N12" t="s" s="34">
        <v>1386</v>
      </c>
      <c r="O12" t="s" s="6">
        <v>1387</v>
      </c>
      <c r="P12" t="s" s="34">
        <v>1388</v>
      </c>
      <c r="Q12" t="s" s="6">
        <v>1389</v>
      </c>
      <c r="R12" t="s" s="34">
        <v>1390</v>
      </c>
      <c r="S12" s="36"/>
    </row>
    <row r="13" ht="28.0" customHeight="true">
      <c r="B13" s="7" t="s">
        <v>1391</v>
      </c>
      <c r="C13" s="8"/>
      <c r="D13" s="8"/>
      <c r="E13" s="8"/>
      <c r="F13" s="9"/>
      <c r="G13" s="22"/>
      <c r="H13" s="22"/>
      <c r="I13" s="22"/>
      <c r="J13" s="22"/>
      <c r="K13" s="22"/>
      <c r="L13" s="22"/>
      <c r="M13" s="22"/>
      <c r="N13" s="22"/>
      <c r="O13" s="22"/>
      <c r="P13" s="22"/>
      <c r="Q13" s="22"/>
      <c r="R13" s="22"/>
      <c r="S13" s="22"/>
    </row>
    <row r="14">
      <c r="B14" s="10"/>
      <c r="C14" s="12" t="s">
        <v>1392</v>
      </c>
      <c r="D14" s="37"/>
      <c r="E14" s="37"/>
      <c r="F14" s="13"/>
      <c r="G14" s="23"/>
      <c r="H14" s="23"/>
      <c r="I14" s="23"/>
      <c r="J14" s="23"/>
      <c r="K14" s="23"/>
      <c r="L14" s="23"/>
      <c r="M14" s="23"/>
      <c r="N14" s="23"/>
      <c r="O14" s="23"/>
      <c r="P14" s="23"/>
      <c r="Q14" s="23"/>
      <c r="R14" s="23"/>
      <c r="S14" s="23"/>
    </row>
    <row r="15">
      <c r="B15" s="10"/>
      <c r="C15" s="14"/>
      <c r="D15" s="7" t="s">
        <v>1393</v>
      </c>
      <c r="E15" s="8"/>
      <c r="F15" s="9"/>
      <c r="G15" s="22"/>
      <c r="H15" s="22"/>
      <c r="I15" s="22"/>
      <c r="J15" s="22"/>
      <c r="K15" s="22"/>
      <c r="L15" s="22"/>
      <c r="M15" s="22"/>
      <c r="N15" s="22"/>
      <c r="O15" s="22"/>
      <c r="P15" s="22"/>
      <c r="Q15" s="22"/>
      <c r="R15" s="22"/>
      <c r="S15" s="22"/>
    </row>
    <row r="16">
      <c r="B16" s="10"/>
      <c r="C16" s="14"/>
      <c r="D16" s="10"/>
      <c r="E16" s="15" t="s">
        <v>1281</v>
      </c>
      <c r="F16" s="13"/>
      <c r="G16" s="51" t="n"/>
      <c r="H16" s="51" t="n"/>
      <c r="I16" s="51" t="n"/>
      <c r="J16" s="51" t="n"/>
      <c r="K16" s="51" t="n"/>
      <c r="L16" s="51" t="n"/>
      <c r="M16" s="51" t="n"/>
      <c r="N16" s="51" t="n"/>
      <c r="O16" s="51" t="n"/>
      <c r="P16" s="51" t="n"/>
      <c r="Q16" s="51" t="n"/>
      <c r="R16" s="51" t="n"/>
      <c r="S16" s="51" t="n"/>
    </row>
    <row r="17">
      <c r="B17" s="10"/>
      <c r="C17" s="14"/>
      <c r="D17" s="10"/>
      <c r="E17" s="11" t="s">
        <v>1394</v>
      </c>
      <c r="F17" s="9"/>
      <c r="G17" s="50" t="n"/>
      <c r="H17" s="50" t="n"/>
      <c r="I17" s="50" t="n"/>
      <c r="J17" s="50" t="n"/>
      <c r="K17" s="50" t="n"/>
      <c r="L17" s="50" t="n"/>
      <c r="M17" s="50" t="n"/>
      <c r="N17" s="50" t="n"/>
      <c r="O17" s="50" t="n"/>
      <c r="P17" s="50" t="n"/>
      <c r="Q17" s="50" t="n"/>
      <c r="R17" s="50" t="n"/>
      <c r="S17" s="50" t="n"/>
    </row>
    <row r="18">
      <c r="B18" s="10"/>
      <c r="C18" s="14"/>
      <c r="D18" s="10"/>
      <c r="E18" s="12" t="s">
        <v>1318</v>
      </c>
      <c r="F18" s="13"/>
      <c r="G18" s="23"/>
      <c r="H18" s="23"/>
      <c r="I18" s="23"/>
      <c r="J18" s="23"/>
      <c r="K18" s="23"/>
      <c r="L18" s="23"/>
      <c r="M18" s="23"/>
      <c r="N18" s="23"/>
      <c r="O18" s="23"/>
      <c r="P18" s="23"/>
      <c r="Q18" s="23"/>
      <c r="R18" s="23"/>
      <c r="S18" s="23"/>
    </row>
    <row r="19">
      <c r="B19" s="10"/>
      <c r="C19" s="14"/>
      <c r="D19" s="10"/>
      <c r="E19" s="14"/>
      <c r="F19" s="18" t="s">
        <v>1395</v>
      </c>
      <c r="G19" s="50" t="n"/>
      <c r="H19" s="50" t="n"/>
      <c r="I19" s="50" t="n"/>
      <c r="J19" s="50" t="n"/>
      <c r="K19" s="50" t="n"/>
      <c r="L19" s="50" t="n"/>
      <c r="M19" s="50" t="n"/>
      <c r="N19" s="50" t="n"/>
      <c r="O19" s="50" t="n"/>
      <c r="P19" s="50" t="n"/>
      <c r="Q19" s="50" t="n"/>
      <c r="R19" s="50" t="n"/>
      <c r="S19" s="50" t="n"/>
    </row>
    <row r="20">
      <c r="B20" s="10"/>
      <c r="C20" s="14"/>
      <c r="D20" s="10"/>
      <c r="E20" s="14"/>
      <c r="F20" s="19" t="s">
        <v>1396</v>
      </c>
      <c r="G20" s="51" t="n"/>
      <c r="H20" s="51" t="n"/>
      <c r="I20" s="51" t="n"/>
      <c r="J20" s="51" t="n"/>
      <c r="K20" s="51" t="n"/>
      <c r="L20" s="51" t="n"/>
      <c r="M20" s="51" t="n"/>
      <c r="N20" s="51" t="n"/>
      <c r="O20" s="51" t="n"/>
      <c r="P20" s="51" t="n"/>
      <c r="Q20" s="51" t="n"/>
      <c r="R20" s="51" t="n"/>
      <c r="S20" s="51" t="n"/>
    </row>
    <row r="21">
      <c r="B21" s="10"/>
      <c r="C21" s="14"/>
      <c r="D21" s="10"/>
      <c r="E21" s="14"/>
      <c r="F21" s="18" t="s">
        <v>1397</v>
      </c>
      <c r="G21" s="50" t="n"/>
      <c r="H21" s="50" t="n"/>
      <c r="I21" s="50" t="n"/>
      <c r="J21" s="50" t="n"/>
      <c r="K21" s="50" t="n"/>
      <c r="L21" s="50" t="n"/>
      <c r="M21" s="50" t="n"/>
      <c r="N21" s="50" t="n"/>
      <c r="O21" s="50" t="n"/>
      <c r="P21" s="50" t="n"/>
      <c r="Q21" s="50" t="n"/>
      <c r="R21" s="50" t="n"/>
      <c r="S21" s="50" t="n"/>
    </row>
    <row r="22">
      <c r="B22" s="10"/>
      <c r="C22" s="14"/>
      <c r="D22" s="10"/>
      <c r="E22" s="14"/>
      <c r="F22" s="19" t="s">
        <v>1398</v>
      </c>
      <c r="G22" s="51" t="n"/>
      <c r="H22" s="51" t="n"/>
      <c r="I22" s="51" t="n"/>
      <c r="J22" s="51" t="n"/>
      <c r="K22" s="51" t="n"/>
      <c r="L22" s="51" t="n"/>
      <c r="M22" s="51" t="n"/>
      <c r="N22" s="51" t="n"/>
      <c r="O22" s="51" t="n"/>
      <c r="P22" s="51" t="n"/>
      <c r="Q22" s="51" t="n"/>
      <c r="R22" s="51" t="n"/>
      <c r="S22" s="51" t="n"/>
    </row>
    <row r="23">
      <c r="B23" s="10"/>
      <c r="C23" s="14"/>
      <c r="D23" s="10"/>
      <c r="E23" s="14"/>
      <c r="F23" s="18" t="s">
        <v>1399</v>
      </c>
      <c r="G23" s="50" t="n"/>
      <c r="H23" s="50" t="n"/>
      <c r="I23" s="50" t="n"/>
      <c r="J23" s="50" t="n"/>
      <c r="K23" s="50" t="n"/>
      <c r="L23" s="50" t="n"/>
      <c r="M23" s="50" t="n"/>
      <c r="N23" s="50" t="n"/>
      <c r="O23" s="50" t="n"/>
      <c r="P23" s="50" t="n"/>
      <c r="Q23" s="50" t="n"/>
      <c r="R23" s="50" t="n"/>
      <c r="S23" s="50" t="n"/>
    </row>
    <row r="24">
      <c r="B24" s="10"/>
      <c r="C24" s="14"/>
      <c r="D24" s="10"/>
      <c r="E24" s="14"/>
      <c r="F24" s="19" t="s">
        <v>1400</v>
      </c>
      <c r="G24" s="51" t="n"/>
      <c r="H24" s="51" t="n"/>
      <c r="I24" s="51" t="n"/>
      <c r="J24" s="51" t="n"/>
      <c r="K24" s="51" t="n"/>
      <c r="L24" s="51" t="n"/>
      <c r="M24" s="51" t="n"/>
      <c r="N24" s="51" t="n"/>
      <c r="O24" s="51" t="n"/>
      <c r="P24" s="51" t="n"/>
      <c r="Q24" s="51" t="n"/>
      <c r="R24" s="51" t="n"/>
      <c r="S24" s="51" t="n"/>
    </row>
    <row r="25">
      <c r="B25" s="10"/>
      <c r="C25" s="14"/>
      <c r="D25" s="10"/>
      <c r="E25" s="14"/>
      <c r="F25" s="18" t="s">
        <v>1401</v>
      </c>
      <c r="G25" s="50" t="n"/>
      <c r="H25" s="50" t="n"/>
      <c r="I25" s="50" t="n"/>
      <c r="J25" s="50" t="n"/>
      <c r="K25" s="50" t="n"/>
      <c r="L25" s="50" t="n"/>
      <c r="M25" s="50" t="n"/>
      <c r="N25" s="50" t="n"/>
      <c r="O25" s="50" t="n"/>
      <c r="P25" s="50" t="n"/>
      <c r="Q25" s="50" t="n"/>
      <c r="R25" s="50" t="n"/>
      <c r="S25" s="50" t="n"/>
    </row>
    <row r="26">
      <c r="B26" s="10"/>
      <c r="C26" s="14"/>
      <c r="D26" s="10"/>
      <c r="E26" s="14"/>
      <c r="F26" s="19" t="s">
        <v>1402</v>
      </c>
      <c r="G26" s="51" t="n"/>
      <c r="H26" s="51" t="n"/>
      <c r="I26" s="51" t="n"/>
      <c r="J26" s="51" t="n"/>
      <c r="K26" s="51" t="n"/>
      <c r="L26" s="51" t="n"/>
      <c r="M26" s="51" t="n"/>
      <c r="N26" s="51" t="n"/>
      <c r="O26" s="51" t="n"/>
      <c r="P26" s="51" t="n"/>
      <c r="Q26" s="51" t="n"/>
      <c r="R26" s="51" t="n"/>
      <c r="S26" s="51" t="n"/>
    </row>
    <row r="27">
      <c r="B27" s="10"/>
      <c r="C27" s="14"/>
      <c r="D27" s="10"/>
      <c r="E27" s="14"/>
      <c r="F27" s="18" t="s">
        <v>1403</v>
      </c>
      <c r="G27" s="50" t="n"/>
      <c r="H27" s="50" t="n"/>
      <c r="I27" s="50" t="n"/>
      <c r="J27" s="50" t="n"/>
      <c r="K27" s="50" t="n"/>
      <c r="L27" s="50" t="n"/>
      <c r="M27" s="50" t="n"/>
      <c r="N27" s="50" t="n"/>
      <c r="O27" s="50" t="n"/>
      <c r="P27" s="50" t="n"/>
      <c r="Q27" s="50" t="n"/>
      <c r="R27" s="50" t="n"/>
      <c r="S27" s="50" t="n"/>
    </row>
    <row r="28">
      <c r="B28" s="10"/>
      <c r="C28" s="14"/>
      <c r="D28" s="10"/>
      <c r="E28" s="14"/>
      <c r="F28" s="19" t="s">
        <v>1404</v>
      </c>
      <c r="G28" s="51" t="n"/>
      <c r="H28" s="51" t="n"/>
      <c r="I28" s="51" t="n"/>
      <c r="J28" s="51" t="n"/>
      <c r="K28" s="51" t="n"/>
      <c r="L28" s="51" t="n"/>
      <c r="M28" s="51" t="n"/>
      <c r="N28" s="51" t="n"/>
      <c r="O28" s="51" t="n"/>
      <c r="P28" s="51" t="n"/>
      <c r="Q28" s="51" t="n"/>
      <c r="R28" s="51" t="n"/>
      <c r="S28" s="51" t="n"/>
    </row>
    <row r="29">
      <c r="B29" s="10"/>
      <c r="C29" s="14"/>
      <c r="D29" s="10"/>
      <c r="E29" s="15"/>
      <c r="F29" s="65" t="s">
        <v>1405</v>
      </c>
      <c r="G29" s="50" t="n">
        <f>SUM(G19:G28)</f>
      </c>
      <c r="H29" s="50" t="n">
        <f>SUM(H19:H28)</f>
      </c>
      <c r="I29" s="50" t="n">
        <f>SUM(I19:I28)</f>
      </c>
      <c r="J29" s="50" t="n">
        <f>SUM(J19:J28)</f>
      </c>
      <c r="K29" s="50" t="n">
        <f>SUM(K19:K28)</f>
      </c>
      <c r="L29" s="50" t="n">
        <f>SUM(L19:L28)</f>
      </c>
      <c r="M29" s="50" t="n">
        <f>SUM(M19:M28)</f>
      </c>
      <c r="N29" s="50" t="n">
        <f>SUM(N19:N28)</f>
      </c>
      <c r="O29" s="50" t="n">
        <f>SUM(O19:O28)</f>
      </c>
      <c r="P29" s="50" t="n">
        <f>SUM(P19:P28)</f>
      </c>
      <c r="Q29" s="50" t="n">
        <f>SUM(Q19:Q28)</f>
      </c>
      <c r="R29" s="50" t="n">
        <f>SUM(R19:R28)</f>
      </c>
      <c r="S29" s="50" t="n">
        <f>SUM(S19:S28)</f>
      </c>
    </row>
    <row r="30">
      <c r="B30" s="10"/>
      <c r="C30" s="15"/>
      <c r="D30" s="11"/>
      <c r="E30" s="40" t="s">
        <v>1406</v>
      </c>
      <c r="F30" s="39"/>
      <c r="G30" s="51" t="n">
        <f>G16+G17+G29</f>
      </c>
      <c r="H30" s="51" t="n">
        <f>H16+H17+H29</f>
      </c>
      <c r="I30" s="51" t="n">
        <f>I16+I17+I29</f>
      </c>
      <c r="J30" s="51" t="n">
        <f>J16+J17+J29</f>
      </c>
      <c r="K30" s="51" t="n">
        <f>K16+K17+K29</f>
      </c>
      <c r="L30" s="51" t="n">
        <f>L16+L17+L29</f>
      </c>
      <c r="M30" s="51" t="n">
        <f>M16+M17+M29</f>
      </c>
      <c r="N30" s="51" t="n">
        <f>N16+N17+N29</f>
      </c>
      <c r="O30" s="51" t="n">
        <f>O16+O17+O29</f>
      </c>
      <c r="P30" s="51" t="n">
        <f>P16+P17+P29</f>
      </c>
      <c r="Q30" s="51" t="n">
        <f>Q16+Q17+Q29</f>
      </c>
      <c r="R30" s="51" t="n">
        <f>R16+R17+R29</f>
      </c>
      <c r="S30" s="51" t="n">
        <f>S16+S17+S29</f>
      </c>
    </row>
    <row r="31">
      <c r="B31" s="10"/>
      <c r="C31" s="7" t="s">
        <v>1407</v>
      </c>
      <c r="D31" s="8"/>
      <c r="E31" s="8"/>
      <c r="F31" s="9"/>
      <c r="G31" s="22"/>
      <c r="H31" s="22"/>
      <c r="I31" s="22"/>
      <c r="J31" s="22"/>
      <c r="K31" s="22"/>
      <c r="L31" s="22"/>
      <c r="M31" s="22"/>
      <c r="N31" s="22"/>
      <c r="O31" s="22"/>
      <c r="P31" s="22"/>
      <c r="Q31" s="22"/>
      <c r="R31" s="22"/>
      <c r="S31" s="22"/>
    </row>
    <row r="32">
      <c r="B32" s="10"/>
      <c r="C32" s="10"/>
      <c r="D32" s="12" t="s">
        <v>1408</v>
      </c>
      <c r="E32" s="37"/>
      <c r="F32" s="13"/>
      <c r="G32" s="23"/>
      <c r="H32" s="23"/>
      <c r="I32" s="23"/>
      <c r="J32" s="23"/>
      <c r="K32" s="23"/>
      <c r="L32" s="23"/>
      <c r="M32" s="23"/>
      <c r="N32" s="23"/>
      <c r="O32" s="23"/>
      <c r="P32" s="23"/>
      <c r="Q32" s="23"/>
      <c r="R32" s="23"/>
      <c r="S32" s="23"/>
    </row>
    <row r="33">
      <c r="B33" s="10"/>
      <c r="C33" s="10"/>
      <c r="D33" s="14"/>
      <c r="E33" s="11" t="s">
        <v>1281</v>
      </c>
      <c r="F33" s="9"/>
      <c r="G33" s="50" t="n"/>
      <c r="H33" s="50" t="n"/>
      <c r="I33" s="50" t="n"/>
      <c r="J33" s="50" t="n"/>
      <c r="K33" s="50" t="n"/>
      <c r="L33" s="50" t="n"/>
      <c r="M33" s="50" t="n"/>
      <c r="N33" s="50" t="n"/>
      <c r="O33" s="50" t="n"/>
      <c r="P33" s="50" t="n"/>
      <c r="Q33" s="50" t="n"/>
      <c r="R33" s="50" t="n"/>
      <c r="S33" s="50" t="n"/>
    </row>
    <row r="34">
      <c r="B34" s="10"/>
      <c r="C34" s="10"/>
      <c r="D34" s="14"/>
      <c r="E34" s="15" t="s">
        <v>1394</v>
      </c>
      <c r="F34" s="13"/>
      <c r="G34" s="51" t="n"/>
      <c r="H34" s="51" t="n"/>
      <c r="I34" s="51" t="n"/>
      <c r="J34" s="51" t="n"/>
      <c r="K34" s="51" t="n"/>
      <c r="L34" s="51" t="n"/>
      <c r="M34" s="51" t="n"/>
      <c r="N34" s="51" t="n"/>
      <c r="O34" s="51" t="n"/>
      <c r="P34" s="51" t="n"/>
      <c r="Q34" s="51" t="n"/>
      <c r="R34" s="51" t="n"/>
      <c r="S34" s="51" t="n"/>
    </row>
    <row r="35">
      <c r="B35" s="10"/>
      <c r="C35" s="10"/>
      <c r="D35" s="14"/>
      <c r="E35" s="7" t="s">
        <v>1318</v>
      </c>
      <c r="F35" s="9"/>
      <c r="G35" s="22"/>
      <c r="H35" s="22"/>
      <c r="I35" s="22"/>
      <c r="J35" s="22"/>
      <c r="K35" s="22"/>
      <c r="L35" s="22"/>
      <c r="M35" s="22"/>
      <c r="N35" s="22"/>
      <c r="O35" s="22"/>
      <c r="P35" s="22"/>
      <c r="Q35" s="22"/>
      <c r="R35" s="22"/>
      <c r="S35" s="22"/>
    </row>
    <row r="36">
      <c r="B36" s="10"/>
      <c r="C36" s="10"/>
      <c r="D36" s="14"/>
      <c r="E36" s="10"/>
      <c r="F36" s="19" t="s">
        <v>1395</v>
      </c>
      <c r="G36" s="51" t="n"/>
      <c r="H36" s="51" t="n"/>
      <c r="I36" s="51" t="n"/>
      <c r="J36" s="51" t="n"/>
      <c r="K36" s="51" t="n"/>
      <c r="L36" s="51" t="n"/>
      <c r="M36" s="51" t="n"/>
      <c r="N36" s="51" t="n"/>
      <c r="O36" s="51" t="n"/>
      <c r="P36" s="51" t="n"/>
      <c r="Q36" s="51" t="n"/>
      <c r="R36" s="51" t="n"/>
      <c r="S36" s="51" t="n"/>
    </row>
    <row r="37">
      <c r="B37" s="10"/>
      <c r="C37" s="10"/>
      <c r="D37" s="14"/>
      <c r="E37" s="10"/>
      <c r="F37" s="18" t="s">
        <v>1396</v>
      </c>
      <c r="G37" s="50" t="n"/>
      <c r="H37" s="50" t="n"/>
      <c r="I37" s="50" t="n"/>
      <c r="J37" s="50" t="n"/>
      <c r="K37" s="50" t="n"/>
      <c r="L37" s="50" t="n"/>
      <c r="M37" s="50" t="n"/>
      <c r="N37" s="50" t="n"/>
      <c r="O37" s="50" t="n"/>
      <c r="P37" s="50" t="n"/>
      <c r="Q37" s="50" t="n"/>
      <c r="R37" s="50" t="n"/>
      <c r="S37" s="50" t="n"/>
    </row>
    <row r="38">
      <c r="B38" s="10"/>
      <c r="C38" s="10"/>
      <c r="D38" s="14"/>
      <c r="E38" s="10"/>
      <c r="F38" s="19" t="s">
        <v>1397</v>
      </c>
      <c r="G38" s="51" t="n"/>
      <c r="H38" s="51" t="n"/>
      <c r="I38" s="51" t="n"/>
      <c r="J38" s="51" t="n"/>
      <c r="K38" s="51" t="n"/>
      <c r="L38" s="51" t="n"/>
      <c r="M38" s="51" t="n"/>
      <c r="N38" s="51" t="n"/>
      <c r="O38" s="51" t="n"/>
      <c r="P38" s="51" t="n"/>
      <c r="Q38" s="51" t="n"/>
      <c r="R38" s="51" t="n"/>
      <c r="S38" s="51" t="n"/>
    </row>
    <row r="39">
      <c r="B39" s="10"/>
      <c r="C39" s="10"/>
      <c r="D39" s="14"/>
      <c r="E39" s="10"/>
      <c r="F39" s="18" t="s">
        <v>1398</v>
      </c>
      <c r="G39" s="50" t="n"/>
      <c r="H39" s="50" t="n"/>
      <c r="I39" s="50" t="n"/>
      <c r="J39" s="50" t="n"/>
      <c r="K39" s="50" t="n"/>
      <c r="L39" s="50" t="n"/>
      <c r="M39" s="50" t="n"/>
      <c r="N39" s="50" t="n"/>
      <c r="O39" s="50" t="n"/>
      <c r="P39" s="50" t="n"/>
      <c r="Q39" s="50" t="n"/>
      <c r="R39" s="50" t="n"/>
      <c r="S39" s="50" t="n"/>
    </row>
    <row r="40">
      <c r="B40" s="10"/>
      <c r="C40" s="10"/>
      <c r="D40" s="14"/>
      <c r="E40" s="10"/>
      <c r="F40" s="19" t="s">
        <v>1399</v>
      </c>
      <c r="G40" s="51" t="n"/>
      <c r="H40" s="51" t="n"/>
      <c r="I40" s="51" t="n"/>
      <c r="J40" s="51" t="n"/>
      <c r="K40" s="51" t="n"/>
      <c r="L40" s="51" t="n"/>
      <c r="M40" s="51" t="n"/>
      <c r="N40" s="51" t="n"/>
      <c r="O40" s="51" t="n"/>
      <c r="P40" s="51" t="n"/>
      <c r="Q40" s="51" t="n"/>
      <c r="R40" s="51" t="n"/>
      <c r="S40" s="51" t="n"/>
    </row>
    <row r="41">
      <c r="B41" s="10"/>
      <c r="C41" s="10"/>
      <c r="D41" s="14"/>
      <c r="E41" s="10"/>
      <c r="F41" s="18" t="s">
        <v>1400</v>
      </c>
      <c r="G41" s="50" t="n"/>
      <c r="H41" s="50" t="n"/>
      <c r="I41" s="50" t="n"/>
      <c r="J41" s="50" t="n"/>
      <c r="K41" s="50" t="n"/>
      <c r="L41" s="50" t="n"/>
      <c r="M41" s="50" t="n"/>
      <c r="N41" s="50" t="n"/>
      <c r="O41" s="50" t="n"/>
      <c r="P41" s="50" t="n"/>
      <c r="Q41" s="50" t="n"/>
      <c r="R41" s="50" t="n"/>
      <c r="S41" s="50" t="n"/>
    </row>
    <row r="42">
      <c r="B42" s="10"/>
      <c r="C42" s="10"/>
      <c r="D42" s="14"/>
      <c r="E42" s="10"/>
      <c r="F42" s="19" t="s">
        <v>1409</v>
      </c>
      <c r="G42" s="51" t="n"/>
      <c r="H42" s="51" t="n"/>
      <c r="I42" s="51" t="n"/>
      <c r="J42" s="51" t="n"/>
      <c r="K42" s="51" t="n"/>
      <c r="L42" s="51" t="n"/>
      <c r="M42" s="51" t="n"/>
      <c r="N42" s="51" t="n"/>
      <c r="O42" s="51" t="n"/>
      <c r="P42" s="51" t="n"/>
      <c r="Q42" s="51" t="n"/>
      <c r="R42" s="51" t="n"/>
      <c r="S42" s="51" t="n"/>
    </row>
    <row r="43">
      <c r="B43" s="10"/>
      <c r="C43" s="10"/>
      <c r="D43" s="14"/>
      <c r="E43" s="10"/>
      <c r="F43" s="18" t="s">
        <v>1410</v>
      </c>
      <c r="G43" s="50" t="n"/>
      <c r="H43" s="50" t="n"/>
      <c r="I43" s="50" t="n"/>
      <c r="J43" s="50" t="n"/>
      <c r="K43" s="50" t="n"/>
      <c r="L43" s="50" t="n"/>
      <c r="M43" s="50" t="n"/>
      <c r="N43" s="50" t="n"/>
      <c r="O43" s="50" t="n"/>
      <c r="P43" s="50" t="n"/>
      <c r="Q43" s="50" t="n"/>
      <c r="R43" s="50" t="n"/>
      <c r="S43" s="50" t="n"/>
    </row>
    <row r="44">
      <c r="B44" s="10"/>
      <c r="C44" s="10"/>
      <c r="D44" s="14"/>
      <c r="E44" s="10"/>
      <c r="F44" s="19" t="s">
        <v>1411</v>
      </c>
      <c r="G44" s="51" t="n"/>
      <c r="H44" s="51" t="n"/>
      <c r="I44" s="51" t="n"/>
      <c r="J44" s="51" t="n"/>
      <c r="K44" s="51" t="n"/>
      <c r="L44" s="51" t="n"/>
      <c r="M44" s="51" t="n"/>
      <c r="N44" s="51" t="n"/>
      <c r="O44" s="51" t="n"/>
      <c r="P44" s="51" t="n"/>
      <c r="Q44" s="51" t="n"/>
      <c r="R44" s="51" t="n"/>
      <c r="S44" s="51" t="n"/>
    </row>
    <row r="45">
      <c r="B45" s="10"/>
      <c r="C45" s="10"/>
      <c r="D45" s="14"/>
      <c r="E45" s="10"/>
      <c r="F45" s="18" t="s">
        <v>1412</v>
      </c>
      <c r="G45" s="50" t="n"/>
      <c r="H45" s="50" t="n"/>
      <c r="I45" s="50" t="n"/>
      <c r="J45" s="50" t="n"/>
      <c r="K45" s="50" t="n"/>
      <c r="L45" s="50" t="n"/>
      <c r="M45" s="50" t="n"/>
      <c r="N45" s="50" t="n"/>
      <c r="O45" s="50" t="n"/>
      <c r="P45" s="50" t="n"/>
      <c r="Q45" s="50" t="n"/>
      <c r="R45" s="50" t="n"/>
      <c r="S45" s="50" t="n"/>
    </row>
    <row r="46">
      <c r="B46" s="10"/>
      <c r="C46" s="10"/>
      <c r="D46" s="14"/>
      <c r="E46" s="11"/>
      <c r="F46" s="19" t="s">
        <v>1405</v>
      </c>
      <c r="G46" s="51" t="n">
        <f>SUM(G36:G45)</f>
      </c>
      <c r="H46" s="51" t="n">
        <f>SUM(H36:H45)</f>
      </c>
      <c r="I46" s="51" t="n">
        <f>SUM(I36:I45)</f>
      </c>
      <c r="J46" s="51" t="n">
        <f>SUM(J36:J45)</f>
      </c>
      <c r="K46" s="51" t="n">
        <f>SUM(K36:K45)</f>
      </c>
      <c r="L46" s="51" t="n">
        <f>SUM(L36:L45)</f>
      </c>
      <c r="M46" s="51" t="n">
        <f>SUM(M36:M45)</f>
      </c>
      <c r="N46" s="51" t="n">
        <f>SUM(N36:N45)</f>
      </c>
      <c r="O46" s="51" t="n">
        <f>SUM(O36:O45)</f>
      </c>
      <c r="P46" s="51" t="n">
        <f>SUM(P36:P45)</f>
      </c>
      <c r="Q46" s="51" t="n">
        <f>SUM(Q36:Q45)</f>
      </c>
      <c r="R46" s="51" t="n">
        <f>SUM(R36:R45)</f>
      </c>
      <c r="S46" s="51" t="n">
        <f>SUM(S36:S45)</f>
      </c>
    </row>
    <row r="47">
      <c r="B47" s="10"/>
      <c r="C47" s="11"/>
      <c r="D47" s="15"/>
      <c r="E47" s="45" t="s">
        <v>1413</v>
      </c>
      <c r="F47" s="44"/>
      <c r="G47" s="50" t="n">
        <f>G33+G34+G46</f>
      </c>
      <c r="H47" s="50" t="n">
        <f>H33+H34+H46</f>
      </c>
      <c r="I47" s="50" t="n">
        <f>I33+I34+I46</f>
      </c>
      <c r="J47" s="50" t="n">
        <f>J33+J34+J46</f>
      </c>
      <c r="K47" s="50" t="n">
        <f>K33+K34+K46</f>
      </c>
      <c r="L47" s="50" t="n">
        <f>L33+L34+L46</f>
      </c>
      <c r="M47" s="50" t="n">
        <f>M33+M34+M46</f>
      </c>
      <c r="N47" s="50" t="n">
        <f>N33+N34+N46</f>
      </c>
      <c r="O47" s="50" t="n">
        <f>O33+O34+O46</f>
      </c>
      <c r="P47" s="50" t="n">
        <f>P33+P34+P46</f>
      </c>
      <c r="Q47" s="50" t="n">
        <f>Q33+Q34+Q46</f>
      </c>
      <c r="R47" s="50" t="n">
        <f>R33+R34+R46</f>
      </c>
      <c r="S47" s="50" t="n">
        <f>S33+S34+S46</f>
      </c>
    </row>
    <row r="48">
      <c r="B48" s="11"/>
      <c r="C48" s="40" t="s">
        <v>1414</v>
      </c>
      <c r="D48" s="41"/>
      <c r="E48" s="41"/>
      <c r="F48" s="39"/>
      <c r="G48" s="52" t="n">
        <f>G30-G47</f>
      </c>
      <c r="H48" s="52" t="n">
        <f>H30-H47</f>
      </c>
      <c r="I48" s="52" t="n">
        <f>I30-I47</f>
      </c>
      <c r="J48" s="52" t="n">
        <f>J30-J47</f>
      </c>
      <c r="K48" s="52" t="n">
        <f>K30-K47</f>
      </c>
      <c r="L48" s="52" t="n">
        <f>L30-L47</f>
      </c>
      <c r="M48" s="52" t="n">
        <f>M30-M47</f>
      </c>
      <c r="N48" s="52" t="n">
        <f>N30-N47</f>
      </c>
      <c r="O48" s="52" t="n">
        <f>O30-O47</f>
      </c>
      <c r="P48" s="52" t="n">
        <f>P30-P47</f>
      </c>
      <c r="Q48" s="52" t="n">
        <f>Q30-Q47</f>
      </c>
      <c r="R48" s="52" t="n">
        <f>R30-R47</f>
      </c>
      <c r="S48" s="52" t="n">
        <f>S30-S47</f>
      </c>
    </row>
  </sheetData>
  <mergeCells>
    <mergeCell ref="G10:S10"/>
    <mergeCell ref="G11:I11"/>
    <mergeCell ref="J11:S11"/>
    <mergeCell ref="B13:F13"/>
    <mergeCell ref="C14:F14"/>
    <mergeCell ref="D15:F15"/>
    <mergeCell ref="E16:F16"/>
    <mergeCell ref="E17:F17"/>
    <mergeCell ref="E18:F18"/>
    <mergeCell ref="E30:F30"/>
    <mergeCell ref="C31:F31"/>
    <mergeCell ref="D32:F32"/>
    <mergeCell ref="E33:F33"/>
    <mergeCell ref="E34:F34"/>
    <mergeCell ref="E35:F35"/>
    <mergeCell ref="E47:F47"/>
    <mergeCell ref="C48:F48"/>
  </mergeCells>
  <hyperlinks>
    <hyperlink location="'Indice'!A1" ref="B2"/>
  </hyperlinks>
  <pageMargins bottom="0.75" footer="0.3" header="0.3" left="0.7" right="0.7" top="0.75"/>
</worksheet>
</file>

<file path=xl/worksheets/sheet49.xml><?xml version="1.0" encoding="utf-8"?>
<worksheet xmlns="http://schemas.openxmlformats.org/spreadsheetml/2006/main">
  <dimension ref="B2:T48"/>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1415</v>
      </c>
    </row>
    <row r="6">
      <c r="B6" t="s" s="1">
        <v>8</v>
      </c>
      <c r="C6" t="s">
        <v>9</v>
      </c>
    </row>
    <row r="7">
      <c r="B7" t="s" s="1">
        <v>10</v>
      </c>
      <c r="C7" t="s">
        <v>9</v>
      </c>
    </row>
    <row r="8">
      <c r="B8" t="s" s="1">
        <v>11</v>
      </c>
      <c r="C8" t="s">
        <v>12</v>
      </c>
    </row>
    <row r="10">
      <c r="G10" t="s" s="4">
        <v>1416</v>
      </c>
      <c r="H10" s="29"/>
      <c r="I10" s="29"/>
      <c r="J10" s="29"/>
      <c r="K10" s="29"/>
      <c r="L10" s="29"/>
      <c r="M10" s="29"/>
      <c r="N10" s="29"/>
      <c r="O10" s="29"/>
      <c r="P10" s="29"/>
      <c r="Q10" s="29"/>
      <c r="R10" s="29"/>
      <c r="S10" s="30"/>
    </row>
    <row r="11">
      <c r="G11" t="s" s="32">
        <v>1379</v>
      </c>
      <c r="H11" s="61"/>
      <c r="I11" s="62"/>
      <c r="J11" t="s" s="4">
        <v>35</v>
      </c>
      <c r="K11" s="29"/>
      <c r="L11" s="29"/>
      <c r="M11" s="29"/>
      <c r="N11" s="29"/>
      <c r="O11" s="29"/>
      <c r="P11" s="29"/>
      <c r="Q11" s="29"/>
      <c r="R11" s="29"/>
      <c r="S11" s="30"/>
    </row>
    <row r="12">
      <c r="G12" t="s" s="6">
        <v>1380</v>
      </c>
      <c r="H12" t="s" s="34">
        <v>1381</v>
      </c>
      <c r="I12" s="63"/>
      <c r="J12" t="s" s="34">
        <v>1382</v>
      </c>
      <c r="K12" t="s" s="6">
        <v>1383</v>
      </c>
      <c r="L12" t="s" s="34">
        <v>1384</v>
      </c>
      <c r="M12" t="s" s="6">
        <v>1385</v>
      </c>
      <c r="N12" t="s" s="34">
        <v>1386</v>
      </c>
      <c r="O12" t="s" s="6">
        <v>1387</v>
      </c>
      <c r="P12" t="s" s="34">
        <v>1388</v>
      </c>
      <c r="Q12" t="s" s="6">
        <v>1389</v>
      </c>
      <c r="R12" t="s" s="34">
        <v>1390</v>
      </c>
      <c r="S12" s="36"/>
    </row>
    <row r="13" ht="28.0" customHeight="true">
      <c r="B13" s="7" t="s">
        <v>1417</v>
      </c>
      <c r="C13" s="8"/>
      <c r="D13" s="8"/>
      <c r="E13" s="8"/>
      <c r="F13" s="9"/>
      <c r="G13" s="22"/>
      <c r="H13" s="22"/>
      <c r="I13" s="22"/>
      <c r="J13" s="22"/>
      <c r="K13" s="22"/>
      <c r="L13" s="22"/>
      <c r="M13" s="22"/>
      <c r="N13" s="22"/>
      <c r="O13" s="22"/>
      <c r="P13" s="22"/>
      <c r="Q13" s="22"/>
      <c r="R13" s="22"/>
      <c r="S13" s="22"/>
    </row>
    <row r="14">
      <c r="B14" s="10"/>
      <c r="C14" s="12" t="s">
        <v>1418</v>
      </c>
      <c r="D14" s="37"/>
      <c r="E14" s="37"/>
      <c r="F14" s="13"/>
      <c r="G14" s="23"/>
      <c r="H14" s="23"/>
      <c r="I14" s="23"/>
      <c r="J14" s="23"/>
      <c r="K14" s="23"/>
      <c r="L14" s="23"/>
      <c r="M14" s="23"/>
      <c r="N14" s="23"/>
      <c r="O14" s="23"/>
      <c r="P14" s="23"/>
      <c r="Q14" s="23"/>
      <c r="R14" s="23"/>
      <c r="S14" s="23"/>
    </row>
    <row r="15">
      <c r="B15" s="10"/>
      <c r="C15" s="14"/>
      <c r="D15" s="7" t="s">
        <v>1419</v>
      </c>
      <c r="E15" s="8"/>
      <c r="F15" s="9"/>
      <c r="G15" s="22"/>
      <c r="H15" s="22"/>
      <c r="I15" s="22"/>
      <c r="J15" s="22"/>
      <c r="K15" s="22"/>
      <c r="L15" s="22"/>
      <c r="M15" s="22"/>
      <c r="N15" s="22"/>
      <c r="O15" s="22"/>
      <c r="P15" s="22"/>
      <c r="Q15" s="22"/>
      <c r="R15" s="22"/>
      <c r="S15" s="22"/>
    </row>
    <row r="16">
      <c r="B16" s="10"/>
      <c r="C16" s="14"/>
      <c r="D16" s="10"/>
      <c r="E16" s="15" t="s">
        <v>1420</v>
      </c>
      <c r="F16" s="13"/>
      <c r="G16" s="51" t="n"/>
      <c r="H16" s="51" t="n"/>
      <c r="I16" s="51" t="n"/>
      <c r="J16" s="51" t="n"/>
      <c r="K16" s="51" t="n"/>
      <c r="L16" s="51" t="n"/>
      <c r="M16" s="51" t="n"/>
      <c r="N16" s="51" t="n"/>
      <c r="O16" s="51" t="n"/>
      <c r="P16" s="51" t="n"/>
      <c r="Q16" s="51" t="n"/>
      <c r="R16" s="51" t="n"/>
      <c r="S16" s="51" t="n"/>
    </row>
    <row r="17">
      <c r="B17" s="10"/>
      <c r="C17" s="14"/>
      <c r="D17" s="10"/>
      <c r="E17" s="11" t="s">
        <v>1421</v>
      </c>
      <c r="F17" s="9"/>
      <c r="G17" s="50" t="n"/>
      <c r="H17" s="50" t="n"/>
      <c r="I17" s="50" t="n"/>
      <c r="J17" s="50" t="n"/>
      <c r="K17" s="50" t="n"/>
      <c r="L17" s="50" t="n"/>
      <c r="M17" s="50" t="n"/>
      <c r="N17" s="50" t="n"/>
      <c r="O17" s="50" t="n"/>
      <c r="P17" s="50" t="n"/>
      <c r="Q17" s="50" t="n"/>
      <c r="R17" s="50" t="n"/>
      <c r="S17" s="50" t="n"/>
    </row>
    <row r="18">
      <c r="B18" s="10"/>
      <c r="C18" s="14"/>
      <c r="D18" s="10"/>
      <c r="E18" s="12" t="s">
        <v>1318</v>
      </c>
      <c r="F18" s="13"/>
      <c r="G18" s="23"/>
      <c r="H18" s="23"/>
      <c r="I18" s="23"/>
      <c r="J18" s="23"/>
      <c r="K18" s="23"/>
      <c r="L18" s="23"/>
      <c r="M18" s="23"/>
      <c r="N18" s="23"/>
      <c r="O18" s="23"/>
      <c r="P18" s="23"/>
      <c r="Q18" s="23"/>
      <c r="R18" s="23"/>
      <c r="S18" s="23"/>
    </row>
    <row r="19">
      <c r="B19" s="10"/>
      <c r="C19" s="14"/>
      <c r="D19" s="10"/>
      <c r="E19" s="14"/>
      <c r="F19" s="18" t="s">
        <v>1395</v>
      </c>
      <c r="G19" s="50" t="n"/>
      <c r="H19" s="50" t="n"/>
      <c r="I19" s="50" t="n"/>
      <c r="J19" s="50" t="n"/>
      <c r="K19" s="50" t="n"/>
      <c r="L19" s="50" t="n"/>
      <c r="M19" s="50" t="n"/>
      <c r="N19" s="50" t="n"/>
      <c r="O19" s="50" t="n"/>
      <c r="P19" s="50" t="n"/>
      <c r="Q19" s="50" t="n"/>
      <c r="R19" s="50" t="n"/>
      <c r="S19" s="50" t="n"/>
    </row>
    <row r="20">
      <c r="B20" s="10"/>
      <c r="C20" s="14"/>
      <c r="D20" s="10"/>
      <c r="E20" s="14"/>
      <c r="F20" s="19" t="s">
        <v>1396</v>
      </c>
      <c r="G20" s="51" t="n"/>
      <c r="H20" s="51" t="n"/>
      <c r="I20" s="51" t="n"/>
      <c r="J20" s="51" t="n"/>
      <c r="K20" s="51" t="n"/>
      <c r="L20" s="51" t="n"/>
      <c r="M20" s="51" t="n"/>
      <c r="N20" s="51" t="n"/>
      <c r="O20" s="51" t="n"/>
      <c r="P20" s="51" t="n"/>
      <c r="Q20" s="51" t="n"/>
      <c r="R20" s="51" t="n"/>
      <c r="S20" s="51" t="n"/>
    </row>
    <row r="21">
      <c r="B21" s="10"/>
      <c r="C21" s="14"/>
      <c r="D21" s="10"/>
      <c r="E21" s="14"/>
      <c r="F21" s="18" t="s">
        <v>1397</v>
      </c>
      <c r="G21" s="50" t="n"/>
      <c r="H21" s="50" t="n"/>
      <c r="I21" s="50" t="n"/>
      <c r="J21" s="50" t="n"/>
      <c r="K21" s="50" t="n"/>
      <c r="L21" s="50" t="n"/>
      <c r="M21" s="50" t="n"/>
      <c r="N21" s="50" t="n"/>
      <c r="O21" s="50" t="n"/>
      <c r="P21" s="50" t="n"/>
      <c r="Q21" s="50" t="n"/>
      <c r="R21" s="50" t="n"/>
      <c r="S21" s="50" t="n"/>
    </row>
    <row r="22">
      <c r="B22" s="10"/>
      <c r="C22" s="14"/>
      <c r="D22" s="10"/>
      <c r="E22" s="14"/>
      <c r="F22" s="19" t="s">
        <v>1398</v>
      </c>
      <c r="G22" s="51" t="n"/>
      <c r="H22" s="51" t="n"/>
      <c r="I22" s="51" t="n"/>
      <c r="J22" s="51" t="n"/>
      <c r="K22" s="51" t="n"/>
      <c r="L22" s="51" t="n"/>
      <c r="M22" s="51" t="n"/>
      <c r="N22" s="51" t="n"/>
      <c r="O22" s="51" t="n"/>
      <c r="P22" s="51" t="n"/>
      <c r="Q22" s="51" t="n"/>
      <c r="R22" s="51" t="n"/>
      <c r="S22" s="51" t="n"/>
    </row>
    <row r="23">
      <c r="B23" s="10"/>
      <c r="C23" s="14"/>
      <c r="D23" s="10"/>
      <c r="E23" s="14"/>
      <c r="F23" s="18" t="s">
        <v>1399</v>
      </c>
      <c r="G23" s="50" t="n"/>
      <c r="H23" s="50" t="n"/>
      <c r="I23" s="50" t="n"/>
      <c r="J23" s="50" t="n"/>
      <c r="K23" s="50" t="n"/>
      <c r="L23" s="50" t="n"/>
      <c r="M23" s="50" t="n"/>
      <c r="N23" s="50" t="n"/>
      <c r="O23" s="50" t="n"/>
      <c r="P23" s="50" t="n"/>
      <c r="Q23" s="50" t="n"/>
      <c r="R23" s="50" t="n"/>
      <c r="S23" s="50" t="n"/>
    </row>
    <row r="24">
      <c r="B24" s="10"/>
      <c r="C24" s="14"/>
      <c r="D24" s="10"/>
      <c r="E24" s="14"/>
      <c r="F24" s="19" t="s">
        <v>1400</v>
      </c>
      <c r="G24" s="51" t="n"/>
      <c r="H24" s="51" t="n"/>
      <c r="I24" s="51" t="n"/>
      <c r="J24" s="51" t="n"/>
      <c r="K24" s="51" t="n"/>
      <c r="L24" s="51" t="n"/>
      <c r="M24" s="51" t="n"/>
      <c r="N24" s="51" t="n"/>
      <c r="O24" s="51" t="n"/>
      <c r="P24" s="51" t="n"/>
      <c r="Q24" s="51" t="n"/>
      <c r="R24" s="51" t="n"/>
      <c r="S24" s="51" t="n"/>
    </row>
    <row r="25">
      <c r="B25" s="10"/>
      <c r="C25" s="14"/>
      <c r="D25" s="10"/>
      <c r="E25" s="14"/>
      <c r="F25" s="18" t="s">
        <v>1401</v>
      </c>
      <c r="G25" s="50" t="n"/>
      <c r="H25" s="50" t="n"/>
      <c r="I25" s="50" t="n"/>
      <c r="J25" s="50" t="n"/>
      <c r="K25" s="50" t="n"/>
      <c r="L25" s="50" t="n"/>
      <c r="M25" s="50" t="n"/>
      <c r="N25" s="50" t="n"/>
      <c r="O25" s="50" t="n"/>
      <c r="P25" s="50" t="n"/>
      <c r="Q25" s="50" t="n"/>
      <c r="R25" s="50" t="n"/>
      <c r="S25" s="50" t="n"/>
    </row>
    <row r="26">
      <c r="B26" s="10"/>
      <c r="C26" s="14"/>
      <c r="D26" s="10"/>
      <c r="E26" s="14"/>
      <c r="F26" s="19" t="s">
        <v>1402</v>
      </c>
      <c r="G26" s="51" t="n"/>
      <c r="H26" s="51" t="n"/>
      <c r="I26" s="51" t="n"/>
      <c r="J26" s="51" t="n"/>
      <c r="K26" s="51" t="n"/>
      <c r="L26" s="51" t="n"/>
      <c r="M26" s="51" t="n"/>
      <c r="N26" s="51" t="n"/>
      <c r="O26" s="51" t="n"/>
      <c r="P26" s="51" t="n"/>
      <c r="Q26" s="51" t="n"/>
      <c r="R26" s="51" t="n"/>
      <c r="S26" s="51" t="n"/>
    </row>
    <row r="27">
      <c r="B27" s="10"/>
      <c r="C27" s="14"/>
      <c r="D27" s="10"/>
      <c r="E27" s="14"/>
      <c r="F27" s="18" t="s">
        <v>1403</v>
      </c>
      <c r="G27" s="50" t="n"/>
      <c r="H27" s="50" t="n"/>
      <c r="I27" s="50" t="n"/>
      <c r="J27" s="50" t="n"/>
      <c r="K27" s="50" t="n"/>
      <c r="L27" s="50" t="n"/>
      <c r="M27" s="50" t="n"/>
      <c r="N27" s="50" t="n"/>
      <c r="O27" s="50" t="n"/>
      <c r="P27" s="50" t="n"/>
      <c r="Q27" s="50" t="n"/>
      <c r="R27" s="50" t="n"/>
      <c r="S27" s="50" t="n"/>
    </row>
    <row r="28">
      <c r="B28" s="10"/>
      <c r="C28" s="14"/>
      <c r="D28" s="10"/>
      <c r="E28" s="14"/>
      <c r="F28" s="19" t="s">
        <v>1404</v>
      </c>
      <c r="G28" s="51" t="n"/>
      <c r="H28" s="51" t="n"/>
      <c r="I28" s="51" t="n"/>
      <c r="J28" s="51" t="n"/>
      <c r="K28" s="51" t="n"/>
      <c r="L28" s="51" t="n"/>
      <c r="M28" s="51" t="n"/>
      <c r="N28" s="51" t="n"/>
      <c r="O28" s="51" t="n"/>
      <c r="P28" s="51" t="n"/>
      <c r="Q28" s="51" t="n"/>
      <c r="R28" s="51" t="n"/>
      <c r="S28" s="51" t="n"/>
    </row>
    <row r="29">
      <c r="B29" s="10"/>
      <c r="C29" s="14"/>
      <c r="D29" s="10"/>
      <c r="E29" s="15"/>
      <c r="F29" s="65" t="s">
        <v>1405</v>
      </c>
      <c r="G29" s="50" t="n">
        <f>SUM(G19:G28)</f>
      </c>
      <c r="H29" s="50" t="n">
        <f>SUM(H19:H28)</f>
      </c>
      <c r="I29" s="50" t="n">
        <f>SUM(I19:I28)</f>
      </c>
      <c r="J29" s="50" t="n">
        <f>SUM(J19:J28)</f>
      </c>
      <c r="K29" s="50" t="n">
        <f>SUM(K19:K28)</f>
      </c>
      <c r="L29" s="50" t="n">
        <f>SUM(L19:L28)</f>
      </c>
      <c r="M29" s="50" t="n">
        <f>SUM(M19:M28)</f>
      </c>
      <c r="N29" s="50" t="n">
        <f>SUM(N19:N28)</f>
      </c>
      <c r="O29" s="50" t="n">
        <f>SUM(O19:O28)</f>
      </c>
      <c r="P29" s="50" t="n">
        <f>SUM(P19:P28)</f>
      </c>
      <c r="Q29" s="50" t="n">
        <f>SUM(Q19:Q28)</f>
      </c>
      <c r="R29" s="50" t="n">
        <f>SUM(R19:R28)</f>
      </c>
      <c r="S29" s="50" t="n">
        <f>SUM(S19:S28)</f>
      </c>
    </row>
    <row r="30">
      <c r="B30" s="10"/>
      <c r="C30" s="15"/>
      <c r="D30" s="11"/>
      <c r="E30" s="40" t="s">
        <v>1422</v>
      </c>
      <c r="F30" s="39"/>
      <c r="G30" s="51" t="n">
        <f>G16+G17+G29</f>
      </c>
      <c r="H30" s="51" t="n">
        <f>H16+H17+H29</f>
      </c>
      <c r="I30" s="51" t="n">
        <f>I16+I17+I29</f>
      </c>
      <c r="J30" s="51" t="n">
        <f>J16+J17+J29</f>
      </c>
      <c r="K30" s="51" t="n">
        <f>K16+K17+K29</f>
      </c>
      <c r="L30" s="51" t="n">
        <f>L16+L17+L29</f>
      </c>
      <c r="M30" s="51" t="n">
        <f>M16+M17+M29</f>
      </c>
      <c r="N30" s="51" t="n">
        <f>N16+N17+N29</f>
      </c>
      <c r="O30" s="51" t="n">
        <f>O16+O17+O29</f>
      </c>
      <c r="P30" s="51" t="n">
        <f>P16+P17+P29</f>
      </c>
      <c r="Q30" s="51" t="n">
        <f>Q16+Q17+Q29</f>
      </c>
      <c r="R30" s="51" t="n">
        <f>R16+R17+R29</f>
      </c>
      <c r="S30" s="51" t="n">
        <f>S16+S17+S29</f>
      </c>
    </row>
    <row r="31">
      <c r="B31" s="10"/>
      <c r="C31" s="7" t="s">
        <v>1423</v>
      </c>
      <c r="D31" s="8"/>
      <c r="E31" s="8"/>
      <c r="F31" s="9"/>
      <c r="G31" s="22"/>
      <c r="H31" s="22"/>
      <c r="I31" s="22"/>
      <c r="J31" s="22"/>
      <c r="K31" s="22"/>
      <c r="L31" s="22"/>
      <c r="M31" s="22"/>
      <c r="N31" s="22"/>
      <c r="O31" s="22"/>
      <c r="P31" s="22"/>
      <c r="Q31" s="22"/>
      <c r="R31" s="22"/>
      <c r="S31" s="22"/>
    </row>
    <row r="32">
      <c r="B32" s="10"/>
      <c r="C32" s="10"/>
      <c r="D32" s="12" t="s">
        <v>1408</v>
      </c>
      <c r="E32" s="37"/>
      <c r="F32" s="13"/>
      <c r="G32" s="23"/>
      <c r="H32" s="23"/>
      <c r="I32" s="23"/>
      <c r="J32" s="23"/>
      <c r="K32" s="23"/>
      <c r="L32" s="23"/>
      <c r="M32" s="23"/>
      <c r="N32" s="23"/>
      <c r="O32" s="23"/>
      <c r="P32" s="23"/>
      <c r="Q32" s="23"/>
      <c r="R32" s="23"/>
      <c r="S32" s="23"/>
    </row>
    <row r="33">
      <c r="B33" s="10"/>
      <c r="C33" s="10"/>
      <c r="D33" s="14"/>
      <c r="E33" s="11" t="s">
        <v>1420</v>
      </c>
      <c r="F33" s="9"/>
      <c r="G33" s="50" t="n"/>
      <c r="H33" s="50" t="n"/>
      <c r="I33" s="50" t="n"/>
      <c r="J33" s="50" t="n"/>
      <c r="K33" s="50" t="n"/>
      <c r="L33" s="50" t="n"/>
      <c r="M33" s="50" t="n"/>
      <c r="N33" s="50" t="n"/>
      <c r="O33" s="50" t="n"/>
      <c r="P33" s="50" t="n"/>
      <c r="Q33" s="50" t="n"/>
      <c r="R33" s="50" t="n"/>
      <c r="S33" s="50" t="n"/>
    </row>
    <row r="34">
      <c r="B34" s="10"/>
      <c r="C34" s="10"/>
      <c r="D34" s="14"/>
      <c r="E34" s="15" t="s">
        <v>1421</v>
      </c>
      <c r="F34" s="13"/>
      <c r="G34" s="51" t="n"/>
      <c r="H34" s="51" t="n"/>
      <c r="I34" s="51" t="n"/>
      <c r="J34" s="51" t="n"/>
      <c r="K34" s="51" t="n"/>
      <c r="L34" s="51" t="n"/>
      <c r="M34" s="51" t="n"/>
      <c r="N34" s="51" t="n"/>
      <c r="O34" s="51" t="n"/>
      <c r="P34" s="51" t="n"/>
      <c r="Q34" s="51" t="n"/>
      <c r="R34" s="51" t="n"/>
      <c r="S34" s="51" t="n"/>
    </row>
    <row r="35">
      <c r="B35" s="10"/>
      <c r="C35" s="10"/>
      <c r="D35" s="14"/>
      <c r="E35" s="7" t="s">
        <v>1318</v>
      </c>
      <c r="F35" s="9"/>
      <c r="G35" s="22"/>
      <c r="H35" s="22"/>
      <c r="I35" s="22"/>
      <c r="J35" s="22"/>
      <c r="K35" s="22"/>
      <c r="L35" s="22"/>
      <c r="M35" s="22"/>
      <c r="N35" s="22"/>
      <c r="O35" s="22"/>
      <c r="P35" s="22"/>
      <c r="Q35" s="22"/>
      <c r="R35" s="22"/>
      <c r="S35" s="22"/>
    </row>
    <row r="36">
      <c r="B36" s="10"/>
      <c r="C36" s="10"/>
      <c r="D36" s="14"/>
      <c r="E36" s="10"/>
      <c r="F36" s="19" t="s">
        <v>1395</v>
      </c>
      <c r="G36" s="51" t="n"/>
      <c r="H36" s="51" t="n"/>
      <c r="I36" s="51" t="n"/>
      <c r="J36" s="51" t="n"/>
      <c r="K36" s="51" t="n"/>
      <c r="L36" s="51" t="n"/>
      <c r="M36" s="51" t="n"/>
      <c r="N36" s="51" t="n"/>
      <c r="O36" s="51" t="n"/>
      <c r="P36" s="51" t="n"/>
      <c r="Q36" s="51" t="n"/>
      <c r="R36" s="51" t="n"/>
      <c r="S36" s="51" t="n"/>
    </row>
    <row r="37">
      <c r="B37" s="10"/>
      <c r="C37" s="10"/>
      <c r="D37" s="14"/>
      <c r="E37" s="10"/>
      <c r="F37" s="18" t="s">
        <v>1396</v>
      </c>
      <c r="G37" s="50" t="n"/>
      <c r="H37" s="50" t="n"/>
      <c r="I37" s="50" t="n"/>
      <c r="J37" s="50" t="n"/>
      <c r="K37" s="50" t="n"/>
      <c r="L37" s="50" t="n"/>
      <c r="M37" s="50" t="n"/>
      <c r="N37" s="50" t="n"/>
      <c r="O37" s="50" t="n"/>
      <c r="P37" s="50" t="n"/>
      <c r="Q37" s="50" t="n"/>
      <c r="R37" s="50" t="n"/>
      <c r="S37" s="50" t="n"/>
    </row>
    <row r="38">
      <c r="B38" s="10"/>
      <c r="C38" s="10"/>
      <c r="D38" s="14"/>
      <c r="E38" s="10"/>
      <c r="F38" s="19" t="s">
        <v>1397</v>
      </c>
      <c r="G38" s="51" t="n"/>
      <c r="H38" s="51" t="n"/>
      <c r="I38" s="51" t="n"/>
      <c r="J38" s="51" t="n"/>
      <c r="K38" s="51" t="n"/>
      <c r="L38" s="51" t="n"/>
      <c r="M38" s="51" t="n"/>
      <c r="N38" s="51" t="n"/>
      <c r="O38" s="51" t="n"/>
      <c r="P38" s="51" t="n"/>
      <c r="Q38" s="51" t="n"/>
      <c r="R38" s="51" t="n"/>
      <c r="S38" s="51" t="n"/>
    </row>
    <row r="39">
      <c r="B39" s="10"/>
      <c r="C39" s="10"/>
      <c r="D39" s="14"/>
      <c r="E39" s="10"/>
      <c r="F39" s="18" t="s">
        <v>1398</v>
      </c>
      <c r="G39" s="50" t="n"/>
      <c r="H39" s="50" t="n"/>
      <c r="I39" s="50" t="n"/>
      <c r="J39" s="50" t="n"/>
      <c r="K39" s="50" t="n"/>
      <c r="L39" s="50" t="n"/>
      <c r="M39" s="50" t="n"/>
      <c r="N39" s="50" t="n"/>
      <c r="O39" s="50" t="n"/>
      <c r="P39" s="50" t="n"/>
      <c r="Q39" s="50" t="n"/>
      <c r="R39" s="50" t="n"/>
      <c r="S39" s="50" t="n"/>
    </row>
    <row r="40">
      <c r="B40" s="10"/>
      <c r="C40" s="10"/>
      <c r="D40" s="14"/>
      <c r="E40" s="10"/>
      <c r="F40" s="19" t="s">
        <v>1399</v>
      </c>
      <c r="G40" s="51" t="n"/>
      <c r="H40" s="51" t="n"/>
      <c r="I40" s="51" t="n"/>
      <c r="J40" s="51" t="n"/>
      <c r="K40" s="51" t="n"/>
      <c r="L40" s="51" t="n"/>
      <c r="M40" s="51" t="n"/>
      <c r="N40" s="51" t="n"/>
      <c r="O40" s="51" t="n"/>
      <c r="P40" s="51" t="n"/>
      <c r="Q40" s="51" t="n"/>
      <c r="R40" s="51" t="n"/>
      <c r="S40" s="51" t="n"/>
    </row>
    <row r="41">
      <c r="B41" s="10"/>
      <c r="C41" s="10"/>
      <c r="D41" s="14"/>
      <c r="E41" s="10"/>
      <c r="F41" s="18" t="s">
        <v>1400</v>
      </c>
      <c r="G41" s="50" t="n"/>
      <c r="H41" s="50" t="n"/>
      <c r="I41" s="50" t="n"/>
      <c r="J41" s="50" t="n"/>
      <c r="K41" s="50" t="n"/>
      <c r="L41" s="50" t="n"/>
      <c r="M41" s="50" t="n"/>
      <c r="N41" s="50" t="n"/>
      <c r="O41" s="50" t="n"/>
      <c r="P41" s="50" t="n"/>
      <c r="Q41" s="50" t="n"/>
      <c r="R41" s="50" t="n"/>
      <c r="S41" s="50" t="n"/>
    </row>
    <row r="42">
      <c r="B42" s="10"/>
      <c r="C42" s="10"/>
      <c r="D42" s="14"/>
      <c r="E42" s="10"/>
      <c r="F42" s="19" t="s">
        <v>1409</v>
      </c>
      <c r="G42" s="51" t="n"/>
      <c r="H42" s="51" t="n"/>
      <c r="I42" s="51" t="n"/>
      <c r="J42" s="51" t="n"/>
      <c r="K42" s="51" t="n"/>
      <c r="L42" s="51" t="n"/>
      <c r="M42" s="51" t="n"/>
      <c r="N42" s="51" t="n"/>
      <c r="O42" s="51" t="n"/>
      <c r="P42" s="51" t="n"/>
      <c r="Q42" s="51" t="n"/>
      <c r="R42" s="51" t="n"/>
      <c r="S42" s="51" t="n"/>
    </row>
    <row r="43">
      <c r="B43" s="10"/>
      <c r="C43" s="10"/>
      <c r="D43" s="14"/>
      <c r="E43" s="10"/>
      <c r="F43" s="18" t="s">
        <v>1410</v>
      </c>
      <c r="G43" s="50" t="n"/>
      <c r="H43" s="50" t="n"/>
      <c r="I43" s="50" t="n"/>
      <c r="J43" s="50" t="n"/>
      <c r="K43" s="50" t="n"/>
      <c r="L43" s="50" t="n"/>
      <c r="M43" s="50" t="n"/>
      <c r="N43" s="50" t="n"/>
      <c r="O43" s="50" t="n"/>
      <c r="P43" s="50" t="n"/>
      <c r="Q43" s="50" t="n"/>
      <c r="R43" s="50" t="n"/>
      <c r="S43" s="50" t="n"/>
    </row>
    <row r="44">
      <c r="B44" s="10"/>
      <c r="C44" s="10"/>
      <c r="D44" s="14"/>
      <c r="E44" s="10"/>
      <c r="F44" s="19" t="s">
        <v>1411</v>
      </c>
      <c r="G44" s="51" t="n"/>
      <c r="H44" s="51" t="n"/>
      <c r="I44" s="51" t="n"/>
      <c r="J44" s="51" t="n"/>
      <c r="K44" s="51" t="n"/>
      <c r="L44" s="51" t="n"/>
      <c r="M44" s="51" t="n"/>
      <c r="N44" s="51" t="n"/>
      <c r="O44" s="51" t="n"/>
      <c r="P44" s="51" t="n"/>
      <c r="Q44" s="51" t="n"/>
      <c r="R44" s="51" t="n"/>
      <c r="S44" s="51" t="n"/>
    </row>
    <row r="45">
      <c r="B45" s="10"/>
      <c r="C45" s="10"/>
      <c r="D45" s="14"/>
      <c r="E45" s="10"/>
      <c r="F45" s="18" t="s">
        <v>1412</v>
      </c>
      <c r="G45" s="50" t="n"/>
      <c r="H45" s="50" t="n"/>
      <c r="I45" s="50" t="n"/>
      <c r="J45" s="50" t="n"/>
      <c r="K45" s="50" t="n"/>
      <c r="L45" s="50" t="n"/>
      <c r="M45" s="50" t="n"/>
      <c r="N45" s="50" t="n"/>
      <c r="O45" s="50" t="n"/>
      <c r="P45" s="50" t="n"/>
      <c r="Q45" s="50" t="n"/>
      <c r="R45" s="50" t="n"/>
      <c r="S45" s="50" t="n"/>
    </row>
    <row r="46">
      <c r="B46" s="10"/>
      <c r="C46" s="10"/>
      <c r="D46" s="14"/>
      <c r="E46" s="11"/>
      <c r="F46" s="57" t="s">
        <v>1405</v>
      </c>
      <c r="G46" s="51" t="n">
        <f>SUM(G36:G45)</f>
      </c>
      <c r="H46" s="51" t="n">
        <f>SUM(H36:H45)</f>
      </c>
      <c r="I46" s="51" t="n">
        <f>SUM(I36:I45)</f>
      </c>
      <c r="J46" s="51" t="n">
        <f>SUM(J36:J45)</f>
      </c>
      <c r="K46" s="51" t="n">
        <f>SUM(K36:K45)</f>
      </c>
      <c r="L46" s="51" t="n">
        <f>SUM(L36:L45)</f>
      </c>
      <c r="M46" s="51" t="n">
        <f>SUM(M36:M45)</f>
      </c>
      <c r="N46" s="51" t="n">
        <f>SUM(N36:N45)</f>
      </c>
      <c r="O46" s="51" t="n">
        <f>SUM(O36:O45)</f>
      </c>
      <c r="P46" s="51" t="n">
        <f>SUM(P36:P45)</f>
      </c>
      <c r="Q46" s="51" t="n">
        <f>SUM(Q36:Q45)</f>
      </c>
      <c r="R46" s="51" t="n">
        <f>SUM(R36:R45)</f>
      </c>
      <c r="S46" s="51" t="n">
        <f>SUM(S36:S45)</f>
      </c>
    </row>
    <row r="47">
      <c r="B47" s="10"/>
      <c r="C47" s="11"/>
      <c r="D47" s="15"/>
      <c r="E47" s="45" t="s">
        <v>1424</v>
      </c>
      <c r="F47" s="44"/>
      <c r="G47" s="50" t="n">
        <f>G33+G34+G46</f>
      </c>
      <c r="H47" s="50" t="n">
        <f>H33+H34+H46</f>
      </c>
      <c r="I47" s="50" t="n">
        <f>I33+I34+I46</f>
      </c>
      <c r="J47" s="50" t="n">
        <f>J33+J34+J46</f>
      </c>
      <c r="K47" s="50" t="n">
        <f>K33+K34+K46</f>
      </c>
      <c r="L47" s="50" t="n">
        <f>L33+L34+L46</f>
      </c>
      <c r="M47" s="50" t="n">
        <f>M33+M34+M46</f>
      </c>
      <c r="N47" s="50" t="n">
        <f>N33+N34+N46</f>
      </c>
      <c r="O47" s="50" t="n">
        <f>O33+O34+O46</f>
      </c>
      <c r="P47" s="50" t="n">
        <f>P33+P34+P46</f>
      </c>
      <c r="Q47" s="50" t="n">
        <f>Q33+Q34+Q46</f>
      </c>
      <c r="R47" s="50" t="n">
        <f>R33+R34+R46</f>
      </c>
      <c r="S47" s="50" t="n">
        <f>S33+S34+S46</f>
      </c>
    </row>
    <row r="48">
      <c r="B48" s="11"/>
      <c r="C48" s="40" t="s">
        <v>1425</v>
      </c>
      <c r="D48" s="41"/>
      <c r="E48" s="41"/>
      <c r="F48" s="39"/>
      <c r="G48" s="52" t="n">
        <f>-G47+G30</f>
      </c>
      <c r="H48" s="52" t="n">
        <f>-H47+H30</f>
      </c>
      <c r="I48" s="52" t="n">
        <f>-I47+I30</f>
      </c>
      <c r="J48" s="52" t="n">
        <f>-J47+J30</f>
      </c>
      <c r="K48" s="52" t="n">
        <f>-K47+K30</f>
      </c>
      <c r="L48" s="52" t="n">
        <f>-L47+L30</f>
      </c>
      <c r="M48" s="52" t="n">
        <f>-M47+M30</f>
      </c>
      <c r="N48" s="52" t="n">
        <f>-N47+N30</f>
      </c>
      <c r="O48" s="52" t="n">
        <f>-O47+O30</f>
      </c>
      <c r="P48" s="52" t="n">
        <f>-P47+P30</f>
      </c>
      <c r="Q48" s="52" t="n">
        <f>-Q47+Q30</f>
      </c>
      <c r="R48" s="52" t="n">
        <f>-R47+R30</f>
      </c>
      <c r="S48" s="52" t="n">
        <f>-S47+S30</f>
      </c>
    </row>
  </sheetData>
  <mergeCells>
    <mergeCell ref="G10:S10"/>
    <mergeCell ref="G11:I11"/>
    <mergeCell ref="J11:S11"/>
    <mergeCell ref="B13:F13"/>
    <mergeCell ref="C14:F14"/>
    <mergeCell ref="D15:F15"/>
    <mergeCell ref="E16:F16"/>
    <mergeCell ref="E17:F17"/>
    <mergeCell ref="E18:F18"/>
    <mergeCell ref="E30:F30"/>
    <mergeCell ref="C31:F31"/>
    <mergeCell ref="D32:F32"/>
    <mergeCell ref="E33:F33"/>
    <mergeCell ref="E34:F34"/>
    <mergeCell ref="E35:F35"/>
    <mergeCell ref="E47:F47"/>
    <mergeCell ref="C48:F48"/>
  </mergeCells>
  <hyperlinks>
    <hyperlink location="'Indice'!A1" ref="B2"/>
  </hyperlinks>
  <pageMargins bottom="0.75" footer="0.3" header="0.3" left="0.7" right="0.7" top="0.75"/>
</worksheet>
</file>

<file path=xl/worksheets/sheet50.xml><?xml version="1.0" encoding="utf-8"?>
<worksheet xmlns="http://schemas.openxmlformats.org/spreadsheetml/2006/main">
  <dimension ref="B2:R40"/>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s>
  <sheetData>
    <row r="2">
      <c r="B2" t="s" s="2">
        <v>1</v>
      </c>
    </row>
    <row r="3">
      <c r="B3" t="s" s="1">
        <v>3</v>
      </c>
      <c r="C3" t="s">
        <v>4</v>
      </c>
    </row>
    <row r="4">
      <c r="B4" s="1" t="s">
        <v>5</v>
      </c>
      <c r="C4" t="s">
        <v>6</v>
      </c>
    </row>
    <row r="5">
      <c r="B5" t="s" s="1">
        <v>7</v>
      </c>
      <c r="C5" t="s">
        <v>1426</v>
      </c>
    </row>
    <row r="6">
      <c r="B6" t="s" s="1">
        <v>8</v>
      </c>
      <c r="C6" t="s">
        <v>9</v>
      </c>
    </row>
    <row r="7">
      <c r="B7" t="s" s="1">
        <v>10</v>
      </c>
      <c r="C7" t="s">
        <v>9</v>
      </c>
    </row>
    <row r="8">
      <c r="B8" t="s" s="1">
        <v>11</v>
      </c>
      <c r="C8" t="s">
        <v>12</v>
      </c>
    </row>
    <row r="10">
      <c r="E10" t="s" s="4">
        <v>1427</v>
      </c>
      <c r="F10" s="29"/>
      <c r="G10" s="29"/>
      <c r="H10" s="29"/>
      <c r="I10" s="29"/>
      <c r="J10" s="29"/>
      <c r="K10" s="29"/>
      <c r="L10" s="29"/>
      <c r="M10" s="29"/>
      <c r="N10" s="29"/>
      <c r="O10" s="29"/>
      <c r="P10" s="29"/>
      <c r="Q10" s="30"/>
    </row>
    <row r="11">
      <c r="E11" t="s" s="32">
        <v>1379</v>
      </c>
      <c r="F11" s="61"/>
      <c r="G11" s="62"/>
      <c r="H11" t="s" s="4">
        <v>35</v>
      </c>
      <c r="I11" s="29"/>
      <c r="J11" s="29"/>
      <c r="K11" s="29"/>
      <c r="L11" s="29"/>
      <c r="M11" s="29"/>
      <c r="N11" s="29"/>
      <c r="O11" s="29"/>
      <c r="P11" s="29"/>
      <c r="Q11" s="30"/>
    </row>
    <row r="12">
      <c r="E12" t="s" s="6">
        <v>1380</v>
      </c>
      <c r="F12" t="s" s="34">
        <v>1381</v>
      </c>
      <c r="G12" s="63"/>
      <c r="H12" t="s" s="34">
        <v>1382</v>
      </c>
      <c r="I12" t="s" s="6">
        <v>1383</v>
      </c>
      <c r="J12" t="s" s="34">
        <v>1384</v>
      </c>
      <c r="K12" t="s" s="6">
        <v>1385</v>
      </c>
      <c r="L12" t="s" s="34">
        <v>1386</v>
      </c>
      <c r="M12" t="s" s="6">
        <v>1387</v>
      </c>
      <c r="N12" t="s" s="34">
        <v>1388</v>
      </c>
      <c r="O12" t="s" s="6">
        <v>1389</v>
      </c>
      <c r="P12" t="s" s="34">
        <v>1390</v>
      </c>
      <c r="Q12" s="36"/>
    </row>
    <row r="13" ht="28.0" customHeight="true">
      <c r="B13" s="7" t="s">
        <v>1428</v>
      </c>
      <c r="C13" s="8"/>
      <c r="D13" s="9"/>
      <c r="E13" s="22"/>
      <c r="F13" s="22"/>
      <c r="G13" s="22"/>
      <c r="H13" s="22"/>
      <c r="I13" s="22"/>
      <c r="J13" s="22"/>
      <c r="K13" s="22"/>
      <c r="L13" s="22"/>
      <c r="M13" s="22"/>
      <c r="N13" s="22"/>
      <c r="O13" s="22"/>
      <c r="P13" s="22"/>
      <c r="Q13" s="22"/>
    </row>
    <row r="14">
      <c r="B14" s="10"/>
      <c r="C14" s="12" t="s">
        <v>1429</v>
      </c>
      <c r="D14" s="13"/>
      <c r="E14" s="23"/>
      <c r="F14" s="23"/>
      <c r="G14" s="23"/>
      <c r="H14" s="23"/>
      <c r="I14" s="23"/>
      <c r="J14" s="23"/>
      <c r="K14" s="23"/>
      <c r="L14" s="23"/>
      <c r="M14" s="23"/>
      <c r="N14" s="23"/>
      <c r="O14" s="23"/>
      <c r="P14" s="23"/>
      <c r="Q14" s="23"/>
    </row>
    <row r="15">
      <c r="B15" s="10"/>
      <c r="C15" s="14"/>
      <c r="D15" s="18" t="s">
        <v>1395</v>
      </c>
      <c r="E15" s="50" t="n"/>
      <c r="F15" s="50" t="n"/>
      <c r="G15" s="50" t="n"/>
      <c r="H15" s="50" t="n"/>
      <c r="I15" s="50" t="n"/>
      <c r="J15" s="50" t="n"/>
      <c r="K15" s="50" t="n"/>
      <c r="L15" s="50" t="n"/>
      <c r="M15" s="50" t="n"/>
      <c r="N15" s="50" t="n"/>
      <c r="O15" s="50" t="n"/>
      <c r="P15" s="50" t="n"/>
      <c r="Q15" s="50" t="n"/>
    </row>
    <row r="16">
      <c r="B16" s="10"/>
      <c r="C16" s="14"/>
      <c r="D16" s="19" t="s">
        <v>1396</v>
      </c>
      <c r="E16" s="51" t="n"/>
      <c r="F16" s="51" t="n"/>
      <c r="G16" s="51" t="n"/>
      <c r="H16" s="51" t="n"/>
      <c r="I16" s="51" t="n"/>
      <c r="J16" s="51" t="n"/>
      <c r="K16" s="51" t="n"/>
      <c r="L16" s="51" t="n"/>
      <c r="M16" s="51" t="n"/>
      <c r="N16" s="51" t="n"/>
      <c r="O16" s="51" t="n"/>
      <c r="P16" s="51" t="n"/>
      <c r="Q16" s="51" t="n"/>
    </row>
    <row r="17">
      <c r="B17" s="10"/>
      <c r="C17" s="14"/>
      <c r="D17" s="18" t="s">
        <v>1397</v>
      </c>
      <c r="E17" s="50" t="n"/>
      <c r="F17" s="50" t="n"/>
      <c r="G17" s="50" t="n"/>
      <c r="H17" s="50" t="n"/>
      <c r="I17" s="50" t="n"/>
      <c r="J17" s="50" t="n"/>
      <c r="K17" s="50" t="n"/>
      <c r="L17" s="50" t="n"/>
      <c r="M17" s="50" t="n"/>
      <c r="N17" s="50" t="n"/>
      <c r="O17" s="50" t="n"/>
      <c r="P17" s="50" t="n"/>
      <c r="Q17" s="50" t="n"/>
    </row>
    <row r="18">
      <c r="B18" s="10"/>
      <c r="C18" s="14"/>
      <c r="D18" s="19" t="s">
        <v>1398</v>
      </c>
      <c r="E18" s="51" t="n"/>
      <c r="F18" s="51" t="n"/>
      <c r="G18" s="51" t="n"/>
      <c r="H18" s="51" t="n"/>
      <c r="I18" s="51" t="n"/>
      <c r="J18" s="51" t="n"/>
      <c r="K18" s="51" t="n"/>
      <c r="L18" s="51" t="n"/>
      <c r="M18" s="51" t="n"/>
      <c r="N18" s="51" t="n"/>
      <c r="O18" s="51" t="n"/>
      <c r="P18" s="51" t="n"/>
      <c r="Q18" s="51" t="n"/>
    </row>
    <row r="19">
      <c r="B19" s="10"/>
      <c r="C19" s="14"/>
      <c r="D19" s="18" t="s">
        <v>1399</v>
      </c>
      <c r="E19" s="50" t="n"/>
      <c r="F19" s="50" t="n"/>
      <c r="G19" s="50" t="n"/>
      <c r="H19" s="50" t="n"/>
      <c r="I19" s="50" t="n"/>
      <c r="J19" s="50" t="n"/>
      <c r="K19" s="50" t="n"/>
      <c r="L19" s="50" t="n"/>
      <c r="M19" s="50" t="n"/>
      <c r="N19" s="50" t="n"/>
      <c r="O19" s="50" t="n"/>
      <c r="P19" s="50" t="n"/>
      <c r="Q19" s="50" t="n"/>
    </row>
    <row r="20">
      <c r="B20" s="10"/>
      <c r="C20" s="14"/>
      <c r="D20" s="19" t="s">
        <v>1400</v>
      </c>
      <c r="E20" s="51" t="n"/>
      <c r="F20" s="51" t="n"/>
      <c r="G20" s="51" t="n"/>
      <c r="H20" s="51" t="n"/>
      <c r="I20" s="51" t="n"/>
      <c r="J20" s="51" t="n"/>
      <c r="K20" s="51" t="n"/>
      <c r="L20" s="51" t="n"/>
      <c r="M20" s="51" t="n"/>
      <c r="N20" s="51" t="n"/>
      <c r="O20" s="51" t="n"/>
      <c r="P20" s="51" t="n"/>
      <c r="Q20" s="51" t="n"/>
    </row>
    <row r="21">
      <c r="B21" s="10"/>
      <c r="C21" s="14"/>
      <c r="D21" s="18" t="s">
        <v>1401</v>
      </c>
      <c r="E21" s="50" t="n"/>
      <c r="F21" s="50" t="n"/>
      <c r="G21" s="50" t="n"/>
      <c r="H21" s="50" t="n"/>
      <c r="I21" s="50" t="n"/>
      <c r="J21" s="50" t="n"/>
      <c r="K21" s="50" t="n"/>
      <c r="L21" s="50" t="n"/>
      <c r="M21" s="50" t="n"/>
      <c r="N21" s="50" t="n"/>
      <c r="O21" s="50" t="n"/>
      <c r="P21" s="50" t="n"/>
      <c r="Q21" s="50" t="n"/>
    </row>
    <row r="22">
      <c r="B22" s="10"/>
      <c r="C22" s="14"/>
      <c r="D22" s="19" t="s">
        <v>1402</v>
      </c>
      <c r="E22" s="51" t="n"/>
      <c r="F22" s="51" t="n"/>
      <c r="G22" s="51" t="n"/>
      <c r="H22" s="51" t="n"/>
      <c r="I22" s="51" t="n"/>
      <c r="J22" s="51" t="n"/>
      <c r="K22" s="51" t="n"/>
      <c r="L22" s="51" t="n"/>
      <c r="M22" s="51" t="n"/>
      <c r="N22" s="51" t="n"/>
      <c r="O22" s="51" t="n"/>
      <c r="P22" s="51" t="n"/>
      <c r="Q22" s="51" t="n"/>
    </row>
    <row r="23">
      <c r="B23" s="10"/>
      <c r="C23" s="14"/>
      <c r="D23" s="18" t="s">
        <v>1403</v>
      </c>
      <c r="E23" s="50" t="n"/>
      <c r="F23" s="50" t="n"/>
      <c r="G23" s="50" t="n"/>
      <c r="H23" s="50" t="n"/>
      <c r="I23" s="50" t="n"/>
      <c r="J23" s="50" t="n"/>
      <c r="K23" s="50" t="n"/>
      <c r="L23" s="50" t="n"/>
      <c r="M23" s="50" t="n"/>
      <c r="N23" s="50" t="n"/>
      <c r="O23" s="50" t="n"/>
      <c r="P23" s="50" t="n"/>
      <c r="Q23" s="50" t="n"/>
    </row>
    <row r="24">
      <c r="B24" s="10"/>
      <c r="C24" s="14"/>
      <c r="D24" s="19" t="s">
        <v>1404</v>
      </c>
      <c r="E24" s="51" t="n"/>
      <c r="F24" s="51" t="n"/>
      <c r="G24" s="51" t="n"/>
      <c r="H24" s="51" t="n"/>
      <c r="I24" s="51" t="n"/>
      <c r="J24" s="51" t="n"/>
      <c r="K24" s="51" t="n"/>
      <c r="L24" s="51" t="n"/>
      <c r="M24" s="51" t="n"/>
      <c r="N24" s="51" t="n"/>
      <c r="O24" s="51" t="n"/>
      <c r="P24" s="51" t="n"/>
      <c r="Q24" s="51" t="n"/>
    </row>
    <row r="25">
      <c r="B25" s="10"/>
      <c r="C25" s="14"/>
      <c r="D25" s="18" t="s">
        <v>1299</v>
      </c>
      <c r="E25" s="50" t="n"/>
      <c r="F25" s="50" t="n"/>
      <c r="G25" s="50" t="n"/>
      <c r="H25" s="50" t="n"/>
      <c r="I25" s="50" t="n"/>
      <c r="J25" s="50" t="n"/>
      <c r="K25" s="50" t="n"/>
      <c r="L25" s="50" t="n"/>
      <c r="M25" s="50" t="n"/>
      <c r="N25" s="50" t="n"/>
      <c r="O25" s="50" t="n"/>
      <c r="P25" s="50" t="n"/>
      <c r="Q25" s="50" t="n"/>
    </row>
    <row r="26">
      <c r="B26" s="10"/>
      <c r="C26" s="15"/>
      <c r="D26" s="19" t="s">
        <v>1430</v>
      </c>
      <c r="E26" s="51" t="n">
        <f>SUM(E15:E25)</f>
      </c>
      <c r="F26" s="51" t="n">
        <f>SUM(F15:F25)</f>
      </c>
      <c r="G26" s="51" t="n">
        <f>SUM(G15:G25)</f>
      </c>
      <c r="H26" s="51" t="n">
        <f>SUM(H15:H25)</f>
      </c>
      <c r="I26" s="51" t="n">
        <f>SUM(I15:I25)</f>
      </c>
      <c r="J26" s="51" t="n">
        <f>SUM(J15:J25)</f>
      </c>
      <c r="K26" s="51" t="n">
        <f>SUM(K15:K25)</f>
      </c>
      <c r="L26" s="51" t="n">
        <f>SUM(L15:L25)</f>
      </c>
      <c r="M26" s="51" t="n">
        <f>SUM(M15:M25)</f>
      </c>
      <c r="N26" s="51" t="n">
        <f>SUM(N15:N25)</f>
      </c>
      <c r="O26" s="51" t="n">
        <f>SUM(O15:O25)</f>
      </c>
      <c r="P26" s="51" t="n">
        <f>SUM(P15:P25)</f>
      </c>
      <c r="Q26" s="51" t="n">
        <f>SUM(Q15:Q25)</f>
      </c>
    </row>
    <row r="27">
      <c r="B27" s="10"/>
      <c r="C27" s="7" t="s">
        <v>1431</v>
      </c>
      <c r="D27" s="9"/>
      <c r="E27" s="22"/>
      <c r="F27" s="22"/>
      <c r="G27" s="22"/>
      <c r="H27" s="22"/>
      <c r="I27" s="22"/>
      <c r="J27" s="22"/>
      <c r="K27" s="22"/>
      <c r="L27" s="22"/>
      <c r="M27" s="22"/>
      <c r="N27" s="22"/>
      <c r="O27" s="22"/>
      <c r="P27" s="22"/>
      <c r="Q27" s="22"/>
    </row>
    <row r="28">
      <c r="B28" s="10"/>
      <c r="C28" s="10"/>
      <c r="D28" s="19" t="s">
        <v>1395</v>
      </c>
      <c r="E28" s="51" t="n"/>
      <c r="F28" s="51" t="n"/>
      <c r="G28" s="51" t="n"/>
      <c r="H28" s="51" t="n"/>
      <c r="I28" s="51" t="n"/>
      <c r="J28" s="51" t="n"/>
      <c r="K28" s="51" t="n"/>
      <c r="L28" s="51" t="n"/>
      <c r="M28" s="51" t="n"/>
      <c r="N28" s="51" t="n"/>
      <c r="O28" s="51" t="n"/>
      <c r="P28" s="51" t="n"/>
      <c r="Q28" s="51" t="n"/>
    </row>
    <row r="29">
      <c r="B29" s="10"/>
      <c r="C29" s="10"/>
      <c r="D29" s="18" t="s">
        <v>1396</v>
      </c>
      <c r="E29" s="50" t="n"/>
      <c r="F29" s="50" t="n"/>
      <c r="G29" s="50" t="n"/>
      <c r="H29" s="50" t="n"/>
      <c r="I29" s="50" t="n"/>
      <c r="J29" s="50" t="n"/>
      <c r="K29" s="50" t="n"/>
      <c r="L29" s="50" t="n"/>
      <c r="M29" s="50" t="n"/>
      <c r="N29" s="50" t="n"/>
      <c r="O29" s="50" t="n"/>
      <c r="P29" s="50" t="n"/>
      <c r="Q29" s="50" t="n"/>
    </row>
    <row r="30">
      <c r="B30" s="10"/>
      <c r="C30" s="10"/>
      <c r="D30" s="19" t="s">
        <v>1397</v>
      </c>
      <c r="E30" s="51" t="n"/>
      <c r="F30" s="51" t="n"/>
      <c r="G30" s="51" t="n"/>
      <c r="H30" s="51" t="n"/>
      <c r="I30" s="51" t="n"/>
      <c r="J30" s="51" t="n"/>
      <c r="K30" s="51" t="n"/>
      <c r="L30" s="51" t="n"/>
      <c r="M30" s="51" t="n"/>
      <c r="N30" s="51" t="n"/>
      <c r="O30" s="51" t="n"/>
      <c r="P30" s="51" t="n"/>
      <c r="Q30" s="51" t="n"/>
    </row>
    <row r="31">
      <c r="B31" s="10"/>
      <c r="C31" s="10"/>
      <c r="D31" s="18" t="s">
        <v>1398</v>
      </c>
      <c r="E31" s="50" t="n"/>
      <c r="F31" s="50" t="n"/>
      <c r="G31" s="50" t="n"/>
      <c r="H31" s="50" t="n"/>
      <c r="I31" s="50" t="n"/>
      <c r="J31" s="50" t="n"/>
      <c r="K31" s="50" t="n"/>
      <c r="L31" s="50" t="n"/>
      <c r="M31" s="50" t="n"/>
      <c r="N31" s="50" t="n"/>
      <c r="O31" s="50" t="n"/>
      <c r="P31" s="50" t="n"/>
      <c r="Q31" s="50" t="n"/>
    </row>
    <row r="32">
      <c r="B32" s="10"/>
      <c r="C32" s="10"/>
      <c r="D32" s="19" t="s">
        <v>1399</v>
      </c>
      <c r="E32" s="51" t="n"/>
      <c r="F32" s="51" t="n"/>
      <c r="G32" s="51" t="n"/>
      <c r="H32" s="51" t="n"/>
      <c r="I32" s="51" t="n"/>
      <c r="J32" s="51" t="n"/>
      <c r="K32" s="51" t="n"/>
      <c r="L32" s="51" t="n"/>
      <c r="M32" s="51" t="n"/>
      <c r="N32" s="51" t="n"/>
      <c r="O32" s="51" t="n"/>
      <c r="P32" s="51" t="n"/>
      <c r="Q32" s="51" t="n"/>
    </row>
    <row r="33">
      <c r="B33" s="10"/>
      <c r="C33" s="10"/>
      <c r="D33" s="18" t="s">
        <v>1400</v>
      </c>
      <c r="E33" s="50" t="n"/>
      <c r="F33" s="50" t="n"/>
      <c r="G33" s="50" t="n"/>
      <c r="H33" s="50" t="n"/>
      <c r="I33" s="50" t="n"/>
      <c r="J33" s="50" t="n"/>
      <c r="K33" s="50" t="n"/>
      <c r="L33" s="50" t="n"/>
      <c r="M33" s="50" t="n"/>
      <c r="N33" s="50" t="n"/>
      <c r="O33" s="50" t="n"/>
      <c r="P33" s="50" t="n"/>
      <c r="Q33" s="50" t="n"/>
    </row>
    <row r="34">
      <c r="B34" s="10"/>
      <c r="C34" s="10"/>
      <c r="D34" s="19" t="s">
        <v>1409</v>
      </c>
      <c r="E34" s="51" t="n"/>
      <c r="F34" s="51" t="n"/>
      <c r="G34" s="51" t="n"/>
      <c r="H34" s="51" t="n"/>
      <c r="I34" s="51" t="n"/>
      <c r="J34" s="51" t="n"/>
      <c r="K34" s="51" t="n"/>
      <c r="L34" s="51" t="n"/>
      <c r="M34" s="51" t="n"/>
      <c r="N34" s="51" t="n"/>
      <c r="O34" s="51" t="n"/>
      <c r="P34" s="51" t="n"/>
      <c r="Q34" s="51" t="n"/>
    </row>
    <row r="35">
      <c r="B35" s="10"/>
      <c r="C35" s="10"/>
      <c r="D35" s="18" t="s">
        <v>1410</v>
      </c>
      <c r="E35" s="50" t="n"/>
      <c r="F35" s="50" t="n"/>
      <c r="G35" s="50" t="n"/>
      <c r="H35" s="50" t="n"/>
      <c r="I35" s="50" t="n"/>
      <c r="J35" s="50" t="n"/>
      <c r="K35" s="50" t="n"/>
      <c r="L35" s="50" t="n"/>
      <c r="M35" s="50" t="n"/>
      <c r="N35" s="50" t="n"/>
      <c r="O35" s="50" t="n"/>
      <c r="P35" s="50" t="n"/>
      <c r="Q35" s="50" t="n"/>
    </row>
    <row r="36">
      <c r="B36" s="10"/>
      <c r="C36" s="10"/>
      <c r="D36" s="19" t="s">
        <v>1411</v>
      </c>
      <c r="E36" s="51" t="n"/>
      <c r="F36" s="51" t="n"/>
      <c r="G36" s="51" t="n"/>
      <c r="H36" s="51" t="n"/>
      <c r="I36" s="51" t="n"/>
      <c r="J36" s="51" t="n"/>
      <c r="K36" s="51" t="n"/>
      <c r="L36" s="51" t="n"/>
      <c r="M36" s="51" t="n"/>
      <c r="N36" s="51" t="n"/>
      <c r="O36" s="51" t="n"/>
      <c r="P36" s="51" t="n"/>
      <c r="Q36" s="51" t="n"/>
    </row>
    <row r="37">
      <c r="B37" s="10"/>
      <c r="C37" s="10"/>
      <c r="D37" s="18" t="s">
        <v>1412</v>
      </c>
      <c r="E37" s="50" t="n"/>
      <c r="F37" s="50" t="n"/>
      <c r="G37" s="50" t="n"/>
      <c r="H37" s="50" t="n"/>
      <c r="I37" s="50" t="n"/>
      <c r="J37" s="50" t="n"/>
      <c r="K37" s="50" t="n"/>
      <c r="L37" s="50" t="n"/>
      <c r="M37" s="50" t="n"/>
      <c r="N37" s="50" t="n"/>
      <c r="O37" s="50" t="n"/>
      <c r="P37" s="50" t="n"/>
      <c r="Q37" s="50" t="n"/>
    </row>
    <row r="38">
      <c r="B38" s="10"/>
      <c r="C38" s="10"/>
      <c r="D38" s="19" t="s">
        <v>1299</v>
      </c>
      <c r="E38" s="51" t="n"/>
      <c r="F38" s="51" t="n"/>
      <c r="G38" s="51" t="n"/>
      <c r="H38" s="51" t="n"/>
      <c r="I38" s="51" t="n"/>
      <c r="J38" s="51" t="n"/>
      <c r="K38" s="51" t="n"/>
      <c r="L38" s="51" t="n"/>
      <c r="M38" s="51" t="n"/>
      <c r="N38" s="51" t="n"/>
      <c r="O38" s="51" t="n"/>
      <c r="P38" s="51" t="n"/>
      <c r="Q38" s="51" t="n"/>
    </row>
    <row r="39">
      <c r="B39" s="10"/>
      <c r="C39" s="11"/>
      <c r="D39" s="65" t="s">
        <v>1432</v>
      </c>
      <c r="E39" s="50" t="n">
        <f>SUM(E28:E38)</f>
      </c>
      <c r="F39" s="50" t="n">
        <f>SUM(F28:F38)</f>
      </c>
      <c r="G39" s="50" t="n">
        <f>SUM(G28:G38)</f>
      </c>
      <c r="H39" s="50" t="n">
        <f>SUM(H28:H38)</f>
      </c>
      <c r="I39" s="50" t="n">
        <f>SUM(I28:I38)</f>
      </c>
      <c r="J39" s="50" t="n">
        <f>SUM(J28:J38)</f>
      </c>
      <c r="K39" s="50" t="n">
        <f>SUM(K28:K38)</f>
      </c>
      <c r="L39" s="50" t="n">
        <f>SUM(L28:L38)</f>
      </c>
      <c r="M39" s="50" t="n">
        <f>SUM(M28:M38)</f>
      </c>
      <c r="N39" s="50" t="n">
        <f>SUM(N28:N38)</f>
      </c>
      <c r="O39" s="50" t="n">
        <f>SUM(O28:O38)</f>
      </c>
      <c r="P39" s="50" t="n">
        <f>SUM(P28:P38)</f>
      </c>
      <c r="Q39" s="50" t="n">
        <f>SUM(Q28:Q38)</f>
      </c>
    </row>
    <row r="40">
      <c r="B40" s="11"/>
      <c r="C40" s="40" t="s">
        <v>1433</v>
      </c>
      <c r="D40" s="39"/>
      <c r="E40" s="52" t="n">
        <f>E26-E39</f>
      </c>
      <c r="F40" s="52" t="n">
        <f>F26-F39</f>
      </c>
      <c r="G40" s="52" t="n">
        <f>G26-G39</f>
      </c>
      <c r="H40" s="52" t="n">
        <f>H26-H39</f>
      </c>
      <c r="I40" s="52" t="n">
        <f>I26-I39</f>
      </c>
      <c r="J40" s="52" t="n">
        <f>J26-J39</f>
      </c>
      <c r="K40" s="52" t="n">
        <f>K26-K39</f>
      </c>
      <c r="L40" s="52" t="n">
        <f>L26-L39</f>
      </c>
      <c r="M40" s="52" t="n">
        <f>M26-M39</f>
      </c>
      <c r="N40" s="52" t="n">
        <f>N26-N39</f>
      </c>
      <c r="O40" s="52" t="n">
        <f>O26-O39</f>
      </c>
      <c r="P40" s="52" t="n">
        <f>P26-P39</f>
      </c>
      <c r="Q40" s="52" t="n">
        <f>Q26-Q39</f>
      </c>
    </row>
  </sheetData>
  <mergeCells>
    <mergeCell ref="E10:Q10"/>
    <mergeCell ref="E11:G11"/>
    <mergeCell ref="H11:Q11"/>
    <mergeCell ref="B13:D13"/>
    <mergeCell ref="C14:D14"/>
    <mergeCell ref="C27:D27"/>
    <mergeCell ref="C40:D40"/>
  </mergeCells>
  <hyperlinks>
    <hyperlink location="'Indice'!A1" ref="B2"/>
  </hyperlinks>
  <pageMargins bottom="0.75" footer="0.3" header="0.3" left="0.7" right="0.7" top="0.75"/>
</worksheet>
</file>

<file path=xl/worksheets/sheet51.xml><?xml version="1.0" encoding="utf-8"?>
<worksheet xmlns="http://schemas.openxmlformats.org/spreadsheetml/2006/main">
  <dimension ref="B2:S82"/>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s>
  <sheetData>
    <row r="2">
      <c r="B2" t="s" s="2">
        <v>1</v>
      </c>
    </row>
    <row r="3">
      <c r="B3" t="s" s="1">
        <v>3</v>
      </c>
      <c r="C3" t="s">
        <v>4</v>
      </c>
    </row>
    <row r="4">
      <c r="B4" s="1" t="s">
        <v>5</v>
      </c>
      <c r="C4" t="s">
        <v>6</v>
      </c>
    </row>
    <row r="5">
      <c r="B5" t="s" s="1">
        <v>7</v>
      </c>
      <c r="C5" t="s">
        <v>1434</v>
      </c>
    </row>
    <row r="6">
      <c r="B6" t="s" s="1">
        <v>8</v>
      </c>
      <c r="C6" t="s">
        <v>9</v>
      </c>
    </row>
    <row r="7">
      <c r="B7" t="s" s="1">
        <v>10</v>
      </c>
      <c r="C7" t="s">
        <v>9</v>
      </c>
    </row>
    <row r="8">
      <c r="B8" t="s" s="1">
        <v>11</v>
      </c>
      <c r="C8" t="s">
        <v>12</v>
      </c>
    </row>
    <row r="10">
      <c r="F10" t="s" s="4">
        <v>1435</v>
      </c>
      <c r="G10" s="29"/>
      <c r="H10" s="29"/>
      <c r="I10" s="29"/>
      <c r="J10" s="29"/>
      <c r="K10" s="29"/>
      <c r="L10" s="29"/>
      <c r="M10" s="29"/>
      <c r="N10" s="29"/>
      <c r="O10" s="29"/>
      <c r="P10" s="29"/>
      <c r="Q10" s="29"/>
      <c r="R10" s="30"/>
    </row>
    <row r="11">
      <c r="F11" t="s" s="32">
        <v>1379</v>
      </c>
      <c r="G11" s="61"/>
      <c r="H11" s="62"/>
      <c r="I11" t="s" s="4">
        <v>35</v>
      </c>
      <c r="J11" s="29"/>
      <c r="K11" s="29"/>
      <c r="L11" s="29"/>
      <c r="M11" s="29"/>
      <c r="N11" s="29"/>
      <c r="O11" s="29"/>
      <c r="P11" s="29"/>
      <c r="Q11" s="29"/>
      <c r="R11" s="30"/>
    </row>
    <row r="12">
      <c r="F12" t="s" s="6">
        <v>1380</v>
      </c>
      <c r="G12" t="s" s="34">
        <v>1381</v>
      </c>
      <c r="H12" s="63"/>
      <c r="I12" t="s" s="34">
        <v>1382</v>
      </c>
      <c r="J12" t="s" s="6">
        <v>1383</v>
      </c>
      <c r="K12" t="s" s="34">
        <v>1384</v>
      </c>
      <c r="L12" t="s" s="6">
        <v>1385</v>
      </c>
      <c r="M12" t="s" s="34">
        <v>1386</v>
      </c>
      <c r="N12" t="s" s="6">
        <v>1387</v>
      </c>
      <c r="O12" t="s" s="34">
        <v>1388</v>
      </c>
      <c r="P12" t="s" s="6">
        <v>1389</v>
      </c>
      <c r="Q12" t="s" s="34">
        <v>1390</v>
      </c>
      <c r="R12" s="36"/>
    </row>
    <row r="13" ht="28.0" customHeight="true">
      <c r="B13" s="7" t="s">
        <v>1436</v>
      </c>
      <c r="C13" s="8"/>
      <c r="D13" s="8"/>
      <c r="E13" s="9"/>
      <c r="F13" s="22"/>
      <c r="G13" s="22"/>
      <c r="H13" s="22"/>
      <c r="I13" s="22"/>
      <c r="J13" s="22"/>
      <c r="K13" s="22"/>
      <c r="L13" s="22"/>
      <c r="M13" s="22"/>
      <c r="N13" s="22"/>
      <c r="O13" s="22"/>
      <c r="P13" s="22"/>
      <c r="Q13" s="22"/>
      <c r="R13" s="22"/>
    </row>
    <row r="14">
      <c r="B14" s="10"/>
      <c r="C14" s="12" t="s">
        <v>1437</v>
      </c>
      <c r="D14" s="37"/>
      <c r="E14" s="13"/>
      <c r="F14" s="23"/>
      <c r="G14" s="23"/>
      <c r="H14" s="23"/>
      <c r="I14" s="23"/>
      <c r="J14" s="23"/>
      <c r="K14" s="23"/>
      <c r="L14" s="23"/>
      <c r="M14" s="23"/>
      <c r="N14" s="23"/>
      <c r="O14" s="23"/>
      <c r="P14" s="23"/>
      <c r="Q14" s="23"/>
      <c r="R14" s="23"/>
    </row>
    <row r="15">
      <c r="B15" s="10"/>
      <c r="C15" s="14"/>
      <c r="D15" s="7" t="s">
        <v>1438</v>
      </c>
      <c r="E15" s="9"/>
      <c r="F15" s="22"/>
      <c r="G15" s="22"/>
      <c r="H15" s="22"/>
      <c r="I15" s="22"/>
      <c r="J15" s="22"/>
      <c r="K15" s="22"/>
      <c r="L15" s="22"/>
      <c r="M15" s="22"/>
      <c r="N15" s="22"/>
      <c r="O15" s="22"/>
      <c r="P15" s="22"/>
      <c r="Q15" s="22"/>
      <c r="R15" s="22"/>
    </row>
    <row r="16">
      <c r="B16" s="10"/>
      <c r="C16" s="14"/>
      <c r="D16" s="10"/>
      <c r="E16" s="19" t="s">
        <v>1439</v>
      </c>
      <c r="F16" s="51" t="n"/>
      <c r="G16" s="51" t="n"/>
      <c r="H16" s="51" t="n"/>
      <c r="I16" s="51" t="n"/>
      <c r="J16" s="51" t="n"/>
      <c r="K16" s="51" t="n"/>
      <c r="L16" s="51" t="n"/>
      <c r="M16" s="51" t="n"/>
      <c r="N16" s="51" t="n"/>
      <c r="O16" s="51" t="n"/>
      <c r="P16" s="51" t="n"/>
      <c r="Q16" s="51" t="n"/>
      <c r="R16" s="51" t="n"/>
    </row>
    <row r="17">
      <c r="B17" s="10"/>
      <c r="C17" s="14"/>
      <c r="D17" s="10"/>
      <c r="E17" s="18" t="s">
        <v>1440</v>
      </c>
      <c r="F17" s="50" t="n"/>
      <c r="G17" s="50" t="n"/>
      <c r="H17" s="50" t="n"/>
      <c r="I17" s="50" t="n"/>
      <c r="J17" s="50" t="n"/>
      <c r="K17" s="50" t="n"/>
      <c r="L17" s="50" t="n"/>
      <c r="M17" s="50" t="n"/>
      <c r="N17" s="50" t="n"/>
      <c r="O17" s="50" t="n"/>
      <c r="P17" s="50" t="n"/>
      <c r="Q17" s="50" t="n"/>
      <c r="R17" s="50" t="n"/>
    </row>
    <row r="18">
      <c r="B18" s="10"/>
      <c r="C18" s="14"/>
      <c r="D18" s="10"/>
      <c r="E18" s="19" t="s">
        <v>1441</v>
      </c>
      <c r="F18" s="51" t="n"/>
      <c r="G18" s="51" t="n"/>
      <c r="H18" s="51" t="n"/>
      <c r="I18" s="51" t="n"/>
      <c r="J18" s="51" t="n"/>
      <c r="K18" s="51" t="n"/>
      <c r="L18" s="51" t="n"/>
      <c r="M18" s="51" t="n"/>
      <c r="N18" s="51" t="n"/>
      <c r="O18" s="51" t="n"/>
      <c r="P18" s="51" t="n"/>
      <c r="Q18" s="51" t="n"/>
      <c r="R18" s="51" t="n"/>
    </row>
    <row r="19">
      <c r="B19" s="10"/>
      <c r="C19" s="14"/>
      <c r="D19" s="10"/>
      <c r="E19" s="18" t="s">
        <v>1339</v>
      </c>
      <c r="F19" s="50" t="n"/>
      <c r="G19" s="50" t="n"/>
      <c r="H19" s="50" t="n"/>
      <c r="I19" s="50" t="n"/>
      <c r="J19" s="50" t="n"/>
      <c r="K19" s="50" t="n"/>
      <c r="L19" s="50" t="n"/>
      <c r="M19" s="50" t="n"/>
      <c r="N19" s="50" t="n"/>
      <c r="O19" s="50" t="n"/>
      <c r="P19" s="50" t="n"/>
      <c r="Q19" s="50" t="n"/>
      <c r="R19" s="50" t="n"/>
    </row>
    <row r="20">
      <c r="B20" s="10"/>
      <c r="C20" s="14"/>
      <c r="D20" s="11"/>
      <c r="E20" s="57" t="s">
        <v>1442</v>
      </c>
      <c r="F20" s="51" t="n">
        <f>SUM(F16:F19)</f>
      </c>
      <c r="G20" s="51" t="n">
        <f>SUM(G16:G19)</f>
      </c>
      <c r="H20" s="51" t="n">
        <f>SUM(H16:H19)</f>
      </c>
      <c r="I20" s="51" t="n">
        <f>SUM(I16:I19)</f>
      </c>
      <c r="J20" s="51" t="n">
        <f>SUM(J16:J19)</f>
      </c>
      <c r="K20" s="51" t="n">
        <f>SUM(K16:K19)</f>
      </c>
      <c r="L20" s="51" t="n">
        <f>SUM(L16:L19)</f>
      </c>
      <c r="M20" s="51" t="n">
        <f>SUM(M16:M19)</f>
      </c>
      <c r="N20" s="51" t="n">
        <f>SUM(N16:N19)</f>
      </c>
      <c r="O20" s="51" t="n">
        <f>SUM(O16:O19)</f>
      </c>
      <c r="P20" s="51" t="n">
        <f>SUM(P16:P19)</f>
      </c>
      <c r="Q20" s="51" t="n">
        <f>SUM(Q16:Q19)</f>
      </c>
      <c r="R20" s="51" t="n">
        <f>SUM(R16:R19)</f>
      </c>
    </row>
    <row r="21">
      <c r="B21" s="10"/>
      <c r="C21" s="14"/>
      <c r="D21" s="7" t="s">
        <v>1443</v>
      </c>
      <c r="E21" s="9"/>
      <c r="F21" s="22"/>
      <c r="G21" s="22"/>
      <c r="H21" s="22"/>
      <c r="I21" s="22"/>
      <c r="J21" s="22"/>
      <c r="K21" s="22"/>
      <c r="L21" s="22"/>
      <c r="M21" s="22"/>
      <c r="N21" s="22"/>
      <c r="O21" s="22"/>
      <c r="P21" s="22"/>
      <c r="Q21" s="22"/>
      <c r="R21" s="22"/>
    </row>
    <row r="22">
      <c r="B22" s="10"/>
      <c r="C22" s="14"/>
      <c r="D22" s="10"/>
      <c r="E22" s="19" t="s">
        <v>1444</v>
      </c>
      <c r="F22" s="51" t="n"/>
      <c r="G22" s="51" t="n"/>
      <c r="H22" s="51" t="n"/>
      <c r="I22" s="51" t="n"/>
      <c r="J22" s="51" t="n"/>
      <c r="K22" s="51" t="n"/>
      <c r="L22" s="51" t="n"/>
      <c r="M22" s="51" t="n"/>
      <c r="N22" s="51" t="n"/>
      <c r="O22" s="51" t="n"/>
      <c r="P22" s="51" t="n"/>
      <c r="Q22" s="51" t="n"/>
      <c r="R22" s="51" t="n"/>
    </row>
    <row r="23">
      <c r="B23" s="10"/>
      <c r="C23" s="14"/>
      <c r="D23" s="10"/>
      <c r="E23" s="18" t="s">
        <v>1445</v>
      </c>
      <c r="F23" s="50" t="n"/>
      <c r="G23" s="50" t="n"/>
      <c r="H23" s="50" t="n"/>
      <c r="I23" s="50" t="n"/>
      <c r="J23" s="50" t="n"/>
      <c r="K23" s="50" t="n"/>
      <c r="L23" s="50" t="n"/>
      <c r="M23" s="50" t="n"/>
      <c r="N23" s="50" t="n"/>
      <c r="O23" s="50" t="n"/>
      <c r="P23" s="50" t="n"/>
      <c r="Q23" s="50" t="n"/>
      <c r="R23" s="50" t="n"/>
    </row>
    <row r="24">
      <c r="B24" s="10"/>
      <c r="C24" s="14"/>
      <c r="D24" s="10"/>
      <c r="E24" s="19" t="s">
        <v>1339</v>
      </c>
      <c r="F24" s="51" t="n"/>
      <c r="G24" s="51" t="n"/>
      <c r="H24" s="51" t="n"/>
      <c r="I24" s="51" t="n"/>
      <c r="J24" s="51" t="n"/>
      <c r="K24" s="51" t="n"/>
      <c r="L24" s="51" t="n"/>
      <c r="M24" s="51" t="n"/>
      <c r="N24" s="51" t="n"/>
      <c r="O24" s="51" t="n"/>
      <c r="P24" s="51" t="n"/>
      <c r="Q24" s="51" t="n"/>
      <c r="R24" s="51" t="n"/>
    </row>
    <row r="25">
      <c r="B25" s="10"/>
      <c r="C25" s="14"/>
      <c r="D25" s="11"/>
      <c r="E25" s="65" t="s">
        <v>1446</v>
      </c>
      <c r="F25" s="50" t="n">
        <f>SUM(F22:F24)</f>
      </c>
      <c r="G25" s="50" t="n">
        <f>SUM(G22:G24)</f>
      </c>
      <c r="H25" s="50" t="n">
        <f>SUM(H22:H24)</f>
      </c>
      <c r="I25" s="50" t="n">
        <f>SUM(I22:I24)</f>
      </c>
      <c r="J25" s="50" t="n">
        <f>SUM(J22:J24)</f>
      </c>
      <c r="K25" s="50" t="n">
        <f>SUM(K22:K24)</f>
      </c>
      <c r="L25" s="50" t="n">
        <f>SUM(L22:L24)</f>
      </c>
      <c r="M25" s="50" t="n">
        <f>SUM(M22:M24)</f>
      </c>
      <c r="N25" s="50" t="n">
        <f>SUM(N22:N24)</f>
      </c>
      <c r="O25" s="50" t="n">
        <f>SUM(O22:O24)</f>
      </c>
      <c r="P25" s="50" t="n">
        <f>SUM(P22:P24)</f>
      </c>
      <c r="Q25" s="50" t="n">
        <f>SUM(Q22:Q24)</f>
      </c>
      <c r="R25" s="50" t="n">
        <f>SUM(R22:R24)</f>
      </c>
    </row>
    <row r="26">
      <c r="B26" s="10"/>
      <c r="C26" s="14"/>
      <c r="D26" s="12" t="s">
        <v>1447</v>
      </c>
      <c r="E26" s="13"/>
      <c r="F26" s="23"/>
      <c r="G26" s="23"/>
      <c r="H26" s="23"/>
      <c r="I26" s="23"/>
      <c r="J26" s="23"/>
      <c r="K26" s="23"/>
      <c r="L26" s="23"/>
      <c r="M26" s="23"/>
      <c r="N26" s="23"/>
      <c r="O26" s="23"/>
      <c r="P26" s="23"/>
      <c r="Q26" s="23"/>
      <c r="R26" s="23"/>
    </row>
    <row r="27">
      <c r="B27" s="10"/>
      <c r="C27" s="14"/>
      <c r="D27" s="14"/>
      <c r="E27" s="18" t="s">
        <v>1448</v>
      </c>
      <c r="F27" s="50" t="n"/>
      <c r="G27" s="50" t="n"/>
      <c r="H27" s="50" t="n"/>
      <c r="I27" s="50" t="n"/>
      <c r="J27" s="50" t="n"/>
      <c r="K27" s="50" t="n"/>
      <c r="L27" s="50" t="n"/>
      <c r="M27" s="50" t="n"/>
      <c r="N27" s="50" t="n"/>
      <c r="O27" s="50" t="n"/>
      <c r="P27" s="50" t="n"/>
      <c r="Q27" s="50" t="n"/>
      <c r="R27" s="50" t="n"/>
    </row>
    <row r="28">
      <c r="B28" s="10"/>
      <c r="C28" s="14"/>
      <c r="D28" s="14"/>
      <c r="E28" s="19" t="s">
        <v>1449</v>
      </c>
      <c r="F28" s="51" t="n"/>
      <c r="G28" s="51" t="n"/>
      <c r="H28" s="51" t="n"/>
      <c r="I28" s="51" t="n"/>
      <c r="J28" s="51" t="n"/>
      <c r="K28" s="51" t="n"/>
      <c r="L28" s="51" t="n"/>
      <c r="M28" s="51" t="n"/>
      <c r="N28" s="51" t="n"/>
      <c r="O28" s="51" t="n"/>
      <c r="P28" s="51" t="n"/>
      <c r="Q28" s="51" t="n"/>
      <c r="R28" s="51" t="n"/>
    </row>
    <row r="29">
      <c r="B29" s="10"/>
      <c r="C29" s="14"/>
      <c r="D29" s="14"/>
      <c r="E29" s="18" t="s">
        <v>1444</v>
      </c>
      <c r="F29" s="50" t="n"/>
      <c r="G29" s="50" t="n"/>
      <c r="H29" s="50" t="n"/>
      <c r="I29" s="50" t="n"/>
      <c r="J29" s="50" t="n"/>
      <c r="K29" s="50" t="n"/>
      <c r="L29" s="50" t="n"/>
      <c r="M29" s="50" t="n"/>
      <c r="N29" s="50" t="n"/>
      <c r="O29" s="50" t="n"/>
      <c r="P29" s="50" t="n"/>
      <c r="Q29" s="50" t="n"/>
      <c r="R29" s="50" t="n"/>
    </row>
    <row r="30">
      <c r="B30" s="10"/>
      <c r="C30" s="14"/>
      <c r="D30" s="14"/>
      <c r="E30" s="19" t="s">
        <v>1339</v>
      </c>
      <c r="F30" s="51" t="n"/>
      <c r="G30" s="51" t="n"/>
      <c r="H30" s="51" t="n"/>
      <c r="I30" s="51" t="n"/>
      <c r="J30" s="51" t="n"/>
      <c r="K30" s="51" t="n"/>
      <c r="L30" s="51" t="n"/>
      <c r="M30" s="51" t="n"/>
      <c r="N30" s="51" t="n"/>
      <c r="O30" s="51" t="n"/>
      <c r="P30" s="51" t="n"/>
      <c r="Q30" s="51" t="n"/>
      <c r="R30" s="51" t="n"/>
    </row>
    <row r="31">
      <c r="B31" s="10"/>
      <c r="C31" s="14"/>
      <c r="D31" s="15"/>
      <c r="E31" s="65" t="s">
        <v>1450</v>
      </c>
      <c r="F31" s="50" t="n">
        <f>SUM(F27:F30)</f>
      </c>
      <c r="G31" s="50" t="n">
        <f>SUM(G27:G30)</f>
      </c>
      <c r="H31" s="50" t="n">
        <f>SUM(H27:H30)</f>
      </c>
      <c r="I31" s="50" t="n">
        <f>SUM(I27:I30)</f>
      </c>
      <c r="J31" s="50" t="n">
        <f>SUM(J27:J30)</f>
      </c>
      <c r="K31" s="50" t="n">
        <f>SUM(K27:K30)</f>
      </c>
      <c r="L31" s="50" t="n">
        <f>SUM(L27:L30)</f>
      </c>
      <c r="M31" s="50" t="n">
        <f>SUM(M27:M30)</f>
      </c>
      <c r="N31" s="50" t="n">
        <f>SUM(N27:N30)</f>
      </c>
      <c r="O31" s="50" t="n">
        <f>SUM(O27:O30)</f>
      </c>
      <c r="P31" s="50" t="n">
        <f>SUM(P27:P30)</f>
      </c>
      <c r="Q31" s="50" t="n">
        <f>SUM(Q27:Q30)</f>
      </c>
      <c r="R31" s="50" t="n">
        <f>SUM(R27:R30)</f>
      </c>
    </row>
    <row r="32">
      <c r="B32" s="10"/>
      <c r="C32" s="14"/>
      <c r="D32" s="12" t="s">
        <v>1451</v>
      </c>
      <c r="E32" s="13"/>
      <c r="F32" s="23"/>
      <c r="G32" s="23"/>
      <c r="H32" s="23"/>
      <c r="I32" s="23"/>
      <c r="J32" s="23"/>
      <c r="K32" s="23"/>
      <c r="L32" s="23"/>
      <c r="M32" s="23"/>
      <c r="N32" s="23"/>
      <c r="O32" s="23"/>
      <c r="P32" s="23"/>
      <c r="Q32" s="23"/>
      <c r="R32" s="23"/>
    </row>
    <row r="33">
      <c r="B33" s="10"/>
      <c r="C33" s="14"/>
      <c r="D33" s="14"/>
      <c r="E33" s="18" t="s">
        <v>1395</v>
      </c>
      <c r="F33" s="50" t="n"/>
      <c r="G33" s="50" t="n"/>
      <c r="H33" s="50" t="n"/>
      <c r="I33" s="50" t="n"/>
      <c r="J33" s="50" t="n"/>
      <c r="K33" s="50" t="n"/>
      <c r="L33" s="50" t="n"/>
      <c r="M33" s="50" t="n"/>
      <c r="N33" s="50" t="n"/>
      <c r="O33" s="50" t="n"/>
      <c r="P33" s="50" t="n"/>
      <c r="Q33" s="50" t="n"/>
      <c r="R33" s="50" t="n"/>
    </row>
    <row r="34">
      <c r="B34" s="10"/>
      <c r="C34" s="14"/>
      <c r="D34" s="14"/>
      <c r="E34" s="19" t="s">
        <v>1396</v>
      </c>
      <c r="F34" s="51" t="n"/>
      <c r="G34" s="51" t="n"/>
      <c r="H34" s="51" t="n"/>
      <c r="I34" s="51" t="n"/>
      <c r="J34" s="51" t="n"/>
      <c r="K34" s="51" t="n"/>
      <c r="L34" s="51" t="n"/>
      <c r="M34" s="51" t="n"/>
      <c r="N34" s="51" t="n"/>
      <c r="O34" s="51" t="n"/>
      <c r="P34" s="51" t="n"/>
      <c r="Q34" s="51" t="n"/>
      <c r="R34" s="51" t="n"/>
    </row>
    <row r="35">
      <c r="B35" s="10"/>
      <c r="C35" s="14"/>
      <c r="D35" s="14"/>
      <c r="E35" s="18" t="s">
        <v>1397</v>
      </c>
      <c r="F35" s="50" t="n"/>
      <c r="G35" s="50" t="n"/>
      <c r="H35" s="50" t="n"/>
      <c r="I35" s="50" t="n"/>
      <c r="J35" s="50" t="n"/>
      <c r="K35" s="50" t="n"/>
      <c r="L35" s="50" t="n"/>
      <c r="M35" s="50" t="n"/>
      <c r="N35" s="50" t="n"/>
      <c r="O35" s="50" t="n"/>
      <c r="P35" s="50" t="n"/>
      <c r="Q35" s="50" t="n"/>
      <c r="R35" s="50" t="n"/>
    </row>
    <row r="36">
      <c r="B36" s="10"/>
      <c r="C36" s="14"/>
      <c r="D36" s="14"/>
      <c r="E36" s="19" t="s">
        <v>1398</v>
      </c>
      <c r="F36" s="51" t="n"/>
      <c r="G36" s="51" t="n"/>
      <c r="H36" s="51" t="n"/>
      <c r="I36" s="51" t="n"/>
      <c r="J36" s="51" t="n"/>
      <c r="K36" s="51" t="n"/>
      <c r="L36" s="51" t="n"/>
      <c r="M36" s="51" t="n"/>
      <c r="N36" s="51" t="n"/>
      <c r="O36" s="51" t="n"/>
      <c r="P36" s="51" t="n"/>
      <c r="Q36" s="51" t="n"/>
      <c r="R36" s="51" t="n"/>
    </row>
    <row r="37">
      <c r="B37" s="10"/>
      <c r="C37" s="14"/>
      <c r="D37" s="14"/>
      <c r="E37" s="18" t="s">
        <v>1399</v>
      </c>
      <c r="F37" s="50" t="n"/>
      <c r="G37" s="50" t="n"/>
      <c r="H37" s="50" t="n"/>
      <c r="I37" s="50" t="n"/>
      <c r="J37" s="50" t="n"/>
      <c r="K37" s="50" t="n"/>
      <c r="L37" s="50" t="n"/>
      <c r="M37" s="50" t="n"/>
      <c r="N37" s="50" t="n"/>
      <c r="O37" s="50" t="n"/>
      <c r="P37" s="50" t="n"/>
      <c r="Q37" s="50" t="n"/>
      <c r="R37" s="50" t="n"/>
    </row>
    <row r="38">
      <c r="B38" s="10"/>
      <c r="C38" s="14"/>
      <c r="D38" s="14"/>
      <c r="E38" s="19" t="s">
        <v>1400</v>
      </c>
      <c r="F38" s="51" t="n"/>
      <c r="G38" s="51" t="n"/>
      <c r="H38" s="51" t="n"/>
      <c r="I38" s="51" t="n"/>
      <c r="J38" s="51" t="n"/>
      <c r="K38" s="51" t="n"/>
      <c r="L38" s="51" t="n"/>
      <c r="M38" s="51" t="n"/>
      <c r="N38" s="51" t="n"/>
      <c r="O38" s="51" t="n"/>
      <c r="P38" s="51" t="n"/>
      <c r="Q38" s="51" t="n"/>
      <c r="R38" s="51" t="n"/>
    </row>
    <row r="39">
      <c r="B39" s="10"/>
      <c r="C39" s="14"/>
      <c r="D39" s="14"/>
      <c r="E39" s="18" t="s">
        <v>1452</v>
      </c>
      <c r="F39" s="50" t="n"/>
      <c r="G39" s="50" t="n"/>
      <c r="H39" s="50" t="n"/>
      <c r="I39" s="50" t="n"/>
      <c r="J39" s="50" t="n"/>
      <c r="K39" s="50" t="n"/>
      <c r="L39" s="50" t="n"/>
      <c r="M39" s="50" t="n"/>
      <c r="N39" s="50" t="n"/>
      <c r="O39" s="50" t="n"/>
      <c r="P39" s="50" t="n"/>
      <c r="Q39" s="50" t="n"/>
      <c r="R39" s="50" t="n"/>
    </row>
    <row r="40">
      <c r="B40" s="10"/>
      <c r="C40" s="14"/>
      <c r="D40" s="14"/>
      <c r="E40" s="19" t="s">
        <v>1453</v>
      </c>
      <c r="F40" s="51" t="n"/>
      <c r="G40" s="51" t="n"/>
      <c r="H40" s="51" t="n"/>
      <c r="I40" s="51" t="n"/>
      <c r="J40" s="51" t="n"/>
      <c r="K40" s="51" t="n"/>
      <c r="L40" s="51" t="n"/>
      <c r="M40" s="51" t="n"/>
      <c r="N40" s="51" t="n"/>
      <c r="O40" s="51" t="n"/>
      <c r="P40" s="51" t="n"/>
      <c r="Q40" s="51" t="n"/>
      <c r="R40" s="51" t="n"/>
    </row>
    <row r="41">
      <c r="B41" s="10"/>
      <c r="C41" s="14"/>
      <c r="D41" s="14"/>
      <c r="E41" s="18" t="s">
        <v>1454</v>
      </c>
      <c r="F41" s="50" t="n"/>
      <c r="G41" s="50" t="n"/>
      <c r="H41" s="50" t="n"/>
      <c r="I41" s="50" t="n"/>
      <c r="J41" s="50" t="n"/>
      <c r="K41" s="50" t="n"/>
      <c r="L41" s="50" t="n"/>
      <c r="M41" s="50" t="n"/>
      <c r="N41" s="50" t="n"/>
      <c r="O41" s="50" t="n"/>
      <c r="P41" s="50" t="n"/>
      <c r="Q41" s="50" t="n"/>
      <c r="R41" s="50" t="n"/>
    </row>
    <row r="42">
      <c r="B42" s="10"/>
      <c r="C42" s="14"/>
      <c r="D42" s="14"/>
      <c r="E42" s="19" t="s">
        <v>1455</v>
      </c>
      <c r="F42" s="51" t="n"/>
      <c r="G42" s="51" t="n"/>
      <c r="H42" s="51" t="n"/>
      <c r="I42" s="51" t="n"/>
      <c r="J42" s="51" t="n"/>
      <c r="K42" s="51" t="n"/>
      <c r="L42" s="51" t="n"/>
      <c r="M42" s="51" t="n"/>
      <c r="N42" s="51" t="n"/>
      <c r="O42" s="51" t="n"/>
      <c r="P42" s="51" t="n"/>
      <c r="Q42" s="51" t="n"/>
      <c r="R42" s="51" t="n"/>
    </row>
    <row r="43">
      <c r="B43" s="10"/>
      <c r="C43" s="14"/>
      <c r="D43" s="14"/>
      <c r="E43" s="18" t="s">
        <v>1456</v>
      </c>
      <c r="F43" s="50" t="n"/>
      <c r="G43" s="50" t="n"/>
      <c r="H43" s="50" t="n"/>
      <c r="I43" s="50" t="n"/>
      <c r="J43" s="50" t="n"/>
      <c r="K43" s="50" t="n"/>
      <c r="L43" s="50" t="n"/>
      <c r="M43" s="50" t="n"/>
      <c r="N43" s="50" t="n"/>
      <c r="O43" s="50" t="n"/>
      <c r="P43" s="50" t="n"/>
      <c r="Q43" s="50" t="n"/>
      <c r="R43" s="50" t="n"/>
    </row>
    <row r="44">
      <c r="B44" s="10"/>
      <c r="C44" s="14"/>
      <c r="D44" s="14"/>
      <c r="E44" s="19" t="s">
        <v>1457</v>
      </c>
      <c r="F44" s="51" t="n"/>
      <c r="G44" s="51" t="n"/>
      <c r="H44" s="51" t="n"/>
      <c r="I44" s="51" t="n"/>
      <c r="J44" s="51" t="n"/>
      <c r="K44" s="51" t="n"/>
      <c r="L44" s="51" t="n"/>
      <c r="M44" s="51" t="n"/>
      <c r="N44" s="51" t="n"/>
      <c r="O44" s="51" t="n"/>
      <c r="P44" s="51" t="n"/>
      <c r="Q44" s="51" t="n"/>
      <c r="R44" s="51" t="n"/>
    </row>
    <row r="45">
      <c r="B45" s="10"/>
      <c r="C45" s="14"/>
      <c r="D45" s="14"/>
      <c r="E45" s="18" t="s">
        <v>1339</v>
      </c>
      <c r="F45" s="50" t="n"/>
      <c r="G45" s="50" t="n"/>
      <c r="H45" s="50" t="n"/>
      <c r="I45" s="50" t="n"/>
      <c r="J45" s="50" t="n"/>
      <c r="K45" s="50" t="n"/>
      <c r="L45" s="50" t="n"/>
      <c r="M45" s="50" t="n"/>
      <c r="N45" s="50" t="n"/>
      <c r="O45" s="50" t="n"/>
      <c r="P45" s="50" t="n"/>
      <c r="Q45" s="50" t="n"/>
      <c r="R45" s="50" t="n"/>
    </row>
    <row r="46">
      <c r="B46" s="10"/>
      <c r="C46" s="14"/>
      <c r="D46" s="15"/>
      <c r="E46" s="57" t="s">
        <v>1405</v>
      </c>
      <c r="F46" s="51" t="n">
        <f>SUM(F33:F45)</f>
      </c>
      <c r="G46" s="51" t="n">
        <f>SUM(G33:G45)</f>
      </c>
      <c r="H46" s="51" t="n">
        <f>SUM(H33:H45)</f>
      </c>
      <c r="I46" s="51" t="n">
        <f>SUM(I33:I45)</f>
      </c>
      <c r="J46" s="51" t="n">
        <f>SUM(J33:J45)</f>
      </c>
      <c r="K46" s="51" t="n">
        <f>SUM(K33:K45)</f>
      </c>
      <c r="L46" s="51" t="n">
        <f>SUM(L33:L45)</f>
      </c>
      <c r="M46" s="51" t="n">
        <f>SUM(M33:M45)</f>
      </c>
      <c r="N46" s="51" t="n">
        <f>SUM(N33:N45)</f>
      </c>
      <c r="O46" s="51" t="n">
        <f>SUM(O33:O45)</f>
      </c>
      <c r="P46" s="51" t="n">
        <f>SUM(P33:P45)</f>
      </c>
      <c r="Q46" s="51" t="n">
        <f>SUM(Q33:Q45)</f>
      </c>
      <c r="R46" s="51" t="n">
        <f>SUM(R33:R45)</f>
      </c>
    </row>
    <row r="47">
      <c r="B47" s="10"/>
      <c r="C47" s="15"/>
      <c r="D47" s="45" t="s">
        <v>1458</v>
      </c>
      <c r="E47" s="44"/>
      <c r="F47" s="50" t="n">
        <f>F20+F25+F31+F46</f>
      </c>
      <c r="G47" s="50" t="n">
        <f>G20+G25+G31+G46</f>
      </c>
      <c r="H47" s="50" t="n">
        <f>H20+H25+H31+H46</f>
      </c>
      <c r="I47" s="50" t="n">
        <f>I20+I25+I31+I46</f>
      </c>
      <c r="J47" s="50" t="n">
        <f>J20+J25+J31+J46</f>
      </c>
      <c r="K47" s="50" t="n">
        <f>K20+K25+K31+K46</f>
      </c>
      <c r="L47" s="50" t="n">
        <f>L20+L25+L31+L46</f>
      </c>
      <c r="M47" s="50" t="n">
        <f>M20+M25+M31+M46</f>
      </c>
      <c r="N47" s="50" t="n">
        <f>N20+N25+N31+N46</f>
      </c>
      <c r="O47" s="50" t="n">
        <f>O20+O25+O31+O46</f>
      </c>
      <c r="P47" s="50" t="n">
        <f>P20+P25+P31+P46</f>
      </c>
      <c r="Q47" s="50" t="n">
        <f>Q20+Q25+Q31+Q46</f>
      </c>
      <c r="R47" s="50" t="n">
        <f>R20+R25+R31+R46</f>
      </c>
    </row>
    <row r="48">
      <c r="B48" s="10"/>
      <c r="C48" s="12" t="s">
        <v>1459</v>
      </c>
      <c r="D48" s="37"/>
      <c r="E48" s="13"/>
      <c r="F48" s="23"/>
      <c r="G48" s="23"/>
      <c r="H48" s="23"/>
      <c r="I48" s="23"/>
      <c r="J48" s="23"/>
      <c r="K48" s="23"/>
      <c r="L48" s="23"/>
      <c r="M48" s="23"/>
      <c r="N48" s="23"/>
      <c r="O48" s="23"/>
      <c r="P48" s="23"/>
      <c r="Q48" s="23"/>
      <c r="R48" s="23"/>
    </row>
    <row r="49">
      <c r="B49" s="10"/>
      <c r="C49" s="14"/>
      <c r="D49" s="7" t="s">
        <v>1438</v>
      </c>
      <c r="E49" s="9"/>
      <c r="F49" s="22"/>
      <c r="G49" s="22"/>
      <c r="H49" s="22"/>
      <c r="I49" s="22"/>
      <c r="J49" s="22"/>
      <c r="K49" s="22"/>
      <c r="L49" s="22"/>
      <c r="M49" s="22"/>
      <c r="N49" s="22"/>
      <c r="O49" s="22"/>
      <c r="P49" s="22"/>
      <c r="Q49" s="22"/>
      <c r="R49" s="22"/>
    </row>
    <row r="50">
      <c r="B50" s="10"/>
      <c r="C50" s="14"/>
      <c r="D50" s="10"/>
      <c r="E50" s="19" t="s">
        <v>1439</v>
      </c>
      <c r="F50" s="51" t="n"/>
      <c r="G50" s="51" t="n"/>
      <c r="H50" s="51" t="n"/>
      <c r="I50" s="51" t="n"/>
      <c r="J50" s="51" t="n"/>
      <c r="K50" s="51" t="n"/>
      <c r="L50" s="51" t="n"/>
      <c r="M50" s="51" t="n"/>
      <c r="N50" s="51" t="n"/>
      <c r="O50" s="51" t="n"/>
      <c r="P50" s="51" t="n"/>
      <c r="Q50" s="51" t="n"/>
      <c r="R50" s="51" t="n"/>
    </row>
    <row r="51">
      <c r="B51" s="10"/>
      <c r="C51" s="14"/>
      <c r="D51" s="10"/>
      <c r="E51" s="18" t="s">
        <v>1440</v>
      </c>
      <c r="F51" s="50" t="n"/>
      <c r="G51" s="50" t="n"/>
      <c r="H51" s="50" t="n"/>
      <c r="I51" s="50" t="n"/>
      <c r="J51" s="50" t="n"/>
      <c r="K51" s="50" t="n"/>
      <c r="L51" s="50" t="n"/>
      <c r="M51" s="50" t="n"/>
      <c r="N51" s="50" t="n"/>
      <c r="O51" s="50" t="n"/>
      <c r="P51" s="50" t="n"/>
      <c r="Q51" s="50" t="n"/>
      <c r="R51" s="50" t="n"/>
    </row>
    <row r="52">
      <c r="B52" s="10"/>
      <c r="C52" s="14"/>
      <c r="D52" s="10"/>
      <c r="E52" s="19" t="s">
        <v>1441</v>
      </c>
      <c r="F52" s="51" t="n"/>
      <c r="G52" s="51" t="n"/>
      <c r="H52" s="51" t="n"/>
      <c r="I52" s="51" t="n"/>
      <c r="J52" s="51" t="n"/>
      <c r="K52" s="51" t="n"/>
      <c r="L52" s="51" t="n"/>
      <c r="M52" s="51" t="n"/>
      <c r="N52" s="51" t="n"/>
      <c r="O52" s="51" t="n"/>
      <c r="P52" s="51" t="n"/>
      <c r="Q52" s="51" t="n"/>
      <c r="R52" s="51" t="n"/>
    </row>
    <row r="53">
      <c r="B53" s="10"/>
      <c r="C53" s="14"/>
      <c r="D53" s="10"/>
      <c r="E53" s="18" t="s">
        <v>1339</v>
      </c>
      <c r="F53" s="50" t="n"/>
      <c r="G53" s="50" t="n"/>
      <c r="H53" s="50" t="n"/>
      <c r="I53" s="50" t="n"/>
      <c r="J53" s="50" t="n"/>
      <c r="K53" s="50" t="n"/>
      <c r="L53" s="50" t="n"/>
      <c r="M53" s="50" t="n"/>
      <c r="N53" s="50" t="n"/>
      <c r="O53" s="50" t="n"/>
      <c r="P53" s="50" t="n"/>
      <c r="Q53" s="50" t="n"/>
      <c r="R53" s="50" t="n"/>
    </row>
    <row r="54">
      <c r="B54" s="10"/>
      <c r="C54" s="14"/>
      <c r="D54" s="11"/>
      <c r="E54" s="57" t="s">
        <v>1442</v>
      </c>
      <c r="F54" s="51" t="n">
        <f>SUM(F50:F53)</f>
      </c>
      <c r="G54" s="51" t="n">
        <f>SUM(G50:G53)</f>
      </c>
      <c r="H54" s="51" t="n">
        <f>SUM(H50:H53)</f>
      </c>
      <c r="I54" s="51" t="n">
        <f>SUM(I50:I53)</f>
      </c>
      <c r="J54" s="51" t="n">
        <f>SUM(J50:J53)</f>
      </c>
      <c r="K54" s="51" t="n">
        <f>SUM(K50:K53)</f>
      </c>
      <c r="L54" s="51" t="n">
        <f>SUM(L50:L53)</f>
      </c>
      <c r="M54" s="51" t="n">
        <f>SUM(M50:M53)</f>
      </c>
      <c r="N54" s="51" t="n">
        <f>SUM(N50:N53)</f>
      </c>
      <c r="O54" s="51" t="n">
        <f>SUM(O50:O53)</f>
      </c>
      <c r="P54" s="51" t="n">
        <f>SUM(P50:P53)</f>
      </c>
      <c r="Q54" s="51" t="n">
        <f>SUM(Q50:Q53)</f>
      </c>
      <c r="R54" s="51" t="n">
        <f>SUM(R50:R53)</f>
      </c>
    </row>
    <row r="55">
      <c r="B55" s="10"/>
      <c r="C55" s="14"/>
      <c r="D55" s="7" t="s">
        <v>1443</v>
      </c>
      <c r="E55" s="9"/>
      <c r="F55" s="22"/>
      <c r="G55" s="22"/>
      <c r="H55" s="22"/>
      <c r="I55" s="22"/>
      <c r="J55" s="22"/>
      <c r="K55" s="22"/>
      <c r="L55" s="22"/>
      <c r="M55" s="22"/>
      <c r="N55" s="22"/>
      <c r="O55" s="22"/>
      <c r="P55" s="22"/>
      <c r="Q55" s="22"/>
      <c r="R55" s="22"/>
    </row>
    <row r="56">
      <c r="B56" s="10"/>
      <c r="C56" s="14"/>
      <c r="D56" s="10"/>
      <c r="E56" s="19" t="s">
        <v>1444</v>
      </c>
      <c r="F56" s="51" t="n"/>
      <c r="G56" s="51" t="n"/>
      <c r="H56" s="51" t="n"/>
      <c r="I56" s="51" t="n"/>
      <c r="J56" s="51" t="n"/>
      <c r="K56" s="51" t="n"/>
      <c r="L56" s="51" t="n"/>
      <c r="M56" s="51" t="n"/>
      <c r="N56" s="51" t="n"/>
      <c r="O56" s="51" t="n"/>
      <c r="P56" s="51" t="n"/>
      <c r="Q56" s="51" t="n"/>
      <c r="R56" s="51" t="n"/>
    </row>
    <row r="57">
      <c r="B57" s="10"/>
      <c r="C57" s="14"/>
      <c r="D57" s="10"/>
      <c r="E57" s="18" t="s">
        <v>1445</v>
      </c>
      <c r="F57" s="50" t="n"/>
      <c r="G57" s="50" t="n"/>
      <c r="H57" s="50" t="n"/>
      <c r="I57" s="50" t="n"/>
      <c r="J57" s="50" t="n"/>
      <c r="K57" s="50" t="n"/>
      <c r="L57" s="50" t="n"/>
      <c r="M57" s="50" t="n"/>
      <c r="N57" s="50" t="n"/>
      <c r="O57" s="50" t="n"/>
      <c r="P57" s="50" t="n"/>
      <c r="Q57" s="50" t="n"/>
      <c r="R57" s="50" t="n"/>
    </row>
    <row r="58">
      <c r="B58" s="10"/>
      <c r="C58" s="14"/>
      <c r="D58" s="10"/>
      <c r="E58" s="19" t="s">
        <v>1339</v>
      </c>
      <c r="F58" s="51" t="n"/>
      <c r="G58" s="51" t="n"/>
      <c r="H58" s="51" t="n"/>
      <c r="I58" s="51" t="n"/>
      <c r="J58" s="51" t="n"/>
      <c r="K58" s="51" t="n"/>
      <c r="L58" s="51" t="n"/>
      <c r="M58" s="51" t="n"/>
      <c r="N58" s="51" t="n"/>
      <c r="O58" s="51" t="n"/>
      <c r="P58" s="51" t="n"/>
      <c r="Q58" s="51" t="n"/>
      <c r="R58" s="51" t="n"/>
    </row>
    <row r="59">
      <c r="B59" s="10"/>
      <c r="C59" s="14"/>
      <c r="D59" s="11"/>
      <c r="E59" s="65" t="s">
        <v>1446</v>
      </c>
      <c r="F59" s="50" t="n">
        <f>SUM(F56:F58)</f>
      </c>
      <c r="G59" s="50" t="n">
        <f>SUM(G56:G58)</f>
      </c>
      <c r="H59" s="50" t="n">
        <f>SUM(H56:H58)</f>
      </c>
      <c r="I59" s="50" t="n">
        <f>SUM(I56:I58)</f>
      </c>
      <c r="J59" s="50" t="n">
        <f>SUM(J56:J58)</f>
      </c>
      <c r="K59" s="50" t="n">
        <f>SUM(K56:K58)</f>
      </c>
      <c r="L59" s="50" t="n">
        <f>SUM(L56:L58)</f>
      </c>
      <c r="M59" s="50" t="n">
        <f>SUM(M56:M58)</f>
      </c>
      <c r="N59" s="50" t="n">
        <f>SUM(N56:N58)</f>
      </c>
      <c r="O59" s="50" t="n">
        <f>SUM(O56:O58)</f>
      </c>
      <c r="P59" s="50" t="n">
        <f>SUM(P56:P58)</f>
      </c>
      <c r="Q59" s="50" t="n">
        <f>SUM(Q56:Q58)</f>
      </c>
      <c r="R59" s="50" t="n">
        <f>SUM(R56:R58)</f>
      </c>
    </row>
    <row r="60">
      <c r="B60" s="10"/>
      <c r="C60" s="14"/>
      <c r="D60" s="12" t="s">
        <v>1447</v>
      </c>
      <c r="E60" s="13"/>
      <c r="F60" s="23"/>
      <c r="G60" s="23"/>
      <c r="H60" s="23"/>
      <c r="I60" s="23"/>
      <c r="J60" s="23"/>
      <c r="K60" s="23"/>
      <c r="L60" s="23"/>
      <c r="M60" s="23"/>
      <c r="N60" s="23"/>
      <c r="O60" s="23"/>
      <c r="P60" s="23"/>
      <c r="Q60" s="23"/>
      <c r="R60" s="23"/>
    </row>
    <row r="61">
      <c r="B61" s="10"/>
      <c r="C61" s="14"/>
      <c r="D61" s="14"/>
      <c r="E61" s="18" t="s">
        <v>1448</v>
      </c>
      <c r="F61" s="50" t="n"/>
      <c r="G61" s="50" t="n"/>
      <c r="H61" s="50" t="n"/>
      <c r="I61" s="50" t="n"/>
      <c r="J61" s="50" t="n"/>
      <c r="K61" s="50" t="n"/>
      <c r="L61" s="50" t="n"/>
      <c r="M61" s="50" t="n"/>
      <c r="N61" s="50" t="n"/>
      <c r="O61" s="50" t="n"/>
      <c r="P61" s="50" t="n"/>
      <c r="Q61" s="50" t="n"/>
      <c r="R61" s="50" t="n"/>
    </row>
    <row r="62">
      <c r="B62" s="10"/>
      <c r="C62" s="14"/>
      <c r="D62" s="14"/>
      <c r="E62" s="19" t="s">
        <v>1449</v>
      </c>
      <c r="F62" s="51" t="n"/>
      <c r="G62" s="51" t="n"/>
      <c r="H62" s="51" t="n"/>
      <c r="I62" s="51" t="n"/>
      <c r="J62" s="51" t="n"/>
      <c r="K62" s="51" t="n"/>
      <c r="L62" s="51" t="n"/>
      <c r="M62" s="51" t="n"/>
      <c r="N62" s="51" t="n"/>
      <c r="O62" s="51" t="n"/>
      <c r="P62" s="51" t="n"/>
      <c r="Q62" s="51" t="n"/>
      <c r="R62" s="51" t="n"/>
    </row>
    <row r="63">
      <c r="B63" s="10"/>
      <c r="C63" s="14"/>
      <c r="D63" s="14"/>
      <c r="E63" s="18" t="s">
        <v>1444</v>
      </c>
      <c r="F63" s="50" t="n"/>
      <c r="G63" s="50" t="n"/>
      <c r="H63" s="50" t="n"/>
      <c r="I63" s="50" t="n"/>
      <c r="J63" s="50" t="n"/>
      <c r="K63" s="50" t="n"/>
      <c r="L63" s="50" t="n"/>
      <c r="M63" s="50" t="n"/>
      <c r="N63" s="50" t="n"/>
      <c r="O63" s="50" t="n"/>
      <c r="P63" s="50" t="n"/>
      <c r="Q63" s="50" t="n"/>
      <c r="R63" s="50" t="n"/>
    </row>
    <row r="64">
      <c r="B64" s="10"/>
      <c r="C64" s="14"/>
      <c r="D64" s="14"/>
      <c r="E64" s="19" t="s">
        <v>1339</v>
      </c>
      <c r="F64" s="51" t="n"/>
      <c r="G64" s="51" t="n"/>
      <c r="H64" s="51" t="n"/>
      <c r="I64" s="51" t="n"/>
      <c r="J64" s="51" t="n"/>
      <c r="K64" s="51" t="n"/>
      <c r="L64" s="51" t="n"/>
      <c r="M64" s="51" t="n"/>
      <c r="N64" s="51" t="n"/>
      <c r="O64" s="51" t="n"/>
      <c r="P64" s="51" t="n"/>
      <c r="Q64" s="51" t="n"/>
      <c r="R64" s="51" t="n"/>
    </row>
    <row r="65">
      <c r="B65" s="10"/>
      <c r="C65" s="14"/>
      <c r="D65" s="15"/>
      <c r="E65" s="65" t="s">
        <v>1450</v>
      </c>
      <c r="F65" s="50" t="n">
        <f>SUM(F61:F64)</f>
      </c>
      <c r="G65" s="50" t="n">
        <f>SUM(G61:G64)</f>
      </c>
      <c r="H65" s="50" t="n">
        <f>SUM(H61:H64)</f>
      </c>
      <c r="I65" s="50" t="n">
        <f>SUM(I61:I64)</f>
      </c>
      <c r="J65" s="50" t="n">
        <f>SUM(J61:J64)</f>
      </c>
      <c r="K65" s="50" t="n">
        <f>SUM(K61:K64)</f>
      </c>
      <c r="L65" s="50" t="n">
        <f>SUM(L61:L64)</f>
      </c>
      <c r="M65" s="50" t="n">
        <f>SUM(M61:M64)</f>
      </c>
      <c r="N65" s="50" t="n">
        <f>SUM(N61:N64)</f>
      </c>
      <c r="O65" s="50" t="n">
        <f>SUM(O61:O64)</f>
      </c>
      <c r="P65" s="50" t="n">
        <f>SUM(P61:P64)</f>
      </c>
      <c r="Q65" s="50" t="n">
        <f>SUM(Q61:Q64)</f>
      </c>
      <c r="R65" s="50" t="n">
        <f>SUM(R61:R64)</f>
      </c>
    </row>
    <row r="66">
      <c r="B66" s="10"/>
      <c r="C66" s="14"/>
      <c r="D66" s="12" t="s">
        <v>1451</v>
      </c>
      <c r="E66" s="13"/>
      <c r="F66" s="23"/>
      <c r="G66" s="23"/>
      <c r="H66" s="23"/>
      <c r="I66" s="23"/>
      <c r="J66" s="23"/>
      <c r="K66" s="23"/>
      <c r="L66" s="23"/>
      <c r="M66" s="23"/>
      <c r="N66" s="23"/>
      <c r="O66" s="23"/>
      <c r="P66" s="23"/>
      <c r="Q66" s="23"/>
      <c r="R66" s="23"/>
    </row>
    <row r="67">
      <c r="B67" s="10"/>
      <c r="C67" s="14"/>
      <c r="D67" s="14"/>
      <c r="E67" s="18" t="s">
        <v>1395</v>
      </c>
      <c r="F67" s="50" t="n"/>
      <c r="G67" s="50" t="n"/>
      <c r="H67" s="50" t="n"/>
      <c r="I67" s="50" t="n"/>
      <c r="J67" s="50" t="n"/>
      <c r="K67" s="50" t="n"/>
      <c r="L67" s="50" t="n"/>
      <c r="M67" s="50" t="n"/>
      <c r="N67" s="50" t="n"/>
      <c r="O67" s="50" t="n"/>
      <c r="P67" s="50" t="n"/>
      <c r="Q67" s="50" t="n"/>
      <c r="R67" s="50" t="n"/>
    </row>
    <row r="68">
      <c r="B68" s="10"/>
      <c r="C68" s="14"/>
      <c r="D68" s="14"/>
      <c r="E68" s="19" t="s">
        <v>1396</v>
      </c>
      <c r="F68" s="51" t="n"/>
      <c r="G68" s="51" t="n"/>
      <c r="H68" s="51" t="n"/>
      <c r="I68" s="51" t="n"/>
      <c r="J68" s="51" t="n"/>
      <c r="K68" s="51" t="n"/>
      <c r="L68" s="51" t="n"/>
      <c r="M68" s="51" t="n"/>
      <c r="N68" s="51" t="n"/>
      <c r="O68" s="51" t="n"/>
      <c r="P68" s="51" t="n"/>
      <c r="Q68" s="51" t="n"/>
      <c r="R68" s="51" t="n"/>
    </row>
    <row r="69">
      <c r="B69" s="10"/>
      <c r="C69" s="14"/>
      <c r="D69" s="14"/>
      <c r="E69" s="18" t="s">
        <v>1397</v>
      </c>
      <c r="F69" s="50" t="n"/>
      <c r="G69" s="50" t="n"/>
      <c r="H69" s="50" t="n"/>
      <c r="I69" s="50" t="n"/>
      <c r="J69" s="50" t="n"/>
      <c r="K69" s="50" t="n"/>
      <c r="L69" s="50" t="n"/>
      <c r="M69" s="50" t="n"/>
      <c r="N69" s="50" t="n"/>
      <c r="O69" s="50" t="n"/>
      <c r="P69" s="50" t="n"/>
      <c r="Q69" s="50" t="n"/>
      <c r="R69" s="50" t="n"/>
    </row>
    <row r="70">
      <c r="B70" s="10"/>
      <c r="C70" s="14"/>
      <c r="D70" s="14"/>
      <c r="E70" s="19" t="s">
        <v>1398</v>
      </c>
      <c r="F70" s="51" t="n"/>
      <c r="G70" s="51" t="n"/>
      <c r="H70" s="51" t="n"/>
      <c r="I70" s="51" t="n"/>
      <c r="J70" s="51" t="n"/>
      <c r="K70" s="51" t="n"/>
      <c r="L70" s="51" t="n"/>
      <c r="M70" s="51" t="n"/>
      <c r="N70" s="51" t="n"/>
      <c r="O70" s="51" t="n"/>
      <c r="P70" s="51" t="n"/>
      <c r="Q70" s="51" t="n"/>
      <c r="R70" s="51" t="n"/>
    </row>
    <row r="71">
      <c r="B71" s="10"/>
      <c r="C71" s="14"/>
      <c r="D71" s="14"/>
      <c r="E71" s="18" t="s">
        <v>1399</v>
      </c>
      <c r="F71" s="50" t="n"/>
      <c r="G71" s="50" t="n"/>
      <c r="H71" s="50" t="n"/>
      <c r="I71" s="50" t="n"/>
      <c r="J71" s="50" t="n"/>
      <c r="K71" s="50" t="n"/>
      <c r="L71" s="50" t="n"/>
      <c r="M71" s="50" t="n"/>
      <c r="N71" s="50" t="n"/>
      <c r="O71" s="50" t="n"/>
      <c r="P71" s="50" t="n"/>
      <c r="Q71" s="50" t="n"/>
      <c r="R71" s="50" t="n"/>
    </row>
    <row r="72">
      <c r="B72" s="10"/>
      <c r="C72" s="14"/>
      <c r="D72" s="14"/>
      <c r="E72" s="19" t="s">
        <v>1400</v>
      </c>
      <c r="F72" s="51" t="n"/>
      <c r="G72" s="51" t="n"/>
      <c r="H72" s="51" t="n"/>
      <c r="I72" s="51" t="n"/>
      <c r="J72" s="51" t="n"/>
      <c r="K72" s="51" t="n"/>
      <c r="L72" s="51" t="n"/>
      <c r="M72" s="51" t="n"/>
      <c r="N72" s="51" t="n"/>
      <c r="O72" s="51" t="n"/>
      <c r="P72" s="51" t="n"/>
      <c r="Q72" s="51" t="n"/>
      <c r="R72" s="51" t="n"/>
    </row>
    <row r="73">
      <c r="B73" s="10"/>
      <c r="C73" s="14"/>
      <c r="D73" s="14"/>
      <c r="E73" s="18" t="s">
        <v>1452</v>
      </c>
      <c r="F73" s="50" t="n"/>
      <c r="G73" s="50" t="n"/>
      <c r="H73" s="50" t="n"/>
      <c r="I73" s="50" t="n"/>
      <c r="J73" s="50" t="n"/>
      <c r="K73" s="50" t="n"/>
      <c r="L73" s="50" t="n"/>
      <c r="M73" s="50" t="n"/>
      <c r="N73" s="50" t="n"/>
      <c r="O73" s="50" t="n"/>
      <c r="P73" s="50" t="n"/>
      <c r="Q73" s="50" t="n"/>
      <c r="R73" s="50" t="n"/>
    </row>
    <row r="74">
      <c r="B74" s="10"/>
      <c r="C74" s="14"/>
      <c r="D74" s="14"/>
      <c r="E74" s="19" t="s">
        <v>1453</v>
      </c>
      <c r="F74" s="51" t="n"/>
      <c r="G74" s="51" t="n"/>
      <c r="H74" s="51" t="n"/>
      <c r="I74" s="51" t="n"/>
      <c r="J74" s="51" t="n"/>
      <c r="K74" s="51" t="n"/>
      <c r="L74" s="51" t="n"/>
      <c r="M74" s="51" t="n"/>
      <c r="N74" s="51" t="n"/>
      <c r="O74" s="51" t="n"/>
      <c r="P74" s="51" t="n"/>
      <c r="Q74" s="51" t="n"/>
      <c r="R74" s="51" t="n"/>
    </row>
    <row r="75">
      <c r="B75" s="10"/>
      <c r="C75" s="14"/>
      <c r="D75" s="14"/>
      <c r="E75" s="18" t="s">
        <v>1454</v>
      </c>
      <c r="F75" s="50" t="n"/>
      <c r="G75" s="50" t="n"/>
      <c r="H75" s="50" t="n"/>
      <c r="I75" s="50" t="n"/>
      <c r="J75" s="50" t="n"/>
      <c r="K75" s="50" t="n"/>
      <c r="L75" s="50" t="n"/>
      <c r="M75" s="50" t="n"/>
      <c r="N75" s="50" t="n"/>
      <c r="O75" s="50" t="n"/>
      <c r="P75" s="50" t="n"/>
      <c r="Q75" s="50" t="n"/>
      <c r="R75" s="50" t="n"/>
    </row>
    <row r="76">
      <c r="B76" s="10"/>
      <c r="C76" s="14"/>
      <c r="D76" s="14"/>
      <c r="E76" s="19" t="s">
        <v>1455</v>
      </c>
      <c r="F76" s="51" t="n"/>
      <c r="G76" s="51" t="n"/>
      <c r="H76" s="51" t="n"/>
      <c r="I76" s="51" t="n"/>
      <c r="J76" s="51" t="n"/>
      <c r="K76" s="51" t="n"/>
      <c r="L76" s="51" t="n"/>
      <c r="M76" s="51" t="n"/>
      <c r="N76" s="51" t="n"/>
      <c r="O76" s="51" t="n"/>
      <c r="P76" s="51" t="n"/>
      <c r="Q76" s="51" t="n"/>
      <c r="R76" s="51" t="n"/>
    </row>
    <row r="77">
      <c r="B77" s="10"/>
      <c r="C77" s="14"/>
      <c r="D77" s="14"/>
      <c r="E77" s="18" t="s">
        <v>1456</v>
      </c>
      <c r="F77" s="50" t="n"/>
      <c r="G77" s="50" t="n"/>
      <c r="H77" s="50" t="n"/>
      <c r="I77" s="50" t="n"/>
      <c r="J77" s="50" t="n"/>
      <c r="K77" s="50" t="n"/>
      <c r="L77" s="50" t="n"/>
      <c r="M77" s="50" t="n"/>
      <c r="N77" s="50" t="n"/>
      <c r="O77" s="50" t="n"/>
      <c r="P77" s="50" t="n"/>
      <c r="Q77" s="50" t="n"/>
      <c r="R77" s="50" t="n"/>
    </row>
    <row r="78">
      <c r="B78" s="10"/>
      <c r="C78" s="14"/>
      <c r="D78" s="14"/>
      <c r="E78" s="19" t="s">
        <v>1457</v>
      </c>
      <c r="F78" s="51" t="n"/>
      <c r="G78" s="51" t="n"/>
      <c r="H78" s="51" t="n"/>
      <c r="I78" s="51" t="n"/>
      <c r="J78" s="51" t="n"/>
      <c r="K78" s="51" t="n"/>
      <c r="L78" s="51" t="n"/>
      <c r="M78" s="51" t="n"/>
      <c r="N78" s="51" t="n"/>
      <c r="O78" s="51" t="n"/>
      <c r="P78" s="51" t="n"/>
      <c r="Q78" s="51" t="n"/>
      <c r="R78" s="51" t="n"/>
    </row>
    <row r="79">
      <c r="B79" s="10"/>
      <c r="C79" s="14"/>
      <c r="D79" s="14"/>
      <c r="E79" s="18" t="s">
        <v>1339</v>
      </c>
      <c r="F79" s="50" t="n"/>
      <c r="G79" s="50" t="n"/>
      <c r="H79" s="50" t="n"/>
      <c r="I79" s="50" t="n"/>
      <c r="J79" s="50" t="n"/>
      <c r="K79" s="50" t="n"/>
      <c r="L79" s="50" t="n"/>
      <c r="M79" s="50" t="n"/>
      <c r="N79" s="50" t="n"/>
      <c r="O79" s="50" t="n"/>
      <c r="P79" s="50" t="n"/>
      <c r="Q79" s="50" t="n"/>
      <c r="R79" s="50" t="n"/>
    </row>
    <row r="80">
      <c r="B80" s="10"/>
      <c r="C80" s="14"/>
      <c r="D80" s="15"/>
      <c r="E80" s="57" t="s">
        <v>1405</v>
      </c>
      <c r="F80" s="51" t="n">
        <f>SUM(F67:F79)</f>
      </c>
      <c r="G80" s="51" t="n">
        <f>SUM(G67:G79)</f>
      </c>
      <c r="H80" s="51" t="n">
        <f>SUM(H67:H79)</f>
      </c>
      <c r="I80" s="51" t="n">
        <f>SUM(I67:I79)</f>
      </c>
      <c r="J80" s="51" t="n">
        <f>SUM(J67:J79)</f>
      </c>
      <c r="K80" s="51" t="n">
        <f>SUM(K67:K79)</f>
      </c>
      <c r="L80" s="51" t="n">
        <f>SUM(L67:L79)</f>
      </c>
      <c r="M80" s="51" t="n">
        <f>SUM(M67:M79)</f>
      </c>
      <c r="N80" s="51" t="n">
        <f>SUM(N67:N79)</f>
      </c>
      <c r="O80" s="51" t="n">
        <f>SUM(O67:O79)</f>
      </c>
      <c r="P80" s="51" t="n">
        <f>SUM(P67:P79)</f>
      </c>
      <c r="Q80" s="51" t="n">
        <f>SUM(Q67:Q79)</f>
      </c>
      <c r="R80" s="51" t="n">
        <f>SUM(R67:R79)</f>
      </c>
    </row>
    <row r="81">
      <c r="B81" s="10"/>
      <c r="C81" s="15"/>
      <c r="D81" s="45" t="s">
        <v>1460</v>
      </c>
      <c r="E81" s="44"/>
      <c r="F81" s="50" t="n">
        <f>F59+F80+F65+F54</f>
      </c>
      <c r="G81" s="50" t="n">
        <f>G59+G80+G65+G54</f>
      </c>
      <c r="H81" s="50" t="n">
        <f>H59+H80+H65+H54</f>
      </c>
      <c r="I81" s="50" t="n">
        <f>I59+I80+I65+I54</f>
      </c>
      <c r="J81" s="50" t="n">
        <f>J59+J80+J65+J54</f>
      </c>
      <c r="K81" s="50" t="n">
        <f>K59+K80+K65+K54</f>
      </c>
      <c r="L81" s="50" t="n">
        <f>L59+L80+L65+L54</f>
      </c>
      <c r="M81" s="50" t="n">
        <f>M59+M80+M65+M54</f>
      </c>
      <c r="N81" s="50" t="n">
        <f>N59+N80+N65+N54</f>
      </c>
      <c r="O81" s="50" t="n">
        <f>O59+O80+O65+O54</f>
      </c>
      <c r="P81" s="50" t="n">
        <f>P59+P80+P65+P54</f>
      </c>
      <c r="Q81" s="50" t="n">
        <f>Q59+Q80+Q65+Q54</f>
      </c>
      <c r="R81" s="50" t="n">
        <f>R59+R80+R65+R54</f>
      </c>
    </row>
    <row r="82">
      <c r="B82" s="11"/>
      <c r="C82" s="40" t="s">
        <v>1461</v>
      </c>
      <c r="D82" s="41"/>
      <c r="E82" s="39"/>
      <c r="F82" s="52" t="n">
        <f>F47-F81</f>
      </c>
      <c r="G82" s="52" t="n">
        <f>G47-G81</f>
      </c>
      <c r="H82" s="52" t="n">
        <f>H47-H81</f>
      </c>
      <c r="I82" s="52" t="n">
        <f>I47-I81</f>
      </c>
      <c r="J82" s="52" t="n">
        <f>J47-J81</f>
      </c>
      <c r="K82" s="52" t="n">
        <f>K47-K81</f>
      </c>
      <c r="L82" s="52" t="n">
        <f>L47-L81</f>
      </c>
      <c r="M82" s="52" t="n">
        <f>M47-M81</f>
      </c>
      <c r="N82" s="52" t="n">
        <f>N47-N81</f>
      </c>
      <c r="O82" s="52" t="n">
        <f>O47-O81</f>
      </c>
      <c r="P82" s="52" t="n">
        <f>P47-P81</f>
      </c>
      <c r="Q82" s="52" t="n">
        <f>Q47-Q81</f>
      </c>
      <c r="R82" s="52" t="n">
        <f>R47-R81</f>
      </c>
    </row>
  </sheetData>
  <mergeCells>
    <mergeCell ref="F10:R10"/>
    <mergeCell ref="F11:H11"/>
    <mergeCell ref="I11:R11"/>
    <mergeCell ref="B13:E13"/>
    <mergeCell ref="C14:E14"/>
    <mergeCell ref="D15:E15"/>
    <mergeCell ref="D21:E21"/>
    <mergeCell ref="D26:E26"/>
    <mergeCell ref="D32:E32"/>
    <mergeCell ref="D47:E47"/>
    <mergeCell ref="C48:E48"/>
    <mergeCell ref="D49:E49"/>
    <mergeCell ref="D55:E55"/>
    <mergeCell ref="D60:E60"/>
    <mergeCell ref="D66:E66"/>
    <mergeCell ref="D81:E81"/>
    <mergeCell ref="C82:E82"/>
  </mergeCells>
  <hyperlinks>
    <hyperlink location="'Indice'!A1" ref="B2"/>
  </hyperlinks>
  <pageMargins bottom="0.75" footer="0.3" header="0.3" left="0.7" right="0.7" top="0.75"/>
</worksheet>
</file>

<file path=xl/worksheets/sheet52.xml><?xml version="1.0" encoding="utf-8"?>
<worksheet xmlns="http://schemas.openxmlformats.org/spreadsheetml/2006/main">
  <dimension ref="B2:U74"/>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2.70703125" customWidth="true"/>
    <col min="7" max="7" width="50.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s>
  <sheetData>
    <row r="2">
      <c r="B2" t="s" s="2">
        <v>1</v>
      </c>
    </row>
    <row r="3">
      <c r="B3" t="s" s="1">
        <v>3</v>
      </c>
      <c r="C3" t="s">
        <v>4</v>
      </c>
    </row>
    <row r="4">
      <c r="B4" s="1" t="s">
        <v>5</v>
      </c>
      <c r="C4" t="s">
        <v>6</v>
      </c>
    </row>
    <row r="5">
      <c r="B5" t="s" s="1">
        <v>7</v>
      </c>
      <c r="C5" t="s">
        <v>1462</v>
      </c>
    </row>
    <row r="6">
      <c r="B6" t="s" s="1">
        <v>8</v>
      </c>
      <c r="C6" t="s">
        <v>9</v>
      </c>
    </row>
    <row r="7">
      <c r="B7" t="s" s="1">
        <v>10</v>
      </c>
      <c r="C7" t="s">
        <v>9</v>
      </c>
    </row>
    <row r="8">
      <c r="B8" t="s" s="1">
        <v>11</v>
      </c>
      <c r="C8" t="s">
        <v>12</v>
      </c>
    </row>
    <row r="10">
      <c r="H10" t="s" s="4">
        <v>1463</v>
      </c>
      <c r="I10" s="29"/>
      <c r="J10" s="29"/>
      <c r="K10" s="29"/>
      <c r="L10" s="29"/>
      <c r="M10" s="29"/>
      <c r="N10" s="29"/>
      <c r="O10" s="29"/>
      <c r="P10" s="29"/>
      <c r="Q10" s="29"/>
      <c r="R10" s="29"/>
      <c r="S10" s="29"/>
      <c r="T10" s="30"/>
    </row>
    <row r="11">
      <c r="H11" t="s" s="32">
        <v>1379</v>
      </c>
      <c r="I11" s="61"/>
      <c r="J11" s="62"/>
      <c r="K11" t="s" s="4">
        <v>35</v>
      </c>
      <c r="L11" s="29"/>
      <c r="M11" s="29"/>
      <c r="N11" s="29"/>
      <c r="O11" s="29"/>
      <c r="P11" s="29"/>
      <c r="Q11" s="29"/>
      <c r="R11" s="29"/>
      <c r="S11" s="29"/>
      <c r="T11" s="30"/>
    </row>
    <row r="12">
      <c r="H12" t="s" s="6">
        <v>1380</v>
      </c>
      <c r="I12" t="s" s="34">
        <v>1381</v>
      </c>
      <c r="J12" s="63"/>
      <c r="K12" t="s" s="34">
        <v>1382</v>
      </c>
      <c r="L12" t="s" s="6">
        <v>1383</v>
      </c>
      <c r="M12" t="s" s="34">
        <v>1384</v>
      </c>
      <c r="N12" t="s" s="6">
        <v>1385</v>
      </c>
      <c r="O12" t="s" s="34">
        <v>1386</v>
      </c>
      <c r="P12" t="s" s="6">
        <v>1387</v>
      </c>
      <c r="Q12" t="s" s="34">
        <v>1388</v>
      </c>
      <c r="R12" t="s" s="6">
        <v>1389</v>
      </c>
      <c r="S12" t="s" s="34">
        <v>1390</v>
      </c>
      <c r="T12" s="36"/>
    </row>
    <row r="13" ht="28.0" customHeight="true">
      <c r="B13" s="7" t="s">
        <v>1464</v>
      </c>
      <c r="C13" s="8"/>
      <c r="D13" s="8"/>
      <c r="E13" s="8"/>
      <c r="F13" s="8"/>
      <c r="G13" s="9"/>
      <c r="H13" s="22"/>
      <c r="I13" s="22"/>
      <c r="J13" s="22"/>
      <c r="K13" s="22"/>
      <c r="L13" s="22"/>
      <c r="M13" s="22"/>
      <c r="N13" s="22"/>
      <c r="O13" s="22"/>
      <c r="P13" s="22"/>
      <c r="Q13" s="22"/>
      <c r="R13" s="22"/>
      <c r="S13" s="22"/>
      <c r="T13" s="22"/>
    </row>
    <row r="14">
      <c r="B14" s="10"/>
      <c r="C14" s="12" t="s">
        <v>1465</v>
      </c>
      <c r="D14" s="37"/>
      <c r="E14" s="37"/>
      <c r="F14" s="37"/>
      <c r="G14" s="13"/>
      <c r="H14" s="23"/>
      <c r="I14" s="23"/>
      <c r="J14" s="23"/>
      <c r="K14" s="23"/>
      <c r="L14" s="23"/>
      <c r="M14" s="23"/>
      <c r="N14" s="23"/>
      <c r="O14" s="23"/>
      <c r="P14" s="23"/>
      <c r="Q14" s="23"/>
      <c r="R14" s="23"/>
      <c r="S14" s="23"/>
      <c r="T14" s="23"/>
    </row>
    <row r="15">
      <c r="B15" s="10"/>
      <c r="C15" s="14"/>
      <c r="D15" s="7" t="s">
        <v>1466</v>
      </c>
      <c r="E15" s="8"/>
      <c r="F15" s="8"/>
      <c r="G15" s="9"/>
      <c r="H15" s="22"/>
      <c r="I15" s="22"/>
      <c r="J15" s="22"/>
      <c r="K15" s="22"/>
      <c r="L15" s="22"/>
      <c r="M15" s="22"/>
      <c r="N15" s="22"/>
      <c r="O15" s="22"/>
      <c r="P15" s="22"/>
      <c r="Q15" s="22"/>
      <c r="R15" s="22"/>
      <c r="S15" s="22"/>
      <c r="T15" s="22"/>
    </row>
    <row r="16">
      <c r="B16" s="10"/>
      <c r="C16" s="14"/>
      <c r="D16" s="10"/>
      <c r="E16" s="12" t="s">
        <v>1467</v>
      </c>
      <c r="F16" s="37"/>
      <c r="G16" s="13"/>
      <c r="H16" s="23"/>
      <c r="I16" s="23"/>
      <c r="J16" s="23"/>
      <c r="K16" s="23"/>
      <c r="L16" s="23"/>
      <c r="M16" s="23"/>
      <c r="N16" s="23"/>
      <c r="O16" s="23"/>
      <c r="P16" s="23"/>
      <c r="Q16" s="23"/>
      <c r="R16" s="23"/>
      <c r="S16" s="23"/>
      <c r="T16" s="23"/>
    </row>
    <row r="17">
      <c r="B17" s="10"/>
      <c r="C17" s="14"/>
      <c r="D17" s="10"/>
      <c r="E17" s="14"/>
      <c r="F17" s="11" t="s">
        <v>1456</v>
      </c>
      <c r="G17" s="9"/>
      <c r="H17" s="50" t="n"/>
      <c r="I17" s="50" t="n"/>
      <c r="J17" s="50" t="n"/>
      <c r="K17" s="50" t="n"/>
      <c r="L17" s="50" t="n"/>
      <c r="M17" s="50" t="n"/>
      <c r="N17" s="50" t="n"/>
      <c r="O17" s="50" t="n"/>
      <c r="P17" s="50" t="n"/>
      <c r="Q17" s="50" t="n"/>
      <c r="R17" s="50" t="n"/>
      <c r="S17" s="50" t="n"/>
      <c r="T17" s="50" t="n"/>
    </row>
    <row r="18">
      <c r="B18" s="10"/>
      <c r="C18" s="14"/>
      <c r="D18" s="10"/>
      <c r="E18" s="14"/>
      <c r="F18" s="15" t="s">
        <v>1468</v>
      </c>
      <c r="G18" s="13"/>
      <c r="H18" s="51" t="n"/>
      <c r="I18" s="51" t="n"/>
      <c r="J18" s="51" t="n"/>
      <c r="K18" s="51" t="n"/>
      <c r="L18" s="51" t="n"/>
      <c r="M18" s="51" t="n"/>
      <c r="N18" s="51" t="n"/>
      <c r="O18" s="51" t="n"/>
      <c r="P18" s="51" t="n"/>
      <c r="Q18" s="51" t="n"/>
      <c r="R18" s="51" t="n"/>
      <c r="S18" s="51" t="n"/>
      <c r="T18" s="51" t="n"/>
    </row>
    <row r="19">
      <c r="B19" s="10"/>
      <c r="C19" s="14"/>
      <c r="D19" s="10"/>
      <c r="E19" s="14"/>
      <c r="F19" s="11" t="s">
        <v>1339</v>
      </c>
      <c r="G19" s="9"/>
      <c r="H19" s="50" t="n"/>
      <c r="I19" s="50" t="n"/>
      <c r="J19" s="50" t="n"/>
      <c r="K19" s="50" t="n"/>
      <c r="L19" s="50" t="n"/>
      <c r="M19" s="50" t="n"/>
      <c r="N19" s="50" t="n"/>
      <c r="O19" s="50" t="n"/>
      <c r="P19" s="50" t="n"/>
      <c r="Q19" s="50" t="n"/>
      <c r="R19" s="50" t="n"/>
      <c r="S19" s="50" t="n"/>
      <c r="T19" s="50" t="n"/>
    </row>
    <row r="20">
      <c r="B20" s="10"/>
      <c r="C20" s="14"/>
      <c r="D20" s="10"/>
      <c r="E20" s="15"/>
      <c r="F20" s="40" t="s">
        <v>1469</v>
      </c>
      <c r="G20" s="39"/>
      <c r="H20" s="51" t="n">
        <f>SUM(H17:H19)</f>
      </c>
      <c r="I20" s="51" t="n">
        <f>SUM(I17:I19)</f>
      </c>
      <c r="J20" s="51" t="n">
        <f>SUM(J17:J19)</f>
      </c>
      <c r="K20" s="51" t="n">
        <f>SUM(K17:K19)</f>
      </c>
      <c r="L20" s="51" t="n">
        <f>SUM(L17:L19)</f>
      </c>
      <c r="M20" s="51" t="n">
        <f>SUM(M17:M19)</f>
      </c>
      <c r="N20" s="51" t="n">
        <f>SUM(N17:N19)</f>
      </c>
      <c r="O20" s="51" t="n">
        <f>SUM(O17:O19)</f>
      </c>
      <c r="P20" s="51" t="n">
        <f>SUM(P17:P19)</f>
      </c>
      <c r="Q20" s="51" t="n">
        <f>SUM(Q17:Q19)</f>
      </c>
      <c r="R20" s="51" t="n">
        <f>SUM(R17:R19)</f>
      </c>
      <c r="S20" s="51" t="n">
        <f>SUM(S17:S19)</f>
      </c>
      <c r="T20" s="51" t="n">
        <f>SUM(T17:T19)</f>
      </c>
    </row>
    <row r="21">
      <c r="B21" s="10"/>
      <c r="C21" s="14"/>
      <c r="D21" s="10"/>
      <c r="E21" s="7" t="s">
        <v>1470</v>
      </c>
      <c r="F21" s="8"/>
      <c r="G21" s="9"/>
      <c r="H21" s="22"/>
      <c r="I21" s="22"/>
      <c r="J21" s="22"/>
      <c r="K21" s="22"/>
      <c r="L21" s="22"/>
      <c r="M21" s="22"/>
      <c r="N21" s="22"/>
      <c r="O21" s="22"/>
      <c r="P21" s="22"/>
      <c r="Q21" s="22"/>
      <c r="R21" s="22"/>
      <c r="S21" s="22"/>
      <c r="T21" s="22"/>
    </row>
    <row r="22">
      <c r="B22" s="10"/>
      <c r="C22" s="14"/>
      <c r="D22" s="10"/>
      <c r="E22" s="10"/>
      <c r="F22" s="15" t="s">
        <v>1456</v>
      </c>
      <c r="G22" s="13"/>
      <c r="H22" s="51" t="n"/>
      <c r="I22" s="51" t="n"/>
      <c r="J22" s="51" t="n"/>
      <c r="K22" s="51" t="n"/>
      <c r="L22" s="51" t="n"/>
      <c r="M22" s="51" t="n"/>
      <c r="N22" s="51" t="n"/>
      <c r="O22" s="51" t="n"/>
      <c r="P22" s="51" t="n"/>
      <c r="Q22" s="51" t="n"/>
      <c r="R22" s="51" t="n"/>
      <c r="S22" s="51" t="n"/>
      <c r="T22" s="51" t="n"/>
    </row>
    <row r="23">
      <c r="B23" s="10"/>
      <c r="C23" s="14"/>
      <c r="D23" s="10"/>
      <c r="E23" s="10"/>
      <c r="F23" s="11" t="s">
        <v>1468</v>
      </c>
      <c r="G23" s="9"/>
      <c r="H23" s="50" t="n"/>
      <c r="I23" s="50" t="n"/>
      <c r="J23" s="50" t="n"/>
      <c r="K23" s="50" t="n"/>
      <c r="L23" s="50" t="n"/>
      <c r="M23" s="50" t="n"/>
      <c r="N23" s="50" t="n"/>
      <c r="O23" s="50" t="n"/>
      <c r="P23" s="50" t="n"/>
      <c r="Q23" s="50" t="n"/>
      <c r="R23" s="50" t="n"/>
      <c r="S23" s="50" t="n"/>
      <c r="T23" s="50" t="n"/>
    </row>
    <row r="24">
      <c r="B24" s="10"/>
      <c r="C24" s="14"/>
      <c r="D24" s="10"/>
      <c r="E24" s="10"/>
      <c r="F24" s="15" t="s">
        <v>1339</v>
      </c>
      <c r="G24" s="13"/>
      <c r="H24" s="51" t="n"/>
      <c r="I24" s="51" t="n"/>
      <c r="J24" s="51" t="n"/>
      <c r="K24" s="51" t="n"/>
      <c r="L24" s="51" t="n"/>
      <c r="M24" s="51" t="n"/>
      <c r="N24" s="51" t="n"/>
      <c r="O24" s="51" t="n"/>
      <c r="P24" s="51" t="n"/>
      <c r="Q24" s="51" t="n"/>
      <c r="R24" s="51" t="n"/>
      <c r="S24" s="51" t="n"/>
      <c r="T24" s="51" t="n"/>
    </row>
    <row r="25">
      <c r="B25" s="10"/>
      <c r="C25" s="14"/>
      <c r="D25" s="10"/>
      <c r="E25" s="11"/>
      <c r="F25" s="45" t="s">
        <v>1471</v>
      </c>
      <c r="G25" s="44"/>
      <c r="H25" s="50" t="n">
        <f>SUM(H22:H24)</f>
      </c>
      <c r="I25" s="50" t="n">
        <f>SUM(I22:I24)</f>
      </c>
      <c r="J25" s="50" t="n">
        <f>SUM(J22:J24)</f>
      </c>
      <c r="K25" s="50" t="n">
        <f>SUM(K22:K24)</f>
      </c>
      <c r="L25" s="50" t="n">
        <f>SUM(L22:L24)</f>
      </c>
      <c r="M25" s="50" t="n">
        <f>SUM(M22:M24)</f>
      </c>
      <c r="N25" s="50" t="n">
        <f>SUM(N22:N24)</f>
      </c>
      <c r="O25" s="50" t="n">
        <f>SUM(O22:O24)</f>
      </c>
      <c r="P25" s="50" t="n">
        <f>SUM(P22:P24)</f>
      </c>
      <c r="Q25" s="50" t="n">
        <f>SUM(Q22:Q24)</f>
      </c>
      <c r="R25" s="50" t="n">
        <f>SUM(R22:R24)</f>
      </c>
      <c r="S25" s="50" t="n">
        <f>SUM(S22:S24)</f>
      </c>
      <c r="T25" s="50" t="n">
        <f>SUM(T22:T24)</f>
      </c>
    </row>
    <row r="26">
      <c r="B26" s="10"/>
      <c r="C26" s="14"/>
      <c r="D26" s="10"/>
      <c r="E26" s="12" t="s">
        <v>1472</v>
      </c>
      <c r="F26" s="37"/>
      <c r="G26" s="13"/>
      <c r="H26" s="23"/>
      <c r="I26" s="23"/>
      <c r="J26" s="23"/>
      <c r="K26" s="23"/>
      <c r="L26" s="23"/>
      <c r="M26" s="23"/>
      <c r="N26" s="23"/>
      <c r="O26" s="23"/>
      <c r="P26" s="23"/>
      <c r="Q26" s="23"/>
      <c r="R26" s="23"/>
      <c r="S26" s="23"/>
      <c r="T26" s="23"/>
    </row>
    <row r="27">
      <c r="B27" s="10"/>
      <c r="C27" s="14"/>
      <c r="D27" s="10"/>
      <c r="E27" s="14"/>
      <c r="F27" s="7" t="s">
        <v>1395</v>
      </c>
      <c r="G27" s="9"/>
      <c r="H27" s="50" t="n">
        <f>H28+H29</f>
      </c>
      <c r="I27" s="50" t="n">
        <f>I28+I29</f>
      </c>
      <c r="J27" s="50" t="n">
        <f>J28+J29</f>
      </c>
      <c r="K27" s="50" t="n">
        <f>K28+K29</f>
      </c>
      <c r="L27" s="50" t="n">
        <f>L28+L29</f>
      </c>
      <c r="M27" s="50" t="n">
        <f>M28+M29</f>
      </c>
      <c r="N27" s="50" t="n">
        <f>N28+N29</f>
      </c>
      <c r="O27" s="50" t="n">
        <f>O28+O29</f>
      </c>
      <c r="P27" s="50" t="n">
        <f>P28+P29</f>
      </c>
      <c r="Q27" s="50" t="n">
        <f>Q28+Q29</f>
      </c>
      <c r="R27" s="50" t="n">
        <f>R28+R29</f>
      </c>
      <c r="S27" s="50" t="n">
        <f>S28+S29</f>
      </c>
      <c r="T27" s="50" t="n">
        <f>T28+T29</f>
      </c>
    </row>
    <row r="28">
      <c r="B28" s="10"/>
      <c r="C28" s="14"/>
      <c r="D28" s="10"/>
      <c r="E28" s="14"/>
      <c r="F28" s="10"/>
      <c r="G28" s="19" t="s">
        <v>1473</v>
      </c>
      <c r="H28" s="51" t="n"/>
      <c r="I28" s="51" t="n"/>
      <c r="J28" s="51" t="n"/>
      <c r="K28" s="51" t="n"/>
      <c r="L28" s="51" t="n"/>
      <c r="M28" s="51" t="n"/>
      <c r="N28" s="51" t="n"/>
      <c r="O28" s="51" t="n"/>
      <c r="P28" s="51" t="n"/>
      <c r="Q28" s="51" t="n"/>
      <c r="R28" s="51" t="n"/>
      <c r="S28" s="51" t="n"/>
      <c r="T28" s="51" t="n"/>
    </row>
    <row r="29">
      <c r="B29" s="10"/>
      <c r="C29" s="14"/>
      <c r="D29" s="10"/>
      <c r="E29" s="14"/>
      <c r="F29" s="11"/>
      <c r="G29" s="18" t="s">
        <v>1474</v>
      </c>
      <c r="H29" s="50" t="n"/>
      <c r="I29" s="50" t="n"/>
      <c r="J29" s="50" t="n"/>
      <c r="K29" s="50" t="n"/>
      <c r="L29" s="50" t="n"/>
      <c r="M29" s="50" t="n"/>
      <c r="N29" s="50" t="n"/>
      <c r="O29" s="50" t="n"/>
      <c r="P29" s="50" t="n"/>
      <c r="Q29" s="50" t="n"/>
      <c r="R29" s="50" t="n"/>
      <c r="S29" s="50" t="n"/>
      <c r="T29" s="50" t="n"/>
    </row>
    <row r="30">
      <c r="B30" s="10"/>
      <c r="C30" s="14"/>
      <c r="D30" s="10"/>
      <c r="E30" s="14"/>
      <c r="F30" s="15" t="s">
        <v>1396</v>
      </c>
      <c r="G30" s="13"/>
      <c r="H30" s="51" t="n"/>
      <c r="I30" s="51" t="n"/>
      <c r="J30" s="51" t="n"/>
      <c r="K30" s="51" t="n"/>
      <c r="L30" s="51" t="n"/>
      <c r="M30" s="51" t="n"/>
      <c r="N30" s="51" t="n"/>
      <c r="O30" s="51" t="n"/>
      <c r="P30" s="51" t="n"/>
      <c r="Q30" s="51" t="n"/>
      <c r="R30" s="51" t="n"/>
      <c r="S30" s="51" t="n"/>
      <c r="T30" s="51" t="n"/>
    </row>
    <row r="31">
      <c r="B31" s="10"/>
      <c r="C31" s="14"/>
      <c r="D31" s="10"/>
      <c r="E31" s="14"/>
      <c r="F31" s="11" t="s">
        <v>1397</v>
      </c>
      <c r="G31" s="9"/>
      <c r="H31" s="50" t="n"/>
      <c r="I31" s="50" t="n"/>
      <c r="J31" s="50" t="n"/>
      <c r="K31" s="50" t="n"/>
      <c r="L31" s="50" t="n"/>
      <c r="M31" s="50" t="n"/>
      <c r="N31" s="50" t="n"/>
      <c r="O31" s="50" t="n"/>
      <c r="P31" s="50" t="n"/>
      <c r="Q31" s="50" t="n"/>
      <c r="R31" s="50" t="n"/>
      <c r="S31" s="50" t="n"/>
      <c r="T31" s="50" t="n"/>
    </row>
    <row r="32">
      <c r="B32" s="10"/>
      <c r="C32" s="14"/>
      <c r="D32" s="10"/>
      <c r="E32" s="14"/>
      <c r="F32" s="15" t="s">
        <v>1398</v>
      </c>
      <c r="G32" s="13"/>
      <c r="H32" s="51" t="n"/>
      <c r="I32" s="51" t="n"/>
      <c r="J32" s="51" t="n"/>
      <c r="K32" s="51" t="n"/>
      <c r="L32" s="51" t="n"/>
      <c r="M32" s="51" t="n"/>
      <c r="N32" s="51" t="n"/>
      <c r="O32" s="51" t="n"/>
      <c r="P32" s="51" t="n"/>
      <c r="Q32" s="51" t="n"/>
      <c r="R32" s="51" t="n"/>
      <c r="S32" s="51" t="n"/>
      <c r="T32" s="51" t="n"/>
    </row>
    <row r="33">
      <c r="B33" s="10"/>
      <c r="C33" s="14"/>
      <c r="D33" s="10"/>
      <c r="E33" s="14"/>
      <c r="F33" s="11" t="s">
        <v>1399</v>
      </c>
      <c r="G33" s="9"/>
      <c r="H33" s="50" t="n"/>
      <c r="I33" s="50" t="n"/>
      <c r="J33" s="50" t="n"/>
      <c r="K33" s="50" t="n"/>
      <c r="L33" s="50" t="n"/>
      <c r="M33" s="50" t="n"/>
      <c r="N33" s="50" t="n"/>
      <c r="O33" s="50" t="n"/>
      <c r="P33" s="50" t="n"/>
      <c r="Q33" s="50" t="n"/>
      <c r="R33" s="50" t="n"/>
      <c r="S33" s="50" t="n"/>
      <c r="T33" s="50" t="n"/>
    </row>
    <row r="34">
      <c r="B34" s="10"/>
      <c r="C34" s="14"/>
      <c r="D34" s="10"/>
      <c r="E34" s="14"/>
      <c r="F34" s="15" t="s">
        <v>1400</v>
      </c>
      <c r="G34" s="13"/>
      <c r="H34" s="51" t="n"/>
      <c r="I34" s="51" t="n"/>
      <c r="J34" s="51" t="n"/>
      <c r="K34" s="51" t="n"/>
      <c r="L34" s="51" t="n"/>
      <c r="M34" s="51" t="n"/>
      <c r="N34" s="51" t="n"/>
      <c r="O34" s="51" t="n"/>
      <c r="P34" s="51" t="n"/>
      <c r="Q34" s="51" t="n"/>
      <c r="R34" s="51" t="n"/>
      <c r="S34" s="51" t="n"/>
      <c r="T34" s="51" t="n"/>
    </row>
    <row r="35">
      <c r="B35" s="10"/>
      <c r="C35" s="14"/>
      <c r="D35" s="10"/>
      <c r="E35" s="14"/>
      <c r="F35" s="11" t="s">
        <v>1452</v>
      </c>
      <c r="G35" s="9"/>
      <c r="H35" s="50" t="n"/>
      <c r="I35" s="50" t="n"/>
      <c r="J35" s="50" t="n"/>
      <c r="K35" s="50" t="n"/>
      <c r="L35" s="50" t="n"/>
      <c r="M35" s="50" t="n"/>
      <c r="N35" s="50" t="n"/>
      <c r="O35" s="50" t="n"/>
      <c r="P35" s="50" t="n"/>
      <c r="Q35" s="50" t="n"/>
      <c r="R35" s="50" t="n"/>
      <c r="S35" s="50" t="n"/>
      <c r="T35" s="50" t="n"/>
    </row>
    <row r="36">
      <c r="B36" s="10"/>
      <c r="C36" s="14"/>
      <c r="D36" s="10"/>
      <c r="E36" s="14"/>
      <c r="F36" s="15" t="s">
        <v>1453</v>
      </c>
      <c r="G36" s="13"/>
      <c r="H36" s="51" t="n"/>
      <c r="I36" s="51" t="n"/>
      <c r="J36" s="51" t="n"/>
      <c r="K36" s="51" t="n"/>
      <c r="L36" s="51" t="n"/>
      <c r="M36" s="51" t="n"/>
      <c r="N36" s="51" t="n"/>
      <c r="O36" s="51" t="n"/>
      <c r="P36" s="51" t="n"/>
      <c r="Q36" s="51" t="n"/>
      <c r="R36" s="51" t="n"/>
      <c r="S36" s="51" t="n"/>
      <c r="T36" s="51" t="n"/>
    </row>
    <row r="37">
      <c r="B37" s="10"/>
      <c r="C37" s="14"/>
      <c r="D37" s="10"/>
      <c r="E37" s="14"/>
      <c r="F37" s="11" t="s">
        <v>1454</v>
      </c>
      <c r="G37" s="9"/>
      <c r="H37" s="50" t="n"/>
      <c r="I37" s="50" t="n"/>
      <c r="J37" s="50" t="n"/>
      <c r="K37" s="50" t="n"/>
      <c r="L37" s="50" t="n"/>
      <c r="M37" s="50" t="n"/>
      <c r="N37" s="50" t="n"/>
      <c r="O37" s="50" t="n"/>
      <c r="P37" s="50" t="n"/>
      <c r="Q37" s="50" t="n"/>
      <c r="R37" s="50" t="n"/>
      <c r="S37" s="50" t="n"/>
      <c r="T37" s="50" t="n"/>
    </row>
    <row r="38">
      <c r="B38" s="10"/>
      <c r="C38" s="14"/>
      <c r="D38" s="10"/>
      <c r="E38" s="14"/>
      <c r="F38" s="15" t="s">
        <v>1475</v>
      </c>
      <c r="G38" s="13"/>
      <c r="H38" s="51" t="n"/>
      <c r="I38" s="51" t="n"/>
      <c r="J38" s="51" t="n"/>
      <c r="K38" s="51" t="n"/>
      <c r="L38" s="51" t="n"/>
      <c r="M38" s="51" t="n"/>
      <c r="N38" s="51" t="n"/>
      <c r="O38" s="51" t="n"/>
      <c r="P38" s="51" t="n"/>
      <c r="Q38" s="51" t="n"/>
      <c r="R38" s="51" t="n"/>
      <c r="S38" s="51" t="n"/>
      <c r="T38" s="51" t="n"/>
    </row>
    <row r="39">
      <c r="B39" s="10"/>
      <c r="C39" s="14"/>
      <c r="D39" s="10"/>
      <c r="E39" s="14"/>
      <c r="F39" s="11" t="s">
        <v>1476</v>
      </c>
      <c r="G39" s="9"/>
      <c r="H39" s="50" t="n"/>
      <c r="I39" s="50" t="n"/>
      <c r="J39" s="50" t="n"/>
      <c r="K39" s="50" t="n"/>
      <c r="L39" s="50" t="n"/>
      <c r="M39" s="50" t="n"/>
      <c r="N39" s="50" t="n"/>
      <c r="O39" s="50" t="n"/>
      <c r="P39" s="50" t="n"/>
      <c r="Q39" s="50" t="n"/>
      <c r="R39" s="50" t="n"/>
      <c r="S39" s="50" t="n"/>
      <c r="T39" s="50" t="n"/>
    </row>
    <row r="40">
      <c r="B40" s="10"/>
      <c r="C40" s="14"/>
      <c r="D40" s="10"/>
      <c r="E40" s="14"/>
      <c r="F40" s="15" t="s">
        <v>1468</v>
      </c>
      <c r="G40" s="13"/>
      <c r="H40" s="51" t="n"/>
      <c r="I40" s="51" t="n"/>
      <c r="J40" s="51" t="n"/>
      <c r="K40" s="51" t="n"/>
      <c r="L40" s="51" t="n"/>
      <c r="M40" s="51" t="n"/>
      <c r="N40" s="51" t="n"/>
      <c r="O40" s="51" t="n"/>
      <c r="P40" s="51" t="n"/>
      <c r="Q40" s="51" t="n"/>
      <c r="R40" s="51" t="n"/>
      <c r="S40" s="51" t="n"/>
      <c r="T40" s="51" t="n"/>
    </row>
    <row r="41">
      <c r="B41" s="10"/>
      <c r="C41" s="14"/>
      <c r="D41" s="10"/>
      <c r="E41" s="14"/>
      <c r="F41" s="11" t="s">
        <v>1456</v>
      </c>
      <c r="G41" s="9"/>
      <c r="H41" s="50" t="n"/>
      <c r="I41" s="50" t="n"/>
      <c r="J41" s="50" t="n"/>
      <c r="K41" s="50" t="n"/>
      <c r="L41" s="50" t="n"/>
      <c r="M41" s="50" t="n"/>
      <c r="N41" s="50" t="n"/>
      <c r="O41" s="50" t="n"/>
      <c r="P41" s="50" t="n"/>
      <c r="Q41" s="50" t="n"/>
      <c r="R41" s="50" t="n"/>
      <c r="S41" s="50" t="n"/>
      <c r="T41" s="50" t="n"/>
    </row>
    <row r="42">
      <c r="B42" s="10"/>
      <c r="C42" s="14"/>
      <c r="D42" s="10"/>
      <c r="E42" s="14"/>
      <c r="F42" s="15" t="s">
        <v>1339</v>
      </c>
      <c r="G42" s="13"/>
      <c r="H42" s="51" t="n"/>
      <c r="I42" s="51" t="n"/>
      <c r="J42" s="51" t="n"/>
      <c r="K42" s="51" t="n"/>
      <c r="L42" s="51" t="n"/>
      <c r="M42" s="51" t="n"/>
      <c r="N42" s="51" t="n"/>
      <c r="O42" s="51" t="n"/>
      <c r="P42" s="51" t="n"/>
      <c r="Q42" s="51" t="n"/>
      <c r="R42" s="51" t="n"/>
      <c r="S42" s="51" t="n"/>
      <c r="T42" s="51" t="n"/>
    </row>
    <row r="43">
      <c r="B43" s="10"/>
      <c r="C43" s="14"/>
      <c r="D43" s="10"/>
      <c r="E43" s="15"/>
      <c r="F43" s="45" t="s">
        <v>1477</v>
      </c>
      <c r="G43" s="44"/>
      <c r="H43" s="50" t="n">
        <f>H27+SUM(H30:H42)</f>
      </c>
      <c r="I43" s="50" t="n">
        <f>I27+SUM(I30:I42)</f>
      </c>
      <c r="J43" s="50" t="n">
        <f>J27+SUM(J30:J42)</f>
      </c>
      <c r="K43" s="50" t="n">
        <f>K27+SUM(K30:K42)</f>
      </c>
      <c r="L43" s="50" t="n">
        <f>L27+SUM(L30:L42)</f>
      </c>
      <c r="M43" s="50" t="n">
        <f>M27+SUM(M30:M42)</f>
      </c>
      <c r="N43" s="50" t="n">
        <f>N27+SUM(N30:N42)</f>
      </c>
      <c r="O43" s="50" t="n">
        <f>O27+SUM(O30:O42)</f>
      </c>
      <c r="P43" s="50" t="n">
        <f>P27+SUM(P30:P42)</f>
      </c>
      <c r="Q43" s="50" t="n">
        <f>Q27+SUM(Q30:Q42)</f>
      </c>
      <c r="R43" s="50" t="n">
        <f>R27+SUM(R30:R42)</f>
      </c>
      <c r="S43" s="50" t="n">
        <f>S27+SUM(S30:S42)</f>
      </c>
      <c r="T43" s="50" t="n">
        <f>T27+SUM(T30:T42)</f>
      </c>
    </row>
    <row r="44">
      <c r="B44" s="10"/>
      <c r="C44" s="15"/>
      <c r="D44" s="11"/>
      <c r="E44" s="40" t="s">
        <v>1478</v>
      </c>
      <c r="F44" s="41"/>
      <c r="G44" s="39"/>
      <c r="H44" s="51" t="n">
        <f>H43+H20+H25</f>
      </c>
      <c r="I44" s="51" t="n">
        <f>I43+I20+I25</f>
      </c>
      <c r="J44" s="51" t="n">
        <f>J43+J20+J25</f>
      </c>
      <c r="K44" s="51" t="n">
        <f>K43+K20+K25</f>
      </c>
      <c r="L44" s="51" t="n">
        <f>L43+L20+L25</f>
      </c>
      <c r="M44" s="51" t="n">
        <f>M43+M20+M25</f>
      </c>
      <c r="N44" s="51" t="n">
        <f>N43+N20+N25</f>
      </c>
      <c r="O44" s="51" t="n">
        <f>O43+O20+O25</f>
      </c>
      <c r="P44" s="51" t="n">
        <f>P43+P20+P25</f>
      </c>
      <c r="Q44" s="51" t="n">
        <f>Q43+Q20+Q25</f>
      </c>
      <c r="R44" s="51" t="n">
        <f>R43+R20+R25</f>
      </c>
      <c r="S44" s="51" t="n">
        <f>S43+S20+S25</f>
      </c>
      <c r="T44" s="51" t="n">
        <f>T43+T20+T25</f>
      </c>
    </row>
    <row r="45">
      <c r="B45" s="10"/>
      <c r="C45" s="7" t="s">
        <v>1479</v>
      </c>
      <c r="D45" s="8"/>
      <c r="E45" s="8"/>
      <c r="F45" s="8"/>
      <c r="G45" s="9"/>
      <c r="H45" s="22"/>
      <c r="I45" s="22"/>
      <c r="J45" s="22"/>
      <c r="K45" s="22"/>
      <c r="L45" s="22"/>
      <c r="M45" s="22"/>
      <c r="N45" s="22"/>
      <c r="O45" s="22"/>
      <c r="P45" s="22"/>
      <c r="Q45" s="22"/>
      <c r="R45" s="22"/>
      <c r="S45" s="22"/>
      <c r="T45" s="22"/>
    </row>
    <row r="46">
      <c r="B46" s="10"/>
      <c r="C46" s="10"/>
      <c r="D46" s="12" t="s">
        <v>1480</v>
      </c>
      <c r="E46" s="37"/>
      <c r="F46" s="37"/>
      <c r="G46" s="13"/>
      <c r="H46" s="23"/>
      <c r="I46" s="23"/>
      <c r="J46" s="23"/>
      <c r="K46" s="23"/>
      <c r="L46" s="23"/>
      <c r="M46" s="23"/>
      <c r="N46" s="23"/>
      <c r="O46" s="23"/>
      <c r="P46" s="23"/>
      <c r="Q46" s="23"/>
      <c r="R46" s="23"/>
      <c r="S46" s="23"/>
      <c r="T46" s="23"/>
    </row>
    <row r="47">
      <c r="B47" s="10"/>
      <c r="C47" s="10"/>
      <c r="D47" s="14"/>
      <c r="E47" s="7" t="s">
        <v>1467</v>
      </c>
      <c r="F47" s="8"/>
      <c r="G47" s="9"/>
      <c r="H47" s="22"/>
      <c r="I47" s="22"/>
      <c r="J47" s="22"/>
      <c r="K47" s="22"/>
      <c r="L47" s="22"/>
      <c r="M47" s="22"/>
      <c r="N47" s="22"/>
      <c r="O47" s="22"/>
      <c r="P47" s="22"/>
      <c r="Q47" s="22"/>
      <c r="R47" s="22"/>
      <c r="S47" s="22"/>
      <c r="T47" s="22"/>
    </row>
    <row r="48">
      <c r="B48" s="10"/>
      <c r="C48" s="10"/>
      <c r="D48" s="14"/>
      <c r="E48" s="10"/>
      <c r="F48" s="15" t="s">
        <v>1456</v>
      </c>
      <c r="G48" s="13"/>
      <c r="H48" s="51" t="n"/>
      <c r="I48" s="51" t="n"/>
      <c r="J48" s="51" t="n"/>
      <c r="K48" s="51" t="n"/>
      <c r="L48" s="51" t="n"/>
      <c r="M48" s="51" t="n"/>
      <c r="N48" s="51" t="n"/>
      <c r="O48" s="51" t="n"/>
      <c r="P48" s="51" t="n"/>
      <c r="Q48" s="51" t="n"/>
      <c r="R48" s="51" t="n"/>
      <c r="S48" s="51" t="n"/>
      <c r="T48" s="51" t="n"/>
    </row>
    <row r="49">
      <c r="B49" s="10"/>
      <c r="C49" s="10"/>
      <c r="D49" s="14"/>
      <c r="E49" s="10"/>
      <c r="F49" s="11" t="s">
        <v>1468</v>
      </c>
      <c r="G49" s="9"/>
      <c r="H49" s="50" t="n"/>
      <c r="I49" s="50" t="n"/>
      <c r="J49" s="50" t="n"/>
      <c r="K49" s="50" t="n"/>
      <c r="L49" s="50" t="n"/>
      <c r="M49" s="50" t="n"/>
      <c r="N49" s="50" t="n"/>
      <c r="O49" s="50" t="n"/>
      <c r="P49" s="50" t="n"/>
      <c r="Q49" s="50" t="n"/>
      <c r="R49" s="50" t="n"/>
      <c r="S49" s="50" t="n"/>
      <c r="T49" s="50" t="n"/>
    </row>
    <row r="50">
      <c r="B50" s="10"/>
      <c r="C50" s="10"/>
      <c r="D50" s="14"/>
      <c r="E50" s="10"/>
      <c r="F50" s="15" t="s">
        <v>1339</v>
      </c>
      <c r="G50" s="13"/>
      <c r="H50" s="51" t="n"/>
      <c r="I50" s="51" t="n"/>
      <c r="J50" s="51" t="n"/>
      <c r="K50" s="51" t="n"/>
      <c r="L50" s="51" t="n"/>
      <c r="M50" s="51" t="n"/>
      <c r="N50" s="51" t="n"/>
      <c r="O50" s="51" t="n"/>
      <c r="P50" s="51" t="n"/>
      <c r="Q50" s="51" t="n"/>
      <c r="R50" s="51" t="n"/>
      <c r="S50" s="51" t="n"/>
      <c r="T50" s="51" t="n"/>
    </row>
    <row r="51">
      <c r="B51" s="10"/>
      <c r="C51" s="10"/>
      <c r="D51" s="14"/>
      <c r="E51" s="11"/>
      <c r="F51" s="45" t="s">
        <v>1469</v>
      </c>
      <c r="G51" s="44"/>
      <c r="H51" s="50" t="n">
        <f>SUM(H48:H50)</f>
      </c>
      <c r="I51" s="50" t="n">
        <f>SUM(I48:I50)</f>
      </c>
      <c r="J51" s="50" t="n">
        <f>SUM(J48:J50)</f>
      </c>
      <c r="K51" s="50" t="n">
        <f>SUM(K48:K50)</f>
      </c>
      <c r="L51" s="50" t="n">
        <f>SUM(L48:L50)</f>
      </c>
      <c r="M51" s="50" t="n">
        <f>SUM(M48:M50)</f>
      </c>
      <c r="N51" s="50" t="n">
        <f>SUM(N48:N50)</f>
      </c>
      <c r="O51" s="50" t="n">
        <f>SUM(O48:O50)</f>
      </c>
      <c r="P51" s="50" t="n">
        <f>SUM(P48:P50)</f>
      </c>
      <c r="Q51" s="50" t="n">
        <f>SUM(Q48:Q50)</f>
      </c>
      <c r="R51" s="50" t="n">
        <f>SUM(R48:R50)</f>
      </c>
      <c r="S51" s="50" t="n">
        <f>SUM(S48:S50)</f>
      </c>
      <c r="T51" s="50" t="n">
        <f>SUM(T48:T50)</f>
      </c>
    </row>
    <row r="52">
      <c r="B52" s="10"/>
      <c r="C52" s="10"/>
      <c r="D52" s="14"/>
      <c r="E52" s="12" t="s">
        <v>1470</v>
      </c>
      <c r="F52" s="37"/>
      <c r="G52" s="13"/>
      <c r="H52" s="23"/>
      <c r="I52" s="23"/>
      <c r="J52" s="23"/>
      <c r="K52" s="23"/>
      <c r="L52" s="23"/>
      <c r="M52" s="23"/>
      <c r="N52" s="23"/>
      <c r="O52" s="23"/>
      <c r="P52" s="23"/>
      <c r="Q52" s="23"/>
      <c r="R52" s="23"/>
      <c r="S52" s="23"/>
      <c r="T52" s="23"/>
    </row>
    <row r="53">
      <c r="B53" s="10"/>
      <c r="C53" s="10"/>
      <c r="D53" s="14"/>
      <c r="E53" s="14"/>
      <c r="F53" s="11" t="s">
        <v>1456</v>
      </c>
      <c r="G53" s="9"/>
      <c r="H53" s="50" t="n"/>
      <c r="I53" s="50" t="n"/>
      <c r="J53" s="50" t="n"/>
      <c r="K53" s="50" t="n"/>
      <c r="L53" s="50" t="n"/>
      <c r="M53" s="50" t="n"/>
      <c r="N53" s="50" t="n"/>
      <c r="O53" s="50" t="n"/>
      <c r="P53" s="50" t="n"/>
      <c r="Q53" s="50" t="n"/>
      <c r="R53" s="50" t="n"/>
      <c r="S53" s="50" t="n"/>
      <c r="T53" s="50" t="n"/>
    </row>
    <row r="54">
      <c r="B54" s="10"/>
      <c r="C54" s="10"/>
      <c r="D54" s="14"/>
      <c r="E54" s="14"/>
      <c r="F54" s="15" t="s">
        <v>1468</v>
      </c>
      <c r="G54" s="13"/>
      <c r="H54" s="51" t="n"/>
      <c r="I54" s="51" t="n"/>
      <c r="J54" s="51" t="n"/>
      <c r="K54" s="51" t="n"/>
      <c r="L54" s="51" t="n"/>
      <c r="M54" s="51" t="n"/>
      <c r="N54" s="51" t="n"/>
      <c r="O54" s="51" t="n"/>
      <c r="P54" s="51" t="n"/>
      <c r="Q54" s="51" t="n"/>
      <c r="R54" s="51" t="n"/>
      <c r="S54" s="51" t="n"/>
      <c r="T54" s="51" t="n"/>
    </row>
    <row r="55">
      <c r="B55" s="10"/>
      <c r="C55" s="10"/>
      <c r="D55" s="14"/>
      <c r="E55" s="14"/>
      <c r="F55" s="11" t="s">
        <v>1339</v>
      </c>
      <c r="G55" s="9"/>
      <c r="H55" s="50" t="n"/>
      <c r="I55" s="50" t="n"/>
      <c r="J55" s="50" t="n"/>
      <c r="K55" s="50" t="n"/>
      <c r="L55" s="50" t="n"/>
      <c r="M55" s="50" t="n"/>
      <c r="N55" s="50" t="n"/>
      <c r="O55" s="50" t="n"/>
      <c r="P55" s="50" t="n"/>
      <c r="Q55" s="50" t="n"/>
      <c r="R55" s="50" t="n"/>
      <c r="S55" s="50" t="n"/>
      <c r="T55" s="50" t="n"/>
    </row>
    <row r="56">
      <c r="B56" s="10"/>
      <c r="C56" s="10"/>
      <c r="D56" s="14"/>
      <c r="E56" s="15"/>
      <c r="F56" s="40" t="s">
        <v>1471</v>
      </c>
      <c r="G56" s="39"/>
      <c r="H56" s="51" t="n">
        <f>SUM(H53:H55)</f>
      </c>
      <c r="I56" s="51" t="n">
        <f>SUM(I53:I55)</f>
      </c>
      <c r="J56" s="51" t="n">
        <f>SUM(J53:J55)</f>
      </c>
      <c r="K56" s="51" t="n">
        <f>SUM(K53:K55)</f>
      </c>
      <c r="L56" s="51" t="n">
        <f>SUM(L53:L55)</f>
      </c>
      <c r="M56" s="51" t="n">
        <f>SUM(M53:M55)</f>
      </c>
      <c r="N56" s="51" t="n">
        <f>SUM(N53:N55)</f>
      </c>
      <c r="O56" s="51" t="n">
        <f>SUM(O53:O55)</f>
      </c>
      <c r="P56" s="51" t="n">
        <f>SUM(P53:P55)</f>
      </c>
      <c r="Q56" s="51" t="n">
        <f>SUM(Q53:Q55)</f>
      </c>
      <c r="R56" s="51" t="n">
        <f>SUM(R53:R55)</f>
      </c>
      <c r="S56" s="51" t="n">
        <f>SUM(S53:S55)</f>
      </c>
      <c r="T56" s="51" t="n">
        <f>SUM(T53:T55)</f>
      </c>
    </row>
    <row r="57">
      <c r="B57" s="10"/>
      <c r="C57" s="10"/>
      <c r="D57" s="14"/>
      <c r="E57" s="7" t="s">
        <v>1472</v>
      </c>
      <c r="F57" s="8"/>
      <c r="G57" s="9"/>
      <c r="H57" s="22"/>
      <c r="I57" s="22"/>
      <c r="J57" s="22"/>
      <c r="K57" s="22"/>
      <c r="L57" s="22"/>
      <c r="M57" s="22"/>
      <c r="N57" s="22"/>
      <c r="O57" s="22"/>
      <c r="P57" s="22"/>
      <c r="Q57" s="22"/>
      <c r="R57" s="22"/>
      <c r="S57" s="22"/>
      <c r="T57" s="22"/>
    </row>
    <row r="58">
      <c r="B58" s="10"/>
      <c r="C58" s="10"/>
      <c r="D58" s="14"/>
      <c r="E58" s="10"/>
      <c r="F58" s="15" t="s">
        <v>1481</v>
      </c>
      <c r="G58" s="13"/>
      <c r="H58" s="51" t="n"/>
      <c r="I58" s="51" t="n"/>
      <c r="J58" s="51" t="n"/>
      <c r="K58" s="51" t="n"/>
      <c r="L58" s="51" t="n"/>
      <c r="M58" s="51" t="n"/>
      <c r="N58" s="51" t="n"/>
      <c r="O58" s="51" t="n"/>
      <c r="P58" s="51" t="n"/>
      <c r="Q58" s="51" t="n"/>
      <c r="R58" s="51" t="n"/>
      <c r="S58" s="51" t="n"/>
      <c r="T58" s="51" t="n"/>
    </row>
    <row r="59">
      <c r="B59" s="10"/>
      <c r="C59" s="10"/>
      <c r="D59" s="14"/>
      <c r="E59" s="10"/>
      <c r="F59" s="11" t="s">
        <v>1396</v>
      </c>
      <c r="G59" s="9"/>
      <c r="H59" s="50" t="n"/>
      <c r="I59" s="50" t="n"/>
      <c r="J59" s="50" t="n"/>
      <c r="K59" s="50" t="n"/>
      <c r="L59" s="50" t="n"/>
      <c r="M59" s="50" t="n"/>
      <c r="N59" s="50" t="n"/>
      <c r="O59" s="50" t="n"/>
      <c r="P59" s="50" t="n"/>
      <c r="Q59" s="50" t="n"/>
      <c r="R59" s="50" t="n"/>
      <c r="S59" s="50" t="n"/>
      <c r="T59" s="50" t="n"/>
    </row>
    <row r="60">
      <c r="B60" s="10"/>
      <c r="C60" s="10"/>
      <c r="D60" s="14"/>
      <c r="E60" s="10"/>
      <c r="F60" s="15" t="s">
        <v>1397</v>
      </c>
      <c r="G60" s="13"/>
      <c r="H60" s="51" t="n"/>
      <c r="I60" s="51" t="n"/>
      <c r="J60" s="51" t="n"/>
      <c r="K60" s="51" t="n"/>
      <c r="L60" s="51" t="n"/>
      <c r="M60" s="51" t="n"/>
      <c r="N60" s="51" t="n"/>
      <c r="O60" s="51" t="n"/>
      <c r="P60" s="51" t="n"/>
      <c r="Q60" s="51" t="n"/>
      <c r="R60" s="51" t="n"/>
      <c r="S60" s="51" t="n"/>
      <c r="T60" s="51" t="n"/>
    </row>
    <row r="61">
      <c r="B61" s="10"/>
      <c r="C61" s="10"/>
      <c r="D61" s="14"/>
      <c r="E61" s="10"/>
      <c r="F61" s="11" t="s">
        <v>1398</v>
      </c>
      <c r="G61" s="9"/>
      <c r="H61" s="50" t="n"/>
      <c r="I61" s="50" t="n"/>
      <c r="J61" s="50" t="n"/>
      <c r="K61" s="50" t="n"/>
      <c r="L61" s="50" t="n"/>
      <c r="M61" s="50" t="n"/>
      <c r="N61" s="50" t="n"/>
      <c r="O61" s="50" t="n"/>
      <c r="P61" s="50" t="n"/>
      <c r="Q61" s="50" t="n"/>
      <c r="R61" s="50" t="n"/>
      <c r="S61" s="50" t="n"/>
      <c r="T61" s="50" t="n"/>
    </row>
    <row r="62">
      <c r="B62" s="10"/>
      <c r="C62" s="10"/>
      <c r="D62" s="14"/>
      <c r="E62" s="10"/>
      <c r="F62" s="15" t="s">
        <v>1399</v>
      </c>
      <c r="G62" s="13"/>
      <c r="H62" s="51" t="n"/>
      <c r="I62" s="51" t="n"/>
      <c r="J62" s="51" t="n"/>
      <c r="K62" s="51" t="n"/>
      <c r="L62" s="51" t="n"/>
      <c r="M62" s="51" t="n"/>
      <c r="N62" s="51" t="n"/>
      <c r="O62" s="51" t="n"/>
      <c r="P62" s="51" t="n"/>
      <c r="Q62" s="51" t="n"/>
      <c r="R62" s="51" t="n"/>
      <c r="S62" s="51" t="n"/>
      <c r="T62" s="51" t="n"/>
    </row>
    <row r="63">
      <c r="B63" s="10"/>
      <c r="C63" s="10"/>
      <c r="D63" s="14"/>
      <c r="E63" s="10"/>
      <c r="F63" s="11" t="s">
        <v>1400</v>
      </c>
      <c r="G63" s="9"/>
      <c r="H63" s="50" t="n"/>
      <c r="I63" s="50" t="n"/>
      <c r="J63" s="50" t="n"/>
      <c r="K63" s="50" t="n"/>
      <c r="L63" s="50" t="n"/>
      <c r="M63" s="50" t="n"/>
      <c r="N63" s="50" t="n"/>
      <c r="O63" s="50" t="n"/>
      <c r="P63" s="50" t="n"/>
      <c r="Q63" s="50" t="n"/>
      <c r="R63" s="50" t="n"/>
      <c r="S63" s="50" t="n"/>
      <c r="T63" s="50" t="n"/>
    </row>
    <row r="64">
      <c r="B64" s="10"/>
      <c r="C64" s="10"/>
      <c r="D64" s="14"/>
      <c r="E64" s="10"/>
      <c r="F64" s="15" t="s">
        <v>1452</v>
      </c>
      <c r="G64" s="13"/>
      <c r="H64" s="51" t="n"/>
      <c r="I64" s="51" t="n"/>
      <c r="J64" s="51" t="n"/>
      <c r="K64" s="51" t="n"/>
      <c r="L64" s="51" t="n"/>
      <c r="M64" s="51" t="n"/>
      <c r="N64" s="51" t="n"/>
      <c r="O64" s="51" t="n"/>
      <c r="P64" s="51" t="n"/>
      <c r="Q64" s="51" t="n"/>
      <c r="R64" s="51" t="n"/>
      <c r="S64" s="51" t="n"/>
      <c r="T64" s="51" t="n"/>
    </row>
    <row r="65">
      <c r="B65" s="10"/>
      <c r="C65" s="10"/>
      <c r="D65" s="14"/>
      <c r="E65" s="10"/>
      <c r="F65" s="11" t="s">
        <v>1453</v>
      </c>
      <c r="G65" s="9"/>
      <c r="H65" s="50" t="n"/>
      <c r="I65" s="50" t="n"/>
      <c r="J65" s="50" t="n"/>
      <c r="K65" s="50" t="n"/>
      <c r="L65" s="50" t="n"/>
      <c r="M65" s="50" t="n"/>
      <c r="N65" s="50" t="n"/>
      <c r="O65" s="50" t="n"/>
      <c r="P65" s="50" t="n"/>
      <c r="Q65" s="50" t="n"/>
      <c r="R65" s="50" t="n"/>
      <c r="S65" s="50" t="n"/>
      <c r="T65" s="50" t="n"/>
    </row>
    <row r="66">
      <c r="B66" s="10"/>
      <c r="C66" s="10"/>
      <c r="D66" s="14"/>
      <c r="E66" s="10"/>
      <c r="F66" s="15" t="s">
        <v>1454</v>
      </c>
      <c r="G66" s="13"/>
      <c r="H66" s="51" t="n"/>
      <c r="I66" s="51" t="n"/>
      <c r="J66" s="51" t="n"/>
      <c r="K66" s="51" t="n"/>
      <c r="L66" s="51" t="n"/>
      <c r="M66" s="51" t="n"/>
      <c r="N66" s="51" t="n"/>
      <c r="O66" s="51" t="n"/>
      <c r="P66" s="51" t="n"/>
      <c r="Q66" s="51" t="n"/>
      <c r="R66" s="51" t="n"/>
      <c r="S66" s="51" t="n"/>
      <c r="T66" s="51" t="n"/>
    </row>
    <row r="67">
      <c r="B67" s="10"/>
      <c r="C67" s="10"/>
      <c r="D67" s="14"/>
      <c r="E67" s="10"/>
      <c r="F67" s="11" t="s">
        <v>1475</v>
      </c>
      <c r="G67" s="9"/>
      <c r="H67" s="50" t="n"/>
      <c r="I67" s="50" t="n"/>
      <c r="J67" s="50" t="n"/>
      <c r="K67" s="50" t="n"/>
      <c r="L67" s="50" t="n"/>
      <c r="M67" s="50" t="n"/>
      <c r="N67" s="50" t="n"/>
      <c r="O67" s="50" t="n"/>
      <c r="P67" s="50" t="n"/>
      <c r="Q67" s="50" t="n"/>
      <c r="R67" s="50" t="n"/>
      <c r="S67" s="50" t="n"/>
      <c r="T67" s="50" t="n"/>
    </row>
    <row r="68">
      <c r="B68" s="10"/>
      <c r="C68" s="10"/>
      <c r="D68" s="14"/>
      <c r="E68" s="10"/>
      <c r="F68" s="15" t="s">
        <v>1476</v>
      </c>
      <c r="G68" s="13"/>
      <c r="H68" s="51" t="n"/>
      <c r="I68" s="51" t="n"/>
      <c r="J68" s="51" t="n"/>
      <c r="K68" s="51" t="n"/>
      <c r="L68" s="51" t="n"/>
      <c r="M68" s="51" t="n"/>
      <c r="N68" s="51" t="n"/>
      <c r="O68" s="51" t="n"/>
      <c r="P68" s="51" t="n"/>
      <c r="Q68" s="51" t="n"/>
      <c r="R68" s="51" t="n"/>
      <c r="S68" s="51" t="n"/>
      <c r="T68" s="51" t="n"/>
    </row>
    <row r="69">
      <c r="B69" s="10"/>
      <c r="C69" s="10"/>
      <c r="D69" s="14"/>
      <c r="E69" s="10"/>
      <c r="F69" s="11" t="s">
        <v>1468</v>
      </c>
      <c r="G69" s="9"/>
      <c r="H69" s="50" t="n"/>
      <c r="I69" s="50" t="n"/>
      <c r="J69" s="50" t="n"/>
      <c r="K69" s="50" t="n"/>
      <c r="L69" s="50" t="n"/>
      <c r="M69" s="50" t="n"/>
      <c r="N69" s="50" t="n"/>
      <c r="O69" s="50" t="n"/>
      <c r="P69" s="50" t="n"/>
      <c r="Q69" s="50" t="n"/>
      <c r="R69" s="50" t="n"/>
      <c r="S69" s="50" t="n"/>
      <c r="T69" s="50" t="n"/>
    </row>
    <row r="70">
      <c r="B70" s="10"/>
      <c r="C70" s="10"/>
      <c r="D70" s="14"/>
      <c r="E70" s="10"/>
      <c r="F70" s="15" t="s">
        <v>1456</v>
      </c>
      <c r="G70" s="13"/>
      <c r="H70" s="51" t="n"/>
      <c r="I70" s="51" t="n"/>
      <c r="J70" s="51" t="n"/>
      <c r="K70" s="51" t="n"/>
      <c r="L70" s="51" t="n"/>
      <c r="M70" s="51" t="n"/>
      <c r="N70" s="51" t="n"/>
      <c r="O70" s="51" t="n"/>
      <c r="P70" s="51" t="n"/>
      <c r="Q70" s="51" t="n"/>
      <c r="R70" s="51" t="n"/>
      <c r="S70" s="51" t="n"/>
      <c r="T70" s="51" t="n"/>
    </row>
    <row r="71">
      <c r="B71" s="10"/>
      <c r="C71" s="10"/>
      <c r="D71" s="14"/>
      <c r="E71" s="10"/>
      <c r="F71" s="11" t="s">
        <v>1339</v>
      </c>
      <c r="G71" s="9"/>
      <c r="H71" s="50" t="n"/>
      <c r="I71" s="50" t="n"/>
      <c r="J71" s="50" t="n"/>
      <c r="K71" s="50" t="n"/>
      <c r="L71" s="50" t="n"/>
      <c r="M71" s="50" t="n"/>
      <c r="N71" s="50" t="n"/>
      <c r="O71" s="50" t="n"/>
      <c r="P71" s="50" t="n"/>
      <c r="Q71" s="50" t="n"/>
      <c r="R71" s="50" t="n"/>
      <c r="S71" s="50" t="n"/>
      <c r="T71" s="50" t="n"/>
    </row>
    <row r="72">
      <c r="B72" s="10"/>
      <c r="C72" s="10"/>
      <c r="D72" s="14"/>
      <c r="E72" s="11"/>
      <c r="F72" s="40" t="s">
        <v>1477</v>
      </c>
      <c r="G72" s="39"/>
      <c r="H72" s="51" t="n">
        <f>SUM(H58:H71)</f>
      </c>
      <c r="I72" s="51" t="n">
        <f>SUM(I58:I71)</f>
      </c>
      <c r="J72" s="51" t="n">
        <f>SUM(J58:J71)</f>
      </c>
      <c r="K72" s="51" t="n">
        <f>SUM(K58:K71)</f>
      </c>
      <c r="L72" s="51" t="n">
        <f>SUM(L58:L71)</f>
      </c>
      <c r="M72" s="51" t="n">
        <f>SUM(M58:M71)</f>
      </c>
      <c r="N72" s="51" t="n">
        <f>SUM(N58:N71)</f>
      </c>
      <c r="O72" s="51" t="n">
        <f>SUM(O58:O71)</f>
      </c>
      <c r="P72" s="51" t="n">
        <f>SUM(P58:P71)</f>
      </c>
      <c r="Q72" s="51" t="n">
        <f>SUM(Q58:Q71)</f>
      </c>
      <c r="R72" s="51" t="n">
        <f>SUM(R58:R71)</f>
      </c>
      <c r="S72" s="51" t="n">
        <f>SUM(S58:S71)</f>
      </c>
      <c r="T72" s="51" t="n">
        <f>SUM(T58:T71)</f>
      </c>
    </row>
    <row r="73" ht="28.0" customHeight="true">
      <c r="B73" s="10"/>
      <c r="C73" s="11"/>
      <c r="D73" s="15"/>
      <c r="E73" s="45" t="s">
        <v>1482</v>
      </c>
      <c r="F73" s="43"/>
      <c r="G73" s="44"/>
      <c r="H73" s="50" t="n">
        <f>H72+H51+H56</f>
      </c>
      <c r="I73" s="50" t="n">
        <f>I72+I51+I56</f>
      </c>
      <c r="J73" s="50" t="n">
        <f>J72+J51+J56</f>
      </c>
      <c r="K73" s="50" t="n">
        <f>K72+K51+K56</f>
      </c>
      <c r="L73" s="50" t="n">
        <f>L72+L51+L56</f>
      </c>
      <c r="M73" s="50" t="n">
        <f>M72+M51+M56</f>
      </c>
      <c r="N73" s="50" t="n">
        <f>N72+N51+N56</f>
      </c>
      <c r="O73" s="50" t="n">
        <f>O72+O51+O56</f>
      </c>
      <c r="P73" s="50" t="n">
        <f>P72+P51+P56</f>
      </c>
      <c r="Q73" s="50" t="n">
        <f>Q72+Q51+Q56</f>
      </c>
      <c r="R73" s="50" t="n">
        <f>R72+R51+R56</f>
      </c>
      <c r="S73" s="50" t="n">
        <f>S72+S51+S56</f>
      </c>
      <c r="T73" s="50" t="n">
        <f>T72+T51+T56</f>
      </c>
    </row>
    <row r="74">
      <c r="B74" s="11"/>
      <c r="C74" s="40" t="s">
        <v>1483</v>
      </c>
      <c r="D74" s="41"/>
      <c r="E74" s="41"/>
      <c r="F74" s="41"/>
      <c r="G74" s="39"/>
      <c r="H74" s="52" t="n">
        <f>-H73+H44</f>
      </c>
      <c r="I74" s="52" t="n">
        <f>-I73+I44</f>
      </c>
      <c r="J74" s="52" t="n">
        <f>-J73+J44</f>
      </c>
      <c r="K74" s="52" t="n">
        <f>-K73+K44</f>
      </c>
      <c r="L74" s="52" t="n">
        <f>-L73+L44</f>
      </c>
      <c r="M74" s="52" t="n">
        <f>-M73+M44</f>
      </c>
      <c r="N74" s="52" t="n">
        <f>-N73+N44</f>
      </c>
      <c r="O74" s="52" t="n">
        <f>-O73+O44</f>
      </c>
      <c r="P74" s="52" t="n">
        <f>-P73+P44</f>
      </c>
      <c r="Q74" s="52" t="n">
        <f>-Q73+Q44</f>
      </c>
      <c r="R74" s="52" t="n">
        <f>-R73+R44</f>
      </c>
      <c r="S74" s="52" t="n">
        <f>-S73+S44</f>
      </c>
      <c r="T74" s="52" t="n">
        <f>-T73+T44</f>
      </c>
    </row>
  </sheetData>
  <mergeCells>
    <mergeCell ref="H10:T10"/>
    <mergeCell ref="H11:J11"/>
    <mergeCell ref="K11:T11"/>
    <mergeCell ref="B13:G13"/>
    <mergeCell ref="C14:G14"/>
    <mergeCell ref="D15:G15"/>
    <mergeCell ref="E16:G16"/>
    <mergeCell ref="F17:G17"/>
    <mergeCell ref="F18:G18"/>
    <mergeCell ref="F19:G19"/>
    <mergeCell ref="F20:G20"/>
    <mergeCell ref="E21:G21"/>
    <mergeCell ref="F22:G22"/>
    <mergeCell ref="F23:G23"/>
    <mergeCell ref="F24:G24"/>
    <mergeCell ref="F25:G25"/>
    <mergeCell ref="E26:G26"/>
    <mergeCell ref="F27:G27"/>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E44:G44"/>
    <mergeCell ref="C45:G45"/>
    <mergeCell ref="D46:G46"/>
    <mergeCell ref="E47:G47"/>
    <mergeCell ref="F48:G48"/>
    <mergeCell ref="F49:G49"/>
    <mergeCell ref="F50:G50"/>
    <mergeCell ref="F51:G51"/>
    <mergeCell ref="E52:G52"/>
    <mergeCell ref="F53:G53"/>
    <mergeCell ref="F54:G54"/>
    <mergeCell ref="F55:G55"/>
    <mergeCell ref="F56:G56"/>
    <mergeCell ref="E57:G57"/>
    <mergeCell ref="F58:G58"/>
    <mergeCell ref="F59:G59"/>
    <mergeCell ref="F60:G60"/>
    <mergeCell ref="F61:G61"/>
    <mergeCell ref="F62:G62"/>
    <mergeCell ref="F63:G63"/>
    <mergeCell ref="F64:G64"/>
    <mergeCell ref="F65:G65"/>
    <mergeCell ref="F66:G66"/>
    <mergeCell ref="F67:G67"/>
    <mergeCell ref="F68:G68"/>
    <mergeCell ref="F69:G69"/>
    <mergeCell ref="F70:G70"/>
    <mergeCell ref="F71:G71"/>
    <mergeCell ref="F72:G72"/>
    <mergeCell ref="E73:G73"/>
    <mergeCell ref="C74:G74"/>
  </mergeCells>
  <hyperlinks>
    <hyperlink location="'Indice'!A1" ref="B2"/>
  </hyperlinks>
  <pageMargins bottom="0.75" footer="0.3" header="0.3" left="0.7" right="0.7" top="0.75"/>
</worksheet>
</file>

<file path=xl/worksheets/sheet53.xml><?xml version="1.0" encoding="utf-8"?>
<worksheet xmlns="http://schemas.openxmlformats.org/spreadsheetml/2006/main">
  <dimension ref="B2:T70"/>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1484</v>
      </c>
    </row>
    <row r="6">
      <c r="B6" t="s" s="1">
        <v>8</v>
      </c>
      <c r="C6" t="s">
        <v>9</v>
      </c>
    </row>
    <row r="7">
      <c r="B7" t="s" s="1">
        <v>10</v>
      </c>
      <c r="C7" t="s">
        <v>9</v>
      </c>
    </row>
    <row r="8">
      <c r="B8" t="s" s="1">
        <v>11</v>
      </c>
      <c r="C8" t="s">
        <v>12</v>
      </c>
    </row>
    <row r="10">
      <c r="G10" t="s" s="4">
        <v>1485</v>
      </c>
      <c r="H10" s="29"/>
      <c r="I10" s="29"/>
      <c r="J10" s="29"/>
      <c r="K10" s="29"/>
      <c r="L10" s="29"/>
      <c r="M10" s="29"/>
      <c r="N10" s="29"/>
      <c r="O10" s="29"/>
      <c r="P10" s="29"/>
      <c r="Q10" s="29"/>
      <c r="R10" s="29"/>
      <c r="S10" s="30"/>
    </row>
    <row r="11">
      <c r="G11" t="s" s="32">
        <v>1379</v>
      </c>
      <c r="H11" s="61"/>
      <c r="I11" s="62"/>
      <c r="J11" t="s" s="4">
        <v>35</v>
      </c>
      <c r="K11" s="29"/>
      <c r="L11" s="29"/>
      <c r="M11" s="29"/>
      <c r="N11" s="29"/>
      <c r="O11" s="29"/>
      <c r="P11" s="29"/>
      <c r="Q11" s="29"/>
      <c r="R11" s="29"/>
      <c r="S11" s="30"/>
    </row>
    <row r="12">
      <c r="G12" t="s" s="6">
        <v>1380</v>
      </c>
      <c r="H12" t="s" s="34">
        <v>1381</v>
      </c>
      <c r="I12" s="63"/>
      <c r="J12" t="s" s="34">
        <v>1382</v>
      </c>
      <c r="K12" t="s" s="6">
        <v>1383</v>
      </c>
      <c r="L12" t="s" s="34">
        <v>1384</v>
      </c>
      <c r="M12" t="s" s="6">
        <v>1385</v>
      </c>
      <c r="N12" t="s" s="34">
        <v>1386</v>
      </c>
      <c r="O12" t="s" s="6">
        <v>1387</v>
      </c>
      <c r="P12" t="s" s="34">
        <v>1388</v>
      </c>
      <c r="Q12" t="s" s="6">
        <v>1389</v>
      </c>
      <c r="R12" t="s" s="34">
        <v>1390</v>
      </c>
      <c r="S12" s="36"/>
    </row>
    <row r="13" ht="28.0" customHeight="true">
      <c r="B13" s="7" t="s">
        <v>1486</v>
      </c>
      <c r="C13" s="8"/>
      <c r="D13" s="8"/>
      <c r="E13" s="8"/>
      <c r="F13" s="9"/>
      <c r="G13" s="22"/>
      <c r="H13" s="22"/>
      <c r="I13" s="22"/>
      <c r="J13" s="22"/>
      <c r="K13" s="22"/>
      <c r="L13" s="22"/>
      <c r="M13" s="22"/>
      <c r="N13" s="22"/>
      <c r="O13" s="22"/>
      <c r="P13" s="22"/>
      <c r="Q13" s="22"/>
      <c r="R13" s="22"/>
      <c r="S13" s="22"/>
    </row>
    <row r="14">
      <c r="B14" s="10"/>
      <c r="C14" s="12" t="s">
        <v>1487</v>
      </c>
      <c r="D14" s="37"/>
      <c r="E14" s="37"/>
      <c r="F14" s="13"/>
      <c r="G14" s="23"/>
      <c r="H14" s="23"/>
      <c r="I14" s="23"/>
      <c r="J14" s="23"/>
      <c r="K14" s="23"/>
      <c r="L14" s="23"/>
      <c r="M14" s="23"/>
      <c r="N14" s="23"/>
      <c r="O14" s="23"/>
      <c r="P14" s="23"/>
      <c r="Q14" s="23"/>
      <c r="R14" s="23"/>
      <c r="S14" s="23"/>
    </row>
    <row r="15">
      <c r="B15" s="10"/>
      <c r="C15" s="14"/>
      <c r="D15" s="7" t="s">
        <v>1488</v>
      </c>
      <c r="E15" s="8"/>
      <c r="F15" s="9"/>
      <c r="G15" s="22"/>
      <c r="H15" s="22"/>
      <c r="I15" s="22"/>
      <c r="J15" s="22"/>
      <c r="K15" s="22"/>
      <c r="L15" s="22"/>
      <c r="M15" s="22"/>
      <c r="N15" s="22"/>
      <c r="O15" s="22"/>
      <c r="P15" s="22"/>
      <c r="Q15" s="22"/>
      <c r="R15" s="22"/>
      <c r="S15" s="22"/>
    </row>
    <row r="16">
      <c r="B16" s="10"/>
      <c r="C16" s="14"/>
      <c r="D16" s="10"/>
      <c r="E16" s="12" t="s">
        <v>1489</v>
      </c>
      <c r="F16" s="13"/>
      <c r="G16" s="23"/>
      <c r="H16" s="23"/>
      <c r="I16" s="23"/>
      <c r="J16" s="23"/>
      <c r="K16" s="23"/>
      <c r="L16" s="23"/>
      <c r="M16" s="23"/>
      <c r="N16" s="23"/>
      <c r="O16" s="23"/>
      <c r="P16" s="23"/>
      <c r="Q16" s="23"/>
      <c r="R16" s="23"/>
      <c r="S16" s="23"/>
    </row>
    <row r="17">
      <c r="B17" s="10"/>
      <c r="C17" s="14"/>
      <c r="D17" s="10"/>
      <c r="E17" s="14"/>
      <c r="F17" s="18" t="s">
        <v>1456</v>
      </c>
      <c r="G17" s="50" t="n"/>
      <c r="H17" s="50" t="n"/>
      <c r="I17" s="50" t="n"/>
      <c r="J17" s="50" t="n"/>
      <c r="K17" s="50" t="n"/>
      <c r="L17" s="50" t="n"/>
      <c r="M17" s="50" t="n"/>
      <c r="N17" s="50" t="n"/>
      <c r="O17" s="50" t="n"/>
      <c r="P17" s="50" t="n"/>
      <c r="Q17" s="50" t="n"/>
      <c r="R17" s="50" t="n"/>
      <c r="S17" s="50" t="n"/>
    </row>
    <row r="18">
      <c r="B18" s="10"/>
      <c r="C18" s="14"/>
      <c r="D18" s="10"/>
      <c r="E18" s="14"/>
      <c r="F18" s="19" t="s">
        <v>1490</v>
      </c>
      <c r="G18" s="51" t="n"/>
      <c r="H18" s="51" t="n"/>
      <c r="I18" s="51" t="n"/>
      <c r="J18" s="51" t="n"/>
      <c r="K18" s="51" t="n"/>
      <c r="L18" s="51" t="n"/>
      <c r="M18" s="51" t="n"/>
      <c r="N18" s="51" t="n"/>
      <c r="O18" s="51" t="n"/>
      <c r="P18" s="51" t="n"/>
      <c r="Q18" s="51" t="n"/>
      <c r="R18" s="51" t="n"/>
      <c r="S18" s="51" t="n"/>
    </row>
    <row r="19">
      <c r="B19" s="10"/>
      <c r="C19" s="14"/>
      <c r="D19" s="10"/>
      <c r="E19" s="14"/>
      <c r="F19" s="18" t="s">
        <v>1339</v>
      </c>
      <c r="G19" s="50" t="n"/>
      <c r="H19" s="50" t="n"/>
      <c r="I19" s="50" t="n"/>
      <c r="J19" s="50" t="n"/>
      <c r="K19" s="50" t="n"/>
      <c r="L19" s="50" t="n"/>
      <c r="M19" s="50" t="n"/>
      <c r="N19" s="50" t="n"/>
      <c r="O19" s="50" t="n"/>
      <c r="P19" s="50" t="n"/>
      <c r="Q19" s="50" t="n"/>
      <c r="R19" s="50" t="n"/>
      <c r="S19" s="50" t="n"/>
    </row>
    <row r="20">
      <c r="B20" s="10"/>
      <c r="C20" s="14"/>
      <c r="D20" s="10"/>
      <c r="E20" s="15"/>
      <c r="F20" s="57" t="s">
        <v>1491</v>
      </c>
      <c r="G20" s="51" t="n">
        <f>SUM(G17:G19)</f>
      </c>
      <c r="H20" s="51" t="n">
        <f>SUM(H17:H19)</f>
      </c>
      <c r="I20" s="51" t="n">
        <f>SUM(I17:I19)</f>
      </c>
      <c r="J20" s="51" t="n">
        <f>SUM(J17:J19)</f>
      </c>
      <c r="K20" s="51" t="n">
        <f>SUM(K17:K19)</f>
      </c>
      <c r="L20" s="51" t="n">
        <f>SUM(L17:L19)</f>
      </c>
      <c r="M20" s="51" t="n">
        <f>SUM(M17:M19)</f>
      </c>
      <c r="N20" s="51" t="n">
        <f>SUM(N17:N19)</f>
      </c>
      <c r="O20" s="51" t="n">
        <f>SUM(O17:O19)</f>
      </c>
      <c r="P20" s="51" t="n">
        <f>SUM(P17:P19)</f>
      </c>
      <c r="Q20" s="51" t="n">
        <f>SUM(Q17:Q19)</f>
      </c>
      <c r="R20" s="51" t="n">
        <f>SUM(R17:R19)</f>
      </c>
      <c r="S20" s="51" t="n">
        <f>SUM(S17:S19)</f>
      </c>
    </row>
    <row r="21">
      <c r="B21" s="10"/>
      <c r="C21" s="14"/>
      <c r="D21" s="10"/>
      <c r="E21" s="7" t="s">
        <v>1492</v>
      </c>
      <c r="F21" s="9"/>
      <c r="G21" s="22"/>
      <c r="H21" s="22"/>
      <c r="I21" s="22"/>
      <c r="J21" s="22"/>
      <c r="K21" s="22"/>
      <c r="L21" s="22"/>
      <c r="M21" s="22"/>
      <c r="N21" s="22"/>
      <c r="O21" s="22"/>
      <c r="P21" s="22"/>
      <c r="Q21" s="22"/>
      <c r="R21" s="22"/>
      <c r="S21" s="22"/>
    </row>
    <row r="22">
      <c r="B22" s="10"/>
      <c r="C22" s="14"/>
      <c r="D22" s="10"/>
      <c r="E22" s="10"/>
      <c r="F22" s="19" t="s">
        <v>1493</v>
      </c>
      <c r="G22" s="51" t="n"/>
      <c r="H22" s="51" t="n"/>
      <c r="I22" s="51" t="n"/>
      <c r="J22" s="51" t="n"/>
      <c r="K22" s="51" t="n"/>
      <c r="L22" s="51" t="n"/>
      <c r="M22" s="51" t="n"/>
      <c r="N22" s="51" t="n"/>
      <c r="O22" s="51" t="n"/>
      <c r="P22" s="51" t="n"/>
      <c r="Q22" s="51" t="n"/>
      <c r="R22" s="51" t="n"/>
      <c r="S22" s="51" t="n"/>
    </row>
    <row r="23">
      <c r="B23" s="10"/>
      <c r="C23" s="14"/>
      <c r="D23" s="10"/>
      <c r="E23" s="10"/>
      <c r="F23" s="18" t="s">
        <v>1494</v>
      </c>
      <c r="G23" s="50" t="n"/>
      <c r="H23" s="50" t="n"/>
      <c r="I23" s="50" t="n"/>
      <c r="J23" s="50" t="n"/>
      <c r="K23" s="50" t="n"/>
      <c r="L23" s="50" t="n"/>
      <c r="M23" s="50" t="n"/>
      <c r="N23" s="50" t="n"/>
      <c r="O23" s="50" t="n"/>
      <c r="P23" s="50" t="n"/>
      <c r="Q23" s="50" t="n"/>
      <c r="R23" s="50" t="n"/>
      <c r="S23" s="50" t="n"/>
    </row>
    <row r="24">
      <c r="B24" s="10"/>
      <c r="C24" s="14"/>
      <c r="D24" s="10"/>
      <c r="E24" s="10"/>
      <c r="F24" s="19" t="s">
        <v>1490</v>
      </c>
      <c r="G24" s="51" t="n"/>
      <c r="H24" s="51" t="n"/>
      <c r="I24" s="51" t="n"/>
      <c r="J24" s="51" t="n"/>
      <c r="K24" s="51" t="n"/>
      <c r="L24" s="51" t="n"/>
      <c r="M24" s="51" t="n"/>
      <c r="N24" s="51" t="n"/>
      <c r="O24" s="51" t="n"/>
      <c r="P24" s="51" t="n"/>
      <c r="Q24" s="51" t="n"/>
      <c r="R24" s="51" t="n"/>
      <c r="S24" s="51" t="n"/>
    </row>
    <row r="25">
      <c r="B25" s="10"/>
      <c r="C25" s="14"/>
      <c r="D25" s="10"/>
      <c r="E25" s="10"/>
      <c r="F25" s="18" t="s">
        <v>1339</v>
      </c>
      <c r="G25" s="50" t="n"/>
      <c r="H25" s="50" t="n"/>
      <c r="I25" s="50" t="n"/>
      <c r="J25" s="50" t="n"/>
      <c r="K25" s="50" t="n"/>
      <c r="L25" s="50" t="n"/>
      <c r="M25" s="50" t="n"/>
      <c r="N25" s="50" t="n"/>
      <c r="O25" s="50" t="n"/>
      <c r="P25" s="50" t="n"/>
      <c r="Q25" s="50" t="n"/>
      <c r="R25" s="50" t="n"/>
      <c r="S25" s="50" t="n"/>
    </row>
    <row r="26">
      <c r="B26" s="10"/>
      <c r="C26" s="14"/>
      <c r="D26" s="10"/>
      <c r="E26" s="11"/>
      <c r="F26" s="57" t="s">
        <v>1495</v>
      </c>
      <c r="G26" s="51" t="n">
        <f>SUM(G22:G25)</f>
      </c>
      <c r="H26" s="51" t="n">
        <f>SUM(H22:H25)</f>
      </c>
      <c r="I26" s="51" t="n">
        <f>SUM(I22:I25)</f>
      </c>
      <c r="J26" s="51" t="n">
        <f>SUM(J22:J25)</f>
      </c>
      <c r="K26" s="51" t="n">
        <f>SUM(K22:K25)</f>
      </c>
      <c r="L26" s="51" t="n">
        <f>SUM(L22:L25)</f>
      </c>
      <c r="M26" s="51" t="n">
        <f>SUM(M22:M25)</f>
      </c>
      <c r="N26" s="51" t="n">
        <f>SUM(N22:N25)</f>
      </c>
      <c r="O26" s="51" t="n">
        <f>SUM(O22:O25)</f>
      </c>
      <c r="P26" s="51" t="n">
        <f>SUM(P22:P25)</f>
      </c>
      <c r="Q26" s="51" t="n">
        <f>SUM(Q22:Q25)</f>
      </c>
      <c r="R26" s="51" t="n">
        <f>SUM(R22:R25)</f>
      </c>
      <c r="S26" s="51" t="n">
        <f>SUM(S22:S25)</f>
      </c>
    </row>
    <row r="27">
      <c r="B27" s="10"/>
      <c r="C27" s="14"/>
      <c r="D27" s="10"/>
      <c r="E27" s="7" t="s">
        <v>1496</v>
      </c>
      <c r="F27" s="9"/>
      <c r="G27" s="22"/>
      <c r="H27" s="22"/>
      <c r="I27" s="22"/>
      <c r="J27" s="22"/>
      <c r="K27" s="22"/>
      <c r="L27" s="22"/>
      <c r="M27" s="22"/>
      <c r="N27" s="22"/>
      <c r="O27" s="22"/>
      <c r="P27" s="22"/>
      <c r="Q27" s="22"/>
      <c r="R27" s="22"/>
      <c r="S27" s="22"/>
    </row>
    <row r="28">
      <c r="B28" s="10"/>
      <c r="C28" s="14"/>
      <c r="D28" s="10"/>
      <c r="E28" s="10"/>
      <c r="F28" s="19" t="s">
        <v>1497</v>
      </c>
      <c r="G28" s="51" t="n"/>
      <c r="H28" s="51" t="n"/>
      <c r="I28" s="51" t="n"/>
      <c r="J28" s="51" t="n"/>
      <c r="K28" s="51" t="n"/>
      <c r="L28" s="51" t="n"/>
      <c r="M28" s="51" t="n"/>
      <c r="N28" s="51" t="n"/>
      <c r="O28" s="51" t="n"/>
      <c r="P28" s="51" t="n"/>
      <c r="Q28" s="51" t="n"/>
      <c r="R28" s="51" t="n"/>
      <c r="S28" s="51" t="n"/>
    </row>
    <row r="29">
      <c r="B29" s="10"/>
      <c r="C29" s="14"/>
      <c r="D29" s="10"/>
      <c r="E29" s="10"/>
      <c r="F29" s="18" t="s">
        <v>1498</v>
      </c>
      <c r="G29" s="50" t="n"/>
      <c r="H29" s="50" t="n"/>
      <c r="I29" s="50" t="n"/>
      <c r="J29" s="50" t="n"/>
      <c r="K29" s="50" t="n"/>
      <c r="L29" s="50" t="n"/>
      <c r="M29" s="50" t="n"/>
      <c r="N29" s="50" t="n"/>
      <c r="O29" s="50" t="n"/>
      <c r="P29" s="50" t="n"/>
      <c r="Q29" s="50" t="n"/>
      <c r="R29" s="50" t="n"/>
      <c r="S29" s="50" t="n"/>
    </row>
    <row r="30">
      <c r="B30" s="10"/>
      <c r="C30" s="14"/>
      <c r="D30" s="10"/>
      <c r="E30" s="10"/>
      <c r="F30" s="19" t="s">
        <v>1499</v>
      </c>
      <c r="G30" s="51" t="n"/>
      <c r="H30" s="51" t="n"/>
      <c r="I30" s="51" t="n"/>
      <c r="J30" s="51" t="n"/>
      <c r="K30" s="51" t="n"/>
      <c r="L30" s="51" t="n"/>
      <c r="M30" s="51" t="n"/>
      <c r="N30" s="51" t="n"/>
      <c r="O30" s="51" t="n"/>
      <c r="P30" s="51" t="n"/>
      <c r="Q30" s="51" t="n"/>
      <c r="R30" s="51" t="n"/>
      <c r="S30" s="51" t="n"/>
    </row>
    <row r="31">
      <c r="B31" s="10"/>
      <c r="C31" s="14"/>
      <c r="D31" s="10"/>
      <c r="E31" s="10"/>
      <c r="F31" s="18" t="s">
        <v>1500</v>
      </c>
      <c r="G31" s="50" t="n"/>
      <c r="H31" s="50" t="n"/>
      <c r="I31" s="50" t="n"/>
      <c r="J31" s="50" t="n"/>
      <c r="K31" s="50" t="n"/>
      <c r="L31" s="50" t="n"/>
      <c r="M31" s="50" t="n"/>
      <c r="N31" s="50" t="n"/>
      <c r="O31" s="50" t="n"/>
      <c r="P31" s="50" t="n"/>
      <c r="Q31" s="50" t="n"/>
      <c r="R31" s="50" t="n"/>
      <c r="S31" s="50" t="n"/>
    </row>
    <row r="32">
      <c r="B32" s="10"/>
      <c r="C32" s="14"/>
      <c r="D32" s="10"/>
      <c r="E32" s="10"/>
      <c r="F32" s="19" t="s">
        <v>1501</v>
      </c>
      <c r="G32" s="51" t="n"/>
      <c r="H32" s="51" t="n"/>
      <c r="I32" s="51" t="n"/>
      <c r="J32" s="51" t="n"/>
      <c r="K32" s="51" t="n"/>
      <c r="L32" s="51" t="n"/>
      <c r="M32" s="51" t="n"/>
      <c r="N32" s="51" t="n"/>
      <c r="O32" s="51" t="n"/>
      <c r="P32" s="51" t="n"/>
      <c r="Q32" s="51" t="n"/>
      <c r="R32" s="51" t="n"/>
      <c r="S32" s="51" t="n"/>
    </row>
    <row r="33">
      <c r="B33" s="10"/>
      <c r="C33" s="14"/>
      <c r="D33" s="10"/>
      <c r="E33" s="10"/>
      <c r="F33" s="18" t="s">
        <v>1339</v>
      </c>
      <c r="G33" s="50" t="n"/>
      <c r="H33" s="50" t="n"/>
      <c r="I33" s="50" t="n"/>
      <c r="J33" s="50" t="n"/>
      <c r="K33" s="50" t="n"/>
      <c r="L33" s="50" t="n"/>
      <c r="M33" s="50" t="n"/>
      <c r="N33" s="50" t="n"/>
      <c r="O33" s="50" t="n"/>
      <c r="P33" s="50" t="n"/>
      <c r="Q33" s="50" t="n"/>
      <c r="R33" s="50" t="n"/>
      <c r="S33" s="50" t="n"/>
    </row>
    <row r="34">
      <c r="B34" s="10"/>
      <c r="C34" s="14"/>
      <c r="D34" s="10"/>
      <c r="E34" s="11"/>
      <c r="F34" s="57" t="s">
        <v>1502</v>
      </c>
      <c r="G34" s="51" t="n">
        <f>SUM(G28:G33)</f>
      </c>
      <c r="H34" s="51" t="n">
        <f>SUM(H28:H33)</f>
      </c>
      <c r="I34" s="51" t="n">
        <f>SUM(I28:I33)</f>
      </c>
      <c r="J34" s="51" t="n">
        <f>SUM(J28:J33)</f>
      </c>
      <c r="K34" s="51" t="n">
        <f>SUM(K28:K33)</f>
      </c>
      <c r="L34" s="51" t="n">
        <f>SUM(L28:L33)</f>
      </c>
      <c r="M34" s="51" t="n">
        <f>SUM(M28:M33)</f>
      </c>
      <c r="N34" s="51" t="n">
        <f>SUM(N28:N33)</f>
      </c>
      <c r="O34" s="51" t="n">
        <f>SUM(O28:O33)</f>
      </c>
      <c r="P34" s="51" t="n">
        <f>SUM(P28:P33)</f>
      </c>
      <c r="Q34" s="51" t="n">
        <f>SUM(Q28:Q33)</f>
      </c>
      <c r="R34" s="51" t="n">
        <f>SUM(R28:R33)</f>
      </c>
      <c r="S34" s="51" t="n">
        <f>SUM(S28:S33)</f>
      </c>
    </row>
    <row r="35">
      <c r="B35" s="10"/>
      <c r="C35" s="14"/>
      <c r="D35" s="10"/>
      <c r="E35" s="7" t="s">
        <v>1503</v>
      </c>
      <c r="F35" s="9"/>
      <c r="G35" s="22"/>
      <c r="H35" s="22"/>
      <c r="I35" s="22"/>
      <c r="J35" s="22"/>
      <c r="K35" s="22"/>
      <c r="L35" s="22"/>
      <c r="M35" s="22"/>
      <c r="N35" s="22"/>
      <c r="O35" s="22"/>
      <c r="P35" s="22"/>
      <c r="Q35" s="22"/>
      <c r="R35" s="22"/>
      <c r="S35" s="22"/>
    </row>
    <row r="36">
      <c r="B36" s="10"/>
      <c r="C36" s="14"/>
      <c r="D36" s="10"/>
      <c r="E36" s="10"/>
      <c r="F36" s="19" t="s">
        <v>1500</v>
      </c>
      <c r="G36" s="51" t="n"/>
      <c r="H36" s="51" t="n"/>
      <c r="I36" s="51" t="n"/>
      <c r="J36" s="51" t="n"/>
      <c r="K36" s="51" t="n"/>
      <c r="L36" s="51" t="n"/>
      <c r="M36" s="51" t="n"/>
      <c r="N36" s="51" t="n"/>
      <c r="O36" s="51" t="n"/>
      <c r="P36" s="51" t="n"/>
      <c r="Q36" s="51" t="n"/>
      <c r="R36" s="51" t="n"/>
      <c r="S36" s="51" t="n"/>
    </row>
    <row r="37">
      <c r="B37" s="10"/>
      <c r="C37" s="14"/>
      <c r="D37" s="10"/>
      <c r="E37" s="10"/>
      <c r="F37" s="18" t="s">
        <v>1501</v>
      </c>
      <c r="G37" s="50" t="n"/>
      <c r="H37" s="50" t="n"/>
      <c r="I37" s="50" t="n"/>
      <c r="J37" s="50" t="n"/>
      <c r="K37" s="50" t="n"/>
      <c r="L37" s="50" t="n"/>
      <c r="M37" s="50" t="n"/>
      <c r="N37" s="50" t="n"/>
      <c r="O37" s="50" t="n"/>
      <c r="P37" s="50" t="n"/>
      <c r="Q37" s="50" t="n"/>
      <c r="R37" s="50" t="n"/>
      <c r="S37" s="50" t="n"/>
    </row>
    <row r="38">
      <c r="B38" s="10"/>
      <c r="C38" s="14"/>
      <c r="D38" s="10"/>
      <c r="E38" s="10"/>
      <c r="F38" s="19" t="s">
        <v>1504</v>
      </c>
      <c r="G38" s="51" t="n"/>
      <c r="H38" s="51" t="n"/>
      <c r="I38" s="51" t="n"/>
      <c r="J38" s="51" t="n"/>
      <c r="K38" s="51" t="n"/>
      <c r="L38" s="51" t="n"/>
      <c r="M38" s="51" t="n"/>
      <c r="N38" s="51" t="n"/>
      <c r="O38" s="51" t="n"/>
      <c r="P38" s="51" t="n"/>
      <c r="Q38" s="51" t="n"/>
      <c r="R38" s="51" t="n"/>
      <c r="S38" s="51" t="n"/>
    </row>
    <row r="39">
      <c r="B39" s="10"/>
      <c r="C39" s="14"/>
      <c r="D39" s="10"/>
      <c r="E39" s="10"/>
      <c r="F39" s="18" t="s">
        <v>1339</v>
      </c>
      <c r="G39" s="50" t="n"/>
      <c r="H39" s="50" t="n"/>
      <c r="I39" s="50" t="n"/>
      <c r="J39" s="50" t="n"/>
      <c r="K39" s="50" t="n"/>
      <c r="L39" s="50" t="n"/>
      <c r="M39" s="50" t="n"/>
      <c r="N39" s="50" t="n"/>
      <c r="O39" s="50" t="n"/>
      <c r="P39" s="50" t="n"/>
      <c r="Q39" s="50" t="n"/>
      <c r="R39" s="50" t="n"/>
      <c r="S39" s="50" t="n"/>
    </row>
    <row r="40">
      <c r="B40" s="10"/>
      <c r="C40" s="14"/>
      <c r="D40" s="10"/>
      <c r="E40" s="11"/>
      <c r="F40" s="57" t="s">
        <v>1505</v>
      </c>
      <c r="G40" s="51" t="n">
        <f>SUM(G36:G39)</f>
      </c>
      <c r="H40" s="51" t="n">
        <f>SUM(H36:H39)</f>
      </c>
      <c r="I40" s="51" t="n">
        <f>SUM(I36:I39)</f>
      </c>
      <c r="J40" s="51" t="n">
        <f>SUM(J36:J39)</f>
      </c>
      <c r="K40" s="51" t="n">
        <f>SUM(K36:K39)</f>
      </c>
      <c r="L40" s="51" t="n">
        <f>SUM(L36:L39)</f>
      </c>
      <c r="M40" s="51" t="n">
        <f>SUM(M36:M39)</f>
      </c>
      <c r="N40" s="51" t="n">
        <f>SUM(N36:N39)</f>
      </c>
      <c r="O40" s="51" t="n">
        <f>SUM(O36:O39)</f>
      </c>
      <c r="P40" s="51" t="n">
        <f>SUM(P36:P39)</f>
      </c>
      <c r="Q40" s="51" t="n">
        <f>SUM(Q36:Q39)</f>
      </c>
      <c r="R40" s="51" t="n">
        <f>SUM(R36:R39)</f>
      </c>
      <c r="S40" s="51" t="n">
        <f>SUM(S36:S39)</f>
      </c>
    </row>
    <row r="41">
      <c r="B41" s="10"/>
      <c r="C41" s="15"/>
      <c r="D41" s="11"/>
      <c r="E41" s="45" t="s">
        <v>1506</v>
      </c>
      <c r="F41" s="44"/>
      <c r="G41" s="50" t="n">
        <f>G26+G20+G40+G34</f>
      </c>
      <c r="H41" s="50" t="n">
        <f>H26+H20+H40+H34</f>
      </c>
      <c r="I41" s="50" t="n">
        <f>I26+I20+I40+I34</f>
      </c>
      <c r="J41" s="50" t="n">
        <f>J26+J20+J40+J34</f>
      </c>
      <c r="K41" s="50" t="n">
        <f>K26+K20+K40+K34</f>
      </c>
      <c r="L41" s="50" t="n">
        <f>L26+L20+L40+L34</f>
      </c>
      <c r="M41" s="50" t="n">
        <f>M26+M20+M40+M34</f>
      </c>
      <c r="N41" s="50" t="n">
        <f>N26+N20+N40+N34</f>
      </c>
      <c r="O41" s="50" t="n">
        <f>O26+O20+O40+O34</f>
      </c>
      <c r="P41" s="50" t="n">
        <f>P26+P20+P40+P34</f>
      </c>
      <c r="Q41" s="50" t="n">
        <f>Q26+Q20+Q40+Q34</f>
      </c>
      <c r="R41" s="50" t="n">
        <f>R26+R20+R40+R34</f>
      </c>
      <c r="S41" s="50" t="n">
        <f>S26+S20+S40+S34</f>
      </c>
    </row>
    <row r="42">
      <c r="B42" s="10"/>
      <c r="C42" s="12" t="s">
        <v>1507</v>
      </c>
      <c r="D42" s="37"/>
      <c r="E42" s="37"/>
      <c r="F42" s="13"/>
      <c r="G42" s="23"/>
      <c r="H42" s="23"/>
      <c r="I42" s="23"/>
      <c r="J42" s="23"/>
      <c r="K42" s="23"/>
      <c r="L42" s="23"/>
      <c r="M42" s="23"/>
      <c r="N42" s="23"/>
      <c r="O42" s="23"/>
      <c r="P42" s="23"/>
      <c r="Q42" s="23"/>
      <c r="R42" s="23"/>
      <c r="S42" s="23"/>
    </row>
    <row r="43">
      <c r="B43" s="10"/>
      <c r="C43" s="14"/>
      <c r="D43" s="7" t="s">
        <v>1480</v>
      </c>
      <c r="E43" s="8"/>
      <c r="F43" s="9"/>
      <c r="G43" s="22"/>
      <c r="H43" s="22"/>
      <c r="I43" s="22"/>
      <c r="J43" s="22"/>
      <c r="K43" s="22"/>
      <c r="L43" s="22"/>
      <c r="M43" s="22"/>
      <c r="N43" s="22"/>
      <c r="O43" s="22"/>
      <c r="P43" s="22"/>
      <c r="Q43" s="22"/>
      <c r="R43" s="22"/>
      <c r="S43" s="22"/>
    </row>
    <row r="44">
      <c r="B44" s="10"/>
      <c r="C44" s="14"/>
      <c r="D44" s="10"/>
      <c r="E44" s="12" t="s">
        <v>1489</v>
      </c>
      <c r="F44" s="13"/>
      <c r="G44" s="23"/>
      <c r="H44" s="23"/>
      <c r="I44" s="23"/>
      <c r="J44" s="23"/>
      <c r="K44" s="23"/>
      <c r="L44" s="23"/>
      <c r="M44" s="23"/>
      <c r="N44" s="23"/>
      <c r="O44" s="23"/>
      <c r="P44" s="23"/>
      <c r="Q44" s="23"/>
      <c r="R44" s="23"/>
      <c r="S44" s="23"/>
    </row>
    <row r="45">
      <c r="B45" s="10"/>
      <c r="C45" s="14"/>
      <c r="D45" s="10"/>
      <c r="E45" s="14"/>
      <c r="F45" s="18" t="s">
        <v>1456</v>
      </c>
      <c r="G45" s="50" t="n"/>
      <c r="H45" s="50" t="n"/>
      <c r="I45" s="50" t="n"/>
      <c r="J45" s="50" t="n"/>
      <c r="K45" s="50" t="n"/>
      <c r="L45" s="50" t="n"/>
      <c r="M45" s="50" t="n"/>
      <c r="N45" s="50" t="n"/>
      <c r="O45" s="50" t="n"/>
      <c r="P45" s="50" t="n"/>
      <c r="Q45" s="50" t="n"/>
      <c r="R45" s="50" t="n"/>
      <c r="S45" s="50" t="n"/>
    </row>
    <row r="46">
      <c r="B46" s="10"/>
      <c r="C46" s="14"/>
      <c r="D46" s="10"/>
      <c r="E46" s="14"/>
      <c r="F46" s="19" t="s">
        <v>1490</v>
      </c>
      <c r="G46" s="51" t="n"/>
      <c r="H46" s="51" t="n"/>
      <c r="I46" s="51" t="n"/>
      <c r="J46" s="51" t="n"/>
      <c r="K46" s="51" t="n"/>
      <c r="L46" s="51" t="n"/>
      <c r="M46" s="51" t="n"/>
      <c r="N46" s="51" t="n"/>
      <c r="O46" s="51" t="n"/>
      <c r="P46" s="51" t="n"/>
      <c r="Q46" s="51" t="n"/>
      <c r="R46" s="51" t="n"/>
      <c r="S46" s="51" t="n"/>
    </row>
    <row r="47">
      <c r="B47" s="10"/>
      <c r="C47" s="14"/>
      <c r="D47" s="10"/>
      <c r="E47" s="14"/>
      <c r="F47" s="18" t="s">
        <v>1339</v>
      </c>
      <c r="G47" s="50" t="n"/>
      <c r="H47" s="50" t="n"/>
      <c r="I47" s="50" t="n"/>
      <c r="J47" s="50" t="n"/>
      <c r="K47" s="50" t="n"/>
      <c r="L47" s="50" t="n"/>
      <c r="M47" s="50" t="n"/>
      <c r="N47" s="50" t="n"/>
      <c r="O47" s="50" t="n"/>
      <c r="P47" s="50" t="n"/>
      <c r="Q47" s="50" t="n"/>
      <c r="R47" s="50" t="n"/>
      <c r="S47" s="50" t="n"/>
    </row>
    <row r="48">
      <c r="B48" s="10"/>
      <c r="C48" s="14"/>
      <c r="D48" s="10"/>
      <c r="E48" s="15"/>
      <c r="F48" s="57" t="s">
        <v>1491</v>
      </c>
      <c r="G48" s="51" t="n">
        <f>SUM(G45:G47)</f>
      </c>
      <c r="H48" s="51" t="n">
        <f>SUM(H45:H47)</f>
      </c>
      <c r="I48" s="51" t="n">
        <f>SUM(I45:I47)</f>
      </c>
      <c r="J48" s="51" t="n">
        <f>SUM(J45:J47)</f>
      </c>
      <c r="K48" s="51" t="n">
        <f>SUM(K45:K47)</f>
      </c>
      <c r="L48" s="51" t="n">
        <f>SUM(L45:L47)</f>
      </c>
      <c r="M48" s="51" t="n">
        <f>SUM(M45:M47)</f>
      </c>
      <c r="N48" s="51" t="n">
        <f>SUM(N45:N47)</f>
      </c>
      <c r="O48" s="51" t="n">
        <f>SUM(O45:O47)</f>
      </c>
      <c r="P48" s="51" t="n">
        <f>SUM(P45:P47)</f>
      </c>
      <c r="Q48" s="51" t="n">
        <f>SUM(Q45:Q47)</f>
      </c>
      <c r="R48" s="51" t="n">
        <f>SUM(R45:R47)</f>
      </c>
      <c r="S48" s="51" t="n">
        <f>SUM(S45:S47)</f>
      </c>
    </row>
    <row r="49">
      <c r="B49" s="10"/>
      <c r="C49" s="14"/>
      <c r="D49" s="10"/>
      <c r="E49" s="7" t="s">
        <v>1492</v>
      </c>
      <c r="F49" s="9"/>
      <c r="G49" s="22"/>
      <c r="H49" s="22"/>
      <c r="I49" s="22"/>
      <c r="J49" s="22"/>
      <c r="K49" s="22"/>
      <c r="L49" s="22"/>
      <c r="M49" s="22"/>
      <c r="N49" s="22"/>
      <c r="O49" s="22"/>
      <c r="P49" s="22"/>
      <c r="Q49" s="22"/>
      <c r="R49" s="22"/>
      <c r="S49" s="22"/>
    </row>
    <row r="50">
      <c r="B50" s="10"/>
      <c r="C50" s="14"/>
      <c r="D50" s="10"/>
      <c r="E50" s="10"/>
      <c r="F50" s="19" t="s">
        <v>1493</v>
      </c>
      <c r="G50" s="51" t="n"/>
      <c r="H50" s="51" t="n"/>
      <c r="I50" s="51" t="n"/>
      <c r="J50" s="51" t="n"/>
      <c r="K50" s="51" t="n"/>
      <c r="L50" s="51" t="n"/>
      <c r="M50" s="51" t="n"/>
      <c r="N50" s="51" t="n"/>
      <c r="O50" s="51" t="n"/>
      <c r="P50" s="51" t="n"/>
      <c r="Q50" s="51" t="n"/>
      <c r="R50" s="51" t="n"/>
      <c r="S50" s="51" t="n"/>
    </row>
    <row r="51">
      <c r="B51" s="10"/>
      <c r="C51" s="14"/>
      <c r="D51" s="10"/>
      <c r="E51" s="10"/>
      <c r="F51" s="18" t="s">
        <v>1508</v>
      </c>
      <c r="G51" s="50" t="n"/>
      <c r="H51" s="50" t="n"/>
      <c r="I51" s="50" t="n"/>
      <c r="J51" s="50" t="n"/>
      <c r="K51" s="50" t="n"/>
      <c r="L51" s="50" t="n"/>
      <c r="M51" s="50" t="n"/>
      <c r="N51" s="50" t="n"/>
      <c r="O51" s="50" t="n"/>
      <c r="P51" s="50" t="n"/>
      <c r="Q51" s="50" t="n"/>
      <c r="R51" s="50" t="n"/>
      <c r="S51" s="50" t="n"/>
    </row>
    <row r="52">
      <c r="B52" s="10"/>
      <c r="C52" s="14"/>
      <c r="D52" s="10"/>
      <c r="E52" s="10"/>
      <c r="F52" s="19" t="s">
        <v>1490</v>
      </c>
      <c r="G52" s="51" t="n"/>
      <c r="H52" s="51" t="n"/>
      <c r="I52" s="51" t="n"/>
      <c r="J52" s="51" t="n"/>
      <c r="K52" s="51" t="n"/>
      <c r="L52" s="51" t="n"/>
      <c r="M52" s="51" t="n"/>
      <c r="N52" s="51" t="n"/>
      <c r="O52" s="51" t="n"/>
      <c r="P52" s="51" t="n"/>
      <c r="Q52" s="51" t="n"/>
      <c r="R52" s="51" t="n"/>
      <c r="S52" s="51" t="n"/>
    </row>
    <row r="53">
      <c r="B53" s="10"/>
      <c r="C53" s="14"/>
      <c r="D53" s="10"/>
      <c r="E53" s="10"/>
      <c r="F53" s="18" t="s">
        <v>1339</v>
      </c>
      <c r="G53" s="50" t="n"/>
      <c r="H53" s="50" t="n"/>
      <c r="I53" s="50" t="n"/>
      <c r="J53" s="50" t="n"/>
      <c r="K53" s="50" t="n"/>
      <c r="L53" s="50" t="n"/>
      <c r="M53" s="50" t="n"/>
      <c r="N53" s="50" t="n"/>
      <c r="O53" s="50" t="n"/>
      <c r="P53" s="50" t="n"/>
      <c r="Q53" s="50" t="n"/>
      <c r="R53" s="50" t="n"/>
      <c r="S53" s="50" t="n"/>
    </row>
    <row r="54">
      <c r="B54" s="10"/>
      <c r="C54" s="14"/>
      <c r="D54" s="10"/>
      <c r="E54" s="11"/>
      <c r="F54" s="57" t="s">
        <v>1495</v>
      </c>
      <c r="G54" s="51" t="n">
        <f>SUM(G50:G53)</f>
      </c>
      <c r="H54" s="51" t="n">
        <f>SUM(H50:H53)</f>
      </c>
      <c r="I54" s="51" t="n">
        <f>SUM(I50:I53)</f>
      </c>
      <c r="J54" s="51" t="n">
        <f>SUM(J50:J53)</f>
      </c>
      <c r="K54" s="51" t="n">
        <f>SUM(K50:K53)</f>
      </c>
      <c r="L54" s="51" t="n">
        <f>SUM(L50:L53)</f>
      </c>
      <c r="M54" s="51" t="n">
        <f>SUM(M50:M53)</f>
      </c>
      <c r="N54" s="51" t="n">
        <f>SUM(N50:N53)</f>
      </c>
      <c r="O54" s="51" t="n">
        <f>SUM(O50:O53)</f>
      </c>
      <c r="P54" s="51" t="n">
        <f>SUM(P50:P53)</f>
      </c>
      <c r="Q54" s="51" t="n">
        <f>SUM(Q50:Q53)</f>
      </c>
      <c r="R54" s="51" t="n">
        <f>SUM(R50:R53)</f>
      </c>
      <c r="S54" s="51" t="n">
        <f>SUM(S50:S53)</f>
      </c>
    </row>
    <row r="55">
      <c r="B55" s="10"/>
      <c r="C55" s="14"/>
      <c r="D55" s="10"/>
      <c r="E55" s="7" t="s">
        <v>1496</v>
      </c>
      <c r="F55" s="9"/>
      <c r="G55" s="22"/>
      <c r="H55" s="22"/>
      <c r="I55" s="22"/>
      <c r="J55" s="22"/>
      <c r="K55" s="22"/>
      <c r="L55" s="22"/>
      <c r="M55" s="22"/>
      <c r="N55" s="22"/>
      <c r="O55" s="22"/>
      <c r="P55" s="22"/>
      <c r="Q55" s="22"/>
      <c r="R55" s="22"/>
      <c r="S55" s="22"/>
    </row>
    <row r="56">
      <c r="B56" s="10"/>
      <c r="C56" s="14"/>
      <c r="D56" s="10"/>
      <c r="E56" s="10"/>
      <c r="F56" s="19" t="s">
        <v>1497</v>
      </c>
      <c r="G56" s="51" t="n"/>
      <c r="H56" s="51" t="n"/>
      <c r="I56" s="51" t="n"/>
      <c r="J56" s="51" t="n"/>
      <c r="K56" s="51" t="n"/>
      <c r="L56" s="51" t="n"/>
      <c r="M56" s="51" t="n"/>
      <c r="N56" s="51" t="n"/>
      <c r="O56" s="51" t="n"/>
      <c r="P56" s="51" t="n"/>
      <c r="Q56" s="51" t="n"/>
      <c r="R56" s="51" t="n"/>
      <c r="S56" s="51" t="n"/>
    </row>
    <row r="57">
      <c r="B57" s="10"/>
      <c r="C57" s="14"/>
      <c r="D57" s="10"/>
      <c r="E57" s="10"/>
      <c r="F57" s="18" t="s">
        <v>1498</v>
      </c>
      <c r="G57" s="50" t="n"/>
      <c r="H57" s="50" t="n"/>
      <c r="I57" s="50" t="n"/>
      <c r="J57" s="50" t="n"/>
      <c r="K57" s="50" t="n"/>
      <c r="L57" s="50" t="n"/>
      <c r="M57" s="50" t="n"/>
      <c r="N57" s="50" t="n"/>
      <c r="O57" s="50" t="n"/>
      <c r="P57" s="50" t="n"/>
      <c r="Q57" s="50" t="n"/>
      <c r="R57" s="50" t="n"/>
      <c r="S57" s="50" t="n"/>
    </row>
    <row r="58">
      <c r="B58" s="10"/>
      <c r="C58" s="14"/>
      <c r="D58" s="10"/>
      <c r="E58" s="10"/>
      <c r="F58" s="19" t="s">
        <v>1499</v>
      </c>
      <c r="G58" s="51" t="n"/>
      <c r="H58" s="51" t="n"/>
      <c r="I58" s="51" t="n"/>
      <c r="J58" s="51" t="n"/>
      <c r="K58" s="51" t="n"/>
      <c r="L58" s="51" t="n"/>
      <c r="M58" s="51" t="n"/>
      <c r="N58" s="51" t="n"/>
      <c r="O58" s="51" t="n"/>
      <c r="P58" s="51" t="n"/>
      <c r="Q58" s="51" t="n"/>
      <c r="R58" s="51" t="n"/>
      <c r="S58" s="51" t="n"/>
    </row>
    <row r="59">
      <c r="B59" s="10"/>
      <c r="C59" s="14"/>
      <c r="D59" s="10"/>
      <c r="E59" s="10"/>
      <c r="F59" s="18" t="s">
        <v>1500</v>
      </c>
      <c r="G59" s="50" t="n"/>
      <c r="H59" s="50" t="n"/>
      <c r="I59" s="50" t="n"/>
      <c r="J59" s="50" t="n"/>
      <c r="K59" s="50" t="n"/>
      <c r="L59" s="50" t="n"/>
      <c r="M59" s="50" t="n"/>
      <c r="N59" s="50" t="n"/>
      <c r="O59" s="50" t="n"/>
      <c r="P59" s="50" t="n"/>
      <c r="Q59" s="50" t="n"/>
      <c r="R59" s="50" t="n"/>
      <c r="S59" s="50" t="n"/>
    </row>
    <row r="60">
      <c r="B60" s="10"/>
      <c r="C60" s="14"/>
      <c r="D60" s="10"/>
      <c r="E60" s="10"/>
      <c r="F60" s="19" t="s">
        <v>1501</v>
      </c>
      <c r="G60" s="51" t="n"/>
      <c r="H60" s="51" t="n"/>
      <c r="I60" s="51" t="n"/>
      <c r="J60" s="51" t="n"/>
      <c r="K60" s="51" t="n"/>
      <c r="L60" s="51" t="n"/>
      <c r="M60" s="51" t="n"/>
      <c r="N60" s="51" t="n"/>
      <c r="O60" s="51" t="n"/>
      <c r="P60" s="51" t="n"/>
      <c r="Q60" s="51" t="n"/>
      <c r="R60" s="51" t="n"/>
      <c r="S60" s="51" t="n"/>
    </row>
    <row r="61">
      <c r="B61" s="10"/>
      <c r="C61" s="14"/>
      <c r="D61" s="10"/>
      <c r="E61" s="10"/>
      <c r="F61" s="18" t="s">
        <v>1339</v>
      </c>
      <c r="G61" s="50" t="n"/>
      <c r="H61" s="50" t="n"/>
      <c r="I61" s="50" t="n"/>
      <c r="J61" s="50" t="n"/>
      <c r="K61" s="50" t="n"/>
      <c r="L61" s="50" t="n"/>
      <c r="M61" s="50" t="n"/>
      <c r="N61" s="50" t="n"/>
      <c r="O61" s="50" t="n"/>
      <c r="P61" s="50" t="n"/>
      <c r="Q61" s="50" t="n"/>
      <c r="R61" s="50" t="n"/>
      <c r="S61" s="50" t="n"/>
    </row>
    <row r="62">
      <c r="B62" s="10"/>
      <c r="C62" s="14"/>
      <c r="D62" s="10"/>
      <c r="E62" s="11"/>
      <c r="F62" s="57" t="s">
        <v>1502</v>
      </c>
      <c r="G62" s="51" t="n">
        <f>SUM(G56:G61)</f>
      </c>
      <c r="H62" s="51" t="n">
        <f>SUM(H56:H61)</f>
      </c>
      <c r="I62" s="51" t="n">
        <f>SUM(I56:I61)</f>
      </c>
      <c r="J62" s="51" t="n">
        <f>SUM(J56:J61)</f>
      </c>
      <c r="K62" s="51" t="n">
        <f>SUM(K56:K61)</f>
      </c>
      <c r="L62" s="51" t="n">
        <f>SUM(L56:L61)</f>
      </c>
      <c r="M62" s="51" t="n">
        <f>SUM(M56:M61)</f>
      </c>
      <c r="N62" s="51" t="n">
        <f>SUM(N56:N61)</f>
      </c>
      <c r="O62" s="51" t="n">
        <f>SUM(O56:O61)</f>
      </c>
      <c r="P62" s="51" t="n">
        <f>SUM(P56:P61)</f>
      </c>
      <c r="Q62" s="51" t="n">
        <f>SUM(Q56:Q61)</f>
      </c>
      <c r="R62" s="51" t="n">
        <f>SUM(R56:R61)</f>
      </c>
      <c r="S62" s="51" t="n">
        <f>SUM(S56:S61)</f>
      </c>
    </row>
    <row r="63">
      <c r="B63" s="10"/>
      <c r="C63" s="14"/>
      <c r="D63" s="10"/>
      <c r="E63" s="7" t="s">
        <v>1509</v>
      </c>
      <c r="F63" s="9"/>
      <c r="G63" s="22"/>
      <c r="H63" s="22"/>
      <c r="I63" s="22"/>
      <c r="J63" s="22"/>
      <c r="K63" s="22"/>
      <c r="L63" s="22"/>
      <c r="M63" s="22"/>
      <c r="N63" s="22"/>
      <c r="O63" s="22"/>
      <c r="P63" s="22"/>
      <c r="Q63" s="22"/>
      <c r="R63" s="22"/>
      <c r="S63" s="22"/>
    </row>
    <row r="64">
      <c r="B64" s="10"/>
      <c r="C64" s="14"/>
      <c r="D64" s="10"/>
      <c r="E64" s="10"/>
      <c r="F64" s="19" t="s">
        <v>1500</v>
      </c>
      <c r="G64" s="51" t="n"/>
      <c r="H64" s="51" t="n"/>
      <c r="I64" s="51" t="n"/>
      <c r="J64" s="51" t="n"/>
      <c r="K64" s="51" t="n"/>
      <c r="L64" s="51" t="n"/>
      <c r="M64" s="51" t="n"/>
      <c r="N64" s="51" t="n"/>
      <c r="O64" s="51" t="n"/>
      <c r="P64" s="51" t="n"/>
      <c r="Q64" s="51" t="n"/>
      <c r="R64" s="51" t="n"/>
      <c r="S64" s="51" t="n"/>
    </row>
    <row r="65">
      <c r="B65" s="10"/>
      <c r="C65" s="14"/>
      <c r="D65" s="10"/>
      <c r="E65" s="10"/>
      <c r="F65" s="18" t="s">
        <v>1501</v>
      </c>
      <c r="G65" s="50" t="n"/>
      <c r="H65" s="50" t="n"/>
      <c r="I65" s="50" t="n"/>
      <c r="J65" s="50" t="n"/>
      <c r="K65" s="50" t="n"/>
      <c r="L65" s="50" t="n"/>
      <c r="M65" s="50" t="n"/>
      <c r="N65" s="50" t="n"/>
      <c r="O65" s="50" t="n"/>
      <c r="P65" s="50" t="n"/>
      <c r="Q65" s="50" t="n"/>
      <c r="R65" s="50" t="n"/>
      <c r="S65" s="50" t="n"/>
    </row>
    <row r="66">
      <c r="B66" s="10"/>
      <c r="C66" s="14"/>
      <c r="D66" s="10"/>
      <c r="E66" s="10"/>
      <c r="F66" s="19" t="s">
        <v>1504</v>
      </c>
      <c r="G66" s="51" t="n"/>
      <c r="H66" s="51" t="n"/>
      <c r="I66" s="51" t="n"/>
      <c r="J66" s="51" t="n"/>
      <c r="K66" s="51" t="n"/>
      <c r="L66" s="51" t="n"/>
      <c r="M66" s="51" t="n"/>
      <c r="N66" s="51" t="n"/>
      <c r="O66" s="51" t="n"/>
      <c r="P66" s="51" t="n"/>
      <c r="Q66" s="51" t="n"/>
      <c r="R66" s="51" t="n"/>
      <c r="S66" s="51" t="n"/>
    </row>
    <row r="67">
      <c r="B67" s="10"/>
      <c r="C67" s="14"/>
      <c r="D67" s="10"/>
      <c r="E67" s="10"/>
      <c r="F67" s="18" t="s">
        <v>1339</v>
      </c>
      <c r="G67" s="50" t="n"/>
      <c r="H67" s="50" t="n"/>
      <c r="I67" s="50" t="n"/>
      <c r="J67" s="50" t="n"/>
      <c r="K67" s="50" t="n"/>
      <c r="L67" s="50" t="n"/>
      <c r="M67" s="50" t="n"/>
      <c r="N67" s="50" t="n"/>
      <c r="O67" s="50" t="n"/>
      <c r="P67" s="50" t="n"/>
      <c r="Q67" s="50" t="n"/>
      <c r="R67" s="50" t="n"/>
      <c r="S67" s="50" t="n"/>
    </row>
    <row r="68">
      <c r="B68" s="10"/>
      <c r="C68" s="14"/>
      <c r="D68" s="10"/>
      <c r="E68" s="11"/>
      <c r="F68" s="57" t="s">
        <v>1505</v>
      </c>
      <c r="G68" s="51" t="n">
        <f>SUM(G64:G67)</f>
      </c>
      <c r="H68" s="51" t="n">
        <f>SUM(H64:H67)</f>
      </c>
      <c r="I68" s="51" t="n">
        <f>SUM(I64:I67)</f>
      </c>
      <c r="J68" s="51" t="n">
        <f>SUM(J64:J67)</f>
      </c>
      <c r="K68" s="51" t="n">
        <f>SUM(K64:K67)</f>
      </c>
      <c r="L68" s="51" t="n">
        <f>SUM(L64:L67)</f>
      </c>
      <c r="M68" s="51" t="n">
        <f>SUM(M64:M67)</f>
      </c>
      <c r="N68" s="51" t="n">
        <f>SUM(N64:N67)</f>
      </c>
      <c r="O68" s="51" t="n">
        <f>SUM(O64:O67)</f>
      </c>
      <c r="P68" s="51" t="n">
        <f>SUM(P64:P67)</f>
      </c>
      <c r="Q68" s="51" t="n">
        <f>SUM(Q64:Q67)</f>
      </c>
      <c r="R68" s="51" t="n">
        <f>SUM(R64:R67)</f>
      </c>
      <c r="S68" s="51" t="n">
        <f>SUM(S64:S67)</f>
      </c>
    </row>
    <row r="69">
      <c r="B69" s="10"/>
      <c r="C69" s="15"/>
      <c r="D69" s="11"/>
      <c r="E69" s="45" t="s">
        <v>1510</v>
      </c>
      <c r="F69" s="44"/>
      <c r="G69" s="50" t="n">
        <f>G54+G48+G62+G68</f>
      </c>
      <c r="H69" s="50" t="n">
        <f>H54+H48+H62+H68</f>
      </c>
      <c r="I69" s="50" t="n">
        <f>I54+I48+I62+I68</f>
      </c>
      <c r="J69" s="50" t="n">
        <f>J54+J48+J62+J68</f>
      </c>
      <c r="K69" s="50" t="n">
        <f>K54+K48+K62+K68</f>
      </c>
      <c r="L69" s="50" t="n">
        <f>L54+L48+L62+L68</f>
      </c>
      <c r="M69" s="50" t="n">
        <f>M54+M48+M62+M68</f>
      </c>
      <c r="N69" s="50" t="n">
        <f>N54+N48+N62+N68</f>
      </c>
      <c r="O69" s="50" t="n">
        <f>O54+O48+O62+O68</f>
      </c>
      <c r="P69" s="50" t="n">
        <f>P54+P48+P62+P68</f>
      </c>
      <c r="Q69" s="50" t="n">
        <f>Q54+Q48+Q62+Q68</f>
      </c>
      <c r="R69" s="50" t="n">
        <f>R54+R48+R62+R68</f>
      </c>
      <c r="S69" s="50" t="n">
        <f>S54+S48+S62+S68</f>
      </c>
    </row>
    <row r="70">
      <c r="B70" s="11"/>
      <c r="C70" s="40" t="s">
        <v>1511</v>
      </c>
      <c r="D70" s="41"/>
      <c r="E70" s="41"/>
      <c r="F70" s="39"/>
      <c r="G70" s="52" t="n">
        <f>G41-G69</f>
      </c>
      <c r="H70" s="52" t="n">
        <f>H41-H69</f>
      </c>
      <c r="I70" s="52" t="n">
        <f>I41-I69</f>
      </c>
      <c r="J70" s="52" t="n">
        <f>J41-J69</f>
      </c>
      <c r="K70" s="52" t="n">
        <f>K41-K69</f>
      </c>
      <c r="L70" s="52" t="n">
        <f>L41-L69</f>
      </c>
      <c r="M70" s="52" t="n">
        <f>M41-M69</f>
      </c>
      <c r="N70" s="52" t="n">
        <f>N41-N69</f>
      </c>
      <c r="O70" s="52" t="n">
        <f>O41-O69</f>
      </c>
      <c r="P70" s="52" t="n">
        <f>P41-P69</f>
      </c>
      <c r="Q70" s="52" t="n">
        <f>Q41-Q69</f>
      </c>
      <c r="R70" s="52" t="n">
        <f>R41-R69</f>
      </c>
      <c r="S70" s="52" t="n">
        <f>S41-S69</f>
      </c>
    </row>
  </sheetData>
  <mergeCells>
    <mergeCell ref="G10:S10"/>
    <mergeCell ref="G11:I11"/>
    <mergeCell ref="J11:S11"/>
    <mergeCell ref="B13:F13"/>
    <mergeCell ref="C14:F14"/>
    <mergeCell ref="D15:F15"/>
    <mergeCell ref="E16:F16"/>
    <mergeCell ref="E21:F21"/>
    <mergeCell ref="E27:F27"/>
    <mergeCell ref="E35:F35"/>
    <mergeCell ref="E41:F41"/>
    <mergeCell ref="C42:F42"/>
    <mergeCell ref="D43:F43"/>
    <mergeCell ref="E44:F44"/>
    <mergeCell ref="E49:F49"/>
    <mergeCell ref="E55:F55"/>
    <mergeCell ref="E63:F63"/>
    <mergeCell ref="E69:F69"/>
    <mergeCell ref="C70:F70"/>
  </mergeCells>
  <hyperlinks>
    <hyperlink location="'Indice'!A1" ref="B2"/>
  </hyperlinks>
  <pageMargins bottom="0.75" footer="0.3" header="0.3" left="0.7" right="0.7" top="0.75"/>
</worksheet>
</file>

<file path=xl/worksheets/sheet54.xml><?xml version="1.0" encoding="utf-8"?>
<worksheet xmlns="http://schemas.openxmlformats.org/spreadsheetml/2006/main">
  <dimension ref="B2:L31"/>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1512</v>
      </c>
    </row>
    <row r="6">
      <c r="B6" t="s" s="1">
        <v>8</v>
      </c>
      <c r="C6" t="s">
        <v>9</v>
      </c>
    </row>
    <row r="7">
      <c r="B7" t="s" s="1">
        <v>10</v>
      </c>
      <c r="C7" t="s">
        <v>9</v>
      </c>
    </row>
    <row r="8">
      <c r="B8" t="s" s="1">
        <v>11</v>
      </c>
      <c r="C8" t="s">
        <v>12</v>
      </c>
    </row>
    <row r="10">
      <c r="E10" t="s" s="4">
        <v>1262</v>
      </c>
      <c r="F10" s="29"/>
      <c r="G10" s="29"/>
      <c r="H10" s="29"/>
      <c r="I10" s="29"/>
      <c r="J10" s="29"/>
      <c r="K10" s="30"/>
    </row>
    <row r="11">
      <c r="E11" t="s" s="34">
        <v>36</v>
      </c>
      <c r="F11" t="s" s="6">
        <v>37</v>
      </c>
      <c r="G11" t="s" s="34">
        <v>38</v>
      </c>
      <c r="H11" t="s" s="6">
        <v>39</v>
      </c>
      <c r="I11" t="s" s="34">
        <v>40</v>
      </c>
      <c r="J11" t="s" s="6">
        <v>41</v>
      </c>
      <c r="K11" s="36"/>
    </row>
    <row r="12">
      <c r="B12" s="7" t="s">
        <v>1513</v>
      </c>
      <c r="C12" s="8"/>
      <c r="D12" s="9"/>
      <c r="E12" s="23"/>
      <c r="F12" s="23"/>
      <c r="G12" s="23"/>
      <c r="H12" s="23"/>
      <c r="I12" s="23"/>
      <c r="J12" s="23"/>
      <c r="K12" s="23"/>
    </row>
    <row r="13">
      <c r="B13" s="10"/>
      <c r="C13" s="12" t="s">
        <v>1514</v>
      </c>
      <c r="D13" s="13"/>
      <c r="E13" s="22"/>
      <c r="F13" s="22"/>
      <c r="G13" s="22"/>
      <c r="H13" s="22"/>
      <c r="I13" s="22"/>
      <c r="J13" s="22"/>
      <c r="K13" s="22"/>
    </row>
    <row r="14">
      <c r="B14" s="10"/>
      <c r="C14" s="14"/>
      <c r="D14" s="18" t="s">
        <v>1515</v>
      </c>
      <c r="E14" s="51" t="n"/>
      <c r="F14" s="51" t="n"/>
      <c r="G14" s="51" t="n"/>
      <c r="H14" s="51" t="n"/>
      <c r="I14" s="51" t="n"/>
      <c r="J14" s="51" t="n"/>
      <c r="K14" s="51" t="n"/>
    </row>
    <row r="15">
      <c r="B15" s="10"/>
      <c r="C15" s="14"/>
      <c r="D15" s="19" t="s">
        <v>1516</v>
      </c>
      <c r="E15" s="50" t="n"/>
      <c r="F15" s="50" t="n"/>
      <c r="G15" s="50" t="n"/>
      <c r="H15" s="50" t="n"/>
      <c r="I15" s="50" t="n"/>
      <c r="J15" s="50" t="n"/>
      <c r="K15" s="50" t="n"/>
    </row>
    <row r="16">
      <c r="B16" s="10"/>
      <c r="C16" s="14"/>
      <c r="D16" s="18" t="s">
        <v>1517</v>
      </c>
      <c r="E16" s="51" t="n"/>
      <c r="F16" s="51" t="n"/>
      <c r="G16" s="51" t="n"/>
      <c r="H16" s="51" t="n"/>
      <c r="I16" s="51" t="n"/>
      <c r="J16" s="51" t="n"/>
      <c r="K16" s="51" t="n"/>
    </row>
    <row r="17">
      <c r="B17" s="10"/>
      <c r="C17" s="15"/>
      <c r="D17" s="19" t="s">
        <v>1518</v>
      </c>
      <c r="E17" s="50" t="n">
        <f>SUM(E14:E16)</f>
      </c>
      <c r="F17" s="50" t="n">
        <f>SUM(F14:F16)</f>
      </c>
      <c r="G17" s="50" t="n">
        <f>SUM(G14:G16)</f>
      </c>
      <c r="H17" s="50" t="n">
        <f>SUM(H14:H16)</f>
      </c>
      <c r="I17" s="50" t="n">
        <f>SUM(I14:I16)</f>
      </c>
      <c r="J17" s="50" t="n">
        <f>SUM(J14:J16)</f>
      </c>
      <c r="K17" s="50" t="n">
        <f>SUM(K14:K16)</f>
      </c>
    </row>
    <row r="18">
      <c r="B18" s="10"/>
      <c r="C18" s="7" t="s">
        <v>1519</v>
      </c>
      <c r="D18" s="9"/>
      <c r="E18" s="23"/>
      <c r="F18" s="23"/>
      <c r="G18" s="23"/>
      <c r="H18" s="23"/>
      <c r="I18" s="23"/>
      <c r="J18" s="23"/>
      <c r="K18" s="23"/>
    </row>
    <row r="19">
      <c r="B19" s="10"/>
      <c r="C19" s="10"/>
      <c r="D19" s="19" t="s">
        <v>1520</v>
      </c>
      <c r="E19" s="50" t="n"/>
      <c r="F19" s="50" t="n"/>
      <c r="G19" s="50" t="n"/>
      <c r="H19" s="50" t="n"/>
      <c r="I19" s="50" t="n"/>
      <c r="J19" s="50" t="n"/>
      <c r="K19" s="50" t="n"/>
    </row>
    <row r="20">
      <c r="B20" s="10"/>
      <c r="C20" s="10"/>
      <c r="D20" s="18" t="s">
        <v>1521</v>
      </c>
      <c r="E20" s="51" t="n"/>
      <c r="F20" s="51" t="n"/>
      <c r="G20" s="51" t="n"/>
      <c r="H20" s="51" t="n"/>
      <c r="I20" s="51" t="n"/>
      <c r="J20" s="51" t="n"/>
      <c r="K20" s="51" t="n"/>
    </row>
    <row r="21">
      <c r="B21" s="10"/>
      <c r="C21" s="10"/>
      <c r="D21" s="19" t="s">
        <v>1452</v>
      </c>
      <c r="E21" s="50" t="n"/>
      <c r="F21" s="50" t="n"/>
      <c r="G21" s="50" t="n"/>
      <c r="H21" s="50" t="n"/>
      <c r="I21" s="50" t="n"/>
      <c r="J21" s="50" t="n"/>
      <c r="K21" s="50" t="n"/>
    </row>
    <row r="22">
      <c r="B22" s="10"/>
      <c r="C22" s="10"/>
      <c r="D22" s="18" t="s">
        <v>1453</v>
      </c>
      <c r="E22" s="51" t="n"/>
      <c r="F22" s="51" t="n"/>
      <c r="G22" s="51" t="n"/>
      <c r="H22" s="51" t="n"/>
      <c r="I22" s="51" t="n"/>
      <c r="J22" s="51" t="n"/>
      <c r="K22" s="51" t="n"/>
    </row>
    <row r="23">
      <c r="B23" s="10"/>
      <c r="C23" s="10"/>
      <c r="D23" s="19" t="s">
        <v>1522</v>
      </c>
      <c r="E23" s="50" t="n">
        <f>SUM(E19:E22)</f>
      </c>
      <c r="F23" s="50" t="n">
        <f>SUM(F19:F22)</f>
      </c>
      <c r="G23" s="50" t="n">
        <f>SUM(G19:G22)</f>
      </c>
      <c r="H23" s="50" t="n">
        <f>SUM(H19:H22)</f>
      </c>
      <c r="I23" s="50" t="n">
        <f>SUM(I19:I22)</f>
      </c>
      <c r="J23" s="50" t="n">
        <f>SUM(J19:J22)</f>
      </c>
      <c r="K23" s="50" t="n">
        <f>SUM(K19:K22)</f>
      </c>
    </row>
    <row r="24">
      <c r="B24" s="10"/>
      <c r="C24" s="11"/>
      <c r="D24" s="18" t="s">
        <v>1523</v>
      </c>
      <c r="E24" s="51" t="n">
        <f>-E23+E17</f>
      </c>
      <c r="F24" s="51" t="n">
        <f>-F23+F17</f>
      </c>
      <c r="G24" s="51" t="n">
        <f>-G23+G17</f>
      </c>
      <c r="H24" s="51" t="n">
        <f>-H23+H17</f>
      </c>
      <c r="I24" s="51" t="n">
        <f>-I23+I17</f>
      </c>
      <c r="J24" s="51" t="n">
        <f>-J23+J17</f>
      </c>
      <c r="K24" s="51" t="n">
        <f>-K23+K17</f>
      </c>
    </row>
    <row r="25">
      <c r="B25" s="10"/>
      <c r="C25" s="15" t="s">
        <v>1524</v>
      </c>
      <c r="D25" s="13"/>
      <c r="E25" s="50" t="n"/>
      <c r="F25" s="50" t="n"/>
      <c r="G25" s="50" t="n"/>
      <c r="H25" s="50" t="n"/>
      <c r="I25" s="50" t="n"/>
      <c r="J25" s="50" t="n"/>
      <c r="K25" s="50" t="n"/>
    </row>
    <row r="26">
      <c r="B26" s="10"/>
      <c r="C26" s="11" t="s">
        <v>1525</v>
      </c>
      <c r="D26" s="9"/>
      <c r="E26" s="23"/>
      <c r="F26" s="23"/>
      <c r="G26" s="23"/>
      <c r="H26" s="51" t="n"/>
      <c r="I26" s="23"/>
      <c r="J26" s="23"/>
      <c r="K26" s="51" t="n"/>
    </row>
    <row r="27">
      <c r="B27" s="10"/>
      <c r="C27" s="15" t="s">
        <v>1526</v>
      </c>
      <c r="D27" s="13"/>
      <c r="E27" s="22"/>
      <c r="F27" s="22"/>
      <c r="G27" s="22"/>
      <c r="H27" s="50" t="n"/>
      <c r="I27" s="22"/>
      <c r="J27" s="22"/>
      <c r="K27" s="50" t="n"/>
    </row>
    <row r="28">
      <c r="B28" s="10"/>
      <c r="C28" s="11" t="s">
        <v>1527</v>
      </c>
      <c r="D28" s="9"/>
      <c r="E28" s="23"/>
      <c r="F28" s="23"/>
      <c r="G28" s="23"/>
      <c r="H28" s="51" t="n"/>
      <c r="I28" s="23"/>
      <c r="J28" s="23"/>
      <c r="K28" s="51" t="n"/>
    </row>
    <row r="29">
      <c r="B29" s="10"/>
      <c r="C29" s="15" t="s">
        <v>1528</v>
      </c>
      <c r="D29" s="13"/>
      <c r="E29" s="22"/>
      <c r="F29" s="22"/>
      <c r="G29" s="22"/>
      <c r="H29" s="50" t="n"/>
      <c r="I29" s="22"/>
      <c r="J29" s="22"/>
      <c r="K29" s="50" t="n"/>
    </row>
    <row r="30">
      <c r="B30" s="10"/>
      <c r="C30" s="11" t="s">
        <v>1529</v>
      </c>
      <c r="D30" s="9"/>
      <c r="E30" s="23"/>
      <c r="F30" s="23"/>
      <c r="G30" s="23"/>
      <c r="H30" s="23"/>
      <c r="I30" s="51" t="n"/>
      <c r="J30" s="23"/>
      <c r="K30" s="51" t="n"/>
    </row>
    <row r="31">
      <c r="B31" s="11"/>
      <c r="C31" s="15" t="s">
        <v>1530</v>
      </c>
      <c r="D31" s="13"/>
      <c r="E31" s="58"/>
      <c r="F31" s="58"/>
      <c r="G31" s="58"/>
      <c r="H31" s="58"/>
      <c r="I31" s="58"/>
      <c r="J31" s="53" t="n"/>
      <c r="K31" s="53" t="n"/>
    </row>
  </sheetData>
  <mergeCells>
    <mergeCell ref="E10:K10"/>
    <mergeCell ref="B12:D12"/>
    <mergeCell ref="C13:D13"/>
    <mergeCell ref="C18:D18"/>
    <mergeCell ref="C25:D25"/>
    <mergeCell ref="C26:D26"/>
    <mergeCell ref="C27:D27"/>
    <mergeCell ref="C28:D28"/>
    <mergeCell ref="C29:D29"/>
    <mergeCell ref="C30:D30"/>
    <mergeCell ref="C31:D31"/>
  </mergeCells>
  <hyperlinks>
    <hyperlink location="'Indice'!A1" ref="B2"/>
  </hyperlinks>
  <pageMargins bottom="0.75" footer="0.3" header="0.3" left="0.7" right="0.7" top="0.75"/>
</worksheet>
</file>

<file path=xl/worksheets/sheet55.xml><?xml version="1.0" encoding="utf-8"?>
<worksheet xmlns="http://schemas.openxmlformats.org/spreadsheetml/2006/main">
  <dimension ref="B2:U14"/>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s>
  <sheetData>
    <row r="2">
      <c r="B2" t="s" s="2">
        <v>1</v>
      </c>
    </row>
    <row r="3">
      <c r="B3" t="s" s="1">
        <v>3</v>
      </c>
      <c r="C3" t="s">
        <v>4</v>
      </c>
    </row>
    <row r="4">
      <c r="B4" s="1" t="s">
        <v>5</v>
      </c>
      <c r="C4" t="s">
        <v>6</v>
      </c>
    </row>
    <row r="5">
      <c r="B5" t="s" s="1">
        <v>7</v>
      </c>
      <c r="C5" t="s">
        <v>1531</v>
      </c>
    </row>
    <row r="6">
      <c r="B6" t="s" s="1">
        <v>8</v>
      </c>
      <c r="C6" t="s">
        <v>9</v>
      </c>
    </row>
    <row r="7">
      <c r="B7" t="s" s="1">
        <v>10</v>
      </c>
      <c r="C7" t="s">
        <v>9</v>
      </c>
    </row>
    <row r="8">
      <c r="B8" t="s" s="1">
        <v>11</v>
      </c>
      <c r="C8" t="s">
        <v>12</v>
      </c>
    </row>
    <row r="10">
      <c r="C10" t="s" s="4">
        <v>1532</v>
      </c>
      <c r="D10" s="29"/>
      <c r="E10" s="29"/>
      <c r="F10" s="29"/>
      <c r="G10" s="29"/>
      <c r="H10" s="29"/>
      <c r="I10" s="29"/>
      <c r="J10" s="29"/>
      <c r="K10" s="29"/>
      <c r="L10" s="29"/>
      <c r="M10" s="29"/>
      <c r="N10" s="29"/>
      <c r="O10" s="29"/>
      <c r="P10" s="29"/>
      <c r="Q10" s="29"/>
      <c r="R10" s="29"/>
      <c r="S10" s="29"/>
      <c r="T10" s="30"/>
    </row>
    <row r="11">
      <c r="C11" t="s" s="32">
        <v>1533</v>
      </c>
      <c r="D11" s="62"/>
      <c r="E11" t="s" s="68">
        <v>1536</v>
      </c>
      <c r="F11" s="69"/>
      <c r="G11" s="70"/>
      <c r="H11" t="s" s="72">
        <v>1539</v>
      </c>
      <c r="I11" s="73"/>
      <c r="J11" s="73"/>
      <c r="K11" s="73"/>
      <c r="L11" s="73"/>
      <c r="M11" s="73"/>
      <c r="N11" s="73"/>
      <c r="O11" s="73"/>
      <c r="P11" s="73"/>
      <c r="Q11" s="74"/>
      <c r="R11" t="s" s="33">
        <v>1549</v>
      </c>
      <c r="S11" t="s" s="5">
        <v>1550</v>
      </c>
      <c r="T11" s="33" t="s">
        <v>1551</v>
      </c>
    </row>
    <row r="12" ht="28.0" customHeight="true">
      <c r="C12" t="s" s="6">
        <v>1534</v>
      </c>
      <c r="D12" s="34" t="s">
        <v>1535</v>
      </c>
      <c r="E12" t="s" s="34">
        <v>1537</v>
      </c>
      <c r="F12" s="76"/>
      <c r="G12" s="6" t="s">
        <v>1538</v>
      </c>
      <c r="H12" t="s" s="6">
        <v>1540</v>
      </c>
      <c r="I12" s="76"/>
      <c r="J12" t="s" s="34">
        <v>1541</v>
      </c>
      <c r="K12" t="s" s="6">
        <v>1542</v>
      </c>
      <c r="L12" t="s" s="34">
        <v>1543</v>
      </c>
      <c r="M12" t="s" s="6">
        <v>1544</v>
      </c>
      <c r="N12" t="s" s="34">
        <v>1545</v>
      </c>
      <c r="O12" t="s" s="6">
        <v>1546</v>
      </c>
      <c r="P12" t="s" s="34">
        <v>1547</v>
      </c>
      <c r="Q12" s="6" t="s">
        <v>1548</v>
      </c>
      <c r="R12" s="63"/>
      <c r="S12" s="35"/>
      <c r="T12" s="67"/>
    </row>
    <row r="13">
      <c r="B13" s="18" t="s">
        <v>1552</v>
      </c>
      <c r="C13" s="22"/>
      <c r="D13" s="22"/>
      <c r="E13" s="22"/>
      <c r="F13" s="22"/>
      <c r="G13" s="22"/>
      <c r="H13" s="22"/>
      <c r="I13" s="22"/>
      <c r="J13" s="22"/>
      <c r="K13" s="22"/>
      <c r="L13" s="22"/>
      <c r="M13" s="22"/>
      <c r="N13" s="22"/>
      <c r="O13" s="22"/>
      <c r="P13" s="22"/>
      <c r="Q13" s="22"/>
      <c r="R13" s="22"/>
      <c r="S13" s="22"/>
      <c r="T13" s="22"/>
    </row>
    <row r="14">
      <c r="B14" s="19" t="s">
        <v>1553</v>
      </c>
      <c r="C14" s="58"/>
      <c r="D14" s="58"/>
      <c r="E14" s="52" t="n"/>
      <c r="F14" s="52" t="n"/>
      <c r="G14" s="52" t="n"/>
      <c r="H14" s="52" t="n"/>
      <c r="I14" s="52" t="n"/>
      <c r="J14" s="52" t="n"/>
      <c r="K14" s="52" t="n"/>
      <c r="L14" s="52" t="n"/>
      <c r="M14" s="52" t="n"/>
      <c r="N14" s="52" t="n"/>
      <c r="O14" s="52" t="n"/>
      <c r="P14" s="52" t="n"/>
      <c r="Q14" s="52" t="n"/>
      <c r="R14" s="58"/>
      <c r="S14" s="58"/>
      <c r="T14" s="58"/>
    </row>
  </sheetData>
  <mergeCells>
    <mergeCell ref="C10:T10"/>
    <mergeCell ref="C11:D11"/>
    <mergeCell ref="E11:G11"/>
    <mergeCell ref="H11:Q11"/>
    <mergeCell ref="R11:R12"/>
    <mergeCell ref="S11:S12"/>
    <mergeCell ref="T11:T12"/>
  </mergeCells>
  <hyperlinks>
    <hyperlink location="'Indice'!A1" ref="B2"/>
  </hyperlinks>
  <pageMargins bottom="0.75" footer="0.3" header="0.3" left="0.7" right="0.7" top="0.75"/>
</worksheet>
</file>

<file path=xl/worksheets/sheet56.xml><?xml version="1.0" encoding="utf-8"?>
<worksheet xmlns="http://schemas.openxmlformats.org/spreadsheetml/2006/main">
  <dimension ref="B2:E12"/>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1554</v>
      </c>
    </row>
    <row r="6">
      <c r="B6" t="s" s="1">
        <v>8</v>
      </c>
      <c r="C6" t="s">
        <v>9</v>
      </c>
    </row>
    <row r="7">
      <c r="B7" t="s" s="1">
        <v>10</v>
      </c>
      <c r="C7" t="s">
        <v>9</v>
      </c>
    </row>
    <row r="8">
      <c r="B8" t="s" s="1">
        <v>11</v>
      </c>
      <c r="C8" t="s">
        <v>9</v>
      </c>
    </row>
    <row r="10">
      <c r="D10" t="s" s="6">
        <v>12</v>
      </c>
    </row>
    <row r="11" ht="28.0" customHeight="true">
      <c r="B11" s="7" t="s">
        <v>1555</v>
      </c>
      <c r="C11" s="9"/>
      <c r="D11" s="22"/>
    </row>
    <row r="12">
      <c r="B12" s="11"/>
      <c r="C12" s="19" t="s">
        <v>1556</v>
      </c>
      <c r="D12" s="28"/>
    </row>
  </sheetData>
  <mergeCells>
    <mergeCell ref="B11:C11"/>
  </mergeCells>
  <hyperlinks>
    <hyperlink location="'Indice'!A1" ref="B2"/>
  </hyperlinks>
  <pageMargins bottom="0.75" footer="0.3" header="0.3" left="0.7" right="0.7" top="0.75"/>
</worksheet>
</file>

<file path=xl/worksheets/sheet57.xml><?xml version="1.0" encoding="utf-8"?>
<worksheet xmlns="http://schemas.openxmlformats.org/spreadsheetml/2006/main">
  <dimension ref="B2:Q30"/>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s>
  <sheetData>
    <row r="2">
      <c r="B2" t="s" s="2">
        <v>1</v>
      </c>
    </row>
    <row r="3">
      <c r="B3" t="s" s="1">
        <v>3</v>
      </c>
      <c r="C3" t="s">
        <v>4</v>
      </c>
    </row>
    <row r="4">
      <c r="B4" s="1" t="s">
        <v>5</v>
      </c>
      <c r="C4" t="s">
        <v>6</v>
      </c>
    </row>
    <row r="5">
      <c r="B5" t="s" s="1">
        <v>7</v>
      </c>
      <c r="C5" t="s">
        <v>1557</v>
      </c>
    </row>
    <row r="6">
      <c r="B6" t="s" s="1">
        <v>8</v>
      </c>
      <c r="C6" t="s">
        <v>9</v>
      </c>
    </row>
    <row r="7">
      <c r="B7" t="s" s="1">
        <v>10</v>
      </c>
      <c r="C7" t="s">
        <v>9</v>
      </c>
    </row>
    <row r="8">
      <c r="B8" t="s" s="1">
        <v>11</v>
      </c>
      <c r="C8" t="s">
        <v>12</v>
      </c>
    </row>
    <row r="10">
      <c r="D10" t="s" s="4">
        <v>1558</v>
      </c>
      <c r="E10" s="29"/>
      <c r="F10" s="29"/>
      <c r="G10" s="29"/>
      <c r="H10" s="29"/>
      <c r="I10" s="29"/>
      <c r="J10" s="29"/>
      <c r="K10" s="29"/>
      <c r="L10" s="29"/>
      <c r="M10" s="29"/>
      <c r="N10" s="29"/>
      <c r="O10" s="29"/>
      <c r="P10" s="30"/>
    </row>
    <row r="11">
      <c r="D11" t="s" s="72">
        <v>1536</v>
      </c>
      <c r="E11" s="73"/>
      <c r="F11" s="74"/>
      <c r="G11" t="s" s="68">
        <v>1559</v>
      </c>
      <c r="H11" s="69"/>
      <c r="I11" s="69"/>
      <c r="J11" s="69"/>
      <c r="K11" s="69"/>
      <c r="L11" s="69"/>
      <c r="M11" s="69"/>
      <c r="N11" s="69"/>
      <c r="O11" s="70"/>
      <c r="P11" s="33" t="s">
        <v>1562</v>
      </c>
    </row>
    <row r="12">
      <c r="D12" t="s" s="5">
        <v>1537</v>
      </c>
      <c r="F12" s="33" t="s">
        <v>1538</v>
      </c>
      <c r="G12" t="s" s="33">
        <v>1560</v>
      </c>
      <c r="I12" t="s" s="68">
        <v>1561</v>
      </c>
      <c r="J12" s="69"/>
      <c r="K12" s="69"/>
      <c r="L12" s="69"/>
      <c r="M12" s="69"/>
      <c r="N12" s="69"/>
      <c r="O12" s="70"/>
      <c r="P12" s="77"/>
    </row>
    <row r="13" ht="28.0" customHeight="true">
      <c r="D13" s="35"/>
      <c r="E13" s="76"/>
      <c r="F13" s="63"/>
      <c r="G13" s="63"/>
      <c r="H13" s="76"/>
      <c r="I13" t="s" s="34">
        <v>1541</v>
      </c>
      <c r="J13" s="76"/>
      <c r="K13" t="s" s="6">
        <v>1542</v>
      </c>
      <c r="L13" t="s" s="34">
        <v>1543</v>
      </c>
      <c r="M13" t="s" s="6">
        <v>1546</v>
      </c>
      <c r="N13" t="s" s="34">
        <v>1547</v>
      </c>
      <c r="O13" s="6" t="s">
        <v>1548</v>
      </c>
      <c r="P13" s="67"/>
    </row>
    <row r="14">
      <c r="B14" s="7" t="s">
        <v>1563</v>
      </c>
      <c r="C14" s="9"/>
      <c r="D14" s="23"/>
      <c r="E14" s="23"/>
      <c r="F14" s="23"/>
      <c r="G14" s="23"/>
      <c r="H14" s="23"/>
      <c r="I14" s="23"/>
      <c r="J14" s="23"/>
      <c r="K14" s="23"/>
      <c r="L14" s="23"/>
      <c r="M14" s="23"/>
      <c r="N14" s="23"/>
      <c r="O14" s="23"/>
      <c r="P14" s="23"/>
    </row>
    <row r="15">
      <c r="B15" s="10"/>
      <c r="C15" s="19" t="s">
        <v>1564</v>
      </c>
      <c r="D15" s="50" t="n"/>
      <c r="E15" s="50" t="n"/>
      <c r="F15" s="50" t="n"/>
      <c r="G15" s="50" t="n"/>
      <c r="H15" s="50" t="n"/>
      <c r="I15" s="50" t="n"/>
      <c r="J15" s="50" t="n"/>
      <c r="K15" s="50" t="n"/>
      <c r="L15" s="50" t="n"/>
      <c r="M15" s="50" t="n"/>
      <c r="N15" s="50" t="n"/>
      <c r="O15" s="50" t="n"/>
      <c r="P15" s="21"/>
    </row>
    <row r="16">
      <c r="B16" s="10"/>
      <c r="C16" s="18" t="s">
        <v>1565</v>
      </c>
      <c r="D16" s="51" t="n"/>
      <c r="E16" s="51" t="n"/>
      <c r="F16" s="51" t="n"/>
      <c r="G16" s="51" t="n"/>
      <c r="H16" s="51" t="n"/>
      <c r="I16" s="51" t="n"/>
      <c r="J16" s="51" t="n"/>
      <c r="K16" s="51" t="n"/>
      <c r="L16" s="51" t="n"/>
      <c r="M16" s="51" t="n"/>
      <c r="N16" s="51" t="n"/>
      <c r="O16" s="51" t="n"/>
      <c r="P16" s="20"/>
    </row>
    <row r="17">
      <c r="B17" s="10"/>
      <c r="C17" s="19" t="s">
        <v>1566</v>
      </c>
      <c r="D17" s="50" t="n"/>
      <c r="E17" s="50" t="n"/>
      <c r="F17" s="50" t="n"/>
      <c r="G17" s="50" t="n"/>
      <c r="H17" s="50" t="n"/>
      <c r="I17" s="50" t="n"/>
      <c r="J17" s="50" t="n"/>
      <c r="K17" s="50" t="n"/>
      <c r="L17" s="50" t="n"/>
      <c r="M17" s="50" t="n"/>
      <c r="N17" s="50" t="n"/>
      <c r="O17" s="50" t="n"/>
      <c r="P17" s="21"/>
    </row>
    <row r="18">
      <c r="B18" s="10"/>
      <c r="C18" s="18" t="s">
        <v>1567</v>
      </c>
      <c r="D18" s="51" t="n"/>
      <c r="E18" s="51" t="n"/>
      <c r="F18" s="51" t="n"/>
      <c r="G18" s="51" t="n"/>
      <c r="H18" s="51" t="n"/>
      <c r="I18" s="51" t="n"/>
      <c r="J18" s="51" t="n"/>
      <c r="K18" s="51" t="n"/>
      <c r="L18" s="51" t="n"/>
      <c r="M18" s="51" t="n"/>
      <c r="N18" s="51" t="n"/>
      <c r="O18" s="51" t="n"/>
      <c r="P18" s="20"/>
    </row>
    <row r="19">
      <c r="B19" s="10"/>
      <c r="C19" s="19" t="s">
        <v>1568</v>
      </c>
      <c r="D19" s="50" t="n"/>
      <c r="E19" s="50" t="n"/>
      <c r="F19" s="50" t="n"/>
      <c r="G19" s="50" t="n"/>
      <c r="H19" s="50" t="n"/>
      <c r="I19" s="50" t="n"/>
      <c r="J19" s="50" t="n"/>
      <c r="K19" s="50" t="n"/>
      <c r="L19" s="50" t="n"/>
      <c r="M19" s="50" t="n"/>
      <c r="N19" s="50" t="n"/>
      <c r="O19" s="50" t="n"/>
      <c r="P19" s="21"/>
    </row>
    <row r="20">
      <c r="B20" s="10"/>
      <c r="C20" s="18" t="s">
        <v>1569</v>
      </c>
      <c r="D20" s="51" t="n"/>
      <c r="E20" s="51" t="n"/>
      <c r="F20" s="51" t="n"/>
      <c r="G20" s="51" t="n"/>
      <c r="H20" s="51" t="n"/>
      <c r="I20" s="51" t="n"/>
      <c r="J20" s="51" t="n"/>
      <c r="K20" s="51" t="n"/>
      <c r="L20" s="51" t="n"/>
      <c r="M20" s="51" t="n"/>
      <c r="N20" s="51" t="n"/>
      <c r="O20" s="51" t="n"/>
      <c r="P20" s="20"/>
    </row>
    <row r="21">
      <c r="B21" s="10"/>
      <c r="C21" s="19" t="s">
        <v>1570</v>
      </c>
      <c r="D21" s="50" t="n"/>
      <c r="E21" s="50" t="n"/>
      <c r="F21" s="50" t="n"/>
      <c r="G21" s="50" t="n"/>
      <c r="H21" s="50" t="n"/>
      <c r="I21" s="50" t="n"/>
      <c r="J21" s="50" t="n"/>
      <c r="K21" s="50" t="n"/>
      <c r="L21" s="50" t="n"/>
      <c r="M21" s="50" t="n"/>
      <c r="N21" s="50" t="n"/>
      <c r="O21" s="50" t="n"/>
      <c r="P21" s="21"/>
    </row>
    <row r="22">
      <c r="B22" s="10"/>
      <c r="C22" s="18" t="s">
        <v>1571</v>
      </c>
      <c r="D22" s="51" t="n"/>
      <c r="E22" s="51" t="n"/>
      <c r="F22" s="51" t="n"/>
      <c r="G22" s="51" t="n"/>
      <c r="H22" s="51" t="n"/>
      <c r="I22" s="51" t="n"/>
      <c r="J22" s="51" t="n"/>
      <c r="K22" s="51" t="n"/>
      <c r="L22" s="51" t="n"/>
      <c r="M22" s="51" t="n"/>
      <c r="N22" s="51" t="n"/>
      <c r="O22" s="51" t="n"/>
      <c r="P22" s="20"/>
    </row>
    <row r="23">
      <c r="B23" s="10"/>
      <c r="C23" s="19" t="s">
        <v>1572</v>
      </c>
      <c r="D23" s="50" t="n"/>
      <c r="E23" s="50" t="n"/>
      <c r="F23" s="50" t="n"/>
      <c r="G23" s="50" t="n"/>
      <c r="H23" s="50" t="n"/>
      <c r="I23" s="50" t="n"/>
      <c r="J23" s="50" t="n"/>
      <c r="K23" s="50" t="n"/>
      <c r="L23" s="50" t="n"/>
      <c r="M23" s="50" t="n"/>
      <c r="N23" s="50" t="n"/>
      <c r="O23" s="50" t="n"/>
      <c r="P23" s="21"/>
    </row>
    <row r="24">
      <c r="B24" s="10"/>
      <c r="C24" s="18" t="s">
        <v>1573</v>
      </c>
      <c r="D24" s="51" t="n"/>
      <c r="E24" s="51" t="n"/>
      <c r="F24" s="51" t="n"/>
      <c r="G24" s="51" t="n"/>
      <c r="H24" s="51" t="n"/>
      <c r="I24" s="51" t="n"/>
      <c r="J24" s="51" t="n"/>
      <c r="K24" s="51" t="n"/>
      <c r="L24" s="51" t="n"/>
      <c r="M24" s="51" t="n"/>
      <c r="N24" s="51" t="n"/>
      <c r="O24" s="51" t="n"/>
      <c r="P24" s="20"/>
    </row>
    <row r="25">
      <c r="B25" s="10"/>
      <c r="C25" s="19" t="s">
        <v>1574</v>
      </c>
      <c r="D25" s="50" t="n"/>
      <c r="E25" s="50" t="n"/>
      <c r="F25" s="50" t="n"/>
      <c r="G25" s="50" t="n"/>
      <c r="H25" s="50" t="n"/>
      <c r="I25" s="50" t="n"/>
      <c r="J25" s="50" t="n"/>
      <c r="K25" s="50" t="n"/>
      <c r="L25" s="50" t="n"/>
      <c r="M25" s="50" t="n"/>
      <c r="N25" s="50" t="n"/>
      <c r="O25" s="50" t="n"/>
      <c r="P25" s="21"/>
    </row>
    <row r="26">
      <c r="B26" s="10"/>
      <c r="C26" s="18" t="s">
        <v>1575</v>
      </c>
      <c r="D26" s="51" t="n"/>
      <c r="E26" s="51" t="n"/>
      <c r="F26" s="51" t="n"/>
      <c r="G26" s="51" t="n"/>
      <c r="H26" s="51" t="n"/>
      <c r="I26" s="51" t="n"/>
      <c r="J26" s="51" t="n"/>
      <c r="K26" s="51" t="n"/>
      <c r="L26" s="51" t="n"/>
      <c r="M26" s="51" t="n"/>
      <c r="N26" s="51" t="n"/>
      <c r="O26" s="51" t="n"/>
      <c r="P26" s="20"/>
    </row>
    <row r="27">
      <c r="B27" s="10"/>
      <c r="C27" s="19" t="s">
        <v>1576</v>
      </c>
      <c r="D27" s="50" t="n"/>
      <c r="E27" s="50" t="n"/>
      <c r="F27" s="50" t="n"/>
      <c r="G27" s="50" t="n"/>
      <c r="H27" s="50" t="n"/>
      <c r="I27" s="50" t="n"/>
      <c r="J27" s="50" t="n"/>
      <c r="K27" s="50" t="n"/>
      <c r="L27" s="50" t="n"/>
      <c r="M27" s="50" t="n"/>
      <c r="N27" s="50" t="n"/>
      <c r="O27" s="50" t="n"/>
      <c r="P27" s="21"/>
    </row>
    <row r="28">
      <c r="B28" s="10"/>
      <c r="C28" s="18" t="s">
        <v>1577</v>
      </c>
      <c r="D28" s="51" t="n"/>
      <c r="E28" s="51" t="n"/>
      <c r="F28" s="51" t="n"/>
      <c r="G28" s="51" t="n"/>
      <c r="H28" s="51" t="n"/>
      <c r="I28" s="51" t="n"/>
      <c r="J28" s="51" t="n"/>
      <c r="K28" s="51" t="n"/>
      <c r="L28" s="51" t="n"/>
      <c r="M28" s="51" t="n"/>
      <c r="N28" s="51" t="n"/>
      <c r="O28" s="51" t="n"/>
      <c r="P28" s="20"/>
    </row>
    <row r="29">
      <c r="B29" s="10"/>
      <c r="C29" s="19" t="s">
        <v>1578</v>
      </c>
      <c r="D29" s="50" t="n"/>
      <c r="E29" s="50" t="n"/>
      <c r="F29" s="50" t="n"/>
      <c r="G29" s="50" t="n"/>
      <c r="H29" s="50" t="n"/>
      <c r="I29" s="50" t="n"/>
      <c r="J29" s="50" t="n"/>
      <c r="K29" s="50" t="n"/>
      <c r="L29" s="50" t="n"/>
      <c r="M29" s="50" t="n"/>
      <c r="N29" s="50" t="n"/>
      <c r="O29" s="50" t="n"/>
      <c r="P29" s="21"/>
    </row>
    <row r="30">
      <c r="B30" s="11"/>
      <c r="C30" s="18" t="s">
        <v>1579</v>
      </c>
      <c r="D30" s="52" t="n"/>
      <c r="E30" s="52" t="n"/>
      <c r="F30" s="52" t="n"/>
      <c r="G30" s="52" t="n"/>
      <c r="H30" s="52" t="n"/>
      <c r="I30" s="52" t="n"/>
      <c r="J30" s="52" t="n"/>
      <c r="K30" s="52" t="n"/>
      <c r="L30" s="52" t="n"/>
      <c r="M30" s="52" t="n"/>
      <c r="N30" s="52" t="n"/>
      <c r="O30" s="52" t="n"/>
      <c r="P30" s="58"/>
    </row>
  </sheetData>
  <mergeCells>
    <mergeCell ref="D10:P10"/>
    <mergeCell ref="D11:F11"/>
    <mergeCell ref="D12:D13"/>
    <mergeCell ref="F12:F13"/>
    <mergeCell ref="G11:O11"/>
    <mergeCell ref="G12:G13"/>
    <mergeCell ref="I12:O12"/>
    <mergeCell ref="P11:P13"/>
    <mergeCell ref="B14:C14"/>
  </mergeCells>
  <hyperlinks>
    <hyperlink location="'Indice'!A1" ref="B2"/>
  </hyperlinks>
  <pageMargins bottom="0.75" footer="0.3" header="0.3" left="0.7" right="0.7" top="0.75"/>
</worksheet>
</file>

<file path=xl/worksheets/sheet58.xml><?xml version="1.0" encoding="utf-8"?>
<worksheet xmlns="http://schemas.openxmlformats.org/spreadsheetml/2006/main">
  <dimension ref="B2:H15"/>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1580</v>
      </c>
    </row>
    <row r="6">
      <c r="B6" t="s" s="1">
        <v>8</v>
      </c>
      <c r="C6" t="s">
        <v>9</v>
      </c>
    </row>
    <row r="7">
      <c r="B7" t="s" s="1">
        <v>10</v>
      </c>
      <c r="C7" t="s">
        <v>9</v>
      </c>
    </row>
    <row r="8">
      <c r="B8" t="s" s="1">
        <v>11</v>
      </c>
      <c r="C8" t="s">
        <v>12</v>
      </c>
    </row>
    <row r="10">
      <c r="D10" t="s" s="4">
        <v>1581</v>
      </c>
      <c r="E10" s="29"/>
      <c r="F10" s="29"/>
      <c r="G10" s="30"/>
    </row>
    <row r="11">
      <c r="D11" t="s" s="34">
        <v>1582</v>
      </c>
      <c r="E11" t="s" s="6">
        <v>1583</v>
      </c>
      <c r="F11" t="s" s="34">
        <v>1584</v>
      </c>
      <c r="G11" s="6" t="s">
        <v>1585</v>
      </c>
    </row>
    <row r="12" ht="28.0" customHeight="true">
      <c r="B12" s="7" t="s">
        <v>1586</v>
      </c>
      <c r="C12" s="9"/>
      <c r="D12" s="23"/>
      <c r="E12" s="23"/>
      <c r="F12" s="23"/>
      <c r="G12" s="23"/>
    </row>
    <row r="13">
      <c r="B13" s="10"/>
      <c r="C13" s="19" t="s">
        <v>1587</v>
      </c>
      <c r="D13" s="50" t="n"/>
      <c r="E13" s="50" t="n"/>
      <c r="F13" s="50" t="n"/>
      <c r="G13" s="50" t="n"/>
    </row>
    <row r="14">
      <c r="B14" s="10"/>
      <c r="C14" s="18" t="s">
        <v>1588</v>
      </c>
      <c r="D14" s="51" t="n"/>
      <c r="E14" s="51" t="n"/>
      <c r="F14" s="51" t="n"/>
      <c r="G14" s="51" t="n"/>
    </row>
    <row r="15">
      <c r="B15" s="11"/>
      <c r="C15" s="19" t="s">
        <v>1589</v>
      </c>
      <c r="D15" s="53" t="n"/>
      <c r="E15" s="53" t="n"/>
      <c r="F15" s="53" t="n"/>
      <c r="G15" s="53" t="n"/>
    </row>
  </sheetData>
  <mergeCells>
    <mergeCell ref="D10:G10"/>
    <mergeCell ref="B12:C12"/>
  </mergeCells>
  <hyperlinks>
    <hyperlink location="'Indice'!A1" ref="B2"/>
  </hyperlinks>
  <pageMargins bottom="0.75" footer="0.3" header="0.3" left="0.7" right="0.7" top="0.75"/>
</worksheet>
</file>

<file path=xl/worksheets/sheet59.xml><?xml version="1.0" encoding="utf-8"?>
<worksheet xmlns="http://schemas.openxmlformats.org/spreadsheetml/2006/main">
  <dimension ref="B2:F31"/>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1590</v>
      </c>
    </row>
    <row r="6">
      <c r="B6" t="s" s="1">
        <v>8</v>
      </c>
      <c r="C6" t="s">
        <v>9</v>
      </c>
    </row>
    <row r="7">
      <c r="B7" t="s" s="1">
        <v>10</v>
      </c>
      <c r="C7" t="s">
        <v>9</v>
      </c>
    </row>
    <row r="8">
      <c r="B8" t="s" s="1">
        <v>11</v>
      </c>
      <c r="C8" t="s">
        <v>9</v>
      </c>
    </row>
    <row r="10">
      <c r="E10" t="s" s="6">
        <v>12</v>
      </c>
    </row>
    <row r="11">
      <c r="B11" s="7" t="s">
        <v>1591</v>
      </c>
      <c r="C11" s="8"/>
      <c r="D11" s="9"/>
      <c r="E11" s="22"/>
    </row>
    <row r="12">
      <c r="B12" s="10"/>
      <c r="C12" s="12" t="s">
        <v>1592</v>
      </c>
      <c r="D12" s="13"/>
      <c r="E12" s="23"/>
    </row>
    <row r="13">
      <c r="B13" s="10"/>
      <c r="C13" s="14"/>
      <c r="D13" s="18" t="s">
        <v>1593</v>
      </c>
      <c r="E13" s="21"/>
    </row>
    <row r="14">
      <c r="B14" s="10"/>
      <c r="C14" s="14"/>
      <c r="D14" s="19" t="s">
        <v>17</v>
      </c>
      <c r="E14" s="20"/>
    </row>
    <row r="15">
      <c r="B15" s="10"/>
      <c r="C15" s="14"/>
      <c r="D15" s="18" t="s">
        <v>1594</v>
      </c>
      <c r="E15" s="21"/>
    </row>
    <row r="16">
      <c r="B16" s="10"/>
      <c r="C16" s="14"/>
      <c r="D16" s="19" t="s">
        <v>1595</v>
      </c>
      <c r="E16" s="20"/>
    </row>
    <row r="17">
      <c r="B17" s="10"/>
      <c r="C17" s="14"/>
      <c r="D17" s="18" t="s">
        <v>1596</v>
      </c>
      <c r="E17" s="21"/>
    </row>
    <row r="18">
      <c r="B18" s="10"/>
      <c r="C18" s="15"/>
      <c r="D18" s="19" t="s">
        <v>1597</v>
      </c>
      <c r="E18" s="20"/>
    </row>
    <row r="19">
      <c r="B19" s="10"/>
      <c r="C19" s="7" t="s">
        <v>1598</v>
      </c>
      <c r="D19" s="9"/>
      <c r="E19" s="22"/>
    </row>
    <row r="20">
      <c r="B20" s="10"/>
      <c r="C20" s="10"/>
      <c r="D20" s="19" t="s">
        <v>1599</v>
      </c>
      <c r="E20" s="20"/>
    </row>
    <row r="21">
      <c r="B21" s="10"/>
      <c r="C21" s="10"/>
      <c r="D21" s="18" t="s">
        <v>1600</v>
      </c>
      <c r="E21" s="21"/>
    </row>
    <row r="22">
      <c r="B22" s="10"/>
      <c r="C22" s="10"/>
      <c r="D22" s="19" t="s">
        <v>1601</v>
      </c>
      <c r="E22" s="20"/>
    </row>
    <row r="23">
      <c r="B23" s="10"/>
      <c r="C23" s="10"/>
      <c r="D23" s="18" t="s">
        <v>1602</v>
      </c>
      <c r="E23" s="21"/>
    </row>
    <row r="24">
      <c r="B24" s="10"/>
      <c r="C24" s="10"/>
      <c r="D24" s="19" t="s">
        <v>1603</v>
      </c>
      <c r="E24" s="20"/>
    </row>
    <row r="25">
      <c r="B25" s="10"/>
      <c r="C25" s="11"/>
      <c r="D25" s="18" t="s">
        <v>1604</v>
      </c>
      <c r="E25" s="21"/>
    </row>
    <row r="26">
      <c r="B26" s="10"/>
      <c r="C26" s="12" t="s">
        <v>1605</v>
      </c>
      <c r="D26" s="13"/>
      <c r="E26" s="23"/>
    </row>
    <row r="27">
      <c r="B27" s="10"/>
      <c r="C27" s="14"/>
      <c r="D27" s="18" t="s">
        <v>1606</v>
      </c>
      <c r="E27" s="50" t="n"/>
    </row>
    <row r="28">
      <c r="B28" s="10"/>
      <c r="C28" s="14"/>
      <c r="D28" s="19" t="s">
        <v>1607</v>
      </c>
      <c r="E28" s="20"/>
    </row>
    <row r="29">
      <c r="B29" s="10"/>
      <c r="C29" s="14"/>
      <c r="D29" s="18" t="s">
        <v>1608</v>
      </c>
      <c r="E29" s="21"/>
    </row>
    <row r="30">
      <c r="B30" s="10"/>
      <c r="C30" s="14"/>
      <c r="D30" s="19" t="s">
        <v>1609</v>
      </c>
      <c r="E30" s="51" t="n"/>
    </row>
    <row r="31">
      <c r="B31" s="11"/>
      <c r="C31" s="15"/>
      <c r="D31" s="18" t="s">
        <v>1610</v>
      </c>
      <c r="E31" s="53" t="n"/>
    </row>
  </sheetData>
  <mergeCells>
    <mergeCell ref="B11:D11"/>
    <mergeCell ref="C12:D12"/>
    <mergeCell ref="C19:D19"/>
    <mergeCell ref="C26:D26"/>
  </mergeCells>
  <hyperlinks>
    <hyperlink location="'Indice'!A1" ref="B2"/>
  </hyperlinks>
  <pageMargins bottom="0.75" footer="0.3" header="0.3" left="0.7" right="0.7" top="0.75"/>
</worksheet>
</file>

<file path=xl/worksheets/sheet60.xml><?xml version="1.0" encoding="utf-8"?>
<worksheet xmlns="http://schemas.openxmlformats.org/spreadsheetml/2006/main">
  <dimension ref="B2:N62"/>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s>
  <sheetData>
    <row r="2">
      <c r="B2" t="s" s="2">
        <v>1</v>
      </c>
    </row>
    <row r="3">
      <c r="B3" t="s" s="1">
        <v>3</v>
      </c>
      <c r="C3" t="s">
        <v>4</v>
      </c>
    </row>
    <row r="4">
      <c r="B4" s="1" t="s">
        <v>5</v>
      </c>
      <c r="C4" t="s">
        <v>6</v>
      </c>
    </row>
    <row r="5">
      <c r="B5" t="s" s="1">
        <v>7</v>
      </c>
      <c r="C5" t="s">
        <v>1611</v>
      </c>
    </row>
    <row r="6">
      <c r="B6" t="s" s="1">
        <v>8</v>
      </c>
      <c r="C6" t="s">
        <v>9</v>
      </c>
    </row>
    <row r="7">
      <c r="B7" t="s" s="1">
        <v>10</v>
      </c>
      <c r="C7" t="s">
        <v>9</v>
      </c>
    </row>
    <row r="8">
      <c r="B8" t="s" s="1">
        <v>11</v>
      </c>
      <c r="C8" t="s">
        <v>12</v>
      </c>
    </row>
    <row r="10" ht="28.0" customHeight="true">
      <c r="G10" t="s" s="4">
        <v>1612</v>
      </c>
      <c r="H10" s="29"/>
      <c r="I10" s="29"/>
      <c r="J10" s="29"/>
      <c r="K10" s="29"/>
      <c r="L10" s="29"/>
      <c r="M10" s="30"/>
    </row>
    <row r="11">
      <c r="G11" t="s" s="32">
        <v>1613</v>
      </c>
      <c r="H11" s="61"/>
      <c r="I11" s="61"/>
      <c r="J11" s="61"/>
      <c r="K11" s="61"/>
      <c r="L11" s="61"/>
      <c r="M11" s="62"/>
    </row>
    <row r="12">
      <c r="G12" t="s" s="6">
        <v>36</v>
      </c>
      <c r="H12" t="s" s="34">
        <v>37</v>
      </c>
      <c r="I12" t="s" s="6">
        <v>38</v>
      </c>
      <c r="J12" t="s" s="34">
        <v>39</v>
      </c>
      <c r="K12" t="s" s="6">
        <v>40</v>
      </c>
      <c r="L12" t="s" s="34">
        <v>41</v>
      </c>
      <c r="M12" s="6" t="s">
        <v>43</v>
      </c>
    </row>
    <row r="13">
      <c r="B13" s="7" t="s">
        <v>1614</v>
      </c>
      <c r="C13" s="8"/>
      <c r="D13" s="8"/>
      <c r="E13" s="8"/>
      <c r="F13" s="9"/>
      <c r="G13" s="22"/>
      <c r="H13" s="22"/>
      <c r="I13" s="22"/>
      <c r="J13" s="22"/>
      <c r="K13" s="22"/>
      <c r="L13" s="22"/>
      <c r="M13" s="22"/>
    </row>
    <row r="14">
      <c r="B14" s="10"/>
      <c r="C14" s="12" t="s">
        <v>1615</v>
      </c>
      <c r="D14" s="37"/>
      <c r="E14" s="37"/>
      <c r="F14" s="13"/>
      <c r="G14" s="23"/>
      <c r="H14" s="23"/>
      <c r="I14" s="23"/>
      <c r="J14" s="23"/>
      <c r="K14" s="23"/>
      <c r="L14" s="23"/>
      <c r="M14" s="23"/>
    </row>
    <row r="15" ht="28.0" customHeight="true">
      <c r="B15" s="10"/>
      <c r="C15" s="14"/>
      <c r="D15" s="7" t="s">
        <v>1616</v>
      </c>
      <c r="E15" s="8"/>
      <c r="F15" s="9"/>
      <c r="G15" s="22"/>
      <c r="H15" s="22"/>
      <c r="I15" s="22"/>
      <c r="J15" s="22"/>
      <c r="K15" s="22"/>
      <c r="L15" s="22"/>
      <c r="M15" s="22"/>
    </row>
    <row r="16" ht="28.0" customHeight="true">
      <c r="B16" s="10"/>
      <c r="C16" s="14"/>
      <c r="D16" s="10"/>
      <c r="E16" s="15" t="s">
        <v>1617</v>
      </c>
      <c r="F16" s="13"/>
      <c r="G16" s="51" t="n"/>
      <c r="H16" s="51" t="n"/>
      <c r="I16" s="51" t="n"/>
      <c r="J16" s="51" t="n"/>
      <c r="K16" s="51" t="n"/>
      <c r="L16" s="51" t="n"/>
      <c r="M16" s="51" t="n"/>
    </row>
    <row r="17" ht="28.0" customHeight="true">
      <c r="B17" s="10"/>
      <c r="C17" s="14"/>
      <c r="D17" s="10"/>
      <c r="E17" s="11" t="s">
        <v>1618</v>
      </c>
      <c r="F17" s="9"/>
      <c r="G17" s="50" t="n"/>
      <c r="H17" s="50" t="n"/>
      <c r="I17" s="50" t="n"/>
      <c r="J17" s="50" t="n"/>
      <c r="K17" s="50" t="n"/>
      <c r="L17" s="50" t="n"/>
      <c r="M17" s="50" t="n"/>
    </row>
    <row r="18" ht="28.0" customHeight="true">
      <c r="B18" s="10"/>
      <c r="C18" s="14"/>
      <c r="D18" s="10"/>
      <c r="E18" s="15" t="s">
        <v>1619</v>
      </c>
      <c r="F18" s="13"/>
      <c r="G18" s="51" t="n"/>
      <c r="H18" s="51" t="n"/>
      <c r="I18" s="51" t="n"/>
      <c r="J18" s="51" t="n"/>
      <c r="K18" s="51" t="n"/>
      <c r="L18" s="51" t="n"/>
      <c r="M18" s="51" t="n"/>
    </row>
    <row r="19" ht="28.0" customHeight="true">
      <c r="B19" s="10"/>
      <c r="C19" s="14"/>
      <c r="D19" s="10"/>
      <c r="E19" s="11" t="s">
        <v>1620</v>
      </c>
      <c r="F19" s="9"/>
      <c r="G19" s="50" t="n"/>
      <c r="H19" s="50" t="n"/>
      <c r="I19" s="50" t="n"/>
      <c r="J19" s="50" t="n"/>
      <c r="K19" s="50" t="n"/>
      <c r="L19" s="50" t="n"/>
      <c r="M19" s="50" t="n"/>
    </row>
    <row r="20">
      <c r="B20" s="10"/>
      <c r="C20" s="14"/>
      <c r="D20" s="10"/>
      <c r="E20" s="15" t="s">
        <v>1621</v>
      </c>
      <c r="F20" s="13"/>
      <c r="G20" s="51" t="n"/>
      <c r="H20" s="51" t="n"/>
      <c r="I20" s="51" t="n"/>
      <c r="J20" s="51" t="n"/>
      <c r="K20" s="51" t="n"/>
      <c r="L20" s="51" t="n"/>
      <c r="M20" s="51" t="n"/>
    </row>
    <row r="21">
      <c r="B21" s="10"/>
      <c r="C21" s="14"/>
      <c r="D21" s="10"/>
      <c r="E21" s="11" t="s">
        <v>1622</v>
      </c>
      <c r="F21" s="9"/>
      <c r="G21" s="50" t="n"/>
      <c r="H21" s="50" t="n"/>
      <c r="I21" s="50" t="n"/>
      <c r="J21" s="50" t="n"/>
      <c r="K21" s="50" t="n"/>
      <c r="L21" s="50" t="n"/>
      <c r="M21" s="50" t="n"/>
    </row>
    <row r="22" ht="28.0" customHeight="true">
      <c r="B22" s="10"/>
      <c r="C22" s="14"/>
      <c r="D22" s="10"/>
      <c r="E22" s="12" t="s">
        <v>1623</v>
      </c>
      <c r="F22" s="13"/>
      <c r="G22" s="51" t="n"/>
      <c r="H22" s="51" t="n"/>
      <c r="I22" s="51" t="n"/>
      <c r="J22" s="51" t="n"/>
      <c r="K22" s="51" t="n"/>
      <c r="L22" s="51" t="n"/>
      <c r="M22" s="51" t="n"/>
    </row>
    <row r="23">
      <c r="B23" s="10"/>
      <c r="C23" s="14"/>
      <c r="D23" s="10"/>
      <c r="E23" s="15"/>
      <c r="F23" s="18" t="s">
        <v>1624</v>
      </c>
      <c r="G23" s="21"/>
      <c r="H23" s="21"/>
      <c r="I23" s="21"/>
      <c r="J23" s="21"/>
      <c r="K23" s="21"/>
      <c r="L23" s="21"/>
      <c r="M23" s="21"/>
    </row>
    <row r="24">
      <c r="B24" s="10"/>
      <c r="C24" s="14"/>
      <c r="D24" s="11"/>
      <c r="E24" s="40" t="s">
        <v>1625</v>
      </c>
      <c r="F24" s="39"/>
      <c r="G24" s="51" t="n">
        <f>SUM(G16:G22)</f>
      </c>
      <c r="H24" s="51" t="n">
        <f>SUM(H16:H22)</f>
      </c>
      <c r="I24" s="51" t="n">
        <f>SUM(I16:I22)</f>
      </c>
      <c r="J24" s="51" t="n">
        <f>SUM(J16:J22)</f>
      </c>
      <c r="K24" s="51" t="n">
        <f>SUM(K16:K22)</f>
      </c>
      <c r="L24" s="51" t="n">
        <f>SUM(L16:L22)</f>
      </c>
      <c r="M24" s="51" t="n">
        <f>SUM(M16:M22)</f>
      </c>
    </row>
    <row r="25" ht="28.0" customHeight="true">
      <c r="B25" s="10"/>
      <c r="C25" s="14"/>
      <c r="D25" s="7" t="s">
        <v>1626</v>
      </c>
      <c r="E25" s="8"/>
      <c r="F25" s="9"/>
      <c r="G25" s="22"/>
      <c r="H25" s="22"/>
      <c r="I25" s="22"/>
      <c r="J25" s="22"/>
      <c r="K25" s="22"/>
      <c r="L25" s="22"/>
      <c r="M25" s="22"/>
    </row>
    <row r="26" ht="28.0" customHeight="true">
      <c r="B26" s="10"/>
      <c r="C26" s="14"/>
      <c r="D26" s="10"/>
      <c r="E26" s="15" t="s">
        <v>1627</v>
      </c>
      <c r="F26" s="13"/>
      <c r="G26" s="51" t="n"/>
      <c r="H26" s="51" t="n"/>
      <c r="I26" s="51" t="n"/>
      <c r="J26" s="51" t="n"/>
      <c r="K26" s="51" t="n"/>
      <c r="L26" s="51" t="n"/>
      <c r="M26" s="51" t="n"/>
    </row>
    <row r="27" ht="28.0" customHeight="true">
      <c r="B27" s="10"/>
      <c r="C27" s="14"/>
      <c r="D27" s="10"/>
      <c r="E27" s="11" t="s">
        <v>1628</v>
      </c>
      <c r="F27" s="9"/>
      <c r="G27" s="50" t="n"/>
      <c r="H27" s="50" t="n"/>
      <c r="I27" s="50" t="n"/>
      <c r="J27" s="50" t="n"/>
      <c r="K27" s="50" t="n"/>
      <c r="L27" s="50" t="n"/>
      <c r="M27" s="50" t="n"/>
    </row>
    <row r="28" ht="28.0" customHeight="true">
      <c r="B28" s="10"/>
      <c r="C28" s="14"/>
      <c r="D28" s="10"/>
      <c r="E28" s="15" t="s">
        <v>1629</v>
      </c>
      <c r="F28" s="13"/>
      <c r="G28" s="51" t="n"/>
      <c r="H28" s="51" t="n"/>
      <c r="I28" s="51" t="n"/>
      <c r="J28" s="51" t="n"/>
      <c r="K28" s="51" t="n"/>
      <c r="L28" s="51" t="n"/>
      <c r="M28" s="51" t="n"/>
    </row>
    <row r="29" ht="28.0" customHeight="true">
      <c r="B29" s="10"/>
      <c r="C29" s="14"/>
      <c r="D29" s="10"/>
      <c r="E29" s="11" t="s">
        <v>1630</v>
      </c>
      <c r="F29" s="9"/>
      <c r="G29" s="50" t="n"/>
      <c r="H29" s="50" t="n"/>
      <c r="I29" s="50" t="n"/>
      <c r="J29" s="50" t="n"/>
      <c r="K29" s="50" t="n"/>
      <c r="L29" s="50" t="n"/>
      <c r="M29" s="50" t="n"/>
    </row>
    <row r="30" ht="28.0" customHeight="true">
      <c r="B30" s="10"/>
      <c r="C30" s="14"/>
      <c r="D30" s="10"/>
      <c r="E30" s="15" t="s">
        <v>1631</v>
      </c>
      <c r="F30" s="13"/>
      <c r="G30" s="51" t="n"/>
      <c r="H30" s="51" t="n"/>
      <c r="I30" s="51" t="n"/>
      <c r="J30" s="51" t="n"/>
      <c r="K30" s="51" t="n"/>
      <c r="L30" s="51" t="n"/>
      <c r="M30" s="51" t="n"/>
    </row>
    <row r="31">
      <c r="B31" s="10"/>
      <c r="C31" s="14"/>
      <c r="D31" s="10"/>
      <c r="E31" s="11" t="s">
        <v>1632</v>
      </c>
      <c r="F31" s="9"/>
      <c r="G31" s="50" t="n"/>
      <c r="H31" s="50" t="n"/>
      <c r="I31" s="50" t="n"/>
      <c r="J31" s="50" t="n"/>
      <c r="K31" s="50" t="n"/>
      <c r="L31" s="50" t="n"/>
      <c r="M31" s="50" t="n"/>
    </row>
    <row r="32" ht="28.0" customHeight="true">
      <c r="B32" s="10"/>
      <c r="C32" s="14"/>
      <c r="D32" s="10"/>
      <c r="E32" s="15" t="s">
        <v>1633</v>
      </c>
      <c r="F32" s="13"/>
      <c r="G32" s="51" t="n"/>
      <c r="H32" s="51" t="n"/>
      <c r="I32" s="51" t="n"/>
      <c r="J32" s="51" t="n"/>
      <c r="K32" s="51" t="n"/>
      <c r="L32" s="51" t="n"/>
      <c r="M32" s="51" t="n"/>
    </row>
    <row r="33">
      <c r="B33" s="10"/>
      <c r="C33" s="14"/>
      <c r="D33" s="10"/>
      <c r="E33" s="11" t="s">
        <v>1634</v>
      </c>
      <c r="F33" s="9"/>
      <c r="G33" s="50" t="n"/>
      <c r="H33" s="50" t="n"/>
      <c r="I33" s="50" t="n"/>
      <c r="J33" s="50" t="n"/>
      <c r="K33" s="50" t="n"/>
      <c r="L33" s="50" t="n"/>
      <c r="M33" s="50" t="n"/>
    </row>
    <row r="34">
      <c r="B34" s="10"/>
      <c r="C34" s="14"/>
      <c r="D34" s="10"/>
      <c r="E34" s="15" t="s">
        <v>1635</v>
      </c>
      <c r="F34" s="13"/>
      <c r="G34" s="51" t="n"/>
      <c r="H34" s="51" t="n"/>
      <c r="I34" s="51" t="n"/>
      <c r="J34" s="51" t="n"/>
      <c r="K34" s="51" t="n"/>
      <c r="L34" s="51" t="n"/>
      <c r="M34" s="51" t="n"/>
    </row>
    <row r="35" ht="28.0" customHeight="true">
      <c r="B35" s="10"/>
      <c r="C35" s="14"/>
      <c r="D35" s="10"/>
      <c r="E35" s="11" t="s">
        <v>1636</v>
      </c>
      <c r="F35" s="9"/>
      <c r="G35" s="50" t="n"/>
      <c r="H35" s="50" t="n"/>
      <c r="I35" s="50" t="n"/>
      <c r="J35" s="50" t="n"/>
      <c r="K35" s="50" t="n"/>
      <c r="L35" s="50" t="n"/>
      <c r="M35" s="50" t="n"/>
    </row>
    <row r="36" ht="28.0" customHeight="true">
      <c r="B36" s="10"/>
      <c r="C36" s="14"/>
      <c r="D36" s="10"/>
      <c r="E36" s="15" t="s">
        <v>1637</v>
      </c>
      <c r="F36" s="13"/>
      <c r="G36" s="51" t="n"/>
      <c r="H36" s="51" t="n"/>
      <c r="I36" s="51" t="n"/>
      <c r="J36" s="51" t="n"/>
      <c r="K36" s="51" t="n"/>
      <c r="L36" s="51" t="n"/>
      <c r="M36" s="51" t="n"/>
    </row>
    <row r="37">
      <c r="B37" s="10"/>
      <c r="C37" s="14"/>
      <c r="D37" s="10"/>
      <c r="E37" s="11" t="s">
        <v>1638</v>
      </c>
      <c r="F37" s="9"/>
      <c r="G37" s="50" t="n"/>
      <c r="H37" s="50" t="n"/>
      <c r="I37" s="50" t="n"/>
      <c r="J37" s="50" t="n"/>
      <c r="K37" s="50" t="n"/>
      <c r="L37" s="50" t="n"/>
      <c r="M37" s="50" t="n"/>
    </row>
    <row r="38" ht="28.0" customHeight="true">
      <c r="B38" s="10"/>
      <c r="C38" s="14"/>
      <c r="D38" s="10"/>
      <c r="E38" s="15" t="s">
        <v>1639</v>
      </c>
      <c r="F38" s="13"/>
      <c r="G38" s="51" t="n"/>
      <c r="H38" s="51" t="n"/>
      <c r="I38" s="51" t="n"/>
      <c r="J38" s="51" t="n"/>
      <c r="K38" s="51" t="n"/>
      <c r="L38" s="51" t="n"/>
      <c r="M38" s="51" t="n"/>
    </row>
    <row r="39">
      <c r="B39" s="10"/>
      <c r="C39" s="14"/>
      <c r="D39" s="10"/>
      <c r="E39" s="11" t="s">
        <v>1640</v>
      </c>
      <c r="F39" s="9"/>
      <c r="G39" s="50" t="n"/>
      <c r="H39" s="50" t="n"/>
      <c r="I39" s="50" t="n"/>
      <c r="J39" s="50" t="n"/>
      <c r="K39" s="50" t="n"/>
      <c r="L39" s="50" t="n"/>
      <c r="M39" s="50" t="n"/>
    </row>
    <row r="40">
      <c r="B40" s="10"/>
      <c r="C40" s="14"/>
      <c r="D40" s="10"/>
      <c r="E40" s="15" t="s">
        <v>1641</v>
      </c>
      <c r="F40" s="13"/>
      <c r="G40" s="51" t="n"/>
      <c r="H40" s="51" t="n"/>
      <c r="I40" s="51" t="n"/>
      <c r="J40" s="51" t="n"/>
      <c r="K40" s="51" t="n"/>
      <c r="L40" s="51" t="n"/>
      <c r="M40" s="51" t="n"/>
    </row>
    <row r="41">
      <c r="B41" s="10"/>
      <c r="C41" s="14"/>
      <c r="D41" s="10"/>
      <c r="E41" s="11" t="s">
        <v>1642</v>
      </c>
      <c r="F41" s="9"/>
      <c r="G41" s="22"/>
      <c r="H41" s="22"/>
      <c r="I41" s="22"/>
      <c r="J41" s="22"/>
      <c r="K41" s="22"/>
      <c r="L41" s="22"/>
      <c r="M41" s="50" t="n"/>
    </row>
    <row r="42" ht="28.0" customHeight="true">
      <c r="B42" s="10"/>
      <c r="C42" s="14"/>
      <c r="D42" s="10"/>
      <c r="E42" s="15" t="s">
        <v>1643</v>
      </c>
      <c r="F42" s="13"/>
      <c r="G42" s="23"/>
      <c r="H42" s="23"/>
      <c r="I42" s="23"/>
      <c r="J42" s="23"/>
      <c r="K42" s="23"/>
      <c r="L42" s="23"/>
      <c r="M42" s="51" t="n"/>
    </row>
    <row r="43" ht="28.0" customHeight="true">
      <c r="B43" s="10"/>
      <c r="C43" s="14"/>
      <c r="D43" s="10"/>
      <c r="E43" s="11" t="s">
        <v>1644</v>
      </c>
      <c r="F43" s="9"/>
      <c r="G43" s="22"/>
      <c r="H43" s="22"/>
      <c r="I43" s="22"/>
      <c r="J43" s="22"/>
      <c r="K43" s="22"/>
      <c r="L43" s="22"/>
      <c r="M43" s="50" t="n"/>
    </row>
    <row r="44" ht="28.0" customHeight="true">
      <c r="B44" s="10"/>
      <c r="C44" s="14"/>
      <c r="D44" s="10"/>
      <c r="E44" s="12" t="s">
        <v>1645</v>
      </c>
      <c r="F44" s="13"/>
      <c r="G44" s="51" t="n"/>
      <c r="H44" s="51" t="n"/>
      <c r="I44" s="51" t="n"/>
      <c r="J44" s="51" t="n"/>
      <c r="K44" s="51" t="n"/>
      <c r="L44" s="51" t="n"/>
      <c r="M44" s="51" t="n"/>
    </row>
    <row r="45">
      <c r="B45" s="10"/>
      <c r="C45" s="14"/>
      <c r="D45" s="10"/>
      <c r="E45" s="15"/>
      <c r="F45" s="18" t="s">
        <v>1646</v>
      </c>
      <c r="G45" s="21"/>
      <c r="H45" s="21"/>
      <c r="I45" s="21"/>
      <c r="J45" s="21"/>
      <c r="K45" s="21"/>
      <c r="L45" s="21"/>
      <c r="M45" s="21"/>
    </row>
    <row r="46" ht="28.0" customHeight="true">
      <c r="B46" s="10"/>
      <c r="C46" s="14"/>
      <c r="D46" s="11"/>
      <c r="E46" s="40" t="s">
        <v>1647</v>
      </c>
      <c r="F46" s="39"/>
      <c r="G46" s="51" t="n">
        <f>SUM(G26:G40)+G44</f>
      </c>
      <c r="H46" s="51" t="n">
        <f>SUM(H26:H40)+H44</f>
      </c>
      <c r="I46" s="51" t="n">
        <f>SUM(I26:I40)+I44</f>
      </c>
      <c r="J46" s="51" t="n">
        <f>SUM(J26:J40)+J44</f>
      </c>
      <c r="K46" s="51" t="n">
        <f>SUM(K26:K40)+K44</f>
      </c>
      <c r="L46" s="51" t="n">
        <f>SUM(L26:L40)+L44</f>
      </c>
      <c r="M46" s="51" t="n">
        <f>SUM(M26:M44)</f>
      </c>
    </row>
    <row r="47">
      <c r="B47" s="10"/>
      <c r="C47" s="14"/>
      <c r="D47" s="7" t="s">
        <v>1648</v>
      </c>
      <c r="E47" s="8"/>
      <c r="F47" s="9"/>
      <c r="G47" s="22"/>
      <c r="H47" s="22"/>
      <c r="I47" s="22"/>
      <c r="J47" s="22"/>
      <c r="K47" s="22"/>
      <c r="L47" s="22"/>
      <c r="M47" s="22"/>
    </row>
    <row r="48">
      <c r="B48" s="10"/>
      <c r="C48" s="14"/>
      <c r="D48" s="10"/>
      <c r="E48" s="15" t="s">
        <v>1649</v>
      </c>
      <c r="F48" s="13"/>
      <c r="G48" s="51" t="n"/>
      <c r="H48" s="51" t="n"/>
      <c r="I48" s="51" t="n"/>
      <c r="J48" s="51" t="n"/>
      <c r="K48" s="51" t="n"/>
      <c r="L48" s="51" t="n"/>
      <c r="M48" s="51" t="n"/>
    </row>
    <row r="49">
      <c r="B49" s="10"/>
      <c r="C49" s="14"/>
      <c r="D49" s="10"/>
      <c r="E49" s="11" t="s">
        <v>1650</v>
      </c>
      <c r="F49" s="9"/>
      <c r="G49" s="50" t="n"/>
      <c r="H49" s="50" t="n"/>
      <c r="I49" s="50" t="n"/>
      <c r="J49" s="50" t="n"/>
      <c r="K49" s="50" t="n"/>
      <c r="L49" s="50" t="n"/>
      <c r="M49" s="50" t="n"/>
    </row>
    <row r="50">
      <c r="B50" s="10"/>
      <c r="C50" s="14"/>
      <c r="D50" s="11"/>
      <c r="E50" s="40" t="s">
        <v>1651</v>
      </c>
      <c r="F50" s="39"/>
      <c r="G50" s="51" t="n">
        <f>G48+G49</f>
      </c>
      <c r="H50" s="51" t="n">
        <f>H48+H49</f>
      </c>
      <c r="I50" s="51" t="n">
        <f>I48+I49</f>
      </c>
      <c r="J50" s="51" t="n">
        <f>J48+J49</f>
      </c>
      <c r="K50" s="51" t="n">
        <f>K48+K49</f>
      </c>
      <c r="L50" s="51" t="n">
        <f>L48+L49</f>
      </c>
      <c r="M50" s="51" t="n">
        <f>M48+M49</f>
      </c>
    </row>
    <row r="51">
      <c r="B51" s="10"/>
      <c r="C51" s="14"/>
      <c r="D51" s="11" t="s">
        <v>1652</v>
      </c>
      <c r="E51" s="8"/>
      <c r="F51" s="9"/>
      <c r="G51" s="50" t="n"/>
      <c r="H51" s="50" t="n"/>
      <c r="I51" s="50" t="n"/>
      <c r="J51" s="50" t="n"/>
      <c r="K51" s="50" t="n"/>
      <c r="L51" s="50" t="n"/>
      <c r="M51" s="50" t="n"/>
    </row>
    <row r="52" ht="42.0" customHeight="true">
      <c r="B52" s="10"/>
      <c r="C52" s="14"/>
      <c r="D52" s="15" t="s">
        <v>1653</v>
      </c>
      <c r="E52" s="37"/>
      <c r="F52" s="13"/>
      <c r="G52" s="51" t="n"/>
      <c r="H52" s="51" t="n"/>
      <c r="I52" s="51" t="n"/>
      <c r="J52" s="51" t="n"/>
      <c r="K52" s="51" t="n"/>
      <c r="L52" s="51" t="n"/>
      <c r="M52" s="51" t="n"/>
    </row>
    <row r="53">
      <c r="B53" s="10"/>
      <c r="C53" s="14"/>
      <c r="D53" s="11" t="s">
        <v>1654</v>
      </c>
      <c r="E53" s="8"/>
      <c r="F53" s="9"/>
      <c r="G53" s="50" t="n"/>
      <c r="H53" s="50" t="n"/>
      <c r="I53" s="50" t="n"/>
      <c r="J53" s="50" t="n"/>
      <c r="K53" s="50" t="n"/>
      <c r="L53" s="50" t="n"/>
      <c r="M53" s="50" t="n"/>
    </row>
    <row r="54">
      <c r="B54" s="10"/>
      <c r="C54" s="14"/>
      <c r="D54" s="15" t="s">
        <v>1655</v>
      </c>
      <c r="E54" s="37"/>
      <c r="F54" s="13"/>
      <c r="G54" s="51" t="n"/>
      <c r="H54" s="51" t="n"/>
      <c r="I54" s="51" t="n"/>
      <c r="J54" s="51" t="n"/>
      <c r="K54" s="51" t="n"/>
      <c r="L54" s="51" t="n"/>
      <c r="M54" s="51" t="n"/>
    </row>
    <row r="55">
      <c r="B55" s="10"/>
      <c r="C55" s="14"/>
      <c r="D55" s="11" t="s">
        <v>1656</v>
      </c>
      <c r="E55" s="8"/>
      <c r="F55" s="9"/>
      <c r="G55" s="50" t="n"/>
      <c r="H55" s="50" t="n"/>
      <c r="I55" s="50" t="n"/>
      <c r="J55" s="50" t="n"/>
      <c r="K55" s="50" t="n"/>
      <c r="L55" s="50" t="n"/>
      <c r="M55" s="50" t="n"/>
    </row>
    <row r="56">
      <c r="B56" s="10"/>
      <c r="C56" s="14"/>
      <c r="D56" s="15" t="s">
        <v>1657</v>
      </c>
      <c r="E56" s="37"/>
      <c r="F56" s="13"/>
      <c r="G56" s="51" t="n"/>
      <c r="H56" s="51" t="n"/>
      <c r="I56" s="51" t="n"/>
      <c r="J56" s="51" t="n"/>
      <c r="K56" s="51" t="n"/>
      <c r="L56" s="51" t="n"/>
      <c r="M56" s="51" t="n"/>
    </row>
    <row r="57">
      <c r="B57" s="10"/>
      <c r="C57" s="14"/>
      <c r="D57" s="7" t="s">
        <v>1658</v>
      </c>
      <c r="E57" s="8"/>
      <c r="F57" s="9"/>
      <c r="G57" s="50" t="n"/>
      <c r="H57" s="50" t="n"/>
      <c r="I57" s="50" t="n"/>
      <c r="J57" s="50" t="n"/>
      <c r="K57" s="50" t="n"/>
      <c r="L57" s="50" t="n"/>
      <c r="M57" s="50" t="n"/>
    </row>
    <row r="58" ht="28.0" customHeight="true">
      <c r="B58" s="10"/>
      <c r="C58" s="14"/>
      <c r="D58" s="11"/>
      <c r="E58" s="15" t="s">
        <v>1659</v>
      </c>
      <c r="F58" s="13"/>
      <c r="G58" s="20"/>
      <c r="H58" s="20"/>
      <c r="I58" s="20"/>
      <c r="J58" s="20"/>
      <c r="K58" s="20"/>
      <c r="L58" s="20"/>
      <c r="M58" s="20"/>
    </row>
    <row r="59">
      <c r="B59" s="10"/>
      <c r="C59" s="15"/>
      <c r="D59" s="45" t="s">
        <v>1660</v>
      </c>
      <c r="E59" s="43"/>
      <c r="F59" s="44"/>
      <c r="G59" s="50" t="n">
        <f>G24+G46+SUM(G50:G57)</f>
      </c>
      <c r="H59" s="50" t="n">
        <f>H24+H46+SUM(H50:H57)</f>
      </c>
      <c r="I59" s="50" t="n">
        <f>I24+I46+SUM(I50:I57)</f>
      </c>
      <c r="J59" s="50" t="n">
        <f>J24+J46+SUM(J50:J57)</f>
      </c>
      <c r="K59" s="50" t="n">
        <f>K24+K46+SUM(K50:K57)</f>
      </c>
      <c r="L59" s="50" t="n">
        <f>L24+L46+SUM(L50:L57)</f>
      </c>
      <c r="M59" s="50" t="n">
        <f>M24+M46+SUM(M50:M57)</f>
      </c>
    </row>
    <row r="60">
      <c r="B60" s="10"/>
      <c r="C60" s="12" t="s">
        <v>1661</v>
      </c>
      <c r="D60" s="37"/>
      <c r="E60" s="37"/>
      <c r="F60" s="13"/>
      <c r="G60" s="23"/>
      <c r="H60" s="23"/>
      <c r="I60" s="23"/>
      <c r="J60" s="23"/>
      <c r="K60" s="23"/>
      <c r="L60" s="23"/>
      <c r="M60" s="23"/>
    </row>
    <row r="61">
      <c r="B61" s="10"/>
      <c r="C61" s="15"/>
      <c r="D61" s="11" t="s">
        <v>1662</v>
      </c>
      <c r="E61" s="8"/>
      <c r="F61" s="9"/>
      <c r="G61" s="50" t="n"/>
      <c r="H61" s="50" t="n"/>
      <c r="I61" s="50" t="n"/>
      <c r="J61" s="50" t="n"/>
      <c r="K61" s="50" t="n"/>
      <c r="L61" s="50" t="n"/>
      <c r="M61" s="50" t="n"/>
    </row>
    <row r="62">
      <c r="B62" s="11"/>
      <c r="C62" s="40" t="s">
        <v>1376</v>
      </c>
      <c r="D62" s="41"/>
      <c r="E62" s="41"/>
      <c r="F62" s="39"/>
      <c r="G62" s="52" t="n">
        <f>G59+G61</f>
      </c>
      <c r="H62" s="52" t="n">
        <f>H59+H61</f>
      </c>
      <c r="I62" s="52" t="n">
        <f>I59+I61</f>
      </c>
      <c r="J62" s="52" t="n">
        <f>J59+J61</f>
      </c>
      <c r="K62" s="52" t="n">
        <f>K59+K61</f>
      </c>
      <c r="L62" s="52" t="n">
        <f>L59+L61</f>
      </c>
      <c r="M62" s="52" t="n">
        <f>M59+M61</f>
      </c>
    </row>
  </sheetData>
  <mergeCells>
    <mergeCell ref="G10:M10"/>
    <mergeCell ref="G11:M11"/>
    <mergeCell ref="B13:F13"/>
    <mergeCell ref="C14:F14"/>
    <mergeCell ref="D15:F15"/>
    <mergeCell ref="E16:F16"/>
    <mergeCell ref="E17:F17"/>
    <mergeCell ref="E18:F18"/>
    <mergeCell ref="E19:F19"/>
    <mergeCell ref="E20:F20"/>
    <mergeCell ref="E21:F21"/>
    <mergeCell ref="E22:F22"/>
    <mergeCell ref="E24:F24"/>
    <mergeCell ref="D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6:F46"/>
    <mergeCell ref="D47:F47"/>
    <mergeCell ref="E48:F48"/>
    <mergeCell ref="E49:F49"/>
    <mergeCell ref="E50:F50"/>
    <mergeCell ref="D51:F51"/>
    <mergeCell ref="D52:F52"/>
    <mergeCell ref="D53:F53"/>
    <mergeCell ref="D54:F54"/>
    <mergeCell ref="D55:F55"/>
    <mergeCell ref="D56:F56"/>
    <mergeCell ref="D57:F57"/>
    <mergeCell ref="E58:F58"/>
    <mergeCell ref="D59:F59"/>
    <mergeCell ref="C60:F60"/>
    <mergeCell ref="D61:F61"/>
    <mergeCell ref="C62:F62"/>
  </mergeCells>
  <hyperlinks>
    <hyperlink location="'Indice'!A1" ref="B2"/>
  </hyperlinks>
  <pageMargins bottom="0.75" footer="0.3" header="0.3" left="0.7" right="0.7" top="0.75"/>
</worksheet>
</file>

<file path=xl/worksheets/sheet61.xml><?xml version="1.0" encoding="utf-8"?>
<worksheet xmlns="http://schemas.openxmlformats.org/spreadsheetml/2006/main">
  <dimension ref="B2:M86"/>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s>
  <sheetData>
    <row r="2">
      <c r="B2" t="s" s="2">
        <v>1</v>
      </c>
    </row>
    <row r="3">
      <c r="B3" t="s" s="1">
        <v>3</v>
      </c>
      <c r="C3" t="s">
        <v>4</v>
      </c>
    </row>
    <row r="4">
      <c r="B4" s="1" t="s">
        <v>5</v>
      </c>
      <c r="C4" t="s">
        <v>6</v>
      </c>
    </row>
    <row r="5">
      <c r="B5" t="s" s="1">
        <v>7</v>
      </c>
      <c r="C5" t="s">
        <v>1663</v>
      </c>
    </row>
    <row r="6">
      <c r="B6" t="s" s="1">
        <v>8</v>
      </c>
      <c r="C6" t="s">
        <v>9</v>
      </c>
    </row>
    <row r="7">
      <c r="B7" t="s" s="1">
        <v>10</v>
      </c>
      <c r="C7" t="s">
        <v>9</v>
      </c>
    </row>
    <row r="8">
      <c r="B8" t="s" s="1">
        <v>11</v>
      </c>
      <c r="C8" t="s">
        <v>12</v>
      </c>
    </row>
    <row r="10" ht="28.0" customHeight="true">
      <c r="F10" t="s" s="4">
        <v>1664</v>
      </c>
      <c r="G10" s="29"/>
      <c r="H10" s="29"/>
      <c r="I10" s="29"/>
      <c r="J10" s="29"/>
      <c r="K10" s="29"/>
      <c r="L10" s="30"/>
    </row>
    <row r="11">
      <c r="F11" t="s" s="32">
        <v>1613</v>
      </c>
      <c r="G11" s="61"/>
      <c r="H11" s="61"/>
      <c r="I11" s="61"/>
      <c r="J11" s="61"/>
      <c r="K11" s="61"/>
      <c r="L11" s="62"/>
    </row>
    <row r="12">
      <c r="F12" t="s" s="6">
        <v>36</v>
      </c>
      <c r="G12" t="s" s="34">
        <v>37</v>
      </c>
      <c r="H12" t="s" s="6">
        <v>38</v>
      </c>
      <c r="I12" t="s" s="34">
        <v>39</v>
      </c>
      <c r="J12" t="s" s="6">
        <v>40</v>
      </c>
      <c r="K12" t="s" s="34">
        <v>41</v>
      </c>
      <c r="L12" s="6" t="s">
        <v>43</v>
      </c>
    </row>
    <row r="13">
      <c r="B13" s="7" t="s">
        <v>1665</v>
      </c>
      <c r="C13" s="8"/>
      <c r="D13" s="8"/>
      <c r="E13" s="9"/>
      <c r="F13" s="22"/>
      <c r="G13" s="22"/>
      <c r="H13" s="22"/>
      <c r="I13" s="22"/>
      <c r="J13" s="22"/>
      <c r="K13" s="22"/>
      <c r="L13" s="22"/>
    </row>
    <row r="14">
      <c r="B14" s="10"/>
      <c r="C14" s="12" t="s">
        <v>1666</v>
      </c>
      <c r="D14" s="37"/>
      <c r="E14" s="13"/>
      <c r="F14" s="23"/>
      <c r="G14" s="23"/>
      <c r="H14" s="23"/>
      <c r="I14" s="23"/>
      <c r="J14" s="23"/>
      <c r="K14" s="23"/>
      <c r="L14" s="23"/>
    </row>
    <row r="15">
      <c r="B15" s="10"/>
      <c r="C15" s="15"/>
      <c r="D15" s="11" t="s">
        <v>156</v>
      </c>
      <c r="E15" s="9"/>
      <c r="F15" s="50" t="n"/>
      <c r="G15" s="50" t="n"/>
      <c r="H15" s="50" t="n"/>
      <c r="I15" s="50" t="n"/>
      <c r="J15" s="50" t="n"/>
      <c r="K15" s="50" t="n"/>
      <c r="L15" s="50" t="n"/>
    </row>
    <row r="16">
      <c r="B16" s="10"/>
      <c r="C16" s="12" t="s">
        <v>1124</v>
      </c>
      <c r="D16" s="37"/>
      <c r="E16" s="13"/>
      <c r="F16" s="23"/>
      <c r="G16" s="23"/>
      <c r="H16" s="23"/>
      <c r="I16" s="23"/>
      <c r="J16" s="23"/>
      <c r="K16" s="23"/>
      <c r="L16" s="23"/>
    </row>
    <row r="17">
      <c r="B17" s="10"/>
      <c r="C17" s="14"/>
      <c r="D17" s="11" t="s">
        <v>1125</v>
      </c>
      <c r="E17" s="9"/>
      <c r="F17" s="50" t="n"/>
      <c r="G17" s="50" t="n"/>
      <c r="H17" s="50" t="n"/>
      <c r="I17" s="50" t="n"/>
      <c r="J17" s="50" t="n"/>
      <c r="K17" s="50" t="n"/>
      <c r="L17" s="50" t="n"/>
    </row>
    <row r="18">
      <c r="B18" s="10"/>
      <c r="C18" s="14"/>
      <c r="D18" s="15" t="s">
        <v>1126</v>
      </c>
      <c r="E18" s="13"/>
      <c r="F18" s="51" t="n"/>
      <c r="G18" s="51" t="n"/>
      <c r="H18" s="51" t="n"/>
      <c r="I18" s="51" t="n"/>
      <c r="J18" s="51" t="n"/>
      <c r="K18" s="51" t="n"/>
      <c r="L18" s="51" t="n"/>
    </row>
    <row r="19">
      <c r="B19" s="10"/>
      <c r="C19" s="14"/>
      <c r="D19" s="11" t="s">
        <v>1127</v>
      </c>
      <c r="E19" s="9"/>
      <c r="F19" s="50" t="n"/>
      <c r="G19" s="50" t="n"/>
      <c r="H19" s="50" t="n"/>
      <c r="I19" s="50" t="n"/>
      <c r="J19" s="50" t="n"/>
      <c r="K19" s="50" t="n"/>
      <c r="L19" s="50" t="n"/>
    </row>
    <row r="20">
      <c r="B20" s="10"/>
      <c r="C20" s="14"/>
      <c r="D20" s="15" t="s">
        <v>1128</v>
      </c>
      <c r="E20" s="13"/>
      <c r="F20" s="51" t="n"/>
      <c r="G20" s="51" t="n"/>
      <c r="H20" s="51" t="n"/>
      <c r="I20" s="51" t="n"/>
      <c r="J20" s="51" t="n"/>
      <c r="K20" s="51" t="n"/>
      <c r="L20" s="51" t="n"/>
    </row>
    <row r="21">
      <c r="B21" s="10"/>
      <c r="C21" s="14"/>
      <c r="D21" s="11" t="s">
        <v>1129</v>
      </c>
      <c r="E21" s="9"/>
      <c r="F21" s="50" t="n"/>
      <c r="G21" s="50" t="n"/>
      <c r="H21" s="50" t="n"/>
      <c r="I21" s="50" t="n"/>
      <c r="J21" s="50" t="n"/>
      <c r="K21" s="50" t="n"/>
      <c r="L21" s="50" t="n"/>
    </row>
    <row r="22">
      <c r="B22" s="10"/>
      <c r="C22" s="14"/>
      <c r="D22" s="15" t="s">
        <v>1130</v>
      </c>
      <c r="E22" s="13"/>
      <c r="F22" s="51" t="n"/>
      <c r="G22" s="51" t="n"/>
      <c r="H22" s="51" t="n"/>
      <c r="I22" s="51" t="n"/>
      <c r="J22" s="51" t="n"/>
      <c r="K22" s="51" t="n"/>
      <c r="L22" s="51" t="n"/>
    </row>
    <row r="23">
      <c r="B23" s="10"/>
      <c r="C23" s="14"/>
      <c r="D23" s="11" t="s">
        <v>1131</v>
      </c>
      <c r="E23" s="9"/>
      <c r="F23" s="50" t="n"/>
      <c r="G23" s="50" t="n"/>
      <c r="H23" s="50" t="n"/>
      <c r="I23" s="50" t="n"/>
      <c r="J23" s="50" t="n"/>
      <c r="K23" s="50" t="n"/>
      <c r="L23" s="50" t="n"/>
    </row>
    <row r="24">
      <c r="B24" s="10"/>
      <c r="C24" s="14"/>
      <c r="D24" s="12" t="s">
        <v>1132</v>
      </c>
      <c r="E24" s="13"/>
      <c r="F24" s="23"/>
      <c r="G24" s="23"/>
      <c r="H24" s="23"/>
      <c r="I24" s="23"/>
      <c r="J24" s="23"/>
      <c r="K24" s="23"/>
      <c r="L24" s="23"/>
    </row>
    <row r="25">
      <c r="B25" s="10"/>
      <c r="C25" s="14"/>
      <c r="D25" s="14"/>
      <c r="E25" s="18" t="s">
        <v>1133</v>
      </c>
      <c r="F25" s="50" t="n"/>
      <c r="G25" s="50" t="n"/>
      <c r="H25" s="50" t="n"/>
      <c r="I25" s="50" t="n"/>
      <c r="J25" s="50" t="n"/>
      <c r="K25" s="50" t="n"/>
      <c r="L25" s="50" t="n"/>
    </row>
    <row r="26">
      <c r="B26" s="10"/>
      <c r="C26" s="14"/>
      <c r="D26" s="14"/>
      <c r="E26" s="19" t="s">
        <v>1134</v>
      </c>
      <c r="F26" s="51" t="n"/>
      <c r="G26" s="51" t="n"/>
      <c r="H26" s="51" t="n"/>
      <c r="I26" s="51" t="n"/>
      <c r="J26" s="51" t="n"/>
      <c r="K26" s="51" t="n"/>
      <c r="L26" s="51" t="n"/>
    </row>
    <row r="27">
      <c r="B27" s="10"/>
      <c r="C27" s="14"/>
      <c r="D27" s="14"/>
      <c r="E27" s="18" t="s">
        <v>1135</v>
      </c>
      <c r="F27" s="50" t="n"/>
      <c r="G27" s="50" t="n"/>
      <c r="H27" s="50" t="n"/>
      <c r="I27" s="50" t="n"/>
      <c r="J27" s="50" t="n"/>
      <c r="K27" s="50" t="n"/>
      <c r="L27" s="50" t="n"/>
    </row>
    <row r="28">
      <c r="B28" s="10"/>
      <c r="C28" s="14"/>
      <c r="D28" s="15"/>
      <c r="E28" s="57" t="s">
        <v>1136</v>
      </c>
      <c r="F28" s="51" t="n">
        <f>SUM(F25:F27)</f>
      </c>
      <c r="G28" s="51" t="n">
        <f>SUM(G25:G27)</f>
      </c>
      <c r="H28" s="51" t="n">
        <f>SUM(H25:H27)</f>
      </c>
      <c r="I28" s="51" t="n">
        <f>SUM(I25:I27)</f>
      </c>
      <c r="J28" s="51" t="n">
        <f>SUM(J25:J27)</f>
      </c>
      <c r="K28" s="51" t="n">
        <f>SUM(K25:K27)</f>
      </c>
      <c r="L28" s="51" t="n">
        <f>SUM(L25:L27)</f>
      </c>
    </row>
    <row r="29">
      <c r="B29" s="10"/>
      <c r="C29" s="14"/>
      <c r="D29" s="11" t="s">
        <v>1137</v>
      </c>
      <c r="E29" s="9"/>
      <c r="F29" s="50" t="n"/>
      <c r="G29" s="50" t="n"/>
      <c r="H29" s="50" t="n"/>
      <c r="I29" s="50" t="n"/>
      <c r="J29" s="50" t="n"/>
      <c r="K29" s="50" t="n"/>
      <c r="L29" s="50" t="n"/>
    </row>
    <row r="30">
      <c r="B30" s="10"/>
      <c r="C30" s="14"/>
      <c r="D30" s="12" t="s">
        <v>1138</v>
      </c>
      <c r="E30" s="13"/>
      <c r="F30" s="23"/>
      <c r="G30" s="23"/>
      <c r="H30" s="23"/>
      <c r="I30" s="23"/>
      <c r="J30" s="23"/>
      <c r="K30" s="23"/>
      <c r="L30" s="23"/>
    </row>
    <row r="31">
      <c r="B31" s="10"/>
      <c r="C31" s="14"/>
      <c r="D31" s="14"/>
      <c r="E31" s="18" t="s">
        <v>1139</v>
      </c>
      <c r="F31" s="50" t="n"/>
      <c r="G31" s="50" t="n"/>
      <c r="H31" s="50" t="n"/>
      <c r="I31" s="50" t="n"/>
      <c r="J31" s="50" t="n"/>
      <c r="K31" s="50" t="n"/>
      <c r="L31" s="50" t="n"/>
    </row>
    <row r="32">
      <c r="B32" s="10"/>
      <c r="C32" s="14"/>
      <c r="D32" s="14"/>
      <c r="E32" s="19" t="s">
        <v>1140</v>
      </c>
      <c r="F32" s="51" t="n"/>
      <c r="G32" s="51" t="n"/>
      <c r="H32" s="51" t="n"/>
      <c r="I32" s="51" t="n"/>
      <c r="J32" s="51" t="n"/>
      <c r="K32" s="51" t="n"/>
      <c r="L32" s="51" t="n"/>
    </row>
    <row r="33">
      <c r="B33" s="10"/>
      <c r="C33" s="14"/>
      <c r="D33" s="14"/>
      <c r="E33" s="18" t="s">
        <v>1141</v>
      </c>
      <c r="F33" s="50" t="n"/>
      <c r="G33" s="50" t="n"/>
      <c r="H33" s="50" t="n"/>
      <c r="I33" s="50" t="n"/>
      <c r="J33" s="50" t="n"/>
      <c r="K33" s="50" t="n"/>
      <c r="L33" s="50" t="n"/>
    </row>
    <row r="34">
      <c r="B34" s="10"/>
      <c r="C34" s="14"/>
      <c r="D34" s="14"/>
      <c r="E34" s="19" t="s">
        <v>1142</v>
      </c>
      <c r="F34" s="51" t="n"/>
      <c r="G34" s="51" t="n"/>
      <c r="H34" s="51" t="n"/>
      <c r="I34" s="51" t="n"/>
      <c r="J34" s="51" t="n"/>
      <c r="K34" s="51" t="n"/>
      <c r="L34" s="51" t="n"/>
    </row>
    <row r="35">
      <c r="B35" s="10"/>
      <c r="C35" s="14"/>
      <c r="D35" s="14"/>
      <c r="E35" s="18" t="s">
        <v>1143</v>
      </c>
      <c r="F35" s="50" t="n"/>
      <c r="G35" s="50" t="n"/>
      <c r="H35" s="50" t="n"/>
      <c r="I35" s="50" t="n"/>
      <c r="J35" s="50" t="n"/>
      <c r="K35" s="50" t="n"/>
      <c r="L35" s="50" t="n"/>
    </row>
    <row r="36">
      <c r="B36" s="10"/>
      <c r="C36" s="14"/>
      <c r="D36" s="14"/>
      <c r="E36" s="19" t="s">
        <v>1144</v>
      </c>
      <c r="F36" s="51" t="n"/>
      <c r="G36" s="51" t="n"/>
      <c r="H36" s="51" t="n"/>
      <c r="I36" s="51" t="n"/>
      <c r="J36" s="51" t="n"/>
      <c r="K36" s="51" t="n"/>
      <c r="L36" s="51" t="n"/>
    </row>
    <row r="37">
      <c r="B37" s="10"/>
      <c r="C37" s="14"/>
      <c r="D37" s="15"/>
      <c r="E37" s="65" t="s">
        <v>1145</v>
      </c>
      <c r="F37" s="50" t="n">
        <f>SUM(F31:F36)</f>
      </c>
      <c r="G37" s="50" t="n">
        <f>SUM(G31:G36)</f>
      </c>
      <c r="H37" s="50" t="n">
        <f>SUM(H31:H36)</f>
      </c>
      <c r="I37" s="50" t="n">
        <f>SUM(I31:I36)</f>
      </c>
      <c r="J37" s="50" t="n">
        <f>SUM(J31:J36)</f>
      </c>
      <c r="K37" s="50" t="n">
        <f>SUM(K31:K36)</f>
      </c>
      <c r="L37" s="50" t="n">
        <f>SUM(L31:L36)</f>
      </c>
    </row>
    <row r="38">
      <c r="B38" s="10"/>
      <c r="C38" s="14"/>
      <c r="D38" s="15" t="s">
        <v>1146</v>
      </c>
      <c r="E38" s="13"/>
      <c r="F38" s="51" t="n"/>
      <c r="G38" s="51" t="n"/>
      <c r="H38" s="51" t="n"/>
      <c r="I38" s="51" t="n"/>
      <c r="J38" s="51" t="n"/>
      <c r="K38" s="51" t="n"/>
      <c r="L38" s="51" t="n"/>
    </row>
    <row r="39">
      <c r="B39" s="10"/>
      <c r="C39" s="14"/>
      <c r="D39" s="11" t="s">
        <v>1147</v>
      </c>
      <c r="E39" s="9"/>
      <c r="F39" s="50" t="n"/>
      <c r="G39" s="50" t="n"/>
      <c r="H39" s="50" t="n"/>
      <c r="I39" s="50" t="n"/>
      <c r="J39" s="50" t="n"/>
      <c r="K39" s="50" t="n"/>
      <c r="L39" s="50" t="n"/>
    </row>
    <row r="40">
      <c r="B40" s="10"/>
      <c r="C40" s="14"/>
      <c r="D40" s="12" t="s">
        <v>1148</v>
      </c>
      <c r="E40" s="13"/>
      <c r="F40" s="23"/>
      <c r="G40" s="23"/>
      <c r="H40" s="23"/>
      <c r="I40" s="23"/>
      <c r="J40" s="23"/>
      <c r="K40" s="23"/>
      <c r="L40" s="23"/>
    </row>
    <row r="41">
      <c r="B41" s="10"/>
      <c r="C41" s="14"/>
      <c r="D41" s="14"/>
      <c r="E41" s="18" t="s">
        <v>1149</v>
      </c>
      <c r="F41" s="50" t="n"/>
      <c r="G41" s="50" t="n"/>
      <c r="H41" s="50" t="n"/>
      <c r="I41" s="50" t="n"/>
      <c r="J41" s="50" t="n"/>
      <c r="K41" s="50" t="n"/>
      <c r="L41" s="50" t="n"/>
    </row>
    <row r="42">
      <c r="B42" s="10"/>
      <c r="C42" s="14"/>
      <c r="D42" s="14"/>
      <c r="E42" s="19" t="s">
        <v>1150</v>
      </c>
      <c r="F42" s="51" t="n"/>
      <c r="G42" s="51" t="n"/>
      <c r="H42" s="51" t="n"/>
      <c r="I42" s="51" t="n"/>
      <c r="J42" s="51" t="n"/>
      <c r="K42" s="51" t="n"/>
      <c r="L42" s="51" t="n"/>
    </row>
    <row r="43">
      <c r="B43" s="10"/>
      <c r="C43" s="14"/>
      <c r="D43" s="14"/>
      <c r="E43" s="18" t="s">
        <v>1151</v>
      </c>
      <c r="F43" s="50" t="n"/>
      <c r="G43" s="50" t="n"/>
      <c r="H43" s="50" t="n"/>
      <c r="I43" s="50" t="n"/>
      <c r="J43" s="50" t="n"/>
      <c r="K43" s="50" t="n"/>
      <c r="L43" s="50" t="n"/>
    </row>
    <row r="44">
      <c r="B44" s="10"/>
      <c r="C44" s="14"/>
      <c r="D44" s="14"/>
      <c r="E44" s="19" t="s">
        <v>1152</v>
      </c>
      <c r="F44" s="51" t="n"/>
      <c r="G44" s="51" t="n"/>
      <c r="H44" s="51" t="n"/>
      <c r="I44" s="51" t="n"/>
      <c r="J44" s="51" t="n"/>
      <c r="K44" s="51" t="n"/>
      <c r="L44" s="51" t="n"/>
    </row>
    <row r="45">
      <c r="B45" s="10"/>
      <c r="C45" s="14"/>
      <c r="D45" s="14"/>
      <c r="E45" s="18" t="s">
        <v>1153</v>
      </c>
      <c r="F45" s="50" t="n"/>
      <c r="G45" s="50" t="n"/>
      <c r="H45" s="50" t="n"/>
      <c r="I45" s="50" t="n"/>
      <c r="J45" s="50" t="n"/>
      <c r="K45" s="50" t="n"/>
      <c r="L45" s="50" t="n"/>
    </row>
    <row r="46">
      <c r="B46" s="10"/>
      <c r="C46" s="14"/>
      <c r="D46" s="14"/>
      <c r="E46" s="19" t="s">
        <v>1154</v>
      </c>
      <c r="F46" s="51" t="n"/>
      <c r="G46" s="51" t="n"/>
      <c r="H46" s="51" t="n"/>
      <c r="I46" s="51" t="n"/>
      <c r="J46" s="51" t="n"/>
      <c r="K46" s="51" t="n"/>
      <c r="L46" s="51" t="n"/>
    </row>
    <row r="47">
      <c r="B47" s="10"/>
      <c r="C47" s="14"/>
      <c r="D47" s="14"/>
      <c r="E47" s="18" t="s">
        <v>1155</v>
      </c>
      <c r="F47" s="50" t="n"/>
      <c r="G47" s="50" t="n"/>
      <c r="H47" s="50" t="n"/>
      <c r="I47" s="50" t="n"/>
      <c r="J47" s="50" t="n"/>
      <c r="K47" s="50" t="n"/>
      <c r="L47" s="50" t="n"/>
    </row>
    <row r="48">
      <c r="B48" s="10"/>
      <c r="C48" s="14"/>
      <c r="D48" s="14"/>
      <c r="E48" s="19" t="s">
        <v>1156</v>
      </c>
      <c r="F48" s="51" t="n"/>
      <c r="G48" s="51" t="n"/>
      <c r="H48" s="51" t="n"/>
      <c r="I48" s="51" t="n"/>
      <c r="J48" s="51" t="n"/>
      <c r="K48" s="51" t="n"/>
      <c r="L48" s="51" t="n"/>
    </row>
    <row r="49">
      <c r="B49" s="10"/>
      <c r="C49" s="14"/>
      <c r="D49" s="14"/>
      <c r="E49" s="18" t="s">
        <v>1157</v>
      </c>
      <c r="F49" s="50" t="n"/>
      <c r="G49" s="50" t="n"/>
      <c r="H49" s="50" t="n"/>
      <c r="I49" s="50" t="n"/>
      <c r="J49" s="50" t="n"/>
      <c r="K49" s="50" t="n"/>
      <c r="L49" s="50" t="n"/>
    </row>
    <row r="50">
      <c r="B50" s="10"/>
      <c r="C50" s="14"/>
      <c r="D50" s="14"/>
      <c r="E50" s="19" t="s">
        <v>1158</v>
      </c>
      <c r="F50" s="51" t="n"/>
      <c r="G50" s="51" t="n"/>
      <c r="H50" s="51" t="n"/>
      <c r="I50" s="51" t="n"/>
      <c r="J50" s="51" t="n"/>
      <c r="K50" s="51" t="n"/>
      <c r="L50" s="51" t="n"/>
    </row>
    <row r="51">
      <c r="B51" s="10"/>
      <c r="C51" s="14"/>
      <c r="D51" s="14"/>
      <c r="E51" s="18" t="s">
        <v>1159</v>
      </c>
      <c r="F51" s="50" t="n"/>
      <c r="G51" s="50" t="n"/>
      <c r="H51" s="50" t="n"/>
      <c r="I51" s="50" t="n"/>
      <c r="J51" s="50" t="n"/>
      <c r="K51" s="50" t="n"/>
      <c r="L51" s="50" t="n"/>
    </row>
    <row r="52">
      <c r="B52" s="10"/>
      <c r="C52" s="14"/>
      <c r="D52" s="14"/>
      <c r="E52" s="19" t="s">
        <v>1160</v>
      </c>
      <c r="F52" s="51" t="n"/>
      <c r="G52" s="51" t="n"/>
      <c r="H52" s="51" t="n"/>
      <c r="I52" s="51" t="n"/>
      <c r="J52" s="51" t="n"/>
      <c r="K52" s="51" t="n"/>
      <c r="L52" s="51" t="n"/>
    </row>
    <row r="53">
      <c r="B53" s="10"/>
      <c r="C53" s="14"/>
      <c r="D53" s="14"/>
      <c r="E53" s="18" t="s">
        <v>1161</v>
      </c>
      <c r="F53" s="50" t="n"/>
      <c r="G53" s="50" t="n"/>
      <c r="H53" s="50" t="n"/>
      <c r="I53" s="50" t="n"/>
      <c r="J53" s="50" t="n"/>
      <c r="K53" s="50" t="n"/>
      <c r="L53" s="50" t="n"/>
    </row>
    <row r="54">
      <c r="B54" s="10"/>
      <c r="C54" s="14"/>
      <c r="D54" s="15"/>
      <c r="E54" s="57" t="s">
        <v>1162</v>
      </c>
      <c r="F54" s="51" t="n">
        <f>SUM(F41:F53)</f>
      </c>
      <c r="G54" s="51" t="n">
        <f>SUM(G41:G53)</f>
      </c>
      <c r="H54" s="51" t="n">
        <f>SUM(H41:H53)</f>
      </c>
      <c r="I54" s="51" t="n">
        <f>SUM(I41:I53)</f>
      </c>
      <c r="J54" s="51" t="n">
        <f>SUM(J41:J53)</f>
      </c>
      <c r="K54" s="51" t="n">
        <f>SUM(K41:K53)</f>
      </c>
      <c r="L54" s="51" t="n">
        <f>SUM(L41:L53)</f>
      </c>
    </row>
    <row r="55">
      <c r="B55" s="10"/>
      <c r="C55" s="14"/>
      <c r="D55" s="7" t="s">
        <v>1163</v>
      </c>
      <c r="E55" s="9"/>
      <c r="F55" s="22"/>
      <c r="G55" s="22"/>
      <c r="H55" s="22"/>
      <c r="I55" s="22"/>
      <c r="J55" s="22"/>
      <c r="K55" s="22"/>
      <c r="L55" s="22"/>
    </row>
    <row r="56">
      <c r="B56" s="10"/>
      <c r="C56" s="14"/>
      <c r="D56" s="10"/>
      <c r="E56" s="19" t="s">
        <v>1164</v>
      </c>
      <c r="F56" s="51" t="n"/>
      <c r="G56" s="51" t="n"/>
      <c r="H56" s="51" t="n"/>
      <c r="I56" s="51" t="n"/>
      <c r="J56" s="51" t="n"/>
      <c r="K56" s="51" t="n"/>
      <c r="L56" s="51" t="n"/>
    </row>
    <row r="57">
      <c r="B57" s="10"/>
      <c r="C57" s="14"/>
      <c r="D57" s="10"/>
      <c r="E57" s="18" t="s">
        <v>1165</v>
      </c>
      <c r="F57" s="50" t="n"/>
      <c r="G57" s="50" t="n"/>
      <c r="H57" s="50" t="n"/>
      <c r="I57" s="50" t="n"/>
      <c r="J57" s="50" t="n"/>
      <c r="K57" s="50" t="n"/>
      <c r="L57" s="50" t="n"/>
    </row>
    <row r="58">
      <c r="B58" s="10"/>
      <c r="C58" s="14"/>
      <c r="D58" s="10"/>
      <c r="E58" s="19" t="s">
        <v>1166</v>
      </c>
      <c r="F58" s="51" t="n"/>
      <c r="G58" s="51" t="n"/>
      <c r="H58" s="51" t="n"/>
      <c r="I58" s="51" t="n"/>
      <c r="J58" s="51" t="n"/>
      <c r="K58" s="51" t="n"/>
      <c r="L58" s="51" t="n"/>
    </row>
    <row r="59">
      <c r="B59" s="10"/>
      <c r="C59" s="14"/>
      <c r="D59" s="10"/>
      <c r="E59" s="18" t="s">
        <v>1167</v>
      </c>
      <c r="F59" s="50" t="n"/>
      <c r="G59" s="50" t="n"/>
      <c r="H59" s="50" t="n"/>
      <c r="I59" s="50" t="n"/>
      <c r="J59" s="50" t="n"/>
      <c r="K59" s="50" t="n"/>
      <c r="L59" s="50" t="n"/>
    </row>
    <row r="60">
      <c r="B60" s="10"/>
      <c r="C60" s="14"/>
      <c r="D60" s="10"/>
      <c r="E60" s="19" t="s">
        <v>1168</v>
      </c>
      <c r="F60" s="51" t="n"/>
      <c r="G60" s="51" t="n"/>
      <c r="H60" s="51" t="n"/>
      <c r="I60" s="51" t="n"/>
      <c r="J60" s="51" t="n"/>
      <c r="K60" s="51" t="n"/>
      <c r="L60" s="51" t="n"/>
    </row>
    <row r="61">
      <c r="B61" s="10"/>
      <c r="C61" s="14"/>
      <c r="D61" s="10"/>
      <c r="E61" s="18" t="s">
        <v>1169</v>
      </c>
      <c r="F61" s="50" t="n"/>
      <c r="G61" s="50" t="n"/>
      <c r="H61" s="50" t="n"/>
      <c r="I61" s="50" t="n"/>
      <c r="J61" s="50" t="n"/>
      <c r="K61" s="50" t="n"/>
      <c r="L61" s="50" t="n"/>
    </row>
    <row r="62">
      <c r="B62" s="10"/>
      <c r="C62" s="14"/>
      <c r="D62" s="10"/>
      <c r="E62" s="19" t="s">
        <v>1170</v>
      </c>
      <c r="F62" s="51" t="n"/>
      <c r="G62" s="51" t="n"/>
      <c r="H62" s="51" t="n"/>
      <c r="I62" s="51" t="n"/>
      <c r="J62" s="51" t="n"/>
      <c r="K62" s="51" t="n"/>
      <c r="L62" s="51" t="n"/>
    </row>
    <row r="63">
      <c r="B63" s="10"/>
      <c r="C63" s="14"/>
      <c r="D63" s="10"/>
      <c r="E63" s="18" t="s">
        <v>1171</v>
      </c>
      <c r="F63" s="50" t="n"/>
      <c r="G63" s="50" t="n"/>
      <c r="H63" s="50" t="n"/>
      <c r="I63" s="50" t="n"/>
      <c r="J63" s="50" t="n"/>
      <c r="K63" s="50" t="n"/>
      <c r="L63" s="50" t="n"/>
    </row>
    <row r="64">
      <c r="B64" s="10"/>
      <c r="C64" s="14"/>
      <c r="D64" s="10"/>
      <c r="E64" s="19" t="s">
        <v>1172</v>
      </c>
      <c r="F64" s="51" t="n"/>
      <c r="G64" s="51" t="n"/>
      <c r="H64" s="51" t="n"/>
      <c r="I64" s="51" t="n"/>
      <c r="J64" s="51" t="n"/>
      <c r="K64" s="51" t="n"/>
      <c r="L64" s="51" t="n"/>
    </row>
    <row r="65">
      <c r="B65" s="10"/>
      <c r="C65" s="14"/>
      <c r="D65" s="10"/>
      <c r="E65" s="18" t="s">
        <v>1173</v>
      </c>
      <c r="F65" s="50" t="n"/>
      <c r="G65" s="50" t="n"/>
      <c r="H65" s="50" t="n"/>
      <c r="I65" s="50" t="n"/>
      <c r="J65" s="50" t="n"/>
      <c r="K65" s="50" t="n"/>
      <c r="L65" s="50" t="n"/>
    </row>
    <row r="66">
      <c r="B66" s="10"/>
      <c r="C66" s="14"/>
      <c r="D66" s="10"/>
      <c r="E66" s="19" t="s">
        <v>1174</v>
      </c>
      <c r="F66" s="51" t="n"/>
      <c r="G66" s="51" t="n"/>
      <c r="H66" s="51" t="n"/>
      <c r="I66" s="51" t="n"/>
      <c r="J66" s="51" t="n"/>
      <c r="K66" s="51" t="n"/>
      <c r="L66" s="51" t="n"/>
    </row>
    <row r="67">
      <c r="B67" s="10"/>
      <c r="C67" s="14"/>
      <c r="D67" s="11"/>
      <c r="E67" s="65" t="s">
        <v>1175</v>
      </c>
      <c r="F67" s="50" t="n">
        <f>SUM(F56:F66)</f>
      </c>
      <c r="G67" s="50" t="n">
        <f>SUM(G56:G66)</f>
      </c>
      <c r="H67" s="50" t="n">
        <f>SUM(H56:H66)</f>
      </c>
      <c r="I67" s="50" t="n">
        <f>SUM(I56:I66)</f>
      </c>
      <c r="J67" s="50" t="n">
        <f>SUM(J56:J66)</f>
      </c>
      <c r="K67" s="50" t="n">
        <f>SUM(K56:K66)</f>
      </c>
      <c r="L67" s="50" t="n">
        <f>SUM(L56:L66)</f>
      </c>
    </row>
    <row r="68">
      <c r="B68" s="10"/>
      <c r="C68" s="14"/>
      <c r="D68" s="12" t="s">
        <v>1176</v>
      </c>
      <c r="E68" s="13"/>
      <c r="F68" s="23"/>
      <c r="G68" s="23"/>
      <c r="H68" s="23"/>
      <c r="I68" s="23"/>
      <c r="J68" s="23"/>
      <c r="K68" s="23"/>
      <c r="L68" s="23"/>
    </row>
    <row r="69">
      <c r="B69" s="10"/>
      <c r="C69" s="14"/>
      <c r="D69" s="14"/>
      <c r="E69" s="18" t="s">
        <v>1177</v>
      </c>
      <c r="F69" s="50" t="n"/>
      <c r="G69" s="50" t="n"/>
      <c r="H69" s="50" t="n"/>
      <c r="I69" s="50" t="n"/>
      <c r="J69" s="50" t="n"/>
      <c r="K69" s="50" t="n"/>
      <c r="L69" s="50" t="n"/>
    </row>
    <row r="70">
      <c r="B70" s="10"/>
      <c r="C70" s="14"/>
      <c r="D70" s="14"/>
      <c r="E70" s="19" t="s">
        <v>1178</v>
      </c>
      <c r="F70" s="51" t="n"/>
      <c r="G70" s="51" t="n"/>
      <c r="H70" s="51" t="n"/>
      <c r="I70" s="51" t="n"/>
      <c r="J70" s="51" t="n"/>
      <c r="K70" s="51" t="n"/>
      <c r="L70" s="51" t="n"/>
    </row>
    <row r="71">
      <c r="B71" s="10"/>
      <c r="C71" s="14"/>
      <c r="D71" s="14"/>
      <c r="E71" s="18" t="s">
        <v>1179</v>
      </c>
      <c r="F71" s="50" t="n"/>
      <c r="G71" s="50" t="n"/>
      <c r="H71" s="50" t="n"/>
      <c r="I71" s="50" t="n"/>
      <c r="J71" s="50" t="n"/>
      <c r="K71" s="50" t="n"/>
      <c r="L71" s="50" t="n"/>
    </row>
    <row r="72">
      <c r="B72" s="10"/>
      <c r="C72" s="14"/>
      <c r="D72" s="14"/>
      <c r="E72" s="19" t="s">
        <v>1180</v>
      </c>
      <c r="F72" s="51" t="n"/>
      <c r="G72" s="51" t="n"/>
      <c r="H72" s="51" t="n"/>
      <c r="I72" s="51" t="n"/>
      <c r="J72" s="51" t="n"/>
      <c r="K72" s="51" t="n"/>
      <c r="L72" s="51" t="n"/>
    </row>
    <row r="73">
      <c r="B73" s="10"/>
      <c r="C73" s="14"/>
      <c r="D73" s="14"/>
      <c r="E73" s="18" t="s">
        <v>1181</v>
      </c>
      <c r="F73" s="50" t="n"/>
      <c r="G73" s="50" t="n"/>
      <c r="H73" s="50" t="n"/>
      <c r="I73" s="50" t="n"/>
      <c r="J73" s="50" t="n"/>
      <c r="K73" s="50" t="n"/>
      <c r="L73" s="50" t="n"/>
    </row>
    <row r="74">
      <c r="B74" s="10"/>
      <c r="C74" s="14"/>
      <c r="D74" s="14"/>
      <c r="E74" s="19" t="s">
        <v>1182</v>
      </c>
      <c r="F74" s="51" t="n"/>
      <c r="G74" s="51" t="n"/>
      <c r="H74" s="51" t="n"/>
      <c r="I74" s="51" t="n"/>
      <c r="J74" s="51" t="n"/>
      <c r="K74" s="51" t="n"/>
      <c r="L74" s="51" t="n"/>
    </row>
    <row r="75">
      <c r="B75" s="10"/>
      <c r="C75" s="14"/>
      <c r="D75" s="15"/>
      <c r="E75" s="65" t="s">
        <v>1183</v>
      </c>
      <c r="F75" s="50" t="n">
        <f>SUM(F69:F74)</f>
      </c>
      <c r="G75" s="50" t="n">
        <f>SUM(G69:G74)</f>
      </c>
      <c r="H75" s="50" t="n">
        <f>SUM(H69:H74)</f>
      </c>
      <c r="I75" s="50" t="n">
        <f>SUM(I69:I74)</f>
      </c>
      <c r="J75" s="50" t="n">
        <f>SUM(J69:J74)</f>
      </c>
      <c r="K75" s="50" t="n">
        <f>SUM(K69:K74)</f>
      </c>
      <c r="L75" s="50" t="n">
        <f>SUM(L69:L74)</f>
      </c>
    </row>
    <row r="76">
      <c r="B76" s="10"/>
      <c r="C76" s="14"/>
      <c r="D76" s="15" t="s">
        <v>1184</v>
      </c>
      <c r="E76" s="13"/>
      <c r="F76" s="51" t="n"/>
      <c r="G76" s="51" t="n"/>
      <c r="H76" s="51" t="n"/>
      <c r="I76" s="51" t="n"/>
      <c r="J76" s="51" t="n"/>
      <c r="K76" s="51" t="n"/>
      <c r="L76" s="51" t="n"/>
    </row>
    <row r="77">
      <c r="B77" s="10"/>
      <c r="C77" s="14"/>
      <c r="D77" s="11" t="s">
        <v>1185</v>
      </c>
      <c r="E77" s="9"/>
      <c r="F77" s="50" t="n"/>
      <c r="G77" s="50" t="n"/>
      <c r="H77" s="50" t="n"/>
      <c r="I77" s="50" t="n"/>
      <c r="J77" s="50" t="n"/>
      <c r="K77" s="50" t="n"/>
      <c r="L77" s="50" t="n"/>
    </row>
    <row r="78">
      <c r="B78" s="10"/>
      <c r="C78" s="14"/>
      <c r="D78" s="15" t="s">
        <v>1186</v>
      </c>
      <c r="E78" s="13"/>
      <c r="F78" s="51" t="n"/>
      <c r="G78" s="51" t="n"/>
      <c r="H78" s="51" t="n"/>
      <c r="I78" s="51" t="n"/>
      <c r="J78" s="51" t="n"/>
      <c r="K78" s="51" t="n"/>
      <c r="L78" s="51" t="n"/>
    </row>
    <row r="79">
      <c r="B79" s="10"/>
      <c r="C79" s="14"/>
      <c r="D79" s="11" t="s">
        <v>1187</v>
      </c>
      <c r="E79" s="9"/>
      <c r="F79" s="50" t="n"/>
      <c r="G79" s="50" t="n"/>
      <c r="H79" s="50" t="n"/>
      <c r="I79" s="50" t="n"/>
      <c r="J79" s="50" t="n"/>
      <c r="K79" s="50" t="n"/>
      <c r="L79" s="50" t="n"/>
    </row>
    <row r="80">
      <c r="B80" s="10"/>
      <c r="C80" s="14"/>
      <c r="D80" s="15" t="s">
        <v>1188</v>
      </c>
      <c r="E80" s="13"/>
      <c r="F80" s="51" t="n"/>
      <c r="G80" s="51" t="n"/>
      <c r="H80" s="51" t="n"/>
      <c r="I80" s="51" t="n"/>
      <c r="J80" s="51" t="n"/>
      <c r="K80" s="51" t="n"/>
      <c r="L80" s="51" t="n"/>
    </row>
    <row r="81">
      <c r="B81" s="10"/>
      <c r="C81" s="14"/>
      <c r="D81" s="11" t="s">
        <v>1189</v>
      </c>
      <c r="E81" s="9"/>
      <c r="F81" s="50" t="n"/>
      <c r="G81" s="50" t="n"/>
      <c r="H81" s="50" t="n"/>
      <c r="I81" s="50" t="n"/>
      <c r="J81" s="50" t="n"/>
      <c r="K81" s="50" t="n"/>
      <c r="L81" s="50" t="n"/>
    </row>
    <row r="82">
      <c r="B82" s="10"/>
      <c r="C82" s="14"/>
      <c r="D82" s="15" t="s">
        <v>1190</v>
      </c>
      <c r="E82" s="13"/>
      <c r="F82" s="51" t="n"/>
      <c r="G82" s="51" t="n"/>
      <c r="H82" s="51" t="n"/>
      <c r="I82" s="51" t="n"/>
      <c r="J82" s="51" t="n"/>
      <c r="K82" s="51" t="n"/>
      <c r="L82" s="51" t="n"/>
    </row>
    <row r="83">
      <c r="B83" s="10"/>
      <c r="C83" s="14"/>
      <c r="D83" s="11" t="s">
        <v>1191</v>
      </c>
      <c r="E83" s="9"/>
      <c r="F83" s="50" t="n"/>
      <c r="G83" s="50" t="n"/>
      <c r="H83" s="50" t="n"/>
      <c r="I83" s="50" t="n"/>
      <c r="J83" s="50" t="n"/>
      <c r="K83" s="50" t="n"/>
      <c r="L83" s="50" t="n"/>
    </row>
    <row r="84">
      <c r="B84" s="10"/>
      <c r="C84" s="14"/>
      <c r="D84" s="15" t="s">
        <v>1192</v>
      </c>
      <c r="E84" s="13"/>
      <c r="F84" s="51" t="n"/>
      <c r="G84" s="51" t="n"/>
      <c r="H84" s="51" t="n"/>
      <c r="I84" s="51" t="n"/>
      <c r="J84" s="51" t="n"/>
      <c r="K84" s="51" t="n"/>
      <c r="L84" s="51" t="n"/>
    </row>
    <row r="85">
      <c r="B85" s="10"/>
      <c r="C85" s="14"/>
      <c r="D85" s="11" t="s">
        <v>1193</v>
      </c>
      <c r="E85" s="9"/>
      <c r="F85" s="50" t="n"/>
      <c r="G85" s="50" t="n"/>
      <c r="H85" s="50" t="n"/>
      <c r="I85" s="50" t="n"/>
      <c r="J85" s="50" t="n"/>
      <c r="K85" s="50" t="n"/>
      <c r="L85" s="50" t="n"/>
    </row>
    <row r="86">
      <c r="B86" s="11"/>
      <c r="C86" s="15"/>
      <c r="D86" s="40" t="s">
        <v>1194</v>
      </c>
      <c r="E86" s="39"/>
      <c r="F86" s="52" t="n">
        <f>SUM(F17:F23)+F28+F29+SUM(F37:F39)+F54+F67+SUM(F75:F85)</f>
      </c>
      <c r="G86" s="52" t="n">
        <f>SUM(G17:G23)+G28+G29+SUM(G37:G39)+G54+G67+SUM(G75:G85)</f>
      </c>
      <c r="H86" s="52" t="n">
        <f>SUM(H17:H23)+H28+H29+SUM(H37:H39)+H54+H67+SUM(H75:H85)</f>
      </c>
      <c r="I86" s="52" t="n">
        <f>SUM(I17:I23)+I28+I29+SUM(I37:I39)+I54+I67+SUM(I75:I85)</f>
      </c>
      <c r="J86" s="52" t="n">
        <f>SUM(J17:J23)+J28+J29+SUM(J37:J39)+J54+J67+SUM(J75:J85)</f>
      </c>
      <c r="K86" s="52" t="n">
        <f>SUM(K17:K23)+K28+K29+SUM(K37:K39)+K54+K67+SUM(K75:K85)</f>
      </c>
      <c r="L86" s="52" t="n">
        <f>SUM(L17:L23)+L28+L29+SUM(L37:L39)+L54+L67+SUM(L75:L85)</f>
      </c>
    </row>
  </sheetData>
  <mergeCells>
    <mergeCell ref="F10:L10"/>
    <mergeCell ref="F11:L11"/>
    <mergeCell ref="B13:E13"/>
    <mergeCell ref="C14:E14"/>
    <mergeCell ref="D15:E15"/>
    <mergeCell ref="C16:E16"/>
    <mergeCell ref="D17:E17"/>
    <mergeCell ref="D18:E18"/>
    <mergeCell ref="D19:E19"/>
    <mergeCell ref="D20:E20"/>
    <mergeCell ref="D21:E21"/>
    <mergeCell ref="D22:E22"/>
    <mergeCell ref="D23:E23"/>
    <mergeCell ref="D24:E24"/>
    <mergeCell ref="D29:E29"/>
    <mergeCell ref="D30:E30"/>
    <mergeCell ref="D38:E38"/>
    <mergeCell ref="D39:E39"/>
    <mergeCell ref="D40:E40"/>
    <mergeCell ref="D55:E55"/>
    <mergeCell ref="D68:E68"/>
    <mergeCell ref="D76:E76"/>
    <mergeCell ref="D77:E77"/>
    <mergeCell ref="D78:E78"/>
    <mergeCell ref="D79:E79"/>
    <mergeCell ref="D80:E80"/>
    <mergeCell ref="D81:E81"/>
    <mergeCell ref="D82:E82"/>
    <mergeCell ref="D83:E83"/>
    <mergeCell ref="D84:E84"/>
    <mergeCell ref="D85:E85"/>
    <mergeCell ref="D86:E86"/>
  </mergeCells>
  <hyperlinks>
    <hyperlink location="'Indice'!A1" ref="B2"/>
  </hyperlinks>
  <pageMargins bottom="0.75" footer="0.3" header="0.3" left="0.7" right="0.7" top="0.75"/>
</worksheet>
</file>

<file path=xl/worksheets/sheet62.xml><?xml version="1.0" encoding="utf-8"?>
<worksheet xmlns="http://schemas.openxmlformats.org/spreadsheetml/2006/main">
  <dimension ref="B2:I27"/>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s>
  <sheetData>
    <row r="2">
      <c r="B2" t="s" s="2">
        <v>1</v>
      </c>
    </row>
    <row r="3">
      <c r="B3" t="s" s="1">
        <v>3</v>
      </c>
      <c r="C3" t="s">
        <v>4</v>
      </c>
    </row>
    <row r="4">
      <c r="B4" s="1" t="s">
        <v>5</v>
      </c>
      <c r="C4" t="s">
        <v>6</v>
      </c>
    </row>
    <row r="5">
      <c r="B5" t="s" s="1">
        <v>7</v>
      </c>
      <c r="C5" t="s">
        <v>1667</v>
      </c>
    </row>
    <row r="6">
      <c r="B6" t="s" s="1">
        <v>8</v>
      </c>
      <c r="C6" t="s">
        <v>9</v>
      </c>
    </row>
    <row r="7">
      <c r="B7" t="s" s="1">
        <v>10</v>
      </c>
      <c r="C7" t="s">
        <v>9</v>
      </c>
    </row>
    <row r="8">
      <c r="B8" t="s" s="1">
        <v>11</v>
      </c>
      <c r="C8" t="s">
        <v>12</v>
      </c>
    </row>
    <row r="10" ht="42.0" customHeight="true">
      <c r="E10" t="s" s="4">
        <v>1668</v>
      </c>
      <c r="F10" s="29"/>
      <c r="G10" s="29"/>
      <c r="H10" s="30"/>
    </row>
    <row r="11">
      <c r="E11" t="s" s="32">
        <v>1613</v>
      </c>
      <c r="F11" s="61"/>
      <c r="G11" s="62"/>
      <c r="H11" s="33" t="s">
        <v>1670</v>
      </c>
    </row>
    <row r="12">
      <c r="E12" t="s" s="6">
        <v>36</v>
      </c>
      <c r="F12" t="s" s="34">
        <v>37</v>
      </c>
      <c r="G12" s="6" t="s">
        <v>1669</v>
      </c>
      <c r="H12" s="67"/>
    </row>
    <row r="13">
      <c r="B13" s="7" t="s">
        <v>1671</v>
      </c>
      <c r="C13" s="8"/>
      <c r="D13" s="9"/>
      <c r="E13" s="22"/>
      <c r="F13" s="22"/>
      <c r="G13" s="22"/>
      <c r="H13" s="22"/>
    </row>
    <row r="14">
      <c r="B14" s="10"/>
      <c r="C14" s="12" t="s">
        <v>1672</v>
      </c>
      <c r="D14" s="13"/>
      <c r="E14" s="23"/>
      <c r="F14" s="23"/>
      <c r="G14" s="23"/>
      <c r="H14" s="23"/>
    </row>
    <row r="15">
      <c r="B15" s="10"/>
      <c r="C15" s="14"/>
      <c r="D15" s="18" t="s">
        <v>1673</v>
      </c>
      <c r="E15" s="22"/>
      <c r="F15" s="22"/>
      <c r="G15" s="22"/>
      <c r="H15" s="21"/>
    </row>
    <row r="16">
      <c r="B16" s="10"/>
      <c r="C16" s="15"/>
      <c r="D16" s="19" t="s">
        <v>1674</v>
      </c>
      <c r="E16" s="23"/>
      <c r="F16" s="23"/>
      <c r="G16" s="23"/>
      <c r="H16" s="20"/>
    </row>
    <row r="17">
      <c r="B17" s="10"/>
      <c r="C17" s="7" t="s">
        <v>1675</v>
      </c>
      <c r="D17" s="9"/>
      <c r="E17" s="22"/>
      <c r="F17" s="22"/>
      <c r="G17" s="22"/>
      <c r="H17" s="22"/>
    </row>
    <row r="18">
      <c r="B18" s="10"/>
      <c r="C18" s="10"/>
      <c r="D18" s="19" t="s">
        <v>1676</v>
      </c>
      <c r="E18" s="51" t="n"/>
      <c r="F18" s="51" t="n"/>
      <c r="G18" s="23"/>
      <c r="H18" s="23"/>
    </row>
    <row r="19">
      <c r="B19" s="10"/>
      <c r="C19" s="10"/>
      <c r="D19" s="18" t="s">
        <v>1677</v>
      </c>
      <c r="E19" s="50" t="n"/>
      <c r="F19" s="50" t="n"/>
      <c r="G19" s="22"/>
      <c r="H19" s="22"/>
    </row>
    <row r="20">
      <c r="B20" s="10"/>
      <c r="C20" s="10"/>
      <c r="D20" s="19" t="s">
        <v>1678</v>
      </c>
      <c r="E20" s="51" t="n"/>
      <c r="F20" s="51" t="n"/>
      <c r="G20" s="23"/>
      <c r="H20" s="23"/>
    </row>
    <row r="21">
      <c r="B21" s="10"/>
      <c r="C21" s="10"/>
      <c r="D21" s="18" t="s">
        <v>1679</v>
      </c>
      <c r="E21" s="50" t="n"/>
      <c r="F21" s="50" t="n"/>
      <c r="G21" s="22"/>
      <c r="H21" s="22"/>
    </row>
    <row r="22">
      <c r="B22" s="10"/>
      <c r="C22" s="10"/>
      <c r="D22" s="19" t="s">
        <v>1680</v>
      </c>
      <c r="E22" s="51" t="n"/>
      <c r="F22" s="51" t="n"/>
      <c r="G22" s="23"/>
      <c r="H22" s="23"/>
    </row>
    <row r="23">
      <c r="B23" s="10"/>
      <c r="C23" s="10"/>
      <c r="D23" s="18" t="s">
        <v>1681</v>
      </c>
      <c r="E23" s="50" t="n"/>
      <c r="F23" s="50" t="n"/>
      <c r="G23" s="22"/>
      <c r="H23" s="22"/>
    </row>
    <row r="24">
      <c r="B24" s="10"/>
      <c r="C24" s="10"/>
      <c r="D24" s="19" t="s">
        <v>1682</v>
      </c>
      <c r="E24" s="51" t="n"/>
      <c r="F24" s="23"/>
      <c r="G24" s="23"/>
      <c r="H24" s="23"/>
    </row>
    <row r="25">
      <c r="B25" s="10"/>
      <c r="C25" s="10"/>
      <c r="D25" s="18" t="s">
        <v>1683</v>
      </c>
      <c r="E25" s="22"/>
      <c r="F25" s="50" t="n"/>
      <c r="G25" s="22"/>
      <c r="H25" s="22"/>
    </row>
    <row r="26">
      <c r="B26" s="10"/>
      <c r="C26" s="10"/>
      <c r="D26" s="19" t="s">
        <v>1684</v>
      </c>
      <c r="E26" s="51" t="n"/>
      <c r="F26" s="51" t="n"/>
      <c r="G26" s="23"/>
      <c r="H26" s="23"/>
    </row>
    <row r="27">
      <c r="B27" s="11"/>
      <c r="C27" s="11"/>
      <c r="D27" s="18" t="s">
        <v>1685</v>
      </c>
      <c r="E27" s="53" t="n"/>
      <c r="F27" s="53" t="n"/>
      <c r="G27" s="58"/>
      <c r="H27" s="58"/>
    </row>
  </sheetData>
  <mergeCells>
    <mergeCell ref="E10:H10"/>
    <mergeCell ref="E11:G11"/>
    <mergeCell ref="H11:H12"/>
    <mergeCell ref="B13:D13"/>
    <mergeCell ref="C14:D14"/>
    <mergeCell ref="C17:D17"/>
  </mergeCells>
  <dataValidations count="2">
    <dataValidation type="list" sqref="H15" allowBlank="true" errorStyle="stop" showErrorMessage="true" showDropDown="false">
      <formula1>sspdtipos_TipoClasificacionEmpresarialSegunResolucionCRA906Del2019</formula1>
    </dataValidation>
    <dataValidation type="list" sqref="H16" allowBlank="true" errorStyle="stop" showErrorMessage="true" showDropDown="false">
      <formula1>sspdtipos_TipoSiNo</formula1>
    </dataValidation>
  </dataValidations>
  <hyperlinks>
    <hyperlink location="'Indice'!A1" ref="B2"/>
  </hyperlinks>
  <pageMargins bottom="0.75" footer="0.3" header="0.3" left="0.7" right="0.7" top="0.75"/>
</worksheet>
</file>

<file path=xl/worksheets/sheet63.xml><?xml version="1.0" encoding="utf-8"?>
<worksheet xmlns="http://schemas.openxmlformats.org/spreadsheetml/2006/main">
  <dimension ref="B2:F25"/>
  <sheetViews>
    <sheetView workbookViewId="0" showGridLines="false"/>
  </sheetViews>
  <sheetFormatPr defaultRowHeight="15.0"/>
  <cols>
    <col min="2" max="2" width="2.70703125" customWidth="true"/>
    <col min="3" max="3" width="50.0" customWidth="true"/>
    <col min="4" max="4" width="15.0" customWidth="true"/>
    <col min="5" max="5" width="15.0" customWidth="true"/>
  </cols>
  <sheetData>
    <row r="2">
      <c r="B2" t="s" s="2">
        <v>1</v>
      </c>
    </row>
    <row r="3">
      <c r="B3" t="s" s="1">
        <v>3</v>
      </c>
      <c r="C3" t="s">
        <v>4</v>
      </c>
    </row>
    <row r="4">
      <c r="B4" s="1" t="s">
        <v>5</v>
      </c>
      <c r="C4" t="s">
        <v>6</v>
      </c>
    </row>
    <row r="5">
      <c r="B5" t="s" s="1">
        <v>7</v>
      </c>
      <c r="C5" t="s">
        <v>1690</v>
      </c>
    </row>
    <row r="6">
      <c r="B6" t="s" s="1">
        <v>8</v>
      </c>
      <c r="C6" t="s">
        <v>9</v>
      </c>
    </row>
    <row r="7">
      <c r="B7" t="s" s="1">
        <v>10</v>
      </c>
      <c r="C7" t="s">
        <v>9</v>
      </c>
    </row>
    <row r="8">
      <c r="B8" t="s" s="1">
        <v>11</v>
      </c>
      <c r="C8" t="s">
        <v>12</v>
      </c>
    </row>
    <row r="10" ht="42.0" customHeight="true">
      <c r="D10" t="s" s="4">
        <v>1691</v>
      </c>
      <c r="E10" s="30"/>
    </row>
    <row r="11">
      <c r="D11" t="s" s="32">
        <v>1692</v>
      </c>
      <c r="E11" s="62"/>
    </row>
    <row r="12">
      <c r="D12" t="s" s="6">
        <v>1693</v>
      </c>
      <c r="E12" s="34" t="s">
        <v>1694</v>
      </c>
    </row>
    <row r="13">
      <c r="B13" s="7" t="s">
        <v>1695</v>
      </c>
      <c r="C13" s="9"/>
      <c r="D13" s="22"/>
      <c r="E13" s="22"/>
    </row>
    <row r="14">
      <c r="B14" s="10"/>
      <c r="C14" s="19" t="s">
        <v>1696</v>
      </c>
      <c r="D14" s="51" t="n"/>
      <c r="E14" s="51" t="n"/>
    </row>
    <row r="15">
      <c r="B15" s="10"/>
      <c r="C15" s="18" t="s">
        <v>1697</v>
      </c>
      <c r="D15" s="50" t="n"/>
      <c r="E15" s="50" t="n"/>
    </row>
    <row r="16">
      <c r="B16" s="10"/>
      <c r="C16" s="19" t="s">
        <v>1698</v>
      </c>
      <c r="D16" s="51" t="n"/>
      <c r="E16" s="51" t="n"/>
    </row>
    <row r="17">
      <c r="B17" s="10"/>
      <c r="C17" s="18" t="s">
        <v>1699</v>
      </c>
      <c r="D17" s="50" t="n"/>
      <c r="E17" s="50" t="n"/>
    </row>
    <row r="18">
      <c r="B18" s="10"/>
      <c r="C18" s="19" t="s">
        <v>1700</v>
      </c>
      <c r="D18" s="51" t="n"/>
      <c r="E18" s="51" t="n"/>
    </row>
    <row r="19">
      <c r="B19" s="10"/>
      <c r="C19" s="18" t="s">
        <v>1701</v>
      </c>
      <c r="D19" s="50" t="n"/>
      <c r="E19" s="50" t="n"/>
    </row>
    <row r="20">
      <c r="B20" s="10"/>
      <c r="C20" s="19" t="s">
        <v>1702</v>
      </c>
      <c r="D20" s="51" t="n"/>
      <c r="E20" s="51" t="n"/>
    </row>
    <row r="21">
      <c r="B21" s="10"/>
      <c r="C21" s="18" t="s">
        <v>1703</v>
      </c>
      <c r="D21" s="50" t="n"/>
      <c r="E21" s="50" t="n"/>
    </row>
    <row r="22">
      <c r="B22" s="10"/>
      <c r="C22" s="19" t="s">
        <v>1704</v>
      </c>
      <c r="D22" s="51" t="n"/>
      <c r="E22" s="51" t="n"/>
    </row>
    <row r="23">
      <c r="B23" s="10"/>
      <c r="C23" s="18" t="s">
        <v>1705</v>
      </c>
      <c r="D23" s="50" t="n"/>
      <c r="E23" s="50" t="n"/>
    </row>
    <row r="24">
      <c r="B24" s="10"/>
      <c r="C24" s="19" t="s">
        <v>1706</v>
      </c>
      <c r="D24" s="51" t="n"/>
      <c r="E24" s="51" t="n"/>
    </row>
    <row r="25">
      <c r="B25" s="11"/>
      <c r="C25" s="18" t="s">
        <v>1707</v>
      </c>
      <c r="D25" s="53" t="n"/>
      <c r="E25" s="53" t="n"/>
    </row>
  </sheetData>
  <mergeCells>
    <mergeCell ref="D10:E10"/>
    <mergeCell ref="D11:E11"/>
    <mergeCell ref="B13:C13"/>
  </mergeCells>
  <hyperlinks>
    <hyperlink location="'Indice'!A1" ref="B2"/>
  </hyperlinks>
  <pageMargins bottom="0.75" footer="0.3" header="0.3" left="0.7" right="0.7" top="0.75"/>
</worksheet>
</file>

<file path=xl/worksheets/sheet64.xml><?xml version="1.0" encoding="utf-8"?>
<worksheet xmlns="http://schemas.openxmlformats.org/spreadsheetml/2006/main">
  <dimension ref="B2:E25"/>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1708</v>
      </c>
    </row>
    <row r="6">
      <c r="B6" t="s" s="1">
        <v>8</v>
      </c>
      <c r="C6" t="s">
        <v>9</v>
      </c>
    </row>
    <row r="7">
      <c r="B7" t="s" s="1">
        <v>10</v>
      </c>
      <c r="C7" t="s">
        <v>9</v>
      </c>
    </row>
    <row r="8">
      <c r="B8" t="s" s="1">
        <v>11</v>
      </c>
      <c r="C8" t="s">
        <v>12</v>
      </c>
    </row>
    <row r="10">
      <c r="D10" t="s" s="5">
        <v>1691</v>
      </c>
    </row>
    <row r="11">
      <c r="D11" s="33" t="s">
        <v>1692</v>
      </c>
    </row>
    <row r="12">
      <c r="D12" s="6" t="s">
        <v>1709</v>
      </c>
    </row>
    <row r="13" ht="28.0" customHeight="true">
      <c r="B13" s="7" t="s">
        <v>1710</v>
      </c>
      <c r="C13" s="9"/>
      <c r="D13" s="22"/>
    </row>
    <row r="14">
      <c r="B14" s="10"/>
      <c r="C14" s="19" t="s">
        <v>1696</v>
      </c>
      <c r="D14" s="51" t="n"/>
    </row>
    <row r="15">
      <c r="B15" s="10"/>
      <c r="C15" s="18" t="s">
        <v>1697</v>
      </c>
      <c r="D15" s="50" t="n"/>
    </row>
    <row r="16">
      <c r="B16" s="10"/>
      <c r="C16" s="19" t="s">
        <v>1698</v>
      </c>
      <c r="D16" s="51" t="n"/>
    </row>
    <row r="17">
      <c r="B17" s="10"/>
      <c r="C17" s="18" t="s">
        <v>1699</v>
      </c>
      <c r="D17" s="50" t="n"/>
    </row>
    <row r="18">
      <c r="B18" s="10"/>
      <c r="C18" s="19" t="s">
        <v>1700</v>
      </c>
      <c r="D18" s="51" t="n"/>
    </row>
    <row r="19">
      <c r="B19" s="10"/>
      <c r="C19" s="18" t="s">
        <v>1701</v>
      </c>
      <c r="D19" s="50" t="n"/>
    </row>
    <row r="20">
      <c r="B20" s="10"/>
      <c r="C20" s="19" t="s">
        <v>1702</v>
      </c>
      <c r="D20" s="51" t="n"/>
    </row>
    <row r="21">
      <c r="B21" s="10"/>
      <c r="C21" s="18" t="s">
        <v>1703</v>
      </c>
      <c r="D21" s="50" t="n"/>
    </row>
    <row r="22">
      <c r="B22" s="10"/>
      <c r="C22" s="19" t="s">
        <v>1704</v>
      </c>
      <c r="D22" s="51" t="n"/>
    </row>
    <row r="23">
      <c r="B23" s="10"/>
      <c r="C23" s="18" t="s">
        <v>1705</v>
      </c>
      <c r="D23" s="50" t="n"/>
    </row>
    <row r="24">
      <c r="B24" s="10"/>
      <c r="C24" s="19" t="s">
        <v>1706</v>
      </c>
      <c r="D24" s="51" t="n"/>
    </row>
    <row r="25">
      <c r="B25" s="11"/>
      <c r="C25" s="18" t="s">
        <v>1707</v>
      </c>
      <c r="D25" s="53" t="n"/>
    </row>
  </sheetData>
  <mergeCells>
    <mergeCell ref="B13:C13"/>
  </mergeCells>
  <hyperlinks>
    <hyperlink location="'Indice'!A1" ref="B2"/>
  </hyperlinks>
  <pageMargins bottom="0.75" footer="0.3" header="0.3" left="0.7" right="0.7" top="0.75"/>
</worksheet>
</file>

<file path=xl/worksheets/sheet65.xml><?xml version="1.0" encoding="utf-8"?>
<worksheet xmlns="http://schemas.openxmlformats.org/spreadsheetml/2006/main">
  <dimension ref="B2:R12"/>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s>
  <sheetData>
    <row r="2">
      <c r="B2" t="s" s="2">
        <v>1</v>
      </c>
    </row>
    <row r="3">
      <c r="B3" t="s" s="1">
        <v>3</v>
      </c>
      <c r="C3" t="s">
        <v>4</v>
      </c>
    </row>
    <row r="4">
      <c r="B4" s="1" t="s">
        <v>5</v>
      </c>
      <c r="C4" t="s">
        <v>6</v>
      </c>
    </row>
    <row r="5">
      <c r="B5" t="s" s="1">
        <v>7</v>
      </c>
      <c r="C5" t="s">
        <v>1711</v>
      </c>
    </row>
    <row r="6">
      <c r="B6" t="s" s="1">
        <v>8</v>
      </c>
      <c r="C6" t="s">
        <v>9</v>
      </c>
    </row>
    <row r="7">
      <c r="B7" t="s" s="1">
        <v>10</v>
      </c>
      <c r="C7" t="s">
        <v>9</v>
      </c>
    </row>
    <row r="8">
      <c r="B8" t="s" s="1">
        <v>11</v>
      </c>
      <c r="C8" t="s">
        <v>12</v>
      </c>
    </row>
    <row r="10">
      <c r="C10" t="s" s="4">
        <v>1712</v>
      </c>
      <c r="D10" s="29"/>
      <c r="E10" s="29"/>
      <c r="F10" s="29"/>
      <c r="G10" s="29"/>
      <c r="H10" s="29"/>
      <c r="I10" s="29"/>
      <c r="J10" s="29"/>
      <c r="K10" s="29"/>
      <c r="L10" s="29"/>
      <c r="M10" s="29"/>
      <c r="N10" s="29"/>
      <c r="O10" s="29"/>
      <c r="P10" s="29"/>
      <c r="Q10" s="30"/>
    </row>
    <row r="11">
      <c r="C11" t="s" s="34">
        <v>1713</v>
      </c>
      <c r="D11" t="s" s="6">
        <v>1714</v>
      </c>
      <c r="E11" t="s" s="34">
        <v>1715</v>
      </c>
      <c r="F11" t="s" s="6">
        <v>1696</v>
      </c>
      <c r="G11" t="s" s="34">
        <v>1697</v>
      </c>
      <c r="H11" t="s" s="6">
        <v>1698</v>
      </c>
      <c r="I11" t="s" s="34">
        <v>1699</v>
      </c>
      <c r="J11" t="s" s="6">
        <v>1700</v>
      </c>
      <c r="K11" t="s" s="34">
        <v>1701</v>
      </c>
      <c r="L11" t="s" s="6">
        <v>1702</v>
      </c>
      <c r="M11" t="s" s="34">
        <v>1703</v>
      </c>
      <c r="N11" t="s" s="6">
        <v>1704</v>
      </c>
      <c r="O11" t="s" s="34">
        <v>1705</v>
      </c>
      <c r="P11" t="s" s="6">
        <v>1706</v>
      </c>
      <c r="Q11" s="34" t="s">
        <v>1707</v>
      </c>
    </row>
    <row r="12">
      <c r="B12" s="18" t="s">
        <v>1716</v>
      </c>
      <c r="C12" s="58"/>
      <c r="D12" s="58"/>
      <c r="E12" s="58"/>
      <c r="F12" s="58"/>
      <c r="G12" s="58"/>
      <c r="H12" s="58"/>
      <c r="I12" s="58"/>
      <c r="J12" s="58"/>
      <c r="K12" s="58"/>
      <c r="L12" s="58"/>
      <c r="M12" s="58"/>
      <c r="N12" s="58"/>
      <c r="O12" s="58"/>
      <c r="P12" s="58"/>
      <c r="Q12" s="58"/>
    </row>
  </sheetData>
  <mergeCells>
    <mergeCell ref="C10:Q10"/>
  </mergeCells>
  <hyperlinks>
    <hyperlink location="'Indice'!A1" ref="B2"/>
  </hyperlinks>
  <pageMargins bottom="0.75" footer="0.3" header="0.3" left="0.7" right="0.7" top="0.75"/>
</worksheet>
</file>

<file path=xl/worksheets/sheet66.xml><?xml version="1.0" encoding="utf-8"?>
<worksheet xmlns="http://schemas.openxmlformats.org/spreadsheetml/2006/main">
  <dimension ref="B2:G16"/>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s>
  <sheetData>
    <row r="2">
      <c r="B2" t="s" s="2">
        <v>1</v>
      </c>
    </row>
    <row r="3">
      <c r="B3" t="s" s="1">
        <v>3</v>
      </c>
      <c r="C3" t="s">
        <v>4</v>
      </c>
    </row>
    <row r="4">
      <c r="B4" s="1" t="s">
        <v>5</v>
      </c>
      <c r="C4" t="s">
        <v>6</v>
      </c>
    </row>
    <row r="5">
      <c r="B5" t="s" s="1">
        <v>7</v>
      </c>
      <c r="C5" t="s">
        <v>1717</v>
      </c>
    </row>
    <row r="6">
      <c r="B6" t="s" s="1">
        <v>8</v>
      </c>
      <c r="C6" t="s">
        <v>9</v>
      </c>
    </row>
    <row r="7">
      <c r="B7" t="s" s="1">
        <v>10</v>
      </c>
      <c r="C7" t="s">
        <v>9</v>
      </c>
    </row>
    <row r="8">
      <c r="B8" t="s" s="1">
        <v>11</v>
      </c>
      <c r="C8" t="s">
        <v>12</v>
      </c>
    </row>
    <row r="10" ht="28.0" customHeight="true">
      <c r="D10" t="s" s="4">
        <v>1718</v>
      </c>
      <c r="E10" s="29"/>
      <c r="F10" s="30"/>
    </row>
    <row r="11">
      <c r="D11" t="s" s="34">
        <v>1534</v>
      </c>
      <c r="E11" t="s" s="6">
        <v>1719</v>
      </c>
      <c r="F11" s="34" t="s">
        <v>1720</v>
      </c>
    </row>
    <row r="12">
      <c r="B12" s="7" t="s">
        <v>1721</v>
      </c>
      <c r="C12" s="9"/>
      <c r="D12" s="23"/>
      <c r="E12" s="23"/>
      <c r="F12" s="23"/>
    </row>
    <row r="13">
      <c r="B13" s="10"/>
      <c r="C13" s="19" t="s">
        <v>1722</v>
      </c>
      <c r="D13" s="21"/>
      <c r="E13" s="50" t="n"/>
      <c r="F13" s="50" t="n"/>
    </row>
    <row r="14">
      <c r="B14" s="10"/>
      <c r="C14" s="18" t="s">
        <v>1723</v>
      </c>
      <c r="D14" s="20"/>
      <c r="E14" s="51" t="n"/>
      <c r="F14" s="51" t="n"/>
    </row>
    <row r="15">
      <c r="B15" s="10"/>
      <c r="C15" s="19" t="s">
        <v>1724</v>
      </c>
      <c r="D15" s="21"/>
      <c r="E15" s="50" t="n"/>
      <c r="F15" s="50" t="n"/>
    </row>
    <row r="16">
      <c r="B16" s="11"/>
      <c r="C16" s="18" t="s">
        <v>1725</v>
      </c>
      <c r="D16" s="28"/>
      <c r="E16" s="52" t="n"/>
      <c r="F16" s="52" t="n"/>
    </row>
  </sheetData>
  <mergeCells>
    <mergeCell ref="D10:F10"/>
    <mergeCell ref="B12:C12"/>
  </mergeCells>
  <dataValidations count="4">
    <dataValidation type="list" sqref="D13" allowBlank="true" errorStyle="stop" showErrorMessage="true" showDropDown="false">
      <formula1>sspdtipos_TipoPeriodoFaseDeProgresividad</formula1>
    </dataValidation>
    <dataValidation type="list" sqref="D14" allowBlank="true" errorStyle="stop" showErrorMessage="true" showDropDown="false">
      <formula1>sspdtipos_TipoPeriodoFaseDeProgresividad</formula1>
    </dataValidation>
    <dataValidation type="list" sqref="D15" allowBlank="true" errorStyle="stop" showErrorMessage="true" showDropDown="false">
      <formula1>sspdtipos_TipoPeriodoFaseDeProgresividad</formula1>
    </dataValidation>
    <dataValidation type="list" sqref="D16" allowBlank="true" errorStyle="stop" showErrorMessage="true" showDropDown="false">
      <formula1>sspdtipos_TipoPeriodoFaseDeProgresividad</formula1>
    </dataValidation>
  </dataValidations>
  <hyperlinks>
    <hyperlink location="'Indice'!A1" ref="B2"/>
  </hyperlinks>
  <pageMargins bottom="0.75" footer="0.3" header="0.3" left="0.7" right="0.7" top="0.75"/>
</worksheet>
</file>

<file path=docProps/app.xml><?xml version="1.0" encoding="utf-8"?>
<Properties xmlns="http://schemas.openxmlformats.org/officeDocument/2006/extended-properties">
  <Application>XBRL Editor Express - Editor rápido de informes XBRL</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2025-11-21T22:57:26Z</dcterms:created>
  <dc:creator>20037 miembro de 20037</dc:creator>
  <dc:subject>Reporting Standard S.L. - Exportación a Excel de XBRL</dc:subject>
</cp:coreProperties>
</file>