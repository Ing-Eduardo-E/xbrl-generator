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1a516d432b37f/1. Documentos 2026/Empoalbán ESP/Taxonomías/"/>
    </mc:Choice>
  </mc:AlternateContent>
  <xr:revisionPtr revIDLastSave="0" documentId="8_{CC426DB5-681F-4D0F-ADF9-566A7EEE4BF7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Hoja1" sheetId="1" r:id="rId1"/>
  </sheets>
  <definedNames>
    <definedName name="_xlnm._FilterDatabase" localSheetId="0" hidden="1">Hoja1!$A$1:$C$3735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25" i="1" l="1"/>
  <c r="C3723" i="1"/>
  <c r="C3718" i="1"/>
  <c r="C3708" i="1"/>
  <c r="C3705" i="1"/>
  <c r="C3698" i="1"/>
  <c r="C3696" i="1"/>
  <c r="C3694" i="1"/>
  <c r="C3687" i="1"/>
  <c r="C3681" i="1"/>
  <c r="C3674" i="1"/>
  <c r="C3670" i="1"/>
  <c r="C3667" i="1"/>
  <c r="C3660" i="1"/>
  <c r="C3657" i="1"/>
  <c r="C3648" i="1"/>
  <c r="C3642" i="1"/>
  <c r="C3623" i="1"/>
  <c r="C3621" i="1"/>
  <c r="C3616" i="1"/>
  <c r="C3612" i="1"/>
  <c r="C3604" i="1"/>
  <c r="C3595" i="1"/>
  <c r="C3592" i="1"/>
  <c r="C3589" i="1"/>
  <c r="C3586" i="1"/>
  <c r="C3583" i="1"/>
  <c r="C3578" i="1"/>
  <c r="C3575" i="1"/>
  <c r="C3558" i="1"/>
  <c r="C3549" i="1"/>
  <c r="C3547" i="1"/>
  <c r="C3542" i="1"/>
  <c r="C3536" i="1"/>
  <c r="C3529" i="1"/>
  <c r="C3526" i="1"/>
  <c r="C3520" i="1"/>
  <c r="C3517" i="1"/>
  <c r="C3508" i="1"/>
  <c r="C3501" i="1"/>
  <c r="C3487" i="1"/>
  <c r="C3475" i="1"/>
  <c r="C3463" i="1"/>
  <c r="C3451" i="1"/>
  <c r="C3439" i="1"/>
  <c r="C3427" i="1"/>
  <c r="C3415" i="1"/>
  <c r="C3378" i="1" s="1"/>
  <c r="C3403" i="1"/>
  <c r="C3391" i="1"/>
  <c r="C3379" i="1"/>
  <c r="C3366" i="1"/>
  <c r="C3353" i="1"/>
  <c r="C3341" i="1"/>
  <c r="C3340" i="1"/>
  <c r="C3328" i="1"/>
  <c r="C3316" i="1"/>
  <c r="C3268" i="1"/>
  <c r="C3255" i="1"/>
  <c r="C3243" i="1"/>
  <c r="C3231" i="1"/>
  <c r="C3219" i="1"/>
  <c r="C3207" i="1"/>
  <c r="C3206" i="1" s="1"/>
  <c r="C3194" i="1"/>
  <c r="C3182" i="1"/>
  <c r="C3170" i="1"/>
  <c r="C3158" i="1"/>
  <c r="C3146" i="1"/>
  <c r="C3134" i="1"/>
  <c r="C3122" i="1"/>
  <c r="C3110" i="1"/>
  <c r="C3098" i="1"/>
  <c r="C3086" i="1"/>
  <c r="C3074" i="1"/>
  <c r="C3062" i="1"/>
  <c r="C3050" i="1"/>
  <c r="C3038" i="1"/>
  <c r="C3026" i="1"/>
  <c r="C3014" i="1"/>
  <c r="C3002" i="1"/>
  <c r="C2990" i="1"/>
  <c r="C2978" i="1"/>
  <c r="C2966" i="1"/>
  <c r="C2954" i="1"/>
  <c r="C2942" i="1"/>
  <c r="C2930" i="1"/>
  <c r="C2918" i="1"/>
  <c r="C2906" i="1"/>
  <c r="C2894" i="1"/>
  <c r="C2882" i="1"/>
  <c r="C2870" i="1"/>
  <c r="C2858" i="1"/>
  <c r="C2846" i="1"/>
  <c r="C2834" i="1"/>
  <c r="C2822" i="1"/>
  <c r="C2810" i="1"/>
  <c r="C2798" i="1"/>
  <c r="C2786" i="1"/>
  <c r="C2774" i="1"/>
  <c r="C2760" i="1"/>
  <c r="C2747" i="1"/>
  <c r="C2734" i="1"/>
  <c r="C2721" i="1"/>
  <c r="C2708" i="1"/>
  <c r="C2695" i="1"/>
  <c r="C2682" i="1"/>
  <c r="C2669" i="1"/>
  <c r="C2656" i="1"/>
  <c r="C2643" i="1"/>
  <c r="C2630" i="1"/>
  <c r="C2617" i="1"/>
  <c r="C2604" i="1"/>
  <c r="C2591" i="1"/>
  <c r="C2579" i="1"/>
  <c r="C2573" i="1"/>
  <c r="C2536" i="1"/>
  <c r="C2509" i="1"/>
  <c r="C2494" i="1"/>
  <c r="C2493" i="1" s="1"/>
  <c r="C2486" i="1"/>
  <c r="C2472" i="1"/>
  <c r="C2465" i="1"/>
  <c r="C2463" i="1"/>
  <c r="C2421" i="1"/>
  <c r="C2418" i="1"/>
  <c r="C2413" i="1"/>
  <c r="C2410" i="1"/>
  <c r="C2404" i="1"/>
  <c r="C2398" i="1"/>
  <c r="C2392" i="1"/>
  <c r="C2349" i="1"/>
  <c r="C2330" i="1"/>
  <c r="C2324" i="1"/>
  <c r="C2313" i="1"/>
  <c r="C2289" i="1"/>
  <c r="C2288" i="1"/>
  <c r="C2279" i="1"/>
  <c r="C2278" i="1" s="1"/>
  <c r="C2269" i="1"/>
  <c r="C2266" i="1"/>
  <c r="C2259" i="1"/>
  <c r="C2245" i="1"/>
  <c r="C2242" i="1"/>
  <c r="C2219" i="1"/>
  <c r="C2203" i="1"/>
  <c r="C2181" i="1"/>
  <c r="C2172" i="1"/>
  <c r="C2170" i="1"/>
  <c r="C2159" i="1"/>
  <c r="C2146" i="1"/>
  <c r="C2139" i="1"/>
  <c r="C2120" i="1"/>
  <c r="C2106" i="1"/>
  <c r="C2070" i="1"/>
  <c r="C2045" i="1"/>
  <c r="C2032" i="1"/>
  <c r="C2006" i="1"/>
  <c r="C1902" i="1"/>
  <c r="C1877" i="1"/>
  <c r="C1858" i="1"/>
  <c r="C1853" i="1"/>
  <c r="C1850" i="1"/>
  <c r="C1844" i="1"/>
  <c r="C1838" i="1"/>
  <c r="C1832" i="1"/>
  <c r="C1776" i="1"/>
  <c r="C1728" i="1"/>
  <c r="C1727" i="1"/>
  <c r="C1713" i="1"/>
  <c r="C1690" i="1"/>
  <c r="C1685" i="1"/>
  <c r="C1678" i="1"/>
  <c r="C1668" i="1"/>
  <c r="C1659" i="1"/>
  <c r="C1651" i="1"/>
  <c r="C1645" i="1"/>
  <c r="C1638" i="1"/>
  <c r="C1613" i="1"/>
  <c r="C1576" i="1"/>
  <c r="C1559" i="1"/>
  <c r="C1551" i="1"/>
  <c r="C1525" i="1"/>
  <c r="C1522" i="1"/>
  <c r="C1510" i="1"/>
  <c r="C1507" i="1"/>
  <c r="C1505" i="1"/>
  <c r="C1497" i="1"/>
  <c r="C1494" i="1"/>
  <c r="C1489" i="1"/>
  <c r="C1488" i="1" s="1"/>
  <c r="C1485" i="1"/>
  <c r="C1482" i="1"/>
  <c r="C1476" i="1"/>
  <c r="C1470" i="1"/>
  <c r="C1464" i="1"/>
  <c r="C1462" i="1"/>
  <c r="C1460" i="1"/>
  <c r="C1451" i="1"/>
  <c r="C1442" i="1"/>
  <c r="C1432" i="1"/>
  <c r="C1427" i="1"/>
  <c r="C1421" i="1"/>
  <c r="C1419" i="1"/>
  <c r="C1412" i="1"/>
  <c r="C1410" i="1"/>
  <c r="C1391" i="1"/>
  <c r="C1375" i="1"/>
  <c r="C1368" i="1"/>
  <c r="C1366" i="1"/>
  <c r="C1361" i="1"/>
  <c r="C1344" i="1"/>
  <c r="C1337" i="1"/>
  <c r="C1333" i="1"/>
  <c r="C1329" i="1"/>
  <c r="C1318" i="1"/>
  <c r="C1307" i="1"/>
  <c r="C1296" i="1"/>
  <c r="C1285" i="1"/>
  <c r="C1281" i="1"/>
  <c r="C1271" i="1"/>
  <c r="C1267" i="1"/>
  <c r="C1261" i="1"/>
  <c r="C1225" i="1"/>
  <c r="C1168" i="1"/>
  <c r="C1161" i="1"/>
  <c r="C1155" i="1"/>
  <c r="C1151" i="1"/>
  <c r="C1140" i="1"/>
  <c r="C1110" i="1"/>
  <c r="C1055" i="1"/>
  <c r="C1051" i="1"/>
  <c r="C1041" i="1"/>
  <c r="C1035" i="1"/>
  <c r="C1020" i="1"/>
  <c r="C1004" i="1"/>
  <c r="C1001" i="1"/>
  <c r="C999" i="1"/>
  <c r="C997" i="1"/>
  <c r="C995" i="1"/>
  <c r="C994" i="1" s="1"/>
  <c r="C986" i="1"/>
  <c r="C985" i="1" s="1"/>
  <c r="C981" i="1"/>
  <c r="C979" i="1"/>
  <c r="C975" i="1"/>
  <c r="C956" i="1"/>
  <c r="C951" i="1"/>
  <c r="C946" i="1"/>
  <c r="C941" i="1"/>
  <c r="C936" i="1"/>
  <c r="C931" i="1"/>
  <c r="C895" i="1"/>
  <c r="C892" i="1"/>
  <c r="C887" i="1"/>
  <c r="C885" i="1"/>
  <c r="C875" i="1"/>
  <c r="C870" i="1"/>
  <c r="C859" i="1"/>
  <c r="C853" i="1"/>
  <c r="C836" i="1"/>
  <c r="C825" i="1"/>
  <c r="C817" i="1"/>
  <c r="C808" i="1"/>
  <c r="C785" i="1"/>
  <c r="C755" i="1"/>
  <c r="C747" i="1"/>
  <c r="C703" i="1"/>
  <c r="C672" i="1"/>
  <c r="C646" i="1"/>
  <c r="C607" i="1"/>
  <c r="C597" i="1"/>
  <c r="C587" i="1"/>
  <c r="C575" i="1"/>
  <c r="C566" i="1"/>
  <c r="C561" i="1"/>
  <c r="C558" i="1"/>
  <c r="C550" i="1"/>
  <c r="C544" i="1"/>
  <c r="C534" i="1"/>
  <c r="C512" i="1"/>
  <c r="C489" i="1"/>
  <c r="C474" i="1"/>
  <c r="C448" i="1"/>
  <c r="C444" i="1"/>
  <c r="C419" i="1"/>
  <c r="C404" i="1"/>
  <c r="C401" i="1"/>
  <c r="C399" i="1"/>
  <c r="C397" i="1"/>
  <c r="C383" i="1"/>
  <c r="C371" i="1"/>
  <c r="C360" i="1"/>
  <c r="C347" i="1"/>
  <c r="C334" i="1"/>
  <c r="C300" i="1"/>
  <c r="C296" i="1"/>
  <c r="C271" i="1"/>
  <c r="C238" i="1"/>
  <c r="C196" i="1"/>
  <c r="C189" i="1"/>
  <c r="C184" i="1"/>
  <c r="C176" i="1"/>
  <c r="C173" i="1"/>
  <c r="C169" i="1"/>
  <c r="C158" i="1"/>
  <c r="C147" i="1"/>
  <c r="C136" i="1"/>
  <c r="C125" i="1"/>
  <c r="C119" i="1"/>
  <c r="C113" i="1"/>
  <c r="C107" i="1"/>
  <c r="C88" i="1"/>
  <c r="C74" i="1"/>
  <c r="C65" i="1"/>
  <c r="C45" i="1"/>
  <c r="C40" i="1"/>
  <c r="C33" i="1"/>
  <c r="C23" i="1"/>
  <c r="C19" i="1"/>
  <c r="C15" i="1"/>
  <c r="C4" i="1"/>
  <c r="C1496" i="1" l="1"/>
  <c r="C1360" i="1"/>
  <c r="C382" i="1"/>
  <c r="C32" i="1"/>
  <c r="C2773" i="1"/>
  <c r="C2603" i="1"/>
  <c r="C1284" i="1"/>
  <c r="C1003" i="1"/>
</calcChain>
</file>

<file path=xl/sharedStrings.xml><?xml version="1.0" encoding="utf-8"?>
<sst xmlns="http://schemas.openxmlformats.org/spreadsheetml/2006/main" count="3737" uniqueCount="1685">
  <si>
    <t>CÓDIGO</t>
  </si>
  <si>
    <t>DENOMINACIÓN</t>
  </si>
  <si>
    <t>Total</t>
  </si>
  <si>
    <t>ACTIVOS</t>
  </si>
  <si>
    <t>EFECTIVO Y EQUIVALENTES AL EFECTIVO</t>
  </si>
  <si>
    <t>CAJA</t>
  </si>
  <si>
    <t>Caja principal</t>
  </si>
  <si>
    <t>Caja menor</t>
  </si>
  <si>
    <t>DEPÓSITOS EN INSTITUCIONES FINANCIERAS</t>
  </si>
  <si>
    <t>Cuenta corriente</t>
  </si>
  <si>
    <t>Cuenta de ahorro</t>
  </si>
  <si>
    <t>Depósitos simples</t>
  </si>
  <si>
    <t>Cuentas de compensación Banco de la República</t>
  </si>
  <si>
    <t>Depósitos en el exterior</t>
  </si>
  <si>
    <t>Depósitos remunerados</t>
  </si>
  <si>
    <t>Otros depósitos en instituciones financieras</t>
  </si>
  <si>
    <t>FONDOS EN TRÁNSITO</t>
  </si>
  <si>
    <t>Otros depósitos</t>
  </si>
  <si>
    <t>EFECTIVO DE USO RESTRINGIDO</t>
  </si>
  <si>
    <t>Caja</t>
  </si>
  <si>
    <t>Depósitos en instituciones financieras</t>
  </si>
  <si>
    <t>Fondos en tránsito</t>
  </si>
  <si>
    <t>EQUIVALENTES AL EFECTIVO</t>
  </si>
  <si>
    <t>Certificados de depósito de ahorro a término</t>
  </si>
  <si>
    <t>Fondos vendidos ordinarios</t>
  </si>
  <si>
    <t>Operaciones overnight</t>
  </si>
  <si>
    <t>Compromisos de reventa de cuentas por cobrar</t>
  </si>
  <si>
    <t>Compromisos de reventa de inversiones de administración de liquidez</t>
  </si>
  <si>
    <t>Compromisos de reventa de préstamos por cobrar</t>
  </si>
  <si>
    <t>Bonos y títulos</t>
  </si>
  <si>
    <t>Otros equivalentes al efectivo</t>
  </si>
  <si>
    <t>INVERSIONES E INSTRUMENTOS DERIVADOS</t>
  </si>
  <si>
    <t>INVERSIONES EN ENTIDADES EN LIQUIDACIÓN</t>
  </si>
  <si>
    <t>Empresas industriales y comerciales del Estado - Societarias</t>
  </si>
  <si>
    <t>Sociedades de economía mixta</t>
  </si>
  <si>
    <t>Sociedades públicas</t>
  </si>
  <si>
    <t>Entidades privadas</t>
  </si>
  <si>
    <t>Entidades del exterior</t>
  </si>
  <si>
    <t>Entidades del sector solidario</t>
  </si>
  <si>
    <t>DERECHOS DE RECOMPRA DE INVERSIONES</t>
  </si>
  <si>
    <t>Inversiones de administración de liquidez a valor de mercado (valor razonable) con cambios en el resultado</t>
  </si>
  <si>
    <t>Inversiones de administración de liquidez a valor de mercado (valor razonable) con cambios en el patrimonio (otro resultado integral)</t>
  </si>
  <si>
    <t>Inversiones de administración de liquidez a costo amortizado</t>
  </si>
  <si>
    <t>Inversiones de administración de liquidez al costo</t>
  </si>
  <si>
    <t>INVERSIONES DE ADMINISTRACIÓN DE LIQUIDEZ A VALOR DE MERCADO (VALOR RAZONABLE) CON CAMBIOS EN EL RESULTADO</t>
  </si>
  <si>
    <t>Títulos de tesorería (TES)</t>
  </si>
  <si>
    <t>Certificados de depósito a término (CDT)</t>
  </si>
  <si>
    <t>Bonos y títulos emitidos por el sector privado</t>
  </si>
  <si>
    <t>Bonos y títulos emitidos por entidades del exterior</t>
  </si>
  <si>
    <t>Bonos obligatoriamente convertibles en acciones (BOCAS)</t>
  </si>
  <si>
    <t>Bonos y títulos emitidos por el Gobierno General</t>
  </si>
  <si>
    <t>Bonos y títulos emitidos por las entidades públicas no financieras</t>
  </si>
  <si>
    <t>Bonos y títulos emitidos por las entidades públicas financieras</t>
  </si>
  <si>
    <t>Títulos de capitalización</t>
  </si>
  <si>
    <t>Aceptaciones</t>
  </si>
  <si>
    <t>Pagarés</t>
  </si>
  <si>
    <t>Títulos de fomento</t>
  </si>
  <si>
    <t>Acciones ordinarias</t>
  </si>
  <si>
    <t>Acciones preferenciales</t>
  </si>
  <si>
    <t>Cuotas o partes de interés social</t>
  </si>
  <si>
    <t>Fondos de inversión colectiva</t>
  </si>
  <si>
    <t>Certificados emitidos por fondos de inversión</t>
  </si>
  <si>
    <t>Otros certificados</t>
  </si>
  <si>
    <t>Otras   inversiones   de   administración   de   liquidez   a   valor   de   mercado   (valor razonable) con cambios en el resultado</t>
  </si>
  <si>
    <t>INVERSIONES DE ADMINISTRACIÓN DE LIQUIDEZ A VALOR DE MERCADO (VALOR RAZONABLE) CON CAMBIOS EN EL PATRIMONIO (OTRO RESULTADO INTEGRAL)</t>
  </si>
  <si>
    <t>Instrumentos de patrimonio - Entidades del sector solidario</t>
  </si>
  <si>
    <t>Instrumentos de patrimonio - Entidades privadas</t>
  </si>
  <si>
    <t>Instrumentos de patrimonio - Entidades del exterior</t>
  </si>
  <si>
    <t>Instrumentos  de  patrimonio  -  Empresas  industriales  y  comerciales  del  Estado  - Societarias</t>
  </si>
  <si>
    <t>Instrumentos de patrimonio - Sociedades de economía mixta</t>
  </si>
  <si>
    <t>Instrumentos de patrimonio - Sociedades públicas</t>
  </si>
  <si>
    <t>Otras   inversiones   de   administración   de   liquidez   a   valor   de   mercado   (valor razonable) con cambios en el patrimonio (otro resultado integral)</t>
  </si>
  <si>
    <t>INVERSIONES DE ADMINISTRACIÓN DE LIQUIDEZ A COSTO AMORTIZADO</t>
  </si>
  <si>
    <t>Bonos y títulos emitidos por lasentidades públicas no financieras</t>
  </si>
  <si>
    <t>Otras inversiones de administración de liquidez a costo amortizado</t>
  </si>
  <si>
    <t>INVERSIONES DE ADMINISTRACIÓN DE LIQUIDEZ AL COSTO</t>
  </si>
  <si>
    <t>Aportes sociales en entidades del sector solidario</t>
  </si>
  <si>
    <t>Otras inversiones de administración de liquidez al costo</t>
  </si>
  <si>
    <t>INVERSIONES    EN    CONTROLADAS    CONTABILIZADAS    POR    EL    MÉTODO    DE PARTICIPACIÓN PATRIMONIAL</t>
  </si>
  <si>
    <t>INVERSIONES     EN     ASOCIADAS     CONTABILIZADAS     POR     EL     MÉTODO     DE PARTICIPACIÓN PATRIMONIAL</t>
  </si>
  <si>
    <t>INVERSIONES EN NEGOCIOS CONJUNTOS CONTABILIZADAS POR EL MÉTODO DE PARTICIPACIÓN PATRIMONIAL</t>
  </si>
  <si>
    <t>INSTRUMENTOS DERIVADOS CON FINES DE ESPECULACIÓN</t>
  </si>
  <si>
    <t>Derechos en contratos forward</t>
  </si>
  <si>
    <t>Obligaciones en contratos forward (Cr)</t>
  </si>
  <si>
    <t>Derechos en contratos futuros</t>
  </si>
  <si>
    <t>Obligaciones en contratos futuros (Cr)</t>
  </si>
  <si>
    <t>Derechos en contratos swaps</t>
  </si>
  <si>
    <t>Obligaciones en contratos swaps (Cr)</t>
  </si>
  <si>
    <t>Derechos en otros derivados</t>
  </si>
  <si>
    <t>Obligaciones en otros derivados (Cr)</t>
  </si>
  <si>
    <t>Prima pagada en opciones</t>
  </si>
  <si>
    <t>Ganancia en la valoración de opciones compradas</t>
  </si>
  <si>
    <t>INSTRUMENTOS DERIVADOS CON FINES DE COBERTURA DE VALOR DE MERCADO (VALOR RAZONABLE)</t>
  </si>
  <si>
    <t>INSTRUMENTOS DERIVADOS CON FINES DE COBERTURA DE FLUJOS DE EFECTIVO</t>
  </si>
  <si>
    <t>Obligaciones en contratos swaps  (Cr)</t>
  </si>
  <si>
    <t>INSTRUMENTOS  DERIVADOS  CON  FINES  DE  COBERTURA  DE  UNA  INVERSIÓN NETA EN UN NEGOCIO EN EL EXTRANJERO</t>
  </si>
  <si>
    <t>AJUSTE  POR  COBERTURA  DEL  VALOR  DE  MERCADO  (VALOR  RAZONABLE)  DEL RIESGO  DE  TASA  DE  INTERÉS  ASOCIADO  CON  UNA  CARTERA  DE  ACTIVOS  Y/O PASIVOS FINANCIEROS</t>
  </si>
  <si>
    <t>Ajuste por cobertura del valor de mercado (valor razonable) del riesgo de tasa de_x000D_
interés asociado con una cartera de activos financieros</t>
  </si>
  <si>
    <t>Ajuste por cobertura del valor de mercado (valor razonable) del riesgo de tasa de_x000D_
interés asociado con una cartera de pasivos financieros</t>
  </si>
  <si>
    <t>Ajuste por cobertura del valor de mercado (valor razonable) del riesgo de tasa de interés asociado con una cartera de activos y pasivos financieros</t>
  </si>
  <si>
    <t>GANANCIA  EN  LA  VALORACIÓN  DE  COMPROMISOS  EN  FIRME  DESIGNADOS COMO PARTIDAS CUBIERTAS</t>
  </si>
  <si>
    <t>Para adquirir un activo</t>
  </si>
  <si>
    <t>Para asumir un pasivo</t>
  </si>
  <si>
    <t>DETERIORO ACUMULADO DE INVERSIONES (CR)</t>
  </si>
  <si>
    <t>Inversiones   en   controladas   contabilizadas   por   el   método   de   participación patrimonial</t>
  </si>
  <si>
    <t>Inversiones en asociadas contabilizadas por el método de participación patrimonial</t>
  </si>
  <si>
    <t>Inversiones  en  negocios  conjuntos  contabilizadas  por  el  método  de  participación patrimonial</t>
  </si>
  <si>
    <t>CUENTAS POR COBRAR</t>
  </si>
  <si>
    <t>CONTRIBUCIONES, TASAS E INGRESOS NO TRIBUTARIOS</t>
  </si>
  <si>
    <t>Multas</t>
  </si>
  <si>
    <t>Sanciones</t>
  </si>
  <si>
    <t>Estampillas</t>
  </si>
  <si>
    <t>Cuotas de sostenimiento</t>
  </si>
  <si>
    <t>VENTA DE BIENES</t>
  </si>
  <si>
    <t>Productos agropecuarios, de silvicultura, avicultura y pesca</t>
  </si>
  <si>
    <t>Productos de minas y minerales</t>
  </si>
  <si>
    <t>Productos alimenticios, bebidas y alcoholes</t>
  </si>
  <si>
    <t>Productos manufacturados</t>
  </si>
  <si>
    <t>Construcciones</t>
  </si>
  <si>
    <t>Bienes comercializados</t>
  </si>
  <si>
    <t>PRESTACIÓN DE SERVICIOS</t>
  </si>
  <si>
    <t>Servicios de transporte</t>
  </si>
  <si>
    <t>Juegos de suerte y azar</t>
  </si>
  <si>
    <t>Servicios hoteleros y de promoción turística</t>
  </si>
  <si>
    <t>Servicios financieros</t>
  </si>
  <si>
    <t>Servicios informáticos</t>
  </si>
  <si>
    <t>Servicios de comunicaciones</t>
  </si>
  <si>
    <t>Servicio de matadero</t>
  </si>
  <si>
    <t>Organización de eventos</t>
  </si>
  <si>
    <t>Servicios de apoyo industrial</t>
  </si>
  <si>
    <t>Transferencia de tecnología</t>
  </si>
  <si>
    <t>Asistencia técnica</t>
  </si>
  <si>
    <t>Servicios informativos</t>
  </si>
  <si>
    <t>Servicios de almacenamiento y pesaje</t>
  </si>
  <si>
    <t>Corporación de abastos</t>
  </si>
  <si>
    <t>Administración de proyectos</t>
  </si>
  <si>
    <t>Servicios de investigación científica y tecnológica</t>
  </si>
  <si>
    <t>Administración y operación de mercados</t>
  </si>
  <si>
    <t>Servicios de seguridad y escolta</t>
  </si>
  <si>
    <t>Servicios de lavandería</t>
  </si>
  <si>
    <t>Servicios de parqueadero</t>
  </si>
  <si>
    <t>Publicidad y propaganda</t>
  </si>
  <si>
    <t>Recreativos, culturales, y deportivos</t>
  </si>
  <si>
    <t>Gestión de transporte masivo</t>
  </si>
  <si>
    <t>Servicios de diagnóstico técnico mecánico</t>
  </si>
  <si>
    <t>Servicios por administración de contratos</t>
  </si>
  <si>
    <t>Servicios de mantenimiento y reparación</t>
  </si>
  <si>
    <t>Consultorías</t>
  </si>
  <si>
    <t>Otros servicios</t>
  </si>
  <si>
    <t>PRESTACIÓN DE SERVICIOS PÚBLICOS</t>
  </si>
  <si>
    <t>Servicio de energía</t>
  </si>
  <si>
    <t>Servicio de acueducto</t>
  </si>
  <si>
    <t>Servicio de alcantarillado</t>
  </si>
  <si>
    <t>Servicio de aseo</t>
  </si>
  <si>
    <t>Servicio de gas combustible</t>
  </si>
  <si>
    <t>Servicio de telecomunicaciones</t>
  </si>
  <si>
    <t>Subsidio servicio de energía</t>
  </si>
  <si>
    <t>Subsidio servicio de acueducto</t>
  </si>
  <si>
    <t>Subsidio servicio de alcantarillado</t>
  </si>
  <si>
    <t>Subsidio servicio de aseo</t>
  </si>
  <si>
    <t>Subsidio servicio de gas combustible</t>
  </si>
  <si>
    <t>Subsidio servicio de telecomunicaciones</t>
  </si>
  <si>
    <t>PRESTACIÓN DE SERVICIOS DE SALUD</t>
  </si>
  <si>
    <t>Plan de Beneficios en Salud (PBS) por EPS - sin facturar o con facturación pendiente de radicar</t>
  </si>
  <si>
    <t>Plan de Beneficios en Salud (PBS) por EPS - con facturación radicada</t>
  </si>
  <si>
    <t>Plan subsidiado de salud (PBSS) por EPS - sin facturar o con facturación pendiente de radicar</t>
  </si>
  <si>
    <t>Plan subsidiado de salud (PBSS) por EPS - con facturación radicada</t>
  </si>
  <si>
    <t>Empresas de medicina prepagada (EMP) - sin facturar o con facturación pendiente de radicar</t>
  </si>
  <si>
    <t>Empresas de medicina prepagada (EMP) - con facturación radicada</t>
  </si>
  <si>
    <t>Planes complementarios de EPS</t>
  </si>
  <si>
    <t>Servicios  de  salud  por  IPS  privadas  -  sin  facturar  o  con  facturación  pendiente  de radicar</t>
  </si>
  <si>
    <t>Servicios de salud por IPS privadas - con facturación radicada</t>
  </si>
  <si>
    <t>Servicios  de  salud  por  IPS  públicas  -  sin  facturar  o  con  facturación  pendiente  de radicar</t>
  </si>
  <si>
    <t>Servicios de salud por IPS públicas - con facturación radicada</t>
  </si>
  <si>
    <t>Servicios  de  salud  por  compañías  aseguradoras  -  sin  facturar  o  con  facturación pendiente de radicar</t>
  </si>
  <si>
    <t>Servicios de salud por compañías aseguradoras - con facturación radicada</t>
  </si>
  <si>
    <t>Servicios   de   Salud  por   entidades   con  régimen   especial   -   sin  facturar   o   con facturación pendiente de radicar</t>
  </si>
  <si>
    <t>Servicios de Salud por entidades con régimen especial - con facturación radicada</t>
  </si>
  <si>
    <t>Servicios de salud por particulares</t>
  </si>
  <si>
    <t>Atención  accidentes  de  tránsito  SOAT  por  compañías  de  seguros  -  sin  facturar  o con facturación pendiente de radicar</t>
  </si>
  <si>
    <t>Atención accidentes de tránsito SOAT por compañías de seguros - con facturación_x000D_
radicada</t>
  </si>
  <si>
    <t>Atención  con  cargo  a  recursos  de  acciones  de  salud  pública  -  sin  facturar  o  con_x000D_
facturación pendiente de radicar</t>
  </si>
  <si>
    <t>Atención  con  cargo  a  recursos  de  acciones  de  salud  pública  -  con  facturación_x000D_
radicada</t>
  </si>
  <si>
    <t>Atención con cargo al subsidio a la oferta - sin facturar o con facturación pendiente_x000D_
de radicar</t>
  </si>
  <si>
    <t>Atención con cargo al subsidio a la oferta - con facturación radicada</t>
  </si>
  <si>
    <t>Riesgos laborales (ARL) - sin facturar o con facturación pendiente de radicar</t>
  </si>
  <si>
    <t>Riesgos laborales (ARL) - con facturación radicada</t>
  </si>
  <si>
    <t>Convenios  con  recursos  del  Sistema  General  de  Seguridad  Social  en  Salud  para trauma mayor y desplazados - sin facturar o con facturación pendiente de radicar</t>
  </si>
  <si>
    <t>Convenios   con  recursos  del  Sistema  General  de  Seguridad  Social  en  Salud  para trauma mayor y desplazados - con facturación radicada</t>
  </si>
  <si>
    <t>Reclamaciones con cargo a los recursos del Sistema General de Seguridad Social en Salud - sin facturar o con facturación pendiente de radicar</t>
  </si>
  <si>
    <t>Reclamaciones con cargo a los recursos del Sistema General de Seguridad Social en_x000D_
Salud - con facturación radicada</t>
  </si>
  <si>
    <t>Cuota de recuperación</t>
  </si>
  <si>
    <t>Ministerio de salud - Recursos del IVA social</t>
  </si>
  <si>
    <t>Giro directo para abono a la cartera sector salud (Cr)</t>
  </si>
  <si>
    <t>Otras cuentas por cobrar servicios de salud</t>
  </si>
  <si>
    <t>ADMINISTRACIÓN DEL SISTEMA DE SEGURIDAD SOCIAL EN SALUD</t>
  </si>
  <si>
    <t>Unidad de pago por capitación (UPC) régimen contributivo</t>
  </si>
  <si>
    <t>Unidad de pago por capitación adicional régimen contributivo</t>
  </si>
  <si>
    <t>Cuota moderadora régimen contributivo</t>
  </si>
  <si>
    <t>Copagos régimen contributivo</t>
  </si>
  <si>
    <t>Cuotas de inscripción y afiliación régimen contributivo</t>
  </si>
  <si>
    <t>Unidad de pago por capitación (UPC) régimen subsidiado</t>
  </si>
  <si>
    <t>Copagos régimen subsidiado</t>
  </si>
  <si>
    <t>Comisiones administradoras de riesgos laborales</t>
  </si>
  <si>
    <t>Prestación del servicio a personas fuera del sistema</t>
  </si>
  <si>
    <t>Recobros SOAT</t>
  </si>
  <si>
    <t>Recobros ARL</t>
  </si>
  <si>
    <t>Recobro de enfermedades alto costo</t>
  </si>
  <si>
    <t>Recobro a empleadores</t>
  </si>
  <si>
    <t>Cuotas de inscripción y afiliación a planes complementarios</t>
  </si>
  <si>
    <t>Cuentas por cobrar No PBS pendientes de radicar</t>
  </si>
  <si>
    <t>Cuentas por cobrar No PBS radicadas</t>
  </si>
  <si>
    <t>Cuentas por cobrar entidades territoriales pendientes de radicar</t>
  </si>
  <si>
    <t>Cuentas por cobrar entidades territoriales radicadas</t>
  </si>
  <si>
    <t>Licencias de maternidad y paternidad</t>
  </si>
  <si>
    <t>Incapacidades</t>
  </si>
  <si>
    <t>Programas de promoción y prevención</t>
  </si>
  <si>
    <t>Gestión de cobro, manejo de información y servicios financieros  EPS o EOC</t>
  </si>
  <si>
    <t>Giro previo sobre los recobros No PBS (Cr)</t>
  </si>
  <si>
    <t>Otros ingresos por la administración del sistema de seguridad social en salud</t>
  </si>
  <si>
    <t>SUBVENCIONES POR COBRAR</t>
  </si>
  <si>
    <t>Donaciones</t>
  </si>
  <si>
    <t>Subvención por recursos transferidos por el gobierno</t>
  </si>
  <si>
    <t>Otras subvenciones</t>
  </si>
  <si>
    <t>DERECHOS DE RECOMPRA DE CUENTAS POR COBRAR</t>
  </si>
  <si>
    <t>Cuentas por cobrar</t>
  </si>
  <si>
    <t>OTRAS CUENTAS POR COBRAR</t>
  </si>
  <si>
    <t>Aportes de capital por cobrar</t>
  </si>
  <si>
    <t>Apoyo del fondo empresarial</t>
  </si>
  <si>
    <t>Cartera improductiva adquirida</t>
  </si>
  <si>
    <t>Comisiones</t>
  </si>
  <si>
    <t>Contratos para la gestión de servicios públicos</t>
  </si>
  <si>
    <t>Derechos a favor en operaciones conjuntas</t>
  </si>
  <si>
    <t>Cuotas partes de pensiones</t>
  </si>
  <si>
    <t>Depósitos en entidades intervenidas</t>
  </si>
  <si>
    <t>Derechos cobrados por terceros</t>
  </si>
  <si>
    <t>Derechos por incumplimiento de créditos garantizados</t>
  </si>
  <si>
    <t>Descuentos no autorizados</t>
  </si>
  <si>
    <t>Dividendos y participaciones por cobrar</t>
  </si>
  <si>
    <t>Enajenación de activos</t>
  </si>
  <si>
    <t>Esquemas de cobro</t>
  </si>
  <si>
    <t>Honorarios</t>
  </si>
  <si>
    <t>Indemnizaciones</t>
  </si>
  <si>
    <t>Intereses de fondos vendidos con compromiso de reventa</t>
  </si>
  <si>
    <t>Intereses de fondos vendidos ordinarios</t>
  </si>
  <si>
    <t>Margen en la comercialización de bienes y servicios</t>
  </si>
  <si>
    <t>Margen en la contratación de servicios de salud</t>
  </si>
  <si>
    <t>Pago por cuenta de terceros</t>
  </si>
  <si>
    <t>Recursos de acreedores reintegrados a tesorerías</t>
  </si>
  <si>
    <t>Rendimiento sobre depósitos judiciales</t>
  </si>
  <si>
    <t>Responsabilidades fiscales</t>
  </si>
  <si>
    <t>Intereses de mora</t>
  </si>
  <si>
    <t>Otros intereses por cobrar</t>
  </si>
  <si>
    <t>Contratos de construcción</t>
  </si>
  <si>
    <t>Compensación o indemnización por deterioro, pérdidas o abandonos</t>
  </si>
  <si>
    <t>Arrendamiento operativo</t>
  </si>
  <si>
    <t>Derechos a favor en acuerdos no clasificados como operaciones conjuntas</t>
  </si>
  <si>
    <t>Otras cuentas por cobrar</t>
  </si>
  <si>
    <t>CUENTAS POR COBRAR DE DIFÍCIL RECAUDO</t>
  </si>
  <si>
    <t>Venta de bienes</t>
  </si>
  <si>
    <t>Prestación de servicios</t>
  </si>
  <si>
    <t>Prestación de servicios de salud</t>
  </si>
  <si>
    <t>Administración del sistema de seguridad social en salud</t>
  </si>
  <si>
    <t>Contribuciones,  tasas e ingresos no tributarios</t>
  </si>
  <si>
    <t>Otras cuentas por cobrar de difícil recaudo</t>
  </si>
  <si>
    <t>DETERIORO ACUMULADO DE CUENTAS POR COBRAR (CR)</t>
  </si>
  <si>
    <t>Contribuciones, tasas e ingresos no tributarios</t>
  </si>
  <si>
    <t>CUENTAS POR COBRAR A COSTO AMORTIZADO</t>
  </si>
  <si>
    <t>Otras cuentas por cobrar a costo amortizado</t>
  </si>
  <si>
    <t>DETERIORO  ACUMULADO  DE  CUENTAS  POR  COBRAR  A  COSTO  AMORTIZADO (CR)</t>
  </si>
  <si>
    <t>PRÉSTAMOS POR COBRAR</t>
  </si>
  <si>
    <t>PRÉSTAMOS CONCEDIDOS</t>
  </si>
  <si>
    <t>Préstamos educativos</t>
  </si>
  <si>
    <t>Préstamos a vinculados económicos</t>
  </si>
  <si>
    <t>Préstamos para investigaciones</t>
  </si>
  <si>
    <t>Préstamos de vivienda</t>
  </si>
  <si>
    <t>Préstamos de consumo</t>
  </si>
  <si>
    <t>Préstamos comerciales</t>
  </si>
  <si>
    <t>Microcrédito</t>
  </si>
  <si>
    <t>Préstamos de fomento y desarrollo regional</t>
  </si>
  <si>
    <t>Créditos a empleados</t>
  </si>
  <si>
    <t>Créditos a socios y accionistas</t>
  </si>
  <si>
    <t>Arrendamiento financiero</t>
  </si>
  <si>
    <t>Activo financiero por acuerdos de concesión (Concesionario)</t>
  </si>
  <si>
    <t>Otros préstamos concedidos</t>
  </si>
  <si>
    <t>DERECHOS DE RECOMPRA DE PRÉSTAMOS POR COBRAR</t>
  </si>
  <si>
    <t>Préstamos por cobrar</t>
  </si>
  <si>
    <t>PRÉSTAMOS POR COBRAR DE DIFÍCIL RECAUDO</t>
  </si>
  <si>
    <t>Préstamos concedidos</t>
  </si>
  <si>
    <t>DETERIORO ACUMULADO DE PRÉSTAMOS POR COBRAR (CR)</t>
  </si>
  <si>
    <t>INVENTARIOS</t>
  </si>
  <si>
    <t>BIENES PRODUCIDOS</t>
  </si>
  <si>
    <t>Impresos y publicaciones</t>
  </si>
  <si>
    <t>Licores, bebidas y alcoholes</t>
  </si>
  <si>
    <t>Productos químicos</t>
  </si>
  <si>
    <t>Medicamentos</t>
  </si>
  <si>
    <t>Productos artesanales</t>
  </si>
  <si>
    <t>Productos alimenticios</t>
  </si>
  <si>
    <t>Productos bélicos y explosivos</t>
  </si>
  <si>
    <t>Medicamentos de uso veterinario</t>
  </si>
  <si>
    <t>Productos metalúrgicos y de microfundición</t>
  </si>
  <si>
    <t>Productos de madera</t>
  </si>
  <si>
    <t>Equipos</t>
  </si>
  <si>
    <t>Otros bienes producidos</t>
  </si>
  <si>
    <t>MERCANCÍAS EN EXISTENCIA</t>
  </si>
  <si>
    <t>Terrenos</t>
  </si>
  <si>
    <t>Semovientes</t>
  </si>
  <si>
    <t>Lubricantes</t>
  </si>
  <si>
    <t>Aditivos</t>
  </si>
  <si>
    <t>Material reactivo</t>
  </si>
  <si>
    <t>Equipos de comunicación y computación</t>
  </si>
  <si>
    <t>Aparatos telefónicos e identificadores de llamadas</t>
  </si>
  <si>
    <t>Medidores de agua, luz y gas</t>
  </si>
  <si>
    <t>Elementos de campaña</t>
  </si>
  <si>
    <t>Repuestos, equipos férreos y otros</t>
  </si>
  <si>
    <t>Muebles y enseres</t>
  </si>
  <si>
    <t>Material didáctico</t>
  </si>
  <si>
    <t>Maquinaria y elementos de ferretería</t>
  </si>
  <si>
    <t>Materiales médico - quirúrgicos</t>
  </si>
  <si>
    <t>Víveres y rancho</t>
  </si>
  <si>
    <t>Otras mercancías en existencia</t>
  </si>
  <si>
    <t>PRESTADORES DE SERVICIOS</t>
  </si>
  <si>
    <t>Servicios de consultoría</t>
  </si>
  <si>
    <t>Otros inventarios de prestadores de servicios</t>
  </si>
  <si>
    <t>MATERIAS PRIMAS</t>
  </si>
  <si>
    <t>Materias primas</t>
  </si>
  <si>
    <t>MATERIALES Y SUMINISTROS</t>
  </si>
  <si>
    <t>Envases y empaques</t>
  </si>
  <si>
    <t>Materiales para la producción de bienes</t>
  </si>
  <si>
    <t>Materiales reactivos y de laboratorio</t>
  </si>
  <si>
    <t>Materiales odontológicos</t>
  </si>
  <si>
    <t>Materiales para imagenología</t>
  </si>
  <si>
    <t>Repuestos</t>
  </si>
  <si>
    <t>Elementos y accesorios de energía</t>
  </si>
  <si>
    <t>Elementos y accesorios de gas combustible</t>
  </si>
  <si>
    <t>Elementos y accesorios de telecomunicaciones</t>
  </si>
  <si>
    <t>Elementos y accesorios de acueducto</t>
  </si>
  <si>
    <t>Elementos y accesorios de alcantarillado</t>
  </si>
  <si>
    <t>Materiales para educación</t>
  </si>
  <si>
    <t>Elementos y accesorios de aseo</t>
  </si>
  <si>
    <t>Aguas tratadas</t>
  </si>
  <si>
    <t>Banco de componentes anatómicos y de sangre</t>
  </si>
  <si>
    <t>Dotación a trabajadores</t>
  </si>
  <si>
    <t>Ropa hospitalaria y quirúrgica</t>
  </si>
  <si>
    <t>Combustibles y lubricantes</t>
  </si>
  <si>
    <t>Elementos y materiales para construcción</t>
  </si>
  <si>
    <t>Otros materiales y suministros</t>
  </si>
  <si>
    <t>PRODUCTOS EN PROCESO</t>
  </si>
  <si>
    <t>Otros productos en proceso</t>
  </si>
  <si>
    <t>EN TRÁNSITO</t>
  </si>
  <si>
    <t>Especies valoradas</t>
  </si>
  <si>
    <t>Materiales reactivos</t>
  </si>
  <si>
    <t>Materiales para la prestación de servicios</t>
  </si>
  <si>
    <t>Otros inventarios en tránsito</t>
  </si>
  <si>
    <t>EN PODER DE TERCEROS</t>
  </si>
  <si>
    <t>Productos de minas</t>
  </si>
  <si>
    <t>Otros inventarios en poder de terceros</t>
  </si>
  <si>
    <t>DETERIORO ACUMULADO DE INVENTARIOS (CR)</t>
  </si>
  <si>
    <t>Bienes producidos</t>
  </si>
  <si>
    <t>Mercancías en existencia</t>
  </si>
  <si>
    <t>Productos en proceso</t>
  </si>
  <si>
    <t>Inventarios en tránsito</t>
  </si>
  <si>
    <t>Inventarios en poder de terceros</t>
  </si>
  <si>
    <t>Inventarios de prestadores de servicios</t>
  </si>
  <si>
    <t>Materiales y suministros</t>
  </si>
  <si>
    <t>PROPIEDADES, PLANTA Y EQUIPO</t>
  </si>
  <si>
    <t>TERRENOS</t>
  </si>
  <si>
    <t>Urbanos</t>
  </si>
  <si>
    <t>Rurales</t>
  </si>
  <si>
    <t>Terrenos con destinación ambiental</t>
  </si>
  <si>
    <t>Terrenos pendientes de legalizar</t>
  </si>
  <si>
    <t>Terrenos de propiedad de terceros</t>
  </si>
  <si>
    <t>SEMOVIENTES Y PLANTAS</t>
  </si>
  <si>
    <t>De trabajo</t>
  </si>
  <si>
    <t>De selección</t>
  </si>
  <si>
    <t>De investigación y educación</t>
  </si>
  <si>
    <t>De exposición</t>
  </si>
  <si>
    <t>Semovientes y plantas pendientes de legalizar</t>
  </si>
  <si>
    <t>Semovientes y plantas de propiedad de terceros</t>
  </si>
  <si>
    <t>Otros semovientes y plantas</t>
  </si>
  <si>
    <t>PLANTAS PRODUCTORAS</t>
  </si>
  <si>
    <t>Cultivos en desarrollo</t>
  </si>
  <si>
    <t>Cultivos amortizables</t>
  </si>
  <si>
    <t>CONSTRUCCIONES EN CURSO</t>
  </si>
  <si>
    <t>Edificaciones</t>
  </si>
  <si>
    <t>Plantas, ductos y túneles</t>
  </si>
  <si>
    <t>Redes, líneas y cables</t>
  </si>
  <si>
    <t>Otras construcciones en curso</t>
  </si>
  <si>
    <t>MAQUINARIA, PLANTA Y EQUIPO EN MONTAJE</t>
  </si>
  <si>
    <t>Maquinaria y equipo</t>
  </si>
  <si>
    <t>Equipo médico y científico</t>
  </si>
  <si>
    <t>Equipos de comedor, cocina, despensa y hotelería</t>
  </si>
  <si>
    <t>Equipos de transporte, tracción y elevación</t>
  </si>
  <si>
    <t>Otras maquinarias, planta y equipo en montaje</t>
  </si>
  <si>
    <t>PROPIEDADES, PLANTA Y EQUIPO EN TRÁNSITO</t>
  </si>
  <si>
    <t>Plantas y ductos</t>
  </si>
  <si>
    <t>Muebles, enseres y equipo de oficina</t>
  </si>
  <si>
    <t>Semovientes y plantas</t>
  </si>
  <si>
    <t>Componentes de propiedades, planta y equipo</t>
  </si>
  <si>
    <t>Otras maquinarias, planta y equipo en tránsito</t>
  </si>
  <si>
    <t>BIENES MUEBLES EN BODEGA</t>
  </si>
  <si>
    <t>Otros bienes muebles en bodega</t>
  </si>
  <si>
    <t>PROPIEDADES, PLANTA Y EQUIPO EN MANTENIMIENTO</t>
  </si>
  <si>
    <t>PROPIEDADES, PLANTA Y EQUIPO NO EXPLOTADOS</t>
  </si>
  <si>
    <t>Construcciones en curso</t>
  </si>
  <si>
    <t>EDIFICACIONES</t>
  </si>
  <si>
    <t>Edificios y casas</t>
  </si>
  <si>
    <t>Oficinas</t>
  </si>
  <si>
    <t>Almacenes</t>
  </si>
  <si>
    <t>Locales</t>
  </si>
  <si>
    <t>Fábricas</t>
  </si>
  <si>
    <t>Mataderos</t>
  </si>
  <si>
    <t>Salas de exhibición, conferencias y ventas</t>
  </si>
  <si>
    <t>Cafeterías y casinos</t>
  </si>
  <si>
    <t>Colegios y escuelas</t>
  </si>
  <si>
    <t>Clínicas y hospitales</t>
  </si>
  <si>
    <t>Clubes</t>
  </si>
  <si>
    <t>Hoteles, hostales y paradores</t>
  </si>
  <si>
    <t>Silos</t>
  </si>
  <si>
    <t>Invernaderos</t>
  </si>
  <si>
    <t>Casetas y campamentos</t>
  </si>
  <si>
    <t>Parqueaderos y garajes</t>
  </si>
  <si>
    <t>Bodegas</t>
  </si>
  <si>
    <t>Instalaciones deportivas y recreacionales</t>
  </si>
  <si>
    <t>Estanques</t>
  </si>
  <si>
    <t>Presas</t>
  </si>
  <si>
    <t>Pozos</t>
  </si>
  <si>
    <t>Tanques de almacenamiento</t>
  </si>
  <si>
    <t>Estaciones repetidoras</t>
  </si>
  <si>
    <t>Edificaciones pendientes de legalizar</t>
  </si>
  <si>
    <t>Edificaciones de propiedad de terceros</t>
  </si>
  <si>
    <t>Otras edificaciones</t>
  </si>
  <si>
    <t>REPUESTOS</t>
  </si>
  <si>
    <t>Otros repuestos</t>
  </si>
  <si>
    <t>PLANTAS, DUCTOS Y TÚNELES</t>
  </si>
  <si>
    <t>Plantas de generación</t>
  </si>
  <si>
    <t>Plantas de tratamiento</t>
  </si>
  <si>
    <t>Plantas deshidratadoras</t>
  </si>
  <si>
    <t>Plantas de transmisión</t>
  </si>
  <si>
    <t>Plantas de distribución</t>
  </si>
  <si>
    <t>Plantas de producción</t>
  </si>
  <si>
    <t>Plantas de conducción</t>
  </si>
  <si>
    <t>Plantas de telecomunicaciones</t>
  </si>
  <si>
    <t>Subestaciones y/o estaciones de regulación</t>
  </si>
  <si>
    <t>Acueducto y canalización</t>
  </si>
  <si>
    <t>Estaciones de bombeo</t>
  </si>
  <si>
    <t>Plantas, ductos y túneles pendientes de legalizar</t>
  </si>
  <si>
    <t>Plantas, ductos y túneles de propiedad de terceros</t>
  </si>
  <si>
    <t>Otras plantas, ductos y túneles</t>
  </si>
  <si>
    <t>REDES, LÍNEAS Y CABLES</t>
  </si>
  <si>
    <t>Redes de distribución</t>
  </si>
  <si>
    <t>Redes de recolección de aguas</t>
  </si>
  <si>
    <t>Redes de distribución de vapor</t>
  </si>
  <si>
    <t>Redes de aire</t>
  </si>
  <si>
    <t>Redes de alimentación de gas</t>
  </si>
  <si>
    <t>Líneas y cables de interconexión</t>
  </si>
  <si>
    <t>Líneas y cables de transmisión</t>
  </si>
  <si>
    <t>Líneas y cables de conducción</t>
  </si>
  <si>
    <t>Líneas y cables de telecomunicaciones</t>
  </si>
  <si>
    <t>Redes, líneas y cables pendientes de legalizar</t>
  </si>
  <si>
    <t>Redes, líneas y cables de propiedad de terceros</t>
  </si>
  <si>
    <t>Otras redes, líneas y cables</t>
  </si>
  <si>
    <t>MAQUINARIA Y EQUIPO</t>
  </si>
  <si>
    <t>Equipo de construcción</t>
  </si>
  <si>
    <t>Equipo de perforación</t>
  </si>
  <si>
    <t>Maquinaria industrial</t>
  </si>
  <si>
    <t>Equipo de música</t>
  </si>
  <si>
    <t>Equipo de recreación y deporte</t>
  </si>
  <si>
    <t>Equipo agropecuario, de silvicultura, avicultura y pesca</t>
  </si>
  <si>
    <t>Equipo de enseñanza</t>
  </si>
  <si>
    <t>Herramientas y accesorios</t>
  </si>
  <si>
    <t>Equipo para estaciones de bombeo</t>
  </si>
  <si>
    <t>Equipo de centros de control</t>
  </si>
  <si>
    <t>Maquinaria y equipo de dragado</t>
  </si>
  <si>
    <t>Equipo de ayuda audiovisual</t>
  </si>
  <si>
    <t>Equipo de aseo</t>
  </si>
  <si>
    <t>Maquinaria y equipo pendiente de legalizar</t>
  </si>
  <si>
    <t>Maquinaria y equipo de propiedad de terceros</t>
  </si>
  <si>
    <t>Equipo de seguridad y rescate</t>
  </si>
  <si>
    <t>Otra maquinaria y equipo</t>
  </si>
  <si>
    <t>EQUIPO MÉDICO Y CIENTÍFICO</t>
  </si>
  <si>
    <t>Equipo de investigación</t>
  </si>
  <si>
    <t>Equipo de laboratorio</t>
  </si>
  <si>
    <t>Equipo de urgencias</t>
  </si>
  <si>
    <t>Equipo de hospitalización</t>
  </si>
  <si>
    <t>Equipo de quirófanos y salas de parto</t>
  </si>
  <si>
    <t>Equipo de apoyo diagnóstico</t>
  </si>
  <si>
    <t>Equipo de apoyo terapéutico</t>
  </si>
  <si>
    <t>Equipo de servicio ambulatorio</t>
  </si>
  <si>
    <t>Equipo médico y científico pendiente de legalizar</t>
  </si>
  <si>
    <t>Equipo médico y científico de propiedad de terceros</t>
  </si>
  <si>
    <t>Otro equipo médico y científico</t>
  </si>
  <si>
    <t>MUEBLES, ENSERES Y EQUIPO DE OFICINA</t>
  </si>
  <si>
    <t>Equipo y máquina de oficina</t>
  </si>
  <si>
    <t>Muebles, enseres y equipo de oficina pendientes de legalizar</t>
  </si>
  <si>
    <t>Muebles, enseres y equipo de oficina de propiedad de terceros</t>
  </si>
  <si>
    <t>Otros muebles, enseres y equipo de oficina</t>
  </si>
  <si>
    <t>EQUIPOS DE COMUNICACIÓN Y COMPUTACIÓN</t>
  </si>
  <si>
    <t>Equipo de comunicación</t>
  </si>
  <si>
    <t>Equipo de computación</t>
  </si>
  <si>
    <t>Satélites y antenas</t>
  </si>
  <si>
    <t>Equipos de radares</t>
  </si>
  <si>
    <t>Equipos de comunicación y computación pendientes de legalizar</t>
  </si>
  <si>
    <t>Equipos de comunicación y computación de propiedad de terceros</t>
  </si>
  <si>
    <t>Otros equipos de comunicación y computación</t>
  </si>
  <si>
    <t>EQUIPOS DE TRANSPORTE, TRACCIÓN Y ELEVACIÓN</t>
  </si>
  <si>
    <t>Aéreo</t>
  </si>
  <si>
    <t>Terrestre</t>
  </si>
  <si>
    <t>Férreo</t>
  </si>
  <si>
    <t>Marítimo y fluvial</t>
  </si>
  <si>
    <t>De tracción</t>
  </si>
  <si>
    <t>De elevación</t>
  </si>
  <si>
    <t>Equipos de transporte, tracción y elevación pendientes de legalizar</t>
  </si>
  <si>
    <t>Equipos de transporte, tracción y elevación de propiedad de terceros</t>
  </si>
  <si>
    <t>Otros equipos de transporte, tracción y elevación</t>
  </si>
  <si>
    <t>EQUIPOS DE COMEDOR, COCINA, DESPENSA Y HOTELERÍA</t>
  </si>
  <si>
    <t>Equipo de hotelería</t>
  </si>
  <si>
    <t>Equipo de restaurante y cafetería</t>
  </si>
  <si>
    <t>Equipo de calderas</t>
  </si>
  <si>
    <t>Equipo de lavandería</t>
  </si>
  <si>
    <t>Equipos de comedor, cocina, despensa y hotelería pendientes de legalizar</t>
  </si>
  <si>
    <t>Equipos de comedor, cocina, despensa y hotelería de propiedad de terceros</t>
  </si>
  <si>
    <t>Otros equipos de comedor, cocina, despensa y hotelería</t>
  </si>
  <si>
    <t>BIENES DE ARTE Y CULTURA</t>
  </si>
  <si>
    <t>Obras de arte</t>
  </si>
  <si>
    <t>Bienes de culto</t>
  </si>
  <si>
    <t>Joyas</t>
  </si>
  <si>
    <t>Elementos de museo</t>
  </si>
  <si>
    <t>Elementos musicales</t>
  </si>
  <si>
    <t>Libros y publicaciones de investigación y consulta</t>
  </si>
  <si>
    <t>Otros bienes de arte y cultura</t>
  </si>
  <si>
    <t>PROPIEDADES, PLANTA Y EQUIPO EN CONCESIÓN</t>
  </si>
  <si>
    <t>Maquinaria y Equipo</t>
  </si>
  <si>
    <t>Otras propiedades, planta y equipo en concesión</t>
  </si>
  <si>
    <t>DEPRECIACIÓN ACUMULADA DE PROPIEDADES, PLANTA Y EQUIPO (CR)</t>
  </si>
  <si>
    <t>Plantas productoras</t>
  </si>
  <si>
    <t>Bienes de arte y cultura</t>
  </si>
  <si>
    <t>Bienes muebles en bodega</t>
  </si>
  <si>
    <t>Propiedades, planta y equipo en mantenimiento</t>
  </si>
  <si>
    <t>Propiedades, planta y equipo no explotados</t>
  </si>
  <si>
    <t>Propiedades, planta y equipo en concesión</t>
  </si>
  <si>
    <t>Terrenos con vida útil finita</t>
  </si>
  <si>
    <t>DETERIORO ACUMULADO DE PROPIEDADES, PLANTA Y EQUIPO (CR)</t>
  </si>
  <si>
    <t>Maquinaria, planta y equipo en montaje</t>
  </si>
  <si>
    <t>Equipo de transporte, tracción y elevación</t>
  </si>
  <si>
    <t>Maquinaria, planta y equipo en tránsito</t>
  </si>
  <si>
    <t>OTROS ACTIVOS</t>
  </si>
  <si>
    <t>PLAN DE ACTIVOS PARA BENEFICIOS A LOS EMPLEADOS A LARGO PLAZO</t>
  </si>
  <si>
    <t>Efectivo y equivalentes al efectivo</t>
  </si>
  <si>
    <t>Recursos entregados en administración</t>
  </si>
  <si>
    <t>Inversiones</t>
  </si>
  <si>
    <t>Encargos fiduciarios</t>
  </si>
  <si>
    <t>Propiedades, planta y equipo</t>
  </si>
  <si>
    <t>Propiedades de inversión</t>
  </si>
  <si>
    <t>Otros activos</t>
  </si>
  <si>
    <t>Derechos en fideicomiso</t>
  </si>
  <si>
    <t>PLAN DE ACTIVOS PARA BENEFICIOS A LOS EMPLEADOS POR TERMINACIÓN DEL VINCULO LABORAL O CONTRACTUAL</t>
  </si>
  <si>
    <t>PLAN DE ACTIVOS PARA BENEFICIOS POSEMPLEO</t>
  </si>
  <si>
    <t>Derechos por cobrar - Concurrencia para el pago de pensiones</t>
  </si>
  <si>
    <t>Recursos para cubrir el pasivo pensional conmutado</t>
  </si>
  <si>
    <t>BIENES Y SERVICIOS PAGADOS POR ANTICIPADO</t>
  </si>
  <si>
    <t>Seguros</t>
  </si>
  <si>
    <t>Intereses</t>
  </si>
  <si>
    <t>Impresos, publicaciones, suscripciones y afiliaciones</t>
  </si>
  <si>
    <t>Mantenimiento</t>
  </si>
  <si>
    <t>Bodegaje</t>
  </si>
  <si>
    <t>Administración y emisión de títulos valores</t>
  </si>
  <si>
    <t>Sueldos y salarios</t>
  </si>
  <si>
    <t>Contribuciones efectivas</t>
  </si>
  <si>
    <t>Estudios y proyectos</t>
  </si>
  <si>
    <t>Bienes y servicios</t>
  </si>
  <si>
    <t>Otros beneficios a los empleados</t>
  </si>
  <si>
    <t>Beneficios  a  empleados  por  préstamos  condicionados  a  tasa  de  interés  cero  o inferior a la del mercado</t>
  </si>
  <si>
    <t>Otros bienes y servicios pagados por anticipado</t>
  </si>
  <si>
    <t>AVANCES Y ANTICIPOS ENTREGADOS</t>
  </si>
  <si>
    <t>Anticipos sobre convenios y acuerdos</t>
  </si>
  <si>
    <t>Avances a agentes de aduana</t>
  </si>
  <si>
    <t>Avances para viáticos y gastos de viaje</t>
  </si>
  <si>
    <t>Anticipo para adquisición de bienes y servicios</t>
  </si>
  <si>
    <t>Otros avances y anticipos</t>
  </si>
  <si>
    <t>ANTICIPOS,     RETENCIONES     Y     SALDOS     A     FAVOR     POR     IMPUESTOS     Y CONTRIBUCIONES</t>
  </si>
  <si>
    <t>Anticipo de impuesto sobre la renta</t>
  </si>
  <si>
    <t>Retención en la fuente</t>
  </si>
  <si>
    <t>Saldos a favor en liquidaciones privadas</t>
  </si>
  <si>
    <t>Anticipo contribución especial</t>
  </si>
  <si>
    <t>Saldo a favor de impuesto a las ventas</t>
  </si>
  <si>
    <t>Anticipo de impuesto de industria y comercio</t>
  </si>
  <si>
    <t>Anticipo de impuesto a las ventas</t>
  </si>
  <si>
    <t>Impuesto de industria y comercio retenido</t>
  </si>
  <si>
    <t>Anticipo sobretasa al impuesto sobre la renta y complementarios</t>
  </si>
  <si>
    <t>Otros anticipos, retenciones y saldos a favor por impuestos y contribuciones</t>
  </si>
  <si>
    <t>RECURSOS ENTREGADOS EN ADMINISTRACIÓN</t>
  </si>
  <si>
    <t>En administración</t>
  </si>
  <si>
    <t>Encargo fiduciario - Fiducia de inversión</t>
  </si>
  <si>
    <t>Encargo fiduciario - Fiducia de administración y pagos</t>
  </si>
  <si>
    <t>Encargo fiduciario - Fiducia de garantía</t>
  </si>
  <si>
    <t>DEPÓSITOS ENTREGADOS EN GARANTÍA</t>
  </si>
  <si>
    <t>Para servicios</t>
  </si>
  <si>
    <t>Para bienes</t>
  </si>
  <si>
    <t>Depósitos judiciales</t>
  </si>
  <si>
    <t>Depósitos sobre contratos</t>
  </si>
  <si>
    <t>Para importaciones</t>
  </si>
  <si>
    <t>Para inversiones</t>
  </si>
  <si>
    <t>Depósitos para procesos de titularización</t>
  </si>
  <si>
    <t>Depósitos en contratos de futuros</t>
  </si>
  <si>
    <t>Otros depósitos entregados</t>
  </si>
  <si>
    <t>DERECHOS EN FIDEICOMISO</t>
  </si>
  <si>
    <t>Fiducia mercantil - Patrimonio autónomo</t>
  </si>
  <si>
    <t>PROPIEDADES DE INVERSIÓN</t>
  </si>
  <si>
    <t>Terrenos con uso indeterminado</t>
  </si>
  <si>
    <t>Edificaciones con uso indeterminado</t>
  </si>
  <si>
    <t>DEPRECIACIÓN ACUMULADA DE PROPIEDADES DE INVERSIÓN (CR)</t>
  </si>
  <si>
    <t>DETERIORO ACUMULADO DE PROPIEDADES DE INVERSIÓN (CR)</t>
  </si>
  <si>
    <t>ACTIVOS INTANGIBLES</t>
  </si>
  <si>
    <t>Plusvalía</t>
  </si>
  <si>
    <t>Marcas</t>
  </si>
  <si>
    <t>Patentes</t>
  </si>
  <si>
    <t>Concesiones y franquicias</t>
  </si>
  <si>
    <t>Derechos</t>
  </si>
  <si>
    <t>Licencias</t>
  </si>
  <si>
    <t>Softwares</t>
  </si>
  <si>
    <t>Activos intangibles en fase de desarrollo</t>
  </si>
  <si>
    <t>Activos intangibles en concesión</t>
  </si>
  <si>
    <t>Otros activos intangibles</t>
  </si>
  <si>
    <t>AMORTIZACIÓN ACUMULADA DE ACTIVOS INTANGIBLES (CR)</t>
  </si>
  <si>
    <t>DETERIORO ACUMULADO DE ACTIVOS INTANGIBLES (CR)</t>
  </si>
  <si>
    <t>ACTIVOS  BIOLÓGICOS  A  VALOR  DE  MERCADO  (VALOR  RAZONABLE)  MENOS COSTOS DE DISPOSICIÓN</t>
  </si>
  <si>
    <t>Maduros para consumo</t>
  </si>
  <si>
    <t>Por madurar para consumo</t>
  </si>
  <si>
    <t>Maduros para producir frutos</t>
  </si>
  <si>
    <t>Por madurar para producir frutos</t>
  </si>
  <si>
    <t>ACTIVOS BIOLÓGICOS A COSTO DE REPOSICIÓN</t>
  </si>
  <si>
    <t>ACTIVOS BIOLÓGICOS AL COSTO</t>
  </si>
  <si>
    <t>AMORTIZACIÓN ACUMULADA DE ACTIVOS BIOLÓGICOS AL COSTO (CR)</t>
  </si>
  <si>
    <t>DETERIORO ACUMULADO DE ACTIVOS BIOLÓGICOS AL COSTO (CR)</t>
  </si>
  <si>
    <t>ACTIVOS POR IMPUESTOS DIFERIDOS</t>
  </si>
  <si>
    <t>Inversiones e instrumentos derivados</t>
  </si>
  <si>
    <t>Inventarios</t>
  </si>
  <si>
    <t>Activos intangibles</t>
  </si>
  <si>
    <t>Activos biológicos</t>
  </si>
  <si>
    <t>Operaciones de instituciones financieras</t>
  </si>
  <si>
    <t>Emisión y colocación de títulos de deuda</t>
  </si>
  <si>
    <t>Préstamos por pagar</t>
  </si>
  <si>
    <t>Cuentas por pagar</t>
  </si>
  <si>
    <t>Beneficios a empleados</t>
  </si>
  <si>
    <t>Operaciones con instrumentos derivados</t>
  </si>
  <si>
    <t>Provisiones</t>
  </si>
  <si>
    <t>Otros pasivos</t>
  </si>
  <si>
    <t>ACTIVOS DIFERIDOS</t>
  </si>
  <si>
    <t>Pérdida diferida por transacciones de venta con arrendamiento posterior</t>
  </si>
  <si>
    <t>Gasto diferido por subvenciones condicionadas</t>
  </si>
  <si>
    <t>Costos de transacción - Activos y pasivos financieros</t>
  </si>
  <si>
    <t>RECURSOS   DE   LA   ENTIDAD   CONCEDENTE   EN   PATRIMONIOS   AUTÓNOMOS CONSTITUIDOS POR LOS CONCESIONARIOS</t>
  </si>
  <si>
    <t>Recursos de la entidad concedente en patrimonios autónomos constituidos por los_x000D_
concesionarios</t>
  </si>
  <si>
    <t>DERECHOS  DE  SUSTITUCIÓN  DE  ACTIVOS  DETERIORADOS  Y  DE  REEMBOLSO_x000D_
RELACIONADOS CON PROVISIONES</t>
  </si>
  <si>
    <t>Derechos de sustitución de activos deteriorados por daño físico</t>
  </si>
  <si>
    <t>Derechos de reembolso relacionados con provisiones</t>
  </si>
  <si>
    <t>PASIVOS</t>
  </si>
  <si>
    <t>OPERACIONES DE BANCA CENTRAL E INSTITUCIONES FINANCIERAS</t>
  </si>
  <si>
    <t>OPERACIONES DE CAPTACIÓN Y SERVICIOS FINANCIEROS</t>
  </si>
  <si>
    <t>Cuentas corrientes</t>
  </si>
  <si>
    <t>Depósitos de ahorro</t>
  </si>
  <si>
    <t>Cuentas de ahorro especial</t>
  </si>
  <si>
    <t>Depósitos especiales</t>
  </si>
  <si>
    <t>Otras operaciones de captación y servicios financieros</t>
  </si>
  <si>
    <t>EMISIÓN Y COLOCACIÓN DE TÍTULOS DE DEUDA</t>
  </si>
  <si>
    <t>FINANCIAMIENTO INTERNO DE CORTO PLAZO</t>
  </si>
  <si>
    <t>Bonos y títulos emitidos</t>
  </si>
  <si>
    <t>FINANCIAMIENTO INTERNO DE LARGO PLAZO</t>
  </si>
  <si>
    <t>Otros bonos y títulos emitidos</t>
  </si>
  <si>
    <t>FINANCIAMIENTO EXTERNO DE CORTO PLAZO</t>
  </si>
  <si>
    <t>FINANCIAMIENTO EXTERNO DE LARGO PLAZO</t>
  </si>
  <si>
    <t>PRÉSTAMOS POR PAGAR</t>
  </si>
  <si>
    <t>Préstamos banca comercial</t>
  </si>
  <si>
    <t>Préstamos banca de fomento</t>
  </si>
  <si>
    <t>Préstamos entidades de fomento y desarrollo regional</t>
  </si>
  <si>
    <t>Créditos transitorios</t>
  </si>
  <si>
    <t>Fondos adquiridos con compromiso de recompra</t>
  </si>
  <si>
    <t>Sobregiros</t>
  </si>
  <si>
    <t>Préstamos de vinculados económicos</t>
  </si>
  <si>
    <t>Préstamos de fondos empresariales</t>
  </si>
  <si>
    <t>Préstamos del Gobierno General</t>
  </si>
  <si>
    <t>Préstamos de empresas no financieras</t>
  </si>
  <si>
    <t>Préstamos de otras entidades</t>
  </si>
  <si>
    <t>Préstamos de asociados</t>
  </si>
  <si>
    <t>Préstamos de socios y accionistas</t>
  </si>
  <si>
    <t>Otros préstamos</t>
  </si>
  <si>
    <t>Pasivo financiero por acuerdos de concesión (Concedente)</t>
  </si>
  <si>
    <t>Titularización de flujos futuros</t>
  </si>
  <si>
    <t>CUENTAS POR PAGAR</t>
  </si>
  <si>
    <t>ADQUISICIÓN DE BIENES Y SERVICIOS NACIONALES</t>
  </si>
  <si>
    <t>Proyectos de inversión</t>
  </si>
  <si>
    <t>SUBVENCIONES POR PAGAR</t>
  </si>
  <si>
    <t>Subvención por recursos transferidos a las empresas públicas</t>
  </si>
  <si>
    <t>ADQUISICIÓN DE BIENES Y SERVICIOS DEL EXTERIOR</t>
  </si>
  <si>
    <t>RECURSOS A FAVOR DE TERCEROS</t>
  </si>
  <si>
    <t>Ventas por cuenta de terceros</t>
  </si>
  <si>
    <t>Cobro cartera de terceros</t>
  </si>
  <si>
    <t>Seguro sobre préstamos</t>
  </si>
  <si>
    <t>Venta de servicio de directorio telefónico</t>
  </si>
  <si>
    <t>Venta de servicio de televisión</t>
  </si>
  <si>
    <t>Recaudos por clasificar</t>
  </si>
  <si>
    <t>Recaudos a favor del concedente</t>
  </si>
  <si>
    <t>Fondo de Solidaridad y Redistribución del Ingreso - Servicios públicos</t>
  </si>
  <si>
    <t>Fondo  de  repotenciación  y  reposición  de  activos  de  los  sistemas  integrados  de transporte masivo</t>
  </si>
  <si>
    <t>Venta de servicios públicos</t>
  </si>
  <si>
    <t>Rendimientos financieros</t>
  </si>
  <si>
    <t>Retención a contratistas por aportes al Sistema de Seguridad Social Integral</t>
  </si>
  <si>
    <t>Otros recursos a favor de terceros</t>
  </si>
  <si>
    <t>DESCUENTOS DE NÓMINA</t>
  </si>
  <si>
    <t>Aportes a fondos  pensionales</t>
  </si>
  <si>
    <t>Aportes a seguridad social en salud</t>
  </si>
  <si>
    <t>Sindicatos</t>
  </si>
  <si>
    <t>Cooperativas</t>
  </si>
  <si>
    <t>Fondos de empleados</t>
  </si>
  <si>
    <t>Libranzas</t>
  </si>
  <si>
    <t>Contratos de medicina prepagada</t>
  </si>
  <si>
    <t>Fondos mutuos</t>
  </si>
  <si>
    <t>Embargos judiciales</t>
  </si>
  <si>
    <t>Cuenta de ahorro para el fomento de la construcción (AFC)</t>
  </si>
  <si>
    <t>Otros descuentos de nómina</t>
  </si>
  <si>
    <t>RETENCIÓN EN LA FUENTE E IMPUESTO DE TIMBRE</t>
  </si>
  <si>
    <t>Dividendos y participaciones</t>
  </si>
  <si>
    <t>Servicios</t>
  </si>
  <si>
    <t>Arrendamientos</t>
  </si>
  <si>
    <t>Rendimientos financieros e intereses</t>
  </si>
  <si>
    <t>Compras</t>
  </si>
  <si>
    <t>Loterías, rifas, apuestas y similares</t>
  </si>
  <si>
    <t>Pagos o abonos en cuentas en el exterior</t>
  </si>
  <si>
    <t>Por ingresos obtenidos en el exterior</t>
  </si>
  <si>
    <t>Enajenación de activos fijos de personas naturales</t>
  </si>
  <si>
    <t>Rentas de pensiones</t>
  </si>
  <si>
    <t>Regalías y explotación de la propiedad intelectual</t>
  </si>
  <si>
    <t>Rentas de trabajo</t>
  </si>
  <si>
    <t>Transacciones con tarjeta débito y crédito</t>
  </si>
  <si>
    <t>Impuesto a las ventas retenido</t>
  </si>
  <si>
    <t>Retención de impuesto de industria y comercio por compras</t>
  </si>
  <si>
    <t>Retención de impuesto de industria y comercio por ventas</t>
  </si>
  <si>
    <t>Otras retenciones</t>
  </si>
  <si>
    <t>Autorretenciones</t>
  </si>
  <si>
    <t>Impuesto de timbre</t>
  </si>
  <si>
    <t>IMPUESTOS, CONTRIBUCIONES Y TASAS</t>
  </si>
  <si>
    <t>Impuesto sobre la renta y complementarios</t>
  </si>
  <si>
    <t>Impuesto predial unificado</t>
  </si>
  <si>
    <t>Impuesto de industria y comercio</t>
  </si>
  <si>
    <t>Impuesto sobre aduana y recargos</t>
  </si>
  <si>
    <t>Impuesto de registro</t>
  </si>
  <si>
    <t>Regalías y compensaciones monetarias</t>
  </si>
  <si>
    <t>Licencias, registro y salvoconducto</t>
  </si>
  <si>
    <t>Cuota de fiscalización y auditaje</t>
  </si>
  <si>
    <t>Impuesto sobre vehículos automotores</t>
  </si>
  <si>
    <t>Gravamen a los movimientos financieros</t>
  </si>
  <si>
    <t>Impuesto para preservar la seguridad democrática</t>
  </si>
  <si>
    <t>Impuesto al patrimonio</t>
  </si>
  <si>
    <t>Contribuciones</t>
  </si>
  <si>
    <t>Tasas</t>
  </si>
  <si>
    <t>Impuestos, contribuciones y tasas en el exterior</t>
  </si>
  <si>
    <t>Impuesto nacional al consumo</t>
  </si>
  <si>
    <t>Impuesto a la riqueza</t>
  </si>
  <si>
    <t>Impuesto complementario de normalización tributaria al impuesto a la riqueza</t>
  </si>
  <si>
    <t>Sobretasa ambiental</t>
  </si>
  <si>
    <t>Sobretasa al impuesto sobre la renta y complementarios</t>
  </si>
  <si>
    <t>Impuesto sobre el servicio de alumbrado público</t>
  </si>
  <si>
    <t>Otros impuestos nacionales</t>
  </si>
  <si>
    <t>Otros impuestos departamentales</t>
  </si>
  <si>
    <t>Otros impuestos municipales</t>
  </si>
  <si>
    <t>Otros impuestos distritales</t>
  </si>
  <si>
    <t>Otras contribuciones y tasas</t>
  </si>
  <si>
    <t>IMPUESTO AL VALOR AGREGADO - IVA</t>
  </si>
  <si>
    <t>Venta de servicios</t>
  </si>
  <si>
    <t>Devoluciones en compra de bienes</t>
  </si>
  <si>
    <t>Devoluciones en compra de servicios</t>
  </si>
  <si>
    <t>Compra de bienes (Db)</t>
  </si>
  <si>
    <t>Compra de servicios (Db)</t>
  </si>
  <si>
    <t>Devoluciones en venta de bienes (Db)</t>
  </si>
  <si>
    <t>Devoluciones en venta de servicios (Db)</t>
  </si>
  <si>
    <t>Impuesto a las ventas retenido (Db)</t>
  </si>
  <si>
    <t>Valor pagado (Db)</t>
  </si>
  <si>
    <t>CRÉDITOS JUDICIALES</t>
  </si>
  <si>
    <t>Sentencias</t>
  </si>
  <si>
    <t>Laudos arbitrales y conciliaciones extrajudiciales</t>
  </si>
  <si>
    <t>Otros créditos judiciales</t>
  </si>
  <si>
    <t>PREMIOS POR PAGAR</t>
  </si>
  <si>
    <t>Premios mayores pendientes de pago</t>
  </si>
  <si>
    <t>Premios secos pendientes de pago</t>
  </si>
  <si>
    <t>Premios de aproximaciones pendientes de pago</t>
  </si>
  <si>
    <t>Apuestas permanentes</t>
  </si>
  <si>
    <t>Otros premios</t>
  </si>
  <si>
    <t>RECURSOS RECIBIDOS DEL SISTEMA DE SEGURIDAD SOCIAL EN SALUD</t>
  </si>
  <si>
    <t>Cotizaciones</t>
  </si>
  <si>
    <t>Rendimientos de la cuenta maestra de recaudo</t>
  </si>
  <si>
    <t>Cotizaciones no compensadas</t>
  </si>
  <si>
    <t>Reintegros  a  la  ADRES,  a  las  entidades  territoriales  o  a  los  fondos  de  salud descentralizados</t>
  </si>
  <si>
    <t>Otros recursos recibidos del sistema de seguridad social en salud</t>
  </si>
  <si>
    <t>ADMINISTRACIÓN DE LA SEGURIDAD SOCIAL EN SALUD</t>
  </si>
  <si>
    <t>Contratos de capitación - Contributivo</t>
  </si>
  <si>
    <t>Contratos por evento y otras modalidades - Contributivo</t>
  </si>
  <si>
    <t>Promoción y prevención - Contributivo</t>
  </si>
  <si>
    <t>Sistema de garantía y calidad - Contributivo</t>
  </si>
  <si>
    <t>Reaseguro enfermedades de alto costo - Contributivo</t>
  </si>
  <si>
    <t>Incapacidades-Contributivo</t>
  </si>
  <si>
    <t>Contratos de capitación - Subsidiado</t>
  </si>
  <si>
    <t>Contratos por eventos y otras modalidades - Subsidiado</t>
  </si>
  <si>
    <t>Promoción y prevención - Subsidiado</t>
  </si>
  <si>
    <t>Sistema de garantía y calidad - Subsidiado</t>
  </si>
  <si>
    <t>Reaseguro enfermedades de alto costo - Subsidiado</t>
  </si>
  <si>
    <t>Contratos de capitación - Complementarios</t>
  </si>
  <si>
    <t>Contratos por eventos - Complementario</t>
  </si>
  <si>
    <t>Promoción y prevención - Complementario</t>
  </si>
  <si>
    <t>Sistema de garantía y calidad - Complementario</t>
  </si>
  <si>
    <t>Reaseguro enfermedades de alto costo - Complementario</t>
  </si>
  <si>
    <t>Auxilios y servicios funerarios - Complementario</t>
  </si>
  <si>
    <t>Obligaciones por servicios No PBS</t>
  </si>
  <si>
    <t>Otros gastos de seguridad social en salud</t>
  </si>
  <si>
    <t>OTRAS CUENTAS POR PAGAR</t>
  </si>
  <si>
    <t>Obligaciones a cargo en operaciones conjuntas</t>
  </si>
  <si>
    <t>Esquemas de pago</t>
  </si>
  <si>
    <t>Recursos de acreedores reintegrados por entidades públicas</t>
  </si>
  <si>
    <t>Obligaciones pagadas por terceros</t>
  </si>
  <si>
    <t>Garantías contractuales - Concesiones</t>
  </si>
  <si>
    <t>Suscripción de acciones o participaciones</t>
  </si>
  <si>
    <t>Suscripciones</t>
  </si>
  <si>
    <t>Viáticos y gastos de viaje</t>
  </si>
  <si>
    <t>Excedentes de remates</t>
  </si>
  <si>
    <t>Gastos legales</t>
  </si>
  <si>
    <t>Cheques no cobrados o por reclamar</t>
  </si>
  <si>
    <t>Gastos de representación</t>
  </si>
  <si>
    <t>Aportes a escuelas industriales, institutos técnicos y ESAP</t>
  </si>
  <si>
    <t>Prima en contratos de estabilidad jurídica</t>
  </si>
  <si>
    <t>Cartera adquirida por movilización de activos</t>
  </si>
  <si>
    <t>Saldos a favor de beneficiarios</t>
  </si>
  <si>
    <t>Ingresos a favor del concedente</t>
  </si>
  <si>
    <t>Multas y sanciones</t>
  </si>
  <si>
    <t>Implicación continuada en inversiones</t>
  </si>
  <si>
    <t>Implicación continuada en cuentas por cobrar</t>
  </si>
  <si>
    <t>Implicación continuada en préstamos por cobrar</t>
  </si>
  <si>
    <t>Aportes al ICBF y SENA</t>
  </si>
  <si>
    <t>Servicios públicos</t>
  </si>
  <si>
    <t>Excedentes financieros</t>
  </si>
  <si>
    <t>Obligaciones a cargo en acuerdos no clasificados como operaciones conjuntas</t>
  </si>
  <si>
    <t>Aportes a sindicatos</t>
  </si>
  <si>
    <t>Renta del monopolio de los juegos de suerte y azar</t>
  </si>
  <si>
    <t>Otras cuentas por pagar</t>
  </si>
  <si>
    <t>CUENTAS POR PAGAR A COSTO AMORTIZADO</t>
  </si>
  <si>
    <t>Adquisición de bienes y servicios nacionales</t>
  </si>
  <si>
    <t>Adquisición de bienes y servicios del exterior</t>
  </si>
  <si>
    <t>Inversiones transferidas que no se dan de baja</t>
  </si>
  <si>
    <t>Cuentas por cobrar transferidas que no se dan de baja</t>
  </si>
  <si>
    <t>Préstamos por cobrar transferidos que no se dan de baja</t>
  </si>
  <si>
    <t>Otras cuentas por pagar a costo amortizado</t>
  </si>
  <si>
    <t>BENEFICIOS A LOS EMPLEADOS</t>
  </si>
  <si>
    <t>BENEFICIOS A LOS EMPLEADOS A CORTO PLAZO</t>
  </si>
  <si>
    <t>Nómina por pagar</t>
  </si>
  <si>
    <t>Cesantías</t>
  </si>
  <si>
    <t>Intereses sobre cesantías</t>
  </si>
  <si>
    <t>Vacaciones</t>
  </si>
  <si>
    <t>Prima de vacaciones</t>
  </si>
  <si>
    <t>Prima de servicios</t>
  </si>
  <si>
    <t>Prima de navidad</t>
  </si>
  <si>
    <t>Bonificaciones</t>
  </si>
  <si>
    <t>Otras primas</t>
  </si>
  <si>
    <t>Aportes a riesgos laborales</t>
  </si>
  <si>
    <t>Auxilios funerarios</t>
  </si>
  <si>
    <t>Remuneración por servicios técnicos</t>
  </si>
  <si>
    <t>Capacitación, bienestar social y estímulos</t>
  </si>
  <si>
    <t>Dotación y suministro a trabajadores</t>
  </si>
  <si>
    <t>Gastos deportivos y de recreación</t>
  </si>
  <si>
    <t>Contratos de personal temporal</t>
  </si>
  <si>
    <t>Gastos de viaje</t>
  </si>
  <si>
    <t>Remuneración electoral</t>
  </si>
  <si>
    <t>Aportes a fondos pensionales - empleador</t>
  </si>
  <si>
    <t>Aportes a seguridad social en salud - empleador</t>
  </si>
  <si>
    <t>Aportes a cajas de compensación familiar</t>
  </si>
  <si>
    <t>Medicina prepagada</t>
  </si>
  <si>
    <t>Incentivos al ahorro</t>
  </si>
  <si>
    <t>Otros beneficios a los empleados a corto plazo</t>
  </si>
  <si>
    <t>BENEFICIOS A LOS EMPLEADOS A LARGO PLAZO</t>
  </si>
  <si>
    <t>Primas</t>
  </si>
  <si>
    <t>Cesantías retroactivas</t>
  </si>
  <si>
    <t>Otros beneficios a los empleados a largo plazo</t>
  </si>
  <si>
    <t>BENEFICIOS POR TERMINACIÓN DEL VÍNCULO LABORAL O CONTRACTUAL</t>
  </si>
  <si>
    <t>Otros beneficios por terminación del vínculo laboral o contractual</t>
  </si>
  <si>
    <t>BENEFICIOS POSEMPLEO - PENSIONES</t>
  </si>
  <si>
    <t>Pensiones de jubilación patronales</t>
  </si>
  <si>
    <t>Retroactivos y reintegros pensionales</t>
  </si>
  <si>
    <t>Indemnización sustitutiva</t>
  </si>
  <si>
    <t>Mesadas pensionales no reclamadas</t>
  </si>
  <si>
    <t>Cálculo actuarial de pensiones actuales</t>
  </si>
  <si>
    <t>Cálculo actuarial de futuras pensiones</t>
  </si>
  <si>
    <t>Cálculo actuarial de cuotas partes de pensiones</t>
  </si>
  <si>
    <t>Cálculo actuarial pasivo pensional conmutado</t>
  </si>
  <si>
    <t>OTROS BENEFICIOS POSEMPLEO</t>
  </si>
  <si>
    <t>Capacitación, bienestar social, estímulos y otros beneficios legales o extralegales</t>
  </si>
  <si>
    <t>Auxilio funerario</t>
  </si>
  <si>
    <t>OPERACIONES CON INSTRUMENTOS DERIVADOS</t>
  </si>
  <si>
    <t>Derechos en contratos forward (Db)</t>
  </si>
  <si>
    <t>Obligaciones en contratos forward</t>
  </si>
  <si>
    <t>Derechos en contratos futuros (Db)</t>
  </si>
  <si>
    <t>Obligaciones en contratos futuros</t>
  </si>
  <si>
    <t>Derechos en contratos swaps (Db)</t>
  </si>
  <si>
    <t>Obligaciones en contratos swaps</t>
  </si>
  <si>
    <t>Derechos en otros derivados (Db)</t>
  </si>
  <si>
    <t>Obligaciones en otros derivados</t>
  </si>
  <si>
    <t>Prima recibida en opciones</t>
  </si>
  <si>
    <t>Pérdida en la valoración de opciones vendidas</t>
  </si>
  <si>
    <t>INSTRUMENTOS  DERIVADOS  CON  FINES  DE  COBERTURA  DE  UNA  INVERSIÓN_x000D_
NETA EN UN NEGOCIO EN EL EXTRANJERO</t>
  </si>
  <si>
    <t>AJUSTE  POR  COBERTURA  DEL  VALOR  DE  MERCADO  (VALOR  RAZONABLE)  DEL RIESGO  DE  TASA  DE  INTERÉS  ASOCIADO  CON  UNA  CARTERA  DE  ACTIVOS  O PASIVOS FINANCIEROS</t>
  </si>
  <si>
    <t>Ajuste por cobertura del valor de mercado (valor razonable) del riesgo de tasa de_x000D_
interés asociado con una cartera de activos y pasivos financieros</t>
  </si>
  <si>
    <t>PÉRDIDA  EN  LA  VALORACIÓN  DE  COMPROMISOS  EN  FIRME  COMO  PARTIDAS CUBIERTAS</t>
  </si>
  <si>
    <t>PROVISIONES</t>
  </si>
  <si>
    <t>LITIGIOS Y DEMANDAS</t>
  </si>
  <si>
    <t>Civiles</t>
  </si>
  <si>
    <t>Penales</t>
  </si>
  <si>
    <t>Administrativas</t>
  </si>
  <si>
    <t>Obligaciones fiscales</t>
  </si>
  <si>
    <t>Laborales</t>
  </si>
  <si>
    <t>Otros litigios y demandas</t>
  </si>
  <si>
    <t>GARANTÍAS</t>
  </si>
  <si>
    <t>Garantías contractuales</t>
  </si>
  <si>
    <t>PROVISIONES DIVERSAS</t>
  </si>
  <si>
    <t>Mecanismos alternativos de solución de conflictos</t>
  </si>
  <si>
    <t>Reserva técnica para el pago de premios</t>
  </si>
  <si>
    <t>Obligaciones implícitas</t>
  </si>
  <si>
    <t>Contratos onerosos</t>
  </si>
  <si>
    <t>Reestructuraciones</t>
  </si>
  <si>
    <t>Desmantelamientos</t>
  </si>
  <si>
    <t>Reservas técnicas por servicios de salud autorizados</t>
  </si>
  <si>
    <t>Reservas técnicas por servicios de salud ocurridos no conocidos</t>
  </si>
  <si>
    <t>Reservas técnicas por incapacidades</t>
  </si>
  <si>
    <t>Otras reservas técnicas</t>
  </si>
  <si>
    <t>Obligaciones originadas por inversiones en entidades en liquidación</t>
  </si>
  <si>
    <t>Otras provisiones diversas</t>
  </si>
  <si>
    <t>OTROS PASIVOS</t>
  </si>
  <si>
    <t>AVANCES Y ANTICIPOS RECIBIDOS</t>
  </si>
  <si>
    <t>Anticipos sobre ventas de bienes y servicios</t>
  </si>
  <si>
    <t>Anticipos juegos de suerte y azar</t>
  </si>
  <si>
    <t>RECURSOS RECIBIDOS EN ADMINISTRACIÓN</t>
  </si>
  <si>
    <t>DEPÓSITOS RECIBIDOS EN GARANTÍA</t>
  </si>
  <si>
    <t>INGRESOS RECIBIDOS POR ANTICIPADO</t>
  </si>
  <si>
    <t>Ventas</t>
  </si>
  <si>
    <t>Venta de servicio de energía</t>
  </si>
  <si>
    <t>Venta de servicio de acueducto</t>
  </si>
  <si>
    <t>Venta de servicio de alcantarillado</t>
  </si>
  <si>
    <t>Venta de servicio de aseo</t>
  </si>
  <si>
    <t>Venta de servicio de gas combustible</t>
  </si>
  <si>
    <t>Venta de servicio de telecomunicaciones</t>
  </si>
  <si>
    <t>Recursos recibidos para fomentar telefonía social</t>
  </si>
  <si>
    <t>Otros ingresos recibidos por anticipado</t>
  </si>
  <si>
    <t>PASIVOS POR IMPUESTOS DIFERIDOS</t>
  </si>
  <si>
    <t>BONOS PENSIONALES</t>
  </si>
  <si>
    <t>Cuotas partes de bonos pensionales emitidos</t>
  </si>
  <si>
    <t>OTROS PASIVOS DIFERIDOS</t>
  </si>
  <si>
    <t>Ganancia diferida por transacciones de venta con arrendamiento posterior</t>
  </si>
  <si>
    <t>Ingreso diferido por subvenciones condicionadas</t>
  </si>
  <si>
    <t>Ingreso diferido por concesiones - concedente</t>
  </si>
  <si>
    <t>Otros pasivos diferidos</t>
  </si>
  <si>
    <t>PATRIMONIO</t>
  </si>
  <si>
    <t>PATRIMONIO DE LAS EMPRESAS</t>
  </si>
  <si>
    <t>APORTES SOCIALES</t>
  </si>
  <si>
    <t>CAPITAL SUSCRITO Y PAGADO</t>
  </si>
  <si>
    <t>Capital autorizado</t>
  </si>
  <si>
    <t>Capital por suscribir (Db)</t>
  </si>
  <si>
    <t>Capital suscrito por cobrar (Db)</t>
  </si>
  <si>
    <t>CAPITAL FISCAL</t>
  </si>
  <si>
    <t>Capital fiscal</t>
  </si>
  <si>
    <t>PRIMA EN COLOCACIÓN DE ACCIONES, CUOTAS O PARTES DE INTERÉS SOCIAL</t>
  </si>
  <si>
    <t>Prima en colocación de acciones</t>
  </si>
  <si>
    <t>Prima en colocación de acciones por cobrar (Db)</t>
  </si>
  <si>
    <t>Prima en colocación de cuotas o partes de interés social</t>
  </si>
  <si>
    <t>Prima en colocación de cuotas o partes de interés social por cobrar (Db)</t>
  </si>
  <si>
    <t>RESERVAS</t>
  </si>
  <si>
    <t>Reservas de Ley</t>
  </si>
  <si>
    <t>Reservas estatutarias</t>
  </si>
  <si>
    <t>Reservas ocasionales</t>
  </si>
  <si>
    <t>Reservas para readquisición de acciones y cuotas partes</t>
  </si>
  <si>
    <t>Fondos patrimoniales</t>
  </si>
  <si>
    <t>Reserva de resultado cambiario banca central</t>
  </si>
  <si>
    <t>Reserva para fluctuaciones de moneda banca central</t>
  </si>
  <si>
    <t>Acciones y cuotas partes propias readquiridas (Db)</t>
  </si>
  <si>
    <t>Otras reservas</t>
  </si>
  <si>
    <t>DIVIDENDOS Y PARTICIPACIONES DECRETADOS EN ESPECIE</t>
  </si>
  <si>
    <t>Dividendos decretados en acciones</t>
  </si>
  <si>
    <t>Participaciones decretadas en cuotas o partes de interés social</t>
  </si>
  <si>
    <t>RESULTADOS DE EJERCICIOS ANTERIORES</t>
  </si>
  <si>
    <t>Utilidades o excedentes acumulados</t>
  </si>
  <si>
    <t>Pérdidas o déficit acumulados</t>
  </si>
  <si>
    <t>RESULTADO DEL EJERCICIO</t>
  </si>
  <si>
    <t>Utilidad o excedente del ejercicio</t>
  </si>
  <si>
    <t>Pérdida o déficit del ejercicio</t>
  </si>
  <si>
    <t>GANANCIAS O PÉRDIDAS EN INVERSIONES DE ADMINISTRACIÓN DE LIQUIDEZ A VALOR RAZONABLE CON CAMBIOS EN EL OTRO RESULTADO INTEGRAL</t>
  </si>
  <si>
    <t>Otras inversiones de administración de liquidez a valor razonable con cambios en el otro resultado integral</t>
  </si>
  <si>
    <t>GANANCIAS O PÉRDIDAS POR COBERTURAS DE FLUJOS DE EFECTIVO</t>
  </si>
  <si>
    <t>Ganancias o pérdidas por cobertura de flujos de efectivo</t>
  </si>
  <si>
    <t>GANANCIAS  O  PÉRDIDAS  POR  COBERTURA  DE  UNA  INVERSIÓN  NETA  EN  UN NEGOCIO EN EL EXTRANJERO</t>
  </si>
  <si>
    <t>Ganancias  o  pérdidas  por  cobertura  de  una  inversión  neta  en  un  negocio  en  el extranjero</t>
  </si>
  <si>
    <t>GANANCIAS O PÉRDIDAS POR LA APLICACIÓN  DEL MÉTODO DE PARTICIPACIÓN PATRIMONIAL DE INVERSIONES EN CONTROLADAS</t>
  </si>
  <si>
    <t>Inversiones en empresas industriales y comerciales del Estado - Societarias</t>
  </si>
  <si>
    <t>Inversiones en sociedades de economía mixta</t>
  </si>
  <si>
    <t>Inversiones en sociedades públicas</t>
  </si>
  <si>
    <t>Inversiones en entidades privadas</t>
  </si>
  <si>
    <t>Inversiones en entidades del exterior</t>
  </si>
  <si>
    <t>GANANCIAS O  PÉRDIDAS POR LA APLICACIÓN  DEL MÉTODO DE PARTICIPACIÓN PATRIMONIAL DE INVERSIONES EN ASOCIADAS</t>
  </si>
  <si>
    <t>GANANCIAS O PÉRDIDAS POR LA APLICACIÓN  DEL MÉTODO DE PARTICIPACIÓN PATRIMONIAL DE INVERSIONES EN NEGOCIOS CONJUNTOS</t>
  </si>
  <si>
    <t>GANANCIAS O PÉRDIDAS POR PLANES DE BENEFICIOS A LOS EMPLEADOS</t>
  </si>
  <si>
    <t>Ganancias o pérdidas actuariales por planes de beneficios posempleo</t>
  </si>
  <si>
    <t>Ganancias  o  pérdidas  por  actualización  de  los  activos  del  plan  de  beneficios posempleo</t>
  </si>
  <si>
    <t>GANANCIAS O PÉRDIDAS POR CONVERSIÓN DE ESTADOS FINANCIEROS</t>
  </si>
  <si>
    <t>Ganancia o pérdida por conversión de estados financieros</t>
  </si>
  <si>
    <t>INGRESOS</t>
  </si>
  <si>
    <t>INGRESOS FISCALES</t>
  </si>
  <si>
    <t>DEVOLUCIONES Y DESCUENTOS (DB)</t>
  </si>
  <si>
    <t>PRODUCTOS AGROPECUARIOS, DE SILVICULTURA, AVICULTURA Y PESCA</t>
  </si>
  <si>
    <t>Productos agrícolas</t>
  </si>
  <si>
    <t>Productos forestales</t>
  </si>
  <si>
    <t>Productos piscícolas</t>
  </si>
  <si>
    <t>Productos avícolas</t>
  </si>
  <si>
    <t>Productos pecuarios</t>
  </si>
  <si>
    <t>Otros productos agropecuarios, de silvicultura, avicultura y pesca</t>
  </si>
  <si>
    <t>PRODUCTOS DE MINAS Y MINERALES</t>
  </si>
  <si>
    <t>Otros productos de minas y minerales</t>
  </si>
  <si>
    <t>PRODUCTOS ALIMENTICIOS, BEBIDAS Y ALCOHOLES</t>
  </si>
  <si>
    <t>PRODUCTOS MANUFACTURADOS</t>
  </si>
  <si>
    <t>Otros productos manufacturados</t>
  </si>
  <si>
    <t>CONSTRUCCIONES</t>
  </si>
  <si>
    <t>Otras construcciones</t>
  </si>
  <si>
    <t>BIENES COMERCIALIZADOS</t>
  </si>
  <si>
    <t>Equipo de transporte</t>
  </si>
  <si>
    <t>Otros bienes comercializados</t>
  </si>
  <si>
    <t>DEVOLUCIONES, REBAJAS Y DESCUENTOS EN VENTA DE BIENES (DB)</t>
  </si>
  <si>
    <t>Productos agropecuarios, de silvicultura y pesca</t>
  </si>
  <si>
    <t>VENTA DE SERVICIOS</t>
  </si>
  <si>
    <t>Unidad de pago por capitación régimen contributivo- UPC</t>
  </si>
  <si>
    <t>Unidad de pago por capitación adicional régimen contributivo -UPC</t>
  </si>
  <si>
    <t>Cuotas de inscripción y afiliación  régimen contributivo</t>
  </si>
  <si>
    <t>Unidad de pago por Capitación régimen subsidiado- UPC</t>
  </si>
  <si>
    <t>Prestación de servicios a personas fuera del sistema</t>
  </si>
  <si>
    <t>Ajuste siniestralidad cuenta de alto costo</t>
  </si>
  <si>
    <t>Gestión de cobro, manejo de información y servicios financieros EPS o EOC</t>
  </si>
  <si>
    <t>SERVICIOS DE SALUD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</si>
  <si>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</si>
  <si>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</si>
  <si>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</si>
  <si>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</si>
  <si>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</si>
  <si>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</si>
  <si>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</si>
  <si>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</si>
  <si>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</si>
  <si>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</si>
  <si>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</si>
  <si>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</si>
  <si>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</si>
  <si>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</si>
  <si>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</si>
  <si>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</si>
  <si>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</si>
  <si>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</si>
  <si>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</si>
  <si>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</si>
  <si>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</si>
  <si>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</si>
  <si>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</si>
  <si>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</si>
  <si>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</si>
  <si>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</si>
  <si>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</si>
  <si>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</si>
  <si>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</si>
  <si>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</si>
  <si>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</si>
  <si>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</si>
  <si>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</si>
  <si>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</si>
  <si>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Servicios de ambulancias</t>
  </si>
  <si>
    <t>Servicios conexos a la salud - Otros servicios</t>
  </si>
  <si>
    <t>SERVICIO DE ENERGÍA</t>
  </si>
  <si>
    <t>Generación</t>
  </si>
  <si>
    <t>Transmisión</t>
  </si>
  <si>
    <t>Distribución</t>
  </si>
  <si>
    <t>Comercialización</t>
  </si>
  <si>
    <t>SERVICIO DE ACUEDUCTO</t>
  </si>
  <si>
    <t>Abastecimiento</t>
  </si>
  <si>
    <t>SERVICIO DE ALCANTARILLADO</t>
  </si>
  <si>
    <t>Recolección y transporte</t>
  </si>
  <si>
    <t>Tratamiento de aguas residuales</t>
  </si>
  <si>
    <t>SERVICIO DE ASEO</t>
  </si>
  <si>
    <t>Recolección domiciliaria</t>
  </si>
  <si>
    <t>Transporte</t>
  </si>
  <si>
    <t>Barrido y limpieza</t>
  </si>
  <si>
    <t>Transferencia</t>
  </si>
  <si>
    <t>Aprovechamiento</t>
  </si>
  <si>
    <t>Tratamiento</t>
  </si>
  <si>
    <t>Disposición final</t>
  </si>
  <si>
    <t>Corte de césped y poda de árboles</t>
  </si>
  <si>
    <t>Limpieza y lavado de áreas públicas</t>
  </si>
  <si>
    <t>Otros servicios de aseo especiales</t>
  </si>
  <si>
    <t>SERVICIO DE GAS COMBUSTIBLE</t>
  </si>
  <si>
    <t>Transporte gas natural</t>
  </si>
  <si>
    <t>Distribución gas natural</t>
  </si>
  <si>
    <t>Comercialización gas natural</t>
  </si>
  <si>
    <t>Transporte gas licuado de petróleo (GLP)</t>
  </si>
  <si>
    <t>Distribución gas licuado de petróleo (GLP)</t>
  </si>
  <si>
    <t>Comercialización mayorista gas licuado de petróleo (GLP)</t>
  </si>
  <si>
    <t>SERVICIOS DE TRANSPORTE</t>
  </si>
  <si>
    <t>Servicio de transporte terrestre</t>
  </si>
  <si>
    <t>Servicio de transporte aéreo</t>
  </si>
  <si>
    <t>Servicios aeronáuticos</t>
  </si>
  <si>
    <t>Servicio de terminal de transporte terrestre</t>
  </si>
  <si>
    <t>Otros servicios de transporte</t>
  </si>
  <si>
    <t>SERVICIOS DE COMUNICACIONES</t>
  </si>
  <si>
    <t>Correo nacional</t>
  </si>
  <si>
    <t>Correo internacional</t>
  </si>
  <si>
    <t>Comisiones de giro</t>
  </si>
  <si>
    <t>Radiodifusión sonora</t>
  </si>
  <si>
    <t>Difusión de televisión</t>
  </si>
  <si>
    <t>Programación y producción de televisión</t>
  </si>
  <si>
    <t>Otros servicios de comunicaciones</t>
  </si>
  <si>
    <t>SERVICIO DE TELECOMUNICACIONES</t>
  </si>
  <si>
    <t>Local</t>
  </si>
  <si>
    <t>Local extendida</t>
  </si>
  <si>
    <t>Móvil rural</t>
  </si>
  <si>
    <t>Larga distancia</t>
  </si>
  <si>
    <t>Valor agregado</t>
  </si>
  <si>
    <t>Interconexión</t>
  </si>
  <si>
    <t>Otros servicios de telecomunicaciones</t>
  </si>
  <si>
    <t>JUEGOS DE SUERTE Y AZAR</t>
  </si>
  <si>
    <t>Loterías ordinarias</t>
  </si>
  <si>
    <t>Rifas</t>
  </si>
  <si>
    <t>Sorteos</t>
  </si>
  <si>
    <t>Juegos en línea</t>
  </si>
  <si>
    <t>Certificaciones y derechos</t>
  </si>
  <si>
    <t>Sorteos extraordinarios</t>
  </si>
  <si>
    <t>Otros juegos de suerte y azar</t>
  </si>
  <si>
    <t>SERVICIOS HOTELEROS Y DE PROMOCIÓN TURÍSTICA</t>
  </si>
  <si>
    <t>Campamentos</t>
  </si>
  <si>
    <t>Promoción de vacaciones y recreación</t>
  </si>
  <si>
    <t>Turismo</t>
  </si>
  <si>
    <t>Alojamiento</t>
  </si>
  <si>
    <t>Suministro de bebidas y alimentos</t>
  </si>
  <si>
    <t>Otros servicios hoteleros</t>
  </si>
  <si>
    <t>SERVICIOS INFORMÁTICOS</t>
  </si>
  <si>
    <t>De procesamiento</t>
  </si>
  <si>
    <t>De desarrollo e implementación de software</t>
  </si>
  <si>
    <t>De arrendamiento de equipo y accesorios</t>
  </si>
  <si>
    <t>Otros servicios informáticos</t>
  </si>
  <si>
    <t>OTROS SERVICIOS</t>
  </si>
  <si>
    <t>DEVOLUCIONES, REBAJAS Y DESCUENTOS EN VENTA DE SERVICIOS (DB)</t>
  </si>
  <si>
    <t>Servicios de salud</t>
  </si>
  <si>
    <t>TRANSFERENCIAS Y SUBVENCIONES</t>
  </si>
  <si>
    <t>SUBVENCIONES</t>
  </si>
  <si>
    <t>Subvención por préstamos con tasa de interés cero</t>
  </si>
  <si>
    <t>Subvención por préstamos con tasas de interés inferiores a las del mercado</t>
  </si>
  <si>
    <t>Subvención por préstamos condonables</t>
  </si>
  <si>
    <t>Bienes recibidos sin contraprestación</t>
  </si>
  <si>
    <t>Subvención por asunción de deudas</t>
  </si>
  <si>
    <t>OTROS INGRESOS</t>
  </si>
  <si>
    <t>FINANCIEROS</t>
  </si>
  <si>
    <t>Intereses sobre depósitos en instituciones financieras</t>
  </si>
  <si>
    <t>Intereses de fondos de uso restringido</t>
  </si>
  <si>
    <t>Ganancia por medición inicial de inversiones de administración de liquidez a valor de mercado (valor razonable) con cambios en el resultado</t>
  </si>
  <si>
    <t>Ganancia  por  valoración  de  inversiones  de  administración  de  liquidez  a  valor  de mercado (valor razonable) con cambios en el resultado</t>
  </si>
  <si>
    <t>Ganancia por baja en cuentas de inversiones de administración de liquidez a valor_x000D_
de mercado (valor razonable) con cambios en el resultado</t>
  </si>
  <si>
    <t>Ganancia por medición inicial de inversiones de administración de liquidez a valor_x000D_
de  mercado  (valor  razonable)  con  cambios  en  el  patrimonio  (otro  resultado_x000D_
integral)</t>
  </si>
  <si>
    <t>Ganancia por baja en cuentas de inversiones de administración de liquidez a valor_x000D_
de  mercado  (valor  razonable)  con  cambios  en  el  patrimonio  (otro  resultado integral)</t>
  </si>
  <si>
    <t>Ganancia por medición inicial de inversiones de administración de liquidez a costo_x000D_
amortizado</t>
  </si>
  <si>
    <t>Rendimiento   efectivo   de   inversiones   de   administración   de   liquidez   a   costo_x000D_
amortizado</t>
  </si>
  <si>
    <t>Ganancia por baja en cuentas de inversiones de administración de liquidez a costo_x000D_
amortizado</t>
  </si>
  <si>
    <t>Intereses,   dividendos   y   participaciones   de   inversiones   de   administración   de_x000D_
liquidez al costo</t>
  </si>
  <si>
    <t>Ganancia por baja en cuentas de inversiones de administración de liquidez al costo</t>
  </si>
  <si>
    <t>Ganancia por valoración de instrumentos derivados con fines de especulación</t>
  </si>
  <si>
    <t>Ganancia por valoración de instrumentos derivados con fines de cobertura de valor de mercado (valor razonable)</t>
  </si>
  <si>
    <t>Ganancia  por  valoración  de  instrumentos  derivados  con  fines  de  cobertura  de_x000D_
flujos de efectivo</t>
  </si>
  <si>
    <t>Ganancia por valoración de instrumentos derivados con fines de cobertura de una_x000D_
inversión neta en un negocio en el extranjero</t>
  </si>
  <si>
    <t>Rendimiento efectivo de cuentas por cobrar a costo amortizado</t>
  </si>
  <si>
    <t>Ganancia por baja en cuentas de cuentas por pagar</t>
  </si>
  <si>
    <t>Rendimiento efectivo préstamos por cobrar</t>
  </si>
  <si>
    <t>Ganancia por baja en cuentas de préstamos por pagar</t>
  </si>
  <si>
    <t>Rendimientos por reajuste monetario</t>
  </si>
  <si>
    <t>Ganancia por negociación de divisas</t>
  </si>
  <si>
    <t>Ganancia por medición inicial de títulos emitidos</t>
  </si>
  <si>
    <t>Ganancia por medición inicial de cuentas por pagar a costo amortizado</t>
  </si>
  <si>
    <t>Ganancia por medición inicial de préstamos por pagar</t>
  </si>
  <si>
    <t>Rendimientos sobre recursos entregados en administración</t>
  </si>
  <si>
    <t>Rendimiento     efectivo,     dividendos     y     participaciones     de     inversiones     de administración de liquidez a valor de mercado (valor razonable) con cambios en el patrimonio (otro resultado integral)</t>
  </si>
  <si>
    <t>Ajuste de partida cubierta que hace parte de una relación de cobertura de valor de_x000D_
mercado (valor razonable)</t>
  </si>
  <si>
    <t>Ganancia por la recuperación de cartera improductiva adquirida</t>
  </si>
  <si>
    <t>Rendimiento de cuentas por cobrar al costo</t>
  </si>
  <si>
    <t>Interés del plan de activos para beneficios posempleo</t>
  </si>
  <si>
    <t>Otros ingresos financieros</t>
  </si>
  <si>
    <t>AJUSTE POR DIFERENCIA EN CAMBIO</t>
  </si>
  <si>
    <t>Operaciones de banca central e instituciones financieras</t>
  </si>
  <si>
    <t>Financiamiento interno de corto plazo en emisión y colocación de títulos de deuda</t>
  </si>
  <si>
    <t>Financiamiento interno de largo plazo en emisión y colocación de títulos de deuda</t>
  </si>
  <si>
    <t>Financiamiento externo de corto plazo en emisión y colocación de títulos de deuda</t>
  </si>
  <si>
    <t>Financiamiento externo de largo plazo en emisión y colocación de títulos de deuda</t>
  </si>
  <si>
    <t>Financiamiento interno de corto plazo en préstamos por pagar</t>
  </si>
  <si>
    <t>Financiamiento interno de largo plazo en préstamos por pagar</t>
  </si>
  <si>
    <t>Financiamiento externo de corto plazo en préstamos por pagar</t>
  </si>
  <si>
    <t>Financiamiento externo de largo plazo en préstamos por pagar</t>
  </si>
  <si>
    <t>Otros ajustes por diferencia en cambio</t>
  </si>
  <si>
    <t>INGRESOS DIVERSOS</t>
  </si>
  <si>
    <t>Alimentación a empleados</t>
  </si>
  <si>
    <t>Ganancia por baja en cuentas de activos no financieros</t>
  </si>
  <si>
    <t>Publicaciones</t>
  </si>
  <si>
    <t>Títulos prescritos</t>
  </si>
  <si>
    <t>Fotocopias</t>
  </si>
  <si>
    <t>Incentivos tributarios</t>
  </si>
  <si>
    <t>Aportes pensionales</t>
  </si>
  <si>
    <t>Sobrantes</t>
  </si>
  <si>
    <t>Recuperaciones</t>
  </si>
  <si>
    <t>Aprovechamientos</t>
  </si>
  <si>
    <t>Ganancia por baja en cuentas de inversiones en controladas, asociadas o negocios conjuntos</t>
  </si>
  <si>
    <t>Ganancia por transacciones de venta con arrendamiento posterior</t>
  </si>
  <si>
    <t>Ganancia por absorción en condiciones favorables</t>
  </si>
  <si>
    <t>Variaciones beneficios posempleo por el costo del servicio pasado</t>
  </si>
  <si>
    <t>Ajuste beneficios a los empleados a largo plazo</t>
  </si>
  <si>
    <t>Concurrencia para el pago de pensiones</t>
  </si>
  <si>
    <t>Ganancia  en  la  actualización  del  plan  de  activos  para  beneficios  a  empleados  a largo plazo y por terminación del vínculo laboral o contractual</t>
  </si>
  <si>
    <t>Ganancia por derechos en fideicomiso</t>
  </si>
  <si>
    <t>Amortización del pasivo diferido de la entidad concedente</t>
  </si>
  <si>
    <t>Otros ingresos diversos</t>
  </si>
  <si>
    <t>GANANCIAS POR LA APLICACIÓN DEL MÉTODO DE PARTICIPACIÓN PATRIMONIAL_x000D_
DE INVERSIONES EN CONTROLADAS</t>
  </si>
  <si>
    <t>GANANCIAS POR LA APLICACIÓN DEL MÉTODO DE PARTICIPACIÓN PATRIMONIAL DE INVERSIONES EN ASOCIADAS</t>
  </si>
  <si>
    <t>GANANCIAS POR LA APLICACIÓN DEL MÉTODO DE PARTICIPACIÓN PATRIMONIAL DE INVERSIONES EN NEGOCIOS CONJUNTOS</t>
  </si>
  <si>
    <t>GANANCIAS POR ACTUALIZACIÓN DE INVENTARIOS</t>
  </si>
  <si>
    <t>Materias primas cotizadas</t>
  </si>
  <si>
    <t>Productos agrícolas y minerales</t>
  </si>
  <si>
    <t>GANANCIAS POR ACTUALIZACIÓN DE ACTIVOS BIOLÓGICOS</t>
  </si>
  <si>
    <t>IMPUESTO A LAS GANANCIAS DIFERIDO</t>
  </si>
  <si>
    <t>REVERSIÓN DE LAS PÉRDIDAS POR DETERIORO DE VALOR</t>
  </si>
  <si>
    <t>Cuentas por cobrar a costo amortizado</t>
  </si>
  <si>
    <t>Activos biológicos al costo</t>
  </si>
  <si>
    <t>GASTOS</t>
  </si>
  <si>
    <t>DE ADMINISTRACIÓN Y OPERACIÓN</t>
  </si>
  <si>
    <t>SUELDOS Y SALARIOS</t>
  </si>
  <si>
    <t>Sueldos</t>
  </si>
  <si>
    <t>Jornales</t>
  </si>
  <si>
    <t>Horas extras y festivos</t>
  </si>
  <si>
    <t>Sueldo por comisiones al exterior</t>
  </si>
  <si>
    <t>Auxilio de transporte</t>
  </si>
  <si>
    <t>Salario integral</t>
  </si>
  <si>
    <t>Estímulo a la eficiencia</t>
  </si>
  <si>
    <t>Subsidio de vivienda</t>
  </si>
  <si>
    <t>Subsidio de alimentación</t>
  </si>
  <si>
    <t>Aportes a fondos mutuos de inversión</t>
  </si>
  <si>
    <t>CONTRIBUCIONES IMPUTADAS</t>
  </si>
  <si>
    <t>Subsidio familiar</t>
  </si>
  <si>
    <t>Gastos médicos y drogas</t>
  </si>
  <si>
    <t>Subsidio por dependiente</t>
  </si>
  <si>
    <t>Otras contribuciones imputadas</t>
  </si>
  <si>
    <t>CONTRIBUCIONES EFECTIVAS</t>
  </si>
  <si>
    <t>Seguros de vida</t>
  </si>
  <si>
    <t>Cotizaciones a seguridad social en salud</t>
  </si>
  <si>
    <t>Aportes sindicales</t>
  </si>
  <si>
    <t>Cotizaciones a riesgos laborales</t>
  </si>
  <si>
    <t>Cotizaciones a entidades administradoras del régimen de prima media</t>
  </si>
  <si>
    <t>Cotizaciones a entidades administradoras del régimen de ahorro individual</t>
  </si>
  <si>
    <t>Otras contribuciones efectivas</t>
  </si>
  <si>
    <t>APORTES SOBRE LA NÓMINA</t>
  </si>
  <si>
    <t>Aportes al ICBF</t>
  </si>
  <si>
    <t>Aportes al SENA</t>
  </si>
  <si>
    <t>Aportes a la ESAP</t>
  </si>
  <si>
    <t>Aportes a escuelas industriales e institutos técnicos</t>
  </si>
  <si>
    <t>PRESTACIONES SOCIALES</t>
  </si>
  <si>
    <t>Intereses a las cesantías</t>
  </si>
  <si>
    <t>Otras prestaciones sociales</t>
  </si>
  <si>
    <t>GASTOS DE PERSONAL DIVERSOS</t>
  </si>
  <si>
    <t>Viáticos</t>
  </si>
  <si>
    <t>Variaciones beneficios posempleo por el costo del servicio presente y pasado</t>
  </si>
  <si>
    <t>Beneficios  por  préstamos  a  empleados  a  tasa  de  interés  cero  o  inferior  a  la  del mercado</t>
  </si>
  <si>
    <t>Otros gastos de personal diversos</t>
  </si>
  <si>
    <t>GENERALES</t>
  </si>
  <si>
    <t>Moldes y troqueles</t>
  </si>
  <si>
    <t>Material quirúrgico</t>
  </si>
  <si>
    <t>Elementos de lencería y ropería</t>
  </si>
  <si>
    <t>Loza y cristalería</t>
  </si>
  <si>
    <t>Gastos de organización y puesta en marcha</t>
  </si>
  <si>
    <t>Gastos de desarrollo</t>
  </si>
  <si>
    <t>Gastos de asociación</t>
  </si>
  <si>
    <t>Obras y mejoras en propiedad ajena</t>
  </si>
  <si>
    <t>Vigilancia y seguridad</t>
  </si>
  <si>
    <t>Reparaciones</t>
  </si>
  <si>
    <t>Comunicaciones y transporte</t>
  </si>
  <si>
    <t>Seguros generales</t>
  </si>
  <si>
    <t>Promoción y divulgación</t>
  </si>
  <si>
    <t>Diseños y estudios</t>
  </si>
  <si>
    <t>Seguridad industrial</t>
  </si>
  <si>
    <t>Asistencia técnica agropecuaria</t>
  </si>
  <si>
    <t>Participaciones y compensaciones</t>
  </si>
  <si>
    <t>Contratos de administración</t>
  </si>
  <si>
    <t>Sostenimiento de semovientes y plantas</t>
  </si>
  <si>
    <t>Gastos de operación aduanera</t>
  </si>
  <si>
    <t>Servicios portuarios y aeroportuarios</t>
  </si>
  <si>
    <t>Servicios de aseo, cafetería, restaurante y lavandería</t>
  </si>
  <si>
    <t>Procesamiento de información</t>
  </si>
  <si>
    <t>Gastos por control de calidad</t>
  </si>
  <si>
    <t>Consulta centrales de riesgo</t>
  </si>
  <si>
    <t>Elementos de aseo, lavandería y cafetería</t>
  </si>
  <si>
    <t>Concursos y licitaciones</t>
  </si>
  <si>
    <t>Videos</t>
  </si>
  <si>
    <t>Relaciones públicas</t>
  </si>
  <si>
    <t>Equipo de seguridad industrial</t>
  </si>
  <si>
    <t>Contratos de aprendizaje</t>
  </si>
  <si>
    <t>Intangibles</t>
  </si>
  <si>
    <t>Costas procesales</t>
  </si>
  <si>
    <t>Interventorías, auditorías y evaluaciones</t>
  </si>
  <si>
    <t>Asignación de bienes y servicios</t>
  </si>
  <si>
    <t>Otros gastos generales</t>
  </si>
  <si>
    <t>Registro y salvoconducto</t>
  </si>
  <si>
    <t>Otros impuestos, contribuciones y tasas</t>
  </si>
  <si>
    <t>DE VENTAS</t>
  </si>
  <si>
    <t>DETERIORO, DEPRECIACIONES, AMORTIZACIONES Y PROVISIONES</t>
  </si>
  <si>
    <t>DETERIORO DE INVERSIONES</t>
  </si>
  <si>
    <t>En controladas contabilizadas por el método de participación patrimonial</t>
  </si>
  <si>
    <t>En asociadas contabilizadas por el método de participación patrimonial</t>
  </si>
  <si>
    <t>En negocios conjuntos contabilizadas por el método de participación patrimonial</t>
  </si>
  <si>
    <t>DETERIORO DE CUENTAS POR COBRAR</t>
  </si>
  <si>
    <t>DETERIORO DE CUENTAS POR COBRAR A COSTO AMORTIZADO</t>
  </si>
  <si>
    <t>Prestación de servicios de  salud</t>
  </si>
  <si>
    <t>DETERIORO DE PRÉSTAMOS POR COBRAR</t>
  </si>
  <si>
    <t>DETERIORO DE INVENTARIOS</t>
  </si>
  <si>
    <t>DETERIORO DE PROPIEDADES, PLANTA Y EQUIPO</t>
  </si>
  <si>
    <t>DETERIORO DE PROPIEDADES DE INVERSIÓN</t>
  </si>
  <si>
    <t>DETERIORO DE ACTIVOS INTANGIBLES</t>
  </si>
  <si>
    <t>DETERIORO DE ACTIVOS BIOLÓGICOS AL COSTO</t>
  </si>
  <si>
    <t>DEPRECIACIÓN DE PROPIEDADES, PLANTA Y EQUIPO</t>
  </si>
  <si>
    <t>DEPRECIACIÓN DE PROPIEDADES DE INVERSIÓN</t>
  </si>
  <si>
    <t>AMORTIZACIÓN DE ACTIVOS BIOLÓGICOS AL COSTO</t>
  </si>
  <si>
    <t>AMORTIZACIÓN DE ACTIVOS INTANGIBLES</t>
  </si>
  <si>
    <t>PROVISIÓN LITIGIOS Y DEMANDAS</t>
  </si>
  <si>
    <t>PROVISIÓN POR GARANTÍAS</t>
  </si>
  <si>
    <t>Subvención por condonación de deudas</t>
  </si>
  <si>
    <t>Bienes entregados sin contraprestación</t>
  </si>
  <si>
    <t>DE ACTIVIDADES Y/O SERVICIOS ESPECIALIZADOS</t>
  </si>
  <si>
    <t>Incapacidades - Contributivo</t>
  </si>
  <si>
    <t>Contratos por evento y otras modalidades - Subsidiado</t>
  </si>
  <si>
    <t>Contratos de capitación  - Complementario</t>
  </si>
  <si>
    <t>Otros gastos por la administración de la seguridad social en salud</t>
  </si>
  <si>
    <t>Pago de premios</t>
  </si>
  <si>
    <t>Comisiones a distribuidores y loteros</t>
  </si>
  <si>
    <t>Bonificación por pago de premios</t>
  </si>
  <si>
    <t>Impresión de billetes</t>
  </si>
  <si>
    <t>Publicidad</t>
  </si>
  <si>
    <t>Otros gastos por juegos de suerte y azar</t>
  </si>
  <si>
    <t>OTROS GASTOS</t>
  </si>
  <si>
    <t>COMISIONES</t>
  </si>
  <si>
    <t>Adquisición  de bienes y servicios</t>
  </si>
  <si>
    <t>Comisiones sobre recursos entregados en administración</t>
  </si>
  <si>
    <t>Comisiones servicios financieros</t>
  </si>
  <si>
    <t>Otras comisiones</t>
  </si>
  <si>
    <t>Actualización financiera de provisiones</t>
  </si>
  <si>
    <t>Interés por beneficios a los empleados</t>
  </si>
  <si>
    <t>Sostenimiento en bolsa y registro</t>
  </si>
  <si>
    <t>Administración de fiducia</t>
  </si>
  <si>
    <t>Seguros operaciones financieras</t>
  </si>
  <si>
    <t>Descuento en venta de cartera</t>
  </si>
  <si>
    <t>Pérdida por compraventa de divisas</t>
  </si>
  <si>
    <t>Pérdida por medición inicial de inversiones de administración de liquidez a valor de mercado (valor razonable) con cambios en el resultado</t>
  </si>
  <si>
    <t>Pérdida  por  valoración  de  inversiones  de  administración  de  liquidez  a  valor  de_x000D_
mercado (valor razonable) con cambios en el resultado</t>
  </si>
  <si>
    <t>Pérdida por baja en cuentas de inversiones de administración de liquidez a valor de_x000D_
mercado (valor razonable) con cambios en el resultado</t>
  </si>
  <si>
    <t>Pérdida por medición inicial de inversiones de administración de liquidez a valor de_x000D_
mercado (valor razonable) con cambios en el patrimonio (otro resultado integral)</t>
  </si>
  <si>
    <t>Pérdida por baja en cuentas de inversiones de administración de liquidez a valor de_x000D_
mercado (valor razonable) con cambios en el patrimonio (otro resultado integral)</t>
  </si>
  <si>
    <t>Pérdida por medición inicial de  inversiones de  administración de  liquidez a costo_x000D_
amortizado</t>
  </si>
  <si>
    <t>Pérdida por baja en cuentas de inversiones de administración de liquidez a costo_x000D_
amortizado</t>
  </si>
  <si>
    <t>Pérdida por baja en cuentas de inversiones de administración de liquidez al costo</t>
  </si>
  <si>
    <t>Pérdida por valoración de instrumentos derivados con fines de especulación</t>
  </si>
  <si>
    <t>Pérdida por valoración de instrumentos derivados con fines de cobertura de valor de mercado (valor razonable)</t>
  </si>
  <si>
    <t>Pérdida por valoración de instrumentos derivados con fines de cobertura de flujos_x000D_
de efectivo</t>
  </si>
  <si>
    <t>Pérdida por valoración de instrumentos derivados con fines  de cobertura de una_x000D_
inversión neta en un negocio el extranjero</t>
  </si>
  <si>
    <t>Pérdida por medición inicial de cuentas por cobrar a costo amortizado</t>
  </si>
  <si>
    <t>Pérdida por baja en cuentas de cuentas por cobrar</t>
  </si>
  <si>
    <t>Pérdida por baja en cuentas de préstamos por cobrar</t>
  </si>
  <si>
    <t>Pérdida por medición inicial de títulos emitidos</t>
  </si>
  <si>
    <t>Costo efectivo de títulos emitidos - Financiamiento interno de corto plazo</t>
  </si>
  <si>
    <t>Costo efectivo de títulos emitidos - Financiamiento interno de largo plazo</t>
  </si>
  <si>
    <t>Costo efectivo de títulos emitidos - Financiamiento externo de corto plazo</t>
  </si>
  <si>
    <t>Costo efectivo de títulos emitidos - Financiamiento externo de largo plazo</t>
  </si>
  <si>
    <t>Costo efectivo de cuentas por pagar a costo amortizado</t>
  </si>
  <si>
    <t>Costo efectivo de préstamos por pagar - Financiamiento interno de corto plazo</t>
  </si>
  <si>
    <t>Costo efectivo de préstamos por pagar - Financiamiento interno de largo plazo</t>
  </si>
  <si>
    <t>Costo efectivo de préstamos por pagar - Financiamiento externo de corto plazo</t>
  </si>
  <si>
    <t>Costo efectivo de préstamos por pagar - Financiamiento externo de largo plazo</t>
  </si>
  <si>
    <t>Intereses sobre depósitos y exigibilidades</t>
  </si>
  <si>
    <t>Intereses crédito de redescuento</t>
  </si>
  <si>
    <t>Amortización de pérdidas en inversiones de administración de liquidez a valor de mercado (valor razonable) con cambios en el patrimonio (otro resultado integral) reclasificadas a la categoría de costo amortizado</t>
  </si>
  <si>
    <t>Pérdida por la recuperación de cartera improductiva adquirida</t>
  </si>
  <si>
    <t>Intereses sobre créditos judiciales</t>
  </si>
  <si>
    <t>Otros gastos financieros</t>
  </si>
  <si>
    <t>PÉRDIDAS  POR  LA  APLICACIÓN  DEL  MÉTODO  DE PARTICIPACIÓN  PATRIMONIAL DE INVERSIONES EN CONTROLADAS</t>
  </si>
  <si>
    <t>PÉRDIDAS  POR  LA  APLICACIÓN  DEL  MÉTODO  DE PARTICIPACIÓN  PATRIMONIAL DE INVERSIONES EN ASOCIADAS</t>
  </si>
  <si>
    <t>PÉRDIDAS  POR  LA  APLICACIÓN  DEL  MÉTODO  DE PARTICIPACIÓN  PATRIMONIAL DE INVERSIONES EN NEGOCIOS CONJUNTOS</t>
  </si>
  <si>
    <t>PÉRDIDAS POR ACTUALIZACIÓN DE INVENTARIOS</t>
  </si>
  <si>
    <t>PÉRDIDAS POR ACTUALIZACIÓN DE ACTIVOS BIOLÓGICOS</t>
  </si>
  <si>
    <t>IMPUESTO A LAS GANANCIAS CORRIENTE</t>
  </si>
  <si>
    <t>GASTOS DIVERSOS</t>
  </si>
  <si>
    <t>Impuestos asumidos</t>
  </si>
  <si>
    <t>Margen en la contratación de los servicios de salud</t>
  </si>
  <si>
    <t>Pérdidas en siniestros</t>
  </si>
  <si>
    <t>Pérdida en escisiones</t>
  </si>
  <si>
    <t>Pérdida por baja en cuentas de activos no financieros</t>
  </si>
  <si>
    <t>Pérdida por baja en cuentas de  inversiones en controladas, asociadas o  negocios conjuntos</t>
  </si>
  <si>
    <t>Desembolso intangibles durante la fase de investigación</t>
  </si>
  <si>
    <t>Desembolsos del proceso de transformación de los activos biológicos</t>
  </si>
  <si>
    <t>Pérdida por transacciones de venta con arrendamiento posterior</t>
  </si>
  <si>
    <t>Bienes entregados sin contraprestación a entidades de gobierno</t>
  </si>
  <si>
    <t>Pérdida en la actualización del plan de activos para beneficios a empleados a largo plazo y por terminación del vínculo laboral o contractual</t>
  </si>
  <si>
    <t>Pérdida por derechos en fideicomiso</t>
  </si>
  <si>
    <t>Garantías contractuales - concesiones</t>
  </si>
  <si>
    <t>Pérdida   en   la   actualización   de   los   derechos   de   reembolso   relacionados   con provisiones</t>
  </si>
  <si>
    <t>Otros gastos diversos</t>
  </si>
  <si>
    <t>DEVOLUCIONES Y DESCUENTOS INGRESOS FISCALES</t>
  </si>
  <si>
    <t>DEVOLUCIONES, REBAJAS Y DESCUENTOS EN VENTA DE BIENES</t>
  </si>
  <si>
    <t>DEVOLUCIONES, REBAJAS Y DESCUENTOS EN VENTA DE SERVICIOS</t>
  </si>
  <si>
    <t>COSTOS Y GASTOS POR DISTRIBUIR</t>
  </si>
  <si>
    <t>CIERRE DE INGRESOS, GASTOS Y COSTOS</t>
  </si>
  <si>
    <t>Cierre de ingresos, gastos y costos</t>
  </si>
  <si>
    <t>COSTOS DE VENTAS</t>
  </si>
  <si>
    <t>COSTO DE VENTAS DE BIENES</t>
  </si>
  <si>
    <t>COSTO DE VENTAS DE SERVICIOS</t>
  </si>
  <si>
    <t>Servicios ambulatorios - Actividades de salud oral</t>
  </si>
  <si>
    <t>Servicios ambulatorios - Actividades de promoción y prevención</t>
  </si>
  <si>
    <t>Servicios conexos a la salud  - Investigación científica</t>
  </si>
  <si>
    <t>Otros servicios de hotelería y de promoción turística</t>
  </si>
  <si>
    <t>SERVICIOS PÚBLICOS</t>
  </si>
  <si>
    <t>Acueducto</t>
  </si>
  <si>
    <t>Alcantarillado</t>
  </si>
  <si>
    <t>Aseo</t>
  </si>
  <si>
    <t>Energía</t>
  </si>
  <si>
    <t>Gas combustible</t>
  </si>
  <si>
    <t>Telecomunicaciones</t>
  </si>
  <si>
    <t>Otros servicios públicos</t>
  </si>
  <si>
    <t>COSTOS DE TRANSFORMACIÓN</t>
  </si>
  <si>
    <t>BIENES</t>
  </si>
  <si>
    <t>IMPRESOS Y PUBLICACIONES</t>
  </si>
  <si>
    <t>Materia prima</t>
  </si>
  <si>
    <t>Materiales</t>
  </si>
  <si>
    <t>Generales</t>
  </si>
  <si>
    <t>Contribuciones imputadas</t>
  </si>
  <si>
    <t>Aportes sobre la nómina</t>
  </si>
  <si>
    <t>Depreciación y amortización</t>
  </si>
  <si>
    <t>Impuestos</t>
  </si>
  <si>
    <t>Prestaciones sociales</t>
  </si>
  <si>
    <t>Gastos de personal diversos</t>
  </si>
  <si>
    <t>Traslado de costos (Cr)</t>
  </si>
  <si>
    <t>PRODUCTOS QUÍMICOS</t>
  </si>
  <si>
    <t>MEDICAMENTOS</t>
  </si>
  <si>
    <t>MEDICAMENTOS DE USO VETERINARIO</t>
  </si>
  <si>
    <t>PRODUCTOS ARTESANALES</t>
  </si>
  <si>
    <t>PRODUCTOS METALÚRGICOS Y DE MICROFUNDICIÓN</t>
  </si>
  <si>
    <t>PRODUCTOS BÉLICOS Y EXPLOSIVOS</t>
  </si>
  <si>
    <t>PRODUCTOS DE MADERA</t>
  </si>
  <si>
    <t>LICORES, BEBIDAS Y ALCOHOLES</t>
  </si>
  <si>
    <t>PRODUCTOS ALIMENTICIOS</t>
  </si>
  <si>
    <t>EQUIPOS</t>
  </si>
  <si>
    <t>OTROS BIENES PRODUCIDOS</t>
  </si>
  <si>
    <t>URGENCIAS - CONSULTA Y PROCEDIMIENTOS</t>
  </si>
  <si>
    <t>URGENCIAS - OBSERVACIÓN</t>
  </si>
  <si>
    <t>SERVICIOS AMBULATORIOS - CONSULTA EXTERNA Y PROCEDIMIENTOS</t>
  </si>
  <si>
    <t>SERVICIOS AMBULATORIOS - CONSULTA ESPECIALIZADA</t>
  </si>
  <si>
    <t>SERVICIOS AMBULATORIOS - SALUD ORAL</t>
  </si>
  <si>
    <t>SERVICIOS AMBULATORIOS - PROMOCIÓN Y PREVENCIÓN</t>
  </si>
  <si>
    <t>SERVICIOS AMBULATORIOS - OTRAS ACTIVIDADES EXTRAMURALES</t>
  </si>
  <si>
    <t>HOSPITALIZACIÓN - ESTANCIA GENERAL</t>
  </si>
  <si>
    <t>HOSPITALIZACIÓN - CUIDADOS INTENSIVOS</t>
  </si>
  <si>
    <t>HOSPITALIZACIÓN - CUIDADOS INTERMEDIOS</t>
  </si>
  <si>
    <t>HOSPITALIZACIÓN - RECIÉN NACIDOS</t>
  </si>
  <si>
    <t>HOSPITALIZACIÓN - SALUD MENTAL</t>
  </si>
  <si>
    <t>HOSPITALIZACIÓN - QUEMADOS</t>
  </si>
  <si>
    <t>HOSPITALIZACIÓN - OTROS CUIDADOS ESPECIALES</t>
  </si>
  <si>
    <t>QUIRÓFANOS Y SALAS DE PARTO - QUIRÓFANOS</t>
  </si>
  <si>
    <t>QUIRÓFANOS Y SALAS DE PARTO - SALAS DE PARTO</t>
  </si>
  <si>
    <t>APOYO DIAGNÓSTICO - LABORATORIO CLÍNICO</t>
  </si>
  <si>
    <t>APOYO DIAGNÓSTICO - IMAGENOLOGÍA</t>
  </si>
  <si>
    <t>APOYO DIAGNÓSTICO - ANATOMÍA PATOLÓGICA</t>
  </si>
  <si>
    <t>APOYO DIAGNÓSTICO - OTRAS UNIDADES DE APOYO DIAGNÓSTICO</t>
  </si>
  <si>
    <t>APOYO TERAPÉUTICO - REHABILITACIÓN Y TERAPIAS</t>
  </si>
  <si>
    <t>APOYO TERAPÉUTICO - BANCO DE COMPONENTES ANATÓMICOS</t>
  </si>
  <si>
    <t>APOYO TERAPÉUTICO - BANCO DE SANGRE</t>
  </si>
  <si>
    <t>APOYO TERAPÉUTICO - UNIDAD RENAL</t>
  </si>
  <si>
    <t>APOYO TERAPÉUTICO - UNIDAD DE HEMODINAMIA</t>
  </si>
  <si>
    <t>APOYO TERAPÉUTICO - TERAPIAS ONCOLÓGICAS</t>
  </si>
  <si>
    <t>APOYO TERAPÉUTICO - FARMACIA E INSUMOS HOSPITALARIOS</t>
  </si>
  <si>
    <t>APOYO TERAPÉUTICO - OTRAS UNIDADES DE APOYO TERAPÉUTICO</t>
  </si>
  <si>
    <t>SERVICIOS CONEXOS A LA SALUD - MEDIO AMBIENTE</t>
  </si>
  <si>
    <t>SERVICIOS CONEXOS A LA SALUD - ANCIANATOS Y ALBERGUES</t>
  </si>
  <si>
    <t>SERVICIOS CONEXOS A LA SALUD - CENTROS Y PUESTOS DE SALUD</t>
  </si>
  <si>
    <t>SERVICIOS CONEXOS A LA SALUD - SERVICIOS DOCENTES</t>
  </si>
  <si>
    <t>SERVICIOS CONEXOS A LA SALUD - INVESTIGACIÓN CIENTÍFICA</t>
  </si>
  <si>
    <t>SERVICIOS CONEXOS A LA SALUD - MEDICINA LEGAL</t>
  </si>
  <si>
    <t>SERVICIOS CONEXOS A LA SALUD - SERVICIO DE AMBULANCIAS</t>
  </si>
  <si>
    <t>SERVICIOS CONEXOS A LA SALUD - OTROS SERVICIOS</t>
  </si>
  <si>
    <t>SERVICIO DE TRANSPORTE AÉREO</t>
  </si>
  <si>
    <t>SERVICIO DE TRANSPORTE TERRESTRE</t>
  </si>
  <si>
    <t>SERVICIOS AERONÁUTICOS</t>
  </si>
  <si>
    <t>SERVICIO DE TERMINAL DE TRANSPORTE TERRESTRE</t>
  </si>
  <si>
    <t>OTROS SERVICIOS DE TRANSPORTE</t>
  </si>
  <si>
    <t>ENERGÍA</t>
  </si>
  <si>
    <t>ACUEDUCTO</t>
  </si>
  <si>
    <t>ALCANTARILLADO</t>
  </si>
  <si>
    <t>ASEO</t>
  </si>
  <si>
    <t>GAS COMBUSTIBLE</t>
  </si>
  <si>
    <t>TELECOMUNICACIONES</t>
  </si>
  <si>
    <t>ALOJAMIENTO</t>
  </si>
  <si>
    <t>SUMINISTRO DE BEBIDAS Y ALIMENTOS</t>
  </si>
  <si>
    <t>OTROS SERVICIOS DE HOTELERÍA Y DE PROMOCIÓN TURÍSTICA</t>
  </si>
  <si>
    <t>SERVICIOS DE APOYO INDUSTRIAL</t>
  </si>
  <si>
    <t>SERVICIOS DE INVESTIGACIÓN CIENTÍFICA Y TECNOLÓGICA</t>
  </si>
  <si>
    <t>SERVICIOS DE MATADERO</t>
  </si>
  <si>
    <t>SERVICIOS DE LAVANDERÍA</t>
  </si>
  <si>
    <t>SERVICIOS DE CONSULTORÍA</t>
  </si>
  <si>
    <t>SERVICIOS DE MANTENIMIENTO Y REPARACIÓN</t>
  </si>
  <si>
    <t>SERVICIOS DE DIAGNÓSTICO TÉCNICO MECÁNICO</t>
  </si>
  <si>
    <t>CUENTAS DE ORDEN DEUDORAS</t>
  </si>
  <si>
    <t>ACTIVOS CONTINGENTES</t>
  </si>
  <si>
    <t>LITIGIOS Y MECANISMOS ALTERNATIVOS DE SOLUCIÓN DE CONFLICTOS</t>
  </si>
  <si>
    <t>Fiscales</t>
  </si>
  <si>
    <t>Otros litigios y mecanismos alternativos de solución de conflictos</t>
  </si>
  <si>
    <t>GARANTÍAS CONTRACTUALES</t>
  </si>
  <si>
    <t>Acuerdos de concesión</t>
  </si>
  <si>
    <t>Contratos de asociación</t>
  </si>
  <si>
    <t>Contratos a riesgo compartido</t>
  </si>
  <si>
    <t>Contratos de obra</t>
  </si>
  <si>
    <t>Contratos para servicios públicos</t>
  </si>
  <si>
    <t>Uniones temporales</t>
  </si>
  <si>
    <t>Promesas de compraventa</t>
  </si>
  <si>
    <t>Otras garantías contractuales</t>
  </si>
  <si>
    <t>DERECHOS EN OPCIONES</t>
  </si>
  <si>
    <t>Vendidas</t>
  </si>
  <si>
    <t>Compradas</t>
  </si>
  <si>
    <t>OTROS ACTIVOS CONTINGENTES</t>
  </si>
  <si>
    <t>Garantías</t>
  </si>
  <si>
    <t>Otros activos contingentes</t>
  </si>
  <si>
    <t>DEUDORAS FISCALES</t>
  </si>
  <si>
    <t>DEUDORAS DE CONTROL</t>
  </si>
  <si>
    <t>BIENES Y DERECHOS ENTREGADOS EN GARANTÍA</t>
  </si>
  <si>
    <t>Bienes</t>
  </si>
  <si>
    <t>BIENES ENTREGADOS EN CUSTODIA</t>
  </si>
  <si>
    <t>Pagarés, letras de cambio y otros</t>
  </si>
  <si>
    <t>Otros bienes entregados en custodia</t>
  </si>
  <si>
    <t>BONOS, TÍTULOS Y ESPECIES NO COLOCADOS</t>
  </si>
  <si>
    <t>Bonos</t>
  </si>
  <si>
    <t>Títulos</t>
  </si>
  <si>
    <t>Billetes</t>
  </si>
  <si>
    <t>Otros bonos, títulos y especies no colocados</t>
  </si>
  <si>
    <t>DOCUMENTOS ENTREGADOS PARA SU COBRO</t>
  </si>
  <si>
    <t>Letras de cambio</t>
  </si>
  <si>
    <t>Facturas</t>
  </si>
  <si>
    <t>Otros documentos entregados para su cobro</t>
  </si>
  <si>
    <t>MERCANCÍAS ENTREGADAS EN CONSIGNACIÓN</t>
  </si>
  <si>
    <t>Mercancías entregadas en consignación</t>
  </si>
  <si>
    <t>BIENES Y DERECHOS RETIRADOS</t>
  </si>
  <si>
    <t>Bienes de uso público</t>
  </si>
  <si>
    <t>Recursos naturales no renovables</t>
  </si>
  <si>
    <t>Otros bienes y derechos retirados</t>
  </si>
  <si>
    <t>FACTURACIÓN GLOSADA EN VENTA DE SERVICIOS DE SALUD</t>
  </si>
  <si>
    <t>Plan de Beneficios en Salud  (PBS) - EPS</t>
  </si>
  <si>
    <t>Plan complementario -EPS</t>
  </si>
  <si>
    <t>Plan subsidiado de salud PBSS - EPS</t>
  </si>
  <si>
    <t>Servicios de salud - IPS privadas</t>
  </si>
  <si>
    <t>Empresas de medicina prepagada - EMP</t>
  </si>
  <si>
    <t>Servicios de salud - Compañías aseguradoras</t>
  </si>
  <si>
    <t>Servicios de salud - IPS públicas</t>
  </si>
  <si>
    <t>Servicios de salud - Entidades con régimen especial</t>
  </si>
  <si>
    <t>Atención con cargo al subsidio a la oferta</t>
  </si>
  <si>
    <t>Riesgos laborales - ARL</t>
  </si>
  <si>
    <t>Atención accidentes de tránsito SOAT - Compañías de seguros</t>
  </si>
  <si>
    <t>Reclamaciones con cargo a los recursos del Sistema General de Seguridad Social en Salud</t>
  </si>
  <si>
    <t>Convenios con recursos del Sistema General de Seguridad Social en Salud  - Trauma_x000D_
mayor y desplazados</t>
  </si>
  <si>
    <t>Atención con cargo a recursos de acciones de salud pública</t>
  </si>
  <si>
    <t>ACTIVOS Y FLUJOS FUTUROS TITULARIZADOS</t>
  </si>
  <si>
    <t>Activos</t>
  </si>
  <si>
    <t>Flujos futuros</t>
  </si>
  <si>
    <t>BIENES ENTREGADOS A TERCEROS</t>
  </si>
  <si>
    <t>Recursos naturales no renovables en explotación</t>
  </si>
  <si>
    <t>Otros bienes entregados a terceros</t>
  </si>
  <si>
    <t>PRÉSTAMOS APROBADOS POR DESEMBOLSAR</t>
  </si>
  <si>
    <t>Gobierno general</t>
  </si>
  <si>
    <t>Empresas</t>
  </si>
  <si>
    <t>EJECUCIÓN DE PROYECTOS DE INVERSIÓN</t>
  </si>
  <si>
    <t>Gastos</t>
  </si>
  <si>
    <t>RESPONSABILIDADES  EN PROCESO</t>
  </si>
  <si>
    <t>Internas</t>
  </si>
  <si>
    <t>Ante autoridad competente</t>
  </si>
  <si>
    <t>CARTERA ADQUIRIDA</t>
  </si>
  <si>
    <t>Cartera improductiva adquirida por movilización de activos</t>
  </si>
  <si>
    <t>Otra cartera adquirida</t>
  </si>
  <si>
    <t>BIENES DE USO PÚBLICO</t>
  </si>
  <si>
    <t>Red de transporte</t>
  </si>
  <si>
    <t>Plazas públicas</t>
  </si>
  <si>
    <t>Parques recreacionales</t>
  </si>
  <si>
    <t>Bibliotecas</t>
  </si>
  <si>
    <t>Hemerotecas</t>
  </si>
  <si>
    <t>Museos</t>
  </si>
  <si>
    <t>Otros bienes de uso público</t>
  </si>
  <si>
    <t>BIENES HISTÓRICOS Y CULTURALES</t>
  </si>
  <si>
    <t>Monumentos</t>
  </si>
  <si>
    <t>Bienes arqueológicos</t>
  </si>
  <si>
    <t>Libros y publicaciones</t>
  </si>
  <si>
    <t>Otros bienes históricos y culturales</t>
  </si>
  <si>
    <t>OTRAS CUENTAS DEUDORAS DE CONTROL</t>
  </si>
  <si>
    <t>Otras cuentas deudoras de control</t>
  </si>
  <si>
    <t>DEUDORAS POR CONTRA (CR)</t>
  </si>
  <si>
    <t>ACTIVOS CONTINGENTES POR CONTRA (CR)</t>
  </si>
  <si>
    <t>Litigios y mecanismos alternativos de solución de conflictos</t>
  </si>
  <si>
    <t>Derechos en opciones</t>
  </si>
  <si>
    <t>Otros activos contingentes por contra</t>
  </si>
  <si>
    <t>DEUDORAS FISCALES POR CONTRA (CR)</t>
  </si>
  <si>
    <t>Deudoras fiscales por contra (Cr)</t>
  </si>
  <si>
    <t>DEUDORAS DE CONTROL POR CONTRA (CR)</t>
  </si>
  <si>
    <t>Bienes entregados en custodia</t>
  </si>
  <si>
    <t>Bonos, títulos y especies no colocados</t>
  </si>
  <si>
    <t>Documentos entregados para su cobro</t>
  </si>
  <si>
    <t>Bienes y derechos retirados</t>
  </si>
  <si>
    <t>Activos y flujos futuros titularizados</t>
  </si>
  <si>
    <t>Préstamos aprobados por desembolsar</t>
  </si>
  <si>
    <t>Ejecución de proyectos de inversión</t>
  </si>
  <si>
    <t>Facturación glosada en venta de servicios de salud</t>
  </si>
  <si>
    <t>Bienes entregados a terceros</t>
  </si>
  <si>
    <t>Responsabilidades en proceso</t>
  </si>
  <si>
    <t>Bienes y derechos entregados en garantía</t>
  </si>
  <si>
    <t>Cartera adquirida</t>
  </si>
  <si>
    <t>Bienes históricos y culturales</t>
  </si>
  <si>
    <t>Otras cuentas deudoras de control por contra</t>
  </si>
  <si>
    <t>CUENTAS DE ORDEN ACREEDORAS</t>
  </si>
  <si>
    <t>PASIVOS CONTINGENTES</t>
  </si>
  <si>
    <t>Administrativos</t>
  </si>
  <si>
    <t>OBLIGACIONES EN OPCIONES</t>
  </si>
  <si>
    <t>OTROS PASIVOS CONTINGENTES</t>
  </si>
  <si>
    <t>Obligaciones contingentes a cargo en operaciones conjuntas</t>
  </si>
  <si>
    <t>Garantías y avales otorgados</t>
  </si>
  <si>
    <t>Obligaciones contingentes a cargo en acuerdos no clasificados como operaciones conjuntas</t>
  </si>
  <si>
    <t>Otros pasivos contingentes</t>
  </si>
  <si>
    <t>ACREEDORAS FISCALES</t>
  </si>
  <si>
    <t>ACREEDORAS DE CONTROL</t>
  </si>
  <si>
    <t>BIENES Y DERECHOS RECIBIDOS EN GARANTÍA</t>
  </si>
  <si>
    <t>MOVILIZACIÓN DE ACTIVOS</t>
  </si>
  <si>
    <t>Cartera en administración</t>
  </si>
  <si>
    <t>Inmuebles para reasignar a otras entidades públicas</t>
  </si>
  <si>
    <t>Inmuebles para comercializar</t>
  </si>
  <si>
    <t>BIENES RECIBIDOS EN CUSTODIA</t>
  </si>
  <si>
    <t>Otros bienes recibidos en custodia</t>
  </si>
  <si>
    <t>RECURSOS ADMINISTRADOS EN NOMBRE DE TERCEROS</t>
  </si>
  <si>
    <t>Recursos entregados en administración - Encargos fiduciarios</t>
  </si>
  <si>
    <t>Recursos entregados en administración - Fiducia mercantil</t>
  </si>
  <si>
    <t>CÁLCULO ACTUARIAL DE PENSIONES PARA EL CUMPLIMIENTO DE DISPOSICIONES LEGALES</t>
  </si>
  <si>
    <t>Pensiones</t>
  </si>
  <si>
    <t>Cuotas partes de bonos pensionales</t>
  </si>
  <si>
    <t>Pensiones conmutadas</t>
  </si>
  <si>
    <t>Cuotas partes de pensiones conmutadas</t>
  </si>
  <si>
    <t>Cuotas partes de bonos pensionales conmutadas</t>
  </si>
  <si>
    <t>LIQUIDACIÓN PROVISIONAL DE BONOS PENSIONALES</t>
  </si>
  <si>
    <t>Entidades responsables del pasivo pensional</t>
  </si>
  <si>
    <t>MERCANCÍAS RECIBIDAS EN CONSIGNACIÓN</t>
  </si>
  <si>
    <t>Mercancías recibidas en consignación</t>
  </si>
  <si>
    <t>PRÉSTAMOS POR RECIBIR</t>
  </si>
  <si>
    <t>Banca comercial</t>
  </si>
  <si>
    <t>Banca multilateral</t>
  </si>
  <si>
    <t>Banca de fomento</t>
  </si>
  <si>
    <t>Gobiernos</t>
  </si>
  <si>
    <t>Proveedores</t>
  </si>
  <si>
    <t>Otros préstamos por recibir</t>
  </si>
  <si>
    <t>Pasivos</t>
  </si>
  <si>
    <t>Ingresos</t>
  </si>
  <si>
    <t>OTRAS CUENTAS ACREEDORAS DE CONTROL</t>
  </si>
  <si>
    <t>Anticipos y fondos en administración</t>
  </si>
  <si>
    <t>Pasivos cancelados por prescripción</t>
  </si>
  <si>
    <t>Contratos pendientes de ejecución</t>
  </si>
  <si>
    <t>Facturación glosada en la adquisición de servicios de salud</t>
  </si>
  <si>
    <t>Convenios</t>
  </si>
  <si>
    <t>Otras cuentas acreedoras de control</t>
  </si>
  <si>
    <t>ACREEDORAS POR CONTRA (DB)</t>
  </si>
  <si>
    <t>PASIVOS CONTINGENTES POR CONTRA (DB)</t>
  </si>
  <si>
    <t>Obligaciones en opciones</t>
  </si>
  <si>
    <t>Otros pasivos contingentes por contra</t>
  </si>
  <si>
    <t>ACREEDORAS FISCALES POR CONTRA (DB)</t>
  </si>
  <si>
    <t>Acreedoras fiscales por contra (Db)</t>
  </si>
  <si>
    <t>ACREEDORAS DE CONTROL POR CONTRA (DB)</t>
  </si>
  <si>
    <t>Bienes recibidos en custodia</t>
  </si>
  <si>
    <t>Préstamos por recibir</t>
  </si>
  <si>
    <t>Recursos administrados en nombre de terceros</t>
  </si>
  <si>
    <t>Movilización de activos</t>
  </si>
  <si>
    <t>Bienes y derechos recibidos en garantía</t>
  </si>
  <si>
    <t>Cálculo actuarial de pensiones para el cumplimiento de disposiciones legales</t>
  </si>
  <si>
    <t>Liquidación provisional de bonos pensionales</t>
  </si>
  <si>
    <t>Otras cuentas acreedoras de control por 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</si>
</sst>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35"/>
  <sheetViews>
    <sheetView tabSelected="1" workbookViewId="0">
      <selection activeCell="B3" sqref="B3"/>
    </sheetView>
  </sheetViews>
  <sheetFormatPr baseColWidth="10" defaultRowHeight="15" x14ac:dyDescent="0.25"/>
  <cols>
    <col min="1" max="1" width="7.875" bestFit="1" customWidth="1"/>
    <col min="2" max="2" width="174.25" bestFit="1" customWidth="1"/>
    <col min="3" max="3" width="9.875" bestFit="1" customWidth="1"/>
  </cols>
  <sheetData>
    <row r="1" spans="1:3" s="1" customFormat="1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>
        <v>1</v>
      </c>
      <c r="B2" t="s">
        <v>3</v>
      </c>
      <c r="C2">
        <v>242793389</v>
      </c>
    </row>
    <row r="3" spans="1:3" ht="15.75" x14ac:dyDescent="0.25">
      <c r="A3">
        <v>11</v>
      </c>
      <c r="B3" t="s">
        <v>4</v>
      </c>
      <c r="C3">
        <v>56421600</v>
      </c>
    </row>
    <row r="4" spans="1:3" ht="15.75" x14ac:dyDescent="0.25">
      <c r="A4">
        <v>1105</v>
      </c>
      <c r="B4" t="s">
        <v>5</v>
      </c>
      <c r="C4">
        <f>SUM(C5:C6)</f>
        <v>0</v>
      </c>
    </row>
    <row r="5" spans="1:3" ht="15.75" x14ac:dyDescent="0.25">
      <c r="A5">
        <v>110501</v>
      </c>
      <c r="B5" t="s">
        <v>6</v>
      </c>
      <c r="C5">
        <v>0</v>
      </c>
    </row>
    <row r="6" spans="1:3" ht="15.75" x14ac:dyDescent="0.25">
      <c r="A6">
        <v>110502</v>
      </c>
      <c r="B6" t="s">
        <v>7</v>
      </c>
      <c r="C6">
        <v>0</v>
      </c>
    </row>
    <row r="7" spans="1:3" ht="15.75" x14ac:dyDescent="0.25">
      <c r="A7">
        <v>1110</v>
      </c>
      <c r="B7" t="s">
        <v>8</v>
      </c>
      <c r="C7">
        <v>56421600</v>
      </c>
    </row>
    <row r="8" spans="1:3" ht="15.75" x14ac:dyDescent="0.25">
      <c r="A8">
        <v>111005</v>
      </c>
      <c r="B8" t="s">
        <v>9</v>
      </c>
      <c r="C8">
        <v>516985</v>
      </c>
    </row>
    <row r="9" spans="1:3" ht="15.75" x14ac:dyDescent="0.25">
      <c r="A9">
        <v>111006</v>
      </c>
      <c r="B9" t="s">
        <v>10</v>
      </c>
      <c r="C9">
        <v>53104455</v>
      </c>
    </row>
    <row r="10" spans="1:3" ht="15.75" x14ac:dyDescent="0.25">
      <c r="A10">
        <v>111009</v>
      </c>
      <c r="B10" t="s">
        <v>11</v>
      </c>
      <c r="C10">
        <v>0</v>
      </c>
    </row>
    <row r="11" spans="1:3" ht="15.75" x14ac:dyDescent="0.25">
      <c r="A11">
        <v>111010</v>
      </c>
      <c r="B11" t="s">
        <v>12</v>
      </c>
      <c r="C11">
        <v>0</v>
      </c>
    </row>
    <row r="12" spans="1:3" ht="15.75" x14ac:dyDescent="0.25">
      <c r="A12">
        <v>111011</v>
      </c>
      <c r="B12" t="s">
        <v>13</v>
      </c>
      <c r="C12">
        <v>0</v>
      </c>
    </row>
    <row r="13" spans="1:3" ht="15.75" x14ac:dyDescent="0.25">
      <c r="A13">
        <v>111012</v>
      </c>
      <c r="B13" t="s">
        <v>14</v>
      </c>
      <c r="C13">
        <v>0</v>
      </c>
    </row>
    <row r="14" spans="1:3" ht="15.75" x14ac:dyDescent="0.25">
      <c r="A14">
        <v>111090</v>
      </c>
      <c r="B14" t="s">
        <v>15</v>
      </c>
      <c r="C14">
        <v>2800159</v>
      </c>
    </row>
    <row r="15" spans="1:3" ht="15.75" x14ac:dyDescent="0.25">
      <c r="A15">
        <v>1120</v>
      </c>
      <c r="B15" t="s">
        <v>16</v>
      </c>
      <c r="C15">
        <f>SUM(C16:C18)</f>
        <v>0</v>
      </c>
    </row>
    <row r="16" spans="1:3" ht="15.75" x14ac:dyDescent="0.25">
      <c r="A16">
        <v>112005</v>
      </c>
      <c r="B16" t="s">
        <v>9</v>
      </c>
      <c r="C16">
        <v>0</v>
      </c>
    </row>
    <row r="17" spans="1:3" ht="15.75" x14ac:dyDescent="0.25">
      <c r="A17">
        <v>112006</v>
      </c>
      <c r="B17" t="s">
        <v>10</v>
      </c>
      <c r="C17">
        <v>0</v>
      </c>
    </row>
    <row r="18" spans="1:3" ht="15.75" x14ac:dyDescent="0.25">
      <c r="A18">
        <v>112090</v>
      </c>
      <c r="B18" t="s">
        <v>17</v>
      </c>
      <c r="C18">
        <v>0</v>
      </c>
    </row>
    <row r="19" spans="1:3" ht="15.75" x14ac:dyDescent="0.25">
      <c r="A19">
        <v>1132</v>
      </c>
      <c r="B19" t="s">
        <v>18</v>
      </c>
      <c r="C19">
        <f>SUM(C20:C22)</f>
        <v>0</v>
      </c>
    </row>
    <row r="20" spans="1:3" ht="15.75" x14ac:dyDescent="0.25">
      <c r="A20">
        <v>113205</v>
      </c>
      <c r="B20" t="s">
        <v>19</v>
      </c>
      <c r="C20">
        <v>0</v>
      </c>
    </row>
    <row r="21" spans="1:3" ht="15.75" x14ac:dyDescent="0.25">
      <c r="A21">
        <v>113210</v>
      </c>
      <c r="B21" t="s">
        <v>20</v>
      </c>
      <c r="C21">
        <v>0</v>
      </c>
    </row>
    <row r="22" spans="1:3" ht="15.75" x14ac:dyDescent="0.25">
      <c r="A22">
        <v>113220</v>
      </c>
      <c r="B22" t="s">
        <v>21</v>
      </c>
      <c r="C22">
        <v>0</v>
      </c>
    </row>
    <row r="23" spans="1:3" ht="15.75" x14ac:dyDescent="0.25">
      <c r="A23">
        <v>1133</v>
      </c>
      <c r="B23" t="s">
        <v>22</v>
      </c>
      <c r="C23">
        <f>SUM(C24:C31)</f>
        <v>0</v>
      </c>
    </row>
    <row r="24" spans="1:3" ht="15.75" x14ac:dyDescent="0.25">
      <c r="A24">
        <v>113301</v>
      </c>
      <c r="B24" t="s">
        <v>23</v>
      </c>
      <c r="C24">
        <v>0</v>
      </c>
    </row>
    <row r="25" spans="1:3" ht="15.75" x14ac:dyDescent="0.25">
      <c r="A25">
        <v>113302</v>
      </c>
      <c r="B25" t="s">
        <v>24</v>
      </c>
      <c r="C25">
        <v>0</v>
      </c>
    </row>
    <row r="26" spans="1:3" ht="15.75" x14ac:dyDescent="0.25">
      <c r="A26">
        <v>113303</v>
      </c>
      <c r="B26" t="s">
        <v>25</v>
      </c>
      <c r="C26">
        <v>0</v>
      </c>
    </row>
    <row r="27" spans="1:3" ht="15.75" x14ac:dyDescent="0.25">
      <c r="A27">
        <v>113304</v>
      </c>
      <c r="B27" t="s">
        <v>26</v>
      </c>
      <c r="C27">
        <v>0</v>
      </c>
    </row>
    <row r="28" spans="1:3" ht="15.75" x14ac:dyDescent="0.25">
      <c r="A28">
        <v>113305</v>
      </c>
      <c r="B28" t="s">
        <v>27</v>
      </c>
      <c r="C28">
        <v>0</v>
      </c>
    </row>
    <row r="29" spans="1:3" ht="15.75" x14ac:dyDescent="0.25">
      <c r="A29">
        <v>113306</v>
      </c>
      <c r="B29" t="s">
        <v>28</v>
      </c>
      <c r="C29">
        <v>0</v>
      </c>
    </row>
    <row r="30" spans="1:3" ht="15.75" x14ac:dyDescent="0.25">
      <c r="A30">
        <v>113307</v>
      </c>
      <c r="B30" t="s">
        <v>29</v>
      </c>
      <c r="C30">
        <v>0</v>
      </c>
    </row>
    <row r="31" spans="1:3" ht="15.75" x14ac:dyDescent="0.25">
      <c r="A31">
        <v>113390</v>
      </c>
      <c r="B31" t="s">
        <v>30</v>
      </c>
      <c r="C31">
        <v>0</v>
      </c>
    </row>
    <row r="32" spans="1:3" ht="15.75" x14ac:dyDescent="0.25">
      <c r="A32">
        <v>12</v>
      </c>
      <c r="B32" t="s">
        <v>31</v>
      </c>
      <c r="C32">
        <f>SUM(C33,C40,C45,C65,C74,C88,C107,C113,C119,C125,C136,C147,C158,C169,C173,C176)</f>
        <v>0</v>
      </c>
    </row>
    <row r="33" spans="1:3" ht="15.75" x14ac:dyDescent="0.25">
      <c r="A33">
        <v>1216</v>
      </c>
      <c r="B33" t="s">
        <v>32</v>
      </c>
      <c r="C33">
        <f>SUM(C34:C39)</f>
        <v>0</v>
      </c>
    </row>
    <row r="34" spans="1:3" ht="15.75" x14ac:dyDescent="0.25">
      <c r="A34">
        <v>121601</v>
      </c>
      <c r="B34" t="s">
        <v>33</v>
      </c>
      <c r="C34">
        <v>0</v>
      </c>
    </row>
    <row r="35" spans="1:3" ht="15.75" x14ac:dyDescent="0.25">
      <c r="A35">
        <v>121602</v>
      </c>
      <c r="B35" t="s">
        <v>34</v>
      </c>
      <c r="C35">
        <v>0</v>
      </c>
    </row>
    <row r="36" spans="1:3" ht="15.75" x14ac:dyDescent="0.25">
      <c r="A36">
        <v>121603</v>
      </c>
      <c r="B36" t="s">
        <v>35</v>
      </c>
      <c r="C36">
        <v>0</v>
      </c>
    </row>
    <row r="37" spans="1:3" ht="15.75" x14ac:dyDescent="0.25">
      <c r="A37">
        <v>121604</v>
      </c>
      <c r="B37" t="s">
        <v>36</v>
      </c>
      <c r="C37">
        <v>0</v>
      </c>
    </row>
    <row r="38" spans="1:3" ht="15.75" x14ac:dyDescent="0.25">
      <c r="A38">
        <v>121605</v>
      </c>
      <c r="B38" t="s">
        <v>37</v>
      </c>
      <c r="C38">
        <v>0</v>
      </c>
    </row>
    <row r="39" spans="1:3" ht="15.75" x14ac:dyDescent="0.25">
      <c r="A39">
        <v>121606</v>
      </c>
      <c r="B39" t="s">
        <v>38</v>
      </c>
      <c r="C39">
        <v>0</v>
      </c>
    </row>
    <row r="40" spans="1:3" ht="15.75" x14ac:dyDescent="0.25">
      <c r="A40">
        <v>1220</v>
      </c>
      <c r="B40" t="s">
        <v>39</v>
      </c>
      <c r="C40">
        <f>SUM(C41:C44)</f>
        <v>0</v>
      </c>
    </row>
    <row r="41" spans="1:3" ht="15.75" x14ac:dyDescent="0.25">
      <c r="A41">
        <v>122015</v>
      </c>
      <c r="B41" t="s">
        <v>40</v>
      </c>
      <c r="C41">
        <v>0</v>
      </c>
    </row>
    <row r="42" spans="1:3" ht="15.75" x14ac:dyDescent="0.25">
      <c r="A42">
        <v>122016</v>
      </c>
      <c r="B42" t="s">
        <v>41</v>
      </c>
      <c r="C42">
        <v>0</v>
      </c>
    </row>
    <row r="43" spans="1:3" ht="15.75" x14ac:dyDescent="0.25">
      <c r="A43">
        <v>122017</v>
      </c>
      <c r="B43" t="s">
        <v>42</v>
      </c>
      <c r="C43">
        <v>0</v>
      </c>
    </row>
    <row r="44" spans="1:3" ht="15.75" x14ac:dyDescent="0.25">
      <c r="A44">
        <v>122018</v>
      </c>
      <c r="B44" t="s">
        <v>43</v>
      </c>
      <c r="C44">
        <v>0</v>
      </c>
    </row>
    <row r="45" spans="1:3" ht="15.75" x14ac:dyDescent="0.25">
      <c r="A45">
        <v>1221</v>
      </c>
      <c r="B45" t="s">
        <v>44</v>
      </c>
      <c r="C45">
        <f>SUM(C46:C64)</f>
        <v>0</v>
      </c>
    </row>
    <row r="46" spans="1:3" ht="15.75" x14ac:dyDescent="0.25">
      <c r="A46">
        <v>122101</v>
      </c>
      <c r="B46" t="s">
        <v>45</v>
      </c>
      <c r="C46">
        <v>0</v>
      </c>
    </row>
    <row r="47" spans="1:3" ht="15.75" x14ac:dyDescent="0.25">
      <c r="A47">
        <v>122102</v>
      </c>
      <c r="B47" t="s">
        <v>46</v>
      </c>
      <c r="C47">
        <v>0</v>
      </c>
    </row>
    <row r="48" spans="1:3" ht="15.75" x14ac:dyDescent="0.25">
      <c r="A48">
        <v>122103</v>
      </c>
      <c r="B48" t="s">
        <v>47</v>
      </c>
      <c r="C48">
        <v>0</v>
      </c>
    </row>
    <row r="49" spans="1:3" ht="15.75" x14ac:dyDescent="0.25">
      <c r="A49">
        <v>122104</v>
      </c>
      <c r="B49" t="s">
        <v>48</v>
      </c>
      <c r="C49">
        <v>0</v>
      </c>
    </row>
    <row r="50" spans="1:3" ht="15.75" x14ac:dyDescent="0.25">
      <c r="A50">
        <v>122105</v>
      </c>
      <c r="B50" t="s">
        <v>49</v>
      </c>
      <c r="C50">
        <v>0</v>
      </c>
    </row>
    <row r="51" spans="1:3" ht="15.75" x14ac:dyDescent="0.25">
      <c r="A51">
        <v>122106</v>
      </c>
      <c r="B51" t="s">
        <v>50</v>
      </c>
      <c r="C51">
        <v>0</v>
      </c>
    </row>
    <row r="52" spans="1:3" ht="15.75" x14ac:dyDescent="0.25">
      <c r="A52">
        <v>122107</v>
      </c>
      <c r="B52" t="s">
        <v>51</v>
      </c>
      <c r="C52">
        <v>0</v>
      </c>
    </row>
    <row r="53" spans="1:3" ht="15.75" x14ac:dyDescent="0.25">
      <c r="A53">
        <v>122108</v>
      </c>
      <c r="B53" t="s">
        <v>52</v>
      </c>
      <c r="C53">
        <v>0</v>
      </c>
    </row>
    <row r="54" spans="1:3" ht="15.75" x14ac:dyDescent="0.25">
      <c r="A54">
        <v>122109</v>
      </c>
      <c r="B54" t="s">
        <v>53</v>
      </c>
      <c r="C54">
        <v>0</v>
      </c>
    </row>
    <row r="55" spans="1:3" ht="15.75" x14ac:dyDescent="0.25">
      <c r="A55">
        <v>122110</v>
      </c>
      <c r="B55" t="s">
        <v>54</v>
      </c>
      <c r="C55">
        <v>0</v>
      </c>
    </row>
    <row r="56" spans="1:3" ht="15.75" x14ac:dyDescent="0.25">
      <c r="A56">
        <v>122111</v>
      </c>
      <c r="B56" t="s">
        <v>55</v>
      </c>
      <c r="C56">
        <v>0</v>
      </c>
    </row>
    <row r="57" spans="1:3" ht="15.75" x14ac:dyDescent="0.25">
      <c r="A57">
        <v>122112</v>
      </c>
      <c r="B57" t="s">
        <v>56</v>
      </c>
      <c r="C57">
        <v>0</v>
      </c>
    </row>
    <row r="58" spans="1:3" ht="15.75" x14ac:dyDescent="0.25">
      <c r="A58">
        <v>122113</v>
      </c>
      <c r="B58" t="s">
        <v>57</v>
      </c>
      <c r="C58">
        <v>0</v>
      </c>
    </row>
    <row r="59" spans="1:3" ht="15.75" x14ac:dyDescent="0.25">
      <c r="A59">
        <v>122114</v>
      </c>
      <c r="B59" t="s">
        <v>58</v>
      </c>
      <c r="C59">
        <v>0</v>
      </c>
    </row>
    <row r="60" spans="1:3" ht="15.75" x14ac:dyDescent="0.25">
      <c r="A60">
        <v>122115</v>
      </c>
      <c r="B60" t="s">
        <v>59</v>
      </c>
      <c r="C60">
        <v>0</v>
      </c>
    </row>
    <row r="61" spans="1:3" ht="15.75" x14ac:dyDescent="0.25">
      <c r="A61">
        <v>122116</v>
      </c>
      <c r="B61" t="s">
        <v>60</v>
      </c>
      <c r="C61">
        <v>0</v>
      </c>
    </row>
    <row r="62" spans="1:3" ht="15.75" x14ac:dyDescent="0.25">
      <c r="A62">
        <v>122117</v>
      </c>
      <c r="B62" t="s">
        <v>61</v>
      </c>
      <c r="C62">
        <v>0</v>
      </c>
    </row>
    <row r="63" spans="1:3" ht="15.75" x14ac:dyDescent="0.25">
      <c r="A63">
        <v>122119</v>
      </c>
      <c r="B63" t="s">
        <v>62</v>
      </c>
      <c r="C63">
        <v>0</v>
      </c>
    </row>
    <row r="64" spans="1:3" ht="15.75" x14ac:dyDescent="0.25">
      <c r="A64">
        <v>122190</v>
      </c>
      <c r="B64" t="s">
        <v>63</v>
      </c>
      <c r="C64">
        <v>0</v>
      </c>
    </row>
    <row r="65" spans="1:3" ht="15.75" x14ac:dyDescent="0.25">
      <c r="A65">
        <v>1222</v>
      </c>
      <c r="B65" t="s">
        <v>64</v>
      </c>
      <c r="C65">
        <f>SUM(C66:C73)</f>
        <v>0</v>
      </c>
    </row>
    <row r="66" spans="1:3" ht="15.75" x14ac:dyDescent="0.25">
      <c r="A66">
        <v>122201</v>
      </c>
      <c r="B66" t="s">
        <v>65</v>
      </c>
      <c r="C66">
        <v>0</v>
      </c>
    </row>
    <row r="67" spans="1:3" ht="15.75" x14ac:dyDescent="0.25">
      <c r="A67">
        <v>122202</v>
      </c>
      <c r="B67" t="s">
        <v>66</v>
      </c>
      <c r="C67">
        <v>0</v>
      </c>
    </row>
    <row r="68" spans="1:3" ht="15.75" x14ac:dyDescent="0.25">
      <c r="A68">
        <v>122203</v>
      </c>
      <c r="B68" t="s">
        <v>67</v>
      </c>
      <c r="C68">
        <v>0</v>
      </c>
    </row>
    <row r="69" spans="1:3" ht="15.75" x14ac:dyDescent="0.25">
      <c r="A69">
        <v>122204</v>
      </c>
      <c r="B69" t="s">
        <v>68</v>
      </c>
      <c r="C69">
        <v>0</v>
      </c>
    </row>
    <row r="70" spans="1:3" ht="15.75" x14ac:dyDescent="0.25">
      <c r="A70">
        <v>122205</v>
      </c>
      <c r="B70" t="s">
        <v>69</v>
      </c>
      <c r="C70">
        <v>0</v>
      </c>
    </row>
    <row r="71" spans="1:3" ht="15.75" x14ac:dyDescent="0.25">
      <c r="A71">
        <v>122206</v>
      </c>
      <c r="B71" t="s">
        <v>70</v>
      </c>
      <c r="C71">
        <v>0</v>
      </c>
    </row>
    <row r="72" spans="1:3" ht="15.75" x14ac:dyDescent="0.25">
      <c r="A72">
        <v>122218</v>
      </c>
      <c r="B72" t="s">
        <v>60</v>
      </c>
      <c r="C72">
        <v>0</v>
      </c>
    </row>
    <row r="73" spans="1:3" ht="15.75" x14ac:dyDescent="0.25">
      <c r="A73">
        <v>122290</v>
      </c>
      <c r="B73" t="s">
        <v>71</v>
      </c>
      <c r="C73">
        <v>0</v>
      </c>
    </row>
    <row r="74" spans="1:3" ht="15.75" x14ac:dyDescent="0.25">
      <c r="A74">
        <v>1223</v>
      </c>
      <c r="B74" t="s">
        <v>72</v>
      </c>
      <c r="C74">
        <f>SUM(C75:C87)</f>
        <v>0</v>
      </c>
    </row>
    <row r="75" spans="1:3" ht="15.75" x14ac:dyDescent="0.25">
      <c r="A75">
        <v>122301</v>
      </c>
      <c r="B75" t="s">
        <v>45</v>
      </c>
      <c r="C75">
        <v>0</v>
      </c>
    </row>
    <row r="76" spans="1:3" ht="15.75" x14ac:dyDescent="0.25">
      <c r="A76">
        <v>122302</v>
      </c>
      <c r="B76" t="s">
        <v>46</v>
      </c>
      <c r="C76">
        <v>0</v>
      </c>
    </row>
    <row r="77" spans="1:3" ht="15.75" x14ac:dyDescent="0.25">
      <c r="A77">
        <v>122303</v>
      </c>
      <c r="B77" t="s">
        <v>47</v>
      </c>
      <c r="C77">
        <v>0</v>
      </c>
    </row>
    <row r="78" spans="1:3" ht="15.75" x14ac:dyDescent="0.25">
      <c r="A78">
        <v>122304</v>
      </c>
      <c r="B78" t="s">
        <v>48</v>
      </c>
      <c r="C78">
        <v>0</v>
      </c>
    </row>
    <row r="79" spans="1:3" ht="15.75" x14ac:dyDescent="0.25">
      <c r="A79">
        <v>122305</v>
      </c>
      <c r="B79" t="s">
        <v>49</v>
      </c>
      <c r="C79">
        <v>0</v>
      </c>
    </row>
    <row r="80" spans="1:3" ht="15.75" x14ac:dyDescent="0.25">
      <c r="A80">
        <v>122306</v>
      </c>
      <c r="B80" t="s">
        <v>50</v>
      </c>
      <c r="C80">
        <v>0</v>
      </c>
    </row>
    <row r="81" spans="1:3" ht="15.75" x14ac:dyDescent="0.25">
      <c r="A81">
        <v>122307</v>
      </c>
      <c r="B81" t="s">
        <v>73</v>
      </c>
      <c r="C81">
        <v>0</v>
      </c>
    </row>
    <row r="82" spans="1:3" ht="15.75" x14ac:dyDescent="0.25">
      <c r="A82">
        <v>122308</v>
      </c>
      <c r="B82" t="s">
        <v>52</v>
      </c>
      <c r="C82">
        <v>0</v>
      </c>
    </row>
    <row r="83" spans="1:3" ht="15.75" x14ac:dyDescent="0.25">
      <c r="A83">
        <v>122310</v>
      </c>
      <c r="B83" t="s">
        <v>56</v>
      </c>
      <c r="C83">
        <v>0</v>
      </c>
    </row>
    <row r="84" spans="1:3" ht="15.75" x14ac:dyDescent="0.25">
      <c r="A84">
        <v>122311</v>
      </c>
      <c r="B84" t="s">
        <v>62</v>
      </c>
      <c r="C84">
        <v>0</v>
      </c>
    </row>
    <row r="85" spans="1:3" ht="15.75" x14ac:dyDescent="0.25">
      <c r="A85">
        <v>122312</v>
      </c>
      <c r="B85" t="s">
        <v>55</v>
      </c>
      <c r="C85">
        <v>0</v>
      </c>
    </row>
    <row r="86" spans="1:3" ht="15.75" x14ac:dyDescent="0.25">
      <c r="A86">
        <v>122313</v>
      </c>
      <c r="B86" t="s">
        <v>54</v>
      </c>
      <c r="C86">
        <v>0</v>
      </c>
    </row>
    <row r="87" spans="1:3" ht="15.75" x14ac:dyDescent="0.25">
      <c r="A87">
        <v>122390</v>
      </c>
      <c r="B87" t="s">
        <v>74</v>
      </c>
      <c r="C87">
        <v>0</v>
      </c>
    </row>
    <row r="88" spans="1:3" ht="15.75" x14ac:dyDescent="0.25">
      <c r="A88">
        <v>1224</v>
      </c>
      <c r="B88" t="s">
        <v>75</v>
      </c>
      <c r="C88">
        <f>SUM(C89:C106)</f>
        <v>0</v>
      </c>
    </row>
    <row r="89" spans="1:3" ht="15.75" x14ac:dyDescent="0.25">
      <c r="A89">
        <v>122403</v>
      </c>
      <c r="B89" t="s">
        <v>47</v>
      </c>
      <c r="C89">
        <v>0</v>
      </c>
    </row>
    <row r="90" spans="1:3" ht="15.75" x14ac:dyDescent="0.25">
      <c r="A90">
        <v>122404</v>
      </c>
      <c r="B90" t="s">
        <v>48</v>
      </c>
      <c r="C90">
        <v>0</v>
      </c>
    </row>
    <row r="91" spans="1:3" ht="15.75" x14ac:dyDescent="0.25">
      <c r="A91">
        <v>122405</v>
      </c>
      <c r="B91" t="s">
        <v>49</v>
      </c>
      <c r="C91">
        <v>0</v>
      </c>
    </row>
    <row r="92" spans="1:3" ht="15.75" x14ac:dyDescent="0.25">
      <c r="A92">
        <v>122406</v>
      </c>
      <c r="B92" t="s">
        <v>50</v>
      </c>
      <c r="C92">
        <v>0</v>
      </c>
    </row>
    <row r="93" spans="1:3" ht="15.75" x14ac:dyDescent="0.25">
      <c r="A93">
        <v>122407</v>
      </c>
      <c r="B93" t="s">
        <v>73</v>
      </c>
      <c r="C93">
        <v>0</v>
      </c>
    </row>
    <row r="94" spans="1:3" ht="15.75" x14ac:dyDescent="0.25">
      <c r="A94">
        <v>122408</v>
      </c>
      <c r="B94" t="s">
        <v>52</v>
      </c>
      <c r="C94">
        <v>0</v>
      </c>
    </row>
    <row r="95" spans="1:3" ht="15.75" x14ac:dyDescent="0.25">
      <c r="A95">
        <v>122409</v>
      </c>
      <c r="B95" t="s">
        <v>53</v>
      </c>
      <c r="C95">
        <v>0</v>
      </c>
    </row>
    <row r="96" spans="1:3" ht="15.75" x14ac:dyDescent="0.25">
      <c r="A96">
        <v>122410</v>
      </c>
      <c r="B96" t="s">
        <v>54</v>
      </c>
      <c r="C96">
        <v>0</v>
      </c>
    </row>
    <row r="97" spans="1:3" ht="15.75" x14ac:dyDescent="0.25">
      <c r="A97">
        <v>122411</v>
      </c>
      <c r="B97" t="s">
        <v>55</v>
      </c>
      <c r="C97">
        <v>0</v>
      </c>
    </row>
    <row r="98" spans="1:3" ht="15.75" x14ac:dyDescent="0.25">
      <c r="A98">
        <v>122412</v>
      </c>
      <c r="B98" t="s">
        <v>56</v>
      </c>
      <c r="C98">
        <v>0</v>
      </c>
    </row>
    <row r="99" spans="1:3" ht="15.75" x14ac:dyDescent="0.25">
      <c r="A99">
        <v>122413</v>
      </c>
      <c r="B99" t="s">
        <v>57</v>
      </c>
      <c r="C99">
        <v>0</v>
      </c>
    </row>
    <row r="100" spans="1:3" ht="15.75" x14ac:dyDescent="0.25">
      <c r="A100">
        <v>122414</v>
      </c>
      <c r="B100" t="s">
        <v>58</v>
      </c>
      <c r="C100">
        <v>0</v>
      </c>
    </row>
    <row r="101" spans="1:3" ht="15.75" x14ac:dyDescent="0.25">
      <c r="A101">
        <v>122415</v>
      </c>
      <c r="B101" t="s">
        <v>59</v>
      </c>
      <c r="C101">
        <v>0</v>
      </c>
    </row>
    <row r="102" spans="1:3" ht="15.75" x14ac:dyDescent="0.25">
      <c r="A102">
        <v>122416</v>
      </c>
      <c r="B102" t="s">
        <v>60</v>
      </c>
      <c r="C102">
        <v>0</v>
      </c>
    </row>
    <row r="103" spans="1:3" ht="15.75" x14ac:dyDescent="0.25">
      <c r="A103">
        <v>122417</v>
      </c>
      <c r="B103" t="s">
        <v>61</v>
      </c>
      <c r="C103">
        <v>0</v>
      </c>
    </row>
    <row r="104" spans="1:3" ht="15.75" x14ac:dyDescent="0.25">
      <c r="A104">
        <v>122418</v>
      </c>
      <c r="B104" t="s">
        <v>62</v>
      </c>
      <c r="C104">
        <v>0</v>
      </c>
    </row>
    <row r="105" spans="1:3" ht="15.75" x14ac:dyDescent="0.25">
      <c r="A105">
        <v>122419</v>
      </c>
      <c r="B105" t="s">
        <v>76</v>
      </c>
      <c r="C105">
        <v>0</v>
      </c>
    </row>
    <row r="106" spans="1:3" ht="15.75" x14ac:dyDescent="0.25">
      <c r="A106">
        <v>122490</v>
      </c>
      <c r="B106" t="s">
        <v>77</v>
      </c>
      <c r="C106">
        <v>0</v>
      </c>
    </row>
    <row r="107" spans="1:3" ht="15.75" x14ac:dyDescent="0.25">
      <c r="A107">
        <v>1227</v>
      </c>
      <c r="B107" t="s">
        <v>78</v>
      </c>
      <c r="C107">
        <f>SUM(C108:C112)</f>
        <v>0</v>
      </c>
    </row>
    <row r="108" spans="1:3" ht="15.75" x14ac:dyDescent="0.25">
      <c r="A108">
        <v>122701</v>
      </c>
      <c r="B108" t="s">
        <v>36</v>
      </c>
      <c r="C108">
        <v>0</v>
      </c>
    </row>
    <row r="109" spans="1:3" ht="15.75" x14ac:dyDescent="0.25">
      <c r="A109">
        <v>122702</v>
      </c>
      <c r="B109" t="s">
        <v>37</v>
      </c>
      <c r="C109">
        <v>0</v>
      </c>
    </row>
    <row r="110" spans="1:3" ht="15.75" x14ac:dyDescent="0.25">
      <c r="A110">
        <v>122703</v>
      </c>
      <c r="B110" t="s">
        <v>33</v>
      </c>
      <c r="C110">
        <v>0</v>
      </c>
    </row>
    <row r="111" spans="1:3" ht="15.75" x14ac:dyDescent="0.25">
      <c r="A111">
        <v>122704</v>
      </c>
      <c r="B111" t="s">
        <v>34</v>
      </c>
      <c r="C111">
        <v>0</v>
      </c>
    </row>
    <row r="112" spans="1:3" ht="15.75" x14ac:dyDescent="0.25">
      <c r="A112">
        <v>122705</v>
      </c>
      <c r="B112" t="s">
        <v>35</v>
      </c>
      <c r="C112">
        <v>0</v>
      </c>
    </row>
    <row r="113" spans="1:3" ht="15.75" x14ac:dyDescent="0.25">
      <c r="A113">
        <v>1230</v>
      </c>
      <c r="B113" t="s">
        <v>79</v>
      </c>
      <c r="C113">
        <f>SUM(C114:C118)</f>
        <v>0</v>
      </c>
    </row>
    <row r="114" spans="1:3" ht="15.75" x14ac:dyDescent="0.25">
      <c r="A114">
        <v>123001</v>
      </c>
      <c r="B114" t="s">
        <v>36</v>
      </c>
      <c r="C114">
        <v>0</v>
      </c>
    </row>
    <row r="115" spans="1:3" ht="15.75" x14ac:dyDescent="0.25">
      <c r="A115">
        <v>123002</v>
      </c>
      <c r="B115" t="s">
        <v>37</v>
      </c>
      <c r="C115">
        <v>0</v>
      </c>
    </row>
    <row r="116" spans="1:3" ht="15.75" x14ac:dyDescent="0.25">
      <c r="A116">
        <v>123003</v>
      </c>
      <c r="B116" t="s">
        <v>33</v>
      </c>
      <c r="C116">
        <v>0</v>
      </c>
    </row>
    <row r="117" spans="1:3" ht="15.75" x14ac:dyDescent="0.25">
      <c r="A117">
        <v>123004</v>
      </c>
      <c r="B117" t="s">
        <v>34</v>
      </c>
      <c r="C117">
        <v>0</v>
      </c>
    </row>
    <row r="118" spans="1:3" ht="15.75" x14ac:dyDescent="0.25">
      <c r="A118">
        <v>123005</v>
      </c>
      <c r="B118" t="s">
        <v>35</v>
      </c>
      <c r="C118">
        <v>0</v>
      </c>
    </row>
    <row r="119" spans="1:3" ht="15.75" x14ac:dyDescent="0.25">
      <c r="A119">
        <v>1233</v>
      </c>
      <c r="B119" t="s">
        <v>80</v>
      </c>
      <c r="C119">
        <f>SUM(C120:C124)</f>
        <v>0</v>
      </c>
    </row>
    <row r="120" spans="1:3" ht="15.75" x14ac:dyDescent="0.25">
      <c r="A120">
        <v>123301</v>
      </c>
      <c r="B120" t="s">
        <v>36</v>
      </c>
      <c r="C120">
        <v>0</v>
      </c>
    </row>
    <row r="121" spans="1:3" ht="15.75" x14ac:dyDescent="0.25">
      <c r="A121">
        <v>123302</v>
      </c>
      <c r="B121" t="s">
        <v>37</v>
      </c>
      <c r="C121">
        <v>0</v>
      </c>
    </row>
    <row r="122" spans="1:3" ht="15.75" x14ac:dyDescent="0.25">
      <c r="A122">
        <v>123303</v>
      </c>
      <c r="B122" t="s">
        <v>33</v>
      </c>
      <c r="C122">
        <v>0</v>
      </c>
    </row>
    <row r="123" spans="1:3" ht="15.75" x14ac:dyDescent="0.25">
      <c r="A123">
        <v>123304</v>
      </c>
      <c r="B123" t="s">
        <v>34</v>
      </c>
      <c r="C123">
        <v>0</v>
      </c>
    </row>
    <row r="124" spans="1:3" ht="15.75" x14ac:dyDescent="0.25">
      <c r="A124">
        <v>123305</v>
      </c>
      <c r="B124" t="s">
        <v>35</v>
      </c>
      <c r="C124">
        <v>0</v>
      </c>
    </row>
    <row r="125" spans="1:3" ht="15.75" x14ac:dyDescent="0.25">
      <c r="A125">
        <v>1234</v>
      </c>
      <c r="B125" t="s">
        <v>81</v>
      </c>
      <c r="C125">
        <f>SUM(C126:C135)</f>
        <v>0</v>
      </c>
    </row>
    <row r="126" spans="1:3" ht="15.75" x14ac:dyDescent="0.25">
      <c r="A126">
        <v>123401</v>
      </c>
      <c r="B126" t="s">
        <v>82</v>
      </c>
      <c r="C126">
        <v>0</v>
      </c>
    </row>
    <row r="127" spans="1:3" ht="15.75" x14ac:dyDescent="0.25">
      <c r="A127">
        <v>123402</v>
      </c>
      <c r="B127" t="s">
        <v>83</v>
      </c>
      <c r="C127">
        <v>0</v>
      </c>
    </row>
    <row r="128" spans="1:3" ht="15.75" x14ac:dyDescent="0.25">
      <c r="A128">
        <v>123403</v>
      </c>
      <c r="B128" t="s">
        <v>84</v>
      </c>
      <c r="C128">
        <v>0</v>
      </c>
    </row>
    <row r="129" spans="1:3" ht="15.75" x14ac:dyDescent="0.25">
      <c r="A129">
        <v>123404</v>
      </c>
      <c r="B129" t="s">
        <v>85</v>
      </c>
      <c r="C129">
        <v>0</v>
      </c>
    </row>
    <row r="130" spans="1:3" ht="15.75" x14ac:dyDescent="0.25">
      <c r="A130">
        <v>123405</v>
      </c>
      <c r="B130" t="s">
        <v>86</v>
      </c>
      <c r="C130">
        <v>0</v>
      </c>
    </row>
    <row r="131" spans="1:3" ht="15.75" x14ac:dyDescent="0.25">
      <c r="A131">
        <v>123406</v>
      </c>
      <c r="B131" t="s">
        <v>87</v>
      </c>
      <c r="C131">
        <v>0</v>
      </c>
    </row>
    <row r="132" spans="1:3" ht="15.75" x14ac:dyDescent="0.25">
      <c r="A132">
        <v>123407</v>
      </c>
      <c r="B132" t="s">
        <v>88</v>
      </c>
      <c r="C132">
        <v>0</v>
      </c>
    </row>
    <row r="133" spans="1:3" ht="15.75" x14ac:dyDescent="0.25">
      <c r="A133">
        <v>123408</v>
      </c>
      <c r="B133" t="s">
        <v>89</v>
      </c>
      <c r="C133">
        <v>0</v>
      </c>
    </row>
    <row r="134" spans="1:3" ht="15.75" x14ac:dyDescent="0.25">
      <c r="A134">
        <v>123409</v>
      </c>
      <c r="B134" t="s">
        <v>90</v>
      </c>
      <c r="C134">
        <v>0</v>
      </c>
    </row>
    <row r="135" spans="1:3" ht="15.75" x14ac:dyDescent="0.25">
      <c r="A135">
        <v>123410</v>
      </c>
      <c r="B135" t="s">
        <v>91</v>
      </c>
      <c r="C135">
        <v>0</v>
      </c>
    </row>
    <row r="136" spans="1:3" ht="15.75" x14ac:dyDescent="0.25">
      <c r="A136">
        <v>1235</v>
      </c>
      <c r="B136" t="s">
        <v>92</v>
      </c>
      <c r="C136">
        <f>SUM(C137:C146)</f>
        <v>0</v>
      </c>
    </row>
    <row r="137" spans="1:3" ht="15.75" x14ac:dyDescent="0.25">
      <c r="A137">
        <v>123501</v>
      </c>
      <c r="B137" t="s">
        <v>82</v>
      </c>
      <c r="C137">
        <v>0</v>
      </c>
    </row>
    <row r="138" spans="1:3" ht="15.75" x14ac:dyDescent="0.25">
      <c r="A138">
        <v>123502</v>
      </c>
      <c r="B138" t="s">
        <v>83</v>
      </c>
      <c r="C138">
        <v>0</v>
      </c>
    </row>
    <row r="139" spans="1:3" ht="15.75" x14ac:dyDescent="0.25">
      <c r="A139">
        <v>123503</v>
      </c>
      <c r="B139" t="s">
        <v>84</v>
      </c>
      <c r="C139">
        <v>0</v>
      </c>
    </row>
    <row r="140" spans="1:3" ht="15.75" x14ac:dyDescent="0.25">
      <c r="A140">
        <v>123504</v>
      </c>
      <c r="B140" t="s">
        <v>85</v>
      </c>
      <c r="C140">
        <v>0</v>
      </c>
    </row>
    <row r="141" spans="1:3" ht="15.75" x14ac:dyDescent="0.25">
      <c r="A141">
        <v>123505</v>
      </c>
      <c r="B141" t="s">
        <v>86</v>
      </c>
      <c r="C141">
        <v>0</v>
      </c>
    </row>
    <row r="142" spans="1:3" ht="15.75" x14ac:dyDescent="0.25">
      <c r="A142">
        <v>123506</v>
      </c>
      <c r="B142" t="s">
        <v>87</v>
      </c>
      <c r="C142">
        <v>0</v>
      </c>
    </row>
    <row r="143" spans="1:3" ht="15.75" x14ac:dyDescent="0.25">
      <c r="A143">
        <v>123507</v>
      </c>
      <c r="B143" t="s">
        <v>88</v>
      </c>
      <c r="C143">
        <v>0</v>
      </c>
    </row>
    <row r="144" spans="1:3" ht="15.75" x14ac:dyDescent="0.25">
      <c r="A144">
        <v>123508</v>
      </c>
      <c r="B144" t="s">
        <v>89</v>
      </c>
      <c r="C144">
        <v>0</v>
      </c>
    </row>
    <row r="145" spans="1:3" ht="15.75" x14ac:dyDescent="0.25">
      <c r="A145">
        <v>123509</v>
      </c>
      <c r="B145" t="s">
        <v>90</v>
      </c>
      <c r="C145">
        <v>0</v>
      </c>
    </row>
    <row r="146" spans="1:3" ht="15.75" x14ac:dyDescent="0.25">
      <c r="A146">
        <v>123510</v>
      </c>
      <c r="B146" t="s">
        <v>91</v>
      </c>
      <c r="C146">
        <v>0</v>
      </c>
    </row>
    <row r="147" spans="1:3" ht="15.75" x14ac:dyDescent="0.25">
      <c r="A147">
        <v>1236</v>
      </c>
      <c r="B147" t="s">
        <v>93</v>
      </c>
      <c r="C147">
        <f>SUM(C148:C157)</f>
        <v>0</v>
      </c>
    </row>
    <row r="148" spans="1:3" ht="15.75" x14ac:dyDescent="0.25">
      <c r="A148">
        <v>123601</v>
      </c>
      <c r="B148" t="s">
        <v>82</v>
      </c>
      <c r="C148">
        <v>0</v>
      </c>
    </row>
    <row r="149" spans="1:3" ht="15.75" x14ac:dyDescent="0.25">
      <c r="A149">
        <v>123602</v>
      </c>
      <c r="B149" t="s">
        <v>83</v>
      </c>
      <c r="C149">
        <v>0</v>
      </c>
    </row>
    <row r="150" spans="1:3" ht="15.75" x14ac:dyDescent="0.25">
      <c r="A150">
        <v>123603</v>
      </c>
      <c r="B150" t="s">
        <v>84</v>
      </c>
      <c r="C150">
        <v>0</v>
      </c>
    </row>
    <row r="151" spans="1:3" ht="15.75" x14ac:dyDescent="0.25">
      <c r="A151">
        <v>123604</v>
      </c>
      <c r="B151" t="s">
        <v>85</v>
      </c>
      <c r="C151">
        <v>0</v>
      </c>
    </row>
    <row r="152" spans="1:3" ht="15.75" x14ac:dyDescent="0.25">
      <c r="A152">
        <v>123605</v>
      </c>
      <c r="B152" t="s">
        <v>86</v>
      </c>
      <c r="C152">
        <v>0</v>
      </c>
    </row>
    <row r="153" spans="1:3" ht="15.75" x14ac:dyDescent="0.25">
      <c r="A153">
        <v>123606</v>
      </c>
      <c r="B153" t="s">
        <v>94</v>
      </c>
      <c r="C153">
        <v>0</v>
      </c>
    </row>
    <row r="154" spans="1:3" ht="15.75" x14ac:dyDescent="0.25">
      <c r="A154">
        <v>123607</v>
      </c>
      <c r="B154" t="s">
        <v>88</v>
      </c>
      <c r="C154">
        <v>0</v>
      </c>
    </row>
    <row r="155" spans="1:3" ht="15.75" x14ac:dyDescent="0.25">
      <c r="A155">
        <v>123608</v>
      </c>
      <c r="B155" t="s">
        <v>89</v>
      </c>
      <c r="C155">
        <v>0</v>
      </c>
    </row>
    <row r="156" spans="1:3" ht="15.75" x14ac:dyDescent="0.25">
      <c r="A156">
        <v>123609</v>
      </c>
      <c r="B156" t="s">
        <v>90</v>
      </c>
      <c r="C156">
        <v>0</v>
      </c>
    </row>
    <row r="157" spans="1:3" ht="15.75" x14ac:dyDescent="0.25">
      <c r="A157">
        <v>123610</v>
      </c>
      <c r="B157" t="s">
        <v>91</v>
      </c>
      <c r="C157">
        <v>0</v>
      </c>
    </row>
    <row r="158" spans="1:3" ht="15.75" x14ac:dyDescent="0.25">
      <c r="A158">
        <v>1237</v>
      </c>
      <c r="B158" t="s">
        <v>95</v>
      </c>
      <c r="C158">
        <f>SUM(C159:C168)</f>
        <v>0</v>
      </c>
    </row>
    <row r="159" spans="1:3" ht="15.75" x14ac:dyDescent="0.25">
      <c r="A159">
        <v>123701</v>
      </c>
      <c r="B159" t="s">
        <v>82</v>
      </c>
      <c r="C159">
        <v>0</v>
      </c>
    </row>
    <row r="160" spans="1:3" ht="15.75" x14ac:dyDescent="0.25">
      <c r="A160">
        <v>123702</v>
      </c>
      <c r="B160" t="s">
        <v>83</v>
      </c>
      <c r="C160">
        <v>0</v>
      </c>
    </row>
    <row r="161" spans="1:3" ht="15.75" x14ac:dyDescent="0.25">
      <c r="A161">
        <v>123703</v>
      </c>
      <c r="B161" t="s">
        <v>84</v>
      </c>
      <c r="C161">
        <v>0</v>
      </c>
    </row>
    <row r="162" spans="1:3" ht="15.75" x14ac:dyDescent="0.25">
      <c r="A162">
        <v>123704</v>
      </c>
      <c r="B162" t="s">
        <v>85</v>
      </c>
      <c r="C162">
        <v>0</v>
      </c>
    </row>
    <row r="163" spans="1:3" ht="15.75" x14ac:dyDescent="0.25">
      <c r="A163">
        <v>123705</v>
      </c>
      <c r="B163" t="s">
        <v>86</v>
      </c>
      <c r="C163">
        <v>0</v>
      </c>
    </row>
    <row r="164" spans="1:3" ht="15.75" x14ac:dyDescent="0.25">
      <c r="A164">
        <v>123706</v>
      </c>
      <c r="B164" t="s">
        <v>87</v>
      </c>
      <c r="C164">
        <v>0</v>
      </c>
    </row>
    <row r="165" spans="1:3" ht="15.75" x14ac:dyDescent="0.25">
      <c r="A165">
        <v>123707</v>
      </c>
      <c r="B165" t="s">
        <v>88</v>
      </c>
      <c r="C165">
        <v>0</v>
      </c>
    </row>
    <row r="166" spans="1:3" ht="15.75" x14ac:dyDescent="0.25">
      <c r="A166">
        <v>123708</v>
      </c>
      <c r="B166" t="s">
        <v>89</v>
      </c>
      <c r="C166">
        <v>0</v>
      </c>
    </row>
    <row r="167" spans="1:3" ht="15.75" x14ac:dyDescent="0.25">
      <c r="A167">
        <v>123709</v>
      </c>
      <c r="B167" t="s">
        <v>90</v>
      </c>
      <c r="C167">
        <v>0</v>
      </c>
    </row>
    <row r="168" spans="1:3" ht="15.75" x14ac:dyDescent="0.25">
      <c r="A168">
        <v>123710</v>
      </c>
      <c r="B168" t="s">
        <v>91</v>
      </c>
      <c r="C168">
        <v>0</v>
      </c>
    </row>
    <row r="169" spans="1:3" ht="15.75" x14ac:dyDescent="0.25">
      <c r="A169">
        <v>1238</v>
      </c>
      <c r="B169" t="s">
        <v>96</v>
      </c>
      <c r="C169">
        <f>SUM(C170:C172)</f>
        <v>0</v>
      </c>
    </row>
    <row r="170" spans="1:3" ht="15.75" x14ac:dyDescent="0.25">
      <c r="A170">
        <v>123801</v>
      </c>
      <c r="B170" t="s">
        <v>97</v>
      </c>
      <c r="C170">
        <v>0</v>
      </c>
    </row>
    <row r="171" spans="1:3" ht="15.75" x14ac:dyDescent="0.25">
      <c r="A171">
        <v>123802</v>
      </c>
      <c r="B171" t="s">
        <v>98</v>
      </c>
      <c r="C171">
        <v>0</v>
      </c>
    </row>
    <row r="172" spans="1:3" ht="15.75" x14ac:dyDescent="0.25">
      <c r="A172">
        <v>123803</v>
      </c>
      <c r="B172" t="s">
        <v>99</v>
      </c>
      <c r="C172">
        <v>0</v>
      </c>
    </row>
    <row r="173" spans="1:3" ht="15.75" x14ac:dyDescent="0.25">
      <c r="A173">
        <v>1239</v>
      </c>
      <c r="B173" t="s">
        <v>100</v>
      </c>
      <c r="C173">
        <f>SUM(C174:C175)</f>
        <v>0</v>
      </c>
    </row>
    <row r="174" spans="1:3" ht="15.75" x14ac:dyDescent="0.25">
      <c r="A174">
        <v>123901</v>
      </c>
      <c r="B174" t="s">
        <v>101</v>
      </c>
      <c r="C174">
        <v>0</v>
      </c>
    </row>
    <row r="175" spans="1:3" ht="15.75" x14ac:dyDescent="0.25">
      <c r="A175">
        <v>123902</v>
      </c>
      <c r="B175" t="s">
        <v>102</v>
      </c>
      <c r="C175">
        <v>0</v>
      </c>
    </row>
    <row r="176" spans="1:3" ht="15.75" x14ac:dyDescent="0.25">
      <c r="A176">
        <v>1280</v>
      </c>
      <c r="B176" t="s">
        <v>103</v>
      </c>
      <c r="C176">
        <f>SUM(C177:C182)</f>
        <v>0</v>
      </c>
    </row>
    <row r="177" spans="1:3" ht="15.75" x14ac:dyDescent="0.25">
      <c r="A177">
        <v>128040</v>
      </c>
      <c r="B177" t="s">
        <v>41</v>
      </c>
      <c r="C177">
        <v>0</v>
      </c>
    </row>
    <row r="178" spans="1:3" ht="15.75" x14ac:dyDescent="0.25">
      <c r="A178">
        <v>128041</v>
      </c>
      <c r="B178" t="s">
        <v>42</v>
      </c>
      <c r="C178">
        <v>0</v>
      </c>
    </row>
    <row r="179" spans="1:3" ht="15.75" x14ac:dyDescent="0.25">
      <c r="A179">
        <v>128042</v>
      </c>
      <c r="B179" t="s">
        <v>43</v>
      </c>
      <c r="C179">
        <v>0</v>
      </c>
    </row>
    <row r="180" spans="1:3" ht="15.75" x14ac:dyDescent="0.25">
      <c r="A180">
        <v>128044</v>
      </c>
      <c r="B180" t="s">
        <v>104</v>
      </c>
      <c r="C180">
        <v>0</v>
      </c>
    </row>
    <row r="181" spans="1:3" ht="15.75" x14ac:dyDescent="0.25">
      <c r="A181">
        <v>128046</v>
      </c>
      <c r="B181" t="s">
        <v>105</v>
      </c>
      <c r="C181">
        <v>0</v>
      </c>
    </row>
    <row r="182" spans="1:3" ht="15.75" x14ac:dyDescent="0.25">
      <c r="A182">
        <v>128048</v>
      </c>
      <c r="B182" t="s">
        <v>106</v>
      </c>
      <c r="C182">
        <v>0</v>
      </c>
    </row>
    <row r="183" spans="1:3" ht="15.75" x14ac:dyDescent="0.25">
      <c r="A183">
        <v>13</v>
      </c>
      <c r="B183" t="s">
        <v>107</v>
      </c>
      <c r="C183">
        <v>141105337</v>
      </c>
    </row>
    <row r="184" spans="1:3" ht="15.75" x14ac:dyDescent="0.25">
      <c r="A184">
        <v>1311</v>
      </c>
      <c r="B184" t="s">
        <v>108</v>
      </c>
      <c r="C184">
        <f>SUM(C185:C188)</f>
        <v>0</v>
      </c>
    </row>
    <row r="185" spans="1:3" ht="15.75" x14ac:dyDescent="0.25">
      <c r="A185">
        <v>131102</v>
      </c>
      <c r="B185" t="s">
        <v>109</v>
      </c>
      <c r="C185">
        <v>0</v>
      </c>
    </row>
    <row r="186" spans="1:3" ht="15.75" x14ac:dyDescent="0.25">
      <c r="A186">
        <v>131104</v>
      </c>
      <c r="B186" t="s">
        <v>110</v>
      </c>
      <c r="C186">
        <v>0</v>
      </c>
    </row>
    <row r="187" spans="1:3" ht="15.75" x14ac:dyDescent="0.25">
      <c r="A187">
        <v>131113</v>
      </c>
      <c r="B187" t="s">
        <v>111</v>
      </c>
      <c r="C187">
        <v>0</v>
      </c>
    </row>
    <row r="188" spans="1:3" ht="15.75" x14ac:dyDescent="0.25">
      <c r="A188">
        <v>131117</v>
      </c>
      <c r="B188" t="s">
        <v>112</v>
      </c>
      <c r="C188">
        <v>0</v>
      </c>
    </row>
    <row r="189" spans="1:3" ht="15.75" x14ac:dyDescent="0.25">
      <c r="A189">
        <v>1316</v>
      </c>
      <c r="B189" t="s">
        <v>113</v>
      </c>
      <c r="C189">
        <f>SUM(C190:C195)</f>
        <v>0</v>
      </c>
    </row>
    <row r="190" spans="1:3" ht="15.75" x14ac:dyDescent="0.25">
      <c r="A190">
        <v>131601</v>
      </c>
      <c r="B190" t="s">
        <v>114</v>
      </c>
      <c r="C190">
        <v>0</v>
      </c>
    </row>
    <row r="191" spans="1:3" ht="15.75" x14ac:dyDescent="0.25">
      <c r="A191">
        <v>131602</v>
      </c>
      <c r="B191" t="s">
        <v>115</v>
      </c>
      <c r="C191">
        <v>0</v>
      </c>
    </row>
    <row r="192" spans="1:3" ht="15.75" x14ac:dyDescent="0.25">
      <c r="A192">
        <v>131603</v>
      </c>
      <c r="B192" t="s">
        <v>116</v>
      </c>
      <c r="C192">
        <v>0</v>
      </c>
    </row>
    <row r="193" spans="1:3" ht="15.75" x14ac:dyDescent="0.25">
      <c r="A193">
        <v>131604</v>
      </c>
      <c r="B193" t="s">
        <v>117</v>
      </c>
      <c r="C193">
        <v>0</v>
      </c>
    </row>
    <row r="194" spans="1:3" ht="15.75" x14ac:dyDescent="0.25">
      <c r="A194">
        <v>131605</v>
      </c>
      <c r="B194" t="s">
        <v>118</v>
      </c>
      <c r="C194">
        <v>0</v>
      </c>
    </row>
    <row r="195" spans="1:3" ht="15.75" x14ac:dyDescent="0.25">
      <c r="A195">
        <v>131606</v>
      </c>
      <c r="B195" t="s">
        <v>119</v>
      </c>
      <c r="C195">
        <v>0</v>
      </c>
    </row>
    <row r="196" spans="1:3" ht="15.75" x14ac:dyDescent="0.25">
      <c r="A196">
        <v>1317</v>
      </c>
      <c r="B196" t="s">
        <v>120</v>
      </c>
      <c r="C196">
        <f>SUM(C197:C224)</f>
        <v>0</v>
      </c>
    </row>
    <row r="197" spans="1:3" ht="15.75" x14ac:dyDescent="0.25">
      <c r="A197">
        <v>131702</v>
      </c>
      <c r="B197" t="s">
        <v>121</v>
      </c>
      <c r="C197">
        <v>0</v>
      </c>
    </row>
    <row r="198" spans="1:3" ht="15.75" x14ac:dyDescent="0.25">
      <c r="A198">
        <v>131703</v>
      </c>
      <c r="B198" t="s">
        <v>122</v>
      </c>
      <c r="C198">
        <v>0</v>
      </c>
    </row>
    <row r="199" spans="1:3" ht="15.75" x14ac:dyDescent="0.25">
      <c r="A199">
        <v>131704</v>
      </c>
      <c r="B199" t="s">
        <v>123</v>
      </c>
      <c r="C199">
        <v>0</v>
      </c>
    </row>
    <row r="200" spans="1:3" ht="15.75" x14ac:dyDescent="0.25">
      <c r="A200">
        <v>131705</v>
      </c>
      <c r="B200" t="s">
        <v>124</v>
      </c>
      <c r="C200">
        <v>0</v>
      </c>
    </row>
    <row r="201" spans="1:3" ht="15.75" x14ac:dyDescent="0.25">
      <c r="A201">
        <v>131708</v>
      </c>
      <c r="B201" t="s">
        <v>125</v>
      </c>
      <c r="C201">
        <v>0</v>
      </c>
    </row>
    <row r="202" spans="1:3" ht="15.75" x14ac:dyDescent="0.25">
      <c r="A202">
        <v>131710</v>
      </c>
      <c r="B202" t="s">
        <v>126</v>
      </c>
      <c r="C202">
        <v>0</v>
      </c>
    </row>
    <row r="203" spans="1:3" ht="15.75" x14ac:dyDescent="0.25">
      <c r="A203">
        <v>131711</v>
      </c>
      <c r="B203" t="s">
        <v>127</v>
      </c>
      <c r="C203">
        <v>0</v>
      </c>
    </row>
    <row r="204" spans="1:3" ht="15.75" x14ac:dyDescent="0.25">
      <c r="A204">
        <v>131712</v>
      </c>
      <c r="B204" t="s">
        <v>128</v>
      </c>
      <c r="C204">
        <v>0</v>
      </c>
    </row>
    <row r="205" spans="1:3" ht="15.75" x14ac:dyDescent="0.25">
      <c r="A205">
        <v>131713</v>
      </c>
      <c r="B205" t="s">
        <v>129</v>
      </c>
      <c r="C205">
        <v>0</v>
      </c>
    </row>
    <row r="206" spans="1:3" ht="15.75" x14ac:dyDescent="0.25">
      <c r="A206">
        <v>131714</v>
      </c>
      <c r="B206" t="s">
        <v>130</v>
      </c>
      <c r="C206">
        <v>0</v>
      </c>
    </row>
    <row r="207" spans="1:3" ht="15.75" x14ac:dyDescent="0.25">
      <c r="A207">
        <v>131715</v>
      </c>
      <c r="B207" t="s">
        <v>131</v>
      </c>
      <c r="C207">
        <v>0</v>
      </c>
    </row>
    <row r="208" spans="1:3" ht="15.75" x14ac:dyDescent="0.25">
      <c r="A208">
        <v>131716</v>
      </c>
      <c r="B208" t="s">
        <v>132</v>
      </c>
      <c r="C208">
        <v>0</v>
      </c>
    </row>
    <row r="209" spans="1:3" ht="15.75" x14ac:dyDescent="0.25">
      <c r="A209">
        <v>131717</v>
      </c>
      <c r="B209" t="s">
        <v>133</v>
      </c>
      <c r="C209">
        <v>0</v>
      </c>
    </row>
    <row r="210" spans="1:3" ht="15.75" x14ac:dyDescent="0.25">
      <c r="A210">
        <v>131718</v>
      </c>
      <c r="B210" t="s">
        <v>134</v>
      </c>
      <c r="C210">
        <v>0</v>
      </c>
    </row>
    <row r="211" spans="1:3" ht="15.75" x14ac:dyDescent="0.25">
      <c r="A211">
        <v>131719</v>
      </c>
      <c r="B211" t="s">
        <v>135</v>
      </c>
      <c r="C211">
        <v>0</v>
      </c>
    </row>
    <row r="212" spans="1:3" ht="15.75" x14ac:dyDescent="0.25">
      <c r="A212">
        <v>131720</v>
      </c>
      <c r="B212" t="s">
        <v>136</v>
      </c>
      <c r="C212">
        <v>0</v>
      </c>
    </row>
    <row r="213" spans="1:3" ht="15.75" x14ac:dyDescent="0.25">
      <c r="A213">
        <v>131721</v>
      </c>
      <c r="B213" t="s">
        <v>137</v>
      </c>
      <c r="C213">
        <v>0</v>
      </c>
    </row>
    <row r="214" spans="1:3" ht="15.75" x14ac:dyDescent="0.25">
      <c r="A214">
        <v>131722</v>
      </c>
      <c r="B214" t="s">
        <v>138</v>
      </c>
      <c r="C214">
        <v>0</v>
      </c>
    </row>
    <row r="215" spans="1:3" ht="15.75" x14ac:dyDescent="0.25">
      <c r="A215">
        <v>131723</v>
      </c>
      <c r="B215" t="s">
        <v>139</v>
      </c>
      <c r="C215">
        <v>0</v>
      </c>
    </row>
    <row r="216" spans="1:3" ht="15.75" x14ac:dyDescent="0.25">
      <c r="A216">
        <v>131724</v>
      </c>
      <c r="B216" t="s">
        <v>140</v>
      </c>
      <c r="C216">
        <v>0</v>
      </c>
    </row>
    <row r="217" spans="1:3" ht="15.75" x14ac:dyDescent="0.25">
      <c r="A217">
        <v>131725</v>
      </c>
      <c r="B217" t="s">
        <v>141</v>
      </c>
      <c r="C217">
        <v>0</v>
      </c>
    </row>
    <row r="218" spans="1:3" ht="15.75" x14ac:dyDescent="0.25">
      <c r="A218">
        <v>131726</v>
      </c>
      <c r="B218" t="s">
        <v>142</v>
      </c>
      <c r="C218">
        <v>0</v>
      </c>
    </row>
    <row r="219" spans="1:3" ht="15.75" x14ac:dyDescent="0.25">
      <c r="A219">
        <v>131727</v>
      </c>
      <c r="B219" t="s">
        <v>143</v>
      </c>
      <c r="C219">
        <v>0</v>
      </c>
    </row>
    <row r="220" spans="1:3" ht="15.75" x14ac:dyDescent="0.25">
      <c r="A220">
        <v>131728</v>
      </c>
      <c r="B220" t="s">
        <v>144</v>
      </c>
      <c r="C220">
        <v>0</v>
      </c>
    </row>
    <row r="221" spans="1:3" ht="15.75" x14ac:dyDescent="0.25">
      <c r="A221">
        <v>131729</v>
      </c>
      <c r="B221" t="s">
        <v>145</v>
      </c>
      <c r="C221">
        <v>0</v>
      </c>
    </row>
    <row r="222" spans="1:3" ht="15.75" x14ac:dyDescent="0.25">
      <c r="A222">
        <v>131730</v>
      </c>
      <c r="B222" t="s">
        <v>146</v>
      </c>
      <c r="C222">
        <v>0</v>
      </c>
    </row>
    <row r="223" spans="1:3" ht="15.75" x14ac:dyDescent="0.25">
      <c r="A223">
        <v>131731</v>
      </c>
      <c r="B223" t="s">
        <v>147</v>
      </c>
      <c r="C223">
        <v>0</v>
      </c>
    </row>
    <row r="224" spans="1:3" ht="15.75" x14ac:dyDescent="0.25">
      <c r="A224">
        <v>131790</v>
      </c>
      <c r="B224" t="s">
        <v>148</v>
      </c>
      <c r="C224">
        <v>0</v>
      </c>
    </row>
    <row r="225" spans="1:3" ht="15.75" x14ac:dyDescent="0.25">
      <c r="A225">
        <v>1318</v>
      </c>
      <c r="B225" t="s">
        <v>149</v>
      </c>
      <c r="C225">
        <v>85288875</v>
      </c>
    </row>
    <row r="226" spans="1:3" ht="15.75" x14ac:dyDescent="0.25">
      <c r="A226">
        <v>131801</v>
      </c>
      <c r="B226" t="s">
        <v>150</v>
      </c>
      <c r="C226">
        <v>0</v>
      </c>
    </row>
    <row r="227" spans="1:3" ht="15.75" x14ac:dyDescent="0.25">
      <c r="A227">
        <v>131802</v>
      </c>
      <c r="B227" t="s">
        <v>151</v>
      </c>
      <c r="C227">
        <v>53945390</v>
      </c>
    </row>
    <row r="228" spans="1:3" ht="15.75" x14ac:dyDescent="0.25">
      <c r="A228">
        <v>131803</v>
      </c>
      <c r="B228" t="s">
        <v>152</v>
      </c>
      <c r="C228">
        <v>11946139</v>
      </c>
    </row>
    <row r="229" spans="1:3" ht="15.75" x14ac:dyDescent="0.25">
      <c r="A229">
        <v>131804</v>
      </c>
      <c r="B229" t="s">
        <v>153</v>
      </c>
      <c r="C229">
        <v>19397346</v>
      </c>
    </row>
    <row r="230" spans="1:3" ht="15.75" x14ac:dyDescent="0.25">
      <c r="A230">
        <v>131805</v>
      </c>
      <c r="B230" t="s">
        <v>154</v>
      </c>
      <c r="C230">
        <v>0</v>
      </c>
    </row>
    <row r="231" spans="1:3" ht="15.75" x14ac:dyDescent="0.25">
      <c r="A231">
        <v>131806</v>
      </c>
      <c r="B231" t="s">
        <v>155</v>
      </c>
      <c r="C231">
        <v>0</v>
      </c>
    </row>
    <row r="232" spans="1:3" ht="15.75" x14ac:dyDescent="0.25">
      <c r="A232">
        <v>131807</v>
      </c>
      <c r="B232" t="s">
        <v>156</v>
      </c>
      <c r="C232">
        <v>0</v>
      </c>
    </row>
    <row r="233" spans="1:3" ht="15.75" x14ac:dyDescent="0.25">
      <c r="A233">
        <v>131808</v>
      </c>
      <c r="B233" t="s">
        <v>157</v>
      </c>
      <c r="C233">
        <v>0</v>
      </c>
    </row>
    <row r="234" spans="1:3" ht="15.75" x14ac:dyDescent="0.25">
      <c r="A234">
        <v>131809</v>
      </c>
      <c r="B234" t="s">
        <v>158</v>
      </c>
      <c r="C234">
        <v>0</v>
      </c>
    </row>
    <row r="235" spans="1:3" ht="15.75" x14ac:dyDescent="0.25">
      <c r="A235">
        <v>131810</v>
      </c>
      <c r="B235" t="s">
        <v>159</v>
      </c>
      <c r="C235">
        <v>0</v>
      </c>
    </row>
    <row r="236" spans="1:3" ht="15.75" x14ac:dyDescent="0.25">
      <c r="A236">
        <v>131811</v>
      </c>
      <c r="B236" t="s">
        <v>160</v>
      </c>
      <c r="C236">
        <v>0</v>
      </c>
    </row>
    <row r="237" spans="1:3" ht="15.75" x14ac:dyDescent="0.25">
      <c r="A237">
        <v>131812</v>
      </c>
      <c r="B237" t="s">
        <v>161</v>
      </c>
      <c r="C237">
        <v>0</v>
      </c>
    </row>
    <row r="238" spans="1:3" ht="15.75" x14ac:dyDescent="0.25">
      <c r="A238">
        <v>1319</v>
      </c>
      <c r="B238" t="s">
        <v>162</v>
      </c>
      <c r="C238">
        <f>SUM(C239:C270)</f>
        <v>0</v>
      </c>
    </row>
    <row r="239" spans="1:3" ht="15.75" x14ac:dyDescent="0.25">
      <c r="A239">
        <v>131901</v>
      </c>
      <c r="B239" t="s">
        <v>163</v>
      </c>
      <c r="C239">
        <v>0</v>
      </c>
    </row>
    <row r="240" spans="1:3" ht="15.75" x14ac:dyDescent="0.25">
      <c r="A240">
        <v>131902</v>
      </c>
      <c r="B240" t="s">
        <v>164</v>
      </c>
      <c r="C240">
        <v>0</v>
      </c>
    </row>
    <row r="241" spans="1:3" ht="15.75" x14ac:dyDescent="0.25">
      <c r="A241">
        <v>131903</v>
      </c>
      <c r="B241" t="s">
        <v>165</v>
      </c>
      <c r="C241">
        <v>0</v>
      </c>
    </row>
    <row r="242" spans="1:3" ht="15.75" x14ac:dyDescent="0.25">
      <c r="A242">
        <v>131904</v>
      </c>
      <c r="B242" t="s">
        <v>166</v>
      </c>
      <c r="C242">
        <v>0</v>
      </c>
    </row>
    <row r="243" spans="1:3" ht="15.75" x14ac:dyDescent="0.25">
      <c r="A243">
        <v>131905</v>
      </c>
      <c r="B243" t="s">
        <v>167</v>
      </c>
      <c r="C243">
        <v>0</v>
      </c>
    </row>
    <row r="244" spans="1:3" ht="15.75" x14ac:dyDescent="0.25">
      <c r="A244">
        <v>131906</v>
      </c>
      <c r="B244" t="s">
        <v>168</v>
      </c>
      <c r="C244">
        <v>0</v>
      </c>
    </row>
    <row r="245" spans="1:3" ht="15.75" x14ac:dyDescent="0.25">
      <c r="A245">
        <v>131907</v>
      </c>
      <c r="B245" t="s">
        <v>169</v>
      </c>
      <c r="C245">
        <v>0</v>
      </c>
    </row>
    <row r="246" spans="1:3" ht="15.75" x14ac:dyDescent="0.25">
      <c r="A246">
        <v>131908</v>
      </c>
      <c r="B246" t="s">
        <v>170</v>
      </c>
      <c r="C246">
        <v>0</v>
      </c>
    </row>
    <row r="247" spans="1:3" ht="15.75" x14ac:dyDescent="0.25">
      <c r="A247">
        <v>131909</v>
      </c>
      <c r="B247" t="s">
        <v>171</v>
      </c>
      <c r="C247">
        <v>0</v>
      </c>
    </row>
    <row r="248" spans="1:3" ht="15.75" x14ac:dyDescent="0.25">
      <c r="A248">
        <v>131910</v>
      </c>
      <c r="B248" t="s">
        <v>172</v>
      </c>
      <c r="C248">
        <v>0</v>
      </c>
    </row>
    <row r="249" spans="1:3" ht="15.75" x14ac:dyDescent="0.25">
      <c r="A249">
        <v>131911</v>
      </c>
      <c r="B249" t="s">
        <v>173</v>
      </c>
      <c r="C249">
        <v>0</v>
      </c>
    </row>
    <row r="250" spans="1:3" ht="15.75" x14ac:dyDescent="0.25">
      <c r="A250">
        <v>131912</v>
      </c>
      <c r="B250" t="s">
        <v>174</v>
      </c>
      <c r="C250">
        <v>0</v>
      </c>
    </row>
    <row r="251" spans="1:3" ht="15.75" x14ac:dyDescent="0.25">
      <c r="A251">
        <v>131913</v>
      </c>
      <c r="B251" t="s">
        <v>175</v>
      </c>
      <c r="C251">
        <v>0</v>
      </c>
    </row>
    <row r="252" spans="1:3" ht="15.75" x14ac:dyDescent="0.25">
      <c r="A252">
        <v>131914</v>
      </c>
      <c r="B252" t="s">
        <v>176</v>
      </c>
      <c r="C252">
        <v>0</v>
      </c>
    </row>
    <row r="253" spans="1:3" ht="15.75" x14ac:dyDescent="0.25">
      <c r="A253">
        <v>131915</v>
      </c>
      <c r="B253" t="s">
        <v>177</v>
      </c>
      <c r="C253">
        <v>0</v>
      </c>
    </row>
    <row r="254" spans="1:3" ht="15.75" x14ac:dyDescent="0.25">
      <c r="A254">
        <v>131916</v>
      </c>
      <c r="B254" t="s">
        <v>178</v>
      </c>
      <c r="C254">
        <v>0</v>
      </c>
    </row>
    <row r="255" spans="1:3" ht="15.75" x14ac:dyDescent="0.25">
      <c r="A255">
        <v>131917</v>
      </c>
      <c r="B255" t="s">
        <v>179</v>
      </c>
      <c r="C255">
        <v>0</v>
      </c>
    </row>
    <row r="256" spans="1:3" ht="15.75" x14ac:dyDescent="0.25">
      <c r="A256">
        <v>131918</v>
      </c>
      <c r="B256" t="s">
        <v>180</v>
      </c>
      <c r="C256">
        <v>0</v>
      </c>
    </row>
    <row r="257" spans="1:3" ht="15.75" x14ac:dyDescent="0.25">
      <c r="A257">
        <v>131919</v>
      </c>
      <c r="B257" t="s">
        <v>181</v>
      </c>
      <c r="C257">
        <v>0</v>
      </c>
    </row>
    <row r="258" spans="1:3" ht="15.75" x14ac:dyDescent="0.25">
      <c r="A258">
        <v>131920</v>
      </c>
      <c r="B258" t="s">
        <v>182</v>
      </c>
      <c r="C258">
        <v>0</v>
      </c>
    </row>
    <row r="259" spans="1:3" ht="15.75" x14ac:dyDescent="0.25">
      <c r="A259">
        <v>131921</v>
      </c>
      <c r="B259" t="s">
        <v>183</v>
      </c>
      <c r="C259">
        <v>0</v>
      </c>
    </row>
    <row r="260" spans="1:3" ht="15.75" x14ac:dyDescent="0.25">
      <c r="A260">
        <v>131922</v>
      </c>
      <c r="B260" t="s">
        <v>184</v>
      </c>
      <c r="C260">
        <v>0</v>
      </c>
    </row>
    <row r="261" spans="1:3" ht="15.75" x14ac:dyDescent="0.25">
      <c r="A261">
        <v>131923</v>
      </c>
      <c r="B261" t="s">
        <v>185</v>
      </c>
      <c r="C261">
        <v>0</v>
      </c>
    </row>
    <row r="262" spans="1:3" ht="15.75" x14ac:dyDescent="0.25">
      <c r="A262">
        <v>131924</v>
      </c>
      <c r="B262" t="s">
        <v>186</v>
      </c>
      <c r="C262">
        <v>0</v>
      </c>
    </row>
    <row r="263" spans="1:3" ht="15.75" x14ac:dyDescent="0.25">
      <c r="A263">
        <v>131925</v>
      </c>
      <c r="B263" t="s">
        <v>187</v>
      </c>
      <c r="C263">
        <v>0</v>
      </c>
    </row>
    <row r="264" spans="1:3" ht="15.75" x14ac:dyDescent="0.25">
      <c r="A264">
        <v>131926</v>
      </c>
      <c r="B264" t="s">
        <v>188</v>
      </c>
      <c r="C264">
        <v>0</v>
      </c>
    </row>
    <row r="265" spans="1:3" ht="15.75" x14ac:dyDescent="0.25">
      <c r="A265">
        <v>131927</v>
      </c>
      <c r="B265" t="s">
        <v>189</v>
      </c>
      <c r="C265">
        <v>0</v>
      </c>
    </row>
    <row r="266" spans="1:3" ht="15.75" x14ac:dyDescent="0.25">
      <c r="A266">
        <v>131928</v>
      </c>
      <c r="B266" t="s">
        <v>190</v>
      </c>
      <c r="C266">
        <v>0</v>
      </c>
    </row>
    <row r="267" spans="1:3" ht="15.75" x14ac:dyDescent="0.25">
      <c r="A267">
        <v>131929</v>
      </c>
      <c r="B267" t="s">
        <v>191</v>
      </c>
      <c r="C267">
        <v>0</v>
      </c>
    </row>
    <row r="268" spans="1:3" ht="15.75" x14ac:dyDescent="0.25">
      <c r="A268">
        <v>131930</v>
      </c>
      <c r="B268" t="s">
        <v>192</v>
      </c>
      <c r="C268">
        <v>0</v>
      </c>
    </row>
    <row r="269" spans="1:3" ht="15.75" x14ac:dyDescent="0.25">
      <c r="A269">
        <v>131980</v>
      </c>
      <c r="B269" t="s">
        <v>193</v>
      </c>
      <c r="C269">
        <v>0</v>
      </c>
    </row>
    <row r="270" spans="1:3" ht="15.75" x14ac:dyDescent="0.25">
      <c r="A270">
        <v>131990</v>
      </c>
      <c r="B270" t="s">
        <v>194</v>
      </c>
      <c r="C270">
        <v>0</v>
      </c>
    </row>
    <row r="271" spans="1:3" ht="15.75" x14ac:dyDescent="0.25">
      <c r="A271">
        <v>1322</v>
      </c>
      <c r="B271" t="s">
        <v>195</v>
      </c>
      <c r="C271">
        <f>SUM(C272:C295)</f>
        <v>0</v>
      </c>
    </row>
    <row r="272" spans="1:3" ht="15.75" x14ac:dyDescent="0.25">
      <c r="A272">
        <v>132201</v>
      </c>
      <c r="B272" t="s">
        <v>196</v>
      </c>
      <c r="C272">
        <v>0</v>
      </c>
    </row>
    <row r="273" spans="1:3" ht="15.75" x14ac:dyDescent="0.25">
      <c r="A273">
        <v>132202</v>
      </c>
      <c r="B273" t="s">
        <v>197</v>
      </c>
      <c r="C273">
        <v>0</v>
      </c>
    </row>
    <row r="274" spans="1:3" ht="15.75" x14ac:dyDescent="0.25">
      <c r="A274">
        <v>132203</v>
      </c>
      <c r="B274" t="s">
        <v>198</v>
      </c>
      <c r="C274">
        <v>0</v>
      </c>
    </row>
    <row r="275" spans="1:3" ht="15.75" x14ac:dyDescent="0.25">
      <c r="A275">
        <v>132204</v>
      </c>
      <c r="B275" t="s">
        <v>199</v>
      </c>
      <c r="C275">
        <v>0</v>
      </c>
    </row>
    <row r="276" spans="1:3" ht="15.75" x14ac:dyDescent="0.25">
      <c r="A276">
        <v>132205</v>
      </c>
      <c r="B276" t="s">
        <v>200</v>
      </c>
      <c r="C276">
        <v>0</v>
      </c>
    </row>
    <row r="277" spans="1:3" ht="15.75" x14ac:dyDescent="0.25">
      <c r="A277">
        <v>132206</v>
      </c>
      <c r="B277" t="s">
        <v>201</v>
      </c>
      <c r="C277">
        <v>0</v>
      </c>
    </row>
    <row r="278" spans="1:3" ht="15.75" x14ac:dyDescent="0.25">
      <c r="A278">
        <v>132207</v>
      </c>
      <c r="B278" t="s">
        <v>202</v>
      </c>
      <c r="C278">
        <v>0</v>
      </c>
    </row>
    <row r="279" spans="1:3" ht="15.75" x14ac:dyDescent="0.25">
      <c r="A279">
        <v>132208</v>
      </c>
      <c r="B279" t="s">
        <v>203</v>
      </c>
      <c r="C279">
        <v>0</v>
      </c>
    </row>
    <row r="280" spans="1:3" ht="15.75" x14ac:dyDescent="0.25">
      <c r="A280">
        <v>132209</v>
      </c>
      <c r="B280" t="s">
        <v>204</v>
      </c>
      <c r="C280">
        <v>0</v>
      </c>
    </row>
    <row r="281" spans="1:3" ht="15.75" x14ac:dyDescent="0.25">
      <c r="A281">
        <v>132210</v>
      </c>
      <c r="B281" t="s">
        <v>205</v>
      </c>
      <c r="C281">
        <v>0</v>
      </c>
    </row>
    <row r="282" spans="1:3" ht="15.75" x14ac:dyDescent="0.25">
      <c r="A282">
        <v>132211</v>
      </c>
      <c r="B282" t="s">
        <v>206</v>
      </c>
      <c r="C282">
        <v>0</v>
      </c>
    </row>
    <row r="283" spans="1:3" ht="15.75" x14ac:dyDescent="0.25">
      <c r="A283">
        <v>132212</v>
      </c>
      <c r="B283" t="s">
        <v>207</v>
      </c>
      <c r="C283">
        <v>0</v>
      </c>
    </row>
    <row r="284" spans="1:3" ht="15.75" x14ac:dyDescent="0.25">
      <c r="A284">
        <v>132213</v>
      </c>
      <c r="B284" t="s">
        <v>208</v>
      </c>
      <c r="C284">
        <v>0</v>
      </c>
    </row>
    <row r="285" spans="1:3" ht="15.75" x14ac:dyDescent="0.25">
      <c r="A285">
        <v>132214</v>
      </c>
      <c r="B285" t="s">
        <v>209</v>
      </c>
      <c r="C285">
        <v>0</v>
      </c>
    </row>
    <row r="286" spans="1:3" ht="15.75" x14ac:dyDescent="0.25">
      <c r="A286">
        <v>132215</v>
      </c>
      <c r="B286" t="s">
        <v>210</v>
      </c>
      <c r="C286">
        <v>0</v>
      </c>
    </row>
    <row r="287" spans="1:3" ht="15.75" x14ac:dyDescent="0.25">
      <c r="A287">
        <v>132216</v>
      </c>
      <c r="B287" t="s">
        <v>211</v>
      </c>
      <c r="C287">
        <v>0</v>
      </c>
    </row>
    <row r="288" spans="1:3" ht="15.75" x14ac:dyDescent="0.25">
      <c r="A288">
        <v>132217</v>
      </c>
      <c r="B288" t="s">
        <v>212</v>
      </c>
      <c r="C288">
        <v>0</v>
      </c>
    </row>
    <row r="289" spans="1:3" ht="15.75" x14ac:dyDescent="0.25">
      <c r="A289">
        <v>132218</v>
      </c>
      <c r="B289" t="s">
        <v>213</v>
      </c>
      <c r="C289">
        <v>0</v>
      </c>
    </row>
    <row r="290" spans="1:3" ht="15.75" x14ac:dyDescent="0.25">
      <c r="A290">
        <v>132219</v>
      </c>
      <c r="B290" t="s">
        <v>214</v>
      </c>
      <c r="C290">
        <v>0</v>
      </c>
    </row>
    <row r="291" spans="1:3" ht="15.75" x14ac:dyDescent="0.25">
      <c r="A291">
        <v>132220</v>
      </c>
      <c r="B291" t="s">
        <v>215</v>
      </c>
      <c r="C291">
        <v>0</v>
      </c>
    </row>
    <row r="292" spans="1:3" ht="15.75" x14ac:dyDescent="0.25">
      <c r="A292">
        <v>132222</v>
      </c>
      <c r="B292" t="s">
        <v>216</v>
      </c>
      <c r="C292">
        <v>0</v>
      </c>
    </row>
    <row r="293" spans="1:3" ht="15.75" x14ac:dyDescent="0.25">
      <c r="A293">
        <v>132223</v>
      </c>
      <c r="B293" t="s">
        <v>217</v>
      </c>
      <c r="C293">
        <v>0</v>
      </c>
    </row>
    <row r="294" spans="1:3" ht="15.75" x14ac:dyDescent="0.25">
      <c r="A294">
        <v>132281</v>
      </c>
      <c r="B294" t="s">
        <v>218</v>
      </c>
      <c r="C294">
        <v>0</v>
      </c>
    </row>
    <row r="295" spans="1:3" ht="15.75" x14ac:dyDescent="0.25">
      <c r="A295">
        <v>132290</v>
      </c>
      <c r="B295" t="s">
        <v>219</v>
      </c>
      <c r="C295">
        <v>0</v>
      </c>
    </row>
    <row r="296" spans="1:3" ht="15.75" x14ac:dyDescent="0.25">
      <c r="A296">
        <v>1324</v>
      </c>
      <c r="B296" t="s">
        <v>220</v>
      </c>
      <c r="C296">
        <f>SUM(C297:C299)</f>
        <v>0</v>
      </c>
    </row>
    <row r="297" spans="1:3" ht="15.75" x14ac:dyDescent="0.25">
      <c r="A297">
        <v>132415</v>
      </c>
      <c r="B297" t="s">
        <v>221</v>
      </c>
      <c r="C297">
        <v>0</v>
      </c>
    </row>
    <row r="298" spans="1:3" ht="15.75" x14ac:dyDescent="0.25">
      <c r="A298">
        <v>132416</v>
      </c>
      <c r="B298" t="s">
        <v>222</v>
      </c>
      <c r="C298">
        <v>0</v>
      </c>
    </row>
    <row r="299" spans="1:3" ht="15.75" x14ac:dyDescent="0.25">
      <c r="A299">
        <v>132495</v>
      </c>
      <c r="B299" t="s">
        <v>223</v>
      </c>
      <c r="C299">
        <v>0</v>
      </c>
    </row>
    <row r="300" spans="1:3" ht="15.75" x14ac:dyDescent="0.25">
      <c r="A300">
        <v>1333</v>
      </c>
      <c r="B300" t="s">
        <v>224</v>
      </c>
      <c r="C300">
        <f>SUM(C301)</f>
        <v>0</v>
      </c>
    </row>
    <row r="301" spans="1:3" ht="15.75" x14ac:dyDescent="0.25">
      <c r="A301">
        <v>133301</v>
      </c>
      <c r="B301" t="s">
        <v>225</v>
      </c>
      <c r="C301">
        <v>0</v>
      </c>
    </row>
    <row r="302" spans="1:3" ht="15.75" x14ac:dyDescent="0.25">
      <c r="A302">
        <v>1384</v>
      </c>
      <c r="B302" t="s">
        <v>226</v>
      </c>
      <c r="C302">
        <v>55816462</v>
      </c>
    </row>
    <row r="303" spans="1:3" ht="15.75" x14ac:dyDescent="0.25">
      <c r="A303">
        <v>138401</v>
      </c>
      <c r="B303" t="s">
        <v>227</v>
      </c>
      <c r="C303">
        <v>0</v>
      </c>
    </row>
    <row r="304" spans="1:3" ht="15.75" x14ac:dyDescent="0.25">
      <c r="A304">
        <v>138403</v>
      </c>
      <c r="B304" t="s">
        <v>228</v>
      </c>
      <c r="C304">
        <v>0</v>
      </c>
    </row>
    <row r="305" spans="1:3" ht="15.75" x14ac:dyDescent="0.25">
      <c r="A305">
        <v>138404</v>
      </c>
      <c r="B305" t="s">
        <v>229</v>
      </c>
      <c r="C305">
        <v>0</v>
      </c>
    </row>
    <row r="306" spans="1:3" ht="15.75" x14ac:dyDescent="0.25">
      <c r="A306">
        <v>138405</v>
      </c>
      <c r="B306" t="s">
        <v>230</v>
      </c>
      <c r="C306">
        <v>0</v>
      </c>
    </row>
    <row r="307" spans="1:3" ht="15.75" x14ac:dyDescent="0.25">
      <c r="A307">
        <v>138406</v>
      </c>
      <c r="B307" t="s">
        <v>231</v>
      </c>
      <c r="C307">
        <v>0</v>
      </c>
    </row>
    <row r="308" spans="1:3" ht="15.75" x14ac:dyDescent="0.25">
      <c r="A308">
        <v>138407</v>
      </c>
      <c r="B308" t="s">
        <v>232</v>
      </c>
      <c r="C308">
        <v>0</v>
      </c>
    </row>
    <row r="309" spans="1:3" ht="15.75" x14ac:dyDescent="0.25">
      <c r="A309">
        <v>138408</v>
      </c>
      <c r="B309" t="s">
        <v>233</v>
      </c>
      <c r="C309">
        <v>0</v>
      </c>
    </row>
    <row r="310" spans="1:3" ht="15.75" x14ac:dyDescent="0.25">
      <c r="A310">
        <v>138409</v>
      </c>
      <c r="B310" t="s">
        <v>234</v>
      </c>
      <c r="C310">
        <v>0</v>
      </c>
    </row>
    <row r="311" spans="1:3" ht="15.75" x14ac:dyDescent="0.25">
      <c r="A311">
        <v>138410</v>
      </c>
      <c r="B311" t="s">
        <v>235</v>
      </c>
      <c r="C311">
        <v>0</v>
      </c>
    </row>
    <row r="312" spans="1:3" ht="15.75" x14ac:dyDescent="0.25">
      <c r="A312">
        <v>138411</v>
      </c>
      <c r="B312" t="s">
        <v>236</v>
      </c>
      <c r="C312">
        <v>0</v>
      </c>
    </row>
    <row r="313" spans="1:3" ht="15.75" x14ac:dyDescent="0.25">
      <c r="A313">
        <v>138412</v>
      </c>
      <c r="B313" t="s">
        <v>237</v>
      </c>
      <c r="C313">
        <v>0</v>
      </c>
    </row>
    <row r="314" spans="1:3" ht="15.75" x14ac:dyDescent="0.25">
      <c r="A314">
        <v>138414</v>
      </c>
      <c r="B314" t="s">
        <v>238</v>
      </c>
      <c r="C314">
        <v>0</v>
      </c>
    </row>
    <row r="315" spans="1:3" ht="15.75" x14ac:dyDescent="0.25">
      <c r="A315">
        <v>138416</v>
      </c>
      <c r="B315" t="s">
        <v>239</v>
      </c>
      <c r="C315">
        <v>0</v>
      </c>
    </row>
    <row r="316" spans="1:3" ht="15.75" x14ac:dyDescent="0.25">
      <c r="A316">
        <v>138417</v>
      </c>
      <c r="B316" t="s">
        <v>240</v>
      </c>
      <c r="C316">
        <v>0</v>
      </c>
    </row>
    <row r="317" spans="1:3" ht="15.75" x14ac:dyDescent="0.25">
      <c r="A317">
        <v>138420</v>
      </c>
      <c r="B317" t="s">
        <v>241</v>
      </c>
      <c r="C317">
        <v>0</v>
      </c>
    </row>
    <row r="318" spans="1:3" ht="15.75" x14ac:dyDescent="0.25">
      <c r="A318">
        <v>138421</v>
      </c>
      <c r="B318" t="s">
        <v>242</v>
      </c>
      <c r="C318">
        <v>0</v>
      </c>
    </row>
    <row r="319" spans="1:3" ht="15.75" x14ac:dyDescent="0.25">
      <c r="A319">
        <v>138422</v>
      </c>
      <c r="B319" t="s">
        <v>243</v>
      </c>
      <c r="C319">
        <v>0</v>
      </c>
    </row>
    <row r="320" spans="1:3" ht="15.75" x14ac:dyDescent="0.25">
      <c r="A320">
        <v>138423</v>
      </c>
      <c r="B320" t="s">
        <v>244</v>
      </c>
      <c r="C320">
        <v>0</v>
      </c>
    </row>
    <row r="321" spans="1:3" ht="15.75" x14ac:dyDescent="0.25">
      <c r="A321">
        <v>138424</v>
      </c>
      <c r="B321" t="s">
        <v>245</v>
      </c>
      <c r="C321">
        <v>0</v>
      </c>
    </row>
    <row r="322" spans="1:3" ht="15.75" x14ac:dyDescent="0.25">
      <c r="A322">
        <v>138425</v>
      </c>
      <c r="B322" t="s">
        <v>246</v>
      </c>
      <c r="C322">
        <v>0</v>
      </c>
    </row>
    <row r="323" spans="1:3" ht="15.75" x14ac:dyDescent="0.25">
      <c r="A323">
        <v>138426</v>
      </c>
      <c r="B323" t="s">
        <v>247</v>
      </c>
      <c r="C323">
        <v>0</v>
      </c>
    </row>
    <row r="324" spans="1:3" ht="15.75" x14ac:dyDescent="0.25">
      <c r="A324">
        <v>138427</v>
      </c>
      <c r="B324" t="s">
        <v>248</v>
      </c>
      <c r="C324">
        <v>0</v>
      </c>
    </row>
    <row r="325" spans="1:3" ht="15.75" x14ac:dyDescent="0.25">
      <c r="A325">
        <v>138431</v>
      </c>
      <c r="B325" t="s">
        <v>249</v>
      </c>
      <c r="C325">
        <v>0</v>
      </c>
    </row>
    <row r="326" spans="1:3" ht="15.75" x14ac:dyDescent="0.25">
      <c r="A326">
        <v>138432</v>
      </c>
      <c r="B326" t="s">
        <v>250</v>
      </c>
      <c r="C326">
        <v>0</v>
      </c>
    </row>
    <row r="327" spans="1:3" ht="15.75" x14ac:dyDescent="0.25">
      <c r="A327">
        <v>138435</v>
      </c>
      <c r="B327" t="s">
        <v>251</v>
      </c>
      <c r="C327">
        <v>0</v>
      </c>
    </row>
    <row r="328" spans="1:3" ht="15.75" x14ac:dyDescent="0.25">
      <c r="A328">
        <v>138436</v>
      </c>
      <c r="B328" t="s">
        <v>252</v>
      </c>
      <c r="C328">
        <v>0</v>
      </c>
    </row>
    <row r="329" spans="1:3" ht="15.75" x14ac:dyDescent="0.25">
      <c r="A329">
        <v>138437</v>
      </c>
      <c r="B329" t="s">
        <v>253</v>
      </c>
      <c r="C329">
        <v>0</v>
      </c>
    </row>
    <row r="330" spans="1:3" ht="15.75" x14ac:dyDescent="0.25">
      <c r="A330">
        <v>138438</v>
      </c>
      <c r="B330" t="s">
        <v>254</v>
      </c>
      <c r="C330">
        <v>0</v>
      </c>
    </row>
    <row r="331" spans="1:3" ht="15.75" x14ac:dyDescent="0.25">
      <c r="A331">
        <v>138439</v>
      </c>
      <c r="B331" t="s">
        <v>255</v>
      </c>
      <c r="C331">
        <v>0</v>
      </c>
    </row>
    <row r="332" spans="1:3" ht="15.75" x14ac:dyDescent="0.25">
      <c r="A332">
        <v>138445</v>
      </c>
      <c r="B332" t="s">
        <v>256</v>
      </c>
      <c r="C332">
        <v>0</v>
      </c>
    </row>
    <row r="333" spans="1:3" ht="15.75" x14ac:dyDescent="0.25">
      <c r="A333">
        <v>138490</v>
      </c>
      <c r="B333" t="s">
        <v>257</v>
      </c>
      <c r="C333">
        <v>55816462</v>
      </c>
    </row>
    <row r="334" spans="1:3" ht="15.75" x14ac:dyDescent="0.25">
      <c r="A334">
        <v>1385</v>
      </c>
      <c r="B334" t="s">
        <v>258</v>
      </c>
      <c r="C334">
        <f>SUM(C335:C346)</f>
        <v>0</v>
      </c>
    </row>
    <row r="335" spans="1:3" ht="15.75" x14ac:dyDescent="0.25">
      <c r="A335">
        <v>138501</v>
      </c>
      <c r="B335" t="s">
        <v>259</v>
      </c>
      <c r="C335">
        <v>0</v>
      </c>
    </row>
    <row r="336" spans="1:3" ht="15.75" x14ac:dyDescent="0.25">
      <c r="A336">
        <v>138502</v>
      </c>
      <c r="B336" t="s">
        <v>260</v>
      </c>
      <c r="C336">
        <v>0</v>
      </c>
    </row>
    <row r="337" spans="1:3" ht="15.75" x14ac:dyDescent="0.25">
      <c r="A337">
        <v>138503</v>
      </c>
      <c r="B337" t="s">
        <v>150</v>
      </c>
      <c r="C337">
        <v>0</v>
      </c>
    </row>
    <row r="338" spans="1:3" ht="15.75" x14ac:dyDescent="0.25">
      <c r="A338">
        <v>138504</v>
      </c>
      <c r="B338" t="s">
        <v>151</v>
      </c>
      <c r="C338">
        <v>0</v>
      </c>
    </row>
    <row r="339" spans="1:3" ht="15.75" x14ac:dyDescent="0.25">
      <c r="A339">
        <v>138505</v>
      </c>
      <c r="B339" t="s">
        <v>152</v>
      </c>
      <c r="C339">
        <v>0</v>
      </c>
    </row>
    <row r="340" spans="1:3" ht="15.75" x14ac:dyDescent="0.25">
      <c r="A340">
        <v>138506</v>
      </c>
      <c r="B340" t="s">
        <v>153</v>
      </c>
      <c r="C340">
        <v>0</v>
      </c>
    </row>
    <row r="341" spans="1:3" ht="15.75" x14ac:dyDescent="0.25">
      <c r="A341">
        <v>138507</v>
      </c>
      <c r="B341" t="s">
        <v>154</v>
      </c>
      <c r="C341">
        <v>0</v>
      </c>
    </row>
    <row r="342" spans="1:3" ht="15.75" x14ac:dyDescent="0.25">
      <c r="A342">
        <v>138508</v>
      </c>
      <c r="B342" t="s">
        <v>155</v>
      </c>
      <c r="C342">
        <v>0</v>
      </c>
    </row>
    <row r="343" spans="1:3" ht="15.75" x14ac:dyDescent="0.25">
      <c r="A343">
        <v>138509</v>
      </c>
      <c r="B343" t="s">
        <v>261</v>
      </c>
      <c r="C343">
        <v>0</v>
      </c>
    </row>
    <row r="344" spans="1:3" ht="15.75" x14ac:dyDescent="0.25">
      <c r="A344">
        <v>138510</v>
      </c>
      <c r="B344" t="s">
        <v>262</v>
      </c>
      <c r="C344">
        <v>0</v>
      </c>
    </row>
    <row r="345" spans="1:3" ht="15.75" x14ac:dyDescent="0.25">
      <c r="A345">
        <v>138515</v>
      </c>
      <c r="B345" t="s">
        <v>263</v>
      </c>
      <c r="C345">
        <v>0</v>
      </c>
    </row>
    <row r="346" spans="1:3" ht="15.75" x14ac:dyDescent="0.25">
      <c r="A346">
        <v>138590</v>
      </c>
      <c r="B346" t="s">
        <v>264</v>
      </c>
      <c r="C346">
        <v>0</v>
      </c>
    </row>
    <row r="347" spans="1:3" ht="15.75" x14ac:dyDescent="0.25">
      <c r="A347">
        <v>1386</v>
      </c>
      <c r="B347" t="s">
        <v>265</v>
      </c>
      <c r="C347">
        <f>SUM(C348:C359)</f>
        <v>0</v>
      </c>
    </row>
    <row r="348" spans="1:3" ht="15.75" x14ac:dyDescent="0.25">
      <c r="A348">
        <v>138601</v>
      </c>
      <c r="B348" t="s">
        <v>259</v>
      </c>
      <c r="C348">
        <v>0</v>
      </c>
    </row>
    <row r="349" spans="1:3" ht="15.75" x14ac:dyDescent="0.25">
      <c r="A349">
        <v>138602</v>
      </c>
      <c r="B349" t="s">
        <v>260</v>
      </c>
      <c r="C349">
        <v>0</v>
      </c>
    </row>
    <row r="350" spans="1:3" ht="15.75" x14ac:dyDescent="0.25">
      <c r="A350">
        <v>138603</v>
      </c>
      <c r="B350" t="s">
        <v>150</v>
      </c>
      <c r="C350">
        <v>0</v>
      </c>
    </row>
    <row r="351" spans="1:3" ht="15.75" x14ac:dyDescent="0.25">
      <c r="A351">
        <v>138604</v>
      </c>
      <c r="B351" t="s">
        <v>151</v>
      </c>
      <c r="C351">
        <v>0</v>
      </c>
    </row>
    <row r="352" spans="1:3" ht="15.75" x14ac:dyDescent="0.25">
      <c r="A352">
        <v>138605</v>
      </c>
      <c r="B352" t="s">
        <v>152</v>
      </c>
      <c r="C352">
        <v>0</v>
      </c>
    </row>
    <row r="353" spans="1:3" ht="15.75" x14ac:dyDescent="0.25">
      <c r="A353">
        <v>138606</v>
      </c>
      <c r="B353" t="s">
        <v>153</v>
      </c>
      <c r="C353">
        <v>0</v>
      </c>
    </row>
    <row r="354" spans="1:3" ht="15.75" x14ac:dyDescent="0.25">
      <c r="A354">
        <v>138607</v>
      </c>
      <c r="B354" t="s">
        <v>154</v>
      </c>
      <c r="C354">
        <v>0</v>
      </c>
    </row>
    <row r="355" spans="1:3" ht="15.75" x14ac:dyDescent="0.25">
      <c r="A355">
        <v>138608</v>
      </c>
      <c r="B355" t="s">
        <v>155</v>
      </c>
      <c r="C355">
        <v>0</v>
      </c>
    </row>
    <row r="356" spans="1:3" ht="15.75" x14ac:dyDescent="0.25">
      <c r="A356">
        <v>138609</v>
      </c>
      <c r="B356" t="s">
        <v>261</v>
      </c>
      <c r="C356">
        <v>0</v>
      </c>
    </row>
    <row r="357" spans="1:3" ht="15.75" x14ac:dyDescent="0.25">
      <c r="A357">
        <v>138610</v>
      </c>
      <c r="B357" t="s">
        <v>262</v>
      </c>
      <c r="C357">
        <v>0</v>
      </c>
    </row>
    <row r="358" spans="1:3" ht="15.75" x14ac:dyDescent="0.25">
      <c r="A358">
        <v>138614</v>
      </c>
      <c r="B358" t="s">
        <v>266</v>
      </c>
      <c r="C358">
        <v>0</v>
      </c>
    </row>
    <row r="359" spans="1:3" ht="15.75" x14ac:dyDescent="0.25">
      <c r="A359">
        <v>138690</v>
      </c>
      <c r="B359" t="s">
        <v>257</v>
      </c>
      <c r="C359">
        <v>0</v>
      </c>
    </row>
    <row r="360" spans="1:3" ht="15.75" x14ac:dyDescent="0.25">
      <c r="A360">
        <v>1387</v>
      </c>
      <c r="B360" t="s">
        <v>267</v>
      </c>
      <c r="C360">
        <f>SUM(C361:C370)</f>
        <v>0</v>
      </c>
    </row>
    <row r="361" spans="1:3" ht="15.75" x14ac:dyDescent="0.25">
      <c r="A361">
        <v>138701</v>
      </c>
      <c r="B361" t="s">
        <v>259</v>
      </c>
      <c r="C361">
        <v>0</v>
      </c>
    </row>
    <row r="362" spans="1:3" ht="15.75" x14ac:dyDescent="0.25">
      <c r="A362">
        <v>138702</v>
      </c>
      <c r="B362" t="s">
        <v>260</v>
      </c>
      <c r="C362">
        <v>0</v>
      </c>
    </row>
    <row r="363" spans="1:3" ht="15.75" x14ac:dyDescent="0.25">
      <c r="A363">
        <v>138703</v>
      </c>
      <c r="B363" t="s">
        <v>150</v>
      </c>
      <c r="C363">
        <v>0</v>
      </c>
    </row>
    <row r="364" spans="1:3" ht="15.75" x14ac:dyDescent="0.25">
      <c r="A364">
        <v>138704</v>
      </c>
      <c r="B364" t="s">
        <v>151</v>
      </c>
      <c r="C364">
        <v>0</v>
      </c>
    </row>
    <row r="365" spans="1:3" ht="15.75" x14ac:dyDescent="0.25">
      <c r="A365">
        <v>138705</v>
      </c>
      <c r="B365" t="s">
        <v>152</v>
      </c>
      <c r="C365">
        <v>0</v>
      </c>
    </row>
    <row r="366" spans="1:3" ht="15.75" x14ac:dyDescent="0.25">
      <c r="A366">
        <v>138706</v>
      </c>
      <c r="B366" t="s">
        <v>153</v>
      </c>
      <c r="C366">
        <v>0</v>
      </c>
    </row>
    <row r="367" spans="1:3" ht="15.75" x14ac:dyDescent="0.25">
      <c r="A367">
        <v>138707</v>
      </c>
      <c r="B367" t="s">
        <v>154</v>
      </c>
      <c r="C367">
        <v>0</v>
      </c>
    </row>
    <row r="368" spans="1:3" ht="15.75" x14ac:dyDescent="0.25">
      <c r="A368">
        <v>138708</v>
      </c>
      <c r="B368" t="s">
        <v>155</v>
      </c>
      <c r="C368">
        <v>0</v>
      </c>
    </row>
    <row r="369" spans="1:3" ht="15.75" x14ac:dyDescent="0.25">
      <c r="A369">
        <v>138709</v>
      </c>
      <c r="B369" t="s">
        <v>261</v>
      </c>
      <c r="C369">
        <v>0</v>
      </c>
    </row>
    <row r="370" spans="1:3" ht="15.75" x14ac:dyDescent="0.25">
      <c r="A370">
        <v>138790</v>
      </c>
      <c r="B370" t="s">
        <v>268</v>
      </c>
      <c r="C370">
        <v>0</v>
      </c>
    </row>
    <row r="371" spans="1:3" ht="15.75" x14ac:dyDescent="0.25">
      <c r="A371">
        <v>1388</v>
      </c>
      <c r="B371" t="s">
        <v>269</v>
      </c>
      <c r="C371">
        <f>SUM(C372:C381)</f>
        <v>0</v>
      </c>
    </row>
    <row r="372" spans="1:3" ht="15.75" x14ac:dyDescent="0.25">
      <c r="A372">
        <v>138801</v>
      </c>
      <c r="B372" t="s">
        <v>259</v>
      </c>
      <c r="C372">
        <v>0</v>
      </c>
    </row>
    <row r="373" spans="1:3" ht="15.75" x14ac:dyDescent="0.25">
      <c r="A373">
        <v>138802</v>
      </c>
      <c r="B373" t="s">
        <v>260</v>
      </c>
      <c r="C373">
        <v>0</v>
      </c>
    </row>
    <row r="374" spans="1:3" ht="15.75" x14ac:dyDescent="0.25">
      <c r="A374">
        <v>138803</v>
      </c>
      <c r="B374" t="s">
        <v>150</v>
      </c>
      <c r="C374">
        <v>0</v>
      </c>
    </row>
    <row r="375" spans="1:3" ht="15.75" x14ac:dyDescent="0.25">
      <c r="A375">
        <v>138804</v>
      </c>
      <c r="B375" t="s">
        <v>151</v>
      </c>
      <c r="C375">
        <v>0</v>
      </c>
    </row>
    <row r="376" spans="1:3" ht="15.75" x14ac:dyDescent="0.25">
      <c r="A376">
        <v>138805</v>
      </c>
      <c r="B376" t="s">
        <v>152</v>
      </c>
      <c r="C376">
        <v>0</v>
      </c>
    </row>
    <row r="377" spans="1:3" ht="15.75" x14ac:dyDescent="0.25">
      <c r="A377">
        <v>138806</v>
      </c>
      <c r="B377" t="s">
        <v>153</v>
      </c>
      <c r="C377">
        <v>0</v>
      </c>
    </row>
    <row r="378" spans="1:3" ht="15.75" x14ac:dyDescent="0.25">
      <c r="A378">
        <v>138807</v>
      </c>
      <c r="B378" t="s">
        <v>154</v>
      </c>
      <c r="C378">
        <v>0</v>
      </c>
    </row>
    <row r="379" spans="1:3" ht="15.75" x14ac:dyDescent="0.25">
      <c r="A379">
        <v>138808</v>
      </c>
      <c r="B379" t="s">
        <v>155</v>
      </c>
      <c r="C379">
        <v>0</v>
      </c>
    </row>
    <row r="380" spans="1:3" ht="15.75" x14ac:dyDescent="0.25">
      <c r="A380">
        <v>138809</v>
      </c>
      <c r="B380" t="s">
        <v>261</v>
      </c>
      <c r="C380">
        <v>0</v>
      </c>
    </row>
    <row r="381" spans="1:3" ht="15.75" x14ac:dyDescent="0.25">
      <c r="A381">
        <v>138890</v>
      </c>
      <c r="B381" t="s">
        <v>268</v>
      </c>
      <c r="C381">
        <v>0</v>
      </c>
    </row>
    <row r="382" spans="1:3" ht="15.75" x14ac:dyDescent="0.25">
      <c r="A382">
        <v>14</v>
      </c>
      <c r="B382" t="s">
        <v>270</v>
      </c>
      <c r="C382">
        <f>SUM(C383,C397,C399,C401)</f>
        <v>0</v>
      </c>
    </row>
    <row r="383" spans="1:3" ht="15.75" x14ac:dyDescent="0.25">
      <c r="A383">
        <v>1415</v>
      </c>
      <c r="B383" t="s">
        <v>271</v>
      </c>
      <c r="C383">
        <f>SUM(C384:C396)</f>
        <v>0</v>
      </c>
    </row>
    <row r="384" spans="1:3" ht="15.75" x14ac:dyDescent="0.25">
      <c r="A384">
        <v>141507</v>
      </c>
      <c r="B384" t="s">
        <v>272</v>
      </c>
      <c r="C384">
        <v>0</v>
      </c>
    </row>
    <row r="385" spans="1:3" ht="15.75" x14ac:dyDescent="0.25">
      <c r="A385">
        <v>141509</v>
      </c>
      <c r="B385" t="s">
        <v>273</v>
      </c>
      <c r="C385">
        <v>0</v>
      </c>
    </row>
    <row r="386" spans="1:3" ht="15.75" x14ac:dyDescent="0.25">
      <c r="A386">
        <v>141510</v>
      </c>
      <c r="B386" t="s">
        <v>274</v>
      </c>
      <c r="C386">
        <v>0</v>
      </c>
    </row>
    <row r="387" spans="1:3" ht="15.75" x14ac:dyDescent="0.25">
      <c r="A387">
        <v>141520</v>
      </c>
      <c r="B387" t="s">
        <v>275</v>
      </c>
      <c r="C387">
        <v>0</v>
      </c>
    </row>
    <row r="388" spans="1:3" ht="15.75" x14ac:dyDescent="0.25">
      <c r="A388">
        <v>141521</v>
      </c>
      <c r="B388" t="s">
        <v>276</v>
      </c>
      <c r="C388">
        <v>0</v>
      </c>
    </row>
    <row r="389" spans="1:3" ht="15.75" x14ac:dyDescent="0.25">
      <c r="A389">
        <v>141522</v>
      </c>
      <c r="B389" t="s">
        <v>277</v>
      </c>
      <c r="C389">
        <v>0</v>
      </c>
    </row>
    <row r="390" spans="1:3" ht="15.75" x14ac:dyDescent="0.25">
      <c r="A390">
        <v>141523</v>
      </c>
      <c r="B390" t="s">
        <v>278</v>
      </c>
      <c r="C390">
        <v>0</v>
      </c>
    </row>
    <row r="391" spans="1:3" ht="15.75" x14ac:dyDescent="0.25">
      <c r="A391">
        <v>141524</v>
      </c>
      <c r="B391" t="s">
        <v>279</v>
      </c>
      <c r="C391">
        <v>0</v>
      </c>
    </row>
    <row r="392" spans="1:3" ht="15.75" x14ac:dyDescent="0.25">
      <c r="A392">
        <v>141525</v>
      </c>
      <c r="B392" t="s">
        <v>280</v>
      </c>
      <c r="C392">
        <v>0</v>
      </c>
    </row>
    <row r="393" spans="1:3" ht="15.75" x14ac:dyDescent="0.25">
      <c r="A393">
        <v>141526</v>
      </c>
      <c r="B393" t="s">
        <v>281</v>
      </c>
      <c r="C393">
        <v>0</v>
      </c>
    </row>
    <row r="394" spans="1:3" ht="15.75" x14ac:dyDescent="0.25">
      <c r="A394">
        <v>141529</v>
      </c>
      <c r="B394" t="s">
        <v>282</v>
      </c>
      <c r="C394">
        <v>0</v>
      </c>
    </row>
    <row r="395" spans="1:3" ht="15.75" x14ac:dyDescent="0.25">
      <c r="A395">
        <v>141530</v>
      </c>
      <c r="B395" t="s">
        <v>283</v>
      </c>
      <c r="C395">
        <v>0</v>
      </c>
    </row>
    <row r="396" spans="1:3" ht="15.75" x14ac:dyDescent="0.25">
      <c r="A396">
        <v>141590</v>
      </c>
      <c r="B396" t="s">
        <v>284</v>
      </c>
      <c r="C396">
        <v>0</v>
      </c>
    </row>
    <row r="397" spans="1:3" ht="15.75" x14ac:dyDescent="0.25">
      <c r="A397">
        <v>1427</v>
      </c>
      <c r="B397" t="s">
        <v>285</v>
      </c>
      <c r="C397">
        <f>SUM(C398)</f>
        <v>0</v>
      </c>
    </row>
    <row r="398" spans="1:3" ht="15.75" x14ac:dyDescent="0.25">
      <c r="A398">
        <v>142707</v>
      </c>
      <c r="B398" t="s">
        <v>286</v>
      </c>
      <c r="C398">
        <v>0</v>
      </c>
    </row>
    <row r="399" spans="1:3" ht="15.75" x14ac:dyDescent="0.25">
      <c r="A399">
        <v>1477</v>
      </c>
      <c r="B399" t="s">
        <v>287</v>
      </c>
      <c r="C399">
        <f>SUM(C400)</f>
        <v>0</v>
      </c>
    </row>
    <row r="400" spans="1:3" ht="15.75" x14ac:dyDescent="0.25">
      <c r="A400">
        <v>147701</v>
      </c>
      <c r="B400" t="s">
        <v>288</v>
      </c>
      <c r="C400">
        <v>0</v>
      </c>
    </row>
    <row r="401" spans="1:3" ht="15.75" x14ac:dyDescent="0.25">
      <c r="A401">
        <v>1480</v>
      </c>
      <c r="B401" t="s">
        <v>289</v>
      </c>
      <c r="C401">
        <f>SUM(C402)</f>
        <v>0</v>
      </c>
    </row>
    <row r="402" spans="1:3" ht="15.75" x14ac:dyDescent="0.25">
      <c r="A402">
        <v>148003</v>
      </c>
      <c r="B402" t="s">
        <v>288</v>
      </c>
      <c r="C402">
        <v>0</v>
      </c>
    </row>
    <row r="403" spans="1:3" ht="15.75" x14ac:dyDescent="0.25">
      <c r="A403">
        <v>15</v>
      </c>
      <c r="B403" t="s">
        <v>290</v>
      </c>
      <c r="C403">
        <v>12669520</v>
      </c>
    </row>
    <row r="404" spans="1:3" ht="15.75" x14ac:dyDescent="0.25">
      <c r="A404">
        <v>1505</v>
      </c>
      <c r="B404" t="s">
        <v>291</v>
      </c>
      <c r="C404">
        <f>SUM(C405:C418)</f>
        <v>0</v>
      </c>
    </row>
    <row r="405" spans="1:3" ht="15.75" x14ac:dyDescent="0.25">
      <c r="A405">
        <v>150502</v>
      </c>
      <c r="B405" t="s">
        <v>118</v>
      </c>
      <c r="C405">
        <v>0</v>
      </c>
    </row>
    <row r="406" spans="1:3" ht="15.75" x14ac:dyDescent="0.25">
      <c r="A406">
        <v>150506</v>
      </c>
      <c r="B406" t="s">
        <v>292</v>
      </c>
      <c r="C406">
        <v>0</v>
      </c>
    </row>
    <row r="407" spans="1:3" ht="15.75" x14ac:dyDescent="0.25">
      <c r="A407">
        <v>150507</v>
      </c>
      <c r="B407" t="s">
        <v>293</v>
      </c>
      <c r="C407">
        <v>0</v>
      </c>
    </row>
    <row r="408" spans="1:3" ht="15.75" x14ac:dyDescent="0.25">
      <c r="A408">
        <v>150511</v>
      </c>
      <c r="B408" t="s">
        <v>294</v>
      </c>
      <c r="C408">
        <v>0</v>
      </c>
    </row>
    <row r="409" spans="1:3" ht="15.75" x14ac:dyDescent="0.25">
      <c r="A409">
        <v>150517</v>
      </c>
      <c r="B409" t="s">
        <v>295</v>
      </c>
      <c r="C409">
        <v>0</v>
      </c>
    </row>
    <row r="410" spans="1:3" ht="15.75" x14ac:dyDescent="0.25">
      <c r="A410">
        <v>150518</v>
      </c>
      <c r="B410" t="s">
        <v>296</v>
      </c>
      <c r="C410">
        <v>0</v>
      </c>
    </row>
    <row r="411" spans="1:3" ht="15.75" x14ac:dyDescent="0.25">
      <c r="A411">
        <v>150519</v>
      </c>
      <c r="B411" t="s">
        <v>297</v>
      </c>
      <c r="C411">
        <v>0</v>
      </c>
    </row>
    <row r="412" spans="1:3" ht="15.75" x14ac:dyDescent="0.25">
      <c r="A412">
        <v>150520</v>
      </c>
      <c r="B412" t="s">
        <v>298</v>
      </c>
      <c r="C412">
        <v>0</v>
      </c>
    </row>
    <row r="413" spans="1:3" ht="15.75" x14ac:dyDescent="0.25">
      <c r="A413">
        <v>150521</v>
      </c>
      <c r="B413" t="s">
        <v>299</v>
      </c>
      <c r="C413">
        <v>0</v>
      </c>
    </row>
    <row r="414" spans="1:3" ht="15.75" x14ac:dyDescent="0.25">
      <c r="A414">
        <v>150535</v>
      </c>
      <c r="B414" t="s">
        <v>300</v>
      </c>
      <c r="C414">
        <v>0</v>
      </c>
    </row>
    <row r="415" spans="1:3" ht="15.75" x14ac:dyDescent="0.25">
      <c r="A415">
        <v>150536</v>
      </c>
      <c r="B415" t="s">
        <v>301</v>
      </c>
      <c r="C415">
        <v>0</v>
      </c>
    </row>
    <row r="416" spans="1:3" ht="15.75" x14ac:dyDescent="0.25">
      <c r="A416">
        <v>150541</v>
      </c>
      <c r="B416" t="s">
        <v>302</v>
      </c>
      <c r="C416">
        <v>0</v>
      </c>
    </row>
    <row r="417" spans="1:3" ht="15.75" x14ac:dyDescent="0.25">
      <c r="A417">
        <v>150543</v>
      </c>
      <c r="B417" t="s">
        <v>114</v>
      </c>
      <c r="C417">
        <v>0</v>
      </c>
    </row>
    <row r="418" spans="1:3" ht="15.75" x14ac:dyDescent="0.25">
      <c r="A418">
        <v>150590</v>
      </c>
      <c r="B418" t="s">
        <v>303</v>
      </c>
      <c r="C418">
        <v>0</v>
      </c>
    </row>
    <row r="419" spans="1:3" ht="15.75" x14ac:dyDescent="0.25">
      <c r="A419">
        <v>1510</v>
      </c>
      <c r="B419" t="s">
        <v>304</v>
      </c>
      <c r="C419">
        <f>SUM(C420:C443)</f>
        <v>0</v>
      </c>
    </row>
    <row r="420" spans="1:3" ht="15.75" x14ac:dyDescent="0.25">
      <c r="A420">
        <v>151002</v>
      </c>
      <c r="B420" t="s">
        <v>305</v>
      </c>
      <c r="C420">
        <v>0</v>
      </c>
    </row>
    <row r="421" spans="1:3" ht="15.75" x14ac:dyDescent="0.25">
      <c r="A421">
        <v>151003</v>
      </c>
      <c r="B421" t="s">
        <v>118</v>
      </c>
      <c r="C421">
        <v>0</v>
      </c>
    </row>
    <row r="422" spans="1:3" ht="15.75" x14ac:dyDescent="0.25">
      <c r="A422">
        <v>151004</v>
      </c>
      <c r="B422" t="s">
        <v>292</v>
      </c>
      <c r="C422">
        <v>0</v>
      </c>
    </row>
    <row r="423" spans="1:3" ht="15.75" x14ac:dyDescent="0.25">
      <c r="A423">
        <v>151009</v>
      </c>
      <c r="B423" t="s">
        <v>294</v>
      </c>
      <c r="C423">
        <v>0</v>
      </c>
    </row>
    <row r="424" spans="1:3" ht="15.75" x14ac:dyDescent="0.25">
      <c r="A424">
        <v>151012</v>
      </c>
      <c r="B424" t="s">
        <v>306</v>
      </c>
      <c r="C424">
        <v>0</v>
      </c>
    </row>
    <row r="425" spans="1:3" ht="15.75" x14ac:dyDescent="0.25">
      <c r="A425">
        <v>151013</v>
      </c>
      <c r="B425" t="s">
        <v>307</v>
      </c>
      <c r="C425">
        <v>0</v>
      </c>
    </row>
    <row r="426" spans="1:3" ht="15.75" x14ac:dyDescent="0.25">
      <c r="A426">
        <v>151014</v>
      </c>
      <c r="B426" t="s">
        <v>308</v>
      </c>
      <c r="C426">
        <v>0</v>
      </c>
    </row>
    <row r="427" spans="1:3" ht="15.75" x14ac:dyDescent="0.25">
      <c r="A427">
        <v>151015</v>
      </c>
      <c r="B427" t="s">
        <v>293</v>
      </c>
      <c r="C427">
        <v>0</v>
      </c>
    </row>
    <row r="428" spans="1:3" ht="15.75" x14ac:dyDescent="0.25">
      <c r="A428">
        <v>151022</v>
      </c>
      <c r="B428" t="s">
        <v>296</v>
      </c>
      <c r="C428">
        <v>0</v>
      </c>
    </row>
    <row r="429" spans="1:3" ht="15.75" x14ac:dyDescent="0.25">
      <c r="A429">
        <v>151023</v>
      </c>
      <c r="B429" t="s">
        <v>298</v>
      </c>
      <c r="C429">
        <v>0</v>
      </c>
    </row>
    <row r="430" spans="1:3" ht="15.75" x14ac:dyDescent="0.25">
      <c r="A430">
        <v>151024</v>
      </c>
      <c r="B430" t="s">
        <v>309</v>
      </c>
      <c r="C430">
        <v>0</v>
      </c>
    </row>
    <row r="431" spans="1:3" ht="15.75" x14ac:dyDescent="0.25">
      <c r="A431">
        <v>151030</v>
      </c>
      <c r="B431" t="s">
        <v>310</v>
      </c>
      <c r="C431">
        <v>0</v>
      </c>
    </row>
    <row r="432" spans="1:3" ht="15.75" x14ac:dyDescent="0.25">
      <c r="A432">
        <v>151031</v>
      </c>
      <c r="B432" t="s">
        <v>311</v>
      </c>
      <c r="C432">
        <v>0</v>
      </c>
    </row>
    <row r="433" spans="1:3" ht="15.75" x14ac:dyDescent="0.25">
      <c r="A433">
        <v>151032</v>
      </c>
      <c r="B433" t="s">
        <v>312</v>
      </c>
      <c r="C433">
        <v>0</v>
      </c>
    </row>
    <row r="434" spans="1:3" ht="15.75" x14ac:dyDescent="0.25">
      <c r="A434">
        <v>151033</v>
      </c>
      <c r="B434" t="s">
        <v>313</v>
      </c>
      <c r="C434">
        <v>0</v>
      </c>
    </row>
    <row r="435" spans="1:3" ht="15.75" x14ac:dyDescent="0.25">
      <c r="A435">
        <v>151035</v>
      </c>
      <c r="B435" t="s">
        <v>314</v>
      </c>
      <c r="C435">
        <v>0</v>
      </c>
    </row>
    <row r="436" spans="1:3" ht="15.75" x14ac:dyDescent="0.25">
      <c r="A436">
        <v>151037</v>
      </c>
      <c r="B436" t="s">
        <v>315</v>
      </c>
      <c r="C436">
        <v>0</v>
      </c>
    </row>
    <row r="437" spans="1:3" ht="15.75" x14ac:dyDescent="0.25">
      <c r="A437">
        <v>151039</v>
      </c>
      <c r="B437" t="s">
        <v>316</v>
      </c>
      <c r="C437">
        <v>0</v>
      </c>
    </row>
    <row r="438" spans="1:3" ht="15.75" x14ac:dyDescent="0.25">
      <c r="A438">
        <v>151041</v>
      </c>
      <c r="B438" t="s">
        <v>317</v>
      </c>
      <c r="C438">
        <v>0</v>
      </c>
    </row>
    <row r="439" spans="1:3" ht="15.75" x14ac:dyDescent="0.25">
      <c r="A439">
        <v>151042</v>
      </c>
      <c r="B439" t="s">
        <v>114</v>
      </c>
      <c r="C439">
        <v>0</v>
      </c>
    </row>
    <row r="440" spans="1:3" ht="15.75" x14ac:dyDescent="0.25">
      <c r="A440">
        <v>151060</v>
      </c>
      <c r="B440" t="s">
        <v>295</v>
      </c>
      <c r="C440">
        <v>0</v>
      </c>
    </row>
    <row r="441" spans="1:3" ht="15.75" x14ac:dyDescent="0.25">
      <c r="A441">
        <v>151061</v>
      </c>
      <c r="B441" t="s">
        <v>318</v>
      </c>
      <c r="C441">
        <v>0</v>
      </c>
    </row>
    <row r="442" spans="1:3" ht="15.75" x14ac:dyDescent="0.25">
      <c r="A442">
        <v>151065</v>
      </c>
      <c r="B442" t="s">
        <v>319</v>
      </c>
      <c r="C442">
        <v>0</v>
      </c>
    </row>
    <row r="443" spans="1:3" ht="15.75" x14ac:dyDescent="0.25">
      <c r="A443">
        <v>151090</v>
      </c>
      <c r="B443" t="s">
        <v>320</v>
      </c>
      <c r="C443">
        <v>0</v>
      </c>
    </row>
    <row r="444" spans="1:3" ht="15.75" x14ac:dyDescent="0.25">
      <c r="A444">
        <v>1511</v>
      </c>
      <c r="B444" t="s">
        <v>321</v>
      </c>
      <c r="C444">
        <f>SUM(C445:C447)</f>
        <v>0</v>
      </c>
    </row>
    <row r="445" spans="1:3" ht="15.75" x14ac:dyDescent="0.25">
      <c r="A445">
        <v>151101</v>
      </c>
      <c r="B445" t="s">
        <v>322</v>
      </c>
      <c r="C445">
        <v>0</v>
      </c>
    </row>
    <row r="446" spans="1:3" ht="15.75" x14ac:dyDescent="0.25">
      <c r="A446">
        <v>151102</v>
      </c>
      <c r="B446" t="s">
        <v>146</v>
      </c>
      <c r="C446">
        <v>0</v>
      </c>
    </row>
    <row r="447" spans="1:3" ht="15.75" x14ac:dyDescent="0.25">
      <c r="A447">
        <v>151190</v>
      </c>
      <c r="B447" t="s">
        <v>323</v>
      </c>
      <c r="C447">
        <v>0</v>
      </c>
    </row>
    <row r="448" spans="1:3" ht="15.75" x14ac:dyDescent="0.25">
      <c r="A448">
        <v>1512</v>
      </c>
      <c r="B448" t="s">
        <v>324</v>
      </c>
      <c r="C448">
        <f>SUM(C449)</f>
        <v>0</v>
      </c>
    </row>
    <row r="449" spans="1:3" ht="15.75" x14ac:dyDescent="0.25">
      <c r="A449">
        <v>151201</v>
      </c>
      <c r="B449" t="s">
        <v>325</v>
      </c>
      <c r="C449">
        <v>0</v>
      </c>
    </row>
    <row r="450" spans="1:3" ht="15.75" x14ac:dyDescent="0.25">
      <c r="A450">
        <v>1514</v>
      </c>
      <c r="B450" t="s">
        <v>326</v>
      </c>
      <c r="C450">
        <v>12669520</v>
      </c>
    </row>
    <row r="451" spans="1:3" ht="15.75" x14ac:dyDescent="0.25">
      <c r="A451">
        <v>151401</v>
      </c>
      <c r="B451" t="s">
        <v>327</v>
      </c>
      <c r="C451">
        <v>0</v>
      </c>
    </row>
    <row r="452" spans="1:3" ht="15.75" x14ac:dyDescent="0.25">
      <c r="A452">
        <v>151402</v>
      </c>
      <c r="B452" t="s">
        <v>328</v>
      </c>
      <c r="C452">
        <v>0</v>
      </c>
    </row>
    <row r="453" spans="1:3" ht="15.75" x14ac:dyDescent="0.25">
      <c r="A453">
        <v>151403</v>
      </c>
      <c r="B453" t="s">
        <v>295</v>
      </c>
      <c r="C453">
        <v>0</v>
      </c>
    </row>
    <row r="454" spans="1:3" ht="15.75" x14ac:dyDescent="0.25">
      <c r="A454">
        <v>151404</v>
      </c>
      <c r="B454" t="s">
        <v>318</v>
      </c>
      <c r="C454">
        <v>0</v>
      </c>
    </row>
    <row r="455" spans="1:3" ht="15.75" x14ac:dyDescent="0.25">
      <c r="A455">
        <v>151405</v>
      </c>
      <c r="B455" t="s">
        <v>329</v>
      </c>
      <c r="C455">
        <v>0</v>
      </c>
    </row>
    <row r="456" spans="1:3" ht="15.75" x14ac:dyDescent="0.25">
      <c r="A456">
        <v>151406</v>
      </c>
      <c r="B456" t="s">
        <v>330</v>
      </c>
      <c r="C456">
        <v>0</v>
      </c>
    </row>
    <row r="457" spans="1:3" ht="15.75" x14ac:dyDescent="0.25">
      <c r="A457">
        <v>151407</v>
      </c>
      <c r="B457" t="s">
        <v>331</v>
      </c>
      <c r="C457">
        <v>0</v>
      </c>
    </row>
    <row r="458" spans="1:3" ht="15.75" x14ac:dyDescent="0.25">
      <c r="A458">
        <v>151408</v>
      </c>
      <c r="B458" t="s">
        <v>319</v>
      </c>
      <c r="C458">
        <v>0</v>
      </c>
    </row>
    <row r="459" spans="1:3" ht="15.75" x14ac:dyDescent="0.25">
      <c r="A459">
        <v>151409</v>
      </c>
      <c r="B459" t="s">
        <v>332</v>
      </c>
      <c r="C459">
        <v>0</v>
      </c>
    </row>
    <row r="460" spans="1:3" ht="15.75" x14ac:dyDescent="0.25">
      <c r="A460">
        <v>151410</v>
      </c>
      <c r="B460" t="s">
        <v>333</v>
      </c>
      <c r="C460">
        <v>0</v>
      </c>
    </row>
    <row r="461" spans="1:3" ht="15.75" x14ac:dyDescent="0.25">
      <c r="A461">
        <v>151411</v>
      </c>
      <c r="B461" t="s">
        <v>334</v>
      </c>
      <c r="C461">
        <v>0</v>
      </c>
    </row>
    <row r="462" spans="1:3" ht="15.75" x14ac:dyDescent="0.25">
      <c r="A462">
        <v>151412</v>
      </c>
      <c r="B462" t="s">
        <v>335</v>
      </c>
      <c r="C462">
        <v>0</v>
      </c>
    </row>
    <row r="463" spans="1:3" ht="15.75" x14ac:dyDescent="0.25">
      <c r="A463">
        <v>151413</v>
      </c>
      <c r="B463" t="s">
        <v>336</v>
      </c>
      <c r="C463">
        <v>12669520</v>
      </c>
    </row>
    <row r="464" spans="1:3" ht="15.75" x14ac:dyDescent="0.25">
      <c r="A464">
        <v>151414</v>
      </c>
      <c r="B464" t="s">
        <v>337</v>
      </c>
      <c r="C464">
        <v>0</v>
      </c>
    </row>
    <row r="465" spans="1:3" ht="15.75" x14ac:dyDescent="0.25">
      <c r="A465">
        <v>151415</v>
      </c>
      <c r="B465" t="s">
        <v>338</v>
      </c>
      <c r="C465">
        <v>0</v>
      </c>
    </row>
    <row r="466" spans="1:3" ht="15.75" x14ac:dyDescent="0.25">
      <c r="A466">
        <v>151417</v>
      </c>
      <c r="B466" t="s">
        <v>339</v>
      </c>
      <c r="C466">
        <v>0</v>
      </c>
    </row>
    <row r="467" spans="1:3" ht="15.75" x14ac:dyDescent="0.25">
      <c r="A467">
        <v>151418</v>
      </c>
      <c r="B467" t="s">
        <v>340</v>
      </c>
      <c r="C467">
        <v>0</v>
      </c>
    </row>
    <row r="468" spans="1:3" ht="15.75" x14ac:dyDescent="0.25">
      <c r="A468">
        <v>151419</v>
      </c>
      <c r="B468" t="s">
        <v>341</v>
      </c>
      <c r="C468">
        <v>0</v>
      </c>
    </row>
    <row r="469" spans="1:3" ht="15.75" x14ac:dyDescent="0.25">
      <c r="A469">
        <v>151421</v>
      </c>
      <c r="B469" t="s">
        <v>342</v>
      </c>
      <c r="C469">
        <v>0</v>
      </c>
    </row>
    <row r="470" spans="1:3" ht="15.75" x14ac:dyDescent="0.25">
      <c r="A470">
        <v>151422</v>
      </c>
      <c r="B470" t="s">
        <v>343</v>
      </c>
      <c r="C470">
        <v>0</v>
      </c>
    </row>
    <row r="471" spans="1:3" ht="15.75" x14ac:dyDescent="0.25">
      <c r="A471">
        <v>151423</v>
      </c>
      <c r="B471" t="s">
        <v>344</v>
      </c>
      <c r="C471">
        <v>0</v>
      </c>
    </row>
    <row r="472" spans="1:3" ht="15.75" x14ac:dyDescent="0.25">
      <c r="A472">
        <v>151424</v>
      </c>
      <c r="B472" t="s">
        <v>345</v>
      </c>
      <c r="C472">
        <v>0</v>
      </c>
    </row>
    <row r="473" spans="1:3" ht="15.75" x14ac:dyDescent="0.25">
      <c r="A473">
        <v>151490</v>
      </c>
      <c r="B473" t="s">
        <v>346</v>
      </c>
      <c r="C473">
        <v>0</v>
      </c>
    </row>
    <row r="474" spans="1:3" ht="15.75" x14ac:dyDescent="0.25">
      <c r="A474">
        <v>1520</v>
      </c>
      <c r="B474" t="s">
        <v>347</v>
      </c>
      <c r="C474">
        <f>SUM(C475:C488)</f>
        <v>0</v>
      </c>
    </row>
    <row r="475" spans="1:3" ht="15.75" x14ac:dyDescent="0.25">
      <c r="A475">
        <v>152002</v>
      </c>
      <c r="B475" t="s">
        <v>118</v>
      </c>
      <c r="C475">
        <v>0</v>
      </c>
    </row>
    <row r="476" spans="1:3" ht="15.75" x14ac:dyDescent="0.25">
      <c r="A476">
        <v>152007</v>
      </c>
      <c r="B476" t="s">
        <v>292</v>
      </c>
      <c r="C476">
        <v>0</v>
      </c>
    </row>
    <row r="477" spans="1:3" ht="15.75" x14ac:dyDescent="0.25">
      <c r="A477">
        <v>152008</v>
      </c>
      <c r="B477" t="s">
        <v>295</v>
      </c>
      <c r="C477">
        <v>0</v>
      </c>
    </row>
    <row r="478" spans="1:3" ht="15.75" x14ac:dyDescent="0.25">
      <c r="A478">
        <v>152009</v>
      </c>
      <c r="B478" t="s">
        <v>293</v>
      </c>
      <c r="C478">
        <v>0</v>
      </c>
    </row>
    <row r="479" spans="1:3" ht="15.75" x14ac:dyDescent="0.25">
      <c r="A479">
        <v>152013</v>
      </c>
      <c r="B479" t="s">
        <v>294</v>
      </c>
      <c r="C479">
        <v>0</v>
      </c>
    </row>
    <row r="480" spans="1:3" ht="15.75" x14ac:dyDescent="0.25">
      <c r="A480">
        <v>152018</v>
      </c>
      <c r="B480" t="s">
        <v>297</v>
      </c>
      <c r="C480">
        <v>0</v>
      </c>
    </row>
    <row r="481" spans="1:3" ht="15.75" x14ac:dyDescent="0.25">
      <c r="A481">
        <v>152019</v>
      </c>
      <c r="B481" t="s">
        <v>298</v>
      </c>
      <c r="C481">
        <v>0</v>
      </c>
    </row>
    <row r="482" spans="1:3" ht="15.75" x14ac:dyDescent="0.25">
      <c r="A482">
        <v>152020</v>
      </c>
      <c r="B482" t="s">
        <v>296</v>
      </c>
      <c r="C482">
        <v>0</v>
      </c>
    </row>
    <row r="483" spans="1:3" ht="15.75" x14ac:dyDescent="0.25">
      <c r="A483">
        <v>152021</v>
      </c>
      <c r="B483" t="s">
        <v>299</v>
      </c>
      <c r="C483">
        <v>0</v>
      </c>
    </row>
    <row r="484" spans="1:3" ht="15.75" x14ac:dyDescent="0.25">
      <c r="A484">
        <v>152025</v>
      </c>
      <c r="B484" t="s">
        <v>300</v>
      </c>
      <c r="C484">
        <v>0</v>
      </c>
    </row>
    <row r="485" spans="1:3" ht="15.75" x14ac:dyDescent="0.25">
      <c r="A485">
        <v>152026</v>
      </c>
      <c r="B485" t="s">
        <v>301</v>
      </c>
      <c r="C485">
        <v>0</v>
      </c>
    </row>
    <row r="486" spans="1:3" ht="15.75" x14ac:dyDescent="0.25">
      <c r="A486">
        <v>152032</v>
      </c>
      <c r="B486" t="s">
        <v>302</v>
      </c>
      <c r="C486">
        <v>0</v>
      </c>
    </row>
    <row r="487" spans="1:3" ht="15.75" x14ac:dyDescent="0.25">
      <c r="A487">
        <v>152034</v>
      </c>
      <c r="B487" t="s">
        <v>114</v>
      </c>
      <c r="C487">
        <v>0</v>
      </c>
    </row>
    <row r="488" spans="1:3" ht="15.75" x14ac:dyDescent="0.25">
      <c r="A488">
        <v>152090</v>
      </c>
      <c r="B488" t="s">
        <v>348</v>
      </c>
      <c r="C488">
        <v>0</v>
      </c>
    </row>
    <row r="489" spans="1:3" ht="15.75" x14ac:dyDescent="0.25">
      <c r="A489">
        <v>1525</v>
      </c>
      <c r="B489" t="s">
        <v>349</v>
      </c>
      <c r="C489">
        <f>SUM(C490:C511)</f>
        <v>0</v>
      </c>
    </row>
    <row r="490" spans="1:3" ht="15.75" x14ac:dyDescent="0.25">
      <c r="A490">
        <v>152502</v>
      </c>
      <c r="B490" t="s">
        <v>325</v>
      </c>
      <c r="C490">
        <v>0</v>
      </c>
    </row>
    <row r="491" spans="1:3" ht="15.75" x14ac:dyDescent="0.25">
      <c r="A491">
        <v>152505</v>
      </c>
      <c r="B491" t="s">
        <v>327</v>
      </c>
      <c r="C491">
        <v>0</v>
      </c>
    </row>
    <row r="492" spans="1:3" ht="15.75" x14ac:dyDescent="0.25">
      <c r="A492">
        <v>152507</v>
      </c>
      <c r="B492" t="s">
        <v>295</v>
      </c>
      <c r="C492">
        <v>0</v>
      </c>
    </row>
    <row r="493" spans="1:3" ht="15.75" x14ac:dyDescent="0.25">
      <c r="A493">
        <v>152508</v>
      </c>
      <c r="B493" t="s">
        <v>318</v>
      </c>
      <c r="C493">
        <v>0</v>
      </c>
    </row>
    <row r="494" spans="1:3" ht="15.75" x14ac:dyDescent="0.25">
      <c r="A494">
        <v>152512</v>
      </c>
      <c r="B494" t="s">
        <v>319</v>
      </c>
      <c r="C494">
        <v>0</v>
      </c>
    </row>
    <row r="495" spans="1:3" ht="15.75" x14ac:dyDescent="0.25">
      <c r="A495">
        <v>152519</v>
      </c>
      <c r="B495" t="s">
        <v>328</v>
      </c>
      <c r="C495">
        <v>0</v>
      </c>
    </row>
    <row r="496" spans="1:3" ht="15.75" x14ac:dyDescent="0.25">
      <c r="A496">
        <v>152520</v>
      </c>
      <c r="B496" t="s">
        <v>292</v>
      </c>
      <c r="C496">
        <v>0</v>
      </c>
    </row>
    <row r="497" spans="1:3" ht="15.75" x14ac:dyDescent="0.25">
      <c r="A497">
        <v>152521</v>
      </c>
      <c r="B497" t="s">
        <v>350</v>
      </c>
      <c r="C497">
        <v>0</v>
      </c>
    </row>
    <row r="498" spans="1:3" ht="15.75" x14ac:dyDescent="0.25">
      <c r="A498">
        <v>152522</v>
      </c>
      <c r="B498" t="s">
        <v>114</v>
      </c>
      <c r="C498">
        <v>0</v>
      </c>
    </row>
    <row r="499" spans="1:3" ht="15.75" x14ac:dyDescent="0.25">
      <c r="A499">
        <v>152525</v>
      </c>
      <c r="B499" t="s">
        <v>294</v>
      </c>
      <c r="C499">
        <v>0</v>
      </c>
    </row>
    <row r="500" spans="1:3" ht="15.75" x14ac:dyDescent="0.25">
      <c r="A500">
        <v>152528</v>
      </c>
      <c r="B500" t="s">
        <v>307</v>
      </c>
      <c r="C500">
        <v>0</v>
      </c>
    </row>
    <row r="501" spans="1:3" ht="15.75" x14ac:dyDescent="0.25">
      <c r="A501">
        <v>152529</v>
      </c>
      <c r="B501" t="s">
        <v>308</v>
      </c>
      <c r="C501">
        <v>0</v>
      </c>
    </row>
    <row r="502" spans="1:3" ht="15.75" x14ac:dyDescent="0.25">
      <c r="A502">
        <v>152530</v>
      </c>
      <c r="B502" t="s">
        <v>306</v>
      </c>
      <c r="C502">
        <v>0</v>
      </c>
    </row>
    <row r="503" spans="1:3" ht="15.75" x14ac:dyDescent="0.25">
      <c r="A503">
        <v>152531</v>
      </c>
      <c r="B503" t="s">
        <v>293</v>
      </c>
      <c r="C503">
        <v>0</v>
      </c>
    </row>
    <row r="504" spans="1:3" ht="15.75" x14ac:dyDescent="0.25">
      <c r="A504">
        <v>152534</v>
      </c>
      <c r="B504" t="s">
        <v>298</v>
      </c>
      <c r="C504">
        <v>0</v>
      </c>
    </row>
    <row r="505" spans="1:3" ht="15.75" x14ac:dyDescent="0.25">
      <c r="A505">
        <v>152535</v>
      </c>
      <c r="B505" t="s">
        <v>351</v>
      </c>
      <c r="C505">
        <v>0</v>
      </c>
    </row>
    <row r="506" spans="1:3" ht="15.75" x14ac:dyDescent="0.25">
      <c r="A506">
        <v>152537</v>
      </c>
      <c r="B506" t="s">
        <v>352</v>
      </c>
      <c r="C506">
        <v>0</v>
      </c>
    </row>
    <row r="507" spans="1:3" ht="15.75" x14ac:dyDescent="0.25">
      <c r="A507">
        <v>152543</v>
      </c>
      <c r="B507" t="s">
        <v>310</v>
      </c>
      <c r="C507">
        <v>0</v>
      </c>
    </row>
    <row r="508" spans="1:3" ht="15.75" x14ac:dyDescent="0.25">
      <c r="A508">
        <v>152544</v>
      </c>
      <c r="B508" t="s">
        <v>311</v>
      </c>
      <c r="C508">
        <v>0</v>
      </c>
    </row>
    <row r="509" spans="1:3" ht="15.75" x14ac:dyDescent="0.25">
      <c r="A509">
        <v>152545</v>
      </c>
      <c r="B509" t="s">
        <v>312</v>
      </c>
      <c r="C509">
        <v>0</v>
      </c>
    </row>
    <row r="510" spans="1:3" ht="15.75" x14ac:dyDescent="0.25">
      <c r="A510">
        <v>152546</v>
      </c>
      <c r="B510" t="s">
        <v>118</v>
      </c>
      <c r="C510">
        <v>0</v>
      </c>
    </row>
    <row r="511" spans="1:3" ht="15.75" x14ac:dyDescent="0.25">
      <c r="A511">
        <v>152590</v>
      </c>
      <c r="B511" t="s">
        <v>353</v>
      </c>
      <c r="C511">
        <v>0</v>
      </c>
    </row>
    <row r="512" spans="1:3" ht="15.75" x14ac:dyDescent="0.25">
      <c r="A512">
        <v>1530</v>
      </c>
      <c r="B512" t="s">
        <v>354</v>
      </c>
      <c r="C512">
        <f>SUM(C513:C533)</f>
        <v>0</v>
      </c>
    </row>
    <row r="513" spans="1:3" ht="15.75" x14ac:dyDescent="0.25">
      <c r="A513">
        <v>153005</v>
      </c>
      <c r="B513" t="s">
        <v>292</v>
      </c>
      <c r="C513">
        <v>0</v>
      </c>
    </row>
    <row r="514" spans="1:3" ht="15.75" x14ac:dyDescent="0.25">
      <c r="A514">
        <v>153006</v>
      </c>
      <c r="B514" t="s">
        <v>295</v>
      </c>
      <c r="C514">
        <v>0</v>
      </c>
    </row>
    <row r="515" spans="1:3" ht="15.75" x14ac:dyDescent="0.25">
      <c r="A515">
        <v>153007</v>
      </c>
      <c r="B515" t="s">
        <v>325</v>
      </c>
      <c r="C515">
        <v>0</v>
      </c>
    </row>
    <row r="516" spans="1:3" ht="15.75" x14ac:dyDescent="0.25">
      <c r="A516">
        <v>153008</v>
      </c>
      <c r="B516" t="s">
        <v>328</v>
      </c>
      <c r="C516">
        <v>0</v>
      </c>
    </row>
    <row r="517" spans="1:3" ht="15.75" x14ac:dyDescent="0.25">
      <c r="A517">
        <v>153009</v>
      </c>
      <c r="B517" t="s">
        <v>352</v>
      </c>
      <c r="C517">
        <v>0</v>
      </c>
    </row>
    <row r="518" spans="1:3" ht="15.75" x14ac:dyDescent="0.25">
      <c r="A518">
        <v>153010</v>
      </c>
      <c r="B518" t="s">
        <v>118</v>
      </c>
      <c r="C518">
        <v>0</v>
      </c>
    </row>
    <row r="519" spans="1:3" ht="15.75" x14ac:dyDescent="0.25">
      <c r="A519">
        <v>153013</v>
      </c>
      <c r="B519" t="s">
        <v>308</v>
      </c>
      <c r="C519">
        <v>0</v>
      </c>
    </row>
    <row r="520" spans="1:3" ht="15.75" x14ac:dyDescent="0.25">
      <c r="A520">
        <v>153014</v>
      </c>
      <c r="B520" t="s">
        <v>293</v>
      </c>
      <c r="C520">
        <v>0</v>
      </c>
    </row>
    <row r="521" spans="1:3" ht="15.75" x14ac:dyDescent="0.25">
      <c r="A521">
        <v>153015</v>
      </c>
      <c r="B521" t="s">
        <v>114</v>
      </c>
      <c r="C521">
        <v>0</v>
      </c>
    </row>
    <row r="522" spans="1:3" ht="15.75" x14ac:dyDescent="0.25">
      <c r="A522">
        <v>153018</v>
      </c>
      <c r="B522" t="s">
        <v>294</v>
      </c>
      <c r="C522">
        <v>0</v>
      </c>
    </row>
    <row r="523" spans="1:3" ht="15.75" x14ac:dyDescent="0.25">
      <c r="A523">
        <v>153021</v>
      </c>
      <c r="B523" t="s">
        <v>355</v>
      </c>
      <c r="C523">
        <v>0</v>
      </c>
    </row>
    <row r="524" spans="1:3" ht="15.75" x14ac:dyDescent="0.25">
      <c r="A524">
        <v>153023</v>
      </c>
      <c r="B524" t="s">
        <v>296</v>
      </c>
      <c r="C524">
        <v>0</v>
      </c>
    </row>
    <row r="525" spans="1:3" ht="15.75" x14ac:dyDescent="0.25">
      <c r="A525">
        <v>153024</v>
      </c>
      <c r="B525" t="s">
        <v>297</v>
      </c>
      <c r="C525">
        <v>0</v>
      </c>
    </row>
    <row r="526" spans="1:3" ht="15.75" x14ac:dyDescent="0.25">
      <c r="A526">
        <v>153028</v>
      </c>
      <c r="B526" t="s">
        <v>319</v>
      </c>
      <c r="C526">
        <v>0</v>
      </c>
    </row>
    <row r="527" spans="1:3" ht="15.75" x14ac:dyDescent="0.25">
      <c r="A527">
        <v>153030</v>
      </c>
      <c r="B527" t="s">
        <v>327</v>
      </c>
      <c r="C527">
        <v>0</v>
      </c>
    </row>
    <row r="528" spans="1:3" ht="15.75" x14ac:dyDescent="0.25">
      <c r="A528">
        <v>153031</v>
      </c>
      <c r="B528" t="s">
        <v>318</v>
      </c>
      <c r="C528">
        <v>0</v>
      </c>
    </row>
    <row r="529" spans="1:3" ht="15.75" x14ac:dyDescent="0.25">
      <c r="A529">
        <v>153033</v>
      </c>
      <c r="B529" t="s">
        <v>350</v>
      </c>
      <c r="C529">
        <v>0</v>
      </c>
    </row>
    <row r="530" spans="1:3" ht="15.75" x14ac:dyDescent="0.25">
      <c r="A530">
        <v>153034</v>
      </c>
      <c r="B530" t="s">
        <v>351</v>
      </c>
      <c r="C530">
        <v>0</v>
      </c>
    </row>
    <row r="531" spans="1:3" ht="15.75" x14ac:dyDescent="0.25">
      <c r="A531">
        <v>153040</v>
      </c>
      <c r="B531" t="s">
        <v>310</v>
      </c>
      <c r="C531">
        <v>0</v>
      </c>
    </row>
    <row r="532" spans="1:3" ht="15.75" x14ac:dyDescent="0.25">
      <c r="A532">
        <v>153042</v>
      </c>
      <c r="B532" t="s">
        <v>314</v>
      </c>
      <c r="C532">
        <v>0</v>
      </c>
    </row>
    <row r="533" spans="1:3" ht="15.75" x14ac:dyDescent="0.25">
      <c r="A533">
        <v>153090</v>
      </c>
      <c r="B533" t="s">
        <v>356</v>
      </c>
      <c r="C533">
        <v>0</v>
      </c>
    </row>
    <row r="534" spans="1:3" ht="15.75" x14ac:dyDescent="0.25">
      <c r="A534">
        <v>1580</v>
      </c>
      <c r="B534" t="s">
        <v>357</v>
      </c>
      <c r="C534">
        <f>SUM(C535:C542)</f>
        <v>0</v>
      </c>
    </row>
    <row r="535" spans="1:3" ht="15.75" x14ac:dyDescent="0.25">
      <c r="A535">
        <v>158001</v>
      </c>
      <c r="B535" t="s">
        <v>358</v>
      </c>
      <c r="C535">
        <v>0</v>
      </c>
    </row>
    <row r="536" spans="1:3" ht="15.75" x14ac:dyDescent="0.25">
      <c r="A536">
        <v>158002</v>
      </c>
      <c r="B536" t="s">
        <v>359</v>
      </c>
      <c r="C536">
        <v>0</v>
      </c>
    </row>
    <row r="537" spans="1:3" ht="15.75" x14ac:dyDescent="0.25">
      <c r="A537">
        <v>158004</v>
      </c>
      <c r="B537" t="s">
        <v>360</v>
      </c>
      <c r="C537">
        <v>0</v>
      </c>
    </row>
    <row r="538" spans="1:3" ht="15.75" x14ac:dyDescent="0.25">
      <c r="A538">
        <v>158006</v>
      </c>
      <c r="B538" t="s">
        <v>325</v>
      </c>
      <c r="C538">
        <v>0</v>
      </c>
    </row>
    <row r="539" spans="1:3" ht="15.75" x14ac:dyDescent="0.25">
      <c r="A539">
        <v>158010</v>
      </c>
      <c r="B539" t="s">
        <v>361</v>
      </c>
      <c r="C539">
        <v>0</v>
      </c>
    </row>
    <row r="540" spans="1:3" ht="15.75" x14ac:dyDescent="0.25">
      <c r="A540">
        <v>158011</v>
      </c>
      <c r="B540" t="s">
        <v>362</v>
      </c>
      <c r="C540">
        <v>0</v>
      </c>
    </row>
    <row r="541" spans="1:3" ht="15.75" x14ac:dyDescent="0.25">
      <c r="A541">
        <v>158012</v>
      </c>
      <c r="B541" t="s">
        <v>363</v>
      </c>
      <c r="C541">
        <v>0</v>
      </c>
    </row>
    <row r="542" spans="1:3" ht="15.75" x14ac:dyDescent="0.25">
      <c r="A542">
        <v>158013</v>
      </c>
      <c r="B542" t="s">
        <v>364</v>
      </c>
      <c r="C542">
        <v>0</v>
      </c>
    </row>
    <row r="543" spans="1:3" ht="15.75" x14ac:dyDescent="0.25">
      <c r="A543">
        <v>16</v>
      </c>
      <c r="B543" t="s">
        <v>365</v>
      </c>
      <c r="C543">
        <v>30411120</v>
      </c>
    </row>
    <row r="544" spans="1:3" ht="15.75" x14ac:dyDescent="0.25">
      <c r="A544">
        <v>1605</v>
      </c>
      <c r="B544" t="s">
        <v>366</v>
      </c>
      <c r="C544">
        <f>SUM(C545:C549)</f>
        <v>0</v>
      </c>
    </row>
    <row r="545" spans="1:3" ht="15.75" x14ac:dyDescent="0.25">
      <c r="A545">
        <v>160501</v>
      </c>
      <c r="B545" t="s">
        <v>367</v>
      </c>
      <c r="C545">
        <v>0</v>
      </c>
    </row>
    <row r="546" spans="1:3" ht="15.75" x14ac:dyDescent="0.25">
      <c r="A546">
        <v>160502</v>
      </c>
      <c r="B546" t="s">
        <v>368</v>
      </c>
      <c r="C546">
        <v>0</v>
      </c>
    </row>
    <row r="547" spans="1:3" ht="15.75" x14ac:dyDescent="0.25">
      <c r="A547">
        <v>160503</v>
      </c>
      <c r="B547" t="s">
        <v>369</v>
      </c>
      <c r="C547">
        <v>0</v>
      </c>
    </row>
    <row r="548" spans="1:3" ht="15.75" x14ac:dyDescent="0.25">
      <c r="A548">
        <v>160504</v>
      </c>
      <c r="B548" t="s">
        <v>370</v>
      </c>
      <c r="C548">
        <v>0</v>
      </c>
    </row>
    <row r="549" spans="1:3" ht="15.75" x14ac:dyDescent="0.25">
      <c r="A549">
        <v>160505</v>
      </c>
      <c r="B549" t="s">
        <v>371</v>
      </c>
      <c r="C549">
        <v>0</v>
      </c>
    </row>
    <row r="550" spans="1:3" ht="15.75" x14ac:dyDescent="0.25">
      <c r="A550">
        <v>1610</v>
      </c>
      <c r="B550" t="s">
        <v>372</v>
      </c>
      <c r="C550">
        <f>SUM(C551:C557)</f>
        <v>0</v>
      </c>
    </row>
    <row r="551" spans="1:3" ht="15.75" x14ac:dyDescent="0.25">
      <c r="A551">
        <v>161001</v>
      </c>
      <c r="B551" t="s">
        <v>373</v>
      </c>
      <c r="C551">
        <v>0</v>
      </c>
    </row>
    <row r="552" spans="1:3" ht="15.75" x14ac:dyDescent="0.25">
      <c r="A552">
        <v>161002</v>
      </c>
      <c r="B552" t="s">
        <v>374</v>
      </c>
      <c r="C552">
        <v>0</v>
      </c>
    </row>
    <row r="553" spans="1:3" ht="15.75" x14ac:dyDescent="0.25">
      <c r="A553">
        <v>161003</v>
      </c>
      <c r="B553" t="s">
        <v>375</v>
      </c>
      <c r="C553">
        <v>0</v>
      </c>
    </row>
    <row r="554" spans="1:3" ht="15.75" x14ac:dyDescent="0.25">
      <c r="A554">
        <v>161004</v>
      </c>
      <c r="B554" t="s">
        <v>376</v>
      </c>
      <c r="C554">
        <v>0</v>
      </c>
    </row>
    <row r="555" spans="1:3" ht="15.75" x14ac:dyDescent="0.25">
      <c r="A555">
        <v>161005</v>
      </c>
      <c r="B555" t="s">
        <v>377</v>
      </c>
      <c r="C555">
        <v>0</v>
      </c>
    </row>
    <row r="556" spans="1:3" ht="15.75" x14ac:dyDescent="0.25">
      <c r="A556">
        <v>161006</v>
      </c>
      <c r="B556" t="s">
        <v>378</v>
      </c>
      <c r="C556">
        <v>0</v>
      </c>
    </row>
    <row r="557" spans="1:3" ht="15.75" x14ac:dyDescent="0.25">
      <c r="A557">
        <v>161090</v>
      </c>
      <c r="B557" t="s">
        <v>379</v>
      </c>
      <c r="C557">
        <v>0</v>
      </c>
    </row>
    <row r="558" spans="1:3" ht="15.75" x14ac:dyDescent="0.25">
      <c r="A558">
        <v>1612</v>
      </c>
      <c r="B558" t="s">
        <v>380</v>
      </c>
      <c r="C558">
        <f>SUM(C559:C560)</f>
        <v>0</v>
      </c>
    </row>
    <row r="559" spans="1:3" ht="15.75" x14ac:dyDescent="0.25">
      <c r="A559">
        <v>161201</v>
      </c>
      <c r="B559" t="s">
        <v>381</v>
      </c>
      <c r="C559">
        <v>0</v>
      </c>
    </row>
    <row r="560" spans="1:3" ht="15.75" x14ac:dyDescent="0.25">
      <c r="A560">
        <v>161202</v>
      </c>
      <c r="B560" t="s">
        <v>382</v>
      </c>
      <c r="C560">
        <v>0</v>
      </c>
    </row>
    <row r="561" spans="1:3" ht="15.75" x14ac:dyDescent="0.25">
      <c r="A561">
        <v>1615</v>
      </c>
      <c r="B561" t="s">
        <v>383</v>
      </c>
      <c r="C561">
        <f>SUM(C562:C565)</f>
        <v>0</v>
      </c>
    </row>
    <row r="562" spans="1:3" ht="15.75" x14ac:dyDescent="0.25">
      <c r="A562">
        <v>161501</v>
      </c>
      <c r="B562" t="s">
        <v>384</v>
      </c>
      <c r="C562">
        <v>0</v>
      </c>
    </row>
    <row r="563" spans="1:3" ht="15.75" x14ac:dyDescent="0.25">
      <c r="A563">
        <v>161504</v>
      </c>
      <c r="B563" t="s">
        <v>385</v>
      </c>
      <c r="C563">
        <v>0</v>
      </c>
    </row>
    <row r="564" spans="1:3" ht="15.75" x14ac:dyDescent="0.25">
      <c r="A564">
        <v>161505</v>
      </c>
      <c r="B564" t="s">
        <v>386</v>
      </c>
      <c r="C564">
        <v>0</v>
      </c>
    </row>
    <row r="565" spans="1:3" ht="15.75" x14ac:dyDescent="0.25">
      <c r="A565">
        <v>161590</v>
      </c>
      <c r="B565" t="s">
        <v>387</v>
      </c>
      <c r="C565">
        <v>0</v>
      </c>
    </row>
    <row r="566" spans="1:3" ht="15.75" x14ac:dyDescent="0.25">
      <c r="A566">
        <v>1620</v>
      </c>
      <c r="B566" t="s">
        <v>388</v>
      </c>
      <c r="C566">
        <f>SUM(C567:C574)</f>
        <v>0</v>
      </c>
    </row>
    <row r="567" spans="1:3" ht="15.75" x14ac:dyDescent="0.25">
      <c r="A567">
        <v>162001</v>
      </c>
      <c r="B567" t="s">
        <v>385</v>
      </c>
      <c r="C567">
        <v>0</v>
      </c>
    </row>
    <row r="568" spans="1:3" ht="15.75" x14ac:dyDescent="0.25">
      <c r="A568">
        <v>162002</v>
      </c>
      <c r="B568" t="s">
        <v>386</v>
      </c>
      <c r="C568">
        <v>0</v>
      </c>
    </row>
    <row r="569" spans="1:3" ht="15.75" x14ac:dyDescent="0.25">
      <c r="A569">
        <v>162003</v>
      </c>
      <c r="B569" t="s">
        <v>389</v>
      </c>
      <c r="C569">
        <v>0</v>
      </c>
    </row>
    <row r="570" spans="1:3" ht="15.75" x14ac:dyDescent="0.25">
      <c r="A570">
        <v>162004</v>
      </c>
      <c r="B570" t="s">
        <v>390</v>
      </c>
      <c r="C570">
        <v>0</v>
      </c>
    </row>
    <row r="571" spans="1:3" ht="15.75" x14ac:dyDescent="0.25">
      <c r="A571">
        <v>162005</v>
      </c>
      <c r="B571" t="s">
        <v>310</v>
      </c>
      <c r="C571">
        <v>0</v>
      </c>
    </row>
    <row r="572" spans="1:3" ht="15.75" x14ac:dyDescent="0.25">
      <c r="A572">
        <v>162007</v>
      </c>
      <c r="B572" t="s">
        <v>391</v>
      </c>
      <c r="C572">
        <v>0</v>
      </c>
    </row>
    <row r="573" spans="1:3" ht="15.75" x14ac:dyDescent="0.25">
      <c r="A573">
        <v>162008</v>
      </c>
      <c r="B573" t="s">
        <v>392</v>
      </c>
      <c r="C573">
        <v>0</v>
      </c>
    </row>
    <row r="574" spans="1:3" ht="15.75" x14ac:dyDescent="0.25">
      <c r="A574">
        <v>162090</v>
      </c>
      <c r="B574" t="s">
        <v>393</v>
      </c>
      <c r="C574">
        <v>0</v>
      </c>
    </row>
    <row r="575" spans="1:3" ht="15.75" x14ac:dyDescent="0.25">
      <c r="A575">
        <v>1625</v>
      </c>
      <c r="B575" t="s">
        <v>394</v>
      </c>
      <c r="C575">
        <f>SUM(C576:C586)</f>
        <v>0</v>
      </c>
    </row>
    <row r="576" spans="1:3" ht="15.75" x14ac:dyDescent="0.25">
      <c r="A576">
        <v>162501</v>
      </c>
      <c r="B576" t="s">
        <v>395</v>
      </c>
      <c r="C576">
        <v>0</v>
      </c>
    </row>
    <row r="577" spans="1:3" ht="15.75" x14ac:dyDescent="0.25">
      <c r="A577">
        <v>162502</v>
      </c>
      <c r="B577" t="s">
        <v>386</v>
      </c>
      <c r="C577">
        <v>0</v>
      </c>
    </row>
    <row r="578" spans="1:3" ht="15.75" x14ac:dyDescent="0.25">
      <c r="A578">
        <v>162503</v>
      </c>
      <c r="B578" t="s">
        <v>389</v>
      </c>
      <c r="C578">
        <v>0</v>
      </c>
    </row>
    <row r="579" spans="1:3" ht="15.75" x14ac:dyDescent="0.25">
      <c r="A579">
        <v>162504</v>
      </c>
      <c r="B579" t="s">
        <v>390</v>
      </c>
      <c r="C579">
        <v>0</v>
      </c>
    </row>
    <row r="580" spans="1:3" ht="15.75" x14ac:dyDescent="0.25">
      <c r="A580">
        <v>162505</v>
      </c>
      <c r="B580" t="s">
        <v>310</v>
      </c>
      <c r="C580">
        <v>0</v>
      </c>
    </row>
    <row r="581" spans="1:3" ht="15.75" x14ac:dyDescent="0.25">
      <c r="A581">
        <v>162506</v>
      </c>
      <c r="B581" t="s">
        <v>392</v>
      </c>
      <c r="C581">
        <v>0</v>
      </c>
    </row>
    <row r="582" spans="1:3" ht="15.75" x14ac:dyDescent="0.25">
      <c r="A582">
        <v>162507</v>
      </c>
      <c r="B582" t="s">
        <v>396</v>
      </c>
      <c r="C582">
        <v>0</v>
      </c>
    </row>
    <row r="583" spans="1:3" ht="15.75" x14ac:dyDescent="0.25">
      <c r="A583">
        <v>162508</v>
      </c>
      <c r="B583" t="s">
        <v>391</v>
      </c>
      <c r="C583">
        <v>0</v>
      </c>
    </row>
    <row r="584" spans="1:3" ht="15.75" x14ac:dyDescent="0.25">
      <c r="A584">
        <v>162511</v>
      </c>
      <c r="B584" t="s">
        <v>397</v>
      </c>
      <c r="C584">
        <v>0</v>
      </c>
    </row>
    <row r="585" spans="1:3" ht="15.75" x14ac:dyDescent="0.25">
      <c r="A585">
        <v>162512</v>
      </c>
      <c r="B585" t="s">
        <v>398</v>
      </c>
      <c r="C585">
        <v>0</v>
      </c>
    </row>
    <row r="586" spans="1:3" ht="15.75" x14ac:dyDescent="0.25">
      <c r="A586">
        <v>162590</v>
      </c>
      <c r="B586" t="s">
        <v>399</v>
      </c>
      <c r="C586">
        <v>0</v>
      </c>
    </row>
    <row r="587" spans="1:3" ht="15.75" x14ac:dyDescent="0.25">
      <c r="A587">
        <v>1635</v>
      </c>
      <c r="B587" t="s">
        <v>400</v>
      </c>
      <c r="C587">
        <f>SUM(C588:C596)</f>
        <v>0</v>
      </c>
    </row>
    <row r="588" spans="1:3" ht="15.75" x14ac:dyDescent="0.25">
      <c r="A588">
        <v>163501</v>
      </c>
      <c r="B588" t="s">
        <v>389</v>
      </c>
      <c r="C588">
        <v>0</v>
      </c>
    </row>
    <row r="589" spans="1:3" ht="15.75" x14ac:dyDescent="0.25">
      <c r="A589">
        <v>163502</v>
      </c>
      <c r="B589" t="s">
        <v>390</v>
      </c>
      <c r="C589">
        <v>0</v>
      </c>
    </row>
    <row r="590" spans="1:3" ht="15.75" x14ac:dyDescent="0.25">
      <c r="A590">
        <v>163503</v>
      </c>
      <c r="B590" t="s">
        <v>396</v>
      </c>
      <c r="C590">
        <v>0</v>
      </c>
    </row>
    <row r="591" spans="1:3" ht="15.75" x14ac:dyDescent="0.25">
      <c r="A591">
        <v>163504</v>
      </c>
      <c r="B591" t="s">
        <v>310</v>
      </c>
      <c r="C591">
        <v>0</v>
      </c>
    </row>
    <row r="592" spans="1:3" ht="15.75" x14ac:dyDescent="0.25">
      <c r="A592">
        <v>163505</v>
      </c>
      <c r="B592" t="s">
        <v>392</v>
      </c>
      <c r="C592">
        <v>0</v>
      </c>
    </row>
    <row r="593" spans="1:3" ht="15.75" x14ac:dyDescent="0.25">
      <c r="A593">
        <v>163507</v>
      </c>
      <c r="B593" t="s">
        <v>386</v>
      </c>
      <c r="C593">
        <v>0</v>
      </c>
    </row>
    <row r="594" spans="1:3" ht="15.75" x14ac:dyDescent="0.25">
      <c r="A594">
        <v>163511</v>
      </c>
      <c r="B594" t="s">
        <v>391</v>
      </c>
      <c r="C594">
        <v>0</v>
      </c>
    </row>
    <row r="595" spans="1:3" ht="15.75" x14ac:dyDescent="0.25">
      <c r="A595">
        <v>163512</v>
      </c>
      <c r="B595" t="s">
        <v>398</v>
      </c>
      <c r="C595">
        <v>0</v>
      </c>
    </row>
    <row r="596" spans="1:3" ht="15.75" x14ac:dyDescent="0.25">
      <c r="A596">
        <v>163590</v>
      </c>
      <c r="B596" t="s">
        <v>401</v>
      </c>
      <c r="C596">
        <v>0</v>
      </c>
    </row>
    <row r="597" spans="1:3" ht="15.75" x14ac:dyDescent="0.25">
      <c r="A597">
        <v>1636</v>
      </c>
      <c r="B597" t="s">
        <v>402</v>
      </c>
      <c r="C597">
        <f>SUM(C598:C606)</f>
        <v>0</v>
      </c>
    </row>
    <row r="598" spans="1:3" ht="15.75" x14ac:dyDescent="0.25">
      <c r="A598">
        <v>163601</v>
      </c>
      <c r="B598" t="s">
        <v>384</v>
      </c>
      <c r="C598">
        <v>0</v>
      </c>
    </row>
    <row r="599" spans="1:3" ht="15.75" x14ac:dyDescent="0.25">
      <c r="A599">
        <v>163603</v>
      </c>
      <c r="B599" t="s">
        <v>385</v>
      </c>
      <c r="C599">
        <v>0</v>
      </c>
    </row>
    <row r="600" spans="1:3" ht="15.75" x14ac:dyDescent="0.25">
      <c r="A600">
        <v>163604</v>
      </c>
      <c r="B600" t="s">
        <v>386</v>
      </c>
      <c r="C600">
        <v>0</v>
      </c>
    </row>
    <row r="601" spans="1:3" ht="15.75" x14ac:dyDescent="0.25">
      <c r="A601">
        <v>163605</v>
      </c>
      <c r="B601" t="s">
        <v>389</v>
      </c>
      <c r="C601">
        <v>0</v>
      </c>
    </row>
    <row r="602" spans="1:3" ht="15.75" x14ac:dyDescent="0.25">
      <c r="A602">
        <v>163606</v>
      </c>
      <c r="B602" t="s">
        <v>390</v>
      </c>
      <c r="C602">
        <v>0</v>
      </c>
    </row>
    <row r="603" spans="1:3" ht="15.75" x14ac:dyDescent="0.25">
      <c r="A603">
        <v>163607</v>
      </c>
      <c r="B603" t="s">
        <v>396</v>
      </c>
      <c r="C603">
        <v>0</v>
      </c>
    </row>
    <row r="604" spans="1:3" ht="15.75" x14ac:dyDescent="0.25">
      <c r="A604">
        <v>163608</v>
      </c>
      <c r="B604" t="s">
        <v>310</v>
      </c>
      <c r="C604">
        <v>0</v>
      </c>
    </row>
    <row r="605" spans="1:3" ht="15.75" x14ac:dyDescent="0.25">
      <c r="A605">
        <v>163609</v>
      </c>
      <c r="B605" t="s">
        <v>392</v>
      </c>
      <c r="C605">
        <v>0</v>
      </c>
    </row>
    <row r="606" spans="1:3" ht="15.75" x14ac:dyDescent="0.25">
      <c r="A606">
        <v>163610</v>
      </c>
      <c r="B606" t="s">
        <v>391</v>
      </c>
      <c r="C606">
        <v>0</v>
      </c>
    </row>
    <row r="607" spans="1:3" ht="15.75" x14ac:dyDescent="0.25">
      <c r="A607">
        <v>1637</v>
      </c>
      <c r="B607" t="s">
        <v>403</v>
      </c>
      <c r="C607">
        <f>SUM(C608:C618)</f>
        <v>0</v>
      </c>
    </row>
    <row r="608" spans="1:3" ht="15.75" x14ac:dyDescent="0.25">
      <c r="A608">
        <v>163701</v>
      </c>
      <c r="B608" t="s">
        <v>305</v>
      </c>
      <c r="C608">
        <v>0</v>
      </c>
    </row>
    <row r="609" spans="1:3" ht="15.75" x14ac:dyDescent="0.25">
      <c r="A609">
        <v>163702</v>
      </c>
      <c r="B609" t="s">
        <v>404</v>
      </c>
      <c r="C609">
        <v>0</v>
      </c>
    </row>
    <row r="610" spans="1:3" ht="15.75" x14ac:dyDescent="0.25">
      <c r="A610">
        <v>163703</v>
      </c>
      <c r="B610" t="s">
        <v>384</v>
      </c>
      <c r="C610">
        <v>0</v>
      </c>
    </row>
    <row r="611" spans="1:3" ht="15.75" x14ac:dyDescent="0.25">
      <c r="A611">
        <v>163705</v>
      </c>
      <c r="B611" t="s">
        <v>385</v>
      </c>
      <c r="C611">
        <v>0</v>
      </c>
    </row>
    <row r="612" spans="1:3" ht="15.75" x14ac:dyDescent="0.25">
      <c r="A612">
        <v>163706</v>
      </c>
      <c r="B612" t="s">
        <v>386</v>
      </c>
      <c r="C612">
        <v>0</v>
      </c>
    </row>
    <row r="613" spans="1:3" ht="15.75" x14ac:dyDescent="0.25">
      <c r="A613">
        <v>163707</v>
      </c>
      <c r="B613" t="s">
        <v>389</v>
      </c>
      <c r="C613">
        <v>0</v>
      </c>
    </row>
    <row r="614" spans="1:3" ht="15.75" x14ac:dyDescent="0.25">
      <c r="A614">
        <v>163708</v>
      </c>
      <c r="B614" t="s">
        <v>390</v>
      </c>
      <c r="C614">
        <v>0</v>
      </c>
    </row>
    <row r="615" spans="1:3" ht="15.75" x14ac:dyDescent="0.25">
      <c r="A615">
        <v>163709</v>
      </c>
      <c r="B615" t="s">
        <v>396</v>
      </c>
      <c r="C615">
        <v>0</v>
      </c>
    </row>
    <row r="616" spans="1:3" ht="15.75" x14ac:dyDescent="0.25">
      <c r="A616">
        <v>163710</v>
      </c>
      <c r="B616" t="s">
        <v>310</v>
      </c>
      <c r="C616">
        <v>0</v>
      </c>
    </row>
    <row r="617" spans="1:3" ht="15.75" x14ac:dyDescent="0.25">
      <c r="A617">
        <v>163711</v>
      </c>
      <c r="B617" t="s">
        <v>392</v>
      </c>
      <c r="C617">
        <v>0</v>
      </c>
    </row>
    <row r="618" spans="1:3" ht="15.75" x14ac:dyDescent="0.25">
      <c r="A618">
        <v>163712</v>
      </c>
      <c r="B618" t="s">
        <v>391</v>
      </c>
      <c r="C618">
        <v>0</v>
      </c>
    </row>
    <row r="619" spans="1:3" ht="15.75" x14ac:dyDescent="0.25">
      <c r="A619">
        <v>1640</v>
      </c>
      <c r="B619" t="s">
        <v>405</v>
      </c>
      <c r="C619">
        <v>9960000</v>
      </c>
    </row>
    <row r="620" spans="1:3" ht="15.75" x14ac:dyDescent="0.25">
      <c r="A620">
        <v>164001</v>
      </c>
      <c r="B620" t="s">
        <v>406</v>
      </c>
      <c r="C620">
        <v>9960000</v>
      </c>
    </row>
    <row r="621" spans="1:3" ht="15.75" x14ac:dyDescent="0.25">
      <c r="A621">
        <v>164002</v>
      </c>
      <c r="B621" t="s">
        <v>407</v>
      </c>
      <c r="C621">
        <v>0</v>
      </c>
    </row>
    <row r="622" spans="1:3" ht="15.75" x14ac:dyDescent="0.25">
      <c r="A622">
        <v>164003</v>
      </c>
      <c r="B622" t="s">
        <v>408</v>
      </c>
      <c r="C622">
        <v>0</v>
      </c>
    </row>
    <row r="623" spans="1:3" ht="15.75" x14ac:dyDescent="0.25">
      <c r="A623">
        <v>164004</v>
      </c>
      <c r="B623" t="s">
        <v>409</v>
      </c>
      <c r="C623">
        <v>0</v>
      </c>
    </row>
    <row r="624" spans="1:3" ht="15.75" x14ac:dyDescent="0.25">
      <c r="A624">
        <v>164005</v>
      </c>
      <c r="B624" t="s">
        <v>410</v>
      </c>
      <c r="C624">
        <v>0</v>
      </c>
    </row>
    <row r="625" spans="1:3" ht="15.75" x14ac:dyDescent="0.25">
      <c r="A625">
        <v>164006</v>
      </c>
      <c r="B625" t="s">
        <v>411</v>
      </c>
      <c r="C625">
        <v>0</v>
      </c>
    </row>
    <row r="626" spans="1:3" ht="15.75" x14ac:dyDescent="0.25">
      <c r="A626">
        <v>164007</v>
      </c>
      <c r="B626" t="s">
        <v>412</v>
      </c>
      <c r="C626">
        <v>0</v>
      </c>
    </row>
    <row r="627" spans="1:3" ht="15.75" x14ac:dyDescent="0.25">
      <c r="A627">
        <v>164008</v>
      </c>
      <c r="B627" t="s">
        <v>413</v>
      </c>
      <c r="C627">
        <v>0</v>
      </c>
    </row>
    <row r="628" spans="1:3" ht="15.75" x14ac:dyDescent="0.25">
      <c r="A628">
        <v>164009</v>
      </c>
      <c r="B628" t="s">
        <v>414</v>
      </c>
      <c r="C628">
        <v>0</v>
      </c>
    </row>
    <row r="629" spans="1:3" ht="15.75" x14ac:dyDescent="0.25">
      <c r="A629">
        <v>164010</v>
      </c>
      <c r="B629" t="s">
        <v>415</v>
      </c>
      <c r="C629">
        <v>0</v>
      </c>
    </row>
    <row r="630" spans="1:3" ht="15.75" x14ac:dyDescent="0.25">
      <c r="A630">
        <v>164011</v>
      </c>
      <c r="B630" t="s">
        <v>416</v>
      </c>
      <c r="C630">
        <v>0</v>
      </c>
    </row>
    <row r="631" spans="1:3" ht="15.75" x14ac:dyDescent="0.25">
      <c r="A631">
        <v>164012</v>
      </c>
      <c r="B631" t="s">
        <v>417</v>
      </c>
      <c r="C631">
        <v>0</v>
      </c>
    </row>
    <row r="632" spans="1:3" ht="15.75" x14ac:dyDescent="0.25">
      <c r="A632">
        <v>164013</v>
      </c>
      <c r="B632" t="s">
        <v>418</v>
      </c>
      <c r="C632">
        <v>0</v>
      </c>
    </row>
    <row r="633" spans="1:3" ht="15.75" x14ac:dyDescent="0.25">
      <c r="A633">
        <v>164014</v>
      </c>
      <c r="B633" t="s">
        <v>419</v>
      </c>
      <c r="C633">
        <v>0</v>
      </c>
    </row>
    <row r="634" spans="1:3" ht="15.75" x14ac:dyDescent="0.25">
      <c r="A634">
        <v>164015</v>
      </c>
      <c r="B634" t="s">
        <v>420</v>
      </c>
      <c r="C634">
        <v>0</v>
      </c>
    </row>
    <row r="635" spans="1:3" ht="15.75" x14ac:dyDescent="0.25">
      <c r="A635">
        <v>164017</v>
      </c>
      <c r="B635" t="s">
        <v>421</v>
      </c>
      <c r="C635">
        <v>0</v>
      </c>
    </row>
    <row r="636" spans="1:3" ht="15.75" x14ac:dyDescent="0.25">
      <c r="A636">
        <v>164018</v>
      </c>
      <c r="B636" t="s">
        <v>422</v>
      </c>
      <c r="C636">
        <v>0</v>
      </c>
    </row>
    <row r="637" spans="1:3" ht="15.75" x14ac:dyDescent="0.25">
      <c r="A637">
        <v>164019</v>
      </c>
      <c r="B637" t="s">
        <v>423</v>
      </c>
      <c r="C637">
        <v>0</v>
      </c>
    </row>
    <row r="638" spans="1:3" ht="15.75" x14ac:dyDescent="0.25">
      <c r="A638">
        <v>164020</v>
      </c>
      <c r="B638" t="s">
        <v>424</v>
      </c>
      <c r="C638">
        <v>0</v>
      </c>
    </row>
    <row r="639" spans="1:3" ht="15.75" x14ac:dyDescent="0.25">
      <c r="A639">
        <v>164022</v>
      </c>
      <c r="B639" t="s">
        <v>425</v>
      </c>
      <c r="C639">
        <v>0</v>
      </c>
    </row>
    <row r="640" spans="1:3" ht="15.75" x14ac:dyDescent="0.25">
      <c r="A640">
        <v>164023</v>
      </c>
      <c r="B640" t="s">
        <v>426</v>
      </c>
      <c r="C640">
        <v>0</v>
      </c>
    </row>
    <row r="641" spans="1:3" ht="15.75" x14ac:dyDescent="0.25">
      <c r="A641">
        <v>164024</v>
      </c>
      <c r="B641" t="s">
        <v>427</v>
      </c>
      <c r="C641">
        <v>0</v>
      </c>
    </row>
    <row r="642" spans="1:3" ht="15.75" x14ac:dyDescent="0.25">
      <c r="A642">
        <v>164025</v>
      </c>
      <c r="B642" t="s">
        <v>428</v>
      </c>
      <c r="C642">
        <v>0</v>
      </c>
    </row>
    <row r="643" spans="1:3" ht="15.75" x14ac:dyDescent="0.25">
      <c r="A643">
        <v>164027</v>
      </c>
      <c r="B643" t="s">
        <v>429</v>
      </c>
      <c r="C643">
        <v>0</v>
      </c>
    </row>
    <row r="644" spans="1:3" ht="15.75" x14ac:dyDescent="0.25">
      <c r="A644">
        <v>164028</v>
      </c>
      <c r="B644" t="s">
        <v>430</v>
      </c>
      <c r="C644">
        <v>0</v>
      </c>
    </row>
    <row r="645" spans="1:3" ht="15.75" x14ac:dyDescent="0.25">
      <c r="A645">
        <v>164090</v>
      </c>
      <c r="B645" t="s">
        <v>431</v>
      </c>
      <c r="C645">
        <v>0</v>
      </c>
    </row>
    <row r="646" spans="1:3" ht="15.75" x14ac:dyDescent="0.25">
      <c r="A646">
        <v>1642</v>
      </c>
      <c r="B646" t="s">
        <v>432</v>
      </c>
      <c r="C646">
        <f>SUM(C647:C656)</f>
        <v>0</v>
      </c>
    </row>
    <row r="647" spans="1:3" ht="15.75" x14ac:dyDescent="0.25">
      <c r="A647">
        <v>164201</v>
      </c>
      <c r="B647" t="s">
        <v>384</v>
      </c>
      <c r="C647">
        <v>0</v>
      </c>
    </row>
    <row r="648" spans="1:3" ht="15.75" x14ac:dyDescent="0.25">
      <c r="A648">
        <v>164202</v>
      </c>
      <c r="B648" t="s">
        <v>385</v>
      </c>
      <c r="C648">
        <v>0</v>
      </c>
    </row>
    <row r="649" spans="1:3" ht="15.75" x14ac:dyDescent="0.25">
      <c r="A649">
        <v>164203</v>
      </c>
      <c r="B649" t="s">
        <v>386</v>
      </c>
      <c r="C649">
        <v>0</v>
      </c>
    </row>
    <row r="650" spans="1:3" ht="15.75" x14ac:dyDescent="0.25">
      <c r="A650">
        <v>164204</v>
      </c>
      <c r="B650" t="s">
        <v>389</v>
      </c>
      <c r="C650">
        <v>0</v>
      </c>
    </row>
    <row r="651" spans="1:3" ht="15.75" x14ac:dyDescent="0.25">
      <c r="A651">
        <v>164205</v>
      </c>
      <c r="B651" t="s">
        <v>390</v>
      </c>
      <c r="C651">
        <v>0</v>
      </c>
    </row>
    <row r="652" spans="1:3" ht="15.75" x14ac:dyDescent="0.25">
      <c r="A652">
        <v>164206</v>
      </c>
      <c r="B652" t="s">
        <v>396</v>
      </c>
      <c r="C652">
        <v>0</v>
      </c>
    </row>
    <row r="653" spans="1:3" ht="15.75" x14ac:dyDescent="0.25">
      <c r="A653">
        <v>164207</v>
      </c>
      <c r="B653" t="s">
        <v>310</v>
      </c>
      <c r="C653">
        <v>0</v>
      </c>
    </row>
    <row r="654" spans="1:3" ht="15.75" x14ac:dyDescent="0.25">
      <c r="A654">
        <v>164208</v>
      </c>
      <c r="B654" t="s">
        <v>392</v>
      </c>
      <c r="C654">
        <v>0</v>
      </c>
    </row>
    <row r="655" spans="1:3" ht="15.75" x14ac:dyDescent="0.25">
      <c r="A655">
        <v>164209</v>
      </c>
      <c r="B655" t="s">
        <v>391</v>
      </c>
      <c r="C655">
        <v>0</v>
      </c>
    </row>
    <row r="656" spans="1:3" ht="15.75" x14ac:dyDescent="0.25">
      <c r="A656">
        <v>164290</v>
      </c>
      <c r="B656" t="s">
        <v>433</v>
      </c>
      <c r="C656">
        <v>0</v>
      </c>
    </row>
    <row r="657" spans="1:3" ht="15.75" x14ac:dyDescent="0.25">
      <c r="A657">
        <v>1645</v>
      </c>
      <c r="B657" t="s">
        <v>434</v>
      </c>
      <c r="C657">
        <v>5505700</v>
      </c>
    </row>
    <row r="658" spans="1:3" ht="15.75" x14ac:dyDescent="0.25">
      <c r="A658">
        <v>164501</v>
      </c>
      <c r="B658" t="s">
        <v>435</v>
      </c>
      <c r="C658">
        <v>0</v>
      </c>
    </row>
    <row r="659" spans="1:3" ht="15.75" x14ac:dyDescent="0.25">
      <c r="A659">
        <v>164502</v>
      </c>
      <c r="B659" t="s">
        <v>436</v>
      </c>
      <c r="C659">
        <v>1299700</v>
      </c>
    </row>
    <row r="660" spans="1:3" ht="15.75" x14ac:dyDescent="0.25">
      <c r="A660">
        <v>164503</v>
      </c>
      <c r="B660" t="s">
        <v>437</v>
      </c>
      <c r="C660">
        <v>0</v>
      </c>
    </row>
    <row r="661" spans="1:3" ht="15.75" x14ac:dyDescent="0.25">
      <c r="A661">
        <v>164504</v>
      </c>
      <c r="B661" t="s">
        <v>438</v>
      </c>
      <c r="C661">
        <v>0</v>
      </c>
    </row>
    <row r="662" spans="1:3" ht="15.75" x14ac:dyDescent="0.25">
      <c r="A662">
        <v>164505</v>
      </c>
      <c r="B662" t="s">
        <v>439</v>
      </c>
      <c r="C662">
        <v>0</v>
      </c>
    </row>
    <row r="663" spans="1:3" ht="15.75" x14ac:dyDescent="0.25">
      <c r="A663">
        <v>164506</v>
      </c>
      <c r="B663" t="s">
        <v>440</v>
      </c>
      <c r="C663">
        <v>0</v>
      </c>
    </row>
    <row r="664" spans="1:3" ht="15.75" x14ac:dyDescent="0.25">
      <c r="A664">
        <v>164507</v>
      </c>
      <c r="B664" t="s">
        <v>441</v>
      </c>
      <c r="C664">
        <v>0</v>
      </c>
    </row>
    <row r="665" spans="1:3" ht="15.75" x14ac:dyDescent="0.25">
      <c r="A665">
        <v>164508</v>
      </c>
      <c r="B665" t="s">
        <v>442</v>
      </c>
      <c r="C665">
        <v>0</v>
      </c>
    </row>
    <row r="666" spans="1:3" ht="15.75" x14ac:dyDescent="0.25">
      <c r="A666">
        <v>164512</v>
      </c>
      <c r="B666" t="s">
        <v>443</v>
      </c>
      <c r="C666">
        <v>0</v>
      </c>
    </row>
    <row r="667" spans="1:3" ht="15.75" x14ac:dyDescent="0.25">
      <c r="A667">
        <v>164513</v>
      </c>
      <c r="B667" t="s">
        <v>444</v>
      </c>
      <c r="C667">
        <v>4206000</v>
      </c>
    </row>
    <row r="668" spans="1:3" ht="15.75" x14ac:dyDescent="0.25">
      <c r="A668">
        <v>164514</v>
      </c>
      <c r="B668" t="s">
        <v>445</v>
      </c>
      <c r="C668">
        <v>0</v>
      </c>
    </row>
    <row r="669" spans="1:3" ht="15.75" x14ac:dyDescent="0.25">
      <c r="A669">
        <v>164515</v>
      </c>
      <c r="B669" t="s">
        <v>446</v>
      </c>
      <c r="C669">
        <v>0</v>
      </c>
    </row>
    <row r="670" spans="1:3" ht="15.75" x14ac:dyDescent="0.25">
      <c r="A670">
        <v>164516</v>
      </c>
      <c r="B670" t="s">
        <v>447</v>
      </c>
      <c r="C670">
        <v>0</v>
      </c>
    </row>
    <row r="671" spans="1:3" ht="15.75" x14ac:dyDescent="0.25">
      <c r="A671">
        <v>164590</v>
      </c>
      <c r="B671" t="s">
        <v>448</v>
      </c>
      <c r="C671">
        <v>0</v>
      </c>
    </row>
    <row r="672" spans="1:3" ht="15.75" x14ac:dyDescent="0.25">
      <c r="A672">
        <v>1650</v>
      </c>
      <c r="B672" t="s">
        <v>449</v>
      </c>
      <c r="C672">
        <f>SUM(C673:C684)</f>
        <v>0</v>
      </c>
    </row>
    <row r="673" spans="1:3" ht="15.75" x14ac:dyDescent="0.25">
      <c r="A673">
        <v>165002</v>
      </c>
      <c r="B673" t="s">
        <v>450</v>
      </c>
      <c r="C673">
        <v>0</v>
      </c>
    </row>
    <row r="674" spans="1:3" ht="15.75" x14ac:dyDescent="0.25">
      <c r="A674">
        <v>165003</v>
      </c>
      <c r="B674" t="s">
        <v>451</v>
      </c>
      <c r="C674">
        <v>0</v>
      </c>
    </row>
    <row r="675" spans="1:3" ht="15.75" x14ac:dyDescent="0.25">
      <c r="A675">
        <v>165004</v>
      </c>
      <c r="B675" t="s">
        <v>452</v>
      </c>
      <c r="C675">
        <v>0</v>
      </c>
    </row>
    <row r="676" spans="1:3" ht="15.75" x14ac:dyDescent="0.25">
      <c r="A676">
        <v>165005</v>
      </c>
      <c r="B676" t="s">
        <v>453</v>
      </c>
      <c r="C676">
        <v>0</v>
      </c>
    </row>
    <row r="677" spans="1:3" ht="15.75" x14ac:dyDescent="0.25">
      <c r="A677">
        <v>165006</v>
      </c>
      <c r="B677" t="s">
        <v>454</v>
      </c>
      <c r="C677">
        <v>0</v>
      </c>
    </row>
    <row r="678" spans="1:3" ht="15.75" x14ac:dyDescent="0.25">
      <c r="A678">
        <v>165007</v>
      </c>
      <c r="B678" t="s">
        <v>455</v>
      </c>
      <c r="C678">
        <v>0</v>
      </c>
    </row>
    <row r="679" spans="1:3" ht="15.75" x14ac:dyDescent="0.25">
      <c r="A679">
        <v>165008</v>
      </c>
      <c r="B679" t="s">
        <v>456</v>
      </c>
      <c r="C679">
        <v>0</v>
      </c>
    </row>
    <row r="680" spans="1:3" ht="15.75" x14ac:dyDescent="0.25">
      <c r="A680">
        <v>165009</v>
      </c>
      <c r="B680" t="s">
        <v>457</v>
      </c>
      <c r="C680">
        <v>0</v>
      </c>
    </row>
    <row r="681" spans="1:3" ht="15.75" x14ac:dyDescent="0.25">
      <c r="A681">
        <v>165010</v>
      </c>
      <c r="B681" t="s">
        <v>458</v>
      </c>
      <c r="C681">
        <v>0</v>
      </c>
    </row>
    <row r="682" spans="1:3" ht="15.75" x14ac:dyDescent="0.25">
      <c r="A682">
        <v>165011</v>
      </c>
      <c r="B682" t="s">
        <v>459</v>
      </c>
      <c r="C682">
        <v>0</v>
      </c>
    </row>
    <row r="683" spans="1:3" ht="15.75" x14ac:dyDescent="0.25">
      <c r="A683">
        <v>165012</v>
      </c>
      <c r="B683" t="s">
        <v>460</v>
      </c>
      <c r="C683">
        <v>0</v>
      </c>
    </row>
    <row r="684" spans="1:3" ht="15.75" x14ac:dyDescent="0.25">
      <c r="A684">
        <v>165090</v>
      </c>
      <c r="B684" t="s">
        <v>461</v>
      </c>
      <c r="C684">
        <v>0</v>
      </c>
    </row>
    <row r="685" spans="1:3" ht="15.75" x14ac:dyDescent="0.25">
      <c r="A685">
        <v>1655</v>
      </c>
      <c r="B685" t="s">
        <v>462</v>
      </c>
      <c r="C685">
        <v>5945000</v>
      </c>
    </row>
    <row r="686" spans="1:3" ht="15.75" x14ac:dyDescent="0.25">
      <c r="A686">
        <v>165501</v>
      </c>
      <c r="B686" t="s">
        <v>463</v>
      </c>
      <c r="C686">
        <v>0</v>
      </c>
    </row>
    <row r="687" spans="1:3" ht="15.75" x14ac:dyDescent="0.25">
      <c r="A687">
        <v>165503</v>
      </c>
      <c r="B687" t="s">
        <v>464</v>
      </c>
      <c r="C687">
        <v>0</v>
      </c>
    </row>
    <row r="688" spans="1:3" ht="15.75" x14ac:dyDescent="0.25">
      <c r="A688">
        <v>165504</v>
      </c>
      <c r="B688" t="s">
        <v>465</v>
      </c>
      <c r="C688">
        <v>0</v>
      </c>
    </row>
    <row r="689" spans="1:3" ht="15.75" x14ac:dyDescent="0.25">
      <c r="A689">
        <v>165505</v>
      </c>
      <c r="B689" t="s">
        <v>466</v>
      </c>
      <c r="C689">
        <v>0</v>
      </c>
    </row>
    <row r="690" spans="1:3" ht="15.75" x14ac:dyDescent="0.25">
      <c r="A690">
        <v>165506</v>
      </c>
      <c r="B690" t="s">
        <v>467</v>
      </c>
      <c r="C690">
        <v>0</v>
      </c>
    </row>
    <row r="691" spans="1:3" ht="15.75" x14ac:dyDescent="0.25">
      <c r="A691">
        <v>165508</v>
      </c>
      <c r="B691" t="s">
        <v>468</v>
      </c>
      <c r="C691">
        <v>0</v>
      </c>
    </row>
    <row r="692" spans="1:3" ht="15.75" x14ac:dyDescent="0.25">
      <c r="A692">
        <v>165509</v>
      </c>
      <c r="B692" t="s">
        <v>469</v>
      </c>
      <c r="C692">
        <v>0</v>
      </c>
    </row>
    <row r="693" spans="1:3" ht="15.75" x14ac:dyDescent="0.25">
      <c r="A693">
        <v>165511</v>
      </c>
      <c r="B693" t="s">
        <v>470</v>
      </c>
      <c r="C693">
        <v>5945000</v>
      </c>
    </row>
    <row r="694" spans="1:3" ht="15.75" x14ac:dyDescent="0.25">
      <c r="A694">
        <v>165512</v>
      </c>
      <c r="B694" t="s">
        <v>471</v>
      </c>
      <c r="C694">
        <v>0</v>
      </c>
    </row>
    <row r="695" spans="1:3" ht="15.75" x14ac:dyDescent="0.25">
      <c r="A695">
        <v>165520</v>
      </c>
      <c r="B695" t="s">
        <v>472</v>
      </c>
      <c r="C695">
        <v>0</v>
      </c>
    </row>
    <row r="696" spans="1:3" ht="15.75" x14ac:dyDescent="0.25">
      <c r="A696">
        <v>165521</v>
      </c>
      <c r="B696" t="s">
        <v>473</v>
      </c>
      <c r="C696">
        <v>0</v>
      </c>
    </row>
    <row r="697" spans="1:3" ht="15.75" x14ac:dyDescent="0.25">
      <c r="A697">
        <v>165522</v>
      </c>
      <c r="B697" t="s">
        <v>474</v>
      </c>
      <c r="C697">
        <v>0</v>
      </c>
    </row>
    <row r="698" spans="1:3" ht="15.75" x14ac:dyDescent="0.25">
      <c r="A698">
        <v>165523</v>
      </c>
      <c r="B698" t="s">
        <v>475</v>
      </c>
      <c r="C698">
        <v>0</v>
      </c>
    </row>
    <row r="699" spans="1:3" ht="15.75" x14ac:dyDescent="0.25">
      <c r="A699">
        <v>165524</v>
      </c>
      <c r="B699" t="s">
        <v>476</v>
      </c>
      <c r="C699">
        <v>0</v>
      </c>
    </row>
    <row r="700" spans="1:3" ht="15.75" x14ac:dyDescent="0.25">
      <c r="A700">
        <v>165525</v>
      </c>
      <c r="B700" t="s">
        <v>477</v>
      </c>
      <c r="C700">
        <v>0</v>
      </c>
    </row>
    <row r="701" spans="1:3" ht="15.75" x14ac:dyDescent="0.25">
      <c r="A701">
        <v>165526</v>
      </c>
      <c r="B701" t="s">
        <v>478</v>
      </c>
      <c r="C701">
        <v>0</v>
      </c>
    </row>
    <row r="702" spans="1:3" ht="15.75" x14ac:dyDescent="0.25">
      <c r="A702">
        <v>165590</v>
      </c>
      <c r="B702" t="s">
        <v>479</v>
      </c>
      <c r="C702">
        <v>0</v>
      </c>
    </row>
    <row r="703" spans="1:3" ht="15.75" x14ac:dyDescent="0.25">
      <c r="A703">
        <v>1660</v>
      </c>
      <c r="B703" t="s">
        <v>480</v>
      </c>
      <c r="C703">
        <f>SUM(C704:C714)</f>
        <v>0</v>
      </c>
    </row>
    <row r="704" spans="1:3" ht="15.75" x14ac:dyDescent="0.25">
      <c r="A704">
        <v>166001</v>
      </c>
      <c r="B704" t="s">
        <v>481</v>
      </c>
      <c r="C704">
        <v>0</v>
      </c>
    </row>
    <row r="705" spans="1:3" ht="15.75" x14ac:dyDescent="0.25">
      <c r="A705">
        <v>166002</v>
      </c>
      <c r="B705" t="s">
        <v>482</v>
      </c>
      <c r="C705">
        <v>0</v>
      </c>
    </row>
    <row r="706" spans="1:3" ht="15.75" x14ac:dyDescent="0.25">
      <c r="A706">
        <v>166003</v>
      </c>
      <c r="B706" t="s">
        <v>483</v>
      </c>
      <c r="C706">
        <v>0</v>
      </c>
    </row>
    <row r="707" spans="1:3" ht="15.75" x14ac:dyDescent="0.25">
      <c r="A707">
        <v>166005</v>
      </c>
      <c r="B707" t="s">
        <v>484</v>
      </c>
      <c r="C707">
        <v>0</v>
      </c>
    </row>
    <row r="708" spans="1:3" ht="15.75" x14ac:dyDescent="0.25">
      <c r="A708">
        <v>166006</v>
      </c>
      <c r="B708" t="s">
        <v>485</v>
      </c>
      <c r="C708">
        <v>0</v>
      </c>
    </row>
    <row r="709" spans="1:3" ht="15.75" x14ac:dyDescent="0.25">
      <c r="A709">
        <v>166007</v>
      </c>
      <c r="B709" t="s">
        <v>486</v>
      </c>
      <c r="C709">
        <v>0</v>
      </c>
    </row>
    <row r="710" spans="1:3" ht="15.75" x14ac:dyDescent="0.25">
      <c r="A710">
        <v>166008</v>
      </c>
      <c r="B710" t="s">
        <v>487</v>
      </c>
      <c r="C710">
        <v>0</v>
      </c>
    </row>
    <row r="711" spans="1:3" ht="15.75" x14ac:dyDescent="0.25">
      <c r="A711">
        <v>166009</v>
      </c>
      <c r="B711" t="s">
        <v>488</v>
      </c>
      <c r="C711">
        <v>0</v>
      </c>
    </row>
    <row r="712" spans="1:3" ht="15.75" x14ac:dyDescent="0.25">
      <c r="A712">
        <v>166010</v>
      </c>
      <c r="B712" t="s">
        <v>489</v>
      </c>
      <c r="C712">
        <v>0</v>
      </c>
    </row>
    <row r="713" spans="1:3" ht="15.75" x14ac:dyDescent="0.25">
      <c r="A713">
        <v>166011</v>
      </c>
      <c r="B713" t="s">
        <v>490</v>
      </c>
      <c r="C713">
        <v>0</v>
      </c>
    </row>
    <row r="714" spans="1:3" ht="15.75" x14ac:dyDescent="0.25">
      <c r="A714">
        <v>166090</v>
      </c>
      <c r="B714" t="s">
        <v>491</v>
      </c>
      <c r="C714">
        <v>0</v>
      </c>
    </row>
    <row r="715" spans="1:3" ht="15.75" x14ac:dyDescent="0.25">
      <c r="A715">
        <v>1665</v>
      </c>
      <c r="B715" t="s">
        <v>492</v>
      </c>
      <c r="C715">
        <v>3005006</v>
      </c>
    </row>
    <row r="716" spans="1:3" ht="15.75" x14ac:dyDescent="0.25">
      <c r="A716">
        <v>166501</v>
      </c>
      <c r="B716" t="s">
        <v>315</v>
      </c>
      <c r="C716">
        <v>3005006</v>
      </c>
    </row>
    <row r="717" spans="1:3" ht="15.75" x14ac:dyDescent="0.25">
      <c r="A717">
        <v>166502</v>
      </c>
      <c r="B717" t="s">
        <v>493</v>
      </c>
      <c r="C717">
        <v>0</v>
      </c>
    </row>
    <row r="718" spans="1:3" ht="15.75" x14ac:dyDescent="0.25">
      <c r="A718">
        <v>166504</v>
      </c>
      <c r="B718" t="s">
        <v>494</v>
      </c>
      <c r="C718">
        <v>0</v>
      </c>
    </row>
    <row r="719" spans="1:3" ht="15.75" x14ac:dyDescent="0.25">
      <c r="A719">
        <v>166505</v>
      </c>
      <c r="B719" t="s">
        <v>495</v>
      </c>
      <c r="C719">
        <v>0</v>
      </c>
    </row>
    <row r="720" spans="1:3" ht="15.75" x14ac:dyDescent="0.25">
      <c r="A720">
        <v>166590</v>
      </c>
      <c r="B720" t="s">
        <v>496</v>
      </c>
      <c r="C720">
        <v>0</v>
      </c>
    </row>
    <row r="721" spans="1:3" ht="15.75" x14ac:dyDescent="0.25">
      <c r="A721">
        <v>1670</v>
      </c>
      <c r="B721" t="s">
        <v>497</v>
      </c>
      <c r="C721">
        <v>16768357</v>
      </c>
    </row>
    <row r="722" spans="1:3" ht="15.75" x14ac:dyDescent="0.25">
      <c r="A722">
        <v>167001</v>
      </c>
      <c r="B722" t="s">
        <v>498</v>
      </c>
      <c r="C722">
        <v>0</v>
      </c>
    </row>
    <row r="723" spans="1:3" ht="15.75" x14ac:dyDescent="0.25">
      <c r="A723">
        <v>167002</v>
      </c>
      <c r="B723" t="s">
        <v>499</v>
      </c>
      <c r="C723">
        <v>11703357</v>
      </c>
    </row>
    <row r="724" spans="1:3" ht="15.75" x14ac:dyDescent="0.25">
      <c r="A724">
        <v>167004</v>
      </c>
      <c r="B724" t="s">
        <v>500</v>
      </c>
      <c r="C724">
        <v>0</v>
      </c>
    </row>
    <row r="725" spans="1:3" ht="15.75" x14ac:dyDescent="0.25">
      <c r="A725">
        <v>167005</v>
      </c>
      <c r="B725" t="s">
        <v>501</v>
      </c>
      <c r="C725">
        <v>0</v>
      </c>
    </row>
    <row r="726" spans="1:3" ht="15.75" x14ac:dyDescent="0.25">
      <c r="A726">
        <v>167006</v>
      </c>
      <c r="B726" t="s">
        <v>502</v>
      </c>
      <c r="C726">
        <v>0</v>
      </c>
    </row>
    <row r="727" spans="1:3" ht="15.75" x14ac:dyDescent="0.25">
      <c r="A727">
        <v>167007</v>
      </c>
      <c r="B727" t="s">
        <v>503</v>
      </c>
      <c r="C727">
        <v>0</v>
      </c>
    </row>
    <row r="728" spans="1:3" ht="15.75" x14ac:dyDescent="0.25">
      <c r="A728">
        <v>167090</v>
      </c>
      <c r="B728" t="s">
        <v>504</v>
      </c>
      <c r="C728">
        <v>5065000</v>
      </c>
    </row>
    <row r="729" spans="1:3" ht="15.75" x14ac:dyDescent="0.25">
      <c r="A729">
        <v>1675</v>
      </c>
      <c r="B729" t="s">
        <v>505</v>
      </c>
      <c r="C729">
        <v>16179072</v>
      </c>
    </row>
    <row r="730" spans="1:3" ht="15.75" x14ac:dyDescent="0.25">
      <c r="A730">
        <v>167501</v>
      </c>
      <c r="B730" t="s">
        <v>506</v>
      </c>
      <c r="C730">
        <v>0</v>
      </c>
    </row>
    <row r="731" spans="1:3" ht="15.75" x14ac:dyDescent="0.25">
      <c r="A731">
        <v>167502</v>
      </c>
      <c r="B731" t="s">
        <v>507</v>
      </c>
      <c r="C731">
        <v>16179072</v>
      </c>
    </row>
    <row r="732" spans="1:3" ht="15.75" x14ac:dyDescent="0.25">
      <c r="A732">
        <v>167503</v>
      </c>
      <c r="B732" t="s">
        <v>508</v>
      </c>
      <c r="C732">
        <v>0</v>
      </c>
    </row>
    <row r="733" spans="1:3" ht="15.75" x14ac:dyDescent="0.25">
      <c r="A733">
        <v>167504</v>
      </c>
      <c r="B733" t="s">
        <v>509</v>
      </c>
      <c r="C733">
        <v>0</v>
      </c>
    </row>
    <row r="734" spans="1:3" ht="15.75" x14ac:dyDescent="0.25">
      <c r="A734">
        <v>167505</v>
      </c>
      <c r="B734" t="s">
        <v>510</v>
      </c>
      <c r="C734">
        <v>0</v>
      </c>
    </row>
    <row r="735" spans="1:3" ht="15.75" x14ac:dyDescent="0.25">
      <c r="A735">
        <v>167506</v>
      </c>
      <c r="B735" t="s">
        <v>511</v>
      </c>
      <c r="C735">
        <v>0</v>
      </c>
    </row>
    <row r="736" spans="1:3" ht="15.75" x14ac:dyDescent="0.25">
      <c r="A736">
        <v>167507</v>
      </c>
      <c r="B736" t="s">
        <v>512</v>
      </c>
      <c r="C736">
        <v>0</v>
      </c>
    </row>
    <row r="737" spans="1:3" ht="15.75" x14ac:dyDescent="0.25">
      <c r="A737">
        <v>167508</v>
      </c>
      <c r="B737" t="s">
        <v>513</v>
      </c>
      <c r="C737">
        <v>0</v>
      </c>
    </row>
    <row r="738" spans="1:3" ht="15.75" x14ac:dyDescent="0.25">
      <c r="A738">
        <v>167590</v>
      </c>
      <c r="B738" t="s">
        <v>514</v>
      </c>
      <c r="C738">
        <v>0</v>
      </c>
    </row>
    <row r="739" spans="1:3" ht="15.75" x14ac:dyDescent="0.25">
      <c r="A739">
        <v>1680</v>
      </c>
      <c r="B739" t="s">
        <v>515</v>
      </c>
      <c r="C739">
        <v>145681</v>
      </c>
    </row>
    <row r="740" spans="1:3" ht="15.75" x14ac:dyDescent="0.25">
      <c r="A740">
        <v>168001</v>
      </c>
      <c r="B740" t="s">
        <v>516</v>
      </c>
      <c r="C740">
        <v>0</v>
      </c>
    </row>
    <row r="741" spans="1:3" ht="15.75" x14ac:dyDescent="0.25">
      <c r="A741">
        <v>168002</v>
      </c>
      <c r="B741" t="s">
        <v>517</v>
      </c>
      <c r="C741">
        <v>0</v>
      </c>
    </row>
    <row r="742" spans="1:3" ht="15.75" x14ac:dyDescent="0.25">
      <c r="A742">
        <v>168003</v>
      </c>
      <c r="B742" t="s">
        <v>518</v>
      </c>
      <c r="C742">
        <v>0</v>
      </c>
    </row>
    <row r="743" spans="1:3" ht="15.75" x14ac:dyDescent="0.25">
      <c r="A743">
        <v>168004</v>
      </c>
      <c r="B743" t="s">
        <v>519</v>
      </c>
      <c r="C743">
        <v>0</v>
      </c>
    </row>
    <row r="744" spans="1:3" ht="15.75" x14ac:dyDescent="0.25">
      <c r="A744">
        <v>168005</v>
      </c>
      <c r="B744" t="s">
        <v>520</v>
      </c>
      <c r="C744">
        <v>0</v>
      </c>
    </row>
    <row r="745" spans="1:3" ht="15.75" x14ac:dyDescent="0.25">
      <c r="A745">
        <v>168006</v>
      </c>
      <c r="B745" t="s">
        <v>521</v>
      </c>
      <c r="C745">
        <v>0</v>
      </c>
    </row>
    <row r="746" spans="1:3" ht="15.75" x14ac:dyDescent="0.25">
      <c r="A746">
        <v>168090</v>
      </c>
      <c r="B746" t="s">
        <v>522</v>
      </c>
      <c r="C746">
        <v>145681</v>
      </c>
    </row>
    <row r="747" spans="1:3" ht="15.75" x14ac:dyDescent="0.25">
      <c r="A747">
        <v>1681</v>
      </c>
      <c r="B747" t="s">
        <v>523</v>
      </c>
      <c r="C747">
        <f>SUM(C748:C754)</f>
        <v>0</v>
      </c>
    </row>
    <row r="748" spans="1:3" ht="15.75" x14ac:dyDescent="0.25">
      <c r="A748">
        <v>168101</v>
      </c>
      <c r="B748" t="s">
        <v>524</v>
      </c>
      <c r="C748">
        <v>0</v>
      </c>
    </row>
    <row r="749" spans="1:3" ht="15.75" x14ac:dyDescent="0.25">
      <c r="A749">
        <v>168103</v>
      </c>
      <c r="B749" t="s">
        <v>525</v>
      </c>
      <c r="C749">
        <v>0</v>
      </c>
    </row>
    <row r="750" spans="1:3" ht="15.75" x14ac:dyDescent="0.25">
      <c r="A750">
        <v>168104</v>
      </c>
      <c r="B750" t="s">
        <v>526</v>
      </c>
      <c r="C750">
        <v>0</v>
      </c>
    </row>
    <row r="751" spans="1:3" ht="15.75" x14ac:dyDescent="0.25">
      <c r="A751">
        <v>168105</v>
      </c>
      <c r="B751" t="s">
        <v>527</v>
      </c>
      <c r="C751">
        <v>0</v>
      </c>
    </row>
    <row r="752" spans="1:3" ht="15.75" x14ac:dyDescent="0.25">
      <c r="A752">
        <v>168106</v>
      </c>
      <c r="B752" t="s">
        <v>528</v>
      </c>
      <c r="C752">
        <v>0</v>
      </c>
    </row>
    <row r="753" spans="1:3" ht="15.75" x14ac:dyDescent="0.25">
      <c r="A753">
        <v>168107</v>
      </c>
      <c r="B753" t="s">
        <v>529</v>
      </c>
      <c r="C753">
        <v>0</v>
      </c>
    </row>
    <row r="754" spans="1:3" ht="15.75" x14ac:dyDescent="0.25">
      <c r="A754">
        <v>168190</v>
      </c>
      <c r="B754" t="s">
        <v>530</v>
      </c>
      <c r="C754">
        <v>0</v>
      </c>
    </row>
    <row r="755" spans="1:3" ht="15.75" x14ac:dyDescent="0.25">
      <c r="A755">
        <v>1683</v>
      </c>
      <c r="B755" t="s">
        <v>531</v>
      </c>
      <c r="C755">
        <f>SUM(C756:C766)</f>
        <v>0</v>
      </c>
    </row>
    <row r="756" spans="1:3" ht="15.75" x14ac:dyDescent="0.25">
      <c r="A756">
        <v>168301</v>
      </c>
      <c r="B756" t="s">
        <v>305</v>
      </c>
      <c r="C756">
        <v>0</v>
      </c>
    </row>
    <row r="757" spans="1:3" ht="15.75" x14ac:dyDescent="0.25">
      <c r="A757">
        <v>168302</v>
      </c>
      <c r="B757" t="s">
        <v>384</v>
      </c>
      <c r="C757">
        <v>0</v>
      </c>
    </row>
    <row r="758" spans="1:3" ht="15.75" x14ac:dyDescent="0.25">
      <c r="A758">
        <v>168303</v>
      </c>
      <c r="B758" t="s">
        <v>385</v>
      </c>
      <c r="C758">
        <v>0</v>
      </c>
    </row>
    <row r="759" spans="1:3" ht="15.75" x14ac:dyDescent="0.25">
      <c r="A759">
        <v>168304</v>
      </c>
      <c r="B759" t="s">
        <v>386</v>
      </c>
      <c r="C759">
        <v>0</v>
      </c>
    </row>
    <row r="760" spans="1:3" ht="15.75" x14ac:dyDescent="0.25">
      <c r="A760">
        <v>168305</v>
      </c>
      <c r="B760" t="s">
        <v>532</v>
      </c>
      <c r="C760">
        <v>0</v>
      </c>
    </row>
    <row r="761" spans="1:3" ht="15.75" x14ac:dyDescent="0.25">
      <c r="A761">
        <v>168306</v>
      </c>
      <c r="B761" t="s">
        <v>390</v>
      </c>
      <c r="C761">
        <v>0</v>
      </c>
    </row>
    <row r="762" spans="1:3" ht="15.75" x14ac:dyDescent="0.25">
      <c r="A762">
        <v>168307</v>
      </c>
      <c r="B762" t="s">
        <v>396</v>
      </c>
      <c r="C762">
        <v>0</v>
      </c>
    </row>
    <row r="763" spans="1:3" ht="15.75" x14ac:dyDescent="0.25">
      <c r="A763">
        <v>168308</v>
      </c>
      <c r="B763" t="s">
        <v>310</v>
      </c>
      <c r="C763">
        <v>0</v>
      </c>
    </row>
    <row r="764" spans="1:3" ht="15.75" x14ac:dyDescent="0.25">
      <c r="A764">
        <v>168309</v>
      </c>
      <c r="B764" t="s">
        <v>392</v>
      </c>
      <c r="C764">
        <v>0</v>
      </c>
    </row>
    <row r="765" spans="1:3" ht="15.75" x14ac:dyDescent="0.25">
      <c r="A765">
        <v>168310</v>
      </c>
      <c r="B765" t="s">
        <v>404</v>
      </c>
      <c r="C765">
        <v>0</v>
      </c>
    </row>
    <row r="766" spans="1:3" ht="15.75" x14ac:dyDescent="0.25">
      <c r="A766">
        <v>168390</v>
      </c>
      <c r="B766" t="s">
        <v>533</v>
      </c>
      <c r="C766">
        <v>0</v>
      </c>
    </row>
    <row r="767" spans="1:3" ht="15.75" x14ac:dyDescent="0.25">
      <c r="A767">
        <v>1685</v>
      </c>
      <c r="B767" t="s">
        <v>534</v>
      </c>
      <c r="C767">
        <v>-27097696</v>
      </c>
    </row>
    <row r="768" spans="1:3" ht="15.75" x14ac:dyDescent="0.25">
      <c r="A768">
        <v>168501</v>
      </c>
      <c r="B768" t="s">
        <v>384</v>
      </c>
      <c r="C768">
        <v>0</v>
      </c>
    </row>
    <row r="769" spans="1:3" ht="15.75" x14ac:dyDescent="0.25">
      <c r="A769">
        <v>168502</v>
      </c>
      <c r="B769" t="s">
        <v>385</v>
      </c>
      <c r="C769">
        <v>-4129340</v>
      </c>
    </row>
    <row r="770" spans="1:3" ht="15.75" x14ac:dyDescent="0.25">
      <c r="A770">
        <v>168503</v>
      </c>
      <c r="B770" t="s">
        <v>386</v>
      </c>
      <c r="C770">
        <v>0</v>
      </c>
    </row>
    <row r="771" spans="1:3" ht="15.75" x14ac:dyDescent="0.25">
      <c r="A771">
        <v>168504</v>
      </c>
      <c r="B771" t="s">
        <v>389</v>
      </c>
      <c r="C771">
        <v>-5232923</v>
      </c>
    </row>
    <row r="772" spans="1:3" ht="15.75" x14ac:dyDescent="0.25">
      <c r="A772">
        <v>168505</v>
      </c>
      <c r="B772" t="s">
        <v>390</v>
      </c>
      <c r="C772">
        <v>0</v>
      </c>
    </row>
    <row r="773" spans="1:3" ht="15.75" x14ac:dyDescent="0.25">
      <c r="A773">
        <v>168506</v>
      </c>
      <c r="B773" t="s">
        <v>396</v>
      </c>
      <c r="C773">
        <v>-3005006</v>
      </c>
    </row>
    <row r="774" spans="1:3" ht="15.75" x14ac:dyDescent="0.25">
      <c r="A774">
        <v>168507</v>
      </c>
      <c r="B774" t="s">
        <v>310</v>
      </c>
      <c r="C774">
        <v>-14584746</v>
      </c>
    </row>
    <row r="775" spans="1:3" ht="15.75" x14ac:dyDescent="0.25">
      <c r="A775">
        <v>168508</v>
      </c>
      <c r="B775" t="s">
        <v>392</v>
      </c>
      <c r="C775">
        <v>0</v>
      </c>
    </row>
    <row r="776" spans="1:3" ht="15.75" x14ac:dyDescent="0.25">
      <c r="A776">
        <v>168509</v>
      </c>
      <c r="B776" t="s">
        <v>391</v>
      </c>
      <c r="C776">
        <v>-145681</v>
      </c>
    </row>
    <row r="777" spans="1:3" ht="15.75" x14ac:dyDescent="0.25">
      <c r="A777">
        <v>168510</v>
      </c>
      <c r="B777" t="s">
        <v>397</v>
      </c>
      <c r="C777">
        <v>0</v>
      </c>
    </row>
    <row r="778" spans="1:3" ht="15.75" x14ac:dyDescent="0.25">
      <c r="A778">
        <v>168511</v>
      </c>
      <c r="B778" t="s">
        <v>535</v>
      </c>
      <c r="C778">
        <v>0</v>
      </c>
    </row>
    <row r="779" spans="1:3" ht="15.75" x14ac:dyDescent="0.25">
      <c r="A779">
        <v>168512</v>
      </c>
      <c r="B779" t="s">
        <v>536</v>
      </c>
      <c r="C779">
        <v>0</v>
      </c>
    </row>
    <row r="780" spans="1:3" ht="15.75" x14ac:dyDescent="0.25">
      <c r="A780">
        <v>168513</v>
      </c>
      <c r="B780" t="s">
        <v>537</v>
      </c>
      <c r="C780">
        <v>0</v>
      </c>
    </row>
    <row r="781" spans="1:3" ht="15.75" x14ac:dyDescent="0.25">
      <c r="A781">
        <v>168514</v>
      </c>
      <c r="B781" t="s">
        <v>538</v>
      </c>
      <c r="C781">
        <v>0</v>
      </c>
    </row>
    <row r="782" spans="1:3" ht="15.75" x14ac:dyDescent="0.25">
      <c r="A782">
        <v>168515</v>
      </c>
      <c r="B782" t="s">
        <v>539</v>
      </c>
      <c r="C782">
        <v>0</v>
      </c>
    </row>
    <row r="783" spans="1:3" ht="15.75" x14ac:dyDescent="0.25">
      <c r="A783">
        <v>168516</v>
      </c>
      <c r="B783" t="s">
        <v>540</v>
      </c>
      <c r="C783">
        <v>0</v>
      </c>
    </row>
    <row r="784" spans="1:3" ht="15.75" x14ac:dyDescent="0.25">
      <c r="A784">
        <v>168517</v>
      </c>
      <c r="B784" t="s">
        <v>541</v>
      </c>
      <c r="C784">
        <v>0</v>
      </c>
    </row>
    <row r="785" spans="1:3" ht="15.75" x14ac:dyDescent="0.25">
      <c r="A785">
        <v>1695</v>
      </c>
      <c r="B785" t="s">
        <v>542</v>
      </c>
      <c r="C785">
        <f>SUM(C786:C806)</f>
        <v>0</v>
      </c>
    </row>
    <row r="786" spans="1:3" ht="15.75" x14ac:dyDescent="0.25">
      <c r="A786">
        <v>169501</v>
      </c>
      <c r="B786" t="s">
        <v>305</v>
      </c>
      <c r="C786">
        <v>0</v>
      </c>
    </row>
    <row r="787" spans="1:3" ht="15.75" x14ac:dyDescent="0.25">
      <c r="A787">
        <v>169502</v>
      </c>
      <c r="B787" t="s">
        <v>397</v>
      </c>
      <c r="C787">
        <v>0</v>
      </c>
    </row>
    <row r="788" spans="1:3" ht="15.75" x14ac:dyDescent="0.25">
      <c r="A788">
        <v>169503</v>
      </c>
      <c r="B788" t="s">
        <v>404</v>
      </c>
      <c r="C788">
        <v>0</v>
      </c>
    </row>
    <row r="789" spans="1:3" ht="15.75" x14ac:dyDescent="0.25">
      <c r="A789">
        <v>169504</v>
      </c>
      <c r="B789" t="s">
        <v>543</v>
      </c>
      <c r="C789">
        <v>0</v>
      </c>
    </row>
    <row r="790" spans="1:3" ht="15.75" x14ac:dyDescent="0.25">
      <c r="A790">
        <v>169505</v>
      </c>
      <c r="B790" t="s">
        <v>384</v>
      </c>
      <c r="C790">
        <v>0</v>
      </c>
    </row>
    <row r="791" spans="1:3" ht="15.75" x14ac:dyDescent="0.25">
      <c r="A791">
        <v>169506</v>
      </c>
      <c r="B791" t="s">
        <v>385</v>
      </c>
      <c r="C791">
        <v>0</v>
      </c>
    </row>
    <row r="792" spans="1:3" ht="15.75" x14ac:dyDescent="0.25">
      <c r="A792">
        <v>169507</v>
      </c>
      <c r="B792" t="s">
        <v>386</v>
      </c>
      <c r="C792">
        <v>0</v>
      </c>
    </row>
    <row r="793" spans="1:3" ht="15.75" x14ac:dyDescent="0.25">
      <c r="A793">
        <v>169508</v>
      </c>
      <c r="B793" t="s">
        <v>389</v>
      </c>
      <c r="C793">
        <v>0</v>
      </c>
    </row>
    <row r="794" spans="1:3" ht="15.75" x14ac:dyDescent="0.25">
      <c r="A794">
        <v>169509</v>
      </c>
      <c r="B794" t="s">
        <v>390</v>
      </c>
      <c r="C794">
        <v>0</v>
      </c>
    </row>
    <row r="795" spans="1:3" ht="15.75" x14ac:dyDescent="0.25">
      <c r="A795">
        <v>169510</v>
      </c>
      <c r="B795" t="s">
        <v>396</v>
      </c>
      <c r="C795">
        <v>0</v>
      </c>
    </row>
    <row r="796" spans="1:3" ht="15.75" x14ac:dyDescent="0.25">
      <c r="A796">
        <v>169511</v>
      </c>
      <c r="B796" t="s">
        <v>310</v>
      </c>
      <c r="C796">
        <v>0</v>
      </c>
    </row>
    <row r="797" spans="1:3" ht="15.75" x14ac:dyDescent="0.25">
      <c r="A797">
        <v>169512</v>
      </c>
      <c r="B797" t="s">
        <v>544</v>
      </c>
      <c r="C797">
        <v>0</v>
      </c>
    </row>
    <row r="798" spans="1:3" ht="15.75" x14ac:dyDescent="0.25">
      <c r="A798">
        <v>169513</v>
      </c>
      <c r="B798" t="s">
        <v>391</v>
      </c>
      <c r="C798">
        <v>0</v>
      </c>
    </row>
    <row r="799" spans="1:3" ht="15.75" x14ac:dyDescent="0.25">
      <c r="A799">
        <v>169514</v>
      </c>
      <c r="B799" t="s">
        <v>535</v>
      </c>
      <c r="C799">
        <v>0</v>
      </c>
    </row>
    <row r="800" spans="1:3" ht="15.75" x14ac:dyDescent="0.25">
      <c r="A800">
        <v>169515</v>
      </c>
      <c r="B800" t="s">
        <v>332</v>
      </c>
      <c r="C800">
        <v>0</v>
      </c>
    </row>
    <row r="801" spans="1:3" ht="15.75" x14ac:dyDescent="0.25">
      <c r="A801">
        <v>169520</v>
      </c>
      <c r="B801" t="s">
        <v>545</v>
      </c>
      <c r="C801">
        <v>0</v>
      </c>
    </row>
    <row r="802" spans="1:3" ht="15.75" x14ac:dyDescent="0.25">
      <c r="A802">
        <v>169521</v>
      </c>
      <c r="B802" t="s">
        <v>536</v>
      </c>
      <c r="C802">
        <v>0</v>
      </c>
    </row>
    <row r="803" spans="1:3" ht="15.75" x14ac:dyDescent="0.25">
      <c r="A803">
        <v>169522</v>
      </c>
      <c r="B803" t="s">
        <v>540</v>
      </c>
      <c r="C803">
        <v>0</v>
      </c>
    </row>
    <row r="804" spans="1:3" ht="15.75" x14ac:dyDescent="0.25">
      <c r="A804">
        <v>169523</v>
      </c>
      <c r="B804" t="s">
        <v>537</v>
      </c>
      <c r="C804">
        <v>0</v>
      </c>
    </row>
    <row r="805" spans="1:3" ht="15.75" x14ac:dyDescent="0.25">
      <c r="A805">
        <v>169524</v>
      </c>
      <c r="B805" t="s">
        <v>538</v>
      </c>
      <c r="C805">
        <v>0</v>
      </c>
    </row>
    <row r="806" spans="1:3" ht="15.75" x14ac:dyDescent="0.25">
      <c r="A806">
        <v>169525</v>
      </c>
      <c r="B806" t="s">
        <v>539</v>
      </c>
      <c r="C806">
        <v>0</v>
      </c>
    </row>
    <row r="807" spans="1:3" ht="15.75" x14ac:dyDescent="0.25">
      <c r="A807">
        <v>19</v>
      </c>
      <c r="B807" t="s">
        <v>546</v>
      </c>
      <c r="C807">
        <v>2185812</v>
      </c>
    </row>
    <row r="808" spans="1:3" ht="15.75" x14ac:dyDescent="0.25">
      <c r="A808">
        <v>1902</v>
      </c>
      <c r="B808" t="s">
        <v>547</v>
      </c>
      <c r="C808">
        <f>SUM(C809:C816)</f>
        <v>0</v>
      </c>
    </row>
    <row r="809" spans="1:3" ht="15.75" x14ac:dyDescent="0.25">
      <c r="A809">
        <v>190201</v>
      </c>
      <c r="B809" t="s">
        <v>548</v>
      </c>
      <c r="C809">
        <v>0</v>
      </c>
    </row>
    <row r="810" spans="1:3" ht="15.75" x14ac:dyDescent="0.25">
      <c r="A810">
        <v>190202</v>
      </c>
      <c r="B810" t="s">
        <v>549</v>
      </c>
      <c r="C810">
        <v>0</v>
      </c>
    </row>
    <row r="811" spans="1:3" ht="15.75" x14ac:dyDescent="0.25">
      <c r="A811">
        <v>190203</v>
      </c>
      <c r="B811" t="s">
        <v>550</v>
      </c>
      <c r="C811">
        <v>0</v>
      </c>
    </row>
    <row r="812" spans="1:3" ht="15.75" x14ac:dyDescent="0.25">
      <c r="A812">
        <v>190204</v>
      </c>
      <c r="B812" t="s">
        <v>551</v>
      </c>
      <c r="C812">
        <v>0</v>
      </c>
    </row>
    <row r="813" spans="1:3" ht="15.75" x14ac:dyDescent="0.25">
      <c r="A813">
        <v>190205</v>
      </c>
      <c r="B813" t="s">
        <v>552</v>
      </c>
      <c r="C813">
        <v>0</v>
      </c>
    </row>
    <row r="814" spans="1:3" ht="15.75" x14ac:dyDescent="0.25">
      <c r="A814">
        <v>190206</v>
      </c>
      <c r="B814" t="s">
        <v>553</v>
      </c>
      <c r="C814">
        <v>0</v>
      </c>
    </row>
    <row r="815" spans="1:3" ht="15.75" x14ac:dyDescent="0.25">
      <c r="A815">
        <v>190207</v>
      </c>
      <c r="B815" t="s">
        <v>554</v>
      </c>
      <c r="C815">
        <v>0</v>
      </c>
    </row>
    <row r="816" spans="1:3" ht="15.75" x14ac:dyDescent="0.25">
      <c r="A816">
        <v>190208</v>
      </c>
      <c r="B816" t="s">
        <v>555</v>
      </c>
      <c r="C816">
        <v>0</v>
      </c>
    </row>
    <row r="817" spans="1:3" ht="15.75" x14ac:dyDescent="0.25">
      <c r="A817">
        <v>1903</v>
      </c>
      <c r="B817" t="s">
        <v>556</v>
      </c>
      <c r="C817">
        <f>SUM(C818:C824)</f>
        <v>0</v>
      </c>
    </row>
    <row r="818" spans="1:3" ht="15.75" x14ac:dyDescent="0.25">
      <c r="A818">
        <v>190301</v>
      </c>
      <c r="B818" t="s">
        <v>548</v>
      </c>
      <c r="C818">
        <v>0</v>
      </c>
    </row>
    <row r="819" spans="1:3" ht="15.75" x14ac:dyDescent="0.25">
      <c r="A819">
        <v>190302</v>
      </c>
      <c r="B819" t="s">
        <v>549</v>
      </c>
      <c r="C819">
        <v>0</v>
      </c>
    </row>
    <row r="820" spans="1:3" ht="15.75" x14ac:dyDescent="0.25">
      <c r="A820">
        <v>190303</v>
      </c>
      <c r="B820" t="s">
        <v>550</v>
      </c>
      <c r="C820">
        <v>0</v>
      </c>
    </row>
    <row r="821" spans="1:3" ht="15.75" x14ac:dyDescent="0.25">
      <c r="A821">
        <v>190304</v>
      </c>
      <c r="B821" t="s">
        <v>551</v>
      </c>
      <c r="C821">
        <v>0</v>
      </c>
    </row>
    <row r="822" spans="1:3" ht="15.75" x14ac:dyDescent="0.25">
      <c r="A822">
        <v>190305</v>
      </c>
      <c r="B822" t="s">
        <v>552</v>
      </c>
      <c r="C822">
        <v>0</v>
      </c>
    </row>
    <row r="823" spans="1:3" ht="15.75" x14ac:dyDescent="0.25">
      <c r="A823">
        <v>190306</v>
      </c>
      <c r="B823" t="s">
        <v>553</v>
      </c>
      <c r="C823">
        <v>0</v>
      </c>
    </row>
    <row r="824" spans="1:3" ht="15.75" x14ac:dyDescent="0.25">
      <c r="A824">
        <v>190307</v>
      </c>
      <c r="B824" t="s">
        <v>554</v>
      </c>
      <c r="C824">
        <v>0</v>
      </c>
    </row>
    <row r="825" spans="1:3" ht="15.75" x14ac:dyDescent="0.25">
      <c r="A825">
        <v>1904</v>
      </c>
      <c r="B825" t="s">
        <v>557</v>
      </c>
      <c r="C825">
        <f>SUM(C826:C835)</f>
        <v>0</v>
      </c>
    </row>
    <row r="826" spans="1:3" ht="15.75" x14ac:dyDescent="0.25">
      <c r="A826">
        <v>190401</v>
      </c>
      <c r="B826" t="s">
        <v>548</v>
      </c>
      <c r="C826">
        <v>0</v>
      </c>
    </row>
    <row r="827" spans="1:3" ht="15.75" x14ac:dyDescent="0.25">
      <c r="A827">
        <v>190402</v>
      </c>
      <c r="B827" t="s">
        <v>549</v>
      </c>
      <c r="C827">
        <v>0</v>
      </c>
    </row>
    <row r="828" spans="1:3" ht="15.75" x14ac:dyDescent="0.25">
      <c r="A828">
        <v>190403</v>
      </c>
      <c r="B828" t="s">
        <v>550</v>
      </c>
      <c r="C828">
        <v>0</v>
      </c>
    </row>
    <row r="829" spans="1:3" ht="15.75" x14ac:dyDescent="0.25">
      <c r="A829">
        <v>190404</v>
      </c>
      <c r="B829" t="s">
        <v>551</v>
      </c>
      <c r="C829">
        <v>0</v>
      </c>
    </row>
    <row r="830" spans="1:3" ht="15.75" x14ac:dyDescent="0.25">
      <c r="A830">
        <v>190405</v>
      </c>
      <c r="B830" t="s">
        <v>552</v>
      </c>
      <c r="C830">
        <v>0</v>
      </c>
    </row>
    <row r="831" spans="1:3" ht="15.75" x14ac:dyDescent="0.25">
      <c r="A831">
        <v>190406</v>
      </c>
      <c r="B831" t="s">
        <v>553</v>
      </c>
      <c r="C831">
        <v>0</v>
      </c>
    </row>
    <row r="832" spans="1:3" ht="15.75" x14ac:dyDescent="0.25">
      <c r="A832">
        <v>190407</v>
      </c>
      <c r="B832" t="s">
        <v>554</v>
      </c>
      <c r="C832">
        <v>0</v>
      </c>
    </row>
    <row r="833" spans="1:3" ht="15.75" x14ac:dyDescent="0.25">
      <c r="A833">
        <v>190408</v>
      </c>
      <c r="B833" t="s">
        <v>558</v>
      </c>
      <c r="C833">
        <v>0</v>
      </c>
    </row>
    <row r="834" spans="1:3" ht="15.75" x14ac:dyDescent="0.25">
      <c r="A834">
        <v>190409</v>
      </c>
      <c r="B834" t="s">
        <v>559</v>
      </c>
      <c r="C834">
        <v>0</v>
      </c>
    </row>
    <row r="835" spans="1:3" ht="15.75" x14ac:dyDescent="0.25">
      <c r="A835">
        <v>190410</v>
      </c>
      <c r="B835" t="s">
        <v>555</v>
      </c>
      <c r="C835">
        <v>0</v>
      </c>
    </row>
    <row r="836" spans="1:3" ht="15.75" x14ac:dyDescent="0.25">
      <c r="A836">
        <v>1905</v>
      </c>
      <c r="B836" t="s">
        <v>560</v>
      </c>
      <c r="C836">
        <f>SUM(C837:C852)</f>
        <v>0</v>
      </c>
    </row>
    <row r="837" spans="1:3" ht="15.75" x14ac:dyDescent="0.25">
      <c r="A837">
        <v>190501</v>
      </c>
      <c r="B837" t="s">
        <v>561</v>
      </c>
      <c r="C837">
        <v>0</v>
      </c>
    </row>
    <row r="838" spans="1:3" ht="15.75" x14ac:dyDescent="0.25">
      <c r="A838">
        <v>190502</v>
      </c>
      <c r="B838" t="s">
        <v>562</v>
      </c>
      <c r="C838">
        <v>0</v>
      </c>
    </row>
    <row r="839" spans="1:3" ht="15.75" x14ac:dyDescent="0.25">
      <c r="A839">
        <v>190503</v>
      </c>
      <c r="B839" t="s">
        <v>230</v>
      </c>
      <c r="C839">
        <v>0</v>
      </c>
    </row>
    <row r="840" spans="1:3" ht="15.75" x14ac:dyDescent="0.25">
      <c r="A840">
        <v>190504</v>
      </c>
      <c r="B840" t="s">
        <v>255</v>
      </c>
      <c r="C840">
        <v>0</v>
      </c>
    </row>
    <row r="841" spans="1:3" ht="15.75" x14ac:dyDescent="0.25">
      <c r="A841">
        <v>190505</v>
      </c>
      <c r="B841" t="s">
        <v>563</v>
      </c>
      <c r="C841">
        <v>0</v>
      </c>
    </row>
    <row r="842" spans="1:3" ht="15.75" x14ac:dyDescent="0.25">
      <c r="A842">
        <v>190506</v>
      </c>
      <c r="B842" t="s">
        <v>241</v>
      </c>
      <c r="C842">
        <v>0</v>
      </c>
    </row>
    <row r="843" spans="1:3" ht="15.75" x14ac:dyDescent="0.25">
      <c r="A843">
        <v>190508</v>
      </c>
      <c r="B843" t="s">
        <v>564</v>
      </c>
      <c r="C843">
        <v>0</v>
      </c>
    </row>
    <row r="844" spans="1:3" ht="15.75" x14ac:dyDescent="0.25">
      <c r="A844">
        <v>190509</v>
      </c>
      <c r="B844" t="s">
        <v>565</v>
      </c>
      <c r="C844">
        <v>0</v>
      </c>
    </row>
    <row r="845" spans="1:3" ht="15.75" x14ac:dyDescent="0.25">
      <c r="A845">
        <v>190510</v>
      </c>
      <c r="B845" t="s">
        <v>566</v>
      </c>
      <c r="C845">
        <v>0</v>
      </c>
    </row>
    <row r="846" spans="1:3" ht="15.75" x14ac:dyDescent="0.25">
      <c r="A846">
        <v>190511</v>
      </c>
      <c r="B846" t="s">
        <v>567</v>
      </c>
      <c r="C846">
        <v>0</v>
      </c>
    </row>
    <row r="847" spans="1:3" ht="15.75" x14ac:dyDescent="0.25">
      <c r="A847">
        <v>190512</v>
      </c>
      <c r="B847" t="s">
        <v>568</v>
      </c>
      <c r="C847">
        <v>0</v>
      </c>
    </row>
    <row r="848" spans="1:3" ht="15.75" x14ac:dyDescent="0.25">
      <c r="A848">
        <v>190513</v>
      </c>
      <c r="B848" t="s">
        <v>569</v>
      </c>
      <c r="C848">
        <v>0</v>
      </c>
    </row>
    <row r="849" spans="1:3" ht="15.75" x14ac:dyDescent="0.25">
      <c r="A849">
        <v>190514</v>
      </c>
      <c r="B849" t="s">
        <v>570</v>
      </c>
      <c r="C849">
        <v>0</v>
      </c>
    </row>
    <row r="850" spans="1:3" ht="15.75" x14ac:dyDescent="0.25">
      <c r="A850">
        <v>190515</v>
      </c>
      <c r="B850" t="s">
        <v>571</v>
      </c>
      <c r="C850">
        <v>0</v>
      </c>
    </row>
    <row r="851" spans="1:3" ht="15.75" x14ac:dyDescent="0.25">
      <c r="A851">
        <v>190516</v>
      </c>
      <c r="B851" t="s">
        <v>572</v>
      </c>
      <c r="C851">
        <v>0</v>
      </c>
    </row>
    <row r="852" spans="1:3" ht="15.75" x14ac:dyDescent="0.25">
      <c r="A852">
        <v>190590</v>
      </c>
      <c r="B852" t="s">
        <v>573</v>
      </c>
      <c r="C852">
        <v>0</v>
      </c>
    </row>
    <row r="853" spans="1:3" ht="15.75" x14ac:dyDescent="0.25">
      <c r="A853">
        <v>1906</v>
      </c>
      <c r="B853" t="s">
        <v>574</v>
      </c>
      <c r="C853">
        <f>SUM(C854:C858)</f>
        <v>0</v>
      </c>
    </row>
    <row r="854" spans="1:3" ht="15.75" x14ac:dyDescent="0.25">
      <c r="A854">
        <v>190601</v>
      </c>
      <c r="B854" t="s">
        <v>575</v>
      </c>
      <c r="C854">
        <v>0</v>
      </c>
    </row>
    <row r="855" spans="1:3" ht="15.75" x14ac:dyDescent="0.25">
      <c r="A855">
        <v>190602</v>
      </c>
      <c r="B855" t="s">
        <v>576</v>
      </c>
      <c r="C855">
        <v>0</v>
      </c>
    </row>
    <row r="856" spans="1:3" ht="15.75" x14ac:dyDescent="0.25">
      <c r="A856">
        <v>190603</v>
      </c>
      <c r="B856" t="s">
        <v>577</v>
      </c>
      <c r="C856">
        <v>0</v>
      </c>
    </row>
    <row r="857" spans="1:3" ht="15.75" x14ac:dyDescent="0.25">
      <c r="A857">
        <v>190604</v>
      </c>
      <c r="B857" t="s">
        <v>578</v>
      </c>
      <c r="C857">
        <v>0</v>
      </c>
    </row>
    <row r="858" spans="1:3" ht="15.75" x14ac:dyDescent="0.25">
      <c r="A858">
        <v>190690</v>
      </c>
      <c r="B858" t="s">
        <v>579</v>
      </c>
      <c r="C858">
        <v>0</v>
      </c>
    </row>
    <row r="859" spans="1:3" ht="15.75" x14ac:dyDescent="0.25">
      <c r="A859">
        <v>1907</v>
      </c>
      <c r="B859" t="s">
        <v>580</v>
      </c>
      <c r="C859">
        <f>SUM(C860:C869)</f>
        <v>0</v>
      </c>
    </row>
    <row r="860" spans="1:3" ht="15.75" x14ac:dyDescent="0.25">
      <c r="A860">
        <v>190701</v>
      </c>
      <c r="B860" t="s">
        <v>581</v>
      </c>
      <c r="C860">
        <v>0</v>
      </c>
    </row>
    <row r="861" spans="1:3" ht="15.75" x14ac:dyDescent="0.25">
      <c r="A861">
        <v>190702</v>
      </c>
      <c r="B861" t="s">
        <v>582</v>
      </c>
      <c r="C861">
        <v>0</v>
      </c>
    </row>
    <row r="862" spans="1:3" ht="15.75" x14ac:dyDescent="0.25">
      <c r="A862">
        <v>190703</v>
      </c>
      <c r="B862" t="s">
        <v>583</v>
      </c>
      <c r="C862">
        <v>0</v>
      </c>
    </row>
    <row r="863" spans="1:3" ht="15.75" x14ac:dyDescent="0.25">
      <c r="A863">
        <v>190704</v>
      </c>
      <c r="B863" t="s">
        <v>584</v>
      </c>
      <c r="C863">
        <v>0</v>
      </c>
    </row>
    <row r="864" spans="1:3" ht="15.75" x14ac:dyDescent="0.25">
      <c r="A864">
        <v>190705</v>
      </c>
      <c r="B864" t="s">
        <v>585</v>
      </c>
      <c r="C864">
        <v>0</v>
      </c>
    </row>
    <row r="865" spans="1:3" ht="15.75" x14ac:dyDescent="0.25">
      <c r="A865">
        <v>190706</v>
      </c>
      <c r="B865" t="s">
        <v>586</v>
      </c>
      <c r="C865">
        <v>0</v>
      </c>
    </row>
    <row r="866" spans="1:3" ht="15.75" x14ac:dyDescent="0.25">
      <c r="A866">
        <v>190708</v>
      </c>
      <c r="B866" t="s">
        <v>587</v>
      </c>
      <c r="C866">
        <v>0</v>
      </c>
    </row>
    <row r="867" spans="1:3" ht="15.75" x14ac:dyDescent="0.25">
      <c r="A867">
        <v>190709</v>
      </c>
      <c r="B867" t="s">
        <v>588</v>
      </c>
      <c r="C867">
        <v>0</v>
      </c>
    </row>
    <row r="868" spans="1:3" ht="15.75" x14ac:dyDescent="0.25">
      <c r="A868">
        <v>190711</v>
      </c>
      <c r="B868" t="s">
        <v>589</v>
      </c>
      <c r="C868">
        <v>0</v>
      </c>
    </row>
    <row r="869" spans="1:3" ht="15.75" x14ac:dyDescent="0.25">
      <c r="A869">
        <v>190790</v>
      </c>
      <c r="B869" t="s">
        <v>590</v>
      </c>
      <c r="C869">
        <v>0</v>
      </c>
    </row>
    <row r="870" spans="1:3" ht="15.75" x14ac:dyDescent="0.25">
      <c r="A870">
        <v>1908</v>
      </c>
      <c r="B870" t="s">
        <v>591</v>
      </c>
      <c r="C870">
        <f>SUM(C871:C874)</f>
        <v>0</v>
      </c>
    </row>
    <row r="871" spans="1:3" ht="15.75" x14ac:dyDescent="0.25">
      <c r="A871">
        <v>190801</v>
      </c>
      <c r="B871" t="s">
        <v>592</v>
      </c>
      <c r="C871">
        <v>0</v>
      </c>
    </row>
    <row r="872" spans="1:3" ht="15.75" x14ac:dyDescent="0.25">
      <c r="A872">
        <v>190802</v>
      </c>
      <c r="B872" t="s">
        <v>593</v>
      </c>
      <c r="C872">
        <v>0</v>
      </c>
    </row>
    <row r="873" spans="1:3" ht="15.75" x14ac:dyDescent="0.25">
      <c r="A873">
        <v>190803</v>
      </c>
      <c r="B873" t="s">
        <v>594</v>
      </c>
      <c r="C873">
        <v>0</v>
      </c>
    </row>
    <row r="874" spans="1:3" ht="15.75" x14ac:dyDescent="0.25">
      <c r="A874">
        <v>190804</v>
      </c>
      <c r="B874" t="s">
        <v>595</v>
      </c>
      <c r="C874">
        <v>0</v>
      </c>
    </row>
    <row r="875" spans="1:3" ht="15.75" x14ac:dyDescent="0.25">
      <c r="A875">
        <v>1909</v>
      </c>
      <c r="B875" t="s">
        <v>596</v>
      </c>
      <c r="C875">
        <f>SUM(C876:C884)</f>
        <v>0</v>
      </c>
    </row>
    <row r="876" spans="1:3" ht="15.75" x14ac:dyDescent="0.25">
      <c r="A876">
        <v>190901</v>
      </c>
      <c r="B876" t="s">
        <v>597</v>
      </c>
      <c r="C876">
        <v>0</v>
      </c>
    </row>
    <row r="877" spans="1:3" ht="15.75" x14ac:dyDescent="0.25">
      <c r="A877">
        <v>190902</v>
      </c>
      <c r="B877" t="s">
        <v>598</v>
      </c>
      <c r="C877">
        <v>0</v>
      </c>
    </row>
    <row r="878" spans="1:3" ht="15.75" x14ac:dyDescent="0.25">
      <c r="A878">
        <v>190903</v>
      </c>
      <c r="B878" t="s">
        <v>599</v>
      </c>
      <c r="C878">
        <v>0</v>
      </c>
    </row>
    <row r="879" spans="1:3" ht="15.75" x14ac:dyDescent="0.25">
      <c r="A879">
        <v>190904</v>
      </c>
      <c r="B879" t="s">
        <v>600</v>
      </c>
      <c r="C879">
        <v>0</v>
      </c>
    </row>
    <row r="880" spans="1:3" ht="15.75" x14ac:dyDescent="0.25">
      <c r="A880">
        <v>190905</v>
      </c>
      <c r="B880" t="s">
        <v>601</v>
      </c>
      <c r="C880">
        <v>0</v>
      </c>
    </row>
    <row r="881" spans="1:3" ht="15.75" x14ac:dyDescent="0.25">
      <c r="A881">
        <v>190906</v>
      </c>
      <c r="B881" t="s">
        <v>602</v>
      </c>
      <c r="C881">
        <v>0</v>
      </c>
    </row>
    <row r="882" spans="1:3" ht="15.75" x14ac:dyDescent="0.25">
      <c r="A882">
        <v>190907</v>
      </c>
      <c r="B882" t="s">
        <v>603</v>
      </c>
      <c r="C882">
        <v>0</v>
      </c>
    </row>
    <row r="883" spans="1:3" ht="15.75" x14ac:dyDescent="0.25">
      <c r="A883">
        <v>190911</v>
      </c>
      <c r="B883" t="s">
        <v>604</v>
      </c>
      <c r="C883">
        <v>0</v>
      </c>
    </row>
    <row r="884" spans="1:3" ht="15.75" x14ac:dyDescent="0.25">
      <c r="A884">
        <v>190990</v>
      </c>
      <c r="B884" t="s">
        <v>605</v>
      </c>
      <c r="C884">
        <v>0</v>
      </c>
    </row>
    <row r="885" spans="1:3" ht="15.75" x14ac:dyDescent="0.25">
      <c r="A885">
        <v>1926</v>
      </c>
      <c r="B885" t="s">
        <v>606</v>
      </c>
      <c r="C885">
        <f>SUM(C886)</f>
        <v>0</v>
      </c>
    </row>
    <row r="886" spans="1:3" ht="15.75" x14ac:dyDescent="0.25">
      <c r="A886">
        <v>192603</v>
      </c>
      <c r="B886" t="s">
        <v>607</v>
      </c>
      <c r="C886">
        <v>0</v>
      </c>
    </row>
    <row r="887" spans="1:3" ht="15.75" x14ac:dyDescent="0.25">
      <c r="A887">
        <v>1951</v>
      </c>
      <c r="B887" t="s">
        <v>608</v>
      </c>
      <c r="C887">
        <f>SUM(C888:C891)</f>
        <v>0</v>
      </c>
    </row>
    <row r="888" spans="1:3" ht="15.75" x14ac:dyDescent="0.25">
      <c r="A888">
        <v>195101</v>
      </c>
      <c r="B888" t="s">
        <v>305</v>
      </c>
      <c r="C888">
        <v>0</v>
      </c>
    </row>
    <row r="889" spans="1:3" ht="15.75" x14ac:dyDescent="0.25">
      <c r="A889">
        <v>195102</v>
      </c>
      <c r="B889" t="s">
        <v>384</v>
      </c>
      <c r="C889">
        <v>0</v>
      </c>
    </row>
    <row r="890" spans="1:3" ht="15.75" x14ac:dyDescent="0.25">
      <c r="A890">
        <v>195103</v>
      </c>
      <c r="B890" t="s">
        <v>609</v>
      </c>
      <c r="C890">
        <v>0</v>
      </c>
    </row>
    <row r="891" spans="1:3" ht="15.75" x14ac:dyDescent="0.25">
      <c r="A891">
        <v>195104</v>
      </c>
      <c r="B891" t="s">
        <v>610</v>
      </c>
      <c r="C891">
        <v>0</v>
      </c>
    </row>
    <row r="892" spans="1:3" ht="15.75" x14ac:dyDescent="0.25">
      <c r="A892">
        <v>1952</v>
      </c>
      <c r="B892" t="s">
        <v>611</v>
      </c>
      <c r="C892">
        <f>SUM(C893:C894)</f>
        <v>0</v>
      </c>
    </row>
    <row r="893" spans="1:3" ht="15.75" x14ac:dyDescent="0.25">
      <c r="A893">
        <v>195201</v>
      </c>
      <c r="B893" t="s">
        <v>384</v>
      </c>
      <c r="C893">
        <v>0</v>
      </c>
    </row>
    <row r="894" spans="1:3" ht="15.75" x14ac:dyDescent="0.25">
      <c r="A894">
        <v>195202</v>
      </c>
      <c r="B894" t="s">
        <v>610</v>
      </c>
      <c r="C894">
        <v>0</v>
      </c>
    </row>
    <row r="895" spans="1:3" ht="15.75" x14ac:dyDescent="0.25">
      <c r="A895">
        <v>1953</v>
      </c>
      <c r="B895" t="s">
        <v>612</v>
      </c>
      <c r="C895">
        <f>SUM(C896:C899)</f>
        <v>0</v>
      </c>
    </row>
    <row r="896" spans="1:3" ht="15.75" x14ac:dyDescent="0.25">
      <c r="A896">
        <v>195301</v>
      </c>
      <c r="B896" t="s">
        <v>305</v>
      </c>
      <c r="C896">
        <v>0</v>
      </c>
    </row>
    <row r="897" spans="1:3" ht="15.75" x14ac:dyDescent="0.25">
      <c r="A897">
        <v>195302</v>
      </c>
      <c r="B897" t="s">
        <v>384</v>
      </c>
      <c r="C897">
        <v>0</v>
      </c>
    </row>
    <row r="898" spans="1:3" ht="15.75" x14ac:dyDescent="0.25">
      <c r="A898">
        <v>195303</v>
      </c>
      <c r="B898" t="s">
        <v>609</v>
      </c>
      <c r="C898">
        <v>0</v>
      </c>
    </row>
    <row r="899" spans="1:3" ht="15.75" x14ac:dyDescent="0.25">
      <c r="A899">
        <v>195304</v>
      </c>
      <c r="B899" t="s">
        <v>610</v>
      </c>
      <c r="C899">
        <v>0</v>
      </c>
    </row>
    <row r="900" spans="1:3" ht="15.75" x14ac:dyDescent="0.25">
      <c r="A900">
        <v>1970</v>
      </c>
      <c r="B900" t="s">
        <v>613</v>
      </c>
      <c r="C900">
        <v>15835812</v>
      </c>
    </row>
    <row r="901" spans="1:3" ht="15.75" x14ac:dyDescent="0.25">
      <c r="A901">
        <v>197001</v>
      </c>
      <c r="B901" t="s">
        <v>614</v>
      </c>
      <c r="C901">
        <v>0</v>
      </c>
    </row>
    <row r="902" spans="1:3" ht="15.75" x14ac:dyDescent="0.25">
      <c r="A902">
        <v>197002</v>
      </c>
      <c r="B902" t="s">
        <v>615</v>
      </c>
      <c r="C902">
        <v>0</v>
      </c>
    </row>
    <row r="903" spans="1:3" ht="15.75" x14ac:dyDescent="0.25">
      <c r="A903">
        <v>197003</v>
      </c>
      <c r="B903" t="s">
        <v>616</v>
      </c>
      <c r="C903">
        <v>0</v>
      </c>
    </row>
    <row r="904" spans="1:3" ht="15.75" x14ac:dyDescent="0.25">
      <c r="A904">
        <v>197004</v>
      </c>
      <c r="B904" t="s">
        <v>617</v>
      </c>
      <c r="C904">
        <v>0</v>
      </c>
    </row>
    <row r="905" spans="1:3" ht="15.75" x14ac:dyDescent="0.25">
      <c r="A905">
        <v>197005</v>
      </c>
      <c r="B905" t="s">
        <v>618</v>
      </c>
      <c r="C905">
        <v>0</v>
      </c>
    </row>
    <row r="906" spans="1:3" ht="15.75" x14ac:dyDescent="0.25">
      <c r="A906">
        <v>197007</v>
      </c>
      <c r="B906" t="s">
        <v>619</v>
      </c>
      <c r="C906">
        <v>0</v>
      </c>
    </row>
    <row r="907" spans="1:3" ht="15.75" x14ac:dyDescent="0.25">
      <c r="A907">
        <v>197008</v>
      </c>
      <c r="B907" t="s">
        <v>620</v>
      </c>
      <c r="C907">
        <v>15835812</v>
      </c>
    </row>
    <row r="908" spans="1:3" ht="15.75" x14ac:dyDescent="0.25">
      <c r="A908">
        <v>197010</v>
      </c>
      <c r="B908" t="s">
        <v>621</v>
      </c>
      <c r="C908">
        <v>0</v>
      </c>
    </row>
    <row r="909" spans="1:3" ht="15.75" x14ac:dyDescent="0.25">
      <c r="A909">
        <v>197012</v>
      </c>
      <c r="B909" t="s">
        <v>622</v>
      </c>
      <c r="C909">
        <v>0</v>
      </c>
    </row>
    <row r="910" spans="1:3" ht="15.75" x14ac:dyDescent="0.25">
      <c r="A910">
        <v>197090</v>
      </c>
      <c r="B910" t="s">
        <v>623</v>
      </c>
      <c r="C910">
        <v>0</v>
      </c>
    </row>
    <row r="911" spans="1:3" ht="15.75" x14ac:dyDescent="0.25">
      <c r="A911">
        <v>1975</v>
      </c>
      <c r="B911" t="s">
        <v>624</v>
      </c>
      <c r="C911">
        <v>-9650000</v>
      </c>
    </row>
    <row r="912" spans="1:3" ht="15.75" x14ac:dyDescent="0.25">
      <c r="A912">
        <v>197502</v>
      </c>
      <c r="B912" t="s">
        <v>615</v>
      </c>
      <c r="C912">
        <v>0</v>
      </c>
    </row>
    <row r="913" spans="1:3" ht="15.75" x14ac:dyDescent="0.25">
      <c r="A913">
        <v>197503</v>
      </c>
      <c r="B913" t="s">
        <v>616</v>
      </c>
      <c r="C913">
        <v>0</v>
      </c>
    </row>
    <row r="914" spans="1:3" ht="15.75" x14ac:dyDescent="0.25">
      <c r="A914">
        <v>197504</v>
      </c>
      <c r="B914" t="s">
        <v>617</v>
      </c>
      <c r="C914">
        <v>0</v>
      </c>
    </row>
    <row r="915" spans="1:3" ht="15.75" x14ac:dyDescent="0.25">
      <c r="A915">
        <v>197505</v>
      </c>
      <c r="B915" t="s">
        <v>618</v>
      </c>
      <c r="C915">
        <v>0</v>
      </c>
    </row>
    <row r="916" spans="1:3" ht="15.75" x14ac:dyDescent="0.25">
      <c r="A916">
        <v>197507</v>
      </c>
      <c r="B916" t="s">
        <v>619</v>
      </c>
      <c r="C916">
        <v>0</v>
      </c>
    </row>
    <row r="917" spans="1:3" ht="15.75" x14ac:dyDescent="0.25">
      <c r="A917">
        <v>197508</v>
      </c>
      <c r="B917" t="s">
        <v>620</v>
      </c>
      <c r="C917">
        <v>-9650000</v>
      </c>
    </row>
    <row r="918" spans="1:3" ht="15.75" x14ac:dyDescent="0.25">
      <c r="A918">
        <v>197511</v>
      </c>
      <c r="B918" t="s">
        <v>622</v>
      </c>
      <c r="C918">
        <v>0</v>
      </c>
    </row>
    <row r="919" spans="1:3" ht="15.75" x14ac:dyDescent="0.25">
      <c r="A919">
        <v>197590</v>
      </c>
      <c r="B919" t="s">
        <v>623</v>
      </c>
      <c r="C919">
        <v>0</v>
      </c>
    </row>
    <row r="920" spans="1:3" ht="15.75" x14ac:dyDescent="0.25">
      <c r="A920">
        <v>1976</v>
      </c>
      <c r="B920" t="s">
        <v>625</v>
      </c>
      <c r="C920">
        <v>-4000000</v>
      </c>
    </row>
    <row r="921" spans="1:3" ht="15.75" x14ac:dyDescent="0.25">
      <c r="A921">
        <v>197601</v>
      </c>
      <c r="B921" t="s">
        <v>614</v>
      </c>
      <c r="C921">
        <v>0</v>
      </c>
    </row>
    <row r="922" spans="1:3" ht="15.75" x14ac:dyDescent="0.25">
      <c r="A922">
        <v>197602</v>
      </c>
      <c r="B922" t="s">
        <v>615</v>
      </c>
      <c r="C922">
        <v>0</v>
      </c>
    </row>
    <row r="923" spans="1:3" ht="15.75" x14ac:dyDescent="0.25">
      <c r="A923">
        <v>197603</v>
      </c>
      <c r="B923" t="s">
        <v>616</v>
      </c>
      <c r="C923">
        <v>0</v>
      </c>
    </row>
    <row r="924" spans="1:3" ht="15.75" x14ac:dyDescent="0.25">
      <c r="A924">
        <v>197604</v>
      </c>
      <c r="B924" t="s">
        <v>617</v>
      </c>
      <c r="C924">
        <v>0</v>
      </c>
    </row>
    <row r="925" spans="1:3" ht="15.75" x14ac:dyDescent="0.25">
      <c r="A925">
        <v>197605</v>
      </c>
      <c r="B925" t="s">
        <v>618</v>
      </c>
      <c r="C925">
        <v>0</v>
      </c>
    </row>
    <row r="926" spans="1:3" ht="15.75" x14ac:dyDescent="0.25">
      <c r="A926">
        <v>197606</v>
      </c>
      <c r="B926" t="s">
        <v>619</v>
      </c>
      <c r="C926">
        <v>0</v>
      </c>
    </row>
    <row r="927" spans="1:3" ht="15.75" x14ac:dyDescent="0.25">
      <c r="A927">
        <v>197607</v>
      </c>
      <c r="B927" t="s">
        <v>620</v>
      </c>
      <c r="C927">
        <v>-4000000</v>
      </c>
    </row>
    <row r="928" spans="1:3" ht="15.75" x14ac:dyDescent="0.25">
      <c r="A928">
        <v>197609</v>
      </c>
      <c r="B928" t="s">
        <v>621</v>
      </c>
      <c r="C928">
        <v>0</v>
      </c>
    </row>
    <row r="929" spans="1:3" ht="15.75" x14ac:dyDescent="0.25">
      <c r="A929">
        <v>197611</v>
      </c>
      <c r="B929" t="s">
        <v>622</v>
      </c>
      <c r="C929">
        <v>0</v>
      </c>
    </row>
    <row r="930" spans="1:3" ht="15.75" x14ac:dyDescent="0.25">
      <c r="A930">
        <v>197690</v>
      </c>
      <c r="B930" t="s">
        <v>623</v>
      </c>
      <c r="C930">
        <v>0</v>
      </c>
    </row>
    <row r="931" spans="1:3" ht="15.75" x14ac:dyDescent="0.25">
      <c r="A931">
        <v>1980</v>
      </c>
      <c r="B931" t="s">
        <v>626</v>
      </c>
      <c r="C931">
        <f>SUM(C932:C935)</f>
        <v>0</v>
      </c>
    </row>
    <row r="932" spans="1:3" ht="15.75" x14ac:dyDescent="0.25">
      <c r="A932">
        <v>198001</v>
      </c>
      <c r="B932" t="s">
        <v>627</v>
      </c>
      <c r="C932">
        <v>0</v>
      </c>
    </row>
    <row r="933" spans="1:3" ht="15.75" x14ac:dyDescent="0.25">
      <c r="A933">
        <v>198002</v>
      </c>
      <c r="B933" t="s">
        <v>628</v>
      </c>
      <c r="C933">
        <v>0</v>
      </c>
    </row>
    <row r="934" spans="1:3" ht="15.75" x14ac:dyDescent="0.25">
      <c r="A934">
        <v>198003</v>
      </c>
      <c r="B934" t="s">
        <v>629</v>
      </c>
      <c r="C934">
        <v>0</v>
      </c>
    </row>
    <row r="935" spans="1:3" ht="15.75" x14ac:dyDescent="0.25">
      <c r="A935">
        <v>198004</v>
      </c>
      <c r="B935" t="s">
        <v>630</v>
      </c>
      <c r="C935">
        <v>0</v>
      </c>
    </row>
    <row r="936" spans="1:3" ht="15.75" x14ac:dyDescent="0.25">
      <c r="A936">
        <v>1981</v>
      </c>
      <c r="B936" t="s">
        <v>631</v>
      </c>
      <c r="C936">
        <f>SUM(C937:C940)</f>
        <v>0</v>
      </c>
    </row>
    <row r="937" spans="1:3" ht="15.75" x14ac:dyDescent="0.25">
      <c r="A937">
        <v>198101</v>
      </c>
      <c r="B937" t="s">
        <v>627</v>
      </c>
      <c r="C937">
        <v>0</v>
      </c>
    </row>
    <row r="938" spans="1:3" ht="15.75" x14ac:dyDescent="0.25">
      <c r="A938">
        <v>198102</v>
      </c>
      <c r="B938" t="s">
        <v>628</v>
      </c>
      <c r="C938">
        <v>0</v>
      </c>
    </row>
    <row r="939" spans="1:3" ht="15.75" x14ac:dyDescent="0.25">
      <c r="A939">
        <v>198103</v>
      </c>
      <c r="B939" t="s">
        <v>629</v>
      </c>
      <c r="C939">
        <v>0</v>
      </c>
    </row>
    <row r="940" spans="1:3" ht="15.75" x14ac:dyDescent="0.25">
      <c r="A940">
        <v>198104</v>
      </c>
      <c r="B940" t="s">
        <v>630</v>
      </c>
      <c r="C940">
        <v>0</v>
      </c>
    </row>
    <row r="941" spans="1:3" ht="15.75" x14ac:dyDescent="0.25">
      <c r="A941">
        <v>1982</v>
      </c>
      <c r="B941" t="s">
        <v>632</v>
      </c>
      <c r="C941">
        <f>SUM(C942:C945)</f>
        <v>0</v>
      </c>
    </row>
    <row r="942" spans="1:3" ht="15.75" x14ac:dyDescent="0.25">
      <c r="A942">
        <v>198201</v>
      </c>
      <c r="B942" t="s">
        <v>627</v>
      </c>
      <c r="C942">
        <v>0</v>
      </c>
    </row>
    <row r="943" spans="1:3" ht="15.75" x14ac:dyDescent="0.25">
      <c r="A943">
        <v>198202</v>
      </c>
      <c r="B943" t="s">
        <v>628</v>
      </c>
      <c r="C943">
        <v>0</v>
      </c>
    </row>
    <row r="944" spans="1:3" ht="15.75" x14ac:dyDescent="0.25">
      <c r="A944">
        <v>198203</v>
      </c>
      <c r="B944" t="s">
        <v>629</v>
      </c>
      <c r="C944">
        <v>0</v>
      </c>
    </row>
    <row r="945" spans="1:3" ht="15.75" x14ac:dyDescent="0.25">
      <c r="A945">
        <v>198204</v>
      </c>
      <c r="B945" t="s">
        <v>630</v>
      </c>
      <c r="C945">
        <v>0</v>
      </c>
    </row>
    <row r="946" spans="1:3" ht="15.75" x14ac:dyDescent="0.25">
      <c r="A946">
        <v>1983</v>
      </c>
      <c r="B946" t="s">
        <v>633</v>
      </c>
      <c r="C946">
        <f>SUM(C947:C950)</f>
        <v>0</v>
      </c>
    </row>
    <row r="947" spans="1:3" ht="15.75" x14ac:dyDescent="0.25">
      <c r="A947">
        <v>198301</v>
      </c>
      <c r="B947" t="s">
        <v>627</v>
      </c>
      <c r="C947">
        <v>0</v>
      </c>
    </row>
    <row r="948" spans="1:3" ht="15.75" x14ac:dyDescent="0.25">
      <c r="A948">
        <v>198302</v>
      </c>
      <c r="B948" t="s">
        <v>628</v>
      </c>
      <c r="C948">
        <v>0</v>
      </c>
    </row>
    <row r="949" spans="1:3" ht="15.75" x14ac:dyDescent="0.25">
      <c r="A949">
        <v>198303</v>
      </c>
      <c r="B949" t="s">
        <v>629</v>
      </c>
      <c r="C949">
        <v>0</v>
      </c>
    </row>
    <row r="950" spans="1:3" ht="15.75" x14ac:dyDescent="0.25">
      <c r="A950">
        <v>198304</v>
      </c>
      <c r="B950" t="s">
        <v>630</v>
      </c>
      <c r="C950">
        <v>0</v>
      </c>
    </row>
    <row r="951" spans="1:3" ht="15.75" x14ac:dyDescent="0.25">
      <c r="A951">
        <v>1984</v>
      </c>
      <c r="B951" t="s">
        <v>634</v>
      </c>
      <c r="C951">
        <f>SUM(C952:C955)</f>
        <v>0</v>
      </c>
    </row>
    <row r="952" spans="1:3" ht="15.75" x14ac:dyDescent="0.25">
      <c r="A952">
        <v>198401</v>
      </c>
      <c r="B952" t="s">
        <v>627</v>
      </c>
      <c r="C952">
        <v>0</v>
      </c>
    </row>
    <row r="953" spans="1:3" ht="15.75" x14ac:dyDescent="0.25">
      <c r="A953">
        <v>198402</v>
      </c>
      <c r="B953" t="s">
        <v>628</v>
      </c>
      <c r="C953">
        <v>0</v>
      </c>
    </row>
    <row r="954" spans="1:3" ht="15.75" x14ac:dyDescent="0.25">
      <c r="A954">
        <v>198403</v>
      </c>
      <c r="B954" t="s">
        <v>629</v>
      </c>
      <c r="C954">
        <v>0</v>
      </c>
    </row>
    <row r="955" spans="1:3" ht="15.75" x14ac:dyDescent="0.25">
      <c r="A955">
        <v>198404</v>
      </c>
      <c r="B955" t="s">
        <v>630</v>
      </c>
      <c r="C955">
        <v>0</v>
      </c>
    </row>
    <row r="956" spans="1:3" ht="15.75" x14ac:dyDescent="0.25">
      <c r="A956">
        <v>1985</v>
      </c>
      <c r="B956" t="s">
        <v>635</v>
      </c>
      <c r="C956">
        <f>SUM(C957:C974)</f>
        <v>0</v>
      </c>
    </row>
    <row r="957" spans="1:3" ht="15.75" x14ac:dyDescent="0.25">
      <c r="A957">
        <v>198501</v>
      </c>
      <c r="B957" t="s">
        <v>548</v>
      </c>
      <c r="C957">
        <v>0</v>
      </c>
    </row>
    <row r="958" spans="1:3" ht="15.75" x14ac:dyDescent="0.25">
      <c r="A958">
        <v>198502</v>
      </c>
      <c r="B958" t="s">
        <v>636</v>
      </c>
      <c r="C958">
        <v>0</v>
      </c>
    </row>
    <row r="959" spans="1:3" ht="15.75" x14ac:dyDescent="0.25">
      <c r="A959">
        <v>198503</v>
      </c>
      <c r="B959" t="s">
        <v>225</v>
      </c>
      <c r="C959">
        <v>0</v>
      </c>
    </row>
    <row r="960" spans="1:3" ht="15.75" x14ac:dyDescent="0.25">
      <c r="A960">
        <v>198504</v>
      </c>
      <c r="B960" t="s">
        <v>286</v>
      </c>
      <c r="C960">
        <v>0</v>
      </c>
    </row>
    <row r="961" spans="1:3" ht="15.75" x14ac:dyDescent="0.25">
      <c r="A961">
        <v>198505</v>
      </c>
      <c r="B961" t="s">
        <v>637</v>
      </c>
      <c r="C961">
        <v>0</v>
      </c>
    </row>
    <row r="962" spans="1:3" ht="15.75" x14ac:dyDescent="0.25">
      <c r="A962">
        <v>198506</v>
      </c>
      <c r="B962" t="s">
        <v>552</v>
      </c>
      <c r="C962">
        <v>0</v>
      </c>
    </row>
    <row r="963" spans="1:3" ht="15.75" x14ac:dyDescent="0.25">
      <c r="A963">
        <v>198507</v>
      </c>
      <c r="B963" t="s">
        <v>638</v>
      </c>
      <c r="C963">
        <v>0</v>
      </c>
    </row>
    <row r="964" spans="1:3" ht="15.75" x14ac:dyDescent="0.25">
      <c r="A964">
        <v>198508</v>
      </c>
      <c r="B964" t="s">
        <v>553</v>
      </c>
      <c r="C964">
        <v>0</v>
      </c>
    </row>
    <row r="965" spans="1:3" ht="15.75" x14ac:dyDescent="0.25">
      <c r="A965">
        <v>198509</v>
      </c>
      <c r="B965" t="s">
        <v>639</v>
      </c>
      <c r="C965">
        <v>0</v>
      </c>
    </row>
    <row r="966" spans="1:3" ht="15.75" x14ac:dyDescent="0.25">
      <c r="A966">
        <v>198510</v>
      </c>
      <c r="B966" t="s">
        <v>554</v>
      </c>
      <c r="C966">
        <v>0</v>
      </c>
    </row>
    <row r="967" spans="1:3" ht="15.75" x14ac:dyDescent="0.25">
      <c r="A967">
        <v>198511</v>
      </c>
      <c r="B967" t="s">
        <v>640</v>
      </c>
      <c r="C967">
        <v>0</v>
      </c>
    </row>
    <row r="968" spans="1:3" ht="15.75" x14ac:dyDescent="0.25">
      <c r="A968">
        <v>198512</v>
      </c>
      <c r="B968" t="s">
        <v>641</v>
      </c>
      <c r="C968">
        <v>0</v>
      </c>
    </row>
    <row r="969" spans="1:3" ht="15.75" x14ac:dyDescent="0.25">
      <c r="A969">
        <v>198513</v>
      </c>
      <c r="B969" t="s">
        <v>642</v>
      </c>
      <c r="C969">
        <v>0</v>
      </c>
    </row>
    <row r="970" spans="1:3" ht="15.75" x14ac:dyDescent="0.25">
      <c r="A970">
        <v>198514</v>
      </c>
      <c r="B970" t="s">
        <v>643</v>
      </c>
      <c r="C970">
        <v>0</v>
      </c>
    </row>
    <row r="971" spans="1:3" ht="15.75" x14ac:dyDescent="0.25">
      <c r="A971">
        <v>198515</v>
      </c>
      <c r="B971" t="s">
        <v>644</v>
      </c>
      <c r="C971">
        <v>0</v>
      </c>
    </row>
    <row r="972" spans="1:3" ht="15.75" x14ac:dyDescent="0.25">
      <c r="A972">
        <v>198516</v>
      </c>
      <c r="B972" t="s">
        <v>645</v>
      </c>
      <c r="C972">
        <v>0</v>
      </c>
    </row>
    <row r="973" spans="1:3" ht="15.75" x14ac:dyDescent="0.25">
      <c r="A973">
        <v>198517</v>
      </c>
      <c r="B973" t="s">
        <v>646</v>
      </c>
      <c r="C973">
        <v>0</v>
      </c>
    </row>
    <row r="974" spans="1:3" ht="15.75" x14ac:dyDescent="0.25">
      <c r="A974">
        <v>198518</v>
      </c>
      <c r="B974" t="s">
        <v>647</v>
      </c>
      <c r="C974">
        <v>0</v>
      </c>
    </row>
    <row r="975" spans="1:3" ht="15.75" x14ac:dyDescent="0.25">
      <c r="A975">
        <v>1986</v>
      </c>
      <c r="B975" t="s">
        <v>648</v>
      </c>
      <c r="C975">
        <f>SUM(C976:C978)</f>
        <v>0</v>
      </c>
    </row>
    <row r="976" spans="1:3" ht="15.75" x14ac:dyDescent="0.25">
      <c r="A976">
        <v>198603</v>
      </c>
      <c r="B976" t="s">
        <v>649</v>
      </c>
      <c r="C976">
        <v>0</v>
      </c>
    </row>
    <row r="977" spans="1:3" ht="15.75" x14ac:dyDescent="0.25">
      <c r="A977">
        <v>198605</v>
      </c>
      <c r="B977" t="s">
        <v>650</v>
      </c>
      <c r="C977">
        <v>0</v>
      </c>
    </row>
    <row r="978" spans="1:3" ht="15.75" x14ac:dyDescent="0.25">
      <c r="A978">
        <v>198606</v>
      </c>
      <c r="B978" t="s">
        <v>651</v>
      </c>
      <c r="C978">
        <v>0</v>
      </c>
    </row>
    <row r="979" spans="1:3" ht="15.75" x14ac:dyDescent="0.25">
      <c r="A979">
        <v>1989</v>
      </c>
      <c r="B979" t="s">
        <v>652</v>
      </c>
      <c r="C979">
        <f>SUM(C980)</f>
        <v>0</v>
      </c>
    </row>
    <row r="980" spans="1:3" ht="15.75" x14ac:dyDescent="0.25">
      <c r="A980">
        <v>198901</v>
      </c>
      <c r="B980" t="s">
        <v>653</v>
      </c>
      <c r="C980">
        <v>0</v>
      </c>
    </row>
    <row r="981" spans="1:3" ht="15.75" x14ac:dyDescent="0.25">
      <c r="A981">
        <v>1990</v>
      </c>
      <c r="B981" t="s">
        <v>654</v>
      </c>
      <c r="C981">
        <f>SUM(C982:C983)</f>
        <v>0</v>
      </c>
    </row>
    <row r="982" spans="1:3" ht="15.75" x14ac:dyDescent="0.25">
      <c r="A982">
        <v>199001</v>
      </c>
      <c r="B982" t="s">
        <v>655</v>
      </c>
      <c r="C982">
        <v>0</v>
      </c>
    </row>
    <row r="983" spans="1:3" ht="15.75" x14ac:dyDescent="0.25">
      <c r="A983">
        <v>199002</v>
      </c>
      <c r="B983" t="s">
        <v>656</v>
      </c>
      <c r="C983">
        <v>0</v>
      </c>
    </row>
    <row r="984" spans="1:3" ht="15.75" x14ac:dyDescent="0.25">
      <c r="A984">
        <v>2</v>
      </c>
      <c r="B984" t="s">
        <v>657</v>
      </c>
      <c r="C984">
        <v>101849070</v>
      </c>
    </row>
    <row r="985" spans="1:3" ht="15.75" x14ac:dyDescent="0.25">
      <c r="A985">
        <v>21</v>
      </c>
      <c r="B985" t="s">
        <v>658</v>
      </c>
      <c r="C985">
        <f>SUM(C986)</f>
        <v>0</v>
      </c>
    </row>
    <row r="986" spans="1:3" ht="15.75" x14ac:dyDescent="0.25">
      <c r="A986">
        <v>2110</v>
      </c>
      <c r="B986" t="s">
        <v>659</v>
      </c>
      <c r="C986">
        <f>SUM(C987:C993)</f>
        <v>0</v>
      </c>
    </row>
    <row r="987" spans="1:3" ht="15.75" x14ac:dyDescent="0.25">
      <c r="A987">
        <v>211001</v>
      </c>
      <c r="B987" t="s">
        <v>660</v>
      </c>
      <c r="C987">
        <v>0</v>
      </c>
    </row>
    <row r="988" spans="1:3" ht="15.75" x14ac:dyDescent="0.25">
      <c r="A988">
        <v>211002</v>
      </c>
      <c r="B988" t="s">
        <v>11</v>
      </c>
      <c r="C988">
        <v>0</v>
      </c>
    </row>
    <row r="989" spans="1:3" ht="15.75" x14ac:dyDescent="0.25">
      <c r="A989">
        <v>211003</v>
      </c>
      <c r="B989" t="s">
        <v>46</v>
      </c>
      <c r="C989">
        <v>0</v>
      </c>
    </row>
    <row r="990" spans="1:3" ht="15.75" x14ac:dyDescent="0.25">
      <c r="A990">
        <v>211005</v>
      </c>
      <c r="B990" t="s">
        <v>661</v>
      </c>
      <c r="C990">
        <v>0</v>
      </c>
    </row>
    <row r="991" spans="1:3" ht="15.75" x14ac:dyDescent="0.25">
      <c r="A991">
        <v>211007</v>
      </c>
      <c r="B991" t="s">
        <v>662</v>
      </c>
      <c r="C991">
        <v>0</v>
      </c>
    </row>
    <row r="992" spans="1:3" ht="15.75" x14ac:dyDescent="0.25">
      <c r="A992">
        <v>211011</v>
      </c>
      <c r="B992" t="s">
        <v>663</v>
      </c>
      <c r="C992">
        <v>0</v>
      </c>
    </row>
    <row r="993" spans="1:3" ht="15.75" x14ac:dyDescent="0.25">
      <c r="A993">
        <v>211090</v>
      </c>
      <c r="B993" t="s">
        <v>664</v>
      </c>
      <c r="C993">
        <v>0</v>
      </c>
    </row>
    <row r="994" spans="1:3" ht="15.75" x14ac:dyDescent="0.25">
      <c r="A994">
        <v>22</v>
      </c>
      <c r="B994" t="s">
        <v>665</v>
      </c>
      <c r="C994">
        <f>SUM(C995,C997,C999,C1001)</f>
        <v>0</v>
      </c>
    </row>
    <row r="995" spans="1:3" ht="15.75" x14ac:dyDescent="0.25">
      <c r="A995">
        <v>2222</v>
      </c>
      <c r="B995" t="s">
        <v>666</v>
      </c>
      <c r="C995">
        <f>SUM(C996)</f>
        <v>0</v>
      </c>
    </row>
    <row r="996" spans="1:3" ht="15.75" x14ac:dyDescent="0.25">
      <c r="A996">
        <v>222201</v>
      </c>
      <c r="B996" t="s">
        <v>667</v>
      </c>
      <c r="C996">
        <v>0</v>
      </c>
    </row>
    <row r="997" spans="1:3" ht="15.75" x14ac:dyDescent="0.25">
      <c r="A997">
        <v>2223</v>
      </c>
      <c r="B997" t="s">
        <v>668</v>
      </c>
      <c r="C997">
        <f>SUM(C998)</f>
        <v>0</v>
      </c>
    </row>
    <row r="998" spans="1:3" ht="15.75" x14ac:dyDescent="0.25">
      <c r="A998">
        <v>222390</v>
      </c>
      <c r="B998" t="s">
        <v>669</v>
      </c>
      <c r="C998">
        <v>0</v>
      </c>
    </row>
    <row r="999" spans="1:3" ht="15.75" x14ac:dyDescent="0.25">
      <c r="A999">
        <v>2224</v>
      </c>
      <c r="B999" t="s">
        <v>670</v>
      </c>
      <c r="C999">
        <f>SUM(C1000)</f>
        <v>0</v>
      </c>
    </row>
    <row r="1000" spans="1:3" ht="15.75" x14ac:dyDescent="0.25">
      <c r="A1000">
        <v>222401</v>
      </c>
      <c r="B1000" t="s">
        <v>667</v>
      </c>
      <c r="C1000">
        <v>0</v>
      </c>
    </row>
    <row r="1001" spans="1:3" ht="15.75" x14ac:dyDescent="0.25">
      <c r="A1001">
        <v>2225</v>
      </c>
      <c r="B1001" t="s">
        <v>671</v>
      </c>
      <c r="C1001">
        <f>SUM(C1002)</f>
        <v>0</v>
      </c>
    </row>
    <row r="1002" spans="1:3" ht="15.75" x14ac:dyDescent="0.25">
      <c r="A1002">
        <v>222590</v>
      </c>
      <c r="B1002" t="s">
        <v>669</v>
      </c>
      <c r="C1002">
        <v>0</v>
      </c>
    </row>
    <row r="1003" spans="1:3" ht="15.75" x14ac:dyDescent="0.25">
      <c r="A1003">
        <v>23</v>
      </c>
      <c r="B1003" t="s">
        <v>672</v>
      </c>
      <c r="C1003">
        <f>SUM(C1004,C1020,C1035,C1041)</f>
        <v>0</v>
      </c>
    </row>
    <row r="1004" spans="1:3" ht="15.75" x14ac:dyDescent="0.25">
      <c r="A1004">
        <v>2313</v>
      </c>
      <c r="B1004" t="s">
        <v>666</v>
      </c>
      <c r="C1004">
        <f>SUM(C1005:C1019)</f>
        <v>0</v>
      </c>
    </row>
    <row r="1005" spans="1:3" ht="15.75" x14ac:dyDescent="0.25">
      <c r="A1005">
        <v>231301</v>
      </c>
      <c r="B1005" t="s">
        <v>673</v>
      </c>
      <c r="C1005">
        <v>0</v>
      </c>
    </row>
    <row r="1006" spans="1:3" ht="15.75" x14ac:dyDescent="0.25">
      <c r="A1006">
        <v>231302</v>
      </c>
      <c r="B1006" t="s">
        <v>674</v>
      </c>
      <c r="C1006">
        <v>0</v>
      </c>
    </row>
    <row r="1007" spans="1:3" ht="15.75" x14ac:dyDescent="0.25">
      <c r="A1007">
        <v>231303</v>
      </c>
      <c r="B1007" t="s">
        <v>675</v>
      </c>
      <c r="C1007">
        <v>0</v>
      </c>
    </row>
    <row r="1008" spans="1:3" ht="15.75" x14ac:dyDescent="0.25">
      <c r="A1008">
        <v>231304</v>
      </c>
      <c r="B1008" t="s">
        <v>676</v>
      </c>
      <c r="C1008">
        <v>0</v>
      </c>
    </row>
    <row r="1009" spans="1:3" ht="15.75" x14ac:dyDescent="0.25">
      <c r="A1009">
        <v>231307</v>
      </c>
      <c r="B1009" t="s">
        <v>677</v>
      </c>
      <c r="C1009">
        <v>0</v>
      </c>
    </row>
    <row r="1010" spans="1:3" ht="15.75" x14ac:dyDescent="0.25">
      <c r="A1010">
        <v>231309</v>
      </c>
      <c r="B1010" t="s">
        <v>678</v>
      </c>
      <c r="C1010">
        <v>0</v>
      </c>
    </row>
    <row r="1011" spans="1:3" ht="15.75" x14ac:dyDescent="0.25">
      <c r="A1011">
        <v>231310</v>
      </c>
      <c r="B1011" t="s">
        <v>679</v>
      </c>
      <c r="C1011">
        <v>0</v>
      </c>
    </row>
    <row r="1012" spans="1:3" ht="15.75" x14ac:dyDescent="0.25">
      <c r="A1012">
        <v>231311</v>
      </c>
      <c r="B1012" t="s">
        <v>680</v>
      </c>
      <c r="C1012">
        <v>0</v>
      </c>
    </row>
    <row r="1013" spans="1:3" ht="15.75" x14ac:dyDescent="0.25">
      <c r="A1013">
        <v>231312</v>
      </c>
      <c r="B1013" t="s">
        <v>681</v>
      </c>
      <c r="C1013">
        <v>0</v>
      </c>
    </row>
    <row r="1014" spans="1:3" ht="15.75" x14ac:dyDescent="0.25">
      <c r="A1014">
        <v>231313</v>
      </c>
      <c r="B1014" t="s">
        <v>682</v>
      </c>
      <c r="C1014">
        <v>0</v>
      </c>
    </row>
    <row r="1015" spans="1:3" ht="15.75" x14ac:dyDescent="0.25">
      <c r="A1015">
        <v>231314</v>
      </c>
      <c r="B1015" t="s">
        <v>683</v>
      </c>
      <c r="C1015">
        <v>0</v>
      </c>
    </row>
    <row r="1016" spans="1:3" ht="15.75" x14ac:dyDescent="0.25">
      <c r="A1016">
        <v>231315</v>
      </c>
      <c r="B1016" t="s">
        <v>282</v>
      </c>
      <c r="C1016">
        <v>0</v>
      </c>
    </row>
    <row r="1017" spans="1:3" ht="15.75" x14ac:dyDescent="0.25">
      <c r="A1017">
        <v>231316</v>
      </c>
      <c r="B1017" t="s">
        <v>684</v>
      </c>
      <c r="C1017">
        <v>0</v>
      </c>
    </row>
    <row r="1018" spans="1:3" ht="15.75" x14ac:dyDescent="0.25">
      <c r="A1018">
        <v>231317</v>
      </c>
      <c r="B1018" t="s">
        <v>685</v>
      </c>
      <c r="C1018">
        <v>0</v>
      </c>
    </row>
    <row r="1019" spans="1:3" ht="15.75" x14ac:dyDescent="0.25">
      <c r="A1019">
        <v>231390</v>
      </c>
      <c r="B1019" t="s">
        <v>686</v>
      </c>
      <c r="C1019">
        <v>0</v>
      </c>
    </row>
    <row r="1020" spans="1:3" ht="15.75" x14ac:dyDescent="0.25">
      <c r="A1020">
        <v>2314</v>
      </c>
      <c r="B1020" t="s">
        <v>668</v>
      </c>
      <c r="C1020">
        <f>SUM(C1021:C1034)</f>
        <v>0</v>
      </c>
    </row>
    <row r="1021" spans="1:3" ht="15.75" x14ac:dyDescent="0.25">
      <c r="A1021">
        <v>231401</v>
      </c>
      <c r="B1021" t="s">
        <v>673</v>
      </c>
      <c r="C1021">
        <v>0</v>
      </c>
    </row>
    <row r="1022" spans="1:3" ht="15.75" x14ac:dyDescent="0.25">
      <c r="A1022">
        <v>231402</v>
      </c>
      <c r="B1022" t="s">
        <v>674</v>
      </c>
      <c r="C1022">
        <v>0</v>
      </c>
    </row>
    <row r="1023" spans="1:3" ht="15.75" x14ac:dyDescent="0.25">
      <c r="A1023">
        <v>231403</v>
      </c>
      <c r="B1023" t="s">
        <v>675</v>
      </c>
      <c r="C1023">
        <v>0</v>
      </c>
    </row>
    <row r="1024" spans="1:3" ht="15.75" x14ac:dyDescent="0.25">
      <c r="A1024">
        <v>231405</v>
      </c>
      <c r="B1024" t="s">
        <v>679</v>
      </c>
      <c r="C1024">
        <v>0</v>
      </c>
    </row>
    <row r="1025" spans="1:3" ht="15.75" x14ac:dyDescent="0.25">
      <c r="A1025">
        <v>231406</v>
      </c>
      <c r="B1025" t="s">
        <v>680</v>
      </c>
      <c r="C1025">
        <v>0</v>
      </c>
    </row>
    <row r="1026" spans="1:3" ht="15.75" x14ac:dyDescent="0.25">
      <c r="A1026">
        <v>231407</v>
      </c>
      <c r="B1026" t="s">
        <v>681</v>
      </c>
      <c r="C1026">
        <v>0</v>
      </c>
    </row>
    <row r="1027" spans="1:3" ht="15.75" x14ac:dyDescent="0.25">
      <c r="A1027">
        <v>231408</v>
      </c>
      <c r="B1027" t="s">
        <v>682</v>
      </c>
      <c r="C1027">
        <v>0</v>
      </c>
    </row>
    <row r="1028" spans="1:3" ht="15.75" x14ac:dyDescent="0.25">
      <c r="A1028">
        <v>231409</v>
      </c>
      <c r="B1028" t="s">
        <v>683</v>
      </c>
      <c r="C1028">
        <v>0</v>
      </c>
    </row>
    <row r="1029" spans="1:3" ht="15.75" x14ac:dyDescent="0.25">
      <c r="A1029">
        <v>231410</v>
      </c>
      <c r="B1029" t="s">
        <v>282</v>
      </c>
      <c r="C1029">
        <v>0</v>
      </c>
    </row>
    <row r="1030" spans="1:3" ht="15.75" x14ac:dyDescent="0.25">
      <c r="A1030">
        <v>231411</v>
      </c>
      <c r="B1030" t="s">
        <v>684</v>
      </c>
      <c r="C1030">
        <v>0</v>
      </c>
    </row>
    <row r="1031" spans="1:3" ht="15.75" x14ac:dyDescent="0.25">
      <c r="A1031">
        <v>231412</v>
      </c>
      <c r="B1031" t="s">
        <v>685</v>
      </c>
      <c r="C1031">
        <v>0</v>
      </c>
    </row>
    <row r="1032" spans="1:3" ht="15.75" x14ac:dyDescent="0.25">
      <c r="A1032">
        <v>231413</v>
      </c>
      <c r="B1032" t="s">
        <v>687</v>
      </c>
      <c r="C1032">
        <v>0</v>
      </c>
    </row>
    <row r="1033" spans="1:3" ht="15.75" x14ac:dyDescent="0.25">
      <c r="A1033">
        <v>231414</v>
      </c>
      <c r="B1033" t="s">
        <v>688</v>
      </c>
      <c r="C1033">
        <v>0</v>
      </c>
    </row>
    <row r="1034" spans="1:3" ht="15.75" x14ac:dyDescent="0.25">
      <c r="A1034">
        <v>231490</v>
      </c>
      <c r="B1034" t="s">
        <v>686</v>
      </c>
      <c r="C1034">
        <v>0</v>
      </c>
    </row>
    <row r="1035" spans="1:3" ht="15.75" x14ac:dyDescent="0.25">
      <c r="A1035">
        <v>2316</v>
      </c>
      <c r="B1035" t="s">
        <v>670</v>
      </c>
      <c r="C1035">
        <f>SUM(C1036:C1040)</f>
        <v>0</v>
      </c>
    </row>
    <row r="1036" spans="1:3" ht="15.75" x14ac:dyDescent="0.25">
      <c r="A1036">
        <v>231601</v>
      </c>
      <c r="B1036" t="s">
        <v>673</v>
      </c>
      <c r="C1036">
        <v>0</v>
      </c>
    </row>
    <row r="1037" spans="1:3" ht="15.75" x14ac:dyDescent="0.25">
      <c r="A1037">
        <v>231603</v>
      </c>
      <c r="B1037" t="s">
        <v>674</v>
      </c>
      <c r="C1037">
        <v>0</v>
      </c>
    </row>
    <row r="1038" spans="1:3" ht="15.75" x14ac:dyDescent="0.25">
      <c r="A1038">
        <v>231605</v>
      </c>
      <c r="B1038" t="s">
        <v>679</v>
      </c>
      <c r="C1038">
        <v>0</v>
      </c>
    </row>
    <row r="1039" spans="1:3" ht="15.75" x14ac:dyDescent="0.25">
      <c r="A1039">
        <v>231607</v>
      </c>
      <c r="B1039" t="s">
        <v>282</v>
      </c>
      <c r="C1039">
        <v>0</v>
      </c>
    </row>
    <row r="1040" spans="1:3" ht="15.75" x14ac:dyDescent="0.25">
      <c r="A1040">
        <v>231690</v>
      </c>
      <c r="B1040" t="s">
        <v>686</v>
      </c>
      <c r="C1040">
        <v>0</v>
      </c>
    </row>
    <row r="1041" spans="1:3" ht="15.75" x14ac:dyDescent="0.25">
      <c r="A1041">
        <v>2317</v>
      </c>
      <c r="B1041" t="s">
        <v>671</v>
      </c>
      <c r="C1041">
        <f>SUM(C1042:C1046)</f>
        <v>0</v>
      </c>
    </row>
    <row r="1042" spans="1:3" ht="15.75" x14ac:dyDescent="0.25">
      <c r="A1042">
        <v>231701</v>
      </c>
      <c r="B1042" t="s">
        <v>673</v>
      </c>
      <c r="C1042">
        <v>0</v>
      </c>
    </row>
    <row r="1043" spans="1:3" ht="15.75" x14ac:dyDescent="0.25">
      <c r="A1043">
        <v>231703</v>
      </c>
      <c r="B1043" t="s">
        <v>674</v>
      </c>
      <c r="C1043">
        <v>0</v>
      </c>
    </row>
    <row r="1044" spans="1:3" ht="15.75" x14ac:dyDescent="0.25">
      <c r="A1044">
        <v>231705</v>
      </c>
      <c r="B1044" t="s">
        <v>679</v>
      </c>
      <c r="C1044">
        <v>0</v>
      </c>
    </row>
    <row r="1045" spans="1:3" ht="15.75" x14ac:dyDescent="0.25">
      <c r="A1045">
        <v>231706</v>
      </c>
      <c r="B1045" t="s">
        <v>282</v>
      </c>
      <c r="C1045">
        <v>0</v>
      </c>
    </row>
    <row r="1046" spans="1:3" ht="15.75" x14ac:dyDescent="0.25">
      <c r="A1046">
        <v>231790</v>
      </c>
      <c r="B1046" t="s">
        <v>686</v>
      </c>
      <c r="C1046">
        <v>0</v>
      </c>
    </row>
    <row r="1047" spans="1:3" ht="15.75" x14ac:dyDescent="0.25">
      <c r="A1047">
        <v>24</v>
      </c>
      <c r="B1047" t="s">
        <v>689</v>
      </c>
      <c r="C1047">
        <v>77246812</v>
      </c>
    </row>
    <row r="1048" spans="1:3" ht="15.75" x14ac:dyDescent="0.25">
      <c r="A1048">
        <v>2401</v>
      </c>
      <c r="B1048" t="s">
        <v>690</v>
      </c>
      <c r="C1048">
        <v>36215736</v>
      </c>
    </row>
    <row r="1049" spans="1:3" ht="15.75" x14ac:dyDescent="0.25">
      <c r="A1049">
        <v>240101</v>
      </c>
      <c r="B1049" t="s">
        <v>570</v>
      </c>
      <c r="C1049">
        <v>4982040</v>
      </c>
    </row>
    <row r="1050" spans="1:3" ht="15.75" x14ac:dyDescent="0.25">
      <c r="A1050">
        <v>240102</v>
      </c>
      <c r="B1050" t="s">
        <v>691</v>
      </c>
      <c r="C1050">
        <v>31233696</v>
      </c>
    </row>
    <row r="1051" spans="1:3" ht="15.75" x14ac:dyDescent="0.25">
      <c r="A1051">
        <v>2402</v>
      </c>
      <c r="B1051" t="s">
        <v>692</v>
      </c>
      <c r="C1051">
        <f>SUM(C1052:C1054)</f>
        <v>0</v>
      </c>
    </row>
    <row r="1052" spans="1:3" ht="15.75" x14ac:dyDescent="0.25">
      <c r="A1052">
        <v>240204</v>
      </c>
      <c r="B1052" t="s">
        <v>221</v>
      </c>
      <c r="C1052">
        <v>0</v>
      </c>
    </row>
    <row r="1053" spans="1:3" ht="15.75" x14ac:dyDescent="0.25">
      <c r="A1053">
        <v>240205</v>
      </c>
      <c r="B1053" t="s">
        <v>693</v>
      </c>
      <c r="C1053">
        <v>0</v>
      </c>
    </row>
    <row r="1054" spans="1:3" ht="15.75" x14ac:dyDescent="0.25">
      <c r="A1054">
        <v>240290</v>
      </c>
      <c r="B1054" t="s">
        <v>223</v>
      </c>
      <c r="C1054">
        <v>0</v>
      </c>
    </row>
    <row r="1055" spans="1:3" ht="15.75" x14ac:dyDescent="0.25">
      <c r="A1055">
        <v>2406</v>
      </c>
      <c r="B1055" t="s">
        <v>694</v>
      </c>
      <c r="C1055">
        <f>SUM(C1056:C1057)</f>
        <v>0</v>
      </c>
    </row>
    <row r="1056" spans="1:3" ht="15.75" x14ac:dyDescent="0.25">
      <c r="A1056">
        <v>240601</v>
      </c>
      <c r="B1056" t="s">
        <v>570</v>
      </c>
      <c r="C1056">
        <v>0</v>
      </c>
    </row>
    <row r="1057" spans="1:3" ht="15.75" x14ac:dyDescent="0.25">
      <c r="A1057">
        <v>240607</v>
      </c>
      <c r="B1057" t="s">
        <v>691</v>
      </c>
      <c r="C1057">
        <v>0</v>
      </c>
    </row>
    <row r="1058" spans="1:3" ht="15.75" x14ac:dyDescent="0.25">
      <c r="A1058">
        <v>2407</v>
      </c>
      <c r="B1058" t="s">
        <v>695</v>
      </c>
      <c r="C1058">
        <v>8445013</v>
      </c>
    </row>
    <row r="1059" spans="1:3" ht="15.75" x14ac:dyDescent="0.25">
      <c r="A1059">
        <v>240704</v>
      </c>
      <c r="B1059" t="s">
        <v>696</v>
      </c>
      <c r="C1059">
        <v>0</v>
      </c>
    </row>
    <row r="1060" spans="1:3" ht="15.75" x14ac:dyDescent="0.25">
      <c r="A1060">
        <v>240706</v>
      </c>
      <c r="B1060" t="s">
        <v>697</v>
      </c>
      <c r="C1060">
        <v>0</v>
      </c>
    </row>
    <row r="1061" spans="1:3" ht="15.75" x14ac:dyDescent="0.25">
      <c r="A1061">
        <v>240710</v>
      </c>
      <c r="B1061" t="s">
        <v>698</v>
      </c>
      <c r="C1061">
        <v>0</v>
      </c>
    </row>
    <row r="1062" spans="1:3" ht="15.75" x14ac:dyDescent="0.25">
      <c r="A1062">
        <v>240713</v>
      </c>
      <c r="B1062" t="s">
        <v>699</v>
      </c>
      <c r="C1062">
        <v>0</v>
      </c>
    </row>
    <row r="1063" spans="1:3" ht="15.75" x14ac:dyDescent="0.25">
      <c r="A1063">
        <v>240717</v>
      </c>
      <c r="B1063" t="s">
        <v>700</v>
      </c>
      <c r="C1063">
        <v>0</v>
      </c>
    </row>
    <row r="1064" spans="1:3" ht="15.75" x14ac:dyDescent="0.25">
      <c r="A1064">
        <v>240720</v>
      </c>
      <c r="B1064" t="s">
        <v>701</v>
      </c>
      <c r="C1064">
        <v>0</v>
      </c>
    </row>
    <row r="1065" spans="1:3" ht="15.75" x14ac:dyDescent="0.25">
      <c r="A1065">
        <v>240721</v>
      </c>
      <c r="B1065" t="s">
        <v>702</v>
      </c>
      <c r="C1065">
        <v>0</v>
      </c>
    </row>
    <row r="1066" spans="1:3" ht="15.75" x14ac:dyDescent="0.25">
      <c r="A1066">
        <v>240722</v>
      </c>
      <c r="B1066" t="s">
        <v>111</v>
      </c>
      <c r="C1066">
        <v>0</v>
      </c>
    </row>
    <row r="1067" spans="1:3" ht="15.75" x14ac:dyDescent="0.25">
      <c r="A1067">
        <v>240723</v>
      </c>
      <c r="B1067" t="s">
        <v>703</v>
      </c>
      <c r="C1067">
        <v>0</v>
      </c>
    </row>
    <row r="1068" spans="1:3" ht="15.75" x14ac:dyDescent="0.25">
      <c r="A1068">
        <v>240724</v>
      </c>
      <c r="B1068" t="s">
        <v>704</v>
      </c>
      <c r="C1068">
        <v>0</v>
      </c>
    </row>
    <row r="1069" spans="1:3" ht="15.75" x14ac:dyDescent="0.25">
      <c r="A1069">
        <v>240725</v>
      </c>
      <c r="B1069" t="s">
        <v>705</v>
      </c>
      <c r="C1069">
        <v>0</v>
      </c>
    </row>
    <row r="1070" spans="1:3" ht="15.75" x14ac:dyDescent="0.25">
      <c r="A1070">
        <v>240726</v>
      </c>
      <c r="B1070" t="s">
        <v>706</v>
      </c>
      <c r="C1070">
        <v>0</v>
      </c>
    </row>
    <row r="1071" spans="1:3" ht="15.75" x14ac:dyDescent="0.25">
      <c r="A1071">
        <v>240727</v>
      </c>
      <c r="B1071" t="s">
        <v>707</v>
      </c>
      <c r="C1071">
        <v>0</v>
      </c>
    </row>
    <row r="1072" spans="1:3" ht="15.75" x14ac:dyDescent="0.25">
      <c r="A1072">
        <v>240790</v>
      </c>
      <c r="B1072" t="s">
        <v>708</v>
      </c>
      <c r="C1072">
        <v>8445013</v>
      </c>
    </row>
    <row r="1073" spans="1:3" ht="15.75" x14ac:dyDescent="0.25">
      <c r="A1073">
        <v>2424</v>
      </c>
      <c r="B1073" t="s">
        <v>709</v>
      </c>
      <c r="C1073">
        <v>12369886</v>
      </c>
    </row>
    <row r="1074" spans="1:3" ht="15.75" x14ac:dyDescent="0.25">
      <c r="A1074">
        <v>242401</v>
      </c>
      <c r="B1074" t="s">
        <v>710</v>
      </c>
      <c r="C1074">
        <v>5982527</v>
      </c>
    </row>
    <row r="1075" spans="1:3" ht="15.75" x14ac:dyDescent="0.25">
      <c r="A1075">
        <v>242402</v>
      </c>
      <c r="B1075" t="s">
        <v>711</v>
      </c>
      <c r="C1075">
        <v>5982527</v>
      </c>
    </row>
    <row r="1076" spans="1:3" ht="15.75" x14ac:dyDescent="0.25">
      <c r="A1076">
        <v>242404</v>
      </c>
      <c r="B1076" t="s">
        <v>712</v>
      </c>
      <c r="C1076">
        <v>404832</v>
      </c>
    </row>
    <row r="1077" spans="1:3" ht="15.75" x14ac:dyDescent="0.25">
      <c r="A1077">
        <v>242405</v>
      </c>
      <c r="B1077" t="s">
        <v>713</v>
      </c>
      <c r="C1077">
        <v>0</v>
      </c>
    </row>
    <row r="1078" spans="1:3" ht="15.75" x14ac:dyDescent="0.25">
      <c r="A1078">
        <v>242406</v>
      </c>
      <c r="B1078" t="s">
        <v>714</v>
      </c>
      <c r="C1078">
        <v>0</v>
      </c>
    </row>
    <row r="1079" spans="1:3" ht="15.75" x14ac:dyDescent="0.25">
      <c r="A1079">
        <v>242407</v>
      </c>
      <c r="B1079" t="s">
        <v>715</v>
      </c>
      <c r="C1079">
        <v>0</v>
      </c>
    </row>
    <row r="1080" spans="1:3" ht="15.75" x14ac:dyDescent="0.25">
      <c r="A1080">
        <v>242408</v>
      </c>
      <c r="B1080" t="s">
        <v>716</v>
      </c>
      <c r="C1080">
        <v>0</v>
      </c>
    </row>
    <row r="1081" spans="1:3" ht="15.75" x14ac:dyDescent="0.25">
      <c r="A1081">
        <v>242409</v>
      </c>
      <c r="B1081" t="s">
        <v>237</v>
      </c>
      <c r="C1081">
        <v>0</v>
      </c>
    </row>
    <row r="1082" spans="1:3" ht="15.75" x14ac:dyDescent="0.25">
      <c r="A1082">
        <v>242410</v>
      </c>
      <c r="B1082" t="s">
        <v>717</v>
      </c>
      <c r="C1082">
        <v>0</v>
      </c>
    </row>
    <row r="1083" spans="1:3" ht="15.75" x14ac:dyDescent="0.25">
      <c r="A1083">
        <v>242411</v>
      </c>
      <c r="B1083" t="s">
        <v>718</v>
      </c>
      <c r="C1083">
        <v>0</v>
      </c>
    </row>
    <row r="1084" spans="1:3" ht="15.75" x14ac:dyDescent="0.25">
      <c r="A1084">
        <v>242412</v>
      </c>
      <c r="B1084" t="s">
        <v>561</v>
      </c>
      <c r="C1084">
        <v>0</v>
      </c>
    </row>
    <row r="1085" spans="1:3" ht="15.75" x14ac:dyDescent="0.25">
      <c r="A1085">
        <v>242413</v>
      </c>
      <c r="B1085" t="s">
        <v>719</v>
      </c>
      <c r="C1085">
        <v>0</v>
      </c>
    </row>
    <row r="1086" spans="1:3" ht="15.75" x14ac:dyDescent="0.25">
      <c r="A1086">
        <v>242490</v>
      </c>
      <c r="B1086" t="s">
        <v>720</v>
      </c>
      <c r="C1086">
        <v>0</v>
      </c>
    </row>
    <row r="1087" spans="1:3" ht="15.75" x14ac:dyDescent="0.25">
      <c r="A1087">
        <v>2436</v>
      </c>
      <c r="B1087" t="s">
        <v>721</v>
      </c>
      <c r="C1087">
        <v>536951</v>
      </c>
    </row>
    <row r="1088" spans="1:3" ht="15.75" x14ac:dyDescent="0.25">
      <c r="A1088">
        <v>243602</v>
      </c>
      <c r="B1088" t="s">
        <v>722</v>
      </c>
      <c r="C1088">
        <v>0</v>
      </c>
    </row>
    <row r="1089" spans="1:3" ht="15.75" x14ac:dyDescent="0.25">
      <c r="A1089">
        <v>243603</v>
      </c>
      <c r="B1089" t="s">
        <v>241</v>
      </c>
      <c r="C1089">
        <v>0</v>
      </c>
    </row>
    <row r="1090" spans="1:3" ht="15.75" x14ac:dyDescent="0.25">
      <c r="A1090">
        <v>243604</v>
      </c>
      <c r="B1090" t="s">
        <v>230</v>
      </c>
      <c r="C1090">
        <v>0</v>
      </c>
    </row>
    <row r="1091" spans="1:3" ht="15.75" x14ac:dyDescent="0.25">
      <c r="A1091">
        <v>243605</v>
      </c>
      <c r="B1091" t="s">
        <v>723</v>
      </c>
      <c r="C1091">
        <v>198000</v>
      </c>
    </row>
    <row r="1092" spans="1:3" ht="15.75" x14ac:dyDescent="0.25">
      <c r="A1092">
        <v>243606</v>
      </c>
      <c r="B1092" t="s">
        <v>724</v>
      </c>
      <c r="C1092">
        <v>0</v>
      </c>
    </row>
    <row r="1093" spans="1:3" ht="15.75" x14ac:dyDescent="0.25">
      <c r="A1093">
        <v>243607</v>
      </c>
      <c r="B1093" t="s">
        <v>725</v>
      </c>
      <c r="C1093">
        <v>0</v>
      </c>
    </row>
    <row r="1094" spans="1:3" ht="15.75" x14ac:dyDescent="0.25">
      <c r="A1094">
        <v>243608</v>
      </c>
      <c r="B1094" t="s">
        <v>726</v>
      </c>
      <c r="C1094">
        <v>338387</v>
      </c>
    </row>
    <row r="1095" spans="1:3" ht="15.75" x14ac:dyDescent="0.25">
      <c r="A1095">
        <v>243609</v>
      </c>
      <c r="B1095" t="s">
        <v>727</v>
      </c>
      <c r="C1095">
        <v>0</v>
      </c>
    </row>
    <row r="1096" spans="1:3" ht="15.75" x14ac:dyDescent="0.25">
      <c r="A1096">
        <v>243610</v>
      </c>
      <c r="B1096" t="s">
        <v>728</v>
      </c>
      <c r="C1096">
        <v>0</v>
      </c>
    </row>
    <row r="1097" spans="1:3" ht="15.75" x14ac:dyDescent="0.25">
      <c r="A1097">
        <v>243611</v>
      </c>
      <c r="B1097" t="s">
        <v>729</v>
      </c>
      <c r="C1097">
        <v>0</v>
      </c>
    </row>
    <row r="1098" spans="1:3" ht="15.75" x14ac:dyDescent="0.25">
      <c r="A1098">
        <v>243612</v>
      </c>
      <c r="B1098" t="s">
        <v>730</v>
      </c>
      <c r="C1098">
        <v>0</v>
      </c>
    </row>
    <row r="1099" spans="1:3" ht="15.75" x14ac:dyDescent="0.25">
      <c r="A1099">
        <v>243613</v>
      </c>
      <c r="B1099" t="s">
        <v>731</v>
      </c>
      <c r="C1099">
        <v>0</v>
      </c>
    </row>
    <row r="1100" spans="1:3" ht="15.75" x14ac:dyDescent="0.25">
      <c r="A1100">
        <v>243614</v>
      </c>
      <c r="B1100" t="s">
        <v>732</v>
      </c>
      <c r="C1100">
        <v>0</v>
      </c>
    </row>
    <row r="1101" spans="1:3" ht="15.75" x14ac:dyDescent="0.25">
      <c r="A1101">
        <v>243615</v>
      </c>
      <c r="B1101" t="s">
        <v>733</v>
      </c>
      <c r="C1101">
        <v>0</v>
      </c>
    </row>
    <row r="1102" spans="1:3" ht="15.75" x14ac:dyDescent="0.25">
      <c r="A1102">
        <v>243619</v>
      </c>
      <c r="B1102" t="s">
        <v>734</v>
      </c>
      <c r="C1102">
        <v>0</v>
      </c>
    </row>
    <row r="1103" spans="1:3" ht="15.75" x14ac:dyDescent="0.25">
      <c r="A1103">
        <v>243625</v>
      </c>
      <c r="B1103" t="s">
        <v>735</v>
      </c>
      <c r="C1103">
        <v>134</v>
      </c>
    </row>
    <row r="1104" spans="1:3" ht="15.75" x14ac:dyDescent="0.25">
      <c r="A1104">
        <v>243626</v>
      </c>
      <c r="B1104" t="s">
        <v>253</v>
      </c>
      <c r="C1104">
        <v>0</v>
      </c>
    </row>
    <row r="1105" spans="1:3" ht="15.75" x14ac:dyDescent="0.25">
      <c r="A1105">
        <v>243627</v>
      </c>
      <c r="B1105" t="s">
        <v>736</v>
      </c>
      <c r="C1105">
        <v>0</v>
      </c>
    </row>
    <row r="1106" spans="1:3" ht="15.75" x14ac:dyDescent="0.25">
      <c r="A1106">
        <v>243628</v>
      </c>
      <c r="B1106" t="s">
        <v>737</v>
      </c>
      <c r="C1106">
        <v>0</v>
      </c>
    </row>
    <row r="1107" spans="1:3" ht="15.75" x14ac:dyDescent="0.25">
      <c r="A1107">
        <v>243690</v>
      </c>
      <c r="B1107" t="s">
        <v>738</v>
      </c>
      <c r="C1107">
        <v>430</v>
      </c>
    </row>
    <row r="1108" spans="1:3" ht="15.75" x14ac:dyDescent="0.25">
      <c r="A1108">
        <v>243695</v>
      </c>
      <c r="B1108" t="s">
        <v>739</v>
      </c>
      <c r="C1108">
        <v>0</v>
      </c>
    </row>
    <row r="1109" spans="1:3" ht="15.75" x14ac:dyDescent="0.25">
      <c r="A1109">
        <v>243698</v>
      </c>
      <c r="B1109" t="s">
        <v>740</v>
      </c>
      <c r="C1109">
        <v>0</v>
      </c>
    </row>
    <row r="1110" spans="1:3" ht="15.75" x14ac:dyDescent="0.25">
      <c r="A1110">
        <v>2440</v>
      </c>
      <c r="B1110" t="s">
        <v>741</v>
      </c>
      <c r="C1110">
        <f>SUM(C1111:C1139)</f>
        <v>0</v>
      </c>
    </row>
    <row r="1111" spans="1:3" ht="15.75" x14ac:dyDescent="0.25">
      <c r="A1111">
        <v>244001</v>
      </c>
      <c r="B1111" t="s">
        <v>742</v>
      </c>
      <c r="C1111">
        <v>0</v>
      </c>
    </row>
    <row r="1112" spans="1:3" ht="15.75" x14ac:dyDescent="0.25">
      <c r="A1112">
        <v>244003</v>
      </c>
      <c r="B1112" t="s">
        <v>743</v>
      </c>
      <c r="C1112">
        <v>0</v>
      </c>
    </row>
    <row r="1113" spans="1:3" ht="15.75" x14ac:dyDescent="0.25">
      <c r="A1113">
        <v>244004</v>
      </c>
      <c r="B1113" t="s">
        <v>744</v>
      </c>
      <c r="C1113">
        <v>0</v>
      </c>
    </row>
    <row r="1114" spans="1:3" ht="15.75" x14ac:dyDescent="0.25">
      <c r="A1114">
        <v>244007</v>
      </c>
      <c r="B1114" t="s">
        <v>745</v>
      </c>
      <c r="C1114">
        <v>0</v>
      </c>
    </row>
    <row r="1115" spans="1:3" ht="15.75" x14ac:dyDescent="0.25">
      <c r="A1115">
        <v>244009</v>
      </c>
      <c r="B1115" t="s">
        <v>746</v>
      </c>
      <c r="C1115">
        <v>0</v>
      </c>
    </row>
    <row r="1116" spans="1:3" ht="15.75" x14ac:dyDescent="0.25">
      <c r="A1116">
        <v>244010</v>
      </c>
      <c r="B1116" t="s">
        <v>747</v>
      </c>
      <c r="C1116">
        <v>0</v>
      </c>
    </row>
    <row r="1117" spans="1:3" ht="15.75" x14ac:dyDescent="0.25">
      <c r="A1117">
        <v>244011</v>
      </c>
      <c r="B1117" t="s">
        <v>748</v>
      </c>
      <c r="C1117">
        <v>0</v>
      </c>
    </row>
    <row r="1118" spans="1:3" ht="15.75" x14ac:dyDescent="0.25">
      <c r="A1118">
        <v>244014</v>
      </c>
      <c r="B1118" t="s">
        <v>749</v>
      </c>
      <c r="C1118">
        <v>0</v>
      </c>
    </row>
    <row r="1119" spans="1:3" ht="15.75" x14ac:dyDescent="0.25">
      <c r="A1119">
        <v>244016</v>
      </c>
      <c r="B1119" t="s">
        <v>750</v>
      </c>
      <c r="C1119">
        <v>0</v>
      </c>
    </row>
    <row r="1120" spans="1:3" ht="15.75" x14ac:dyDescent="0.25">
      <c r="A1120">
        <v>244017</v>
      </c>
      <c r="B1120" t="s">
        <v>251</v>
      </c>
      <c r="C1120">
        <v>0</v>
      </c>
    </row>
    <row r="1121" spans="1:3" ht="15.75" x14ac:dyDescent="0.25">
      <c r="A1121">
        <v>244019</v>
      </c>
      <c r="B1121" t="s">
        <v>740</v>
      </c>
      <c r="C1121">
        <v>0</v>
      </c>
    </row>
    <row r="1122" spans="1:3" ht="15.75" x14ac:dyDescent="0.25">
      <c r="A1122">
        <v>244020</v>
      </c>
      <c r="B1122" t="s">
        <v>751</v>
      </c>
      <c r="C1122">
        <v>0</v>
      </c>
    </row>
    <row r="1123" spans="1:3" ht="15.75" x14ac:dyDescent="0.25">
      <c r="A1123">
        <v>244021</v>
      </c>
      <c r="B1123" t="s">
        <v>752</v>
      </c>
      <c r="C1123">
        <v>0</v>
      </c>
    </row>
    <row r="1124" spans="1:3" ht="15.75" x14ac:dyDescent="0.25">
      <c r="A1124">
        <v>244022</v>
      </c>
      <c r="B1124" t="s">
        <v>753</v>
      </c>
      <c r="C1124">
        <v>0</v>
      </c>
    </row>
    <row r="1125" spans="1:3" ht="15.75" x14ac:dyDescent="0.25">
      <c r="A1125">
        <v>244023</v>
      </c>
      <c r="B1125" t="s">
        <v>754</v>
      </c>
      <c r="C1125">
        <v>0</v>
      </c>
    </row>
    <row r="1126" spans="1:3" ht="15.75" x14ac:dyDescent="0.25">
      <c r="A1126">
        <v>244024</v>
      </c>
      <c r="B1126" t="s">
        <v>755</v>
      </c>
      <c r="C1126">
        <v>0</v>
      </c>
    </row>
    <row r="1127" spans="1:3" ht="15.75" x14ac:dyDescent="0.25">
      <c r="A1127">
        <v>244027</v>
      </c>
      <c r="B1127" t="s">
        <v>756</v>
      </c>
      <c r="C1127">
        <v>0</v>
      </c>
    </row>
    <row r="1128" spans="1:3" ht="15.75" x14ac:dyDescent="0.25">
      <c r="A1128">
        <v>244029</v>
      </c>
      <c r="B1128" t="s">
        <v>757</v>
      </c>
      <c r="C1128">
        <v>0</v>
      </c>
    </row>
    <row r="1129" spans="1:3" ht="15.75" x14ac:dyDescent="0.25">
      <c r="A1129">
        <v>244031</v>
      </c>
      <c r="B1129" t="s">
        <v>758</v>
      </c>
      <c r="C1129">
        <v>0</v>
      </c>
    </row>
    <row r="1130" spans="1:3" ht="15.75" x14ac:dyDescent="0.25">
      <c r="A1130">
        <v>244032</v>
      </c>
      <c r="B1130" t="s">
        <v>759</v>
      </c>
      <c r="C1130">
        <v>0</v>
      </c>
    </row>
    <row r="1131" spans="1:3" ht="15.75" x14ac:dyDescent="0.25">
      <c r="A1131">
        <v>244034</v>
      </c>
      <c r="B1131" t="s">
        <v>760</v>
      </c>
      <c r="C1131">
        <v>0</v>
      </c>
    </row>
    <row r="1132" spans="1:3" ht="15.75" x14ac:dyDescent="0.25">
      <c r="A1132">
        <v>244035</v>
      </c>
      <c r="B1132" t="s">
        <v>111</v>
      </c>
      <c r="C1132">
        <v>0</v>
      </c>
    </row>
    <row r="1133" spans="1:3" ht="15.75" x14ac:dyDescent="0.25">
      <c r="A1133">
        <v>244036</v>
      </c>
      <c r="B1133" t="s">
        <v>761</v>
      </c>
      <c r="C1133">
        <v>0</v>
      </c>
    </row>
    <row r="1134" spans="1:3" ht="15.75" x14ac:dyDescent="0.25">
      <c r="A1134">
        <v>244037</v>
      </c>
      <c r="B1134" t="s">
        <v>762</v>
      </c>
      <c r="C1134">
        <v>0</v>
      </c>
    </row>
    <row r="1135" spans="1:3" ht="15.75" x14ac:dyDescent="0.25">
      <c r="A1135">
        <v>244075</v>
      </c>
      <c r="B1135" t="s">
        <v>763</v>
      </c>
      <c r="C1135">
        <v>0</v>
      </c>
    </row>
    <row r="1136" spans="1:3" ht="15.75" x14ac:dyDescent="0.25">
      <c r="A1136">
        <v>244080</v>
      </c>
      <c r="B1136" t="s">
        <v>764</v>
      </c>
      <c r="C1136">
        <v>0</v>
      </c>
    </row>
    <row r="1137" spans="1:3" ht="15.75" x14ac:dyDescent="0.25">
      <c r="A1137">
        <v>244085</v>
      </c>
      <c r="B1137" t="s">
        <v>765</v>
      </c>
      <c r="C1137">
        <v>0</v>
      </c>
    </row>
    <row r="1138" spans="1:3" ht="15.75" x14ac:dyDescent="0.25">
      <c r="A1138">
        <v>244090</v>
      </c>
      <c r="B1138" t="s">
        <v>766</v>
      </c>
      <c r="C1138">
        <v>0</v>
      </c>
    </row>
    <row r="1139" spans="1:3" ht="15.75" x14ac:dyDescent="0.25">
      <c r="A1139">
        <v>244091</v>
      </c>
      <c r="B1139" t="s">
        <v>767</v>
      </c>
      <c r="C1139">
        <v>0</v>
      </c>
    </row>
    <row r="1140" spans="1:3" ht="15.75" x14ac:dyDescent="0.25">
      <c r="A1140">
        <v>2445</v>
      </c>
      <c r="B1140" t="s">
        <v>768</v>
      </c>
      <c r="C1140">
        <f>SUM(C1141:C1150)</f>
        <v>0</v>
      </c>
    </row>
    <row r="1141" spans="1:3" ht="15.75" x14ac:dyDescent="0.25">
      <c r="A1141">
        <v>244501</v>
      </c>
      <c r="B1141" t="s">
        <v>259</v>
      </c>
      <c r="C1141">
        <v>0</v>
      </c>
    </row>
    <row r="1142" spans="1:3" ht="15.75" x14ac:dyDescent="0.25">
      <c r="A1142">
        <v>244502</v>
      </c>
      <c r="B1142" t="s">
        <v>769</v>
      </c>
      <c r="C1142">
        <v>0</v>
      </c>
    </row>
    <row r="1143" spans="1:3" ht="15.75" x14ac:dyDescent="0.25">
      <c r="A1143">
        <v>244503</v>
      </c>
      <c r="B1143" t="s">
        <v>770</v>
      </c>
      <c r="C1143">
        <v>0</v>
      </c>
    </row>
    <row r="1144" spans="1:3" ht="15.75" x14ac:dyDescent="0.25">
      <c r="A1144">
        <v>244504</v>
      </c>
      <c r="B1144" t="s">
        <v>771</v>
      </c>
      <c r="C1144">
        <v>0</v>
      </c>
    </row>
    <row r="1145" spans="1:3" ht="15.75" x14ac:dyDescent="0.25">
      <c r="A1145">
        <v>244505</v>
      </c>
      <c r="B1145" t="s">
        <v>772</v>
      </c>
      <c r="C1145">
        <v>0</v>
      </c>
    </row>
    <row r="1146" spans="1:3" ht="15.75" x14ac:dyDescent="0.25">
      <c r="A1146">
        <v>244506</v>
      </c>
      <c r="B1146" t="s">
        <v>773</v>
      </c>
      <c r="C1146">
        <v>0</v>
      </c>
    </row>
    <row r="1147" spans="1:3" ht="15.75" x14ac:dyDescent="0.25">
      <c r="A1147">
        <v>244507</v>
      </c>
      <c r="B1147" t="s">
        <v>774</v>
      </c>
      <c r="C1147">
        <v>0</v>
      </c>
    </row>
    <row r="1148" spans="1:3" ht="15.75" x14ac:dyDescent="0.25">
      <c r="A1148">
        <v>244508</v>
      </c>
      <c r="B1148" t="s">
        <v>775</v>
      </c>
      <c r="C1148">
        <v>0</v>
      </c>
    </row>
    <row r="1149" spans="1:3" ht="15.75" x14ac:dyDescent="0.25">
      <c r="A1149">
        <v>244575</v>
      </c>
      <c r="B1149" t="s">
        <v>776</v>
      </c>
      <c r="C1149">
        <v>0</v>
      </c>
    </row>
    <row r="1150" spans="1:3" ht="15.75" x14ac:dyDescent="0.25">
      <c r="A1150">
        <v>244580</v>
      </c>
      <c r="B1150" t="s">
        <v>777</v>
      </c>
      <c r="C1150">
        <v>0</v>
      </c>
    </row>
    <row r="1151" spans="1:3" ht="15.75" x14ac:dyDescent="0.25">
      <c r="A1151">
        <v>2460</v>
      </c>
      <c r="B1151" t="s">
        <v>778</v>
      </c>
      <c r="C1151">
        <f>SUM(C1152:C1154)</f>
        <v>0</v>
      </c>
    </row>
    <row r="1152" spans="1:3" ht="15.75" x14ac:dyDescent="0.25">
      <c r="A1152">
        <v>246002</v>
      </c>
      <c r="B1152" t="s">
        <v>779</v>
      </c>
      <c r="C1152">
        <v>0</v>
      </c>
    </row>
    <row r="1153" spans="1:3" ht="15.75" x14ac:dyDescent="0.25">
      <c r="A1153">
        <v>246003</v>
      </c>
      <c r="B1153" t="s">
        <v>780</v>
      </c>
      <c r="C1153">
        <v>0</v>
      </c>
    </row>
    <row r="1154" spans="1:3" ht="15.75" x14ac:dyDescent="0.25">
      <c r="A1154">
        <v>246090</v>
      </c>
      <c r="B1154" t="s">
        <v>781</v>
      </c>
      <c r="C1154">
        <v>0</v>
      </c>
    </row>
    <row r="1155" spans="1:3" ht="15.75" x14ac:dyDescent="0.25">
      <c r="A1155">
        <v>2465</v>
      </c>
      <c r="B1155" t="s">
        <v>782</v>
      </c>
      <c r="C1155">
        <f>SUM(C1156:C1160)</f>
        <v>0</v>
      </c>
    </row>
    <row r="1156" spans="1:3" ht="15.75" x14ac:dyDescent="0.25">
      <c r="A1156">
        <v>246501</v>
      </c>
      <c r="B1156" t="s">
        <v>783</v>
      </c>
      <c r="C1156">
        <v>0</v>
      </c>
    </row>
    <row r="1157" spans="1:3" ht="15.75" x14ac:dyDescent="0.25">
      <c r="A1157">
        <v>246502</v>
      </c>
      <c r="B1157" t="s">
        <v>784</v>
      </c>
      <c r="C1157">
        <v>0</v>
      </c>
    </row>
    <row r="1158" spans="1:3" ht="15.75" x14ac:dyDescent="0.25">
      <c r="A1158">
        <v>246503</v>
      </c>
      <c r="B1158" t="s">
        <v>785</v>
      </c>
      <c r="C1158">
        <v>0</v>
      </c>
    </row>
    <row r="1159" spans="1:3" ht="15.75" x14ac:dyDescent="0.25">
      <c r="A1159">
        <v>246550</v>
      </c>
      <c r="B1159" t="s">
        <v>786</v>
      </c>
      <c r="C1159">
        <v>0</v>
      </c>
    </row>
    <row r="1160" spans="1:3" ht="15.75" x14ac:dyDescent="0.25">
      <c r="A1160">
        <v>246590</v>
      </c>
      <c r="B1160" t="s">
        <v>787</v>
      </c>
      <c r="C1160">
        <v>0</v>
      </c>
    </row>
    <row r="1161" spans="1:3" ht="15.75" x14ac:dyDescent="0.25">
      <c r="A1161">
        <v>2475</v>
      </c>
      <c r="B1161" t="s">
        <v>788</v>
      </c>
      <c r="C1161">
        <f>SUM(C1162:C1167)</f>
        <v>0</v>
      </c>
    </row>
    <row r="1162" spans="1:3" ht="15.75" x14ac:dyDescent="0.25">
      <c r="A1162">
        <v>247501</v>
      </c>
      <c r="B1162" t="s">
        <v>789</v>
      </c>
      <c r="C1162">
        <v>0</v>
      </c>
    </row>
    <row r="1163" spans="1:3" ht="15.75" x14ac:dyDescent="0.25">
      <c r="A1163">
        <v>247507</v>
      </c>
      <c r="B1163" t="s">
        <v>790</v>
      </c>
      <c r="C1163">
        <v>0</v>
      </c>
    </row>
    <row r="1164" spans="1:3" ht="15.75" x14ac:dyDescent="0.25">
      <c r="A1164">
        <v>247508</v>
      </c>
      <c r="B1164" t="s">
        <v>791</v>
      </c>
      <c r="C1164">
        <v>0</v>
      </c>
    </row>
    <row r="1165" spans="1:3" ht="15.75" x14ac:dyDescent="0.25">
      <c r="A1165">
        <v>247509</v>
      </c>
      <c r="B1165" t="s">
        <v>251</v>
      </c>
      <c r="C1165">
        <v>0</v>
      </c>
    </row>
    <row r="1166" spans="1:3" ht="15.75" x14ac:dyDescent="0.25">
      <c r="A1166">
        <v>247510</v>
      </c>
      <c r="B1166" t="s">
        <v>792</v>
      </c>
      <c r="C1166">
        <v>0</v>
      </c>
    </row>
    <row r="1167" spans="1:3" ht="15.75" x14ac:dyDescent="0.25">
      <c r="A1167">
        <v>247590</v>
      </c>
      <c r="B1167" t="s">
        <v>793</v>
      </c>
      <c r="C1167">
        <v>0</v>
      </c>
    </row>
    <row r="1168" spans="1:3" ht="15.75" x14ac:dyDescent="0.25">
      <c r="A1168">
        <v>2481</v>
      </c>
      <c r="B1168" t="s">
        <v>794</v>
      </c>
      <c r="C1168">
        <f>SUM(C1169:C1187)</f>
        <v>0</v>
      </c>
    </row>
    <row r="1169" spans="1:3" ht="15.75" x14ac:dyDescent="0.25">
      <c r="A1169">
        <v>248101</v>
      </c>
      <c r="B1169" t="s">
        <v>795</v>
      </c>
      <c r="C1169">
        <v>0</v>
      </c>
    </row>
    <row r="1170" spans="1:3" ht="15.75" x14ac:dyDescent="0.25">
      <c r="A1170">
        <v>248102</v>
      </c>
      <c r="B1170" t="s">
        <v>796</v>
      </c>
      <c r="C1170">
        <v>0</v>
      </c>
    </row>
    <row r="1171" spans="1:3" ht="15.75" x14ac:dyDescent="0.25">
      <c r="A1171">
        <v>248103</v>
      </c>
      <c r="B1171" t="s">
        <v>797</v>
      </c>
      <c r="C1171">
        <v>0</v>
      </c>
    </row>
    <row r="1172" spans="1:3" ht="15.75" x14ac:dyDescent="0.25">
      <c r="A1172">
        <v>248104</v>
      </c>
      <c r="B1172" t="s">
        <v>798</v>
      </c>
      <c r="C1172">
        <v>0</v>
      </c>
    </row>
    <row r="1173" spans="1:3" ht="15.75" x14ac:dyDescent="0.25">
      <c r="A1173">
        <v>248105</v>
      </c>
      <c r="B1173" t="s">
        <v>799</v>
      </c>
      <c r="C1173">
        <v>0</v>
      </c>
    </row>
    <row r="1174" spans="1:3" ht="15.75" x14ac:dyDescent="0.25">
      <c r="A1174">
        <v>248106</v>
      </c>
      <c r="B1174" t="s">
        <v>800</v>
      </c>
      <c r="C1174">
        <v>0</v>
      </c>
    </row>
    <row r="1175" spans="1:3" ht="15.75" x14ac:dyDescent="0.25">
      <c r="A1175">
        <v>248107</v>
      </c>
      <c r="B1175" t="s">
        <v>801</v>
      </c>
      <c r="C1175">
        <v>0</v>
      </c>
    </row>
    <row r="1176" spans="1:3" ht="15.75" x14ac:dyDescent="0.25">
      <c r="A1176">
        <v>248108</v>
      </c>
      <c r="B1176" t="s">
        <v>802</v>
      </c>
      <c r="C1176">
        <v>0</v>
      </c>
    </row>
    <row r="1177" spans="1:3" ht="15.75" x14ac:dyDescent="0.25">
      <c r="A1177">
        <v>248109</v>
      </c>
      <c r="B1177" t="s">
        <v>803</v>
      </c>
      <c r="C1177">
        <v>0</v>
      </c>
    </row>
    <row r="1178" spans="1:3" ht="15.75" x14ac:dyDescent="0.25">
      <c r="A1178">
        <v>248110</v>
      </c>
      <c r="B1178" t="s">
        <v>804</v>
      </c>
      <c r="C1178">
        <v>0</v>
      </c>
    </row>
    <row r="1179" spans="1:3" ht="15.75" x14ac:dyDescent="0.25">
      <c r="A1179">
        <v>248111</v>
      </c>
      <c r="B1179" t="s">
        <v>805</v>
      </c>
      <c r="C1179">
        <v>0</v>
      </c>
    </row>
    <row r="1180" spans="1:3" ht="15.75" x14ac:dyDescent="0.25">
      <c r="A1180">
        <v>248112</v>
      </c>
      <c r="B1180" t="s">
        <v>806</v>
      </c>
      <c r="C1180">
        <v>0</v>
      </c>
    </row>
    <row r="1181" spans="1:3" ht="15.75" x14ac:dyDescent="0.25">
      <c r="A1181">
        <v>248113</v>
      </c>
      <c r="B1181" t="s">
        <v>807</v>
      </c>
      <c r="C1181">
        <v>0</v>
      </c>
    </row>
    <row r="1182" spans="1:3" ht="15.75" x14ac:dyDescent="0.25">
      <c r="A1182">
        <v>248114</v>
      </c>
      <c r="B1182" t="s">
        <v>808</v>
      </c>
      <c r="C1182">
        <v>0</v>
      </c>
    </row>
    <row r="1183" spans="1:3" ht="15.75" x14ac:dyDescent="0.25">
      <c r="A1183">
        <v>248115</v>
      </c>
      <c r="B1183" t="s">
        <v>809</v>
      </c>
      <c r="C1183">
        <v>0</v>
      </c>
    </row>
    <row r="1184" spans="1:3" ht="15.75" x14ac:dyDescent="0.25">
      <c r="A1184">
        <v>248116</v>
      </c>
      <c r="B1184" t="s">
        <v>810</v>
      </c>
      <c r="C1184">
        <v>0</v>
      </c>
    </row>
    <row r="1185" spans="1:3" ht="15.75" x14ac:dyDescent="0.25">
      <c r="A1185">
        <v>248117</v>
      </c>
      <c r="B1185" t="s">
        <v>811</v>
      </c>
      <c r="C1185">
        <v>0</v>
      </c>
    </row>
    <row r="1186" spans="1:3" ht="15.75" x14ac:dyDescent="0.25">
      <c r="A1186">
        <v>248118</v>
      </c>
      <c r="B1186" t="s">
        <v>812</v>
      </c>
      <c r="C1186">
        <v>0</v>
      </c>
    </row>
    <row r="1187" spans="1:3" ht="15.75" x14ac:dyDescent="0.25">
      <c r="A1187">
        <v>248190</v>
      </c>
      <c r="B1187" t="s">
        <v>813</v>
      </c>
      <c r="C1187">
        <v>0</v>
      </c>
    </row>
    <row r="1188" spans="1:3" ht="15.75" x14ac:dyDescent="0.25">
      <c r="A1188">
        <v>2490</v>
      </c>
      <c r="B1188" t="s">
        <v>814</v>
      </c>
      <c r="C1188">
        <v>19679226</v>
      </c>
    </row>
    <row r="1189" spans="1:3" ht="15.75" x14ac:dyDescent="0.25">
      <c r="A1189">
        <v>249007</v>
      </c>
      <c r="B1189" t="s">
        <v>815</v>
      </c>
      <c r="C1189">
        <v>0</v>
      </c>
    </row>
    <row r="1190" spans="1:3" ht="15.75" x14ac:dyDescent="0.25">
      <c r="A1190">
        <v>249011</v>
      </c>
      <c r="B1190" t="s">
        <v>816</v>
      </c>
      <c r="C1190">
        <v>0</v>
      </c>
    </row>
    <row r="1191" spans="1:3" ht="15.75" x14ac:dyDescent="0.25">
      <c r="A1191">
        <v>249013</v>
      </c>
      <c r="B1191" t="s">
        <v>817</v>
      </c>
      <c r="C1191">
        <v>0</v>
      </c>
    </row>
    <row r="1192" spans="1:3" ht="15.75" x14ac:dyDescent="0.25">
      <c r="A1192">
        <v>249015</v>
      </c>
      <c r="B1192" t="s">
        <v>818</v>
      </c>
      <c r="C1192">
        <v>0</v>
      </c>
    </row>
    <row r="1193" spans="1:3" ht="15.75" x14ac:dyDescent="0.25">
      <c r="A1193">
        <v>249019</v>
      </c>
      <c r="B1193" t="s">
        <v>819</v>
      </c>
      <c r="C1193">
        <v>0</v>
      </c>
    </row>
    <row r="1194" spans="1:3" ht="15.75" x14ac:dyDescent="0.25">
      <c r="A1194">
        <v>249025</v>
      </c>
      <c r="B1194" t="s">
        <v>820</v>
      </c>
      <c r="C1194">
        <v>0</v>
      </c>
    </row>
    <row r="1195" spans="1:3" ht="15.75" x14ac:dyDescent="0.25">
      <c r="A1195">
        <v>249026</v>
      </c>
      <c r="B1195" t="s">
        <v>821</v>
      </c>
      <c r="C1195">
        <v>0</v>
      </c>
    </row>
    <row r="1196" spans="1:3" ht="15.75" x14ac:dyDescent="0.25">
      <c r="A1196">
        <v>249027</v>
      </c>
      <c r="B1196" t="s">
        <v>822</v>
      </c>
      <c r="C1196">
        <v>0</v>
      </c>
    </row>
    <row r="1197" spans="1:3" ht="15.75" x14ac:dyDescent="0.25">
      <c r="A1197">
        <v>249028</v>
      </c>
      <c r="B1197" t="s">
        <v>561</v>
      </c>
      <c r="C1197">
        <v>0</v>
      </c>
    </row>
    <row r="1198" spans="1:3" ht="15.75" x14ac:dyDescent="0.25">
      <c r="A1198">
        <v>249029</v>
      </c>
      <c r="B1198" t="s">
        <v>823</v>
      </c>
      <c r="C1198">
        <v>0</v>
      </c>
    </row>
    <row r="1199" spans="1:3" ht="15.75" x14ac:dyDescent="0.25">
      <c r="A1199">
        <v>249031</v>
      </c>
      <c r="B1199" t="s">
        <v>824</v>
      </c>
      <c r="C1199">
        <v>0</v>
      </c>
    </row>
    <row r="1200" spans="1:3" ht="15.75" x14ac:dyDescent="0.25">
      <c r="A1200">
        <v>249032</v>
      </c>
      <c r="B1200" t="s">
        <v>825</v>
      </c>
      <c r="C1200">
        <v>0</v>
      </c>
    </row>
    <row r="1201" spans="1:3" ht="15.75" x14ac:dyDescent="0.25">
      <c r="A1201">
        <v>249033</v>
      </c>
      <c r="B1201" t="s">
        <v>826</v>
      </c>
      <c r="C1201">
        <v>0</v>
      </c>
    </row>
    <row r="1202" spans="1:3" ht="15.75" x14ac:dyDescent="0.25">
      <c r="A1202">
        <v>249034</v>
      </c>
      <c r="B1202" t="s">
        <v>827</v>
      </c>
      <c r="C1202">
        <v>0</v>
      </c>
    </row>
    <row r="1203" spans="1:3" ht="15.75" x14ac:dyDescent="0.25">
      <c r="A1203">
        <v>249035</v>
      </c>
      <c r="B1203" t="s">
        <v>828</v>
      </c>
      <c r="C1203">
        <v>0</v>
      </c>
    </row>
    <row r="1204" spans="1:3" ht="15.75" x14ac:dyDescent="0.25">
      <c r="A1204">
        <v>249036</v>
      </c>
      <c r="B1204" t="s">
        <v>829</v>
      </c>
      <c r="C1204">
        <v>0</v>
      </c>
    </row>
    <row r="1205" spans="1:3" ht="15.75" x14ac:dyDescent="0.25">
      <c r="A1205">
        <v>249040</v>
      </c>
      <c r="B1205" t="s">
        <v>830</v>
      </c>
      <c r="C1205">
        <v>0</v>
      </c>
    </row>
    <row r="1206" spans="1:3" ht="15.75" x14ac:dyDescent="0.25">
      <c r="A1206">
        <v>249042</v>
      </c>
      <c r="B1206" t="s">
        <v>831</v>
      </c>
      <c r="C1206">
        <v>0</v>
      </c>
    </row>
    <row r="1207" spans="1:3" ht="15.75" x14ac:dyDescent="0.25">
      <c r="A1207">
        <v>249044</v>
      </c>
      <c r="B1207" t="s">
        <v>251</v>
      </c>
      <c r="C1207">
        <v>0</v>
      </c>
    </row>
    <row r="1208" spans="1:3" ht="15.75" x14ac:dyDescent="0.25">
      <c r="A1208">
        <v>249045</v>
      </c>
      <c r="B1208" t="s">
        <v>832</v>
      </c>
      <c r="C1208">
        <v>0</v>
      </c>
    </row>
    <row r="1209" spans="1:3" ht="15.75" x14ac:dyDescent="0.25">
      <c r="A1209">
        <v>249046</v>
      </c>
      <c r="B1209" t="s">
        <v>124</v>
      </c>
      <c r="C1209">
        <v>0</v>
      </c>
    </row>
    <row r="1210" spans="1:3" ht="15.75" x14ac:dyDescent="0.25">
      <c r="A1210">
        <v>249047</v>
      </c>
      <c r="B1210" t="s">
        <v>833</v>
      </c>
      <c r="C1210">
        <v>0</v>
      </c>
    </row>
    <row r="1211" spans="1:3" ht="15.75" x14ac:dyDescent="0.25">
      <c r="A1211">
        <v>249048</v>
      </c>
      <c r="B1211" t="s">
        <v>834</v>
      </c>
      <c r="C1211">
        <v>0</v>
      </c>
    </row>
    <row r="1212" spans="1:3" ht="15.75" x14ac:dyDescent="0.25">
      <c r="A1212">
        <v>249049</v>
      </c>
      <c r="B1212" t="s">
        <v>835</v>
      </c>
      <c r="C1212">
        <v>0</v>
      </c>
    </row>
    <row r="1213" spans="1:3" ht="15.75" x14ac:dyDescent="0.25">
      <c r="A1213">
        <v>249050</v>
      </c>
      <c r="B1213" t="s">
        <v>836</v>
      </c>
      <c r="C1213">
        <v>0</v>
      </c>
    </row>
    <row r="1214" spans="1:3" ht="15.75" x14ac:dyDescent="0.25">
      <c r="A1214">
        <v>249051</v>
      </c>
      <c r="B1214" t="s">
        <v>837</v>
      </c>
      <c r="C1214">
        <v>0</v>
      </c>
    </row>
    <row r="1215" spans="1:3" ht="15.75" x14ac:dyDescent="0.25">
      <c r="A1215">
        <v>249053</v>
      </c>
      <c r="B1215" t="s">
        <v>230</v>
      </c>
      <c r="C1215">
        <v>0</v>
      </c>
    </row>
    <row r="1216" spans="1:3" ht="15.75" x14ac:dyDescent="0.25">
      <c r="A1216">
        <v>249054</v>
      </c>
      <c r="B1216" t="s">
        <v>241</v>
      </c>
      <c r="C1216">
        <v>7950000</v>
      </c>
    </row>
    <row r="1217" spans="1:3" ht="15.75" x14ac:dyDescent="0.25">
      <c r="A1217">
        <v>249055</v>
      </c>
      <c r="B1217" t="s">
        <v>723</v>
      </c>
      <c r="C1217">
        <v>2900000</v>
      </c>
    </row>
    <row r="1218" spans="1:3" ht="15.75" x14ac:dyDescent="0.25">
      <c r="A1218">
        <v>249056</v>
      </c>
      <c r="B1218" t="s">
        <v>722</v>
      </c>
      <c r="C1218">
        <v>0</v>
      </c>
    </row>
    <row r="1219" spans="1:3" ht="15.75" x14ac:dyDescent="0.25">
      <c r="A1219">
        <v>249057</v>
      </c>
      <c r="B1219" t="s">
        <v>838</v>
      </c>
      <c r="C1219">
        <v>0</v>
      </c>
    </row>
    <row r="1220" spans="1:3" ht="15.75" x14ac:dyDescent="0.25">
      <c r="A1220">
        <v>249058</v>
      </c>
      <c r="B1220" t="s">
        <v>255</v>
      </c>
      <c r="C1220">
        <v>0</v>
      </c>
    </row>
    <row r="1221" spans="1:3" ht="15.75" x14ac:dyDescent="0.25">
      <c r="A1221">
        <v>249060</v>
      </c>
      <c r="B1221" t="s">
        <v>839</v>
      </c>
      <c r="C1221">
        <v>0</v>
      </c>
    </row>
    <row r="1222" spans="1:3" ht="15.75" x14ac:dyDescent="0.25">
      <c r="A1222">
        <v>249061</v>
      </c>
      <c r="B1222" t="s">
        <v>840</v>
      </c>
      <c r="C1222">
        <v>0</v>
      </c>
    </row>
    <row r="1223" spans="1:3" ht="15.75" x14ac:dyDescent="0.25">
      <c r="A1223">
        <v>249062</v>
      </c>
      <c r="B1223" t="s">
        <v>841</v>
      </c>
      <c r="C1223">
        <v>0</v>
      </c>
    </row>
    <row r="1224" spans="1:3" ht="15.75" x14ac:dyDescent="0.25">
      <c r="A1224">
        <v>249090</v>
      </c>
      <c r="B1224" t="s">
        <v>842</v>
      </c>
      <c r="C1224">
        <v>8829226</v>
      </c>
    </row>
    <row r="1225" spans="1:3" ht="15.75" x14ac:dyDescent="0.25">
      <c r="A1225">
        <v>2495</v>
      </c>
      <c r="B1225" t="s">
        <v>843</v>
      </c>
      <c r="C1225">
        <f>SUM(C1226:C1231)</f>
        <v>0</v>
      </c>
    </row>
    <row r="1226" spans="1:3" ht="15.75" x14ac:dyDescent="0.25">
      <c r="A1226">
        <v>249501</v>
      </c>
      <c r="B1226" t="s">
        <v>844</v>
      </c>
      <c r="C1226">
        <v>0</v>
      </c>
    </row>
    <row r="1227" spans="1:3" ht="15.75" x14ac:dyDescent="0.25">
      <c r="A1227">
        <v>249502</v>
      </c>
      <c r="B1227" t="s">
        <v>845</v>
      </c>
      <c r="C1227">
        <v>0</v>
      </c>
    </row>
    <row r="1228" spans="1:3" ht="15.75" x14ac:dyDescent="0.25">
      <c r="A1228">
        <v>249505</v>
      </c>
      <c r="B1228" t="s">
        <v>846</v>
      </c>
      <c r="C1228">
        <v>0</v>
      </c>
    </row>
    <row r="1229" spans="1:3" ht="15.75" x14ac:dyDescent="0.25">
      <c r="A1229">
        <v>249506</v>
      </c>
      <c r="B1229" t="s">
        <v>847</v>
      </c>
      <c r="C1229">
        <v>0</v>
      </c>
    </row>
    <row r="1230" spans="1:3" ht="15.75" x14ac:dyDescent="0.25">
      <c r="A1230">
        <v>249507</v>
      </c>
      <c r="B1230" t="s">
        <v>848</v>
      </c>
      <c r="C1230">
        <v>0</v>
      </c>
    </row>
    <row r="1231" spans="1:3" ht="15.75" x14ac:dyDescent="0.25">
      <c r="A1231">
        <v>249590</v>
      </c>
      <c r="B1231" t="s">
        <v>849</v>
      </c>
      <c r="C1231">
        <v>0</v>
      </c>
    </row>
    <row r="1232" spans="1:3" ht="15.75" x14ac:dyDescent="0.25">
      <c r="A1232">
        <v>25</v>
      </c>
      <c r="B1232" t="s">
        <v>850</v>
      </c>
      <c r="C1232">
        <v>23867015</v>
      </c>
    </row>
    <row r="1233" spans="1:3" ht="15.75" x14ac:dyDescent="0.25">
      <c r="A1233">
        <v>2511</v>
      </c>
      <c r="B1233" t="s">
        <v>851</v>
      </c>
      <c r="C1233">
        <v>23867015</v>
      </c>
    </row>
    <row r="1234" spans="1:3" ht="15.75" x14ac:dyDescent="0.25">
      <c r="A1234">
        <v>251101</v>
      </c>
      <c r="B1234" t="s">
        <v>852</v>
      </c>
      <c r="C1234">
        <v>1672267</v>
      </c>
    </row>
    <row r="1235" spans="1:3" ht="15.75" x14ac:dyDescent="0.25">
      <c r="A1235">
        <v>251102</v>
      </c>
      <c r="B1235" t="s">
        <v>853</v>
      </c>
      <c r="C1235">
        <v>2554702</v>
      </c>
    </row>
    <row r="1236" spans="1:3" ht="15.75" x14ac:dyDescent="0.25">
      <c r="A1236">
        <v>251103</v>
      </c>
      <c r="B1236" t="s">
        <v>854</v>
      </c>
      <c r="C1236">
        <v>0</v>
      </c>
    </row>
    <row r="1237" spans="1:3" ht="15.75" x14ac:dyDescent="0.25">
      <c r="A1237">
        <v>251104</v>
      </c>
      <c r="B1237" t="s">
        <v>855</v>
      </c>
      <c r="C1237">
        <v>516301</v>
      </c>
    </row>
    <row r="1238" spans="1:3" ht="15.75" x14ac:dyDescent="0.25">
      <c r="A1238">
        <v>251105</v>
      </c>
      <c r="B1238" t="s">
        <v>856</v>
      </c>
      <c r="C1238">
        <v>951686</v>
      </c>
    </row>
    <row r="1239" spans="1:3" ht="15.75" x14ac:dyDescent="0.25">
      <c r="A1239">
        <v>251106</v>
      </c>
      <c r="B1239" t="s">
        <v>857</v>
      </c>
      <c r="C1239">
        <v>0</v>
      </c>
    </row>
    <row r="1240" spans="1:3" ht="15.75" x14ac:dyDescent="0.25">
      <c r="A1240">
        <v>251107</v>
      </c>
      <c r="B1240" t="s">
        <v>858</v>
      </c>
      <c r="C1240">
        <v>0</v>
      </c>
    </row>
    <row r="1241" spans="1:3" ht="15.75" x14ac:dyDescent="0.25">
      <c r="A1241">
        <v>251108</v>
      </c>
      <c r="B1241" t="s">
        <v>619</v>
      </c>
      <c r="C1241">
        <v>0</v>
      </c>
    </row>
    <row r="1242" spans="1:3" ht="15.75" x14ac:dyDescent="0.25">
      <c r="A1242">
        <v>251109</v>
      </c>
      <c r="B1242" t="s">
        <v>859</v>
      </c>
      <c r="C1242">
        <v>53044</v>
      </c>
    </row>
    <row r="1243" spans="1:3" ht="15.75" x14ac:dyDescent="0.25">
      <c r="A1243">
        <v>251110</v>
      </c>
      <c r="B1243" t="s">
        <v>860</v>
      </c>
      <c r="C1243">
        <v>0</v>
      </c>
    </row>
    <row r="1244" spans="1:3" ht="15.75" x14ac:dyDescent="0.25">
      <c r="A1244">
        <v>251111</v>
      </c>
      <c r="B1244" t="s">
        <v>861</v>
      </c>
      <c r="C1244">
        <v>0</v>
      </c>
    </row>
    <row r="1245" spans="1:3" ht="15.75" x14ac:dyDescent="0.25">
      <c r="A1245">
        <v>251112</v>
      </c>
      <c r="B1245" t="s">
        <v>862</v>
      </c>
      <c r="C1245">
        <v>0</v>
      </c>
    </row>
    <row r="1246" spans="1:3" ht="15.75" x14ac:dyDescent="0.25">
      <c r="A1246">
        <v>251113</v>
      </c>
      <c r="B1246" t="s">
        <v>863</v>
      </c>
      <c r="C1246">
        <v>0</v>
      </c>
    </row>
    <row r="1247" spans="1:3" ht="15.75" x14ac:dyDescent="0.25">
      <c r="A1247">
        <v>251115</v>
      </c>
      <c r="B1247" t="s">
        <v>864</v>
      </c>
      <c r="C1247">
        <v>0</v>
      </c>
    </row>
    <row r="1248" spans="1:3" ht="15.75" x14ac:dyDescent="0.25">
      <c r="A1248">
        <v>251116</v>
      </c>
      <c r="B1248" t="s">
        <v>865</v>
      </c>
      <c r="C1248">
        <v>0</v>
      </c>
    </row>
    <row r="1249" spans="1:3" ht="15.75" x14ac:dyDescent="0.25">
      <c r="A1249">
        <v>251117</v>
      </c>
      <c r="B1249" t="s">
        <v>866</v>
      </c>
      <c r="C1249">
        <v>0</v>
      </c>
    </row>
    <row r="1250" spans="1:3" ht="15.75" x14ac:dyDescent="0.25">
      <c r="A1250">
        <v>251118</v>
      </c>
      <c r="B1250" t="s">
        <v>867</v>
      </c>
      <c r="C1250">
        <v>0</v>
      </c>
    </row>
    <row r="1251" spans="1:3" ht="15.75" x14ac:dyDescent="0.25">
      <c r="A1251">
        <v>251119</v>
      </c>
      <c r="B1251" t="s">
        <v>868</v>
      </c>
      <c r="C1251">
        <v>0</v>
      </c>
    </row>
    <row r="1252" spans="1:3" ht="15.75" x14ac:dyDescent="0.25">
      <c r="A1252">
        <v>251120</v>
      </c>
      <c r="B1252" t="s">
        <v>230</v>
      </c>
      <c r="C1252">
        <v>0</v>
      </c>
    </row>
    <row r="1253" spans="1:3" ht="15.75" x14ac:dyDescent="0.25">
      <c r="A1253">
        <v>251121</v>
      </c>
      <c r="B1253" t="s">
        <v>869</v>
      </c>
      <c r="C1253">
        <v>0</v>
      </c>
    </row>
    <row r="1254" spans="1:3" ht="15.75" x14ac:dyDescent="0.25">
      <c r="A1254">
        <v>251122</v>
      </c>
      <c r="B1254" t="s">
        <v>870</v>
      </c>
      <c r="C1254">
        <v>0</v>
      </c>
    </row>
    <row r="1255" spans="1:3" ht="15.75" x14ac:dyDescent="0.25">
      <c r="A1255">
        <v>251123</v>
      </c>
      <c r="B1255" t="s">
        <v>871</v>
      </c>
      <c r="C1255">
        <v>0</v>
      </c>
    </row>
    <row r="1256" spans="1:3" ht="15.75" x14ac:dyDescent="0.25">
      <c r="A1256">
        <v>251124</v>
      </c>
      <c r="B1256" t="s">
        <v>872</v>
      </c>
      <c r="C1256">
        <v>16319015</v>
      </c>
    </row>
    <row r="1257" spans="1:3" ht="15.75" x14ac:dyDescent="0.25">
      <c r="A1257">
        <v>251125</v>
      </c>
      <c r="B1257" t="s">
        <v>215</v>
      </c>
      <c r="C1257">
        <v>0</v>
      </c>
    </row>
    <row r="1258" spans="1:3" ht="15.75" x14ac:dyDescent="0.25">
      <c r="A1258">
        <v>251126</v>
      </c>
      <c r="B1258" t="s">
        <v>873</v>
      </c>
      <c r="C1258">
        <v>0</v>
      </c>
    </row>
    <row r="1259" spans="1:3" ht="15.75" x14ac:dyDescent="0.25">
      <c r="A1259">
        <v>251127</v>
      </c>
      <c r="B1259" t="s">
        <v>874</v>
      </c>
      <c r="C1259">
        <v>0</v>
      </c>
    </row>
    <row r="1260" spans="1:3" ht="15.75" x14ac:dyDescent="0.25">
      <c r="A1260">
        <v>251190</v>
      </c>
      <c r="B1260" t="s">
        <v>875</v>
      </c>
      <c r="C1260">
        <v>1800000</v>
      </c>
    </row>
    <row r="1261" spans="1:3" ht="15.75" x14ac:dyDescent="0.25">
      <c r="A1261">
        <v>2512</v>
      </c>
      <c r="B1261" t="s">
        <v>876</v>
      </c>
      <c r="C1261">
        <f>SUM(C1262:C1266)</f>
        <v>0</v>
      </c>
    </row>
    <row r="1262" spans="1:3" ht="15.75" x14ac:dyDescent="0.25">
      <c r="A1262">
        <v>251201</v>
      </c>
      <c r="B1262" t="s">
        <v>859</v>
      </c>
      <c r="C1262">
        <v>0</v>
      </c>
    </row>
    <row r="1263" spans="1:3" ht="15.75" x14ac:dyDescent="0.25">
      <c r="A1263">
        <v>251202</v>
      </c>
      <c r="B1263" t="s">
        <v>877</v>
      </c>
      <c r="C1263">
        <v>0</v>
      </c>
    </row>
    <row r="1264" spans="1:3" ht="15.75" x14ac:dyDescent="0.25">
      <c r="A1264">
        <v>251203</v>
      </c>
      <c r="B1264" t="s">
        <v>864</v>
      </c>
      <c r="C1264">
        <v>0</v>
      </c>
    </row>
    <row r="1265" spans="1:3" ht="15.75" x14ac:dyDescent="0.25">
      <c r="A1265">
        <v>251204</v>
      </c>
      <c r="B1265" t="s">
        <v>878</v>
      </c>
      <c r="C1265">
        <v>0</v>
      </c>
    </row>
    <row r="1266" spans="1:3" ht="15.75" x14ac:dyDescent="0.25">
      <c r="A1266">
        <v>251290</v>
      </c>
      <c r="B1266" t="s">
        <v>879</v>
      </c>
      <c r="C1266">
        <v>0</v>
      </c>
    </row>
    <row r="1267" spans="1:3" ht="15.75" x14ac:dyDescent="0.25">
      <c r="A1267">
        <v>2513</v>
      </c>
      <c r="B1267" t="s">
        <v>880</v>
      </c>
      <c r="C1267">
        <f>SUM(C1268:C1270)</f>
        <v>0</v>
      </c>
    </row>
    <row r="1268" spans="1:3" ht="15.75" x14ac:dyDescent="0.25">
      <c r="A1268">
        <v>251301</v>
      </c>
      <c r="B1268" t="s">
        <v>242</v>
      </c>
      <c r="C1268">
        <v>0</v>
      </c>
    </row>
    <row r="1269" spans="1:3" ht="15.75" x14ac:dyDescent="0.25">
      <c r="A1269">
        <v>251302</v>
      </c>
      <c r="B1269" t="s">
        <v>864</v>
      </c>
      <c r="C1269">
        <v>0</v>
      </c>
    </row>
    <row r="1270" spans="1:3" ht="15.75" x14ac:dyDescent="0.25">
      <c r="A1270">
        <v>251390</v>
      </c>
      <c r="B1270" t="s">
        <v>881</v>
      </c>
      <c r="C1270">
        <v>0</v>
      </c>
    </row>
    <row r="1271" spans="1:3" ht="15.75" x14ac:dyDescent="0.25">
      <c r="A1271">
        <v>2514</v>
      </c>
      <c r="B1271" t="s">
        <v>882</v>
      </c>
      <c r="C1271">
        <f>SUM(C1272:C1280)</f>
        <v>0</v>
      </c>
    </row>
    <row r="1272" spans="1:3" ht="15.75" x14ac:dyDescent="0.25">
      <c r="A1272">
        <v>251401</v>
      </c>
      <c r="B1272" t="s">
        <v>883</v>
      </c>
      <c r="C1272">
        <v>0</v>
      </c>
    </row>
    <row r="1273" spans="1:3" ht="15.75" x14ac:dyDescent="0.25">
      <c r="A1273">
        <v>251402</v>
      </c>
      <c r="B1273" t="s">
        <v>884</v>
      </c>
      <c r="C1273">
        <v>0</v>
      </c>
    </row>
    <row r="1274" spans="1:3" ht="15.75" x14ac:dyDescent="0.25">
      <c r="A1274">
        <v>251403</v>
      </c>
      <c r="B1274" t="s">
        <v>885</v>
      </c>
      <c r="C1274">
        <v>0</v>
      </c>
    </row>
    <row r="1275" spans="1:3" ht="15.75" x14ac:dyDescent="0.25">
      <c r="A1275">
        <v>251404</v>
      </c>
      <c r="B1275" t="s">
        <v>886</v>
      </c>
      <c r="C1275">
        <v>0</v>
      </c>
    </row>
    <row r="1276" spans="1:3" ht="15.75" x14ac:dyDescent="0.25">
      <c r="A1276">
        <v>251405</v>
      </c>
      <c r="B1276" t="s">
        <v>233</v>
      </c>
      <c r="C1276">
        <v>0</v>
      </c>
    </row>
    <row r="1277" spans="1:3" ht="15.75" x14ac:dyDescent="0.25">
      <c r="A1277">
        <v>251410</v>
      </c>
      <c r="B1277" t="s">
        <v>887</v>
      </c>
      <c r="C1277">
        <v>0</v>
      </c>
    </row>
    <row r="1278" spans="1:3" ht="15.75" x14ac:dyDescent="0.25">
      <c r="A1278">
        <v>251412</v>
      </c>
      <c r="B1278" t="s">
        <v>888</v>
      </c>
      <c r="C1278">
        <v>0</v>
      </c>
    </row>
    <row r="1279" spans="1:3" ht="15.75" x14ac:dyDescent="0.25">
      <c r="A1279">
        <v>251414</v>
      </c>
      <c r="B1279" t="s">
        <v>889</v>
      </c>
      <c r="C1279">
        <v>0</v>
      </c>
    </row>
    <row r="1280" spans="1:3" ht="15.75" x14ac:dyDescent="0.25">
      <c r="A1280">
        <v>251415</v>
      </c>
      <c r="B1280" t="s">
        <v>890</v>
      </c>
      <c r="C1280">
        <v>0</v>
      </c>
    </row>
    <row r="1281" spans="1:3" ht="15.75" x14ac:dyDescent="0.25">
      <c r="A1281">
        <v>2515</v>
      </c>
      <c r="B1281" t="s">
        <v>891</v>
      </c>
      <c r="C1281">
        <f>SUM(C1282:C1283)</f>
        <v>0</v>
      </c>
    </row>
    <row r="1282" spans="1:3" ht="15.75" x14ac:dyDescent="0.25">
      <c r="A1282">
        <v>251501</v>
      </c>
      <c r="B1282" t="s">
        <v>892</v>
      </c>
      <c r="C1282">
        <v>0</v>
      </c>
    </row>
    <row r="1283" spans="1:3" ht="15.75" x14ac:dyDescent="0.25">
      <c r="A1283">
        <v>251502</v>
      </c>
      <c r="B1283" t="s">
        <v>893</v>
      </c>
      <c r="C1283">
        <v>0</v>
      </c>
    </row>
    <row r="1284" spans="1:3" ht="15.75" x14ac:dyDescent="0.25">
      <c r="A1284">
        <v>26</v>
      </c>
      <c r="B1284" t="s">
        <v>894</v>
      </c>
      <c r="C1284">
        <f>SUM(C1285,C1296,C1307,C1318,C1329,C1333)</f>
        <v>0</v>
      </c>
    </row>
    <row r="1285" spans="1:3" ht="15.75" x14ac:dyDescent="0.25">
      <c r="A1285">
        <v>2601</v>
      </c>
      <c r="B1285" t="s">
        <v>81</v>
      </c>
      <c r="C1285">
        <f>SUM(C1286:C1295)</f>
        <v>0</v>
      </c>
    </row>
    <row r="1286" spans="1:3" ht="15.75" x14ac:dyDescent="0.25">
      <c r="A1286">
        <v>260101</v>
      </c>
      <c r="B1286" t="s">
        <v>895</v>
      </c>
      <c r="C1286">
        <v>0</v>
      </c>
    </row>
    <row r="1287" spans="1:3" ht="15.75" x14ac:dyDescent="0.25">
      <c r="A1287">
        <v>260102</v>
      </c>
      <c r="B1287" t="s">
        <v>896</v>
      </c>
      <c r="C1287">
        <v>0</v>
      </c>
    </row>
    <row r="1288" spans="1:3" ht="15.75" x14ac:dyDescent="0.25">
      <c r="A1288">
        <v>260103</v>
      </c>
      <c r="B1288" t="s">
        <v>897</v>
      </c>
      <c r="C1288">
        <v>0</v>
      </c>
    </row>
    <row r="1289" spans="1:3" ht="15.75" x14ac:dyDescent="0.25">
      <c r="A1289">
        <v>260104</v>
      </c>
      <c r="B1289" t="s">
        <v>898</v>
      </c>
      <c r="C1289">
        <v>0</v>
      </c>
    </row>
    <row r="1290" spans="1:3" ht="15.75" x14ac:dyDescent="0.25">
      <c r="A1290">
        <v>260105</v>
      </c>
      <c r="B1290" t="s">
        <v>899</v>
      </c>
      <c r="C1290">
        <v>0</v>
      </c>
    </row>
    <row r="1291" spans="1:3" ht="15.75" x14ac:dyDescent="0.25">
      <c r="A1291">
        <v>260106</v>
      </c>
      <c r="B1291" t="s">
        <v>900</v>
      </c>
      <c r="C1291">
        <v>0</v>
      </c>
    </row>
    <row r="1292" spans="1:3" ht="15.75" x14ac:dyDescent="0.25">
      <c r="A1292">
        <v>260107</v>
      </c>
      <c r="B1292" t="s">
        <v>901</v>
      </c>
      <c r="C1292">
        <v>0</v>
      </c>
    </row>
    <row r="1293" spans="1:3" ht="15.75" x14ac:dyDescent="0.25">
      <c r="A1293">
        <v>260108</v>
      </c>
      <c r="B1293" t="s">
        <v>902</v>
      </c>
      <c r="C1293">
        <v>0</v>
      </c>
    </row>
    <row r="1294" spans="1:3" ht="15.75" x14ac:dyDescent="0.25">
      <c r="A1294">
        <v>260109</v>
      </c>
      <c r="B1294" t="s">
        <v>903</v>
      </c>
      <c r="C1294">
        <v>0</v>
      </c>
    </row>
    <row r="1295" spans="1:3" ht="15.75" x14ac:dyDescent="0.25">
      <c r="A1295">
        <v>260111</v>
      </c>
      <c r="B1295" t="s">
        <v>904</v>
      </c>
      <c r="C1295">
        <v>0</v>
      </c>
    </row>
    <row r="1296" spans="1:3" ht="15.75" x14ac:dyDescent="0.25">
      <c r="A1296">
        <v>2602</v>
      </c>
      <c r="B1296" t="s">
        <v>92</v>
      </c>
      <c r="C1296">
        <f>SUM(C1297:C1306)</f>
        <v>0</v>
      </c>
    </row>
    <row r="1297" spans="1:3" ht="15.75" x14ac:dyDescent="0.25">
      <c r="A1297">
        <v>260201</v>
      </c>
      <c r="B1297" t="s">
        <v>895</v>
      </c>
      <c r="C1297">
        <v>0</v>
      </c>
    </row>
    <row r="1298" spans="1:3" ht="15.75" x14ac:dyDescent="0.25">
      <c r="A1298">
        <v>260202</v>
      </c>
      <c r="B1298" t="s">
        <v>896</v>
      </c>
      <c r="C1298">
        <v>0</v>
      </c>
    </row>
    <row r="1299" spans="1:3" ht="15.75" x14ac:dyDescent="0.25">
      <c r="A1299">
        <v>260203</v>
      </c>
      <c r="B1299" t="s">
        <v>897</v>
      </c>
      <c r="C1299">
        <v>0</v>
      </c>
    </row>
    <row r="1300" spans="1:3" ht="15.75" x14ac:dyDescent="0.25">
      <c r="A1300">
        <v>260204</v>
      </c>
      <c r="B1300" t="s">
        <v>898</v>
      </c>
      <c r="C1300">
        <v>0</v>
      </c>
    </row>
    <row r="1301" spans="1:3" ht="15.75" x14ac:dyDescent="0.25">
      <c r="A1301">
        <v>260205</v>
      </c>
      <c r="B1301" t="s">
        <v>899</v>
      </c>
      <c r="C1301">
        <v>0</v>
      </c>
    </row>
    <row r="1302" spans="1:3" ht="15.75" x14ac:dyDescent="0.25">
      <c r="A1302">
        <v>260206</v>
      </c>
      <c r="B1302" t="s">
        <v>900</v>
      </c>
      <c r="C1302">
        <v>0</v>
      </c>
    </row>
    <row r="1303" spans="1:3" ht="15.75" x14ac:dyDescent="0.25">
      <c r="A1303">
        <v>260207</v>
      </c>
      <c r="B1303" t="s">
        <v>901</v>
      </c>
      <c r="C1303">
        <v>0</v>
      </c>
    </row>
    <row r="1304" spans="1:3" ht="15.75" x14ac:dyDescent="0.25">
      <c r="A1304">
        <v>260208</v>
      </c>
      <c r="B1304" t="s">
        <v>902</v>
      </c>
      <c r="C1304">
        <v>0</v>
      </c>
    </row>
    <row r="1305" spans="1:3" ht="15.75" x14ac:dyDescent="0.25">
      <c r="A1305">
        <v>260209</v>
      </c>
      <c r="B1305" t="s">
        <v>903</v>
      </c>
      <c r="C1305">
        <v>0</v>
      </c>
    </row>
    <row r="1306" spans="1:3" ht="15.75" x14ac:dyDescent="0.25">
      <c r="A1306">
        <v>260211</v>
      </c>
      <c r="B1306" t="s">
        <v>904</v>
      </c>
      <c r="C1306">
        <v>0</v>
      </c>
    </row>
    <row r="1307" spans="1:3" ht="15.75" x14ac:dyDescent="0.25">
      <c r="A1307">
        <v>2603</v>
      </c>
      <c r="B1307" t="s">
        <v>93</v>
      </c>
      <c r="C1307">
        <f>SUM(C1308:C1317)</f>
        <v>0</v>
      </c>
    </row>
    <row r="1308" spans="1:3" ht="15.75" x14ac:dyDescent="0.25">
      <c r="A1308">
        <v>260301</v>
      </c>
      <c r="B1308" t="s">
        <v>895</v>
      </c>
      <c r="C1308">
        <v>0</v>
      </c>
    </row>
    <row r="1309" spans="1:3" ht="15.75" x14ac:dyDescent="0.25">
      <c r="A1309">
        <v>260302</v>
      </c>
      <c r="B1309" t="s">
        <v>896</v>
      </c>
      <c r="C1309">
        <v>0</v>
      </c>
    </row>
    <row r="1310" spans="1:3" ht="15.75" x14ac:dyDescent="0.25">
      <c r="A1310">
        <v>260303</v>
      </c>
      <c r="B1310" t="s">
        <v>897</v>
      </c>
      <c r="C1310">
        <v>0</v>
      </c>
    </row>
    <row r="1311" spans="1:3" ht="15.75" x14ac:dyDescent="0.25">
      <c r="A1311">
        <v>260304</v>
      </c>
      <c r="B1311" t="s">
        <v>898</v>
      </c>
      <c r="C1311">
        <v>0</v>
      </c>
    </row>
    <row r="1312" spans="1:3" ht="15.75" x14ac:dyDescent="0.25">
      <c r="A1312">
        <v>260305</v>
      </c>
      <c r="B1312" t="s">
        <v>899</v>
      </c>
      <c r="C1312">
        <v>0</v>
      </c>
    </row>
    <row r="1313" spans="1:3" ht="15.75" x14ac:dyDescent="0.25">
      <c r="A1313">
        <v>260306</v>
      </c>
      <c r="B1313" t="s">
        <v>900</v>
      </c>
      <c r="C1313">
        <v>0</v>
      </c>
    </row>
    <row r="1314" spans="1:3" ht="15.75" x14ac:dyDescent="0.25">
      <c r="A1314">
        <v>260307</v>
      </c>
      <c r="B1314" t="s">
        <v>901</v>
      </c>
      <c r="C1314">
        <v>0</v>
      </c>
    </row>
    <row r="1315" spans="1:3" ht="15.75" x14ac:dyDescent="0.25">
      <c r="A1315">
        <v>260308</v>
      </c>
      <c r="B1315" t="s">
        <v>902</v>
      </c>
      <c r="C1315">
        <v>0</v>
      </c>
    </row>
    <row r="1316" spans="1:3" ht="15.75" x14ac:dyDescent="0.25">
      <c r="A1316">
        <v>260309</v>
      </c>
      <c r="B1316" t="s">
        <v>903</v>
      </c>
      <c r="C1316">
        <v>0</v>
      </c>
    </row>
    <row r="1317" spans="1:3" ht="15.75" x14ac:dyDescent="0.25">
      <c r="A1317">
        <v>260311</v>
      </c>
      <c r="B1317" t="s">
        <v>904</v>
      </c>
      <c r="C1317">
        <v>0</v>
      </c>
    </row>
    <row r="1318" spans="1:3" ht="15.75" x14ac:dyDescent="0.25">
      <c r="A1318">
        <v>2604</v>
      </c>
      <c r="B1318" t="s">
        <v>905</v>
      </c>
      <c r="C1318">
        <f>SUM(C1319:C1328)</f>
        <v>0</v>
      </c>
    </row>
    <row r="1319" spans="1:3" ht="15.75" x14ac:dyDescent="0.25">
      <c r="A1319">
        <v>260401</v>
      </c>
      <c r="B1319" t="s">
        <v>895</v>
      </c>
      <c r="C1319">
        <v>0</v>
      </c>
    </row>
    <row r="1320" spans="1:3" ht="15.75" x14ac:dyDescent="0.25">
      <c r="A1320">
        <v>260402</v>
      </c>
      <c r="B1320" t="s">
        <v>896</v>
      </c>
      <c r="C1320">
        <v>0</v>
      </c>
    </row>
    <row r="1321" spans="1:3" ht="15.75" x14ac:dyDescent="0.25">
      <c r="A1321">
        <v>260403</v>
      </c>
      <c r="B1321" t="s">
        <v>897</v>
      </c>
      <c r="C1321">
        <v>0</v>
      </c>
    </row>
    <row r="1322" spans="1:3" ht="15.75" x14ac:dyDescent="0.25">
      <c r="A1322">
        <v>260404</v>
      </c>
      <c r="B1322" t="s">
        <v>898</v>
      </c>
      <c r="C1322">
        <v>0</v>
      </c>
    </row>
    <row r="1323" spans="1:3" ht="15.75" x14ac:dyDescent="0.25">
      <c r="A1323">
        <v>260405</v>
      </c>
      <c r="B1323" t="s">
        <v>899</v>
      </c>
      <c r="C1323">
        <v>0</v>
      </c>
    </row>
    <row r="1324" spans="1:3" ht="15.75" x14ac:dyDescent="0.25">
      <c r="A1324">
        <v>260406</v>
      </c>
      <c r="B1324" t="s">
        <v>900</v>
      </c>
      <c r="C1324">
        <v>0</v>
      </c>
    </row>
    <row r="1325" spans="1:3" ht="15.75" x14ac:dyDescent="0.25">
      <c r="A1325">
        <v>260407</v>
      </c>
      <c r="B1325" t="s">
        <v>901</v>
      </c>
      <c r="C1325">
        <v>0</v>
      </c>
    </row>
    <row r="1326" spans="1:3" ht="15.75" x14ac:dyDescent="0.25">
      <c r="A1326">
        <v>260408</v>
      </c>
      <c r="B1326" t="s">
        <v>902</v>
      </c>
      <c r="C1326">
        <v>0</v>
      </c>
    </row>
    <row r="1327" spans="1:3" ht="15.75" x14ac:dyDescent="0.25">
      <c r="A1327">
        <v>260409</v>
      </c>
      <c r="B1327" t="s">
        <v>903</v>
      </c>
      <c r="C1327">
        <v>0</v>
      </c>
    </row>
    <row r="1328" spans="1:3" ht="15.75" x14ac:dyDescent="0.25">
      <c r="A1328">
        <v>260411</v>
      </c>
      <c r="B1328" t="s">
        <v>904</v>
      </c>
      <c r="C1328">
        <v>0</v>
      </c>
    </row>
    <row r="1329" spans="1:3" ht="15.75" x14ac:dyDescent="0.25">
      <c r="A1329">
        <v>2605</v>
      </c>
      <c r="B1329" t="s">
        <v>906</v>
      </c>
      <c r="C1329">
        <f>SUM(C1330:C1332)</f>
        <v>0</v>
      </c>
    </row>
    <row r="1330" spans="1:3" ht="15.75" x14ac:dyDescent="0.25">
      <c r="A1330">
        <v>260501</v>
      </c>
      <c r="B1330" t="s">
        <v>97</v>
      </c>
      <c r="C1330">
        <v>0</v>
      </c>
    </row>
    <row r="1331" spans="1:3" ht="15.75" x14ac:dyDescent="0.25">
      <c r="A1331">
        <v>260502</v>
      </c>
      <c r="B1331" t="s">
        <v>98</v>
      </c>
      <c r="C1331">
        <v>0</v>
      </c>
    </row>
    <row r="1332" spans="1:3" ht="15.75" x14ac:dyDescent="0.25">
      <c r="A1332">
        <v>260503</v>
      </c>
      <c r="B1332" t="s">
        <v>907</v>
      </c>
      <c r="C1332">
        <v>0</v>
      </c>
    </row>
    <row r="1333" spans="1:3" ht="15.75" x14ac:dyDescent="0.25">
      <c r="A1333">
        <v>2606</v>
      </c>
      <c r="B1333" t="s">
        <v>908</v>
      </c>
      <c r="C1333">
        <f>SUM(C1334:C1335)</f>
        <v>0</v>
      </c>
    </row>
    <row r="1334" spans="1:3" ht="15.75" x14ac:dyDescent="0.25">
      <c r="A1334">
        <v>260601</v>
      </c>
      <c r="B1334" t="s">
        <v>101</v>
      </c>
      <c r="C1334">
        <v>0</v>
      </c>
    </row>
    <row r="1335" spans="1:3" ht="15.75" x14ac:dyDescent="0.25">
      <c r="A1335">
        <v>260602</v>
      </c>
      <c r="B1335" t="s">
        <v>102</v>
      </c>
      <c r="C1335">
        <v>0</v>
      </c>
    </row>
    <row r="1336" spans="1:3" ht="15.75" x14ac:dyDescent="0.25">
      <c r="A1336">
        <v>27</v>
      </c>
      <c r="B1336" t="s">
        <v>909</v>
      </c>
      <c r="C1336">
        <v>735243</v>
      </c>
    </row>
    <row r="1337" spans="1:3" ht="15.75" x14ac:dyDescent="0.25">
      <c r="A1337">
        <v>2701</v>
      </c>
      <c r="B1337" t="s">
        <v>910</v>
      </c>
      <c r="C1337">
        <f>SUM(C1338:C1343)</f>
        <v>0</v>
      </c>
    </row>
    <row r="1338" spans="1:3" ht="15.75" x14ac:dyDescent="0.25">
      <c r="A1338">
        <v>270101</v>
      </c>
      <c r="B1338" t="s">
        <v>911</v>
      </c>
      <c r="C1338">
        <v>0</v>
      </c>
    </row>
    <row r="1339" spans="1:3" ht="15.75" x14ac:dyDescent="0.25">
      <c r="A1339">
        <v>270102</v>
      </c>
      <c r="B1339" t="s">
        <v>912</v>
      </c>
      <c r="C1339">
        <v>0</v>
      </c>
    </row>
    <row r="1340" spans="1:3" ht="15.75" x14ac:dyDescent="0.25">
      <c r="A1340">
        <v>270103</v>
      </c>
      <c r="B1340" t="s">
        <v>913</v>
      </c>
      <c r="C1340">
        <v>0</v>
      </c>
    </row>
    <row r="1341" spans="1:3" ht="15.75" x14ac:dyDescent="0.25">
      <c r="A1341">
        <v>270104</v>
      </c>
      <c r="B1341" t="s">
        <v>914</v>
      </c>
      <c r="C1341">
        <v>0</v>
      </c>
    </row>
    <row r="1342" spans="1:3" ht="15.75" x14ac:dyDescent="0.25">
      <c r="A1342">
        <v>270105</v>
      </c>
      <c r="B1342" t="s">
        <v>915</v>
      </c>
      <c r="C1342">
        <v>0</v>
      </c>
    </row>
    <row r="1343" spans="1:3" ht="15.75" x14ac:dyDescent="0.25">
      <c r="A1343">
        <v>270190</v>
      </c>
      <c r="B1343" t="s">
        <v>916</v>
      </c>
      <c r="C1343">
        <v>0</v>
      </c>
    </row>
    <row r="1344" spans="1:3" ht="15.75" x14ac:dyDescent="0.25">
      <c r="A1344">
        <v>2707</v>
      </c>
      <c r="B1344" t="s">
        <v>917</v>
      </c>
      <c r="C1344">
        <f>SUM(C1345:C1346)</f>
        <v>0</v>
      </c>
    </row>
    <row r="1345" spans="1:3" ht="15.75" x14ac:dyDescent="0.25">
      <c r="A1345">
        <v>270701</v>
      </c>
      <c r="B1345" t="s">
        <v>918</v>
      </c>
      <c r="C1345">
        <v>0</v>
      </c>
    </row>
    <row r="1346" spans="1:3" ht="15.75" x14ac:dyDescent="0.25">
      <c r="A1346">
        <v>270702</v>
      </c>
      <c r="B1346" t="s">
        <v>819</v>
      </c>
      <c r="C1346">
        <v>0</v>
      </c>
    </row>
    <row r="1347" spans="1:3" ht="15.75" x14ac:dyDescent="0.25">
      <c r="A1347">
        <v>2790</v>
      </c>
      <c r="B1347" t="s">
        <v>919</v>
      </c>
      <c r="C1347">
        <v>735243</v>
      </c>
    </row>
    <row r="1348" spans="1:3" ht="15.75" x14ac:dyDescent="0.25">
      <c r="A1348">
        <v>279015</v>
      </c>
      <c r="B1348" t="s">
        <v>920</v>
      </c>
      <c r="C1348">
        <v>0</v>
      </c>
    </row>
    <row r="1349" spans="1:3" ht="15.75" x14ac:dyDescent="0.25">
      <c r="A1349">
        <v>279016</v>
      </c>
      <c r="B1349" t="s">
        <v>921</v>
      </c>
      <c r="C1349">
        <v>0</v>
      </c>
    </row>
    <row r="1350" spans="1:3" ht="15.75" x14ac:dyDescent="0.25">
      <c r="A1350">
        <v>279017</v>
      </c>
      <c r="B1350" t="s">
        <v>922</v>
      </c>
      <c r="C1350">
        <v>0</v>
      </c>
    </row>
    <row r="1351" spans="1:3" ht="15.75" x14ac:dyDescent="0.25">
      <c r="A1351">
        <v>279018</v>
      </c>
      <c r="B1351" t="s">
        <v>923</v>
      </c>
      <c r="C1351">
        <v>0</v>
      </c>
    </row>
    <row r="1352" spans="1:3" ht="15.75" x14ac:dyDescent="0.25">
      <c r="A1352">
        <v>279019</v>
      </c>
      <c r="B1352" t="s">
        <v>924</v>
      </c>
      <c r="C1352">
        <v>0</v>
      </c>
    </row>
    <row r="1353" spans="1:3" ht="15.75" x14ac:dyDescent="0.25">
      <c r="A1353">
        <v>279020</v>
      </c>
      <c r="B1353" t="s">
        <v>925</v>
      </c>
      <c r="C1353">
        <v>0</v>
      </c>
    </row>
    <row r="1354" spans="1:3" ht="15.75" x14ac:dyDescent="0.25">
      <c r="A1354">
        <v>279021</v>
      </c>
      <c r="B1354" t="s">
        <v>926</v>
      </c>
      <c r="C1354">
        <v>0</v>
      </c>
    </row>
    <row r="1355" spans="1:3" ht="15.75" x14ac:dyDescent="0.25">
      <c r="A1355">
        <v>279022</v>
      </c>
      <c r="B1355" t="s">
        <v>927</v>
      </c>
      <c r="C1355">
        <v>0</v>
      </c>
    </row>
    <row r="1356" spans="1:3" ht="15.75" x14ac:dyDescent="0.25">
      <c r="A1356">
        <v>279023</v>
      </c>
      <c r="B1356" t="s">
        <v>928</v>
      </c>
      <c r="C1356">
        <v>0</v>
      </c>
    </row>
    <row r="1357" spans="1:3" ht="15.75" x14ac:dyDescent="0.25">
      <c r="A1357">
        <v>279024</v>
      </c>
      <c r="B1357" t="s">
        <v>929</v>
      </c>
      <c r="C1357">
        <v>0</v>
      </c>
    </row>
    <row r="1358" spans="1:3" ht="15.75" x14ac:dyDescent="0.25">
      <c r="A1358">
        <v>279025</v>
      </c>
      <c r="B1358" t="s">
        <v>930</v>
      </c>
      <c r="C1358">
        <v>0</v>
      </c>
    </row>
    <row r="1359" spans="1:3" ht="15.75" x14ac:dyDescent="0.25">
      <c r="A1359">
        <v>279090</v>
      </c>
      <c r="B1359" t="s">
        <v>931</v>
      </c>
      <c r="C1359">
        <v>735243</v>
      </c>
    </row>
    <row r="1360" spans="1:3" ht="15.75" x14ac:dyDescent="0.25">
      <c r="A1360">
        <v>29</v>
      </c>
      <c r="B1360" t="s">
        <v>932</v>
      </c>
      <c r="C1360">
        <f>SUM(C1361,C1366,C1368,C1375,C1391,C1410,C1412)</f>
        <v>0</v>
      </c>
    </row>
    <row r="1361" spans="1:3" ht="15.75" x14ac:dyDescent="0.25">
      <c r="A1361">
        <v>2901</v>
      </c>
      <c r="B1361" t="s">
        <v>933</v>
      </c>
      <c r="C1361">
        <f>SUM(C1362:C1365)</f>
        <v>0</v>
      </c>
    </row>
    <row r="1362" spans="1:3" ht="15.75" x14ac:dyDescent="0.25">
      <c r="A1362">
        <v>290101</v>
      </c>
      <c r="B1362" t="s">
        <v>934</v>
      </c>
      <c r="C1362">
        <v>0</v>
      </c>
    </row>
    <row r="1363" spans="1:3" ht="15.75" x14ac:dyDescent="0.25">
      <c r="A1363">
        <v>290102</v>
      </c>
      <c r="B1363" t="s">
        <v>575</v>
      </c>
      <c r="C1363">
        <v>0</v>
      </c>
    </row>
    <row r="1364" spans="1:3" ht="15.75" x14ac:dyDescent="0.25">
      <c r="A1364">
        <v>290103</v>
      </c>
      <c r="B1364" t="s">
        <v>935</v>
      </c>
      <c r="C1364">
        <v>0</v>
      </c>
    </row>
    <row r="1365" spans="1:3" ht="15.75" x14ac:dyDescent="0.25">
      <c r="A1365">
        <v>290190</v>
      </c>
      <c r="B1365" t="s">
        <v>579</v>
      </c>
      <c r="C1365">
        <v>0</v>
      </c>
    </row>
    <row r="1366" spans="1:3" ht="15.75" x14ac:dyDescent="0.25">
      <c r="A1366">
        <v>2902</v>
      </c>
      <c r="B1366" t="s">
        <v>936</v>
      </c>
      <c r="C1366">
        <f>SUM(C1367)</f>
        <v>0</v>
      </c>
    </row>
    <row r="1367" spans="1:3" ht="15.75" x14ac:dyDescent="0.25">
      <c r="A1367">
        <v>290201</v>
      </c>
      <c r="B1367" t="s">
        <v>592</v>
      </c>
      <c r="C1367">
        <v>0</v>
      </c>
    </row>
    <row r="1368" spans="1:3" ht="15.75" x14ac:dyDescent="0.25">
      <c r="A1368">
        <v>2903</v>
      </c>
      <c r="B1368" t="s">
        <v>937</v>
      </c>
      <c r="C1368">
        <f>SUM(C1369:C1374)</f>
        <v>0</v>
      </c>
    </row>
    <row r="1369" spans="1:3" ht="15.75" x14ac:dyDescent="0.25">
      <c r="A1369">
        <v>290301</v>
      </c>
      <c r="B1369" t="s">
        <v>597</v>
      </c>
      <c r="C1369">
        <v>0</v>
      </c>
    </row>
    <row r="1370" spans="1:3" ht="15.75" x14ac:dyDescent="0.25">
      <c r="A1370">
        <v>290302</v>
      </c>
      <c r="B1370" t="s">
        <v>598</v>
      </c>
      <c r="C1370">
        <v>0</v>
      </c>
    </row>
    <row r="1371" spans="1:3" ht="15.75" x14ac:dyDescent="0.25">
      <c r="A1371">
        <v>290303</v>
      </c>
      <c r="B1371" t="s">
        <v>599</v>
      </c>
      <c r="C1371">
        <v>0</v>
      </c>
    </row>
    <row r="1372" spans="1:3" ht="15.75" x14ac:dyDescent="0.25">
      <c r="A1372">
        <v>290304</v>
      </c>
      <c r="B1372" t="s">
        <v>600</v>
      </c>
      <c r="C1372">
        <v>0</v>
      </c>
    </row>
    <row r="1373" spans="1:3" ht="15.75" x14ac:dyDescent="0.25">
      <c r="A1373">
        <v>290305</v>
      </c>
      <c r="B1373" t="s">
        <v>637</v>
      </c>
      <c r="C1373">
        <v>0</v>
      </c>
    </row>
    <row r="1374" spans="1:3" ht="15.75" x14ac:dyDescent="0.25">
      <c r="A1374">
        <v>290390</v>
      </c>
      <c r="B1374" t="s">
        <v>17</v>
      </c>
      <c r="C1374">
        <v>0</v>
      </c>
    </row>
    <row r="1375" spans="1:3" ht="15.75" x14ac:dyDescent="0.25">
      <c r="A1375">
        <v>2910</v>
      </c>
      <c r="B1375" t="s">
        <v>938</v>
      </c>
      <c r="C1375">
        <f>SUM(C1376:C1390)</f>
        <v>0</v>
      </c>
    </row>
    <row r="1376" spans="1:3" ht="15.75" x14ac:dyDescent="0.25">
      <c r="A1376">
        <v>291001</v>
      </c>
      <c r="B1376" t="s">
        <v>562</v>
      </c>
      <c r="C1376">
        <v>0</v>
      </c>
    </row>
    <row r="1377" spans="1:3" ht="15.75" x14ac:dyDescent="0.25">
      <c r="A1377">
        <v>291002</v>
      </c>
      <c r="B1377" t="s">
        <v>230</v>
      </c>
      <c r="C1377">
        <v>0</v>
      </c>
    </row>
    <row r="1378" spans="1:3" ht="15.75" x14ac:dyDescent="0.25">
      <c r="A1378">
        <v>291005</v>
      </c>
      <c r="B1378" t="s">
        <v>255</v>
      </c>
      <c r="C1378">
        <v>0</v>
      </c>
    </row>
    <row r="1379" spans="1:3" ht="15.75" x14ac:dyDescent="0.25">
      <c r="A1379">
        <v>291006</v>
      </c>
      <c r="B1379" t="s">
        <v>241</v>
      </c>
      <c r="C1379">
        <v>0</v>
      </c>
    </row>
    <row r="1380" spans="1:3" ht="15.75" x14ac:dyDescent="0.25">
      <c r="A1380">
        <v>291007</v>
      </c>
      <c r="B1380" t="s">
        <v>939</v>
      </c>
      <c r="C1380">
        <v>0</v>
      </c>
    </row>
    <row r="1381" spans="1:3" ht="15.75" x14ac:dyDescent="0.25">
      <c r="A1381">
        <v>291013</v>
      </c>
      <c r="B1381" t="s">
        <v>754</v>
      </c>
      <c r="C1381">
        <v>0</v>
      </c>
    </row>
    <row r="1382" spans="1:3" ht="15.75" x14ac:dyDescent="0.25">
      <c r="A1382">
        <v>291017</v>
      </c>
      <c r="B1382" t="s">
        <v>940</v>
      </c>
      <c r="C1382">
        <v>0</v>
      </c>
    </row>
    <row r="1383" spans="1:3" ht="15.75" x14ac:dyDescent="0.25">
      <c r="A1383">
        <v>291018</v>
      </c>
      <c r="B1383" t="s">
        <v>941</v>
      </c>
      <c r="C1383">
        <v>0</v>
      </c>
    </row>
    <row r="1384" spans="1:3" ht="15.75" x14ac:dyDescent="0.25">
      <c r="A1384">
        <v>291019</v>
      </c>
      <c r="B1384" t="s">
        <v>942</v>
      </c>
      <c r="C1384">
        <v>0</v>
      </c>
    </row>
    <row r="1385" spans="1:3" ht="15.75" x14ac:dyDescent="0.25">
      <c r="A1385">
        <v>291020</v>
      </c>
      <c r="B1385" t="s">
        <v>943</v>
      </c>
      <c r="C1385">
        <v>0</v>
      </c>
    </row>
    <row r="1386" spans="1:3" ht="15.75" x14ac:dyDescent="0.25">
      <c r="A1386">
        <v>291021</v>
      </c>
      <c r="B1386" t="s">
        <v>944</v>
      </c>
      <c r="C1386">
        <v>0</v>
      </c>
    </row>
    <row r="1387" spans="1:3" ht="15.75" x14ac:dyDescent="0.25">
      <c r="A1387">
        <v>291022</v>
      </c>
      <c r="B1387" t="s">
        <v>945</v>
      </c>
      <c r="C1387">
        <v>0</v>
      </c>
    </row>
    <row r="1388" spans="1:3" ht="15.75" x14ac:dyDescent="0.25">
      <c r="A1388">
        <v>291023</v>
      </c>
      <c r="B1388" t="s">
        <v>946</v>
      </c>
      <c r="C1388">
        <v>0</v>
      </c>
    </row>
    <row r="1389" spans="1:3" ht="15.75" x14ac:dyDescent="0.25">
      <c r="A1389">
        <v>291025</v>
      </c>
      <c r="B1389" t="s">
        <v>253</v>
      </c>
      <c r="C1389">
        <v>0</v>
      </c>
    </row>
    <row r="1390" spans="1:3" ht="15.75" x14ac:dyDescent="0.25">
      <c r="A1390">
        <v>291090</v>
      </c>
      <c r="B1390" t="s">
        <v>947</v>
      </c>
      <c r="C1390">
        <v>0</v>
      </c>
    </row>
    <row r="1391" spans="1:3" ht="15.75" x14ac:dyDescent="0.25">
      <c r="A1391">
        <v>2918</v>
      </c>
      <c r="B1391" t="s">
        <v>948</v>
      </c>
      <c r="C1391">
        <f>SUM(C1392:C1409)</f>
        <v>0</v>
      </c>
    </row>
    <row r="1392" spans="1:3" ht="15.75" x14ac:dyDescent="0.25">
      <c r="A1392">
        <v>291801</v>
      </c>
      <c r="B1392" t="s">
        <v>548</v>
      </c>
      <c r="C1392">
        <v>0</v>
      </c>
    </row>
    <row r="1393" spans="1:3" ht="15.75" x14ac:dyDescent="0.25">
      <c r="A1393">
        <v>291802</v>
      </c>
      <c r="B1393" t="s">
        <v>636</v>
      </c>
      <c r="C1393">
        <v>0</v>
      </c>
    </row>
    <row r="1394" spans="1:3" ht="15.75" x14ac:dyDescent="0.25">
      <c r="A1394">
        <v>291803</v>
      </c>
      <c r="B1394" t="s">
        <v>225</v>
      </c>
      <c r="C1394">
        <v>0</v>
      </c>
    </row>
    <row r="1395" spans="1:3" ht="15.75" x14ac:dyDescent="0.25">
      <c r="A1395">
        <v>291804</v>
      </c>
      <c r="B1395" t="s">
        <v>286</v>
      </c>
      <c r="C1395">
        <v>0</v>
      </c>
    </row>
    <row r="1396" spans="1:3" ht="15.75" x14ac:dyDescent="0.25">
      <c r="A1396">
        <v>291805</v>
      </c>
      <c r="B1396" t="s">
        <v>637</v>
      </c>
      <c r="C1396">
        <v>0</v>
      </c>
    </row>
    <row r="1397" spans="1:3" ht="15.75" x14ac:dyDescent="0.25">
      <c r="A1397">
        <v>291806</v>
      </c>
      <c r="B1397" t="s">
        <v>552</v>
      </c>
      <c r="C1397">
        <v>0</v>
      </c>
    </row>
    <row r="1398" spans="1:3" ht="15.75" x14ac:dyDescent="0.25">
      <c r="A1398">
        <v>291807</v>
      </c>
      <c r="B1398" t="s">
        <v>638</v>
      </c>
      <c r="C1398">
        <v>0</v>
      </c>
    </row>
    <row r="1399" spans="1:3" ht="15.75" x14ac:dyDescent="0.25">
      <c r="A1399">
        <v>291808</v>
      </c>
      <c r="B1399" t="s">
        <v>553</v>
      </c>
      <c r="C1399">
        <v>0</v>
      </c>
    </row>
    <row r="1400" spans="1:3" ht="15.75" x14ac:dyDescent="0.25">
      <c r="A1400">
        <v>291809</v>
      </c>
      <c r="B1400" t="s">
        <v>639</v>
      </c>
      <c r="C1400">
        <v>0</v>
      </c>
    </row>
    <row r="1401" spans="1:3" ht="15.75" x14ac:dyDescent="0.25">
      <c r="A1401">
        <v>291810</v>
      </c>
      <c r="B1401" t="s">
        <v>554</v>
      </c>
      <c r="C1401">
        <v>0</v>
      </c>
    </row>
    <row r="1402" spans="1:3" ht="15.75" x14ac:dyDescent="0.25">
      <c r="A1402">
        <v>291811</v>
      </c>
      <c r="B1402" t="s">
        <v>640</v>
      </c>
      <c r="C1402">
        <v>0</v>
      </c>
    </row>
    <row r="1403" spans="1:3" ht="15.75" x14ac:dyDescent="0.25">
      <c r="A1403">
        <v>291812</v>
      </c>
      <c r="B1403" t="s">
        <v>641</v>
      </c>
      <c r="C1403">
        <v>0</v>
      </c>
    </row>
    <row r="1404" spans="1:3" ht="15.75" x14ac:dyDescent="0.25">
      <c r="A1404">
        <v>291813</v>
      </c>
      <c r="B1404" t="s">
        <v>642</v>
      </c>
      <c r="C1404">
        <v>0</v>
      </c>
    </row>
    <row r="1405" spans="1:3" ht="15.75" x14ac:dyDescent="0.25">
      <c r="A1405">
        <v>291814</v>
      </c>
      <c r="B1405" t="s">
        <v>643</v>
      </c>
      <c r="C1405">
        <v>0</v>
      </c>
    </row>
    <row r="1406" spans="1:3" ht="15.75" x14ac:dyDescent="0.25">
      <c r="A1406">
        <v>291815</v>
      </c>
      <c r="B1406" t="s">
        <v>644</v>
      </c>
      <c r="C1406">
        <v>0</v>
      </c>
    </row>
    <row r="1407" spans="1:3" ht="15.75" x14ac:dyDescent="0.25">
      <c r="A1407">
        <v>291816</v>
      </c>
      <c r="B1407" t="s">
        <v>645</v>
      </c>
      <c r="C1407">
        <v>0</v>
      </c>
    </row>
    <row r="1408" spans="1:3" ht="15.75" x14ac:dyDescent="0.25">
      <c r="A1408">
        <v>291817</v>
      </c>
      <c r="B1408" t="s">
        <v>646</v>
      </c>
      <c r="C1408">
        <v>0</v>
      </c>
    </row>
    <row r="1409" spans="1:3" ht="15.75" x14ac:dyDescent="0.25">
      <c r="A1409">
        <v>291818</v>
      </c>
      <c r="B1409" t="s">
        <v>647</v>
      </c>
      <c r="C1409">
        <v>0</v>
      </c>
    </row>
    <row r="1410" spans="1:3" ht="15.75" x14ac:dyDescent="0.25">
      <c r="A1410">
        <v>2919</v>
      </c>
      <c r="B1410" t="s">
        <v>949</v>
      </c>
      <c r="C1410">
        <f>SUM(C1411)</f>
        <v>0</v>
      </c>
    </row>
    <row r="1411" spans="1:3" ht="15.75" x14ac:dyDescent="0.25">
      <c r="A1411">
        <v>291901</v>
      </c>
      <c r="B1411" t="s">
        <v>950</v>
      </c>
      <c r="C1411">
        <v>0</v>
      </c>
    </row>
    <row r="1412" spans="1:3" ht="15.75" x14ac:dyDescent="0.25">
      <c r="A1412">
        <v>2990</v>
      </c>
      <c r="B1412" t="s">
        <v>951</v>
      </c>
      <c r="C1412">
        <f>SUM(C1413:C1416)</f>
        <v>0</v>
      </c>
    </row>
    <row r="1413" spans="1:3" ht="15.75" x14ac:dyDescent="0.25">
      <c r="A1413">
        <v>299001</v>
      </c>
      <c r="B1413" t="s">
        <v>952</v>
      </c>
      <c r="C1413">
        <v>0</v>
      </c>
    </row>
    <row r="1414" spans="1:3" ht="15.75" x14ac:dyDescent="0.25">
      <c r="A1414">
        <v>299003</v>
      </c>
      <c r="B1414" t="s">
        <v>953</v>
      </c>
      <c r="C1414">
        <v>0</v>
      </c>
    </row>
    <row r="1415" spans="1:3" ht="15.75" x14ac:dyDescent="0.25">
      <c r="A1415">
        <v>299004</v>
      </c>
      <c r="B1415" t="s">
        <v>954</v>
      </c>
      <c r="C1415">
        <v>0</v>
      </c>
    </row>
    <row r="1416" spans="1:3" ht="15.75" x14ac:dyDescent="0.25">
      <c r="A1416">
        <v>299090</v>
      </c>
      <c r="B1416" t="s">
        <v>955</v>
      </c>
      <c r="C1416">
        <v>0</v>
      </c>
    </row>
    <row r="1417" spans="1:3" ht="15.75" x14ac:dyDescent="0.25">
      <c r="A1417">
        <v>3</v>
      </c>
      <c r="B1417" t="s">
        <v>956</v>
      </c>
      <c r="C1417">
        <v>140944319</v>
      </c>
    </row>
    <row r="1418" spans="1:3" ht="15.75" x14ac:dyDescent="0.25">
      <c r="A1418">
        <v>32</v>
      </c>
      <c r="B1418" t="s">
        <v>957</v>
      </c>
      <c r="C1418">
        <v>140944319</v>
      </c>
    </row>
    <row r="1419" spans="1:3" ht="15.75" x14ac:dyDescent="0.25">
      <c r="A1419">
        <v>3203</v>
      </c>
      <c r="B1419" t="s">
        <v>958</v>
      </c>
      <c r="C1419">
        <f>SUM(C1420)</f>
        <v>0</v>
      </c>
    </row>
    <row r="1420" spans="1:3" ht="15.75" x14ac:dyDescent="0.25">
      <c r="A1420">
        <v>320301</v>
      </c>
      <c r="B1420" t="s">
        <v>59</v>
      </c>
      <c r="C1420">
        <v>0</v>
      </c>
    </row>
    <row r="1421" spans="1:3" ht="15.75" x14ac:dyDescent="0.25">
      <c r="A1421">
        <v>3204</v>
      </c>
      <c r="B1421" t="s">
        <v>959</v>
      </c>
      <c r="C1421">
        <f>SUM(C1422:C1424)</f>
        <v>0</v>
      </c>
    </row>
    <row r="1422" spans="1:3" ht="15.75" x14ac:dyDescent="0.25">
      <c r="A1422">
        <v>320401</v>
      </c>
      <c r="B1422" t="s">
        <v>960</v>
      </c>
      <c r="C1422">
        <v>0</v>
      </c>
    </row>
    <row r="1423" spans="1:3" ht="15.75" x14ac:dyDescent="0.25">
      <c r="A1423">
        <v>320402</v>
      </c>
      <c r="B1423" t="s">
        <v>961</v>
      </c>
      <c r="C1423">
        <v>0</v>
      </c>
    </row>
    <row r="1424" spans="1:3" ht="15.75" x14ac:dyDescent="0.25">
      <c r="A1424">
        <v>320403</v>
      </c>
      <c r="B1424" t="s">
        <v>962</v>
      </c>
      <c r="C1424">
        <v>0</v>
      </c>
    </row>
    <row r="1425" spans="1:3" ht="15.75" x14ac:dyDescent="0.25">
      <c r="A1425">
        <v>3208</v>
      </c>
      <c r="B1425" t="s">
        <v>963</v>
      </c>
      <c r="C1425">
        <v>24179799</v>
      </c>
    </row>
    <row r="1426" spans="1:3" ht="15.75" x14ac:dyDescent="0.25">
      <c r="A1426">
        <v>320801</v>
      </c>
      <c r="B1426" t="s">
        <v>964</v>
      </c>
      <c r="C1426">
        <v>24179799</v>
      </c>
    </row>
    <row r="1427" spans="1:3" ht="15.75" x14ac:dyDescent="0.25">
      <c r="A1427">
        <v>3210</v>
      </c>
      <c r="B1427" t="s">
        <v>965</v>
      </c>
      <c r="C1427">
        <f>SUM(C1428:C1431)</f>
        <v>0</v>
      </c>
    </row>
    <row r="1428" spans="1:3" ht="15.75" x14ac:dyDescent="0.25">
      <c r="A1428">
        <v>321001</v>
      </c>
      <c r="B1428" t="s">
        <v>966</v>
      </c>
      <c r="C1428">
        <v>0</v>
      </c>
    </row>
    <row r="1429" spans="1:3" ht="15.75" x14ac:dyDescent="0.25">
      <c r="A1429">
        <v>321002</v>
      </c>
      <c r="B1429" t="s">
        <v>967</v>
      </c>
      <c r="C1429">
        <v>0</v>
      </c>
    </row>
    <row r="1430" spans="1:3" ht="15.75" x14ac:dyDescent="0.25">
      <c r="A1430">
        <v>321003</v>
      </c>
      <c r="B1430" t="s">
        <v>968</v>
      </c>
      <c r="C1430">
        <v>0</v>
      </c>
    </row>
    <row r="1431" spans="1:3" ht="15.75" x14ac:dyDescent="0.25">
      <c r="A1431">
        <v>321004</v>
      </c>
      <c r="B1431" t="s">
        <v>969</v>
      </c>
      <c r="C1431">
        <v>0</v>
      </c>
    </row>
    <row r="1432" spans="1:3" ht="15.75" x14ac:dyDescent="0.25">
      <c r="A1432">
        <v>3215</v>
      </c>
      <c r="B1432" t="s">
        <v>970</v>
      </c>
      <c r="C1432">
        <f>SUM(C1433:C1441)</f>
        <v>0</v>
      </c>
    </row>
    <row r="1433" spans="1:3" ht="15.75" x14ac:dyDescent="0.25">
      <c r="A1433">
        <v>321501</v>
      </c>
      <c r="B1433" t="s">
        <v>971</v>
      </c>
      <c r="C1433">
        <v>0</v>
      </c>
    </row>
    <row r="1434" spans="1:3" ht="15.75" x14ac:dyDescent="0.25">
      <c r="A1434">
        <v>321502</v>
      </c>
      <c r="B1434" t="s">
        <v>972</v>
      </c>
      <c r="C1434">
        <v>0</v>
      </c>
    </row>
    <row r="1435" spans="1:3" ht="15.75" x14ac:dyDescent="0.25">
      <c r="A1435">
        <v>321503</v>
      </c>
      <c r="B1435" t="s">
        <v>973</v>
      </c>
      <c r="C1435">
        <v>0</v>
      </c>
    </row>
    <row r="1436" spans="1:3" ht="15.75" x14ac:dyDescent="0.25">
      <c r="A1436">
        <v>321504</v>
      </c>
      <c r="B1436" t="s">
        <v>974</v>
      </c>
      <c r="C1436">
        <v>0</v>
      </c>
    </row>
    <row r="1437" spans="1:3" ht="15.75" x14ac:dyDescent="0.25">
      <c r="A1437">
        <v>321505</v>
      </c>
      <c r="B1437" t="s">
        <v>975</v>
      </c>
      <c r="C1437">
        <v>0</v>
      </c>
    </row>
    <row r="1438" spans="1:3" ht="15.75" x14ac:dyDescent="0.25">
      <c r="A1438">
        <v>321507</v>
      </c>
      <c r="B1438" t="s">
        <v>976</v>
      </c>
      <c r="C1438">
        <v>0</v>
      </c>
    </row>
    <row r="1439" spans="1:3" ht="15.75" x14ac:dyDescent="0.25">
      <c r="A1439">
        <v>321508</v>
      </c>
      <c r="B1439" t="s">
        <v>977</v>
      </c>
      <c r="C1439">
        <v>0</v>
      </c>
    </row>
    <row r="1440" spans="1:3" ht="15.75" x14ac:dyDescent="0.25">
      <c r="A1440">
        <v>321511</v>
      </c>
      <c r="B1440" t="s">
        <v>978</v>
      </c>
      <c r="C1440">
        <v>0</v>
      </c>
    </row>
    <row r="1441" spans="1:3" ht="15.75" x14ac:dyDescent="0.25">
      <c r="A1441">
        <v>321590</v>
      </c>
      <c r="B1441" t="s">
        <v>979</v>
      </c>
      <c r="C1441">
        <v>0</v>
      </c>
    </row>
    <row r="1442" spans="1:3" ht="15.75" x14ac:dyDescent="0.25">
      <c r="A1442">
        <v>3220</v>
      </c>
      <c r="B1442" t="s">
        <v>980</v>
      </c>
      <c r="C1442">
        <f>SUM(C1443:C1444)</f>
        <v>0</v>
      </c>
    </row>
    <row r="1443" spans="1:3" ht="15.75" x14ac:dyDescent="0.25">
      <c r="A1443">
        <v>322001</v>
      </c>
      <c r="B1443" t="s">
        <v>981</v>
      </c>
      <c r="C1443">
        <v>0</v>
      </c>
    </row>
    <row r="1444" spans="1:3" ht="15.75" x14ac:dyDescent="0.25">
      <c r="A1444">
        <v>322002</v>
      </c>
      <c r="B1444" t="s">
        <v>982</v>
      </c>
      <c r="C1444">
        <v>0</v>
      </c>
    </row>
    <row r="1445" spans="1:3" ht="15.75" x14ac:dyDescent="0.25">
      <c r="A1445">
        <v>3225</v>
      </c>
      <c r="B1445" t="s">
        <v>983</v>
      </c>
      <c r="C1445">
        <v>119146727</v>
      </c>
    </row>
    <row r="1446" spans="1:3" ht="15.75" x14ac:dyDescent="0.25">
      <c r="A1446">
        <v>322501</v>
      </c>
      <c r="B1446" t="s">
        <v>984</v>
      </c>
      <c r="C1446">
        <v>131098464</v>
      </c>
    </row>
    <row r="1447" spans="1:3" ht="15.75" x14ac:dyDescent="0.25">
      <c r="A1447">
        <v>322502</v>
      </c>
      <c r="B1447" t="s">
        <v>985</v>
      </c>
      <c r="C1447">
        <v>-11951737</v>
      </c>
    </row>
    <row r="1448" spans="1:3" ht="15.75" x14ac:dyDescent="0.25">
      <c r="A1448">
        <v>3230</v>
      </c>
      <c r="B1448" t="s">
        <v>986</v>
      </c>
      <c r="C1448">
        <v>-2382208</v>
      </c>
    </row>
    <row r="1449" spans="1:3" ht="15.75" x14ac:dyDescent="0.25">
      <c r="A1449">
        <v>323001</v>
      </c>
      <c r="B1449" t="s">
        <v>987</v>
      </c>
      <c r="C1449">
        <v>0</v>
      </c>
    </row>
    <row r="1450" spans="1:3" ht="15.75" x14ac:dyDescent="0.25">
      <c r="A1450">
        <v>323002</v>
      </c>
      <c r="B1450" t="s">
        <v>988</v>
      </c>
      <c r="C1450">
        <v>-2382208</v>
      </c>
    </row>
    <row r="1451" spans="1:3" ht="15.75" x14ac:dyDescent="0.25">
      <c r="A1451">
        <v>3271</v>
      </c>
      <c r="B1451" t="s">
        <v>989</v>
      </c>
      <c r="C1451">
        <f>SUM(C1452:C1459)</f>
        <v>0</v>
      </c>
    </row>
    <row r="1452" spans="1:3" ht="15.75" x14ac:dyDescent="0.25">
      <c r="A1452">
        <v>327101</v>
      </c>
      <c r="B1452" t="s">
        <v>65</v>
      </c>
      <c r="C1452">
        <v>0</v>
      </c>
    </row>
    <row r="1453" spans="1:3" ht="15.75" x14ac:dyDescent="0.25">
      <c r="A1453">
        <v>327102</v>
      </c>
      <c r="B1453" t="s">
        <v>66</v>
      </c>
      <c r="C1453">
        <v>0</v>
      </c>
    </row>
    <row r="1454" spans="1:3" ht="15.75" x14ac:dyDescent="0.25">
      <c r="A1454">
        <v>327103</v>
      </c>
      <c r="B1454" t="s">
        <v>67</v>
      </c>
      <c r="C1454">
        <v>0</v>
      </c>
    </row>
    <row r="1455" spans="1:3" ht="15.75" x14ac:dyDescent="0.25">
      <c r="A1455">
        <v>327104</v>
      </c>
      <c r="B1455" t="s">
        <v>68</v>
      </c>
      <c r="C1455">
        <v>0</v>
      </c>
    </row>
    <row r="1456" spans="1:3" ht="15.75" x14ac:dyDescent="0.25">
      <c r="A1456">
        <v>327105</v>
      </c>
      <c r="B1456" t="s">
        <v>69</v>
      </c>
      <c r="C1456">
        <v>0</v>
      </c>
    </row>
    <row r="1457" spans="1:3" ht="15.75" x14ac:dyDescent="0.25">
      <c r="A1457">
        <v>327106</v>
      </c>
      <c r="B1457" t="s">
        <v>70</v>
      </c>
      <c r="C1457">
        <v>0</v>
      </c>
    </row>
    <row r="1458" spans="1:3" ht="15.75" x14ac:dyDescent="0.25">
      <c r="A1458">
        <v>327118</v>
      </c>
      <c r="B1458" t="s">
        <v>60</v>
      </c>
      <c r="C1458">
        <v>0</v>
      </c>
    </row>
    <row r="1459" spans="1:3" ht="15.75" x14ac:dyDescent="0.25">
      <c r="A1459">
        <v>327190</v>
      </c>
      <c r="B1459" t="s">
        <v>990</v>
      </c>
      <c r="C1459">
        <v>0</v>
      </c>
    </row>
    <row r="1460" spans="1:3" ht="15.75" x14ac:dyDescent="0.25">
      <c r="A1460">
        <v>3272</v>
      </c>
      <c r="B1460" t="s">
        <v>991</v>
      </c>
      <c r="C1460">
        <f>SUM(C1461)</f>
        <v>0</v>
      </c>
    </row>
    <row r="1461" spans="1:3" ht="15.75" x14ac:dyDescent="0.25">
      <c r="A1461">
        <v>327201</v>
      </c>
      <c r="B1461" t="s">
        <v>992</v>
      </c>
      <c r="C1461">
        <v>0</v>
      </c>
    </row>
    <row r="1462" spans="1:3" ht="15.75" x14ac:dyDescent="0.25">
      <c r="A1462">
        <v>3273</v>
      </c>
      <c r="B1462" t="s">
        <v>993</v>
      </c>
      <c r="C1462">
        <f>SUM(C1463)</f>
        <v>0</v>
      </c>
    </row>
    <row r="1463" spans="1:3" ht="15.75" x14ac:dyDescent="0.25">
      <c r="A1463">
        <v>327301</v>
      </c>
      <c r="B1463" t="s">
        <v>994</v>
      </c>
      <c r="C1463">
        <v>0</v>
      </c>
    </row>
    <row r="1464" spans="1:3" ht="15.75" x14ac:dyDescent="0.25">
      <c r="A1464">
        <v>3274</v>
      </c>
      <c r="B1464" t="s">
        <v>995</v>
      </c>
      <c r="C1464">
        <f>SUM(C1465:C1469)</f>
        <v>0</v>
      </c>
    </row>
    <row r="1465" spans="1:3" ht="15.75" x14ac:dyDescent="0.25">
      <c r="A1465">
        <v>327401</v>
      </c>
      <c r="B1465" t="s">
        <v>996</v>
      </c>
      <c r="C1465">
        <v>0</v>
      </c>
    </row>
    <row r="1466" spans="1:3" ht="15.75" x14ac:dyDescent="0.25">
      <c r="A1466">
        <v>327402</v>
      </c>
      <c r="B1466" t="s">
        <v>997</v>
      </c>
      <c r="C1466">
        <v>0</v>
      </c>
    </row>
    <row r="1467" spans="1:3" ht="15.75" x14ac:dyDescent="0.25">
      <c r="A1467">
        <v>327403</v>
      </c>
      <c r="B1467" t="s">
        <v>998</v>
      </c>
      <c r="C1467">
        <v>0</v>
      </c>
    </row>
    <row r="1468" spans="1:3" ht="15.75" x14ac:dyDescent="0.25">
      <c r="A1468">
        <v>327404</v>
      </c>
      <c r="B1468" t="s">
        <v>999</v>
      </c>
      <c r="C1468">
        <v>0</v>
      </c>
    </row>
    <row r="1469" spans="1:3" ht="15.75" x14ac:dyDescent="0.25">
      <c r="A1469">
        <v>327405</v>
      </c>
      <c r="B1469" t="s">
        <v>1000</v>
      </c>
      <c r="C1469">
        <v>0</v>
      </c>
    </row>
    <row r="1470" spans="1:3" ht="15.75" x14ac:dyDescent="0.25">
      <c r="A1470">
        <v>3275</v>
      </c>
      <c r="B1470" t="s">
        <v>1001</v>
      </c>
      <c r="C1470">
        <f>SUM(C1471:C1475)</f>
        <v>0</v>
      </c>
    </row>
    <row r="1471" spans="1:3" ht="15.75" x14ac:dyDescent="0.25">
      <c r="A1471">
        <v>327501</v>
      </c>
      <c r="B1471" t="s">
        <v>996</v>
      </c>
      <c r="C1471">
        <v>0</v>
      </c>
    </row>
    <row r="1472" spans="1:3" ht="15.75" x14ac:dyDescent="0.25">
      <c r="A1472">
        <v>327502</v>
      </c>
      <c r="B1472" t="s">
        <v>997</v>
      </c>
      <c r="C1472">
        <v>0</v>
      </c>
    </row>
    <row r="1473" spans="1:3" ht="15.75" x14ac:dyDescent="0.25">
      <c r="A1473">
        <v>327503</v>
      </c>
      <c r="B1473" t="s">
        <v>998</v>
      </c>
      <c r="C1473">
        <v>0</v>
      </c>
    </row>
    <row r="1474" spans="1:3" ht="15.75" x14ac:dyDescent="0.25">
      <c r="A1474">
        <v>327504</v>
      </c>
      <c r="B1474" t="s">
        <v>999</v>
      </c>
      <c r="C1474">
        <v>0</v>
      </c>
    </row>
    <row r="1475" spans="1:3" ht="15.75" x14ac:dyDescent="0.25">
      <c r="A1475">
        <v>327505</v>
      </c>
      <c r="B1475" t="s">
        <v>1000</v>
      </c>
      <c r="C1475">
        <v>0</v>
      </c>
    </row>
    <row r="1476" spans="1:3" ht="15.75" x14ac:dyDescent="0.25">
      <c r="A1476">
        <v>3276</v>
      </c>
      <c r="B1476" t="s">
        <v>1002</v>
      </c>
      <c r="C1476">
        <f>SUM(C1477:C1481)</f>
        <v>0</v>
      </c>
    </row>
    <row r="1477" spans="1:3" ht="15.75" x14ac:dyDescent="0.25">
      <c r="A1477">
        <v>327601</v>
      </c>
      <c r="B1477" t="s">
        <v>996</v>
      </c>
      <c r="C1477">
        <v>0</v>
      </c>
    </row>
    <row r="1478" spans="1:3" ht="15.75" x14ac:dyDescent="0.25">
      <c r="A1478">
        <v>327602</v>
      </c>
      <c r="B1478" t="s">
        <v>997</v>
      </c>
      <c r="C1478">
        <v>0</v>
      </c>
    </row>
    <row r="1479" spans="1:3" ht="15.75" x14ac:dyDescent="0.25">
      <c r="A1479">
        <v>327603</v>
      </c>
      <c r="B1479" t="s">
        <v>998</v>
      </c>
      <c r="C1479">
        <v>0</v>
      </c>
    </row>
    <row r="1480" spans="1:3" ht="15.75" x14ac:dyDescent="0.25">
      <c r="A1480">
        <v>327604</v>
      </c>
      <c r="B1480" t="s">
        <v>999</v>
      </c>
      <c r="C1480">
        <v>0</v>
      </c>
    </row>
    <row r="1481" spans="1:3" ht="15.75" x14ac:dyDescent="0.25">
      <c r="A1481">
        <v>327605</v>
      </c>
      <c r="B1481" t="s">
        <v>1000</v>
      </c>
      <c r="C1481">
        <v>0</v>
      </c>
    </row>
    <row r="1482" spans="1:3" ht="15.75" x14ac:dyDescent="0.25">
      <c r="A1482">
        <v>3280</v>
      </c>
      <c r="B1482" t="s">
        <v>1003</v>
      </c>
      <c r="C1482">
        <f>SUM(C1483:C1484)</f>
        <v>0</v>
      </c>
    </row>
    <row r="1483" spans="1:3" ht="15.75" x14ac:dyDescent="0.25">
      <c r="A1483">
        <v>328001</v>
      </c>
      <c r="B1483" t="s">
        <v>1004</v>
      </c>
      <c r="C1483">
        <v>0</v>
      </c>
    </row>
    <row r="1484" spans="1:3" ht="15.75" x14ac:dyDescent="0.25">
      <c r="A1484">
        <v>328003</v>
      </c>
      <c r="B1484" t="s">
        <v>1005</v>
      </c>
      <c r="C1484">
        <v>0</v>
      </c>
    </row>
    <row r="1485" spans="1:3" ht="15.75" x14ac:dyDescent="0.25">
      <c r="A1485">
        <v>3281</v>
      </c>
      <c r="B1485" t="s">
        <v>1006</v>
      </c>
      <c r="C1485">
        <f>SUM(C1486)</f>
        <v>0</v>
      </c>
    </row>
    <row r="1486" spans="1:3" ht="15.75" x14ac:dyDescent="0.25">
      <c r="A1486">
        <v>328101</v>
      </c>
      <c r="B1486" t="s">
        <v>1007</v>
      </c>
      <c r="C1486">
        <v>0</v>
      </c>
    </row>
    <row r="1487" spans="1:3" ht="15.75" x14ac:dyDescent="0.25">
      <c r="A1487">
        <v>4</v>
      </c>
      <c r="B1487" t="s">
        <v>1008</v>
      </c>
      <c r="C1487">
        <v>574215087</v>
      </c>
    </row>
    <row r="1488" spans="1:3" ht="15.75" x14ac:dyDescent="0.25">
      <c r="A1488">
        <v>41</v>
      </c>
      <c r="B1488" t="s">
        <v>1009</v>
      </c>
      <c r="C1488">
        <f>SUM(C1489,C1494)</f>
        <v>0</v>
      </c>
    </row>
    <row r="1489" spans="1:3" ht="15.75" x14ac:dyDescent="0.25">
      <c r="A1489">
        <v>4110</v>
      </c>
      <c r="B1489" t="s">
        <v>108</v>
      </c>
      <c r="C1489">
        <f>SUM(C1490:C1493)</f>
        <v>0</v>
      </c>
    </row>
    <row r="1490" spans="1:3" ht="15.75" x14ac:dyDescent="0.25">
      <c r="A1490">
        <v>411002</v>
      </c>
      <c r="B1490" t="s">
        <v>109</v>
      </c>
      <c r="C1490">
        <v>0</v>
      </c>
    </row>
    <row r="1491" spans="1:3" ht="15.75" x14ac:dyDescent="0.25">
      <c r="A1491">
        <v>411004</v>
      </c>
      <c r="B1491" t="s">
        <v>110</v>
      </c>
      <c r="C1491">
        <v>0</v>
      </c>
    </row>
    <row r="1492" spans="1:3" ht="15.75" x14ac:dyDescent="0.25">
      <c r="A1492">
        <v>411027</v>
      </c>
      <c r="B1492" t="s">
        <v>111</v>
      </c>
      <c r="C1492">
        <v>0</v>
      </c>
    </row>
    <row r="1493" spans="1:3" ht="15.75" x14ac:dyDescent="0.25">
      <c r="A1493">
        <v>411045</v>
      </c>
      <c r="B1493" t="s">
        <v>112</v>
      </c>
      <c r="C1493">
        <v>0</v>
      </c>
    </row>
    <row r="1494" spans="1:3" ht="15.75" x14ac:dyDescent="0.25">
      <c r="A1494">
        <v>4195</v>
      </c>
      <c r="B1494" t="s">
        <v>1010</v>
      </c>
      <c r="C1494">
        <f>SUM(C1495)</f>
        <v>0</v>
      </c>
    </row>
    <row r="1495" spans="1:3" ht="15.75" x14ac:dyDescent="0.25">
      <c r="A1495">
        <v>419502</v>
      </c>
      <c r="B1495" t="s">
        <v>266</v>
      </c>
      <c r="C1495">
        <v>0</v>
      </c>
    </row>
    <row r="1496" spans="1:3" ht="15.75" x14ac:dyDescent="0.25">
      <c r="A1496">
        <v>42</v>
      </c>
      <c r="B1496" t="s">
        <v>113</v>
      </c>
      <c r="C1496">
        <f>SUM(C1497,C1505,C1507,C1510,C1522,C1525,C1551)</f>
        <v>0</v>
      </c>
    </row>
    <row r="1497" spans="1:3" ht="15.75" x14ac:dyDescent="0.25">
      <c r="A1497">
        <v>4201</v>
      </c>
      <c r="B1497" t="s">
        <v>1011</v>
      </c>
      <c r="C1497">
        <f>SUM(C1498:C1504)</f>
        <v>0</v>
      </c>
    </row>
    <row r="1498" spans="1:3" ht="15.75" x14ac:dyDescent="0.25">
      <c r="A1498">
        <v>420101</v>
      </c>
      <c r="B1498" t="s">
        <v>1012</v>
      </c>
      <c r="C1498">
        <v>0</v>
      </c>
    </row>
    <row r="1499" spans="1:3" ht="15.75" x14ac:dyDescent="0.25">
      <c r="A1499">
        <v>420102</v>
      </c>
      <c r="B1499" t="s">
        <v>1013</v>
      </c>
      <c r="C1499">
        <v>0</v>
      </c>
    </row>
    <row r="1500" spans="1:3" ht="15.75" x14ac:dyDescent="0.25">
      <c r="A1500">
        <v>420103</v>
      </c>
      <c r="B1500" t="s">
        <v>1014</v>
      </c>
      <c r="C1500">
        <v>0</v>
      </c>
    </row>
    <row r="1501" spans="1:3" ht="15.75" x14ac:dyDescent="0.25">
      <c r="A1501">
        <v>420104</v>
      </c>
      <c r="B1501" t="s">
        <v>306</v>
      </c>
      <c r="C1501">
        <v>0</v>
      </c>
    </row>
    <row r="1502" spans="1:3" ht="15.75" x14ac:dyDescent="0.25">
      <c r="A1502">
        <v>420105</v>
      </c>
      <c r="B1502" t="s">
        <v>1015</v>
      </c>
      <c r="C1502">
        <v>0</v>
      </c>
    </row>
    <row r="1503" spans="1:3" ht="15.75" x14ac:dyDescent="0.25">
      <c r="A1503">
        <v>420106</v>
      </c>
      <c r="B1503" t="s">
        <v>1016</v>
      </c>
      <c r="C1503">
        <v>0</v>
      </c>
    </row>
    <row r="1504" spans="1:3" ht="15.75" x14ac:dyDescent="0.25">
      <c r="A1504">
        <v>420190</v>
      </c>
      <c r="B1504" t="s">
        <v>1017</v>
      </c>
      <c r="C1504">
        <v>0</v>
      </c>
    </row>
    <row r="1505" spans="1:3" ht="15.75" x14ac:dyDescent="0.25">
      <c r="A1505">
        <v>4202</v>
      </c>
      <c r="B1505" t="s">
        <v>1018</v>
      </c>
      <c r="C1505">
        <f>SUM(C1506)</f>
        <v>0</v>
      </c>
    </row>
    <row r="1506" spans="1:3" ht="15.75" x14ac:dyDescent="0.25">
      <c r="A1506">
        <v>420290</v>
      </c>
      <c r="B1506" t="s">
        <v>1019</v>
      </c>
      <c r="C1506">
        <v>0</v>
      </c>
    </row>
    <row r="1507" spans="1:3" ht="15.75" x14ac:dyDescent="0.25">
      <c r="A1507">
        <v>4203</v>
      </c>
      <c r="B1507" t="s">
        <v>1020</v>
      </c>
      <c r="C1507">
        <f>SUM(C1508:C1509)</f>
        <v>0</v>
      </c>
    </row>
    <row r="1508" spans="1:3" ht="15.75" x14ac:dyDescent="0.25">
      <c r="A1508">
        <v>420301</v>
      </c>
      <c r="B1508" t="s">
        <v>293</v>
      </c>
      <c r="C1508">
        <v>0</v>
      </c>
    </row>
    <row r="1509" spans="1:3" ht="15.75" x14ac:dyDescent="0.25">
      <c r="A1509">
        <v>420302</v>
      </c>
      <c r="B1509" t="s">
        <v>297</v>
      </c>
      <c r="C1509">
        <v>0</v>
      </c>
    </row>
    <row r="1510" spans="1:3" ht="15.75" x14ac:dyDescent="0.25">
      <c r="A1510">
        <v>4204</v>
      </c>
      <c r="B1510" t="s">
        <v>1021</v>
      </c>
      <c r="C1510">
        <f>SUM(C1511:C1521)</f>
        <v>0</v>
      </c>
    </row>
    <row r="1511" spans="1:3" ht="15.75" x14ac:dyDescent="0.25">
      <c r="A1511">
        <v>420401</v>
      </c>
      <c r="B1511" t="s">
        <v>292</v>
      </c>
      <c r="C1511">
        <v>0</v>
      </c>
    </row>
    <row r="1512" spans="1:3" ht="15.75" x14ac:dyDescent="0.25">
      <c r="A1512">
        <v>420405</v>
      </c>
      <c r="B1512" t="s">
        <v>294</v>
      </c>
      <c r="C1512">
        <v>0</v>
      </c>
    </row>
    <row r="1513" spans="1:3" ht="15.75" x14ac:dyDescent="0.25">
      <c r="A1513">
        <v>420406</v>
      </c>
      <c r="B1513" t="s">
        <v>295</v>
      </c>
      <c r="C1513">
        <v>0</v>
      </c>
    </row>
    <row r="1514" spans="1:3" ht="15.75" x14ac:dyDescent="0.25">
      <c r="A1514">
        <v>420407</v>
      </c>
      <c r="B1514" t="s">
        <v>299</v>
      </c>
      <c r="C1514">
        <v>0</v>
      </c>
    </row>
    <row r="1515" spans="1:3" ht="15.75" x14ac:dyDescent="0.25">
      <c r="A1515">
        <v>420409</v>
      </c>
      <c r="B1515" t="s">
        <v>296</v>
      </c>
      <c r="C1515">
        <v>0</v>
      </c>
    </row>
    <row r="1516" spans="1:3" ht="15.75" x14ac:dyDescent="0.25">
      <c r="A1516">
        <v>420410</v>
      </c>
      <c r="B1516" t="s">
        <v>300</v>
      </c>
      <c r="C1516">
        <v>0</v>
      </c>
    </row>
    <row r="1517" spans="1:3" ht="15.75" x14ac:dyDescent="0.25">
      <c r="A1517">
        <v>420411</v>
      </c>
      <c r="B1517" t="s">
        <v>298</v>
      </c>
      <c r="C1517">
        <v>0</v>
      </c>
    </row>
    <row r="1518" spans="1:3" ht="15.75" x14ac:dyDescent="0.25">
      <c r="A1518">
        <v>420412</v>
      </c>
      <c r="B1518" t="s">
        <v>301</v>
      </c>
      <c r="C1518">
        <v>0</v>
      </c>
    </row>
    <row r="1519" spans="1:3" ht="15.75" x14ac:dyDescent="0.25">
      <c r="A1519">
        <v>420415</v>
      </c>
      <c r="B1519" t="s">
        <v>302</v>
      </c>
      <c r="C1519">
        <v>0</v>
      </c>
    </row>
    <row r="1520" spans="1:3" ht="15.75" x14ac:dyDescent="0.25">
      <c r="A1520">
        <v>420416</v>
      </c>
      <c r="B1520" t="s">
        <v>114</v>
      </c>
      <c r="C1520">
        <v>0</v>
      </c>
    </row>
    <row r="1521" spans="1:3" ht="15.75" x14ac:dyDescent="0.25">
      <c r="A1521">
        <v>420490</v>
      </c>
      <c r="B1521" t="s">
        <v>1022</v>
      </c>
      <c r="C1521">
        <v>0</v>
      </c>
    </row>
    <row r="1522" spans="1:3" ht="15.75" x14ac:dyDescent="0.25">
      <c r="A1522">
        <v>4206</v>
      </c>
      <c r="B1522" t="s">
        <v>1023</v>
      </c>
      <c r="C1522">
        <f>SUM(C1523:C1524)</f>
        <v>0</v>
      </c>
    </row>
    <row r="1523" spans="1:3" ht="15.75" x14ac:dyDescent="0.25">
      <c r="A1523">
        <v>420604</v>
      </c>
      <c r="B1523" t="s">
        <v>384</v>
      </c>
      <c r="C1523">
        <v>0</v>
      </c>
    </row>
    <row r="1524" spans="1:3" ht="15.75" x14ac:dyDescent="0.25">
      <c r="A1524">
        <v>420690</v>
      </c>
      <c r="B1524" t="s">
        <v>1024</v>
      </c>
      <c r="C1524">
        <v>0</v>
      </c>
    </row>
    <row r="1525" spans="1:3" ht="15.75" x14ac:dyDescent="0.25">
      <c r="A1525">
        <v>4210</v>
      </c>
      <c r="B1525" t="s">
        <v>1025</v>
      </c>
      <c r="C1525">
        <f>SUM(C1526:C1550)</f>
        <v>0</v>
      </c>
    </row>
    <row r="1526" spans="1:3" ht="15.75" x14ac:dyDescent="0.25">
      <c r="A1526">
        <v>421002</v>
      </c>
      <c r="B1526" t="s">
        <v>305</v>
      </c>
      <c r="C1526">
        <v>0</v>
      </c>
    </row>
    <row r="1527" spans="1:3" ht="15.75" x14ac:dyDescent="0.25">
      <c r="A1527">
        <v>421003</v>
      </c>
      <c r="B1527" t="s">
        <v>118</v>
      </c>
      <c r="C1527">
        <v>0</v>
      </c>
    </row>
    <row r="1528" spans="1:3" ht="15.75" x14ac:dyDescent="0.25">
      <c r="A1528">
        <v>421004</v>
      </c>
      <c r="B1528" t="s">
        <v>292</v>
      </c>
      <c r="C1528">
        <v>0</v>
      </c>
    </row>
    <row r="1529" spans="1:3" ht="15.75" x14ac:dyDescent="0.25">
      <c r="A1529">
        <v>421011</v>
      </c>
      <c r="B1529" t="s">
        <v>294</v>
      </c>
      <c r="C1529">
        <v>0</v>
      </c>
    </row>
    <row r="1530" spans="1:3" ht="15.75" x14ac:dyDescent="0.25">
      <c r="A1530">
        <v>421012</v>
      </c>
      <c r="B1530" t="s">
        <v>306</v>
      </c>
      <c r="C1530">
        <v>0</v>
      </c>
    </row>
    <row r="1531" spans="1:3" ht="15.75" x14ac:dyDescent="0.25">
      <c r="A1531">
        <v>421013</v>
      </c>
      <c r="B1531" t="s">
        <v>307</v>
      </c>
      <c r="C1531">
        <v>0</v>
      </c>
    </row>
    <row r="1532" spans="1:3" ht="15.75" x14ac:dyDescent="0.25">
      <c r="A1532">
        <v>421014</v>
      </c>
      <c r="B1532" t="s">
        <v>308</v>
      </c>
      <c r="C1532">
        <v>0</v>
      </c>
    </row>
    <row r="1533" spans="1:3" ht="15.75" x14ac:dyDescent="0.25">
      <c r="A1533">
        <v>421015</v>
      </c>
      <c r="B1533" t="s">
        <v>293</v>
      </c>
      <c r="C1533">
        <v>0</v>
      </c>
    </row>
    <row r="1534" spans="1:3" ht="15.75" x14ac:dyDescent="0.25">
      <c r="A1534">
        <v>421016</v>
      </c>
      <c r="B1534" t="s">
        <v>296</v>
      </c>
      <c r="C1534">
        <v>0</v>
      </c>
    </row>
    <row r="1535" spans="1:3" ht="15.75" x14ac:dyDescent="0.25">
      <c r="A1535">
        <v>421017</v>
      </c>
      <c r="B1535" t="s">
        <v>298</v>
      </c>
      <c r="C1535">
        <v>0</v>
      </c>
    </row>
    <row r="1536" spans="1:3" ht="15.75" x14ac:dyDescent="0.25">
      <c r="A1536">
        <v>421018</v>
      </c>
      <c r="B1536" t="s">
        <v>309</v>
      </c>
      <c r="C1536">
        <v>0</v>
      </c>
    </row>
    <row r="1537" spans="1:3" ht="15.75" x14ac:dyDescent="0.25">
      <c r="A1537">
        <v>421026</v>
      </c>
      <c r="B1537" t="s">
        <v>310</v>
      </c>
      <c r="C1537">
        <v>0</v>
      </c>
    </row>
    <row r="1538" spans="1:3" ht="15.75" x14ac:dyDescent="0.25">
      <c r="A1538">
        <v>421027</v>
      </c>
      <c r="B1538" t="s">
        <v>311</v>
      </c>
      <c r="C1538">
        <v>0</v>
      </c>
    </row>
    <row r="1539" spans="1:3" ht="15.75" x14ac:dyDescent="0.25">
      <c r="A1539">
        <v>421028</v>
      </c>
      <c r="B1539" t="s">
        <v>312</v>
      </c>
      <c r="C1539">
        <v>0</v>
      </c>
    </row>
    <row r="1540" spans="1:3" ht="15.75" x14ac:dyDescent="0.25">
      <c r="A1540">
        <v>421030</v>
      </c>
      <c r="B1540" t="s">
        <v>313</v>
      </c>
      <c r="C1540">
        <v>0</v>
      </c>
    </row>
    <row r="1541" spans="1:3" ht="15.75" x14ac:dyDescent="0.25">
      <c r="A1541">
        <v>421032</v>
      </c>
      <c r="B1541" t="s">
        <v>314</v>
      </c>
      <c r="C1541">
        <v>0</v>
      </c>
    </row>
    <row r="1542" spans="1:3" ht="15.75" x14ac:dyDescent="0.25">
      <c r="A1542">
        <v>421033</v>
      </c>
      <c r="B1542" t="s">
        <v>1026</v>
      </c>
      <c r="C1542">
        <v>0</v>
      </c>
    </row>
    <row r="1543" spans="1:3" ht="15.75" x14ac:dyDescent="0.25">
      <c r="A1543">
        <v>421034</v>
      </c>
      <c r="B1543" t="s">
        <v>315</v>
      </c>
      <c r="C1543">
        <v>0</v>
      </c>
    </row>
    <row r="1544" spans="1:3" ht="15.75" x14ac:dyDescent="0.25">
      <c r="A1544">
        <v>421036</v>
      </c>
      <c r="B1544" t="s">
        <v>316</v>
      </c>
      <c r="C1544">
        <v>0</v>
      </c>
    </row>
    <row r="1545" spans="1:3" ht="15.75" x14ac:dyDescent="0.25">
      <c r="A1545">
        <v>421038</v>
      </c>
      <c r="B1545" t="s">
        <v>317</v>
      </c>
      <c r="C1545">
        <v>0</v>
      </c>
    </row>
    <row r="1546" spans="1:3" ht="15.75" x14ac:dyDescent="0.25">
      <c r="A1546">
        <v>421040</v>
      </c>
      <c r="B1546" t="s">
        <v>114</v>
      </c>
      <c r="C1546">
        <v>0</v>
      </c>
    </row>
    <row r="1547" spans="1:3" ht="15.75" x14ac:dyDescent="0.25">
      <c r="A1547">
        <v>421060</v>
      </c>
      <c r="B1547" t="s">
        <v>295</v>
      </c>
      <c r="C1547">
        <v>0</v>
      </c>
    </row>
    <row r="1548" spans="1:3" ht="15.75" x14ac:dyDescent="0.25">
      <c r="A1548">
        <v>421061</v>
      </c>
      <c r="B1548" t="s">
        <v>318</v>
      </c>
      <c r="C1548">
        <v>0</v>
      </c>
    </row>
    <row r="1549" spans="1:3" ht="15.75" x14ac:dyDescent="0.25">
      <c r="A1549">
        <v>421065</v>
      </c>
      <c r="B1549" t="s">
        <v>319</v>
      </c>
      <c r="C1549">
        <v>0</v>
      </c>
    </row>
    <row r="1550" spans="1:3" ht="15.75" x14ac:dyDescent="0.25">
      <c r="A1550">
        <v>421090</v>
      </c>
      <c r="B1550" t="s">
        <v>1027</v>
      </c>
      <c r="C1550">
        <v>0</v>
      </c>
    </row>
    <row r="1551" spans="1:3" ht="15.75" x14ac:dyDescent="0.25">
      <c r="A1551">
        <v>4295</v>
      </c>
      <c r="B1551" t="s">
        <v>1028</v>
      </c>
      <c r="C1551">
        <f>SUM(C1552:C1557)</f>
        <v>0</v>
      </c>
    </row>
    <row r="1552" spans="1:3" ht="15.75" x14ac:dyDescent="0.25">
      <c r="A1552">
        <v>429502</v>
      </c>
      <c r="B1552" t="s">
        <v>119</v>
      </c>
      <c r="C1552">
        <v>0</v>
      </c>
    </row>
    <row r="1553" spans="1:3" ht="15.75" x14ac:dyDescent="0.25">
      <c r="A1553">
        <v>429503</v>
      </c>
      <c r="B1553" t="s">
        <v>1029</v>
      </c>
      <c r="C1553">
        <v>0</v>
      </c>
    </row>
    <row r="1554" spans="1:3" ht="15.75" x14ac:dyDescent="0.25">
      <c r="A1554">
        <v>429504</v>
      </c>
      <c r="B1554" t="s">
        <v>115</v>
      </c>
      <c r="C1554">
        <v>0</v>
      </c>
    </row>
    <row r="1555" spans="1:3" ht="15.75" x14ac:dyDescent="0.25">
      <c r="A1555">
        <v>429505</v>
      </c>
      <c r="B1555" t="s">
        <v>116</v>
      </c>
      <c r="C1555">
        <v>0</v>
      </c>
    </row>
    <row r="1556" spans="1:3" ht="15.75" x14ac:dyDescent="0.25">
      <c r="A1556">
        <v>429506</v>
      </c>
      <c r="B1556" t="s">
        <v>117</v>
      </c>
      <c r="C1556">
        <v>0</v>
      </c>
    </row>
    <row r="1557" spans="1:3" ht="15.75" x14ac:dyDescent="0.25">
      <c r="A1557">
        <v>429507</v>
      </c>
      <c r="B1557" t="s">
        <v>118</v>
      </c>
      <c r="C1557">
        <v>0</v>
      </c>
    </row>
    <row r="1558" spans="1:3" ht="15.75" x14ac:dyDescent="0.25">
      <c r="A1558">
        <v>43</v>
      </c>
      <c r="B1558" t="s">
        <v>1030</v>
      </c>
      <c r="C1558">
        <v>134180644</v>
      </c>
    </row>
    <row r="1559" spans="1:3" ht="15.75" x14ac:dyDescent="0.25">
      <c r="A1559">
        <v>4311</v>
      </c>
      <c r="B1559" t="s">
        <v>195</v>
      </c>
      <c r="C1559">
        <f>SUM(C1560:C1575)</f>
        <v>0</v>
      </c>
    </row>
    <row r="1560" spans="1:3" ht="15.75" x14ac:dyDescent="0.25">
      <c r="A1560">
        <v>431101</v>
      </c>
      <c r="B1560" t="s">
        <v>1031</v>
      </c>
      <c r="C1560">
        <v>0</v>
      </c>
    </row>
    <row r="1561" spans="1:3" ht="15.75" x14ac:dyDescent="0.25">
      <c r="A1561">
        <v>431102</v>
      </c>
      <c r="B1561" t="s">
        <v>1032</v>
      </c>
      <c r="C1561">
        <v>0</v>
      </c>
    </row>
    <row r="1562" spans="1:3" ht="15.75" x14ac:dyDescent="0.25">
      <c r="A1562">
        <v>431103</v>
      </c>
      <c r="B1562" t="s">
        <v>198</v>
      </c>
      <c r="C1562">
        <v>0</v>
      </c>
    </row>
    <row r="1563" spans="1:3" ht="15.75" x14ac:dyDescent="0.25">
      <c r="A1563">
        <v>431104</v>
      </c>
      <c r="B1563" t="s">
        <v>199</v>
      </c>
      <c r="C1563">
        <v>0</v>
      </c>
    </row>
    <row r="1564" spans="1:3" ht="15.75" x14ac:dyDescent="0.25">
      <c r="A1564">
        <v>431105</v>
      </c>
      <c r="B1564" t="s">
        <v>1033</v>
      </c>
      <c r="C1564">
        <v>0</v>
      </c>
    </row>
    <row r="1565" spans="1:3" ht="15.75" x14ac:dyDescent="0.25">
      <c r="A1565">
        <v>431106</v>
      </c>
      <c r="B1565" t="s">
        <v>1034</v>
      </c>
      <c r="C1565">
        <v>0</v>
      </c>
    </row>
    <row r="1566" spans="1:3" ht="15.75" x14ac:dyDescent="0.25">
      <c r="A1566">
        <v>431107</v>
      </c>
      <c r="B1566" t="s">
        <v>202</v>
      </c>
      <c r="C1566">
        <v>0</v>
      </c>
    </row>
    <row r="1567" spans="1:3" ht="15.75" x14ac:dyDescent="0.25">
      <c r="A1567">
        <v>431108</v>
      </c>
      <c r="B1567" t="s">
        <v>203</v>
      </c>
      <c r="C1567">
        <v>0</v>
      </c>
    </row>
    <row r="1568" spans="1:3" ht="15.75" x14ac:dyDescent="0.25">
      <c r="A1568">
        <v>431109</v>
      </c>
      <c r="B1568" t="s">
        <v>1035</v>
      </c>
      <c r="C1568">
        <v>0</v>
      </c>
    </row>
    <row r="1569" spans="1:3" ht="15.75" x14ac:dyDescent="0.25">
      <c r="A1569">
        <v>431114</v>
      </c>
      <c r="B1569" t="s">
        <v>209</v>
      </c>
      <c r="C1569">
        <v>0</v>
      </c>
    </row>
    <row r="1570" spans="1:3" ht="15.75" x14ac:dyDescent="0.25">
      <c r="A1570">
        <v>431119</v>
      </c>
      <c r="B1570" t="s">
        <v>214</v>
      </c>
      <c r="C1570">
        <v>0</v>
      </c>
    </row>
    <row r="1571" spans="1:3" ht="15.75" x14ac:dyDescent="0.25">
      <c r="A1571">
        <v>431120</v>
      </c>
      <c r="B1571" t="s">
        <v>215</v>
      </c>
      <c r="C1571">
        <v>0</v>
      </c>
    </row>
    <row r="1572" spans="1:3" ht="15.75" x14ac:dyDescent="0.25">
      <c r="A1572">
        <v>431121</v>
      </c>
      <c r="B1572" t="s">
        <v>1036</v>
      </c>
      <c r="C1572">
        <v>0</v>
      </c>
    </row>
    <row r="1573" spans="1:3" ht="15.75" x14ac:dyDescent="0.25">
      <c r="A1573">
        <v>431122</v>
      </c>
      <c r="B1573" t="s">
        <v>216</v>
      </c>
      <c r="C1573">
        <v>0</v>
      </c>
    </row>
    <row r="1574" spans="1:3" ht="15.75" x14ac:dyDescent="0.25">
      <c r="A1574">
        <v>431123</v>
      </c>
      <c r="B1574" t="s">
        <v>1037</v>
      </c>
      <c r="C1574">
        <v>0</v>
      </c>
    </row>
    <row r="1575" spans="1:3" ht="15.75" x14ac:dyDescent="0.25">
      <c r="A1575">
        <v>431190</v>
      </c>
      <c r="B1575" t="s">
        <v>219</v>
      </c>
      <c r="C1575">
        <v>0</v>
      </c>
    </row>
    <row r="1576" spans="1:3" ht="15.75" x14ac:dyDescent="0.25">
      <c r="A1576">
        <v>4312</v>
      </c>
      <c r="B1576" t="s">
        <v>1038</v>
      </c>
      <c r="C1576">
        <f>SUM(C1577:C1612)</f>
        <v>0</v>
      </c>
    </row>
    <row r="1577" spans="1:3" ht="15.75" x14ac:dyDescent="0.25">
      <c r="A1577">
        <v>431208</v>
      </c>
      <c r="B1577" t="s">
        <v>1039</v>
      </c>
      <c r="C1577">
        <v>0</v>
      </c>
    </row>
    <row r="1578" spans="1:3" ht="15.75" x14ac:dyDescent="0.25">
      <c r="A1578">
        <v>431209</v>
      </c>
      <c r="B1578" t="s">
        <v>1040</v>
      </c>
      <c r="C1578">
        <v>0</v>
      </c>
    </row>
    <row r="1579" spans="1:3" ht="15.75" x14ac:dyDescent="0.25">
      <c r="A1579">
        <v>431217</v>
      </c>
      <c r="B1579" t="s">
        <v>1041</v>
      </c>
      <c r="C1579">
        <v>0</v>
      </c>
    </row>
    <row r="1580" spans="1:3" ht="15.75" x14ac:dyDescent="0.25">
      <c r="A1580">
        <v>431218</v>
      </c>
      <c r="B1580" t="s">
        <v>1042</v>
      </c>
      <c r="C1580">
        <v>0</v>
      </c>
    </row>
    <row r="1581" spans="1:3" ht="15.75" x14ac:dyDescent="0.25">
      <c r="A1581">
        <v>431219</v>
      </c>
      <c r="B1581" t="s">
        <v>1043</v>
      </c>
      <c r="C1581">
        <v>0</v>
      </c>
    </row>
    <row r="1582" spans="1:3" ht="15.75" x14ac:dyDescent="0.25">
      <c r="A1582">
        <v>431220</v>
      </c>
      <c r="B1582" t="s">
        <v>1044</v>
      </c>
      <c r="C1582">
        <v>0</v>
      </c>
    </row>
    <row r="1583" spans="1:3" ht="15.75" x14ac:dyDescent="0.25">
      <c r="A1583">
        <v>431221</v>
      </c>
      <c r="B1583" t="s">
        <v>1045</v>
      </c>
      <c r="C1583">
        <v>0</v>
      </c>
    </row>
    <row r="1584" spans="1:3" ht="15.75" x14ac:dyDescent="0.25">
      <c r="A1584">
        <v>431227</v>
      </c>
      <c r="B1584" t="s">
        <v>1046</v>
      </c>
      <c r="C1584">
        <v>0</v>
      </c>
    </row>
    <row r="1585" spans="1:3" ht="15.75" x14ac:dyDescent="0.25">
      <c r="A1585">
        <v>431228</v>
      </c>
      <c r="B1585" t="s">
        <v>1047</v>
      </c>
      <c r="C1585">
        <v>0</v>
      </c>
    </row>
    <row r="1586" spans="1:3" ht="15.75" x14ac:dyDescent="0.25">
      <c r="A1586">
        <v>431229</v>
      </c>
      <c r="B1586" t="s">
        <v>1048</v>
      </c>
      <c r="C1586">
        <v>0</v>
      </c>
    </row>
    <row r="1587" spans="1:3" ht="15.75" x14ac:dyDescent="0.25">
      <c r="A1587">
        <v>431230</v>
      </c>
      <c r="B1587" t="s">
        <v>1049</v>
      </c>
      <c r="C1587">
        <v>0</v>
      </c>
    </row>
    <row r="1588" spans="1:3" ht="15.75" x14ac:dyDescent="0.25">
      <c r="A1588">
        <v>431231</v>
      </c>
      <c r="B1588" t="s">
        <v>1050</v>
      </c>
      <c r="C1588">
        <v>0</v>
      </c>
    </row>
    <row r="1589" spans="1:3" ht="15.75" x14ac:dyDescent="0.25">
      <c r="A1589">
        <v>431232</v>
      </c>
      <c r="B1589" t="s">
        <v>1051</v>
      </c>
      <c r="C1589">
        <v>0</v>
      </c>
    </row>
    <row r="1590" spans="1:3" ht="15.75" x14ac:dyDescent="0.25">
      <c r="A1590">
        <v>431233</v>
      </c>
      <c r="B1590" t="s">
        <v>1052</v>
      </c>
      <c r="C1590">
        <v>0</v>
      </c>
    </row>
    <row r="1591" spans="1:3" ht="15.75" x14ac:dyDescent="0.25">
      <c r="A1591">
        <v>431236</v>
      </c>
      <c r="B1591" t="s">
        <v>1053</v>
      </c>
      <c r="C1591">
        <v>0</v>
      </c>
    </row>
    <row r="1592" spans="1:3" ht="15.75" x14ac:dyDescent="0.25">
      <c r="A1592">
        <v>431237</v>
      </c>
      <c r="B1592" t="s">
        <v>1054</v>
      </c>
      <c r="C1592">
        <v>0</v>
      </c>
    </row>
    <row r="1593" spans="1:3" ht="15.75" x14ac:dyDescent="0.25">
      <c r="A1593">
        <v>431246</v>
      </c>
      <c r="B1593" t="s">
        <v>1055</v>
      </c>
      <c r="C1593">
        <v>0</v>
      </c>
    </row>
    <row r="1594" spans="1:3" ht="15.75" x14ac:dyDescent="0.25">
      <c r="A1594">
        <v>431247</v>
      </c>
      <c r="B1594" t="s">
        <v>1056</v>
      </c>
      <c r="C1594">
        <v>0</v>
      </c>
    </row>
    <row r="1595" spans="1:3" ht="15.75" x14ac:dyDescent="0.25">
      <c r="A1595">
        <v>431248</v>
      </c>
      <c r="B1595" t="s">
        <v>1057</v>
      </c>
      <c r="C1595">
        <v>0</v>
      </c>
    </row>
    <row r="1596" spans="1:3" ht="15.75" x14ac:dyDescent="0.25">
      <c r="A1596">
        <v>431249</v>
      </c>
      <c r="B1596" t="s">
        <v>1058</v>
      </c>
      <c r="C1596">
        <v>0</v>
      </c>
    </row>
    <row r="1597" spans="1:3" ht="15.75" x14ac:dyDescent="0.25">
      <c r="A1597">
        <v>431256</v>
      </c>
      <c r="B1597" t="s">
        <v>1059</v>
      </c>
      <c r="C1597">
        <v>0</v>
      </c>
    </row>
    <row r="1598" spans="1:3" ht="15.75" x14ac:dyDescent="0.25">
      <c r="A1598">
        <v>431257</v>
      </c>
      <c r="B1598" t="s">
        <v>1060</v>
      </c>
      <c r="C1598">
        <v>0</v>
      </c>
    </row>
    <row r="1599" spans="1:3" ht="15.75" x14ac:dyDescent="0.25">
      <c r="A1599">
        <v>431258</v>
      </c>
      <c r="B1599" t="s">
        <v>1061</v>
      </c>
      <c r="C1599">
        <v>0</v>
      </c>
    </row>
    <row r="1600" spans="1:3" ht="15.75" x14ac:dyDescent="0.25">
      <c r="A1600">
        <v>431259</v>
      </c>
      <c r="B1600" t="s">
        <v>1062</v>
      </c>
      <c r="C1600">
        <v>0</v>
      </c>
    </row>
    <row r="1601" spans="1:3" ht="15.75" x14ac:dyDescent="0.25">
      <c r="A1601">
        <v>431260</v>
      </c>
      <c r="B1601" t="s">
        <v>1063</v>
      </c>
      <c r="C1601">
        <v>0</v>
      </c>
    </row>
    <row r="1602" spans="1:3" ht="15.75" x14ac:dyDescent="0.25">
      <c r="A1602">
        <v>431261</v>
      </c>
      <c r="B1602" t="s">
        <v>1064</v>
      </c>
      <c r="C1602">
        <v>0</v>
      </c>
    </row>
    <row r="1603" spans="1:3" ht="15.75" x14ac:dyDescent="0.25">
      <c r="A1603">
        <v>431262</v>
      </c>
      <c r="B1603" t="s">
        <v>1065</v>
      </c>
      <c r="C1603">
        <v>0</v>
      </c>
    </row>
    <row r="1604" spans="1:3" ht="15.75" x14ac:dyDescent="0.25">
      <c r="A1604">
        <v>431263</v>
      </c>
      <c r="B1604" t="s">
        <v>1066</v>
      </c>
      <c r="C1604">
        <v>0</v>
      </c>
    </row>
    <row r="1605" spans="1:3" ht="15.75" x14ac:dyDescent="0.25">
      <c r="A1605">
        <v>431287</v>
      </c>
      <c r="B1605" t="s">
        <v>1067</v>
      </c>
      <c r="C1605">
        <v>0</v>
      </c>
    </row>
    <row r="1606" spans="1:3" ht="15.75" x14ac:dyDescent="0.25">
      <c r="A1606">
        <v>431288</v>
      </c>
      <c r="B1606" t="s">
        <v>1068</v>
      </c>
      <c r="C1606">
        <v>0</v>
      </c>
    </row>
    <row r="1607" spans="1:3" ht="15.75" x14ac:dyDescent="0.25">
      <c r="A1607">
        <v>431289</v>
      </c>
      <c r="B1607" t="s">
        <v>1069</v>
      </c>
      <c r="C1607">
        <v>0</v>
      </c>
    </row>
    <row r="1608" spans="1:3" ht="15.75" x14ac:dyDescent="0.25">
      <c r="A1608">
        <v>431291</v>
      </c>
      <c r="B1608" t="s">
        <v>1070</v>
      </c>
      <c r="C1608">
        <v>0</v>
      </c>
    </row>
    <row r="1609" spans="1:3" ht="15.75" x14ac:dyDescent="0.25">
      <c r="A1609">
        <v>431292</v>
      </c>
      <c r="B1609" t="s">
        <v>1071</v>
      </c>
      <c r="C1609">
        <v>0</v>
      </c>
    </row>
    <row r="1610" spans="1:3" ht="15.75" x14ac:dyDescent="0.25">
      <c r="A1610">
        <v>431293</v>
      </c>
      <c r="B1610" t="s">
        <v>1072</v>
      </c>
      <c r="C1610">
        <v>0</v>
      </c>
    </row>
    <row r="1611" spans="1:3" ht="15.75" x14ac:dyDescent="0.25">
      <c r="A1611">
        <v>431294</v>
      </c>
      <c r="B1611" t="s">
        <v>1073</v>
      </c>
      <c r="C1611">
        <v>0</v>
      </c>
    </row>
    <row r="1612" spans="1:3" ht="15.75" x14ac:dyDescent="0.25">
      <c r="A1612">
        <v>431295</v>
      </c>
      <c r="B1612" t="s">
        <v>1074</v>
      </c>
      <c r="C1612">
        <v>0</v>
      </c>
    </row>
    <row r="1613" spans="1:3" ht="15.75" x14ac:dyDescent="0.25">
      <c r="A1613">
        <v>4315</v>
      </c>
      <c r="B1613" t="s">
        <v>1075</v>
      </c>
      <c r="C1613">
        <f>SUM(C1614:C1617)</f>
        <v>0</v>
      </c>
    </row>
    <row r="1614" spans="1:3" ht="15.75" x14ac:dyDescent="0.25">
      <c r="A1614">
        <v>431517</v>
      </c>
      <c r="B1614" t="s">
        <v>1076</v>
      </c>
      <c r="C1614">
        <v>0</v>
      </c>
    </row>
    <row r="1615" spans="1:3" ht="15.75" x14ac:dyDescent="0.25">
      <c r="A1615">
        <v>431518</v>
      </c>
      <c r="B1615" t="s">
        <v>1077</v>
      </c>
      <c r="C1615">
        <v>0</v>
      </c>
    </row>
    <row r="1616" spans="1:3" ht="15.75" x14ac:dyDescent="0.25">
      <c r="A1616">
        <v>431519</v>
      </c>
      <c r="B1616" t="s">
        <v>1078</v>
      </c>
      <c r="C1616">
        <v>0</v>
      </c>
    </row>
    <row r="1617" spans="1:3" ht="15.75" x14ac:dyDescent="0.25">
      <c r="A1617">
        <v>431520</v>
      </c>
      <c r="B1617" t="s">
        <v>1079</v>
      </c>
      <c r="C1617">
        <v>0</v>
      </c>
    </row>
    <row r="1618" spans="1:3" ht="15.75" x14ac:dyDescent="0.25">
      <c r="A1618">
        <v>4321</v>
      </c>
      <c r="B1618" t="s">
        <v>1080</v>
      </c>
      <c r="C1618">
        <v>85354069</v>
      </c>
    </row>
    <row r="1619" spans="1:3" ht="15.75" x14ac:dyDescent="0.25">
      <c r="A1619">
        <v>432108</v>
      </c>
      <c r="B1619" t="s">
        <v>1081</v>
      </c>
      <c r="C1619">
        <v>0</v>
      </c>
    </row>
    <row r="1620" spans="1:3" ht="15.75" x14ac:dyDescent="0.25">
      <c r="A1620">
        <v>432109</v>
      </c>
      <c r="B1620" t="s">
        <v>1078</v>
      </c>
      <c r="C1620">
        <v>0</v>
      </c>
    </row>
    <row r="1621" spans="1:3" ht="15.75" x14ac:dyDescent="0.25">
      <c r="A1621">
        <v>432110</v>
      </c>
      <c r="B1621" t="s">
        <v>1079</v>
      </c>
      <c r="C1621">
        <v>85354069</v>
      </c>
    </row>
    <row r="1622" spans="1:3" ht="15.75" x14ac:dyDescent="0.25">
      <c r="A1622">
        <v>4322</v>
      </c>
      <c r="B1622" t="s">
        <v>1082</v>
      </c>
      <c r="C1622">
        <v>15568723</v>
      </c>
    </row>
    <row r="1623" spans="1:3" ht="15.75" x14ac:dyDescent="0.25">
      <c r="A1623">
        <v>432208</v>
      </c>
      <c r="B1623" t="s">
        <v>1083</v>
      </c>
      <c r="C1623">
        <v>0</v>
      </c>
    </row>
    <row r="1624" spans="1:3" ht="15.75" x14ac:dyDescent="0.25">
      <c r="A1624">
        <v>432209</v>
      </c>
      <c r="B1624" t="s">
        <v>1084</v>
      </c>
      <c r="C1624">
        <v>0</v>
      </c>
    </row>
    <row r="1625" spans="1:3" ht="15.75" x14ac:dyDescent="0.25">
      <c r="A1625">
        <v>432210</v>
      </c>
      <c r="B1625" t="s">
        <v>1079</v>
      </c>
      <c r="C1625">
        <v>15568723</v>
      </c>
    </row>
    <row r="1626" spans="1:3" ht="15.75" x14ac:dyDescent="0.25">
      <c r="A1626">
        <v>4323</v>
      </c>
      <c r="B1626" t="s">
        <v>1085</v>
      </c>
      <c r="C1626">
        <v>33257852</v>
      </c>
    </row>
    <row r="1627" spans="1:3" ht="15.75" x14ac:dyDescent="0.25">
      <c r="A1627">
        <v>432307</v>
      </c>
      <c r="B1627" t="s">
        <v>1086</v>
      </c>
      <c r="C1627">
        <v>0</v>
      </c>
    </row>
    <row r="1628" spans="1:3" ht="15.75" x14ac:dyDescent="0.25">
      <c r="A1628">
        <v>432308</v>
      </c>
      <c r="B1628" t="s">
        <v>1087</v>
      </c>
      <c r="C1628">
        <v>0</v>
      </c>
    </row>
    <row r="1629" spans="1:3" ht="15.75" x14ac:dyDescent="0.25">
      <c r="A1629">
        <v>432309</v>
      </c>
      <c r="B1629" t="s">
        <v>1088</v>
      </c>
      <c r="C1629">
        <v>0</v>
      </c>
    </row>
    <row r="1630" spans="1:3" ht="15.75" x14ac:dyDescent="0.25">
      <c r="A1630">
        <v>432310</v>
      </c>
      <c r="B1630" t="s">
        <v>1089</v>
      </c>
      <c r="C1630">
        <v>0</v>
      </c>
    </row>
    <row r="1631" spans="1:3" ht="15.75" x14ac:dyDescent="0.25">
      <c r="A1631">
        <v>432311</v>
      </c>
      <c r="B1631" t="s">
        <v>1090</v>
      </c>
      <c r="C1631">
        <v>0</v>
      </c>
    </row>
    <row r="1632" spans="1:3" ht="15.75" x14ac:dyDescent="0.25">
      <c r="A1632">
        <v>432312</v>
      </c>
      <c r="B1632" t="s">
        <v>1091</v>
      </c>
      <c r="C1632">
        <v>0</v>
      </c>
    </row>
    <row r="1633" spans="1:3" ht="15.75" x14ac:dyDescent="0.25">
      <c r="A1633">
        <v>432313</v>
      </c>
      <c r="B1633" t="s">
        <v>1092</v>
      </c>
      <c r="C1633">
        <v>0</v>
      </c>
    </row>
    <row r="1634" spans="1:3" ht="15.75" x14ac:dyDescent="0.25">
      <c r="A1634">
        <v>432314</v>
      </c>
      <c r="B1634" t="s">
        <v>1093</v>
      </c>
      <c r="C1634">
        <v>0</v>
      </c>
    </row>
    <row r="1635" spans="1:3" ht="15.75" x14ac:dyDescent="0.25">
      <c r="A1635">
        <v>432315</v>
      </c>
      <c r="B1635" t="s">
        <v>1094</v>
      </c>
      <c r="C1635">
        <v>0</v>
      </c>
    </row>
    <row r="1636" spans="1:3" ht="15.75" x14ac:dyDescent="0.25">
      <c r="A1636">
        <v>432316</v>
      </c>
      <c r="B1636" t="s">
        <v>1095</v>
      </c>
      <c r="C1636">
        <v>0</v>
      </c>
    </row>
    <row r="1637" spans="1:3" ht="15.75" x14ac:dyDescent="0.25">
      <c r="A1637">
        <v>432317</v>
      </c>
      <c r="B1637" t="s">
        <v>1079</v>
      </c>
      <c r="C1637">
        <v>33257852</v>
      </c>
    </row>
    <row r="1638" spans="1:3" ht="15.75" x14ac:dyDescent="0.25">
      <c r="A1638">
        <v>4325</v>
      </c>
      <c r="B1638" t="s">
        <v>1096</v>
      </c>
      <c r="C1638">
        <f>SUM(C1639:C1644)</f>
        <v>0</v>
      </c>
    </row>
    <row r="1639" spans="1:3" ht="15.75" x14ac:dyDescent="0.25">
      <c r="A1639">
        <v>432525</v>
      </c>
      <c r="B1639" t="s">
        <v>1097</v>
      </c>
      <c r="C1639">
        <v>0</v>
      </c>
    </row>
    <row r="1640" spans="1:3" ht="15.75" x14ac:dyDescent="0.25">
      <c r="A1640">
        <v>432526</v>
      </c>
      <c r="B1640" t="s">
        <v>1098</v>
      </c>
      <c r="C1640">
        <v>0</v>
      </c>
    </row>
    <row r="1641" spans="1:3" ht="15.75" x14ac:dyDescent="0.25">
      <c r="A1641">
        <v>432527</v>
      </c>
      <c r="B1641" t="s">
        <v>1099</v>
      </c>
      <c r="C1641">
        <v>0</v>
      </c>
    </row>
    <row r="1642" spans="1:3" ht="15.75" x14ac:dyDescent="0.25">
      <c r="A1642">
        <v>432528</v>
      </c>
      <c r="B1642" t="s">
        <v>1100</v>
      </c>
      <c r="C1642">
        <v>0</v>
      </c>
    </row>
    <row r="1643" spans="1:3" ht="15.75" x14ac:dyDescent="0.25">
      <c r="A1643">
        <v>432529</v>
      </c>
      <c r="B1643" t="s">
        <v>1101</v>
      </c>
      <c r="C1643">
        <v>0</v>
      </c>
    </row>
    <row r="1644" spans="1:3" ht="15.75" x14ac:dyDescent="0.25">
      <c r="A1644">
        <v>432530</v>
      </c>
      <c r="B1644" t="s">
        <v>1102</v>
      </c>
      <c r="C1644">
        <v>0</v>
      </c>
    </row>
    <row r="1645" spans="1:3" ht="15.75" x14ac:dyDescent="0.25">
      <c r="A1645">
        <v>4330</v>
      </c>
      <c r="B1645" t="s">
        <v>1103</v>
      </c>
      <c r="C1645">
        <f>SUM(C1646:C1650)</f>
        <v>0</v>
      </c>
    </row>
    <row r="1646" spans="1:3" ht="15.75" x14ac:dyDescent="0.25">
      <c r="A1646">
        <v>433010</v>
      </c>
      <c r="B1646" t="s">
        <v>1104</v>
      </c>
      <c r="C1646">
        <v>0</v>
      </c>
    </row>
    <row r="1647" spans="1:3" ht="15.75" x14ac:dyDescent="0.25">
      <c r="A1647">
        <v>433011</v>
      </c>
      <c r="B1647" t="s">
        <v>1105</v>
      </c>
      <c r="C1647">
        <v>0</v>
      </c>
    </row>
    <row r="1648" spans="1:3" ht="15.75" x14ac:dyDescent="0.25">
      <c r="A1648">
        <v>433014</v>
      </c>
      <c r="B1648" t="s">
        <v>1106</v>
      </c>
      <c r="C1648">
        <v>0</v>
      </c>
    </row>
    <row r="1649" spans="1:3" ht="15.75" x14ac:dyDescent="0.25">
      <c r="A1649">
        <v>433015</v>
      </c>
      <c r="B1649" t="s">
        <v>1107</v>
      </c>
      <c r="C1649">
        <v>0</v>
      </c>
    </row>
    <row r="1650" spans="1:3" ht="15.75" x14ac:dyDescent="0.25">
      <c r="A1650">
        <v>433090</v>
      </c>
      <c r="B1650" t="s">
        <v>1108</v>
      </c>
      <c r="C1650">
        <v>0</v>
      </c>
    </row>
    <row r="1651" spans="1:3" ht="15.75" x14ac:dyDescent="0.25">
      <c r="A1651">
        <v>4333</v>
      </c>
      <c r="B1651" t="s">
        <v>1109</v>
      </c>
      <c r="C1651">
        <f>SUM(C1652:C1658)</f>
        <v>0</v>
      </c>
    </row>
    <row r="1652" spans="1:3" ht="15.75" x14ac:dyDescent="0.25">
      <c r="A1652">
        <v>433301</v>
      </c>
      <c r="B1652" t="s">
        <v>1110</v>
      </c>
      <c r="C1652">
        <v>0</v>
      </c>
    </row>
    <row r="1653" spans="1:3" ht="15.75" x14ac:dyDescent="0.25">
      <c r="A1653">
        <v>433302</v>
      </c>
      <c r="B1653" t="s">
        <v>1111</v>
      </c>
      <c r="C1653">
        <v>0</v>
      </c>
    </row>
    <row r="1654" spans="1:3" ht="15.75" x14ac:dyDescent="0.25">
      <c r="A1654">
        <v>433304</v>
      </c>
      <c r="B1654" t="s">
        <v>1112</v>
      </c>
      <c r="C1654">
        <v>0</v>
      </c>
    </row>
    <row r="1655" spans="1:3" ht="15.75" x14ac:dyDescent="0.25">
      <c r="A1655">
        <v>433305</v>
      </c>
      <c r="B1655" t="s">
        <v>1113</v>
      </c>
      <c r="C1655">
        <v>0</v>
      </c>
    </row>
    <row r="1656" spans="1:3" ht="15.75" x14ac:dyDescent="0.25">
      <c r="A1656">
        <v>433306</v>
      </c>
      <c r="B1656" t="s">
        <v>1114</v>
      </c>
      <c r="C1656">
        <v>0</v>
      </c>
    </row>
    <row r="1657" spans="1:3" ht="15.75" x14ac:dyDescent="0.25">
      <c r="A1657">
        <v>433307</v>
      </c>
      <c r="B1657" t="s">
        <v>1115</v>
      </c>
      <c r="C1657">
        <v>0</v>
      </c>
    </row>
    <row r="1658" spans="1:3" ht="15.75" x14ac:dyDescent="0.25">
      <c r="A1658">
        <v>433390</v>
      </c>
      <c r="B1658" t="s">
        <v>1116</v>
      </c>
      <c r="C1658">
        <v>0</v>
      </c>
    </row>
    <row r="1659" spans="1:3" ht="15.75" x14ac:dyDescent="0.25">
      <c r="A1659">
        <v>4335</v>
      </c>
      <c r="B1659" t="s">
        <v>1117</v>
      </c>
      <c r="C1659">
        <f>SUM(C1660:C1667)</f>
        <v>0</v>
      </c>
    </row>
    <row r="1660" spans="1:3" ht="15.75" x14ac:dyDescent="0.25">
      <c r="A1660">
        <v>433545</v>
      </c>
      <c r="B1660" t="s">
        <v>1118</v>
      </c>
      <c r="C1660">
        <v>0</v>
      </c>
    </row>
    <row r="1661" spans="1:3" ht="15.75" x14ac:dyDescent="0.25">
      <c r="A1661">
        <v>433546</v>
      </c>
      <c r="B1661" t="s">
        <v>1119</v>
      </c>
      <c r="C1661">
        <v>0</v>
      </c>
    </row>
    <row r="1662" spans="1:3" ht="15.75" x14ac:dyDescent="0.25">
      <c r="A1662">
        <v>433547</v>
      </c>
      <c r="B1662" t="s">
        <v>1120</v>
      </c>
      <c r="C1662">
        <v>0</v>
      </c>
    </row>
    <row r="1663" spans="1:3" ht="15.75" x14ac:dyDescent="0.25">
      <c r="A1663">
        <v>433548</v>
      </c>
      <c r="B1663" t="s">
        <v>1121</v>
      </c>
      <c r="C1663">
        <v>0</v>
      </c>
    </row>
    <row r="1664" spans="1:3" ht="15.75" x14ac:dyDescent="0.25">
      <c r="A1664">
        <v>433549</v>
      </c>
      <c r="B1664" t="s">
        <v>1122</v>
      </c>
      <c r="C1664">
        <v>0</v>
      </c>
    </row>
    <row r="1665" spans="1:3" ht="15.75" x14ac:dyDescent="0.25">
      <c r="A1665">
        <v>433550</v>
      </c>
      <c r="B1665" t="s">
        <v>1123</v>
      </c>
      <c r="C1665">
        <v>0</v>
      </c>
    </row>
    <row r="1666" spans="1:3" ht="15.75" x14ac:dyDescent="0.25">
      <c r="A1666">
        <v>433552</v>
      </c>
      <c r="B1666" t="s">
        <v>1079</v>
      </c>
      <c r="C1666">
        <v>0</v>
      </c>
    </row>
    <row r="1667" spans="1:3" ht="15.75" x14ac:dyDescent="0.25">
      <c r="A1667">
        <v>433590</v>
      </c>
      <c r="B1667" t="s">
        <v>1124</v>
      </c>
      <c r="C1667">
        <v>0</v>
      </c>
    </row>
    <row r="1668" spans="1:3" ht="15.75" x14ac:dyDescent="0.25">
      <c r="A1668">
        <v>4340</v>
      </c>
      <c r="B1668" t="s">
        <v>1125</v>
      </c>
      <c r="C1668">
        <f>SUM(C1669:C1677)</f>
        <v>0</v>
      </c>
    </row>
    <row r="1669" spans="1:3" ht="15.75" x14ac:dyDescent="0.25">
      <c r="A1669">
        <v>434001</v>
      </c>
      <c r="B1669" t="s">
        <v>1126</v>
      </c>
      <c r="C1669">
        <v>0</v>
      </c>
    </row>
    <row r="1670" spans="1:3" ht="15.75" x14ac:dyDescent="0.25">
      <c r="A1670">
        <v>434002</v>
      </c>
      <c r="B1670" t="s">
        <v>786</v>
      </c>
      <c r="C1670">
        <v>0</v>
      </c>
    </row>
    <row r="1671" spans="1:3" ht="15.75" x14ac:dyDescent="0.25">
      <c r="A1671">
        <v>434003</v>
      </c>
      <c r="B1671" t="s">
        <v>1127</v>
      </c>
      <c r="C1671">
        <v>0</v>
      </c>
    </row>
    <row r="1672" spans="1:3" ht="15.75" x14ac:dyDescent="0.25">
      <c r="A1672">
        <v>434004</v>
      </c>
      <c r="B1672" t="s">
        <v>1128</v>
      </c>
      <c r="C1672">
        <v>0</v>
      </c>
    </row>
    <row r="1673" spans="1:3" ht="15.75" x14ac:dyDescent="0.25">
      <c r="A1673">
        <v>434005</v>
      </c>
      <c r="B1673" t="s">
        <v>1129</v>
      </c>
      <c r="C1673">
        <v>0</v>
      </c>
    </row>
    <row r="1674" spans="1:3" ht="15.75" x14ac:dyDescent="0.25">
      <c r="A1674">
        <v>434006</v>
      </c>
      <c r="B1674" t="s">
        <v>1130</v>
      </c>
      <c r="C1674">
        <v>0</v>
      </c>
    </row>
    <row r="1675" spans="1:3" ht="15.75" x14ac:dyDescent="0.25">
      <c r="A1675">
        <v>434007</v>
      </c>
      <c r="B1675" t="s">
        <v>1131</v>
      </c>
      <c r="C1675">
        <v>0</v>
      </c>
    </row>
    <row r="1676" spans="1:3" ht="15.75" x14ac:dyDescent="0.25">
      <c r="A1676">
        <v>434008</v>
      </c>
      <c r="B1676" t="s">
        <v>619</v>
      </c>
      <c r="C1676">
        <v>0</v>
      </c>
    </row>
    <row r="1677" spans="1:3" ht="15.75" x14ac:dyDescent="0.25">
      <c r="A1677">
        <v>434090</v>
      </c>
      <c r="B1677" t="s">
        <v>1132</v>
      </c>
      <c r="C1677">
        <v>0</v>
      </c>
    </row>
    <row r="1678" spans="1:3" ht="15.75" x14ac:dyDescent="0.25">
      <c r="A1678">
        <v>4345</v>
      </c>
      <c r="B1678" t="s">
        <v>1133</v>
      </c>
      <c r="C1678">
        <f>SUM(C1679:C1684)</f>
        <v>0</v>
      </c>
    </row>
    <row r="1679" spans="1:3" ht="15.75" x14ac:dyDescent="0.25">
      <c r="A1679">
        <v>434502</v>
      </c>
      <c r="B1679" t="s">
        <v>1134</v>
      </c>
      <c r="C1679">
        <v>0</v>
      </c>
    </row>
    <row r="1680" spans="1:3" ht="15.75" x14ac:dyDescent="0.25">
      <c r="A1680">
        <v>434503</v>
      </c>
      <c r="B1680" t="s">
        <v>1135</v>
      </c>
      <c r="C1680">
        <v>0</v>
      </c>
    </row>
    <row r="1681" spans="1:3" ht="15.75" x14ac:dyDescent="0.25">
      <c r="A1681">
        <v>434504</v>
      </c>
      <c r="B1681" t="s">
        <v>1136</v>
      </c>
      <c r="C1681">
        <v>0</v>
      </c>
    </row>
    <row r="1682" spans="1:3" ht="15.75" x14ac:dyDescent="0.25">
      <c r="A1682">
        <v>434505</v>
      </c>
      <c r="B1682" t="s">
        <v>1137</v>
      </c>
      <c r="C1682">
        <v>0</v>
      </c>
    </row>
    <row r="1683" spans="1:3" ht="15.75" x14ac:dyDescent="0.25">
      <c r="A1683">
        <v>434506</v>
      </c>
      <c r="B1683" t="s">
        <v>1138</v>
      </c>
      <c r="C1683">
        <v>0</v>
      </c>
    </row>
    <row r="1684" spans="1:3" ht="15.75" x14ac:dyDescent="0.25">
      <c r="A1684">
        <v>434590</v>
      </c>
      <c r="B1684" t="s">
        <v>1139</v>
      </c>
      <c r="C1684">
        <v>0</v>
      </c>
    </row>
    <row r="1685" spans="1:3" ht="15.75" x14ac:dyDescent="0.25">
      <c r="A1685">
        <v>4370</v>
      </c>
      <c r="B1685" t="s">
        <v>1140</v>
      </c>
      <c r="C1685">
        <f>SUM(C1686:C1689)</f>
        <v>0</v>
      </c>
    </row>
    <row r="1686" spans="1:3" ht="15.75" x14ac:dyDescent="0.25">
      <c r="A1686">
        <v>437001</v>
      </c>
      <c r="B1686" t="s">
        <v>1141</v>
      </c>
      <c r="C1686">
        <v>0</v>
      </c>
    </row>
    <row r="1687" spans="1:3" ht="15.75" x14ac:dyDescent="0.25">
      <c r="A1687">
        <v>437002</v>
      </c>
      <c r="B1687" t="s">
        <v>1142</v>
      </c>
      <c r="C1687">
        <v>0</v>
      </c>
    </row>
    <row r="1688" spans="1:3" ht="15.75" x14ac:dyDescent="0.25">
      <c r="A1688">
        <v>437003</v>
      </c>
      <c r="B1688" t="s">
        <v>1143</v>
      </c>
      <c r="C1688">
        <v>0</v>
      </c>
    </row>
    <row r="1689" spans="1:3" ht="15.75" x14ac:dyDescent="0.25">
      <c r="A1689">
        <v>437090</v>
      </c>
      <c r="B1689" t="s">
        <v>1144</v>
      </c>
      <c r="C1689">
        <v>0</v>
      </c>
    </row>
    <row r="1690" spans="1:3" ht="15.75" x14ac:dyDescent="0.25">
      <c r="A1690">
        <v>4390</v>
      </c>
      <c r="B1690" t="s">
        <v>1145</v>
      </c>
      <c r="C1690">
        <f>SUM(C1691:C1712)</f>
        <v>0</v>
      </c>
    </row>
    <row r="1691" spans="1:3" ht="15.75" x14ac:dyDescent="0.25">
      <c r="A1691">
        <v>439002</v>
      </c>
      <c r="B1691" t="s">
        <v>129</v>
      </c>
      <c r="C1691">
        <v>0</v>
      </c>
    </row>
    <row r="1692" spans="1:3" ht="15.75" x14ac:dyDescent="0.25">
      <c r="A1692">
        <v>439003</v>
      </c>
      <c r="B1692" t="s">
        <v>130</v>
      </c>
      <c r="C1692">
        <v>0</v>
      </c>
    </row>
    <row r="1693" spans="1:3" ht="15.75" x14ac:dyDescent="0.25">
      <c r="A1693">
        <v>439004</v>
      </c>
      <c r="B1693" t="s">
        <v>131</v>
      </c>
      <c r="C1693">
        <v>0</v>
      </c>
    </row>
    <row r="1694" spans="1:3" ht="15.75" x14ac:dyDescent="0.25">
      <c r="A1694">
        <v>439005</v>
      </c>
      <c r="B1694" t="s">
        <v>132</v>
      </c>
      <c r="C1694">
        <v>0</v>
      </c>
    </row>
    <row r="1695" spans="1:3" ht="15.75" x14ac:dyDescent="0.25">
      <c r="A1695">
        <v>439006</v>
      </c>
      <c r="B1695" t="s">
        <v>133</v>
      </c>
      <c r="C1695">
        <v>0</v>
      </c>
    </row>
    <row r="1696" spans="1:3" ht="15.75" x14ac:dyDescent="0.25">
      <c r="A1696">
        <v>439007</v>
      </c>
      <c r="B1696" t="s">
        <v>141</v>
      </c>
      <c r="C1696">
        <v>0</v>
      </c>
    </row>
    <row r="1697" spans="1:3" ht="15.75" x14ac:dyDescent="0.25">
      <c r="A1697">
        <v>439008</v>
      </c>
      <c r="B1697" t="s">
        <v>134</v>
      </c>
      <c r="C1697">
        <v>0</v>
      </c>
    </row>
    <row r="1698" spans="1:3" ht="15.75" x14ac:dyDescent="0.25">
      <c r="A1698">
        <v>439014</v>
      </c>
      <c r="B1698" t="s">
        <v>135</v>
      </c>
      <c r="C1698">
        <v>0</v>
      </c>
    </row>
    <row r="1699" spans="1:3" ht="15.75" x14ac:dyDescent="0.25">
      <c r="A1699">
        <v>439016</v>
      </c>
      <c r="B1699" t="s">
        <v>142</v>
      </c>
      <c r="C1699">
        <v>0</v>
      </c>
    </row>
    <row r="1700" spans="1:3" ht="15.75" x14ac:dyDescent="0.25">
      <c r="A1700">
        <v>439017</v>
      </c>
      <c r="B1700" t="s">
        <v>136</v>
      </c>
      <c r="C1700">
        <v>0</v>
      </c>
    </row>
    <row r="1701" spans="1:3" ht="15.75" x14ac:dyDescent="0.25">
      <c r="A1701">
        <v>439018</v>
      </c>
      <c r="B1701" t="s">
        <v>127</v>
      </c>
      <c r="C1701">
        <v>0</v>
      </c>
    </row>
    <row r="1702" spans="1:3" ht="15.75" x14ac:dyDescent="0.25">
      <c r="A1702">
        <v>439022</v>
      </c>
      <c r="B1702" t="s">
        <v>128</v>
      </c>
      <c r="C1702">
        <v>0</v>
      </c>
    </row>
    <row r="1703" spans="1:3" ht="15.75" x14ac:dyDescent="0.25">
      <c r="A1703">
        <v>439026</v>
      </c>
      <c r="B1703" t="s">
        <v>139</v>
      </c>
      <c r="C1703">
        <v>0</v>
      </c>
    </row>
    <row r="1704" spans="1:3" ht="15.75" x14ac:dyDescent="0.25">
      <c r="A1704">
        <v>439027</v>
      </c>
      <c r="B1704" t="s">
        <v>137</v>
      </c>
      <c r="C1704">
        <v>0</v>
      </c>
    </row>
    <row r="1705" spans="1:3" ht="15.75" x14ac:dyDescent="0.25">
      <c r="A1705">
        <v>439029</v>
      </c>
      <c r="B1705" t="s">
        <v>138</v>
      </c>
      <c r="C1705">
        <v>0</v>
      </c>
    </row>
    <row r="1706" spans="1:3" ht="15.75" x14ac:dyDescent="0.25">
      <c r="A1706">
        <v>439030</v>
      </c>
      <c r="B1706" t="s">
        <v>140</v>
      </c>
      <c r="C1706">
        <v>0</v>
      </c>
    </row>
    <row r="1707" spans="1:3" ht="15.75" x14ac:dyDescent="0.25">
      <c r="A1707">
        <v>439031</v>
      </c>
      <c r="B1707" t="s">
        <v>143</v>
      </c>
      <c r="C1707">
        <v>0</v>
      </c>
    </row>
    <row r="1708" spans="1:3" ht="15.75" x14ac:dyDescent="0.25">
      <c r="A1708">
        <v>439032</v>
      </c>
      <c r="B1708" t="s">
        <v>147</v>
      </c>
      <c r="C1708">
        <v>0</v>
      </c>
    </row>
    <row r="1709" spans="1:3" ht="15.75" x14ac:dyDescent="0.25">
      <c r="A1709">
        <v>439033</v>
      </c>
      <c r="B1709" t="s">
        <v>144</v>
      </c>
      <c r="C1709">
        <v>0</v>
      </c>
    </row>
    <row r="1710" spans="1:3" ht="15.75" x14ac:dyDescent="0.25">
      <c r="A1710">
        <v>439034</v>
      </c>
      <c r="B1710" t="s">
        <v>145</v>
      </c>
      <c r="C1710">
        <v>0</v>
      </c>
    </row>
    <row r="1711" spans="1:3" ht="15.75" x14ac:dyDescent="0.25">
      <c r="A1711">
        <v>439035</v>
      </c>
      <c r="B1711" t="s">
        <v>146</v>
      </c>
      <c r="C1711">
        <v>0</v>
      </c>
    </row>
    <row r="1712" spans="1:3" ht="15.75" x14ac:dyDescent="0.25">
      <c r="A1712">
        <v>439090</v>
      </c>
      <c r="B1712" t="s">
        <v>148</v>
      </c>
      <c r="C1712">
        <v>0</v>
      </c>
    </row>
    <row r="1713" spans="1:3" ht="15.75" x14ac:dyDescent="0.25">
      <c r="A1713">
        <v>4395</v>
      </c>
      <c r="B1713" t="s">
        <v>1146</v>
      </c>
      <c r="C1713">
        <f>SUM(C1714:C1726)</f>
        <v>0</v>
      </c>
    </row>
    <row r="1714" spans="1:3" ht="15.75" x14ac:dyDescent="0.25">
      <c r="A1714">
        <v>439503</v>
      </c>
      <c r="B1714" t="s">
        <v>150</v>
      </c>
      <c r="C1714">
        <v>0</v>
      </c>
    </row>
    <row r="1715" spans="1:3" ht="15.75" x14ac:dyDescent="0.25">
      <c r="A1715">
        <v>439505</v>
      </c>
      <c r="B1715" t="s">
        <v>154</v>
      </c>
      <c r="C1715">
        <v>0</v>
      </c>
    </row>
    <row r="1716" spans="1:3" ht="15.75" x14ac:dyDescent="0.25">
      <c r="A1716">
        <v>439506</v>
      </c>
      <c r="B1716" t="s">
        <v>121</v>
      </c>
      <c r="C1716">
        <v>0</v>
      </c>
    </row>
    <row r="1717" spans="1:3" ht="15.75" x14ac:dyDescent="0.25">
      <c r="A1717">
        <v>439507</v>
      </c>
      <c r="B1717" t="s">
        <v>155</v>
      </c>
      <c r="C1717">
        <v>0</v>
      </c>
    </row>
    <row r="1718" spans="1:3" ht="15.75" x14ac:dyDescent="0.25">
      <c r="A1718">
        <v>439508</v>
      </c>
      <c r="B1718" t="s">
        <v>122</v>
      </c>
      <c r="C1718">
        <v>0</v>
      </c>
    </row>
    <row r="1719" spans="1:3" ht="15.75" x14ac:dyDescent="0.25">
      <c r="A1719">
        <v>439509</v>
      </c>
      <c r="B1719" t="s">
        <v>123</v>
      </c>
      <c r="C1719">
        <v>0</v>
      </c>
    </row>
    <row r="1720" spans="1:3" ht="15.75" x14ac:dyDescent="0.25">
      <c r="A1720">
        <v>439512</v>
      </c>
      <c r="B1720" t="s">
        <v>1147</v>
      </c>
      <c r="C1720">
        <v>0</v>
      </c>
    </row>
    <row r="1721" spans="1:3" ht="15.75" x14ac:dyDescent="0.25">
      <c r="A1721">
        <v>439514</v>
      </c>
      <c r="B1721" t="s">
        <v>151</v>
      </c>
      <c r="C1721">
        <v>0</v>
      </c>
    </row>
    <row r="1722" spans="1:3" ht="15.75" x14ac:dyDescent="0.25">
      <c r="A1722">
        <v>439515</v>
      </c>
      <c r="B1722" t="s">
        <v>152</v>
      </c>
      <c r="C1722">
        <v>0</v>
      </c>
    </row>
    <row r="1723" spans="1:3" ht="15.75" x14ac:dyDescent="0.25">
      <c r="A1723">
        <v>439516</v>
      </c>
      <c r="B1723" t="s">
        <v>153</v>
      </c>
      <c r="C1723">
        <v>0</v>
      </c>
    </row>
    <row r="1724" spans="1:3" ht="15.75" x14ac:dyDescent="0.25">
      <c r="A1724">
        <v>439517</v>
      </c>
      <c r="B1724" t="s">
        <v>125</v>
      </c>
      <c r="C1724">
        <v>0</v>
      </c>
    </row>
    <row r="1725" spans="1:3" ht="15.75" x14ac:dyDescent="0.25">
      <c r="A1725">
        <v>439519</v>
      </c>
      <c r="B1725" t="s">
        <v>126</v>
      </c>
      <c r="C1725">
        <v>0</v>
      </c>
    </row>
    <row r="1726" spans="1:3" ht="15.75" x14ac:dyDescent="0.25">
      <c r="A1726">
        <v>439590</v>
      </c>
      <c r="B1726" t="s">
        <v>148</v>
      </c>
      <c r="C1726">
        <v>0</v>
      </c>
    </row>
    <row r="1727" spans="1:3" ht="15.75" x14ac:dyDescent="0.25">
      <c r="A1727">
        <v>44</v>
      </c>
      <c r="B1727" t="s">
        <v>1148</v>
      </c>
      <c r="C1727">
        <f>SUM(C1728)</f>
        <v>0</v>
      </c>
    </row>
    <row r="1728" spans="1:3" ht="15.75" x14ac:dyDescent="0.25">
      <c r="A1728">
        <v>4430</v>
      </c>
      <c r="B1728" t="s">
        <v>1149</v>
      </c>
      <c r="C1728">
        <f>SUM(C1729:C1736)</f>
        <v>0</v>
      </c>
    </row>
    <row r="1729" spans="1:3" ht="15.75" x14ac:dyDescent="0.25">
      <c r="A1729">
        <v>443001</v>
      </c>
      <c r="B1729" t="s">
        <v>1150</v>
      </c>
      <c r="C1729">
        <v>0</v>
      </c>
    </row>
    <row r="1730" spans="1:3" ht="15.75" x14ac:dyDescent="0.25">
      <c r="A1730">
        <v>443002</v>
      </c>
      <c r="B1730" t="s">
        <v>1151</v>
      </c>
      <c r="C1730">
        <v>0</v>
      </c>
    </row>
    <row r="1731" spans="1:3" ht="15.75" x14ac:dyDescent="0.25">
      <c r="A1731">
        <v>443003</v>
      </c>
      <c r="B1731" t="s">
        <v>1152</v>
      </c>
      <c r="C1731">
        <v>0</v>
      </c>
    </row>
    <row r="1732" spans="1:3" ht="15.75" x14ac:dyDescent="0.25">
      <c r="A1732">
        <v>443004</v>
      </c>
      <c r="B1732" t="s">
        <v>221</v>
      </c>
      <c r="C1732">
        <v>0</v>
      </c>
    </row>
    <row r="1733" spans="1:3" ht="15.75" x14ac:dyDescent="0.25">
      <c r="A1733">
        <v>443005</v>
      </c>
      <c r="B1733" t="s">
        <v>222</v>
      </c>
      <c r="C1733">
        <v>0</v>
      </c>
    </row>
    <row r="1734" spans="1:3" ht="15.75" x14ac:dyDescent="0.25">
      <c r="A1734">
        <v>443006</v>
      </c>
      <c r="B1734" t="s">
        <v>1153</v>
      </c>
      <c r="C1734">
        <v>0</v>
      </c>
    </row>
    <row r="1735" spans="1:3" ht="15.75" x14ac:dyDescent="0.25">
      <c r="A1735">
        <v>443007</v>
      </c>
      <c r="B1735" t="s">
        <v>1154</v>
      </c>
      <c r="C1735">
        <v>0</v>
      </c>
    </row>
    <row r="1736" spans="1:3" ht="15.75" x14ac:dyDescent="0.25">
      <c r="A1736">
        <v>443090</v>
      </c>
      <c r="B1736" t="s">
        <v>223</v>
      </c>
      <c r="C1736">
        <v>0</v>
      </c>
    </row>
    <row r="1737" spans="1:3" ht="15.75" x14ac:dyDescent="0.25">
      <c r="A1737">
        <v>48</v>
      </c>
      <c r="B1737" t="s">
        <v>1155</v>
      </c>
      <c r="C1737">
        <v>440034443</v>
      </c>
    </row>
    <row r="1738" spans="1:3" ht="15.75" x14ac:dyDescent="0.25">
      <c r="A1738">
        <v>4802</v>
      </c>
      <c r="B1738" t="s">
        <v>1156</v>
      </c>
      <c r="C1738">
        <v>378090</v>
      </c>
    </row>
    <row r="1739" spans="1:3" ht="15.75" x14ac:dyDescent="0.25">
      <c r="A1739">
        <v>480201</v>
      </c>
      <c r="B1739" t="s">
        <v>1157</v>
      </c>
      <c r="C1739">
        <v>378090</v>
      </c>
    </row>
    <row r="1740" spans="1:3" ht="15.75" x14ac:dyDescent="0.25">
      <c r="A1740">
        <v>480202</v>
      </c>
      <c r="B1740" t="s">
        <v>244</v>
      </c>
      <c r="C1740">
        <v>0</v>
      </c>
    </row>
    <row r="1741" spans="1:3" ht="15.75" x14ac:dyDescent="0.25">
      <c r="A1741">
        <v>480203</v>
      </c>
      <c r="B1741" t="s">
        <v>243</v>
      </c>
      <c r="C1741">
        <v>0</v>
      </c>
    </row>
    <row r="1742" spans="1:3" ht="15.75" x14ac:dyDescent="0.25">
      <c r="A1742">
        <v>480204</v>
      </c>
      <c r="B1742" t="s">
        <v>1158</v>
      </c>
      <c r="C1742">
        <v>0</v>
      </c>
    </row>
    <row r="1743" spans="1:3" ht="15.75" x14ac:dyDescent="0.25">
      <c r="A1743">
        <v>480205</v>
      </c>
      <c r="B1743" t="s">
        <v>1159</v>
      </c>
      <c r="C1743">
        <v>0</v>
      </c>
    </row>
    <row r="1744" spans="1:3" ht="15.75" x14ac:dyDescent="0.25">
      <c r="A1744">
        <v>480206</v>
      </c>
      <c r="B1744" t="s">
        <v>1160</v>
      </c>
      <c r="C1744">
        <v>0</v>
      </c>
    </row>
    <row r="1745" spans="1:3" ht="15.75" x14ac:dyDescent="0.25">
      <c r="A1745">
        <v>480207</v>
      </c>
      <c r="B1745" t="s">
        <v>1161</v>
      </c>
      <c r="C1745">
        <v>0</v>
      </c>
    </row>
    <row r="1746" spans="1:3" ht="15.75" x14ac:dyDescent="0.25">
      <c r="A1746">
        <v>480208</v>
      </c>
      <c r="B1746" t="s">
        <v>1162</v>
      </c>
      <c r="C1746">
        <v>0</v>
      </c>
    </row>
    <row r="1747" spans="1:3" ht="15.75" x14ac:dyDescent="0.25">
      <c r="A1747">
        <v>480209</v>
      </c>
      <c r="B1747" t="s">
        <v>1163</v>
      </c>
      <c r="C1747">
        <v>0</v>
      </c>
    </row>
    <row r="1748" spans="1:3" ht="15.75" x14ac:dyDescent="0.25">
      <c r="A1748">
        <v>480210</v>
      </c>
      <c r="B1748" t="s">
        <v>1164</v>
      </c>
      <c r="C1748">
        <v>0</v>
      </c>
    </row>
    <row r="1749" spans="1:3" ht="15.75" x14ac:dyDescent="0.25">
      <c r="A1749">
        <v>480211</v>
      </c>
      <c r="B1749" t="s">
        <v>1165</v>
      </c>
      <c r="C1749">
        <v>0</v>
      </c>
    </row>
    <row r="1750" spans="1:3" ht="15.75" x14ac:dyDescent="0.25">
      <c r="A1750">
        <v>480212</v>
      </c>
      <c r="B1750" t="s">
        <v>1166</v>
      </c>
      <c r="C1750">
        <v>0</v>
      </c>
    </row>
    <row r="1751" spans="1:3" ht="15.75" x14ac:dyDescent="0.25">
      <c r="A1751">
        <v>480213</v>
      </c>
      <c r="B1751" t="s">
        <v>1167</v>
      </c>
      <c r="C1751">
        <v>0</v>
      </c>
    </row>
    <row r="1752" spans="1:3" ht="15.75" x14ac:dyDescent="0.25">
      <c r="A1752">
        <v>480214</v>
      </c>
      <c r="B1752" t="s">
        <v>1168</v>
      </c>
      <c r="C1752">
        <v>0</v>
      </c>
    </row>
    <row r="1753" spans="1:3" ht="15.75" x14ac:dyDescent="0.25">
      <c r="A1753">
        <v>480215</v>
      </c>
      <c r="B1753" t="s">
        <v>1169</v>
      </c>
      <c r="C1753">
        <v>0</v>
      </c>
    </row>
    <row r="1754" spans="1:3" ht="15.75" x14ac:dyDescent="0.25">
      <c r="A1754">
        <v>480216</v>
      </c>
      <c r="B1754" t="s">
        <v>1170</v>
      </c>
      <c r="C1754">
        <v>0</v>
      </c>
    </row>
    <row r="1755" spans="1:3" ht="15.75" x14ac:dyDescent="0.25">
      <c r="A1755">
        <v>480217</v>
      </c>
      <c r="B1755" t="s">
        <v>1171</v>
      </c>
      <c r="C1755">
        <v>0</v>
      </c>
    </row>
    <row r="1756" spans="1:3" ht="15.75" x14ac:dyDescent="0.25">
      <c r="A1756">
        <v>480218</v>
      </c>
      <c r="B1756" t="s">
        <v>1172</v>
      </c>
      <c r="C1756">
        <v>0</v>
      </c>
    </row>
    <row r="1757" spans="1:3" ht="15.75" x14ac:dyDescent="0.25">
      <c r="A1757">
        <v>480219</v>
      </c>
      <c r="B1757" t="s">
        <v>1173</v>
      </c>
      <c r="C1757">
        <v>0</v>
      </c>
    </row>
    <row r="1758" spans="1:3" ht="15.75" x14ac:dyDescent="0.25">
      <c r="A1758">
        <v>480220</v>
      </c>
      <c r="B1758" t="s">
        <v>1174</v>
      </c>
      <c r="C1758">
        <v>0</v>
      </c>
    </row>
    <row r="1759" spans="1:3" ht="15.75" x14ac:dyDescent="0.25">
      <c r="A1759">
        <v>480221</v>
      </c>
      <c r="B1759" t="s">
        <v>1175</v>
      </c>
      <c r="C1759">
        <v>0</v>
      </c>
    </row>
    <row r="1760" spans="1:3" ht="15.75" x14ac:dyDescent="0.25">
      <c r="A1760">
        <v>480222</v>
      </c>
      <c r="B1760" t="s">
        <v>1176</v>
      </c>
      <c r="C1760">
        <v>0</v>
      </c>
    </row>
    <row r="1761" spans="1:3" ht="15.75" x14ac:dyDescent="0.25">
      <c r="A1761">
        <v>480223</v>
      </c>
      <c r="B1761" t="s">
        <v>230</v>
      </c>
      <c r="C1761">
        <v>0</v>
      </c>
    </row>
    <row r="1762" spans="1:3" ht="15.75" x14ac:dyDescent="0.25">
      <c r="A1762">
        <v>480226</v>
      </c>
      <c r="B1762" t="s">
        <v>1177</v>
      </c>
      <c r="C1762">
        <v>0</v>
      </c>
    </row>
    <row r="1763" spans="1:3" ht="15.75" x14ac:dyDescent="0.25">
      <c r="A1763">
        <v>480227</v>
      </c>
      <c r="B1763" t="s">
        <v>1178</v>
      </c>
      <c r="C1763">
        <v>0</v>
      </c>
    </row>
    <row r="1764" spans="1:3" ht="15.75" x14ac:dyDescent="0.25">
      <c r="A1764">
        <v>480229</v>
      </c>
      <c r="B1764" t="s">
        <v>1179</v>
      </c>
      <c r="C1764">
        <v>0</v>
      </c>
    </row>
    <row r="1765" spans="1:3" ht="15.75" x14ac:dyDescent="0.25">
      <c r="A1765">
        <v>480230</v>
      </c>
      <c r="B1765" t="s">
        <v>1180</v>
      </c>
      <c r="C1765">
        <v>0</v>
      </c>
    </row>
    <row r="1766" spans="1:3" ht="15.75" x14ac:dyDescent="0.25">
      <c r="A1766">
        <v>480231</v>
      </c>
      <c r="B1766" t="s">
        <v>1181</v>
      </c>
      <c r="C1766">
        <v>0</v>
      </c>
    </row>
    <row r="1767" spans="1:3" ht="15.75" x14ac:dyDescent="0.25">
      <c r="A1767">
        <v>480232</v>
      </c>
      <c r="B1767" t="s">
        <v>1182</v>
      </c>
      <c r="C1767">
        <v>0</v>
      </c>
    </row>
    <row r="1768" spans="1:3" ht="15.75" x14ac:dyDescent="0.25">
      <c r="A1768">
        <v>480233</v>
      </c>
      <c r="B1768" t="s">
        <v>251</v>
      </c>
      <c r="C1768">
        <v>0</v>
      </c>
    </row>
    <row r="1769" spans="1:3" ht="15.75" x14ac:dyDescent="0.25">
      <c r="A1769">
        <v>480236</v>
      </c>
      <c r="B1769" t="s">
        <v>1183</v>
      </c>
      <c r="C1769">
        <v>0</v>
      </c>
    </row>
    <row r="1770" spans="1:3" ht="15.75" x14ac:dyDescent="0.25">
      <c r="A1770">
        <v>480238</v>
      </c>
      <c r="B1770" t="s">
        <v>1184</v>
      </c>
      <c r="C1770">
        <v>0</v>
      </c>
    </row>
    <row r="1771" spans="1:3" ht="15.75" x14ac:dyDescent="0.25">
      <c r="A1771">
        <v>480239</v>
      </c>
      <c r="B1771" t="s">
        <v>91</v>
      </c>
      <c r="C1771">
        <v>0</v>
      </c>
    </row>
    <row r="1772" spans="1:3" ht="15.75" x14ac:dyDescent="0.25">
      <c r="A1772">
        <v>480241</v>
      </c>
      <c r="B1772" t="s">
        <v>1185</v>
      </c>
      <c r="C1772">
        <v>0</v>
      </c>
    </row>
    <row r="1773" spans="1:3" ht="15.75" x14ac:dyDescent="0.25">
      <c r="A1773">
        <v>480242</v>
      </c>
      <c r="B1773" t="s">
        <v>1186</v>
      </c>
      <c r="C1773">
        <v>0</v>
      </c>
    </row>
    <row r="1774" spans="1:3" ht="15.75" x14ac:dyDescent="0.25">
      <c r="A1774">
        <v>480243</v>
      </c>
      <c r="B1774" t="s">
        <v>1187</v>
      </c>
      <c r="C1774">
        <v>0</v>
      </c>
    </row>
    <row r="1775" spans="1:3" ht="15.75" x14ac:dyDescent="0.25">
      <c r="A1775">
        <v>480290</v>
      </c>
      <c r="B1775" t="s">
        <v>1188</v>
      </c>
      <c r="C1775">
        <v>0</v>
      </c>
    </row>
    <row r="1776" spans="1:3" ht="15.75" x14ac:dyDescent="0.25">
      <c r="A1776">
        <v>4806</v>
      </c>
      <c r="B1776" t="s">
        <v>1189</v>
      </c>
      <c r="C1776">
        <f>SUM(C1777:C1794)</f>
        <v>0</v>
      </c>
    </row>
    <row r="1777" spans="1:3" ht="15.75" x14ac:dyDescent="0.25">
      <c r="A1777">
        <v>480601</v>
      </c>
      <c r="B1777" t="s">
        <v>548</v>
      </c>
      <c r="C1777">
        <v>0</v>
      </c>
    </row>
    <row r="1778" spans="1:3" ht="15.75" x14ac:dyDescent="0.25">
      <c r="A1778">
        <v>480602</v>
      </c>
      <c r="B1778" t="s">
        <v>225</v>
      </c>
      <c r="C1778">
        <v>0</v>
      </c>
    </row>
    <row r="1779" spans="1:3" ht="15.75" x14ac:dyDescent="0.25">
      <c r="A1779">
        <v>480612</v>
      </c>
      <c r="B1779" t="s">
        <v>844</v>
      </c>
      <c r="C1779">
        <v>0</v>
      </c>
    </row>
    <row r="1780" spans="1:3" ht="15.75" x14ac:dyDescent="0.25">
      <c r="A1780">
        <v>480613</v>
      </c>
      <c r="B1780" t="s">
        <v>845</v>
      </c>
      <c r="C1780">
        <v>0</v>
      </c>
    </row>
    <row r="1781" spans="1:3" ht="15.75" x14ac:dyDescent="0.25">
      <c r="A1781">
        <v>480634</v>
      </c>
      <c r="B1781" t="s">
        <v>1190</v>
      </c>
      <c r="C1781">
        <v>0</v>
      </c>
    </row>
    <row r="1782" spans="1:3" ht="15.75" x14ac:dyDescent="0.25">
      <c r="A1782">
        <v>480636</v>
      </c>
      <c r="B1782" t="s">
        <v>550</v>
      </c>
      <c r="C1782">
        <v>0</v>
      </c>
    </row>
    <row r="1783" spans="1:3" ht="15.75" x14ac:dyDescent="0.25">
      <c r="A1783">
        <v>480637</v>
      </c>
      <c r="B1783" t="s">
        <v>1191</v>
      </c>
      <c r="C1783">
        <v>0</v>
      </c>
    </row>
    <row r="1784" spans="1:3" ht="15.75" x14ac:dyDescent="0.25">
      <c r="A1784">
        <v>480638</v>
      </c>
      <c r="B1784" t="s">
        <v>1192</v>
      </c>
      <c r="C1784">
        <v>0</v>
      </c>
    </row>
    <row r="1785" spans="1:3" ht="15.75" x14ac:dyDescent="0.25">
      <c r="A1785">
        <v>480639</v>
      </c>
      <c r="B1785" t="s">
        <v>1193</v>
      </c>
      <c r="C1785">
        <v>0</v>
      </c>
    </row>
    <row r="1786" spans="1:3" ht="15.75" x14ac:dyDescent="0.25">
      <c r="A1786">
        <v>480640</v>
      </c>
      <c r="B1786" t="s">
        <v>1194</v>
      </c>
      <c r="C1786">
        <v>0</v>
      </c>
    </row>
    <row r="1787" spans="1:3" ht="15.75" x14ac:dyDescent="0.25">
      <c r="A1787">
        <v>480642</v>
      </c>
      <c r="B1787" t="s">
        <v>1195</v>
      </c>
      <c r="C1787">
        <v>0</v>
      </c>
    </row>
    <row r="1788" spans="1:3" ht="15.75" x14ac:dyDescent="0.25">
      <c r="A1788">
        <v>480643</v>
      </c>
      <c r="B1788" t="s">
        <v>1196</v>
      </c>
      <c r="C1788">
        <v>0</v>
      </c>
    </row>
    <row r="1789" spans="1:3" ht="15.75" x14ac:dyDescent="0.25">
      <c r="A1789">
        <v>480644</v>
      </c>
      <c r="B1789" t="s">
        <v>1197</v>
      </c>
      <c r="C1789">
        <v>0</v>
      </c>
    </row>
    <row r="1790" spans="1:3" ht="15.75" x14ac:dyDescent="0.25">
      <c r="A1790">
        <v>480645</v>
      </c>
      <c r="B1790" t="s">
        <v>1198</v>
      </c>
      <c r="C1790">
        <v>0</v>
      </c>
    </row>
    <row r="1791" spans="1:3" ht="15.75" x14ac:dyDescent="0.25">
      <c r="A1791">
        <v>480646</v>
      </c>
      <c r="B1791" t="s">
        <v>286</v>
      </c>
      <c r="C1791">
        <v>0</v>
      </c>
    </row>
    <row r="1792" spans="1:3" ht="15.75" x14ac:dyDescent="0.25">
      <c r="A1792">
        <v>480647</v>
      </c>
      <c r="B1792" t="s">
        <v>643</v>
      </c>
      <c r="C1792">
        <v>0</v>
      </c>
    </row>
    <row r="1793" spans="1:3" ht="15.75" x14ac:dyDescent="0.25">
      <c r="A1793">
        <v>480650</v>
      </c>
      <c r="B1793" t="s">
        <v>549</v>
      </c>
      <c r="C1793">
        <v>0</v>
      </c>
    </row>
    <row r="1794" spans="1:3" ht="15.75" x14ac:dyDescent="0.25">
      <c r="A1794">
        <v>480690</v>
      </c>
      <c r="B1794" t="s">
        <v>1199</v>
      </c>
      <c r="C1794">
        <v>0</v>
      </c>
    </row>
    <row r="1795" spans="1:3" ht="15.75" x14ac:dyDescent="0.25">
      <c r="A1795">
        <v>4808</v>
      </c>
      <c r="B1795" t="s">
        <v>1200</v>
      </c>
      <c r="C1795">
        <v>439656353</v>
      </c>
    </row>
    <row r="1796" spans="1:3" ht="15.75" x14ac:dyDescent="0.25">
      <c r="A1796">
        <v>480801</v>
      </c>
      <c r="B1796" t="s">
        <v>1201</v>
      </c>
      <c r="C1796">
        <v>0</v>
      </c>
    </row>
    <row r="1797" spans="1:3" ht="15.75" x14ac:dyDescent="0.25">
      <c r="A1797">
        <v>480803</v>
      </c>
      <c r="B1797" t="s">
        <v>233</v>
      </c>
      <c r="C1797">
        <v>0</v>
      </c>
    </row>
    <row r="1798" spans="1:3" ht="15.75" x14ac:dyDescent="0.25">
      <c r="A1798">
        <v>480805</v>
      </c>
      <c r="B1798" t="s">
        <v>1202</v>
      </c>
      <c r="C1798">
        <v>0</v>
      </c>
    </row>
    <row r="1799" spans="1:3" ht="15.75" x14ac:dyDescent="0.25">
      <c r="A1799">
        <v>480806</v>
      </c>
      <c r="B1799" t="s">
        <v>1203</v>
      </c>
      <c r="C1799">
        <v>0</v>
      </c>
    </row>
    <row r="1800" spans="1:3" ht="15.75" x14ac:dyDescent="0.25">
      <c r="A1800">
        <v>480807</v>
      </c>
      <c r="B1800" t="s">
        <v>245</v>
      </c>
      <c r="C1800">
        <v>0</v>
      </c>
    </row>
    <row r="1801" spans="1:3" ht="15.75" x14ac:dyDescent="0.25">
      <c r="A1801">
        <v>480808</v>
      </c>
      <c r="B1801" t="s">
        <v>241</v>
      </c>
      <c r="C1801">
        <v>0</v>
      </c>
    </row>
    <row r="1802" spans="1:3" ht="15.75" x14ac:dyDescent="0.25">
      <c r="A1802">
        <v>480809</v>
      </c>
      <c r="B1802" t="s">
        <v>838</v>
      </c>
      <c r="C1802">
        <v>0</v>
      </c>
    </row>
    <row r="1803" spans="1:3" ht="15.75" x14ac:dyDescent="0.25">
      <c r="A1803">
        <v>480810</v>
      </c>
      <c r="B1803" t="s">
        <v>1204</v>
      </c>
      <c r="C1803">
        <v>0</v>
      </c>
    </row>
    <row r="1804" spans="1:3" ht="15.75" x14ac:dyDescent="0.25">
      <c r="A1804">
        <v>480813</v>
      </c>
      <c r="B1804" t="s">
        <v>230</v>
      </c>
      <c r="C1804">
        <v>0</v>
      </c>
    </row>
    <row r="1805" spans="1:3" ht="15.75" x14ac:dyDescent="0.25">
      <c r="A1805">
        <v>480815</v>
      </c>
      <c r="B1805" t="s">
        <v>1205</v>
      </c>
      <c r="C1805">
        <v>0</v>
      </c>
    </row>
    <row r="1806" spans="1:3" ht="15.75" x14ac:dyDescent="0.25">
      <c r="A1806">
        <v>480817</v>
      </c>
      <c r="B1806" t="s">
        <v>255</v>
      </c>
      <c r="C1806">
        <v>0</v>
      </c>
    </row>
    <row r="1807" spans="1:3" ht="15.75" x14ac:dyDescent="0.25">
      <c r="A1807">
        <v>480818</v>
      </c>
      <c r="B1807" t="s">
        <v>231</v>
      </c>
      <c r="C1807">
        <v>0</v>
      </c>
    </row>
    <row r="1808" spans="1:3" ht="15.75" x14ac:dyDescent="0.25">
      <c r="A1808">
        <v>480820</v>
      </c>
      <c r="B1808" t="s">
        <v>228</v>
      </c>
      <c r="C1808">
        <v>0</v>
      </c>
    </row>
    <row r="1809" spans="1:3" ht="15.75" x14ac:dyDescent="0.25">
      <c r="A1809">
        <v>480822</v>
      </c>
      <c r="B1809" t="s">
        <v>246</v>
      </c>
      <c r="C1809">
        <v>0</v>
      </c>
    </row>
    <row r="1810" spans="1:3" ht="15.75" x14ac:dyDescent="0.25">
      <c r="A1810">
        <v>480823</v>
      </c>
      <c r="B1810" t="s">
        <v>1206</v>
      </c>
      <c r="C1810">
        <v>0</v>
      </c>
    </row>
    <row r="1811" spans="1:3" ht="15.75" x14ac:dyDescent="0.25">
      <c r="A1811">
        <v>480824</v>
      </c>
      <c r="B1811" t="s">
        <v>1207</v>
      </c>
      <c r="C1811">
        <v>0</v>
      </c>
    </row>
    <row r="1812" spans="1:3" ht="15.75" x14ac:dyDescent="0.25">
      <c r="A1812">
        <v>480825</v>
      </c>
      <c r="B1812" t="s">
        <v>1208</v>
      </c>
      <c r="C1812">
        <v>0</v>
      </c>
    </row>
    <row r="1813" spans="1:3" ht="15.75" x14ac:dyDescent="0.25">
      <c r="A1813">
        <v>480826</v>
      </c>
      <c r="B1813" t="s">
        <v>1209</v>
      </c>
      <c r="C1813">
        <v>0</v>
      </c>
    </row>
    <row r="1814" spans="1:3" ht="15.75" x14ac:dyDescent="0.25">
      <c r="A1814">
        <v>480827</v>
      </c>
      <c r="B1814" t="s">
        <v>1210</v>
      </c>
      <c r="C1814">
        <v>0</v>
      </c>
    </row>
    <row r="1815" spans="1:3" ht="15.75" x14ac:dyDescent="0.25">
      <c r="A1815">
        <v>480828</v>
      </c>
      <c r="B1815" t="s">
        <v>242</v>
      </c>
      <c r="C1815">
        <v>0</v>
      </c>
    </row>
    <row r="1816" spans="1:3" ht="15.75" x14ac:dyDescent="0.25">
      <c r="A1816">
        <v>480829</v>
      </c>
      <c r="B1816" t="s">
        <v>250</v>
      </c>
      <c r="C1816">
        <v>0</v>
      </c>
    </row>
    <row r="1817" spans="1:3" ht="15.75" x14ac:dyDescent="0.25">
      <c r="A1817">
        <v>480832</v>
      </c>
      <c r="B1817" t="s">
        <v>1211</v>
      </c>
      <c r="C1817">
        <v>0</v>
      </c>
    </row>
    <row r="1818" spans="1:3" ht="15.75" x14ac:dyDescent="0.25">
      <c r="A1818">
        <v>480833</v>
      </c>
      <c r="B1818" t="s">
        <v>1212</v>
      </c>
      <c r="C1818">
        <v>0</v>
      </c>
    </row>
    <row r="1819" spans="1:3" ht="15.75" x14ac:dyDescent="0.25">
      <c r="A1819">
        <v>480834</v>
      </c>
      <c r="B1819" t="s">
        <v>1213</v>
      </c>
      <c r="C1819">
        <v>0</v>
      </c>
    </row>
    <row r="1820" spans="1:3" ht="15.75" x14ac:dyDescent="0.25">
      <c r="A1820">
        <v>480835</v>
      </c>
      <c r="B1820" t="s">
        <v>124</v>
      </c>
      <c r="C1820">
        <v>0</v>
      </c>
    </row>
    <row r="1821" spans="1:3" ht="15.75" x14ac:dyDescent="0.25">
      <c r="A1821">
        <v>480836</v>
      </c>
      <c r="B1821" t="s">
        <v>1214</v>
      </c>
      <c r="C1821">
        <v>0</v>
      </c>
    </row>
    <row r="1822" spans="1:3" ht="15.75" x14ac:dyDescent="0.25">
      <c r="A1822">
        <v>480837</v>
      </c>
      <c r="B1822" t="s">
        <v>1215</v>
      </c>
      <c r="C1822">
        <v>0</v>
      </c>
    </row>
    <row r="1823" spans="1:3" ht="15.75" x14ac:dyDescent="0.25">
      <c r="A1823">
        <v>480838</v>
      </c>
      <c r="B1823" t="s">
        <v>253</v>
      </c>
      <c r="C1823">
        <v>0</v>
      </c>
    </row>
    <row r="1824" spans="1:3" ht="15.75" x14ac:dyDescent="0.25">
      <c r="A1824">
        <v>480839</v>
      </c>
      <c r="B1824" t="s">
        <v>254</v>
      </c>
      <c r="C1824">
        <v>0</v>
      </c>
    </row>
    <row r="1825" spans="1:3" ht="15.75" x14ac:dyDescent="0.25">
      <c r="A1825">
        <v>480840</v>
      </c>
      <c r="B1825" t="s">
        <v>1216</v>
      </c>
      <c r="C1825">
        <v>0</v>
      </c>
    </row>
    <row r="1826" spans="1:3" ht="15.75" x14ac:dyDescent="0.25">
      <c r="A1826">
        <v>480849</v>
      </c>
      <c r="B1826" t="s">
        <v>1217</v>
      </c>
      <c r="C1826">
        <v>0</v>
      </c>
    </row>
    <row r="1827" spans="1:3" ht="15.75" x14ac:dyDescent="0.25">
      <c r="A1827">
        <v>480851</v>
      </c>
      <c r="B1827" t="s">
        <v>1218</v>
      </c>
      <c r="C1827">
        <v>0</v>
      </c>
    </row>
    <row r="1828" spans="1:3" ht="15.75" x14ac:dyDescent="0.25">
      <c r="A1828">
        <v>480852</v>
      </c>
      <c r="B1828" t="s">
        <v>1219</v>
      </c>
      <c r="C1828">
        <v>0</v>
      </c>
    </row>
    <row r="1829" spans="1:3" ht="15.75" x14ac:dyDescent="0.25">
      <c r="A1829">
        <v>480853</v>
      </c>
      <c r="B1829" t="s">
        <v>655</v>
      </c>
      <c r="C1829">
        <v>0</v>
      </c>
    </row>
    <row r="1830" spans="1:3" ht="15.75" x14ac:dyDescent="0.25">
      <c r="A1830">
        <v>480854</v>
      </c>
      <c r="B1830" t="s">
        <v>656</v>
      </c>
      <c r="C1830">
        <v>0</v>
      </c>
    </row>
    <row r="1831" spans="1:3" ht="15.75" x14ac:dyDescent="0.25">
      <c r="A1831">
        <v>480890</v>
      </c>
      <c r="B1831" t="s">
        <v>1220</v>
      </c>
      <c r="C1831">
        <v>439656353</v>
      </c>
    </row>
    <row r="1832" spans="1:3" ht="15.75" x14ac:dyDescent="0.25">
      <c r="A1832">
        <v>4811</v>
      </c>
      <c r="B1832" t="s">
        <v>1221</v>
      </c>
      <c r="C1832">
        <f>SUM(C1833:C1837)</f>
        <v>0</v>
      </c>
    </row>
    <row r="1833" spans="1:3" ht="15.75" x14ac:dyDescent="0.25">
      <c r="A1833">
        <v>481101</v>
      </c>
      <c r="B1833" t="s">
        <v>36</v>
      </c>
      <c r="C1833">
        <v>0</v>
      </c>
    </row>
    <row r="1834" spans="1:3" ht="15.75" x14ac:dyDescent="0.25">
      <c r="A1834">
        <v>481102</v>
      </c>
      <c r="B1834" t="s">
        <v>37</v>
      </c>
      <c r="C1834">
        <v>0</v>
      </c>
    </row>
    <row r="1835" spans="1:3" ht="15.75" x14ac:dyDescent="0.25">
      <c r="A1835">
        <v>481103</v>
      </c>
      <c r="B1835" t="s">
        <v>33</v>
      </c>
      <c r="C1835">
        <v>0</v>
      </c>
    </row>
    <row r="1836" spans="1:3" ht="15.75" x14ac:dyDescent="0.25">
      <c r="A1836">
        <v>481104</v>
      </c>
      <c r="B1836" t="s">
        <v>34</v>
      </c>
      <c r="C1836">
        <v>0</v>
      </c>
    </row>
    <row r="1837" spans="1:3" ht="15.75" x14ac:dyDescent="0.25">
      <c r="A1837">
        <v>481105</v>
      </c>
      <c r="B1837" t="s">
        <v>35</v>
      </c>
      <c r="C1837">
        <v>0</v>
      </c>
    </row>
    <row r="1838" spans="1:3" ht="15.75" x14ac:dyDescent="0.25">
      <c r="A1838">
        <v>4812</v>
      </c>
      <c r="B1838" t="s">
        <v>1222</v>
      </c>
      <c r="C1838">
        <f>SUM(C1839:C1843)</f>
        <v>0</v>
      </c>
    </row>
    <row r="1839" spans="1:3" ht="15.75" x14ac:dyDescent="0.25">
      <c r="A1839">
        <v>481201</v>
      </c>
      <c r="B1839" t="s">
        <v>36</v>
      </c>
      <c r="C1839">
        <v>0</v>
      </c>
    </row>
    <row r="1840" spans="1:3" ht="15.75" x14ac:dyDescent="0.25">
      <c r="A1840">
        <v>481202</v>
      </c>
      <c r="B1840" t="s">
        <v>37</v>
      </c>
      <c r="C1840">
        <v>0</v>
      </c>
    </row>
    <row r="1841" spans="1:3" ht="15.75" x14ac:dyDescent="0.25">
      <c r="A1841">
        <v>481203</v>
      </c>
      <c r="B1841" t="s">
        <v>33</v>
      </c>
      <c r="C1841">
        <v>0</v>
      </c>
    </row>
    <row r="1842" spans="1:3" ht="15.75" x14ac:dyDescent="0.25">
      <c r="A1842">
        <v>481204</v>
      </c>
      <c r="B1842" t="s">
        <v>34</v>
      </c>
      <c r="C1842">
        <v>0</v>
      </c>
    </row>
    <row r="1843" spans="1:3" ht="15.75" x14ac:dyDescent="0.25">
      <c r="A1843">
        <v>481205</v>
      </c>
      <c r="B1843" t="s">
        <v>35</v>
      </c>
      <c r="C1843">
        <v>0</v>
      </c>
    </row>
    <row r="1844" spans="1:3" ht="15.75" x14ac:dyDescent="0.25">
      <c r="A1844">
        <v>4813</v>
      </c>
      <c r="B1844" t="s">
        <v>1223</v>
      </c>
      <c r="C1844">
        <f>SUM(C1845:C1849)</f>
        <v>0</v>
      </c>
    </row>
    <row r="1845" spans="1:3" ht="15.75" x14ac:dyDescent="0.25">
      <c r="A1845">
        <v>481301</v>
      </c>
      <c r="B1845" t="s">
        <v>36</v>
      </c>
      <c r="C1845">
        <v>0</v>
      </c>
    </row>
    <row r="1846" spans="1:3" ht="15.75" x14ac:dyDescent="0.25">
      <c r="A1846">
        <v>481302</v>
      </c>
      <c r="B1846" t="s">
        <v>37</v>
      </c>
      <c r="C1846">
        <v>0</v>
      </c>
    </row>
    <row r="1847" spans="1:3" ht="15.75" x14ac:dyDescent="0.25">
      <c r="A1847">
        <v>481303</v>
      </c>
      <c r="B1847" t="s">
        <v>33</v>
      </c>
      <c r="C1847">
        <v>0</v>
      </c>
    </row>
    <row r="1848" spans="1:3" ht="15.75" x14ac:dyDescent="0.25">
      <c r="A1848">
        <v>481304</v>
      </c>
      <c r="B1848" t="s">
        <v>34</v>
      </c>
      <c r="C1848">
        <v>0</v>
      </c>
    </row>
    <row r="1849" spans="1:3" ht="15.75" x14ac:dyDescent="0.25">
      <c r="A1849">
        <v>481305</v>
      </c>
      <c r="B1849" t="s">
        <v>35</v>
      </c>
      <c r="C1849">
        <v>0</v>
      </c>
    </row>
    <row r="1850" spans="1:3" ht="15.75" x14ac:dyDescent="0.25">
      <c r="A1850">
        <v>4819</v>
      </c>
      <c r="B1850" t="s">
        <v>1224</v>
      </c>
      <c r="C1850">
        <f>SUM(C1851:C1852)</f>
        <v>0</v>
      </c>
    </row>
    <row r="1851" spans="1:3" ht="15.75" x14ac:dyDescent="0.25">
      <c r="A1851">
        <v>481901</v>
      </c>
      <c r="B1851" t="s">
        <v>1225</v>
      </c>
      <c r="C1851">
        <v>0</v>
      </c>
    </row>
    <row r="1852" spans="1:3" ht="15.75" x14ac:dyDescent="0.25">
      <c r="A1852">
        <v>481902</v>
      </c>
      <c r="B1852" t="s">
        <v>1226</v>
      </c>
      <c r="C1852">
        <v>0</v>
      </c>
    </row>
    <row r="1853" spans="1:3" ht="15.75" x14ac:dyDescent="0.25">
      <c r="A1853">
        <v>4823</v>
      </c>
      <c r="B1853" t="s">
        <v>1227</v>
      </c>
      <c r="C1853">
        <f>SUM(C1854:C1857)</f>
        <v>0</v>
      </c>
    </row>
    <row r="1854" spans="1:3" ht="15.75" x14ac:dyDescent="0.25">
      <c r="A1854">
        <v>482301</v>
      </c>
      <c r="B1854" t="s">
        <v>627</v>
      </c>
      <c r="C1854">
        <v>0</v>
      </c>
    </row>
    <row r="1855" spans="1:3" ht="15.75" x14ac:dyDescent="0.25">
      <c r="A1855">
        <v>482302</v>
      </c>
      <c r="B1855" t="s">
        <v>628</v>
      </c>
      <c r="C1855">
        <v>0</v>
      </c>
    </row>
    <row r="1856" spans="1:3" ht="15.75" x14ac:dyDescent="0.25">
      <c r="A1856">
        <v>482303</v>
      </c>
      <c r="B1856" t="s">
        <v>629</v>
      </c>
      <c r="C1856">
        <v>0</v>
      </c>
    </row>
    <row r="1857" spans="1:3" ht="15.75" x14ac:dyDescent="0.25">
      <c r="A1857">
        <v>482304</v>
      </c>
      <c r="B1857" t="s">
        <v>630</v>
      </c>
      <c r="C1857">
        <v>0</v>
      </c>
    </row>
    <row r="1858" spans="1:3" ht="15.75" x14ac:dyDescent="0.25">
      <c r="A1858">
        <v>4825</v>
      </c>
      <c r="B1858" t="s">
        <v>1228</v>
      </c>
      <c r="C1858">
        <f>SUM(C1859:C1876)</f>
        <v>0</v>
      </c>
    </row>
    <row r="1859" spans="1:3" ht="15.75" x14ac:dyDescent="0.25">
      <c r="A1859">
        <v>482501</v>
      </c>
      <c r="B1859" t="s">
        <v>548</v>
      </c>
      <c r="C1859">
        <v>0</v>
      </c>
    </row>
    <row r="1860" spans="1:3" ht="15.75" x14ac:dyDescent="0.25">
      <c r="A1860">
        <v>482502</v>
      </c>
      <c r="B1860" t="s">
        <v>636</v>
      </c>
      <c r="C1860">
        <v>0</v>
      </c>
    </row>
    <row r="1861" spans="1:3" ht="15.75" x14ac:dyDescent="0.25">
      <c r="A1861">
        <v>482503</v>
      </c>
      <c r="B1861" t="s">
        <v>225</v>
      </c>
      <c r="C1861">
        <v>0</v>
      </c>
    </row>
    <row r="1862" spans="1:3" ht="15.75" x14ac:dyDescent="0.25">
      <c r="A1862">
        <v>482504</v>
      </c>
      <c r="B1862" t="s">
        <v>286</v>
      </c>
      <c r="C1862">
        <v>0</v>
      </c>
    </row>
    <row r="1863" spans="1:3" ht="15.75" x14ac:dyDescent="0.25">
      <c r="A1863">
        <v>482505</v>
      </c>
      <c r="B1863" t="s">
        <v>637</v>
      </c>
      <c r="C1863">
        <v>0</v>
      </c>
    </row>
    <row r="1864" spans="1:3" ht="15.75" x14ac:dyDescent="0.25">
      <c r="A1864">
        <v>482506</v>
      </c>
      <c r="B1864" t="s">
        <v>552</v>
      </c>
      <c r="C1864">
        <v>0</v>
      </c>
    </row>
    <row r="1865" spans="1:3" ht="15.75" x14ac:dyDescent="0.25">
      <c r="A1865">
        <v>482507</v>
      </c>
      <c r="B1865" t="s">
        <v>638</v>
      </c>
      <c r="C1865">
        <v>0</v>
      </c>
    </row>
    <row r="1866" spans="1:3" ht="15.75" x14ac:dyDescent="0.25">
      <c r="A1866">
        <v>482508</v>
      </c>
      <c r="B1866" t="s">
        <v>553</v>
      </c>
      <c r="C1866">
        <v>0</v>
      </c>
    </row>
    <row r="1867" spans="1:3" ht="15.75" x14ac:dyDescent="0.25">
      <c r="A1867">
        <v>482509</v>
      </c>
      <c r="B1867" t="s">
        <v>639</v>
      </c>
      <c r="C1867">
        <v>0</v>
      </c>
    </row>
    <row r="1868" spans="1:3" ht="15.75" x14ac:dyDescent="0.25">
      <c r="A1868">
        <v>482510</v>
      </c>
      <c r="B1868" t="s">
        <v>554</v>
      </c>
      <c r="C1868">
        <v>0</v>
      </c>
    </row>
    <row r="1869" spans="1:3" ht="15.75" x14ac:dyDescent="0.25">
      <c r="A1869">
        <v>482511</v>
      </c>
      <c r="B1869" t="s">
        <v>640</v>
      </c>
      <c r="C1869">
        <v>0</v>
      </c>
    </row>
    <row r="1870" spans="1:3" ht="15.75" x14ac:dyDescent="0.25">
      <c r="A1870">
        <v>482512</v>
      </c>
      <c r="B1870" t="s">
        <v>641</v>
      </c>
      <c r="C1870">
        <v>0</v>
      </c>
    </row>
    <row r="1871" spans="1:3" ht="15.75" x14ac:dyDescent="0.25">
      <c r="A1871">
        <v>482513</v>
      </c>
      <c r="B1871" t="s">
        <v>642</v>
      </c>
      <c r="C1871">
        <v>0</v>
      </c>
    </row>
    <row r="1872" spans="1:3" ht="15.75" x14ac:dyDescent="0.25">
      <c r="A1872">
        <v>482514</v>
      </c>
      <c r="B1872" t="s">
        <v>643</v>
      </c>
      <c r="C1872">
        <v>0</v>
      </c>
    </row>
    <row r="1873" spans="1:3" ht="15.75" x14ac:dyDescent="0.25">
      <c r="A1873">
        <v>482515</v>
      </c>
      <c r="B1873" t="s">
        <v>644</v>
      </c>
      <c r="C1873">
        <v>0</v>
      </c>
    </row>
    <row r="1874" spans="1:3" ht="15.75" x14ac:dyDescent="0.25">
      <c r="A1874">
        <v>482516</v>
      </c>
      <c r="B1874" t="s">
        <v>645</v>
      </c>
      <c r="C1874">
        <v>0</v>
      </c>
    </row>
    <row r="1875" spans="1:3" ht="15.75" x14ac:dyDescent="0.25">
      <c r="A1875">
        <v>482517</v>
      </c>
      <c r="B1875" t="s">
        <v>646</v>
      </c>
      <c r="C1875">
        <v>0</v>
      </c>
    </row>
    <row r="1876" spans="1:3" ht="15.75" x14ac:dyDescent="0.25">
      <c r="A1876">
        <v>482518</v>
      </c>
      <c r="B1876" t="s">
        <v>647</v>
      </c>
      <c r="C1876">
        <v>0</v>
      </c>
    </row>
    <row r="1877" spans="1:3" ht="15.75" x14ac:dyDescent="0.25">
      <c r="A1877">
        <v>4830</v>
      </c>
      <c r="B1877" t="s">
        <v>1229</v>
      </c>
      <c r="C1877">
        <f>SUM(C1878:C1886)</f>
        <v>0</v>
      </c>
    </row>
    <row r="1878" spans="1:3" ht="15.75" x14ac:dyDescent="0.25">
      <c r="A1878">
        <v>483001</v>
      </c>
      <c r="B1878" t="s">
        <v>550</v>
      </c>
      <c r="C1878">
        <v>0</v>
      </c>
    </row>
    <row r="1879" spans="1:3" ht="15.75" x14ac:dyDescent="0.25">
      <c r="A1879">
        <v>483002</v>
      </c>
      <c r="B1879" t="s">
        <v>225</v>
      </c>
      <c r="C1879">
        <v>0</v>
      </c>
    </row>
    <row r="1880" spans="1:3" ht="15.75" x14ac:dyDescent="0.25">
      <c r="A1880">
        <v>483003</v>
      </c>
      <c r="B1880" t="s">
        <v>1230</v>
      </c>
      <c r="C1880">
        <v>0</v>
      </c>
    </row>
    <row r="1881" spans="1:3" ht="15.75" x14ac:dyDescent="0.25">
      <c r="A1881">
        <v>483004</v>
      </c>
      <c r="B1881" t="s">
        <v>286</v>
      </c>
      <c r="C1881">
        <v>0</v>
      </c>
    </row>
    <row r="1882" spans="1:3" ht="15.75" x14ac:dyDescent="0.25">
      <c r="A1882">
        <v>483005</v>
      </c>
      <c r="B1882" t="s">
        <v>637</v>
      </c>
      <c r="C1882">
        <v>0</v>
      </c>
    </row>
    <row r="1883" spans="1:3" ht="15.75" x14ac:dyDescent="0.25">
      <c r="A1883">
        <v>483006</v>
      </c>
      <c r="B1883" t="s">
        <v>552</v>
      </c>
      <c r="C1883">
        <v>0</v>
      </c>
    </row>
    <row r="1884" spans="1:3" ht="15.75" x14ac:dyDescent="0.25">
      <c r="A1884">
        <v>483010</v>
      </c>
      <c r="B1884" t="s">
        <v>553</v>
      </c>
      <c r="C1884">
        <v>0</v>
      </c>
    </row>
    <row r="1885" spans="1:3" ht="15.75" x14ac:dyDescent="0.25">
      <c r="A1885">
        <v>483012</v>
      </c>
      <c r="B1885" t="s">
        <v>638</v>
      </c>
      <c r="C1885">
        <v>0</v>
      </c>
    </row>
    <row r="1886" spans="1:3" ht="15.75" x14ac:dyDescent="0.25">
      <c r="A1886">
        <v>483014</v>
      </c>
      <c r="B1886" t="s">
        <v>1231</v>
      </c>
      <c r="C1886">
        <v>0</v>
      </c>
    </row>
    <row r="1887" spans="1:3" ht="15.75" x14ac:dyDescent="0.25">
      <c r="A1887">
        <v>5</v>
      </c>
      <c r="B1887" t="s">
        <v>1232</v>
      </c>
      <c r="C1887">
        <v>255648584</v>
      </c>
    </row>
    <row r="1888" spans="1:3" ht="15.75" x14ac:dyDescent="0.25">
      <c r="A1888">
        <v>51</v>
      </c>
      <c r="B1888" t="s">
        <v>1233</v>
      </c>
      <c r="C1888">
        <v>230053627</v>
      </c>
    </row>
    <row r="1889" spans="1:3" ht="15.75" x14ac:dyDescent="0.25">
      <c r="A1889">
        <v>5101</v>
      </c>
      <c r="B1889" t="s">
        <v>1234</v>
      </c>
      <c r="C1889">
        <v>67098636</v>
      </c>
    </row>
    <row r="1890" spans="1:3" ht="15.75" x14ac:dyDescent="0.25">
      <c r="A1890">
        <v>510101</v>
      </c>
      <c r="B1890" t="s">
        <v>1235</v>
      </c>
      <c r="C1890">
        <v>62490988</v>
      </c>
    </row>
    <row r="1891" spans="1:3" ht="15.75" x14ac:dyDescent="0.25">
      <c r="A1891">
        <v>510102</v>
      </c>
      <c r="B1891" t="s">
        <v>1236</v>
      </c>
      <c r="C1891">
        <v>0</v>
      </c>
    </row>
    <row r="1892" spans="1:3" ht="15.75" x14ac:dyDescent="0.25">
      <c r="A1892">
        <v>510103</v>
      </c>
      <c r="B1892" t="s">
        <v>1237</v>
      </c>
      <c r="C1892">
        <v>0</v>
      </c>
    </row>
    <row r="1893" spans="1:3" ht="15.75" x14ac:dyDescent="0.25">
      <c r="A1893">
        <v>510105</v>
      </c>
      <c r="B1893" t="s">
        <v>826</v>
      </c>
      <c r="C1893">
        <v>0</v>
      </c>
    </row>
    <row r="1894" spans="1:3" ht="15.75" x14ac:dyDescent="0.25">
      <c r="A1894">
        <v>510108</v>
      </c>
      <c r="B1894" t="s">
        <v>1238</v>
      </c>
      <c r="C1894">
        <v>0</v>
      </c>
    </row>
    <row r="1895" spans="1:3" ht="15.75" x14ac:dyDescent="0.25">
      <c r="A1895">
        <v>510119</v>
      </c>
      <c r="B1895" t="s">
        <v>859</v>
      </c>
      <c r="C1895">
        <v>0</v>
      </c>
    </row>
    <row r="1896" spans="1:3" ht="15.75" x14ac:dyDescent="0.25">
      <c r="A1896">
        <v>510123</v>
      </c>
      <c r="B1896" t="s">
        <v>1239</v>
      </c>
      <c r="C1896">
        <v>2812148</v>
      </c>
    </row>
    <row r="1897" spans="1:3" ht="15.75" x14ac:dyDescent="0.25">
      <c r="A1897">
        <v>510145</v>
      </c>
      <c r="B1897" t="s">
        <v>1240</v>
      </c>
      <c r="C1897">
        <v>0</v>
      </c>
    </row>
    <row r="1898" spans="1:3" ht="15.75" x14ac:dyDescent="0.25">
      <c r="A1898">
        <v>510151</v>
      </c>
      <c r="B1898" t="s">
        <v>1241</v>
      </c>
      <c r="C1898">
        <v>0</v>
      </c>
    </row>
    <row r="1899" spans="1:3" ht="15.75" x14ac:dyDescent="0.25">
      <c r="A1899">
        <v>510159</v>
      </c>
      <c r="B1899" t="s">
        <v>1242</v>
      </c>
      <c r="C1899">
        <v>0</v>
      </c>
    </row>
    <row r="1900" spans="1:3" ht="15.75" x14ac:dyDescent="0.25">
      <c r="A1900">
        <v>510160</v>
      </c>
      <c r="B1900" t="s">
        <v>1243</v>
      </c>
      <c r="C1900">
        <v>1795500</v>
      </c>
    </row>
    <row r="1901" spans="1:3" ht="15.75" x14ac:dyDescent="0.25">
      <c r="A1901">
        <v>510163</v>
      </c>
      <c r="B1901" t="s">
        <v>1244</v>
      </c>
      <c r="C1901">
        <v>0</v>
      </c>
    </row>
    <row r="1902" spans="1:3" ht="15.75" x14ac:dyDescent="0.25">
      <c r="A1902">
        <v>5102</v>
      </c>
      <c r="B1902" t="s">
        <v>1245</v>
      </c>
      <c r="C1902">
        <f>SUM(C1903:C1911)</f>
        <v>0</v>
      </c>
    </row>
    <row r="1903" spans="1:3" ht="15.75" x14ac:dyDescent="0.25">
      <c r="A1903">
        <v>510201</v>
      </c>
      <c r="B1903" t="s">
        <v>215</v>
      </c>
      <c r="C1903">
        <v>0</v>
      </c>
    </row>
    <row r="1904" spans="1:3" ht="15.75" x14ac:dyDescent="0.25">
      <c r="A1904">
        <v>510202</v>
      </c>
      <c r="B1904" t="s">
        <v>1246</v>
      </c>
      <c r="C1904">
        <v>0</v>
      </c>
    </row>
    <row r="1905" spans="1:3" ht="15.75" x14ac:dyDescent="0.25">
      <c r="A1905">
        <v>510203</v>
      </c>
      <c r="B1905" t="s">
        <v>242</v>
      </c>
      <c r="C1905">
        <v>0</v>
      </c>
    </row>
    <row r="1906" spans="1:3" ht="15.75" x14ac:dyDescent="0.25">
      <c r="A1906">
        <v>510204</v>
      </c>
      <c r="B1906" t="s">
        <v>1247</v>
      </c>
      <c r="C1906">
        <v>0</v>
      </c>
    </row>
    <row r="1907" spans="1:3" ht="15.75" x14ac:dyDescent="0.25">
      <c r="A1907">
        <v>510215</v>
      </c>
      <c r="B1907" t="s">
        <v>1248</v>
      </c>
      <c r="C1907">
        <v>0</v>
      </c>
    </row>
    <row r="1908" spans="1:3" ht="15.75" x14ac:dyDescent="0.25">
      <c r="A1908">
        <v>510216</v>
      </c>
      <c r="B1908" t="s">
        <v>619</v>
      </c>
      <c r="C1908">
        <v>0</v>
      </c>
    </row>
    <row r="1909" spans="1:3" ht="15.75" x14ac:dyDescent="0.25">
      <c r="A1909">
        <v>510217</v>
      </c>
      <c r="B1909" t="s">
        <v>893</v>
      </c>
      <c r="C1909">
        <v>0</v>
      </c>
    </row>
    <row r="1910" spans="1:3" ht="15.75" x14ac:dyDescent="0.25">
      <c r="A1910">
        <v>510218</v>
      </c>
      <c r="B1910" t="s">
        <v>874</v>
      </c>
      <c r="C1910">
        <v>0</v>
      </c>
    </row>
    <row r="1911" spans="1:3" ht="15.75" x14ac:dyDescent="0.25">
      <c r="A1911">
        <v>510290</v>
      </c>
      <c r="B1911" t="s">
        <v>1249</v>
      </c>
      <c r="C1911">
        <v>0</v>
      </c>
    </row>
    <row r="1912" spans="1:3" ht="15.75" x14ac:dyDescent="0.25">
      <c r="A1912">
        <v>5103</v>
      </c>
      <c r="B1912" t="s">
        <v>1250</v>
      </c>
      <c r="C1912">
        <v>25420300</v>
      </c>
    </row>
    <row r="1913" spans="1:3" ht="15.75" x14ac:dyDescent="0.25">
      <c r="A1913">
        <v>510301</v>
      </c>
      <c r="B1913" t="s">
        <v>1251</v>
      </c>
      <c r="C1913">
        <v>0</v>
      </c>
    </row>
    <row r="1914" spans="1:3" ht="15.75" x14ac:dyDescent="0.25">
      <c r="A1914">
        <v>510302</v>
      </c>
      <c r="B1914" t="s">
        <v>872</v>
      </c>
      <c r="C1914">
        <v>3038100</v>
      </c>
    </row>
    <row r="1915" spans="1:3" ht="15.75" x14ac:dyDescent="0.25">
      <c r="A1915">
        <v>510303</v>
      </c>
      <c r="B1915" t="s">
        <v>1252</v>
      </c>
      <c r="C1915">
        <v>9550400</v>
      </c>
    </row>
    <row r="1916" spans="1:3" ht="15.75" x14ac:dyDescent="0.25">
      <c r="A1916">
        <v>510304</v>
      </c>
      <c r="B1916" t="s">
        <v>1253</v>
      </c>
      <c r="C1916">
        <v>0</v>
      </c>
    </row>
    <row r="1917" spans="1:3" ht="15.75" x14ac:dyDescent="0.25">
      <c r="A1917">
        <v>510305</v>
      </c>
      <c r="B1917" t="s">
        <v>1254</v>
      </c>
      <c r="C1917">
        <v>683800</v>
      </c>
    </row>
    <row r="1918" spans="1:3" ht="15.75" x14ac:dyDescent="0.25">
      <c r="A1918">
        <v>510306</v>
      </c>
      <c r="B1918" t="s">
        <v>1255</v>
      </c>
      <c r="C1918">
        <v>12148000</v>
      </c>
    </row>
    <row r="1919" spans="1:3" ht="15.75" x14ac:dyDescent="0.25">
      <c r="A1919">
        <v>510307</v>
      </c>
      <c r="B1919" t="s">
        <v>1256</v>
      </c>
      <c r="C1919">
        <v>0</v>
      </c>
    </row>
    <row r="1920" spans="1:3" ht="15.75" x14ac:dyDescent="0.25">
      <c r="A1920">
        <v>510308</v>
      </c>
      <c r="B1920" t="s">
        <v>873</v>
      </c>
      <c r="C1920">
        <v>0</v>
      </c>
    </row>
    <row r="1921" spans="1:3" ht="15.75" x14ac:dyDescent="0.25">
      <c r="A1921">
        <v>510390</v>
      </c>
      <c r="B1921" t="s">
        <v>1257</v>
      </c>
      <c r="C1921">
        <v>0</v>
      </c>
    </row>
    <row r="1922" spans="1:3" ht="15.75" x14ac:dyDescent="0.25">
      <c r="A1922">
        <v>5104</v>
      </c>
      <c r="B1922" t="s">
        <v>1258</v>
      </c>
      <c r="C1922">
        <v>3737900</v>
      </c>
    </row>
    <row r="1923" spans="1:3" ht="15.75" x14ac:dyDescent="0.25">
      <c r="A1923">
        <v>510401</v>
      </c>
      <c r="B1923" t="s">
        <v>1259</v>
      </c>
      <c r="C1923">
        <v>2278800</v>
      </c>
    </row>
    <row r="1924" spans="1:3" ht="15.75" x14ac:dyDescent="0.25">
      <c r="A1924">
        <v>510402</v>
      </c>
      <c r="B1924" t="s">
        <v>1260</v>
      </c>
      <c r="C1924">
        <v>1459100</v>
      </c>
    </row>
    <row r="1925" spans="1:3" ht="15.75" x14ac:dyDescent="0.25">
      <c r="A1925">
        <v>510403</v>
      </c>
      <c r="B1925" t="s">
        <v>1261</v>
      </c>
      <c r="C1925">
        <v>0</v>
      </c>
    </row>
    <row r="1926" spans="1:3" ht="15.75" x14ac:dyDescent="0.25">
      <c r="A1926">
        <v>510404</v>
      </c>
      <c r="B1926" t="s">
        <v>1262</v>
      </c>
      <c r="C1926">
        <v>0</v>
      </c>
    </row>
    <row r="1927" spans="1:3" ht="15.75" x14ac:dyDescent="0.25">
      <c r="A1927">
        <v>5107</v>
      </c>
      <c r="B1927" t="s">
        <v>1263</v>
      </c>
      <c r="C1927">
        <v>29026660</v>
      </c>
    </row>
    <row r="1928" spans="1:3" ht="15.75" x14ac:dyDescent="0.25">
      <c r="A1928">
        <v>510701</v>
      </c>
      <c r="B1928" t="s">
        <v>855</v>
      </c>
      <c r="C1928">
        <v>0</v>
      </c>
    </row>
    <row r="1929" spans="1:3" ht="15.75" x14ac:dyDescent="0.25">
      <c r="A1929">
        <v>510702</v>
      </c>
      <c r="B1929" t="s">
        <v>853</v>
      </c>
      <c r="C1929">
        <v>9210727</v>
      </c>
    </row>
    <row r="1930" spans="1:3" ht="15.75" x14ac:dyDescent="0.25">
      <c r="A1930">
        <v>510703</v>
      </c>
      <c r="B1930" t="s">
        <v>1264</v>
      </c>
      <c r="C1930">
        <v>0</v>
      </c>
    </row>
    <row r="1931" spans="1:3" ht="15.75" x14ac:dyDescent="0.25">
      <c r="A1931">
        <v>510704</v>
      </c>
      <c r="B1931" t="s">
        <v>856</v>
      </c>
      <c r="C1931">
        <v>2948203</v>
      </c>
    </row>
    <row r="1932" spans="1:3" ht="15.75" x14ac:dyDescent="0.25">
      <c r="A1932">
        <v>510705</v>
      </c>
      <c r="B1932" t="s">
        <v>858</v>
      </c>
      <c r="C1932">
        <v>6266683</v>
      </c>
    </row>
    <row r="1933" spans="1:3" ht="15.75" x14ac:dyDescent="0.25">
      <c r="A1933">
        <v>510706</v>
      </c>
      <c r="B1933" t="s">
        <v>857</v>
      </c>
      <c r="C1933">
        <v>2700273</v>
      </c>
    </row>
    <row r="1934" spans="1:3" ht="15.75" x14ac:dyDescent="0.25">
      <c r="A1934">
        <v>510708</v>
      </c>
      <c r="B1934" t="s">
        <v>878</v>
      </c>
      <c r="C1934">
        <v>0</v>
      </c>
    </row>
    <row r="1935" spans="1:3" ht="15.75" x14ac:dyDescent="0.25">
      <c r="A1935">
        <v>510790</v>
      </c>
      <c r="B1935" t="s">
        <v>860</v>
      </c>
      <c r="C1935">
        <v>7900773</v>
      </c>
    </row>
    <row r="1936" spans="1:3" ht="15.75" x14ac:dyDescent="0.25">
      <c r="A1936">
        <v>510795</v>
      </c>
      <c r="B1936" t="s">
        <v>1265</v>
      </c>
      <c r="C1936">
        <v>0</v>
      </c>
    </row>
    <row r="1937" spans="1:3" ht="15.75" x14ac:dyDescent="0.25">
      <c r="A1937">
        <v>5108</v>
      </c>
      <c r="B1937" t="s">
        <v>1266</v>
      </c>
      <c r="C1937">
        <v>68030000</v>
      </c>
    </row>
    <row r="1938" spans="1:3" ht="15.75" x14ac:dyDescent="0.25">
      <c r="A1938">
        <v>510801</v>
      </c>
      <c r="B1938" t="s">
        <v>863</v>
      </c>
      <c r="C1938">
        <v>0</v>
      </c>
    </row>
    <row r="1939" spans="1:3" ht="15.75" x14ac:dyDescent="0.25">
      <c r="A1939">
        <v>510802</v>
      </c>
      <c r="B1939" t="s">
        <v>241</v>
      </c>
      <c r="C1939">
        <v>0</v>
      </c>
    </row>
    <row r="1940" spans="1:3" ht="15.75" x14ac:dyDescent="0.25">
      <c r="A1940">
        <v>510803</v>
      </c>
      <c r="B1940" t="s">
        <v>864</v>
      </c>
      <c r="C1940">
        <v>0</v>
      </c>
    </row>
    <row r="1941" spans="1:3" ht="15.75" x14ac:dyDescent="0.25">
      <c r="A1941">
        <v>510804</v>
      </c>
      <c r="B1941" t="s">
        <v>865</v>
      </c>
      <c r="C1941">
        <v>0</v>
      </c>
    </row>
    <row r="1942" spans="1:3" ht="15.75" x14ac:dyDescent="0.25">
      <c r="A1942">
        <v>510805</v>
      </c>
      <c r="B1942" t="s">
        <v>866</v>
      </c>
      <c r="C1942">
        <v>0</v>
      </c>
    </row>
    <row r="1943" spans="1:3" ht="15.75" x14ac:dyDescent="0.25">
      <c r="A1943">
        <v>510806</v>
      </c>
      <c r="B1943" t="s">
        <v>867</v>
      </c>
      <c r="C1943">
        <v>68030000</v>
      </c>
    </row>
    <row r="1944" spans="1:3" ht="15.75" x14ac:dyDescent="0.25">
      <c r="A1944">
        <v>510807</v>
      </c>
      <c r="B1944" t="s">
        <v>868</v>
      </c>
      <c r="C1944">
        <v>0</v>
      </c>
    </row>
    <row r="1945" spans="1:3" ht="15.75" x14ac:dyDescent="0.25">
      <c r="A1945">
        <v>510808</v>
      </c>
      <c r="B1945" t="s">
        <v>869</v>
      </c>
      <c r="C1945">
        <v>0</v>
      </c>
    </row>
    <row r="1946" spans="1:3" ht="15.75" x14ac:dyDescent="0.25">
      <c r="A1946">
        <v>510810</v>
      </c>
      <c r="B1946" t="s">
        <v>1267</v>
      </c>
      <c r="C1946">
        <v>0</v>
      </c>
    </row>
    <row r="1947" spans="1:3" ht="15.75" x14ac:dyDescent="0.25">
      <c r="A1947">
        <v>510811</v>
      </c>
      <c r="B1947" t="s">
        <v>1268</v>
      </c>
      <c r="C1947">
        <v>0</v>
      </c>
    </row>
    <row r="1948" spans="1:3" ht="15.75" x14ac:dyDescent="0.25">
      <c r="A1948">
        <v>510812</v>
      </c>
      <c r="B1948" t="s">
        <v>1215</v>
      </c>
      <c r="C1948">
        <v>0</v>
      </c>
    </row>
    <row r="1949" spans="1:3" ht="15.75" x14ac:dyDescent="0.25">
      <c r="A1949">
        <v>510813</v>
      </c>
      <c r="B1949" t="s">
        <v>1269</v>
      </c>
      <c r="C1949">
        <v>0</v>
      </c>
    </row>
    <row r="1950" spans="1:3" ht="15.75" x14ac:dyDescent="0.25">
      <c r="A1950">
        <v>510890</v>
      </c>
      <c r="B1950" t="s">
        <v>1270</v>
      </c>
      <c r="C1950">
        <v>0</v>
      </c>
    </row>
    <row r="1951" spans="1:3" ht="15.75" x14ac:dyDescent="0.25">
      <c r="A1951">
        <v>5111</v>
      </c>
      <c r="B1951" t="s">
        <v>1271</v>
      </c>
      <c r="C1951">
        <v>36740131</v>
      </c>
    </row>
    <row r="1952" spans="1:3" ht="15.75" x14ac:dyDescent="0.25">
      <c r="A1952">
        <v>511101</v>
      </c>
      <c r="B1952" t="s">
        <v>1272</v>
      </c>
      <c r="C1952">
        <v>0</v>
      </c>
    </row>
    <row r="1953" spans="1:3" ht="15.75" x14ac:dyDescent="0.25">
      <c r="A1953">
        <v>511102</v>
      </c>
      <c r="B1953" t="s">
        <v>1273</v>
      </c>
      <c r="C1953">
        <v>0</v>
      </c>
    </row>
    <row r="1954" spans="1:3" ht="15.75" x14ac:dyDescent="0.25">
      <c r="A1954">
        <v>511103</v>
      </c>
      <c r="B1954" t="s">
        <v>1274</v>
      </c>
      <c r="C1954">
        <v>0</v>
      </c>
    </row>
    <row r="1955" spans="1:3" ht="15.75" x14ac:dyDescent="0.25">
      <c r="A1955">
        <v>511104</v>
      </c>
      <c r="B1955" t="s">
        <v>1275</v>
      </c>
      <c r="C1955">
        <v>0</v>
      </c>
    </row>
    <row r="1956" spans="1:3" ht="15.75" x14ac:dyDescent="0.25">
      <c r="A1956">
        <v>511105</v>
      </c>
      <c r="B1956" t="s">
        <v>1276</v>
      </c>
      <c r="C1956">
        <v>0</v>
      </c>
    </row>
    <row r="1957" spans="1:3" ht="15.75" x14ac:dyDescent="0.25">
      <c r="A1957">
        <v>511106</v>
      </c>
      <c r="B1957" t="s">
        <v>569</v>
      </c>
      <c r="C1957">
        <v>0</v>
      </c>
    </row>
    <row r="1958" spans="1:3" ht="15.75" x14ac:dyDescent="0.25">
      <c r="A1958">
        <v>511109</v>
      </c>
      <c r="B1958" t="s">
        <v>1277</v>
      </c>
      <c r="C1958">
        <v>0</v>
      </c>
    </row>
    <row r="1959" spans="1:3" ht="15.75" x14ac:dyDescent="0.25">
      <c r="A1959">
        <v>511110</v>
      </c>
      <c r="B1959" t="s">
        <v>1278</v>
      </c>
      <c r="C1959">
        <v>0</v>
      </c>
    </row>
    <row r="1960" spans="1:3" ht="15.75" x14ac:dyDescent="0.25">
      <c r="A1960">
        <v>511112</v>
      </c>
      <c r="B1960" t="s">
        <v>1279</v>
      </c>
      <c r="C1960">
        <v>0</v>
      </c>
    </row>
    <row r="1961" spans="1:3" ht="15.75" x14ac:dyDescent="0.25">
      <c r="A1961">
        <v>511113</v>
      </c>
      <c r="B1961" t="s">
        <v>1280</v>
      </c>
      <c r="C1961">
        <v>0</v>
      </c>
    </row>
    <row r="1962" spans="1:3" ht="15.75" x14ac:dyDescent="0.25">
      <c r="A1962">
        <v>511114</v>
      </c>
      <c r="B1962" t="s">
        <v>364</v>
      </c>
      <c r="C1962">
        <v>11600900</v>
      </c>
    </row>
    <row r="1963" spans="1:3" ht="15.75" x14ac:dyDescent="0.25">
      <c r="A1963">
        <v>511115</v>
      </c>
      <c r="B1963" t="s">
        <v>564</v>
      </c>
      <c r="C1963">
        <v>2000000</v>
      </c>
    </row>
    <row r="1964" spans="1:3" ht="15.75" x14ac:dyDescent="0.25">
      <c r="A1964">
        <v>511116</v>
      </c>
      <c r="B1964" t="s">
        <v>1281</v>
      </c>
      <c r="C1964">
        <v>0</v>
      </c>
    </row>
    <row r="1965" spans="1:3" ht="15.75" x14ac:dyDescent="0.25">
      <c r="A1965">
        <v>511117</v>
      </c>
      <c r="B1965" t="s">
        <v>837</v>
      </c>
      <c r="C1965">
        <v>744700</v>
      </c>
    </row>
    <row r="1966" spans="1:3" ht="15.75" x14ac:dyDescent="0.25">
      <c r="A1966">
        <v>511118</v>
      </c>
      <c r="B1966" t="s">
        <v>255</v>
      </c>
      <c r="C1966">
        <v>0</v>
      </c>
    </row>
    <row r="1967" spans="1:3" ht="15.75" x14ac:dyDescent="0.25">
      <c r="A1967">
        <v>511119</v>
      </c>
      <c r="B1967" t="s">
        <v>822</v>
      </c>
      <c r="C1967">
        <v>199950</v>
      </c>
    </row>
    <row r="1968" spans="1:3" ht="15.75" x14ac:dyDescent="0.25">
      <c r="A1968">
        <v>511120</v>
      </c>
      <c r="B1968" t="s">
        <v>141</v>
      </c>
      <c r="C1968">
        <v>0</v>
      </c>
    </row>
    <row r="1969" spans="1:3" ht="15.75" x14ac:dyDescent="0.25">
      <c r="A1969">
        <v>511121</v>
      </c>
      <c r="B1969" t="s">
        <v>563</v>
      </c>
      <c r="C1969">
        <v>2020000</v>
      </c>
    </row>
    <row r="1970" spans="1:3" ht="15.75" x14ac:dyDescent="0.25">
      <c r="A1970">
        <v>511122</v>
      </c>
      <c r="B1970" t="s">
        <v>1205</v>
      </c>
      <c r="C1970">
        <v>0</v>
      </c>
    </row>
    <row r="1971" spans="1:3" ht="15.75" x14ac:dyDescent="0.25">
      <c r="A1971">
        <v>511123</v>
      </c>
      <c r="B1971" t="s">
        <v>1282</v>
      </c>
      <c r="C1971">
        <v>350000</v>
      </c>
    </row>
    <row r="1972" spans="1:3" ht="15.75" x14ac:dyDescent="0.25">
      <c r="A1972">
        <v>511125</v>
      </c>
      <c r="B1972" t="s">
        <v>1283</v>
      </c>
      <c r="C1972">
        <v>0</v>
      </c>
    </row>
    <row r="1973" spans="1:3" ht="15.75" x14ac:dyDescent="0.25">
      <c r="A1973">
        <v>511127</v>
      </c>
      <c r="B1973" t="s">
        <v>1284</v>
      </c>
      <c r="C1973">
        <v>0</v>
      </c>
    </row>
    <row r="1974" spans="1:3" ht="15.75" x14ac:dyDescent="0.25">
      <c r="A1974">
        <v>511132</v>
      </c>
      <c r="B1974" t="s">
        <v>1285</v>
      </c>
      <c r="C1974">
        <v>0</v>
      </c>
    </row>
    <row r="1975" spans="1:3" ht="15.75" x14ac:dyDescent="0.25">
      <c r="A1975">
        <v>511133</v>
      </c>
      <c r="B1975" t="s">
        <v>1286</v>
      </c>
      <c r="C1975">
        <v>0</v>
      </c>
    </row>
    <row r="1976" spans="1:3" ht="15.75" x14ac:dyDescent="0.25">
      <c r="A1976">
        <v>511134</v>
      </c>
      <c r="B1976" t="s">
        <v>1287</v>
      </c>
      <c r="C1976">
        <v>0</v>
      </c>
    </row>
    <row r="1977" spans="1:3" ht="15.75" x14ac:dyDescent="0.25">
      <c r="A1977">
        <v>511139</v>
      </c>
      <c r="B1977" t="s">
        <v>1288</v>
      </c>
      <c r="C1977">
        <v>0</v>
      </c>
    </row>
    <row r="1978" spans="1:3" ht="15.75" x14ac:dyDescent="0.25">
      <c r="A1978">
        <v>511140</v>
      </c>
      <c r="B1978" t="s">
        <v>1289</v>
      </c>
      <c r="C1978">
        <v>0</v>
      </c>
    </row>
    <row r="1979" spans="1:3" ht="15.75" x14ac:dyDescent="0.25">
      <c r="A1979">
        <v>511141</v>
      </c>
      <c r="B1979" t="s">
        <v>1290</v>
      </c>
      <c r="C1979">
        <v>0</v>
      </c>
    </row>
    <row r="1980" spans="1:3" ht="15.75" x14ac:dyDescent="0.25">
      <c r="A1980">
        <v>511142</v>
      </c>
      <c r="B1980" t="s">
        <v>1291</v>
      </c>
      <c r="C1980">
        <v>0</v>
      </c>
    </row>
    <row r="1981" spans="1:3" ht="15.75" x14ac:dyDescent="0.25">
      <c r="A1981">
        <v>511146</v>
      </c>
      <c r="B1981" t="s">
        <v>344</v>
      </c>
      <c r="C1981">
        <v>2000000</v>
      </c>
    </row>
    <row r="1982" spans="1:3" ht="15.75" x14ac:dyDescent="0.25">
      <c r="A1982">
        <v>511147</v>
      </c>
      <c r="B1982" t="s">
        <v>1292</v>
      </c>
      <c r="C1982">
        <v>0</v>
      </c>
    </row>
    <row r="1983" spans="1:3" ht="15.75" x14ac:dyDescent="0.25">
      <c r="A1983">
        <v>511149</v>
      </c>
      <c r="B1983" t="s">
        <v>1293</v>
      </c>
      <c r="C1983">
        <v>0</v>
      </c>
    </row>
    <row r="1984" spans="1:3" ht="15.75" x14ac:dyDescent="0.25">
      <c r="A1984">
        <v>511150</v>
      </c>
      <c r="B1984" t="s">
        <v>1294</v>
      </c>
      <c r="C1984">
        <v>0</v>
      </c>
    </row>
    <row r="1985" spans="1:3" ht="15.75" x14ac:dyDescent="0.25">
      <c r="A1985">
        <v>511151</v>
      </c>
      <c r="B1985" t="s">
        <v>1295</v>
      </c>
      <c r="C1985">
        <v>0</v>
      </c>
    </row>
    <row r="1986" spans="1:3" ht="15.75" x14ac:dyDescent="0.25">
      <c r="A1986">
        <v>511152</v>
      </c>
      <c r="B1986" t="s">
        <v>1296</v>
      </c>
      <c r="C1986">
        <v>0</v>
      </c>
    </row>
    <row r="1987" spans="1:3" ht="15.75" x14ac:dyDescent="0.25">
      <c r="A1987">
        <v>511154</v>
      </c>
      <c r="B1987" t="s">
        <v>128</v>
      </c>
      <c r="C1987">
        <v>0</v>
      </c>
    </row>
    <row r="1988" spans="1:3" ht="15.75" x14ac:dyDescent="0.25">
      <c r="A1988">
        <v>511155</v>
      </c>
      <c r="B1988" t="s">
        <v>1297</v>
      </c>
      <c r="C1988">
        <v>0</v>
      </c>
    </row>
    <row r="1989" spans="1:3" ht="15.75" x14ac:dyDescent="0.25">
      <c r="A1989">
        <v>511156</v>
      </c>
      <c r="B1989" t="s">
        <v>565</v>
      </c>
      <c r="C1989">
        <v>0</v>
      </c>
    </row>
    <row r="1990" spans="1:3" ht="15.75" x14ac:dyDescent="0.25">
      <c r="A1990">
        <v>511157</v>
      </c>
      <c r="B1990" t="s">
        <v>1298</v>
      </c>
      <c r="C1990">
        <v>0</v>
      </c>
    </row>
    <row r="1991" spans="1:3" ht="15.75" x14ac:dyDescent="0.25">
      <c r="A1991">
        <v>511158</v>
      </c>
      <c r="B1991" t="s">
        <v>1299</v>
      </c>
      <c r="C1991">
        <v>0</v>
      </c>
    </row>
    <row r="1992" spans="1:3" ht="15.75" x14ac:dyDescent="0.25">
      <c r="A1992">
        <v>511159</v>
      </c>
      <c r="B1992" t="s">
        <v>619</v>
      </c>
      <c r="C1992">
        <v>0</v>
      </c>
    </row>
    <row r="1993" spans="1:3" ht="15.75" x14ac:dyDescent="0.25">
      <c r="A1993">
        <v>511161</v>
      </c>
      <c r="B1993" t="s">
        <v>1300</v>
      </c>
      <c r="C1993">
        <v>0</v>
      </c>
    </row>
    <row r="1994" spans="1:3" ht="15.75" x14ac:dyDescent="0.25">
      <c r="A1994">
        <v>511162</v>
      </c>
      <c r="B1994" t="s">
        <v>1301</v>
      </c>
      <c r="C1994">
        <v>0</v>
      </c>
    </row>
    <row r="1995" spans="1:3" ht="15.75" x14ac:dyDescent="0.25">
      <c r="A1995">
        <v>511163</v>
      </c>
      <c r="B1995" t="s">
        <v>1302</v>
      </c>
      <c r="C1995">
        <v>0</v>
      </c>
    </row>
    <row r="1996" spans="1:3" ht="15.75" x14ac:dyDescent="0.25">
      <c r="A1996">
        <v>511164</v>
      </c>
      <c r="B1996" t="s">
        <v>824</v>
      </c>
      <c r="C1996">
        <v>0</v>
      </c>
    </row>
    <row r="1997" spans="1:3" ht="15.75" x14ac:dyDescent="0.25">
      <c r="A1997">
        <v>511165</v>
      </c>
      <c r="B1997" t="s">
        <v>1303</v>
      </c>
      <c r="C1997">
        <v>0</v>
      </c>
    </row>
    <row r="1998" spans="1:3" ht="15.75" x14ac:dyDescent="0.25">
      <c r="A1998">
        <v>511166</v>
      </c>
      <c r="B1998" t="s">
        <v>1304</v>
      </c>
      <c r="C1998">
        <v>0</v>
      </c>
    </row>
    <row r="1999" spans="1:3" ht="15.75" x14ac:dyDescent="0.25">
      <c r="A1999">
        <v>511167</v>
      </c>
      <c r="B1999" t="s">
        <v>828</v>
      </c>
      <c r="C1999">
        <v>0</v>
      </c>
    </row>
    <row r="2000" spans="1:3" ht="15.75" x14ac:dyDescent="0.25">
      <c r="A2000">
        <v>511173</v>
      </c>
      <c r="B2000" t="s">
        <v>1305</v>
      </c>
      <c r="C2000">
        <v>0</v>
      </c>
    </row>
    <row r="2001" spans="1:3" ht="15.75" x14ac:dyDescent="0.25">
      <c r="A2001">
        <v>511174</v>
      </c>
      <c r="B2001" t="s">
        <v>1306</v>
      </c>
      <c r="C2001">
        <v>0</v>
      </c>
    </row>
    <row r="2002" spans="1:3" ht="15.75" x14ac:dyDescent="0.25">
      <c r="A2002">
        <v>511178</v>
      </c>
      <c r="B2002" t="s">
        <v>230</v>
      </c>
      <c r="C2002">
        <v>0</v>
      </c>
    </row>
    <row r="2003" spans="1:3" ht="15.75" x14ac:dyDescent="0.25">
      <c r="A2003">
        <v>511179</v>
      </c>
      <c r="B2003" t="s">
        <v>241</v>
      </c>
      <c r="C2003">
        <v>0</v>
      </c>
    </row>
    <row r="2004" spans="1:3" ht="15.75" x14ac:dyDescent="0.25">
      <c r="A2004">
        <v>511180</v>
      </c>
      <c r="B2004" t="s">
        <v>723</v>
      </c>
      <c r="C2004">
        <v>0</v>
      </c>
    </row>
    <row r="2005" spans="1:3" ht="15.75" x14ac:dyDescent="0.25">
      <c r="A2005">
        <v>511190</v>
      </c>
      <c r="B2005" t="s">
        <v>1307</v>
      </c>
      <c r="C2005">
        <v>17824581</v>
      </c>
    </row>
    <row r="2006" spans="1:3" ht="15.75" x14ac:dyDescent="0.25">
      <c r="A2006">
        <v>5120</v>
      </c>
      <c r="B2006" t="s">
        <v>741</v>
      </c>
      <c r="C2006">
        <f>SUM(C2007:C2030)</f>
        <v>0</v>
      </c>
    </row>
    <row r="2007" spans="1:3" ht="15.75" x14ac:dyDescent="0.25">
      <c r="A2007">
        <v>512001</v>
      </c>
      <c r="B2007" t="s">
        <v>743</v>
      </c>
      <c r="C2007">
        <v>0</v>
      </c>
    </row>
    <row r="2008" spans="1:3" ht="15.75" x14ac:dyDescent="0.25">
      <c r="A2008">
        <v>512002</v>
      </c>
      <c r="B2008" t="s">
        <v>749</v>
      </c>
      <c r="C2008">
        <v>0</v>
      </c>
    </row>
    <row r="2009" spans="1:3" ht="15.75" x14ac:dyDescent="0.25">
      <c r="A2009">
        <v>512009</v>
      </c>
      <c r="B2009" t="s">
        <v>744</v>
      </c>
      <c r="C2009">
        <v>0</v>
      </c>
    </row>
    <row r="2010" spans="1:3" ht="15.75" x14ac:dyDescent="0.25">
      <c r="A2010">
        <v>512010</v>
      </c>
      <c r="B2010" t="s">
        <v>755</v>
      </c>
      <c r="C2010">
        <v>0</v>
      </c>
    </row>
    <row r="2011" spans="1:3" ht="15.75" x14ac:dyDescent="0.25">
      <c r="A2011">
        <v>512011</v>
      </c>
      <c r="B2011" t="s">
        <v>750</v>
      </c>
      <c r="C2011">
        <v>0</v>
      </c>
    </row>
    <row r="2012" spans="1:3" ht="15.75" x14ac:dyDescent="0.25">
      <c r="A2012">
        <v>512012</v>
      </c>
      <c r="B2012" t="s">
        <v>746</v>
      </c>
      <c r="C2012">
        <v>0</v>
      </c>
    </row>
    <row r="2013" spans="1:3" ht="15.75" x14ac:dyDescent="0.25">
      <c r="A2013">
        <v>512013</v>
      </c>
      <c r="B2013" t="s">
        <v>747</v>
      </c>
      <c r="C2013">
        <v>0</v>
      </c>
    </row>
    <row r="2014" spans="1:3" ht="15.75" x14ac:dyDescent="0.25">
      <c r="A2014">
        <v>512017</v>
      </c>
      <c r="B2014" t="s">
        <v>251</v>
      </c>
      <c r="C2014">
        <v>0</v>
      </c>
    </row>
    <row r="2015" spans="1:3" ht="15.75" x14ac:dyDescent="0.25">
      <c r="A2015">
        <v>512019</v>
      </c>
      <c r="B2015" t="s">
        <v>1308</v>
      </c>
      <c r="C2015">
        <v>0</v>
      </c>
    </row>
    <row r="2016" spans="1:3" ht="15.75" x14ac:dyDescent="0.25">
      <c r="A2016">
        <v>512021</v>
      </c>
      <c r="B2016" t="s">
        <v>752</v>
      </c>
      <c r="C2016">
        <v>0</v>
      </c>
    </row>
    <row r="2017" spans="1:3" ht="15.75" x14ac:dyDescent="0.25">
      <c r="A2017">
        <v>512023</v>
      </c>
      <c r="B2017" t="s">
        <v>753</v>
      </c>
      <c r="C2017">
        <v>0</v>
      </c>
    </row>
    <row r="2018" spans="1:3" ht="15.75" x14ac:dyDescent="0.25">
      <c r="A2018">
        <v>512024</v>
      </c>
      <c r="B2018" t="s">
        <v>751</v>
      </c>
      <c r="C2018">
        <v>0</v>
      </c>
    </row>
    <row r="2019" spans="1:3" ht="15.75" x14ac:dyDescent="0.25">
      <c r="A2019">
        <v>512025</v>
      </c>
      <c r="B2019" t="s">
        <v>740</v>
      </c>
      <c r="C2019">
        <v>0</v>
      </c>
    </row>
    <row r="2020" spans="1:3" ht="15.75" x14ac:dyDescent="0.25">
      <c r="A2020">
        <v>512026</v>
      </c>
      <c r="B2020" t="s">
        <v>754</v>
      </c>
      <c r="C2020">
        <v>0</v>
      </c>
    </row>
    <row r="2021" spans="1:3" ht="15.75" x14ac:dyDescent="0.25">
      <c r="A2021">
        <v>512027</v>
      </c>
      <c r="B2021" t="s">
        <v>619</v>
      </c>
      <c r="C2021">
        <v>0</v>
      </c>
    </row>
    <row r="2022" spans="1:3" ht="15.75" x14ac:dyDescent="0.25">
      <c r="A2022">
        <v>512028</v>
      </c>
      <c r="B2022" t="s">
        <v>745</v>
      </c>
      <c r="C2022">
        <v>0</v>
      </c>
    </row>
    <row r="2023" spans="1:3" ht="15.75" x14ac:dyDescent="0.25">
      <c r="A2023">
        <v>512029</v>
      </c>
      <c r="B2023" t="s">
        <v>756</v>
      </c>
      <c r="C2023">
        <v>0</v>
      </c>
    </row>
    <row r="2024" spans="1:3" ht="15.75" x14ac:dyDescent="0.25">
      <c r="A2024">
        <v>512030</v>
      </c>
      <c r="B2024" t="s">
        <v>757</v>
      </c>
      <c r="C2024">
        <v>0</v>
      </c>
    </row>
    <row r="2025" spans="1:3" ht="15.75" x14ac:dyDescent="0.25">
      <c r="A2025">
        <v>512032</v>
      </c>
      <c r="B2025" t="s">
        <v>758</v>
      </c>
      <c r="C2025">
        <v>0</v>
      </c>
    </row>
    <row r="2026" spans="1:3" ht="15.75" x14ac:dyDescent="0.25">
      <c r="A2026">
        <v>512033</v>
      </c>
      <c r="B2026" t="s">
        <v>759</v>
      </c>
      <c r="C2026">
        <v>0</v>
      </c>
    </row>
    <row r="2027" spans="1:3" ht="15.75" x14ac:dyDescent="0.25">
      <c r="A2027">
        <v>512034</v>
      </c>
      <c r="B2027" t="s">
        <v>760</v>
      </c>
      <c r="C2027">
        <v>0</v>
      </c>
    </row>
    <row r="2028" spans="1:3" ht="15.75" x14ac:dyDescent="0.25">
      <c r="A2028">
        <v>512035</v>
      </c>
      <c r="B2028" t="s">
        <v>111</v>
      </c>
      <c r="C2028">
        <v>0</v>
      </c>
    </row>
    <row r="2029" spans="1:3" ht="15.75" x14ac:dyDescent="0.25">
      <c r="A2029">
        <v>512036</v>
      </c>
      <c r="B2029" t="s">
        <v>762</v>
      </c>
      <c r="C2029">
        <v>0</v>
      </c>
    </row>
    <row r="2030" spans="1:3" ht="15.75" x14ac:dyDescent="0.25">
      <c r="A2030">
        <v>512090</v>
      </c>
      <c r="B2030" t="s">
        <v>1309</v>
      </c>
      <c r="C2030">
        <v>0</v>
      </c>
    </row>
    <row r="2031" spans="1:3" ht="15.75" x14ac:dyDescent="0.25">
      <c r="A2031">
        <v>52</v>
      </c>
      <c r="B2031" t="s">
        <v>1310</v>
      </c>
      <c r="C2031">
        <v>22237265</v>
      </c>
    </row>
    <row r="2032" spans="1:3" ht="15.75" x14ac:dyDescent="0.25">
      <c r="A2032">
        <v>5202</v>
      </c>
      <c r="B2032" t="s">
        <v>1234</v>
      </c>
      <c r="C2032">
        <f>SUM(C2033:C2044)</f>
        <v>0</v>
      </c>
    </row>
    <row r="2033" spans="1:3" ht="15.75" x14ac:dyDescent="0.25">
      <c r="A2033">
        <v>520201</v>
      </c>
      <c r="B2033" t="s">
        <v>1235</v>
      </c>
      <c r="C2033">
        <v>0</v>
      </c>
    </row>
    <row r="2034" spans="1:3" ht="15.75" x14ac:dyDescent="0.25">
      <c r="A2034">
        <v>520202</v>
      </c>
      <c r="B2034" t="s">
        <v>1236</v>
      </c>
      <c r="C2034">
        <v>0</v>
      </c>
    </row>
    <row r="2035" spans="1:3" ht="15.75" x14ac:dyDescent="0.25">
      <c r="A2035">
        <v>520203</v>
      </c>
      <c r="B2035" t="s">
        <v>1237</v>
      </c>
      <c r="C2035">
        <v>0</v>
      </c>
    </row>
    <row r="2036" spans="1:3" ht="15.75" x14ac:dyDescent="0.25">
      <c r="A2036">
        <v>520207</v>
      </c>
      <c r="B2036" t="s">
        <v>1238</v>
      </c>
      <c r="C2036">
        <v>0</v>
      </c>
    </row>
    <row r="2037" spans="1:3" ht="15.75" x14ac:dyDescent="0.25">
      <c r="A2037">
        <v>520218</v>
      </c>
      <c r="B2037" t="s">
        <v>859</v>
      </c>
      <c r="C2037">
        <v>0</v>
      </c>
    </row>
    <row r="2038" spans="1:3" ht="15.75" x14ac:dyDescent="0.25">
      <c r="A2038">
        <v>520220</v>
      </c>
      <c r="B2038" t="s">
        <v>1239</v>
      </c>
      <c r="C2038">
        <v>0</v>
      </c>
    </row>
    <row r="2039" spans="1:3" ht="15.75" x14ac:dyDescent="0.25">
      <c r="A2039">
        <v>520226</v>
      </c>
      <c r="B2039" t="s">
        <v>1240</v>
      </c>
      <c r="C2039">
        <v>0</v>
      </c>
    </row>
    <row r="2040" spans="1:3" ht="15.75" x14ac:dyDescent="0.25">
      <c r="A2040">
        <v>520230</v>
      </c>
      <c r="B2040" t="s">
        <v>230</v>
      </c>
      <c r="C2040">
        <v>0</v>
      </c>
    </row>
    <row r="2041" spans="1:3" ht="15.75" x14ac:dyDescent="0.25">
      <c r="A2041">
        <v>520232</v>
      </c>
      <c r="B2041" t="s">
        <v>1241</v>
      </c>
      <c r="C2041">
        <v>0</v>
      </c>
    </row>
    <row r="2042" spans="1:3" ht="15.75" x14ac:dyDescent="0.25">
      <c r="A2042">
        <v>520239</v>
      </c>
      <c r="B2042" t="s">
        <v>1242</v>
      </c>
      <c r="C2042">
        <v>0</v>
      </c>
    </row>
    <row r="2043" spans="1:3" ht="15.75" x14ac:dyDescent="0.25">
      <c r="A2043">
        <v>520240</v>
      </c>
      <c r="B2043" t="s">
        <v>1243</v>
      </c>
      <c r="C2043">
        <v>0</v>
      </c>
    </row>
    <row r="2044" spans="1:3" ht="15.75" x14ac:dyDescent="0.25">
      <c r="A2044">
        <v>520243</v>
      </c>
      <c r="B2044" t="s">
        <v>1244</v>
      </c>
      <c r="C2044">
        <v>0</v>
      </c>
    </row>
    <row r="2045" spans="1:3" ht="15.75" x14ac:dyDescent="0.25">
      <c r="A2045">
        <v>5203</v>
      </c>
      <c r="B2045" t="s">
        <v>1245</v>
      </c>
      <c r="C2045">
        <f>SUM(C2046:C2054)</f>
        <v>0</v>
      </c>
    </row>
    <row r="2046" spans="1:3" ht="15.75" x14ac:dyDescent="0.25">
      <c r="A2046">
        <v>520301</v>
      </c>
      <c r="B2046" t="s">
        <v>215</v>
      </c>
      <c r="C2046">
        <v>0</v>
      </c>
    </row>
    <row r="2047" spans="1:3" ht="15.75" x14ac:dyDescent="0.25">
      <c r="A2047">
        <v>520302</v>
      </c>
      <c r="B2047" t="s">
        <v>1246</v>
      </c>
      <c r="C2047">
        <v>0</v>
      </c>
    </row>
    <row r="2048" spans="1:3" ht="15.75" x14ac:dyDescent="0.25">
      <c r="A2048">
        <v>520303</v>
      </c>
      <c r="B2048" t="s">
        <v>242</v>
      </c>
      <c r="C2048">
        <v>0</v>
      </c>
    </row>
    <row r="2049" spans="1:3" ht="15.75" x14ac:dyDescent="0.25">
      <c r="A2049">
        <v>520304</v>
      </c>
      <c r="B2049" t="s">
        <v>1247</v>
      </c>
      <c r="C2049">
        <v>0</v>
      </c>
    </row>
    <row r="2050" spans="1:3" ht="15.75" x14ac:dyDescent="0.25">
      <c r="A2050">
        <v>520315</v>
      </c>
      <c r="B2050" t="s">
        <v>1248</v>
      </c>
      <c r="C2050">
        <v>0</v>
      </c>
    </row>
    <row r="2051" spans="1:3" ht="15.75" x14ac:dyDescent="0.25">
      <c r="A2051">
        <v>520316</v>
      </c>
      <c r="B2051" t="s">
        <v>619</v>
      </c>
      <c r="C2051">
        <v>0</v>
      </c>
    </row>
    <row r="2052" spans="1:3" ht="15.75" x14ac:dyDescent="0.25">
      <c r="A2052">
        <v>520317</v>
      </c>
      <c r="B2052" t="s">
        <v>874</v>
      </c>
      <c r="C2052">
        <v>0</v>
      </c>
    </row>
    <row r="2053" spans="1:3" ht="15.75" x14ac:dyDescent="0.25">
      <c r="A2053">
        <v>520318</v>
      </c>
      <c r="B2053" t="s">
        <v>893</v>
      </c>
      <c r="C2053">
        <v>0</v>
      </c>
    </row>
    <row r="2054" spans="1:3" ht="15.75" x14ac:dyDescent="0.25">
      <c r="A2054">
        <v>520390</v>
      </c>
      <c r="B2054" t="s">
        <v>1249</v>
      </c>
      <c r="C2054">
        <v>0</v>
      </c>
    </row>
    <row r="2055" spans="1:3" ht="15.75" x14ac:dyDescent="0.25">
      <c r="A2055">
        <v>5204</v>
      </c>
      <c r="B2055" t="s">
        <v>1250</v>
      </c>
      <c r="C2055">
        <v>10218000</v>
      </c>
    </row>
    <row r="2056" spans="1:3" ht="15.75" x14ac:dyDescent="0.25">
      <c r="A2056">
        <v>520401</v>
      </c>
      <c r="B2056" t="s">
        <v>1251</v>
      </c>
      <c r="C2056">
        <v>0</v>
      </c>
    </row>
    <row r="2057" spans="1:3" ht="15.75" x14ac:dyDescent="0.25">
      <c r="A2057">
        <v>520402</v>
      </c>
      <c r="B2057" t="s">
        <v>872</v>
      </c>
      <c r="C2057">
        <v>1170000</v>
      </c>
    </row>
    <row r="2058" spans="1:3" ht="15.75" x14ac:dyDescent="0.25">
      <c r="A2058">
        <v>520403</v>
      </c>
      <c r="B2058" t="s">
        <v>1252</v>
      </c>
      <c r="C2058">
        <v>3655200</v>
      </c>
    </row>
    <row r="2059" spans="1:3" ht="15.75" x14ac:dyDescent="0.25">
      <c r="A2059">
        <v>520404</v>
      </c>
      <c r="B2059" t="s">
        <v>1253</v>
      </c>
      <c r="C2059">
        <v>0</v>
      </c>
    </row>
    <row r="2060" spans="1:3" ht="15.75" x14ac:dyDescent="0.25">
      <c r="A2060">
        <v>520405</v>
      </c>
      <c r="B2060" t="s">
        <v>1254</v>
      </c>
      <c r="C2060">
        <v>714000</v>
      </c>
    </row>
    <row r="2061" spans="1:3" ht="15.75" x14ac:dyDescent="0.25">
      <c r="A2061">
        <v>520406</v>
      </c>
      <c r="B2061" t="s">
        <v>1255</v>
      </c>
      <c r="C2061">
        <v>0</v>
      </c>
    </row>
    <row r="2062" spans="1:3" ht="15.75" x14ac:dyDescent="0.25">
      <c r="A2062">
        <v>520407</v>
      </c>
      <c r="B2062" t="s">
        <v>1256</v>
      </c>
      <c r="C2062">
        <v>4678800</v>
      </c>
    </row>
    <row r="2063" spans="1:3" ht="15.75" x14ac:dyDescent="0.25">
      <c r="A2063">
        <v>520408</v>
      </c>
      <c r="B2063" t="s">
        <v>873</v>
      </c>
      <c r="C2063">
        <v>0</v>
      </c>
    </row>
    <row r="2064" spans="1:3" ht="15.75" x14ac:dyDescent="0.25">
      <c r="A2064">
        <v>520490</v>
      </c>
      <c r="B2064" t="s">
        <v>1257</v>
      </c>
      <c r="C2064">
        <v>0</v>
      </c>
    </row>
    <row r="2065" spans="1:3" ht="15.75" x14ac:dyDescent="0.25">
      <c r="A2065">
        <v>5207</v>
      </c>
      <c r="B2065" t="s">
        <v>1258</v>
      </c>
      <c r="C2065">
        <v>1462800</v>
      </c>
    </row>
    <row r="2066" spans="1:3" ht="15.75" x14ac:dyDescent="0.25">
      <c r="A2066">
        <v>520701</v>
      </c>
      <c r="B2066" t="s">
        <v>1259</v>
      </c>
      <c r="C2066">
        <v>877800</v>
      </c>
    </row>
    <row r="2067" spans="1:3" ht="15.75" x14ac:dyDescent="0.25">
      <c r="A2067">
        <v>520702</v>
      </c>
      <c r="B2067" t="s">
        <v>1260</v>
      </c>
      <c r="C2067">
        <v>585000</v>
      </c>
    </row>
    <row r="2068" spans="1:3" ht="15.75" x14ac:dyDescent="0.25">
      <c r="A2068">
        <v>520703</v>
      </c>
      <c r="B2068" t="s">
        <v>1261</v>
      </c>
      <c r="C2068">
        <v>0</v>
      </c>
    </row>
    <row r="2069" spans="1:3" ht="15.75" x14ac:dyDescent="0.25">
      <c r="A2069">
        <v>520704</v>
      </c>
      <c r="B2069" t="s">
        <v>1262</v>
      </c>
      <c r="C2069">
        <v>0</v>
      </c>
    </row>
    <row r="2070" spans="1:3" ht="15.75" x14ac:dyDescent="0.25">
      <c r="A2070">
        <v>5208</v>
      </c>
      <c r="B2070" t="s">
        <v>1263</v>
      </c>
      <c r="C2070">
        <f>SUM(C2071:C2079)</f>
        <v>0</v>
      </c>
    </row>
    <row r="2071" spans="1:3" ht="15.75" x14ac:dyDescent="0.25">
      <c r="A2071">
        <v>520801</v>
      </c>
      <c r="B2071" t="s">
        <v>855</v>
      </c>
      <c r="C2071">
        <v>0</v>
      </c>
    </row>
    <row r="2072" spans="1:3" ht="15.75" x14ac:dyDescent="0.25">
      <c r="A2072">
        <v>520802</v>
      </c>
      <c r="B2072" t="s">
        <v>853</v>
      </c>
      <c r="C2072">
        <v>0</v>
      </c>
    </row>
    <row r="2073" spans="1:3" ht="15.75" x14ac:dyDescent="0.25">
      <c r="A2073">
        <v>520803</v>
      </c>
      <c r="B2073" t="s">
        <v>1264</v>
      </c>
      <c r="C2073">
        <v>0</v>
      </c>
    </row>
    <row r="2074" spans="1:3" ht="15.75" x14ac:dyDescent="0.25">
      <c r="A2074">
        <v>520804</v>
      </c>
      <c r="B2074" t="s">
        <v>856</v>
      </c>
      <c r="C2074">
        <v>0</v>
      </c>
    </row>
    <row r="2075" spans="1:3" ht="15.75" x14ac:dyDescent="0.25">
      <c r="A2075">
        <v>520805</v>
      </c>
      <c r="B2075" t="s">
        <v>858</v>
      </c>
      <c r="C2075">
        <v>0</v>
      </c>
    </row>
    <row r="2076" spans="1:3" ht="15.75" x14ac:dyDescent="0.25">
      <c r="A2076">
        <v>520806</v>
      </c>
      <c r="B2076" t="s">
        <v>857</v>
      </c>
      <c r="C2076">
        <v>0</v>
      </c>
    </row>
    <row r="2077" spans="1:3" ht="15.75" x14ac:dyDescent="0.25">
      <c r="A2077">
        <v>520807</v>
      </c>
      <c r="B2077" t="s">
        <v>878</v>
      </c>
      <c r="C2077">
        <v>0</v>
      </c>
    </row>
    <row r="2078" spans="1:3" ht="15.75" x14ac:dyDescent="0.25">
      <c r="A2078">
        <v>520890</v>
      </c>
      <c r="B2078" t="s">
        <v>860</v>
      </c>
      <c r="C2078">
        <v>0</v>
      </c>
    </row>
    <row r="2079" spans="1:3" ht="15.75" x14ac:dyDescent="0.25">
      <c r="A2079">
        <v>520895</v>
      </c>
      <c r="B2079" t="s">
        <v>1265</v>
      </c>
      <c r="C2079">
        <v>0</v>
      </c>
    </row>
    <row r="2080" spans="1:3" ht="15.75" x14ac:dyDescent="0.25">
      <c r="A2080">
        <v>5211</v>
      </c>
      <c r="B2080" t="s">
        <v>1271</v>
      </c>
      <c r="C2080">
        <v>10556465</v>
      </c>
    </row>
    <row r="2081" spans="1:3" ht="15.75" x14ac:dyDescent="0.25">
      <c r="A2081">
        <v>521110</v>
      </c>
      <c r="B2081" t="s">
        <v>1279</v>
      </c>
      <c r="C2081">
        <v>0</v>
      </c>
    </row>
    <row r="2082" spans="1:3" ht="15.75" x14ac:dyDescent="0.25">
      <c r="A2082">
        <v>521111</v>
      </c>
      <c r="B2082" t="s">
        <v>1280</v>
      </c>
      <c r="C2082">
        <v>0</v>
      </c>
    </row>
    <row r="2083" spans="1:3" ht="15.75" x14ac:dyDescent="0.25">
      <c r="A2083">
        <v>521113</v>
      </c>
      <c r="B2083" t="s">
        <v>564</v>
      </c>
      <c r="C2083">
        <v>0</v>
      </c>
    </row>
    <row r="2084" spans="1:3" ht="15.75" x14ac:dyDescent="0.25">
      <c r="A2084">
        <v>521114</v>
      </c>
      <c r="B2084" t="s">
        <v>1281</v>
      </c>
      <c r="C2084">
        <v>0</v>
      </c>
    </row>
    <row r="2085" spans="1:3" ht="15.75" x14ac:dyDescent="0.25">
      <c r="A2085">
        <v>521115</v>
      </c>
      <c r="B2085" t="s">
        <v>837</v>
      </c>
      <c r="C2085">
        <v>0</v>
      </c>
    </row>
    <row r="2086" spans="1:3" ht="15.75" x14ac:dyDescent="0.25">
      <c r="A2086">
        <v>521116</v>
      </c>
      <c r="B2086" t="s">
        <v>255</v>
      </c>
      <c r="C2086">
        <v>0</v>
      </c>
    </row>
    <row r="2087" spans="1:3" ht="15.75" x14ac:dyDescent="0.25">
      <c r="A2087">
        <v>521117</v>
      </c>
      <c r="B2087" t="s">
        <v>822</v>
      </c>
      <c r="C2087">
        <v>0</v>
      </c>
    </row>
    <row r="2088" spans="1:3" ht="15.75" x14ac:dyDescent="0.25">
      <c r="A2088">
        <v>521118</v>
      </c>
      <c r="B2088" t="s">
        <v>141</v>
      </c>
      <c r="C2088">
        <v>0</v>
      </c>
    </row>
    <row r="2089" spans="1:3" ht="15.75" x14ac:dyDescent="0.25">
      <c r="A2089">
        <v>521119</v>
      </c>
      <c r="B2089" t="s">
        <v>563</v>
      </c>
      <c r="C2089">
        <v>0</v>
      </c>
    </row>
    <row r="2090" spans="1:3" ht="15.75" x14ac:dyDescent="0.25">
      <c r="A2090">
        <v>521120</v>
      </c>
      <c r="B2090" t="s">
        <v>1205</v>
      </c>
      <c r="C2090">
        <v>0</v>
      </c>
    </row>
    <row r="2091" spans="1:3" ht="15.75" x14ac:dyDescent="0.25">
      <c r="A2091">
        <v>521121</v>
      </c>
      <c r="B2091" t="s">
        <v>1282</v>
      </c>
      <c r="C2091">
        <v>0</v>
      </c>
    </row>
    <row r="2092" spans="1:3" ht="15.75" x14ac:dyDescent="0.25">
      <c r="A2092">
        <v>521123</v>
      </c>
      <c r="B2092" t="s">
        <v>1283</v>
      </c>
      <c r="C2092">
        <v>0</v>
      </c>
    </row>
    <row r="2093" spans="1:3" ht="15.75" x14ac:dyDescent="0.25">
      <c r="A2093">
        <v>521125</v>
      </c>
      <c r="B2093" t="s">
        <v>1284</v>
      </c>
      <c r="C2093">
        <v>0</v>
      </c>
    </row>
    <row r="2094" spans="1:3" ht="15.75" x14ac:dyDescent="0.25">
      <c r="A2094">
        <v>521130</v>
      </c>
      <c r="B2094" t="s">
        <v>1285</v>
      </c>
      <c r="C2094">
        <v>0</v>
      </c>
    </row>
    <row r="2095" spans="1:3" ht="15.75" x14ac:dyDescent="0.25">
      <c r="A2095">
        <v>521144</v>
      </c>
      <c r="B2095" t="s">
        <v>344</v>
      </c>
      <c r="C2095">
        <v>0</v>
      </c>
    </row>
    <row r="2096" spans="1:3" ht="15.75" x14ac:dyDescent="0.25">
      <c r="A2096">
        <v>521147</v>
      </c>
      <c r="B2096" t="s">
        <v>1293</v>
      </c>
      <c r="C2096">
        <v>0</v>
      </c>
    </row>
    <row r="2097" spans="1:3" ht="15.75" x14ac:dyDescent="0.25">
      <c r="A2097">
        <v>521153</v>
      </c>
      <c r="B2097" t="s">
        <v>1297</v>
      </c>
      <c r="C2097">
        <v>0</v>
      </c>
    </row>
    <row r="2098" spans="1:3" ht="15.75" x14ac:dyDescent="0.25">
      <c r="A2098">
        <v>521154</v>
      </c>
      <c r="B2098" t="s">
        <v>565</v>
      </c>
      <c r="C2098">
        <v>0</v>
      </c>
    </row>
    <row r="2099" spans="1:3" ht="15.75" x14ac:dyDescent="0.25">
      <c r="A2099">
        <v>521160</v>
      </c>
      <c r="B2099" t="s">
        <v>1300</v>
      </c>
      <c r="C2099">
        <v>0</v>
      </c>
    </row>
    <row r="2100" spans="1:3" ht="15.75" x14ac:dyDescent="0.25">
      <c r="A2100">
        <v>521162</v>
      </c>
      <c r="B2100" t="s">
        <v>1302</v>
      </c>
      <c r="C2100">
        <v>0</v>
      </c>
    </row>
    <row r="2101" spans="1:3" ht="15.75" x14ac:dyDescent="0.25">
      <c r="A2101">
        <v>521163</v>
      </c>
      <c r="B2101" t="s">
        <v>824</v>
      </c>
      <c r="C2101">
        <v>0</v>
      </c>
    </row>
    <row r="2102" spans="1:3" ht="15.75" x14ac:dyDescent="0.25">
      <c r="A2102">
        <v>521171</v>
      </c>
      <c r="B2102" t="s">
        <v>230</v>
      </c>
      <c r="C2102">
        <v>0</v>
      </c>
    </row>
    <row r="2103" spans="1:3" ht="15.75" x14ac:dyDescent="0.25">
      <c r="A2103">
        <v>521172</v>
      </c>
      <c r="B2103" t="s">
        <v>241</v>
      </c>
      <c r="C2103">
        <v>0</v>
      </c>
    </row>
    <row r="2104" spans="1:3" ht="15.75" x14ac:dyDescent="0.25">
      <c r="A2104">
        <v>521173</v>
      </c>
      <c r="B2104" t="s">
        <v>723</v>
      </c>
      <c r="C2104">
        <v>0</v>
      </c>
    </row>
    <row r="2105" spans="1:3" ht="15.75" x14ac:dyDescent="0.25">
      <c r="A2105">
        <v>521190</v>
      </c>
      <c r="B2105" t="s">
        <v>1307</v>
      </c>
      <c r="C2105">
        <v>10556465</v>
      </c>
    </row>
    <row r="2106" spans="1:3" ht="15.75" x14ac:dyDescent="0.25">
      <c r="A2106">
        <v>5212</v>
      </c>
      <c r="B2106" t="s">
        <v>1266</v>
      </c>
      <c r="C2106">
        <f>SUM(C2107:C2119)</f>
        <v>0</v>
      </c>
    </row>
    <row r="2107" spans="1:3" ht="15.75" x14ac:dyDescent="0.25">
      <c r="A2107">
        <v>521201</v>
      </c>
      <c r="B2107" t="s">
        <v>863</v>
      </c>
      <c r="C2107">
        <v>0</v>
      </c>
    </row>
    <row r="2108" spans="1:3" ht="15.75" x14ac:dyDescent="0.25">
      <c r="A2108">
        <v>521202</v>
      </c>
      <c r="B2108" t="s">
        <v>241</v>
      </c>
      <c r="C2108">
        <v>0</v>
      </c>
    </row>
    <row r="2109" spans="1:3" ht="15.75" x14ac:dyDescent="0.25">
      <c r="A2109">
        <v>521203</v>
      </c>
      <c r="B2109" t="s">
        <v>864</v>
      </c>
      <c r="C2109">
        <v>0</v>
      </c>
    </row>
    <row r="2110" spans="1:3" ht="15.75" x14ac:dyDescent="0.25">
      <c r="A2110">
        <v>521204</v>
      </c>
      <c r="B2110" t="s">
        <v>865</v>
      </c>
      <c r="C2110">
        <v>0</v>
      </c>
    </row>
    <row r="2111" spans="1:3" ht="15.75" x14ac:dyDescent="0.25">
      <c r="A2111">
        <v>521205</v>
      </c>
      <c r="B2111" t="s">
        <v>866</v>
      </c>
      <c r="C2111">
        <v>0</v>
      </c>
    </row>
    <row r="2112" spans="1:3" ht="15.75" x14ac:dyDescent="0.25">
      <c r="A2112">
        <v>521206</v>
      </c>
      <c r="B2112" t="s">
        <v>867</v>
      </c>
      <c r="C2112">
        <v>0</v>
      </c>
    </row>
    <row r="2113" spans="1:3" ht="15.75" x14ac:dyDescent="0.25">
      <c r="A2113">
        <v>521207</v>
      </c>
      <c r="B2113" t="s">
        <v>868</v>
      </c>
      <c r="C2113">
        <v>0</v>
      </c>
    </row>
    <row r="2114" spans="1:3" ht="15.75" x14ac:dyDescent="0.25">
      <c r="A2114">
        <v>521209</v>
      </c>
      <c r="B2114" t="s">
        <v>826</v>
      </c>
      <c r="C2114">
        <v>0</v>
      </c>
    </row>
    <row r="2115" spans="1:3" ht="15.75" x14ac:dyDescent="0.25">
      <c r="A2115">
        <v>521210</v>
      </c>
      <c r="B2115" t="s">
        <v>1267</v>
      </c>
      <c r="C2115">
        <v>0</v>
      </c>
    </row>
    <row r="2116" spans="1:3" ht="15.75" x14ac:dyDescent="0.25">
      <c r="A2116">
        <v>521211</v>
      </c>
      <c r="B2116" t="s">
        <v>1268</v>
      </c>
      <c r="C2116">
        <v>0</v>
      </c>
    </row>
    <row r="2117" spans="1:3" ht="15.75" x14ac:dyDescent="0.25">
      <c r="A2117">
        <v>521212</v>
      </c>
      <c r="B2117" t="s">
        <v>1215</v>
      </c>
      <c r="C2117">
        <v>0</v>
      </c>
    </row>
    <row r="2118" spans="1:3" ht="15.75" x14ac:dyDescent="0.25">
      <c r="A2118">
        <v>521213</v>
      </c>
      <c r="B2118" t="s">
        <v>1269</v>
      </c>
      <c r="C2118">
        <v>0</v>
      </c>
    </row>
    <row r="2119" spans="1:3" ht="15.75" x14ac:dyDescent="0.25">
      <c r="A2119">
        <v>521290</v>
      </c>
      <c r="B2119" t="s">
        <v>1270</v>
      </c>
      <c r="C2119">
        <v>0</v>
      </c>
    </row>
    <row r="2120" spans="1:3" ht="15.75" x14ac:dyDescent="0.25">
      <c r="A2120">
        <v>5220</v>
      </c>
      <c r="B2120" t="s">
        <v>741</v>
      </c>
      <c r="C2120">
        <f>SUM(C2121:C2137)</f>
        <v>0</v>
      </c>
    </row>
    <row r="2121" spans="1:3" ht="15.75" x14ac:dyDescent="0.25">
      <c r="A2121">
        <v>522001</v>
      </c>
      <c r="B2121" t="s">
        <v>743</v>
      </c>
      <c r="C2121">
        <v>0</v>
      </c>
    </row>
    <row r="2122" spans="1:3" ht="15.75" x14ac:dyDescent="0.25">
      <c r="A2122">
        <v>522009</v>
      </c>
      <c r="B2122" t="s">
        <v>744</v>
      </c>
      <c r="C2122">
        <v>0</v>
      </c>
    </row>
    <row r="2123" spans="1:3" ht="15.75" x14ac:dyDescent="0.25">
      <c r="A2123">
        <v>522010</v>
      </c>
      <c r="B2123" t="s">
        <v>755</v>
      </c>
      <c r="C2123">
        <v>0</v>
      </c>
    </row>
    <row r="2124" spans="1:3" ht="15.75" x14ac:dyDescent="0.25">
      <c r="A2124">
        <v>522011</v>
      </c>
      <c r="B2124" t="s">
        <v>750</v>
      </c>
      <c r="C2124">
        <v>0</v>
      </c>
    </row>
    <row r="2125" spans="1:3" ht="15.75" x14ac:dyDescent="0.25">
      <c r="A2125">
        <v>522012</v>
      </c>
      <c r="B2125" t="s">
        <v>746</v>
      </c>
      <c r="C2125">
        <v>0</v>
      </c>
    </row>
    <row r="2126" spans="1:3" ht="15.75" x14ac:dyDescent="0.25">
      <c r="A2126">
        <v>522017</v>
      </c>
      <c r="B2126" t="s">
        <v>251</v>
      </c>
      <c r="C2126">
        <v>0</v>
      </c>
    </row>
    <row r="2127" spans="1:3" ht="15.75" x14ac:dyDescent="0.25">
      <c r="A2127">
        <v>522019</v>
      </c>
      <c r="B2127" t="s">
        <v>1308</v>
      </c>
      <c r="C2127">
        <v>0</v>
      </c>
    </row>
    <row r="2128" spans="1:3" ht="15.75" x14ac:dyDescent="0.25">
      <c r="A2128">
        <v>522024</v>
      </c>
      <c r="B2128" t="s">
        <v>751</v>
      </c>
      <c r="C2128">
        <v>0</v>
      </c>
    </row>
    <row r="2129" spans="1:3" ht="15.75" x14ac:dyDescent="0.25">
      <c r="A2129">
        <v>522025</v>
      </c>
      <c r="B2129" t="s">
        <v>740</v>
      </c>
      <c r="C2129">
        <v>0</v>
      </c>
    </row>
    <row r="2130" spans="1:3" ht="15.75" x14ac:dyDescent="0.25">
      <c r="A2130">
        <v>522026</v>
      </c>
      <c r="B2130" t="s">
        <v>754</v>
      </c>
      <c r="C2130">
        <v>0</v>
      </c>
    </row>
    <row r="2131" spans="1:3" ht="15.75" x14ac:dyDescent="0.25">
      <c r="A2131">
        <v>522027</v>
      </c>
      <c r="B2131" t="s">
        <v>619</v>
      </c>
      <c r="C2131">
        <v>0</v>
      </c>
    </row>
    <row r="2132" spans="1:3" ht="15.75" x14ac:dyDescent="0.25">
      <c r="A2132">
        <v>522028</v>
      </c>
      <c r="B2132" t="s">
        <v>745</v>
      </c>
      <c r="C2132">
        <v>0</v>
      </c>
    </row>
    <row r="2133" spans="1:3" ht="15.75" x14ac:dyDescent="0.25">
      <c r="A2133">
        <v>522029</v>
      </c>
      <c r="B2133" t="s">
        <v>756</v>
      </c>
      <c r="C2133">
        <v>0</v>
      </c>
    </row>
    <row r="2134" spans="1:3" ht="15.75" x14ac:dyDescent="0.25">
      <c r="A2134">
        <v>522034</v>
      </c>
      <c r="B2134" t="s">
        <v>111</v>
      </c>
      <c r="C2134">
        <v>0</v>
      </c>
    </row>
    <row r="2135" spans="1:3" ht="15.75" x14ac:dyDescent="0.25">
      <c r="A2135">
        <v>522035</v>
      </c>
      <c r="B2135" t="s">
        <v>760</v>
      </c>
      <c r="C2135">
        <v>0</v>
      </c>
    </row>
    <row r="2136" spans="1:3" ht="15.75" x14ac:dyDescent="0.25">
      <c r="A2136">
        <v>522036</v>
      </c>
      <c r="B2136" t="s">
        <v>762</v>
      </c>
      <c r="C2136">
        <v>0</v>
      </c>
    </row>
    <row r="2137" spans="1:3" ht="15.75" x14ac:dyDescent="0.25">
      <c r="A2137">
        <v>522090</v>
      </c>
      <c r="B2137" t="s">
        <v>1309</v>
      </c>
      <c r="C2137">
        <v>0</v>
      </c>
    </row>
    <row r="2138" spans="1:3" ht="15.75" x14ac:dyDescent="0.25">
      <c r="A2138">
        <v>53</v>
      </c>
      <c r="B2138" t="s">
        <v>1311</v>
      </c>
      <c r="C2138">
        <v>5044542</v>
      </c>
    </row>
    <row r="2139" spans="1:3" ht="15.75" x14ac:dyDescent="0.25">
      <c r="A2139">
        <v>5346</v>
      </c>
      <c r="B2139" t="s">
        <v>1312</v>
      </c>
      <c r="C2139">
        <f>SUM(C2140:C2145)</f>
        <v>0</v>
      </c>
    </row>
    <row r="2140" spans="1:3" ht="15.75" x14ac:dyDescent="0.25">
      <c r="A2140">
        <v>534601</v>
      </c>
      <c r="B2140" t="s">
        <v>41</v>
      </c>
      <c r="C2140">
        <v>0</v>
      </c>
    </row>
    <row r="2141" spans="1:3" ht="15.75" x14ac:dyDescent="0.25">
      <c r="A2141">
        <v>534602</v>
      </c>
      <c r="B2141" t="s">
        <v>42</v>
      </c>
      <c r="C2141">
        <v>0</v>
      </c>
    </row>
    <row r="2142" spans="1:3" ht="15.75" x14ac:dyDescent="0.25">
      <c r="A2142">
        <v>534603</v>
      </c>
      <c r="B2142" t="s">
        <v>43</v>
      </c>
      <c r="C2142">
        <v>0</v>
      </c>
    </row>
    <row r="2143" spans="1:3" ht="15.75" x14ac:dyDescent="0.25">
      <c r="A2143">
        <v>534605</v>
      </c>
      <c r="B2143" t="s">
        <v>1313</v>
      </c>
      <c r="C2143">
        <v>0</v>
      </c>
    </row>
    <row r="2144" spans="1:3" ht="15.75" x14ac:dyDescent="0.25">
      <c r="A2144">
        <v>534607</v>
      </c>
      <c r="B2144" t="s">
        <v>1314</v>
      </c>
      <c r="C2144">
        <v>0</v>
      </c>
    </row>
    <row r="2145" spans="1:3" ht="15.75" x14ac:dyDescent="0.25">
      <c r="A2145">
        <v>534609</v>
      </c>
      <c r="B2145" t="s">
        <v>1315</v>
      </c>
      <c r="C2145">
        <v>0</v>
      </c>
    </row>
    <row r="2146" spans="1:3" ht="15.75" x14ac:dyDescent="0.25">
      <c r="A2146">
        <v>5347</v>
      </c>
      <c r="B2146" t="s">
        <v>1316</v>
      </c>
      <c r="C2146">
        <f>SUM(C2147:C2158)</f>
        <v>0</v>
      </c>
    </row>
    <row r="2147" spans="1:3" ht="15.75" x14ac:dyDescent="0.25">
      <c r="A2147">
        <v>534701</v>
      </c>
      <c r="B2147" t="s">
        <v>259</v>
      </c>
      <c r="C2147">
        <v>0</v>
      </c>
    </row>
    <row r="2148" spans="1:3" ht="15.75" x14ac:dyDescent="0.25">
      <c r="A2148">
        <v>534702</v>
      </c>
      <c r="B2148" t="s">
        <v>260</v>
      </c>
      <c r="C2148">
        <v>0</v>
      </c>
    </row>
    <row r="2149" spans="1:3" ht="15.75" x14ac:dyDescent="0.25">
      <c r="A2149">
        <v>534703</v>
      </c>
      <c r="B2149" t="s">
        <v>150</v>
      </c>
      <c r="C2149">
        <v>0</v>
      </c>
    </row>
    <row r="2150" spans="1:3" ht="15.75" x14ac:dyDescent="0.25">
      <c r="A2150">
        <v>534704</v>
      </c>
      <c r="B2150" t="s">
        <v>151</v>
      </c>
      <c r="C2150">
        <v>0</v>
      </c>
    </row>
    <row r="2151" spans="1:3" ht="15.75" x14ac:dyDescent="0.25">
      <c r="A2151">
        <v>534705</v>
      </c>
      <c r="B2151" t="s">
        <v>152</v>
      </c>
      <c r="C2151">
        <v>0</v>
      </c>
    </row>
    <row r="2152" spans="1:3" ht="15.75" x14ac:dyDescent="0.25">
      <c r="A2152">
        <v>534706</v>
      </c>
      <c r="B2152" t="s">
        <v>153</v>
      </c>
      <c r="C2152">
        <v>0</v>
      </c>
    </row>
    <row r="2153" spans="1:3" ht="15.75" x14ac:dyDescent="0.25">
      <c r="A2153">
        <v>534707</v>
      </c>
      <c r="B2153" t="s">
        <v>154</v>
      </c>
      <c r="C2153">
        <v>0</v>
      </c>
    </row>
    <row r="2154" spans="1:3" ht="15.75" x14ac:dyDescent="0.25">
      <c r="A2154">
        <v>534708</v>
      </c>
      <c r="B2154" t="s">
        <v>155</v>
      </c>
      <c r="C2154">
        <v>0</v>
      </c>
    </row>
    <row r="2155" spans="1:3" ht="15.75" x14ac:dyDescent="0.25">
      <c r="A2155">
        <v>534709</v>
      </c>
      <c r="B2155" t="s">
        <v>261</v>
      </c>
      <c r="C2155">
        <v>0</v>
      </c>
    </row>
    <row r="2156" spans="1:3" ht="15.75" x14ac:dyDescent="0.25">
      <c r="A2156">
        <v>534710</v>
      </c>
      <c r="B2156" t="s">
        <v>262</v>
      </c>
      <c r="C2156">
        <v>0</v>
      </c>
    </row>
    <row r="2157" spans="1:3" ht="15.75" x14ac:dyDescent="0.25">
      <c r="A2157">
        <v>534714</v>
      </c>
      <c r="B2157" t="s">
        <v>266</v>
      </c>
      <c r="C2157">
        <v>0</v>
      </c>
    </row>
    <row r="2158" spans="1:3" ht="15.75" x14ac:dyDescent="0.25">
      <c r="A2158">
        <v>534790</v>
      </c>
      <c r="B2158" t="s">
        <v>257</v>
      </c>
      <c r="C2158">
        <v>0</v>
      </c>
    </row>
    <row r="2159" spans="1:3" ht="15.75" x14ac:dyDescent="0.25">
      <c r="A2159">
        <v>5348</v>
      </c>
      <c r="B2159" t="s">
        <v>1317</v>
      </c>
      <c r="C2159">
        <f>SUM(C2160:C2169)</f>
        <v>0</v>
      </c>
    </row>
    <row r="2160" spans="1:3" ht="15.75" x14ac:dyDescent="0.25">
      <c r="A2160">
        <v>534801</v>
      </c>
      <c r="B2160" t="s">
        <v>259</v>
      </c>
      <c r="C2160">
        <v>0</v>
      </c>
    </row>
    <row r="2161" spans="1:3" ht="15.75" x14ac:dyDescent="0.25">
      <c r="A2161">
        <v>534802</v>
      </c>
      <c r="B2161" t="s">
        <v>260</v>
      </c>
      <c r="C2161">
        <v>0</v>
      </c>
    </row>
    <row r="2162" spans="1:3" ht="15.75" x14ac:dyDescent="0.25">
      <c r="A2162">
        <v>534803</v>
      </c>
      <c r="B2162" t="s">
        <v>150</v>
      </c>
      <c r="C2162">
        <v>0</v>
      </c>
    </row>
    <row r="2163" spans="1:3" ht="15.75" x14ac:dyDescent="0.25">
      <c r="A2163">
        <v>534804</v>
      </c>
      <c r="B2163" t="s">
        <v>151</v>
      </c>
      <c r="C2163">
        <v>0</v>
      </c>
    </row>
    <row r="2164" spans="1:3" ht="15.75" x14ac:dyDescent="0.25">
      <c r="A2164">
        <v>534805</v>
      </c>
      <c r="B2164" t="s">
        <v>152</v>
      </c>
      <c r="C2164">
        <v>0</v>
      </c>
    </row>
    <row r="2165" spans="1:3" ht="15.75" x14ac:dyDescent="0.25">
      <c r="A2165">
        <v>534806</v>
      </c>
      <c r="B2165" t="s">
        <v>153</v>
      </c>
      <c r="C2165">
        <v>0</v>
      </c>
    </row>
    <row r="2166" spans="1:3" ht="15.75" x14ac:dyDescent="0.25">
      <c r="A2166">
        <v>534807</v>
      </c>
      <c r="B2166" t="s">
        <v>154</v>
      </c>
      <c r="C2166">
        <v>0</v>
      </c>
    </row>
    <row r="2167" spans="1:3" ht="15.75" x14ac:dyDescent="0.25">
      <c r="A2167">
        <v>534808</v>
      </c>
      <c r="B2167" t="s">
        <v>155</v>
      </c>
      <c r="C2167">
        <v>0</v>
      </c>
    </row>
    <row r="2168" spans="1:3" ht="15.75" x14ac:dyDescent="0.25">
      <c r="A2168">
        <v>534809</v>
      </c>
      <c r="B2168" t="s">
        <v>1318</v>
      </c>
      <c r="C2168">
        <v>0</v>
      </c>
    </row>
    <row r="2169" spans="1:3" ht="15.75" x14ac:dyDescent="0.25">
      <c r="A2169">
        <v>534890</v>
      </c>
      <c r="B2169" t="s">
        <v>268</v>
      </c>
      <c r="C2169">
        <v>0</v>
      </c>
    </row>
    <row r="2170" spans="1:3" ht="15.75" x14ac:dyDescent="0.25">
      <c r="A2170">
        <v>5349</v>
      </c>
      <c r="B2170" t="s">
        <v>1319</v>
      </c>
      <c r="C2170">
        <f>SUM(C2171)</f>
        <v>0</v>
      </c>
    </row>
    <row r="2171" spans="1:3" ht="15.75" x14ac:dyDescent="0.25">
      <c r="A2171">
        <v>534901</v>
      </c>
      <c r="B2171" t="s">
        <v>288</v>
      </c>
      <c r="C2171">
        <v>0</v>
      </c>
    </row>
    <row r="2172" spans="1:3" ht="15.75" x14ac:dyDescent="0.25">
      <c r="A2172">
        <v>5350</v>
      </c>
      <c r="B2172" t="s">
        <v>1320</v>
      </c>
      <c r="C2172">
        <f>SUM(C2173:C2180)</f>
        <v>0</v>
      </c>
    </row>
    <row r="2173" spans="1:3" ht="15.75" x14ac:dyDescent="0.25">
      <c r="A2173">
        <v>535001</v>
      </c>
      <c r="B2173" t="s">
        <v>358</v>
      </c>
      <c r="C2173">
        <v>0</v>
      </c>
    </row>
    <row r="2174" spans="1:3" ht="15.75" x14ac:dyDescent="0.25">
      <c r="A2174">
        <v>535002</v>
      </c>
      <c r="B2174" t="s">
        <v>359</v>
      </c>
      <c r="C2174">
        <v>0</v>
      </c>
    </row>
    <row r="2175" spans="1:3" ht="15.75" x14ac:dyDescent="0.25">
      <c r="A2175">
        <v>535003</v>
      </c>
      <c r="B2175" t="s">
        <v>360</v>
      </c>
      <c r="C2175">
        <v>0</v>
      </c>
    </row>
    <row r="2176" spans="1:3" ht="15.75" x14ac:dyDescent="0.25">
      <c r="A2176">
        <v>535004</v>
      </c>
      <c r="B2176" t="s">
        <v>325</v>
      </c>
      <c r="C2176">
        <v>0</v>
      </c>
    </row>
    <row r="2177" spans="1:3" ht="15.75" x14ac:dyDescent="0.25">
      <c r="A2177">
        <v>535005</v>
      </c>
      <c r="B2177" t="s">
        <v>361</v>
      </c>
      <c r="C2177">
        <v>0</v>
      </c>
    </row>
    <row r="2178" spans="1:3" ht="15.75" x14ac:dyDescent="0.25">
      <c r="A2178">
        <v>535006</v>
      </c>
      <c r="B2178" t="s">
        <v>362</v>
      </c>
      <c r="C2178">
        <v>0</v>
      </c>
    </row>
    <row r="2179" spans="1:3" ht="15.75" x14ac:dyDescent="0.25">
      <c r="A2179">
        <v>535007</v>
      </c>
      <c r="B2179" t="s">
        <v>363</v>
      </c>
      <c r="C2179">
        <v>0</v>
      </c>
    </row>
    <row r="2180" spans="1:3" ht="15.75" x14ac:dyDescent="0.25">
      <c r="A2180">
        <v>535008</v>
      </c>
      <c r="B2180" t="s">
        <v>364</v>
      </c>
      <c r="C2180">
        <v>0</v>
      </c>
    </row>
    <row r="2181" spans="1:3" ht="15.75" x14ac:dyDescent="0.25">
      <c r="A2181">
        <v>5351</v>
      </c>
      <c r="B2181" t="s">
        <v>1321</v>
      </c>
      <c r="C2181">
        <f>SUM(C2182:C2202)</f>
        <v>0</v>
      </c>
    </row>
    <row r="2182" spans="1:3" ht="15.75" x14ac:dyDescent="0.25">
      <c r="A2182">
        <v>535101</v>
      </c>
      <c r="B2182" t="s">
        <v>305</v>
      </c>
      <c r="C2182">
        <v>0</v>
      </c>
    </row>
    <row r="2183" spans="1:3" ht="15.75" x14ac:dyDescent="0.25">
      <c r="A2183">
        <v>535102</v>
      </c>
      <c r="B2183" t="s">
        <v>397</v>
      </c>
      <c r="C2183">
        <v>0</v>
      </c>
    </row>
    <row r="2184" spans="1:3" ht="15.75" x14ac:dyDescent="0.25">
      <c r="A2184">
        <v>535103</v>
      </c>
      <c r="B2184" t="s">
        <v>404</v>
      </c>
      <c r="C2184">
        <v>0</v>
      </c>
    </row>
    <row r="2185" spans="1:3" ht="15.75" x14ac:dyDescent="0.25">
      <c r="A2185">
        <v>535104</v>
      </c>
      <c r="B2185" t="s">
        <v>543</v>
      </c>
      <c r="C2185">
        <v>0</v>
      </c>
    </row>
    <row r="2186" spans="1:3" ht="15.75" x14ac:dyDescent="0.25">
      <c r="A2186">
        <v>535105</v>
      </c>
      <c r="B2186" t="s">
        <v>384</v>
      </c>
      <c r="C2186">
        <v>0</v>
      </c>
    </row>
    <row r="2187" spans="1:3" ht="15.75" x14ac:dyDescent="0.25">
      <c r="A2187">
        <v>535106</v>
      </c>
      <c r="B2187" t="s">
        <v>385</v>
      </c>
      <c r="C2187">
        <v>0</v>
      </c>
    </row>
    <row r="2188" spans="1:3" ht="15.75" x14ac:dyDescent="0.25">
      <c r="A2188">
        <v>535107</v>
      </c>
      <c r="B2188" t="s">
        <v>386</v>
      </c>
      <c r="C2188">
        <v>0</v>
      </c>
    </row>
    <row r="2189" spans="1:3" ht="15.75" x14ac:dyDescent="0.25">
      <c r="A2189">
        <v>535108</v>
      </c>
      <c r="B2189" t="s">
        <v>389</v>
      </c>
      <c r="C2189">
        <v>0</v>
      </c>
    </row>
    <row r="2190" spans="1:3" ht="15.75" x14ac:dyDescent="0.25">
      <c r="A2190">
        <v>535109</v>
      </c>
      <c r="B2190" t="s">
        <v>390</v>
      </c>
      <c r="C2190">
        <v>0</v>
      </c>
    </row>
    <row r="2191" spans="1:3" ht="15.75" x14ac:dyDescent="0.25">
      <c r="A2191">
        <v>535110</v>
      </c>
      <c r="B2191" t="s">
        <v>396</v>
      </c>
      <c r="C2191">
        <v>0</v>
      </c>
    </row>
    <row r="2192" spans="1:3" ht="15.75" x14ac:dyDescent="0.25">
      <c r="A2192">
        <v>535111</v>
      </c>
      <c r="B2192" t="s">
        <v>310</v>
      </c>
      <c r="C2192">
        <v>0</v>
      </c>
    </row>
    <row r="2193" spans="1:3" ht="15.75" x14ac:dyDescent="0.25">
      <c r="A2193">
        <v>535112</v>
      </c>
      <c r="B2193" t="s">
        <v>544</v>
      </c>
      <c r="C2193">
        <v>0</v>
      </c>
    </row>
    <row r="2194" spans="1:3" ht="15.75" x14ac:dyDescent="0.25">
      <c r="A2194">
        <v>535113</v>
      </c>
      <c r="B2194" t="s">
        <v>391</v>
      </c>
      <c r="C2194">
        <v>0</v>
      </c>
    </row>
    <row r="2195" spans="1:3" ht="15.75" x14ac:dyDescent="0.25">
      <c r="A2195">
        <v>535114</v>
      </c>
      <c r="B2195" t="s">
        <v>535</v>
      </c>
      <c r="C2195">
        <v>0</v>
      </c>
    </row>
    <row r="2196" spans="1:3" ht="15.75" x14ac:dyDescent="0.25">
      <c r="A2196">
        <v>535115</v>
      </c>
      <c r="B2196" t="s">
        <v>332</v>
      </c>
      <c r="C2196">
        <v>0</v>
      </c>
    </row>
    <row r="2197" spans="1:3" ht="15.75" x14ac:dyDescent="0.25">
      <c r="A2197">
        <v>535116</v>
      </c>
      <c r="B2197" t="s">
        <v>545</v>
      </c>
      <c r="C2197">
        <v>0</v>
      </c>
    </row>
    <row r="2198" spans="1:3" ht="15.75" x14ac:dyDescent="0.25">
      <c r="A2198">
        <v>535117</v>
      </c>
      <c r="B2198" t="s">
        <v>536</v>
      </c>
      <c r="C2198">
        <v>0</v>
      </c>
    </row>
    <row r="2199" spans="1:3" ht="15.75" x14ac:dyDescent="0.25">
      <c r="A2199">
        <v>535118</v>
      </c>
      <c r="B2199" t="s">
        <v>540</v>
      </c>
      <c r="C2199">
        <v>0</v>
      </c>
    </row>
    <row r="2200" spans="1:3" ht="15.75" x14ac:dyDescent="0.25">
      <c r="A2200">
        <v>535119</v>
      </c>
      <c r="B2200" t="s">
        <v>537</v>
      </c>
      <c r="C2200">
        <v>0</v>
      </c>
    </row>
    <row r="2201" spans="1:3" ht="15.75" x14ac:dyDescent="0.25">
      <c r="A2201">
        <v>535120</v>
      </c>
      <c r="B2201" t="s">
        <v>538</v>
      </c>
      <c r="C2201">
        <v>0</v>
      </c>
    </row>
    <row r="2202" spans="1:3" ht="15.75" x14ac:dyDescent="0.25">
      <c r="A2202">
        <v>535121</v>
      </c>
      <c r="B2202" t="s">
        <v>539</v>
      </c>
      <c r="C2202">
        <v>0</v>
      </c>
    </row>
    <row r="2203" spans="1:3" ht="15.75" x14ac:dyDescent="0.25">
      <c r="A2203">
        <v>5355</v>
      </c>
      <c r="B2203" t="s">
        <v>1322</v>
      </c>
      <c r="C2203">
        <f>SUM(C2204:C2207)</f>
        <v>0</v>
      </c>
    </row>
    <row r="2204" spans="1:3" ht="15.75" x14ac:dyDescent="0.25">
      <c r="A2204">
        <v>535501</v>
      </c>
      <c r="B2204" t="s">
        <v>305</v>
      </c>
      <c r="C2204">
        <v>0</v>
      </c>
    </row>
    <row r="2205" spans="1:3" ht="15.75" x14ac:dyDescent="0.25">
      <c r="A2205">
        <v>535502</v>
      </c>
      <c r="B2205" t="s">
        <v>384</v>
      </c>
      <c r="C2205">
        <v>0</v>
      </c>
    </row>
    <row r="2206" spans="1:3" ht="15.75" x14ac:dyDescent="0.25">
      <c r="A2206">
        <v>535503</v>
      </c>
      <c r="B2206" t="s">
        <v>609</v>
      </c>
      <c r="C2206">
        <v>0</v>
      </c>
    </row>
    <row r="2207" spans="1:3" ht="15.75" x14ac:dyDescent="0.25">
      <c r="A2207">
        <v>535504</v>
      </c>
      <c r="B2207" t="s">
        <v>610</v>
      </c>
      <c r="C2207">
        <v>0</v>
      </c>
    </row>
    <row r="2208" spans="1:3" ht="15.75" x14ac:dyDescent="0.25">
      <c r="A2208">
        <v>5357</v>
      </c>
      <c r="B2208" t="s">
        <v>1323</v>
      </c>
      <c r="C2208">
        <v>750000</v>
      </c>
    </row>
    <row r="2209" spans="1:3" ht="15.75" x14ac:dyDescent="0.25">
      <c r="A2209">
        <v>535701</v>
      </c>
      <c r="B2209" t="s">
        <v>614</v>
      </c>
      <c r="C2209">
        <v>0</v>
      </c>
    </row>
    <row r="2210" spans="1:3" ht="15.75" x14ac:dyDescent="0.25">
      <c r="A2210">
        <v>535702</v>
      </c>
      <c r="B2210" t="s">
        <v>615</v>
      </c>
      <c r="C2210">
        <v>0</v>
      </c>
    </row>
    <row r="2211" spans="1:3" ht="15.75" x14ac:dyDescent="0.25">
      <c r="A2211">
        <v>535703</v>
      </c>
      <c r="B2211" t="s">
        <v>616</v>
      </c>
      <c r="C2211">
        <v>0</v>
      </c>
    </row>
    <row r="2212" spans="1:3" ht="15.75" x14ac:dyDescent="0.25">
      <c r="A2212">
        <v>535704</v>
      </c>
      <c r="B2212" t="s">
        <v>617</v>
      </c>
      <c r="C2212">
        <v>0</v>
      </c>
    </row>
    <row r="2213" spans="1:3" ht="15.75" x14ac:dyDescent="0.25">
      <c r="A2213">
        <v>535705</v>
      </c>
      <c r="B2213" t="s">
        <v>618</v>
      </c>
      <c r="C2213">
        <v>0</v>
      </c>
    </row>
    <row r="2214" spans="1:3" ht="15.75" x14ac:dyDescent="0.25">
      <c r="A2214">
        <v>535706</v>
      </c>
      <c r="B2214" t="s">
        <v>619</v>
      </c>
      <c r="C2214">
        <v>0</v>
      </c>
    </row>
    <row r="2215" spans="1:3" ht="15.75" x14ac:dyDescent="0.25">
      <c r="A2215">
        <v>535707</v>
      </c>
      <c r="B2215" t="s">
        <v>620</v>
      </c>
      <c r="C2215">
        <v>750000</v>
      </c>
    </row>
    <row r="2216" spans="1:3" ht="15.75" x14ac:dyDescent="0.25">
      <c r="A2216">
        <v>535709</v>
      </c>
      <c r="B2216" t="s">
        <v>621</v>
      </c>
      <c r="C2216">
        <v>0</v>
      </c>
    </row>
    <row r="2217" spans="1:3" ht="15.75" x14ac:dyDescent="0.25">
      <c r="A2217">
        <v>535711</v>
      </c>
      <c r="B2217" t="s">
        <v>622</v>
      </c>
      <c r="C2217">
        <v>0</v>
      </c>
    </row>
    <row r="2218" spans="1:3" ht="15.75" x14ac:dyDescent="0.25">
      <c r="A2218">
        <v>535790</v>
      </c>
      <c r="B2218" t="s">
        <v>623</v>
      </c>
      <c r="C2218">
        <v>0</v>
      </c>
    </row>
    <row r="2219" spans="1:3" ht="15.75" x14ac:dyDescent="0.25">
      <c r="A2219">
        <v>5359</v>
      </c>
      <c r="B2219" t="s">
        <v>1324</v>
      </c>
      <c r="C2219">
        <f>SUM(C2220:C2223)</f>
        <v>0</v>
      </c>
    </row>
    <row r="2220" spans="1:3" ht="15.75" x14ac:dyDescent="0.25">
      <c r="A2220">
        <v>535901</v>
      </c>
      <c r="B2220" t="s">
        <v>627</v>
      </c>
      <c r="C2220">
        <v>0</v>
      </c>
    </row>
    <row r="2221" spans="1:3" ht="15.75" x14ac:dyDescent="0.25">
      <c r="A2221">
        <v>535902</v>
      </c>
      <c r="B2221" t="s">
        <v>628</v>
      </c>
      <c r="C2221">
        <v>0</v>
      </c>
    </row>
    <row r="2222" spans="1:3" ht="15.75" x14ac:dyDescent="0.25">
      <c r="A2222">
        <v>535903</v>
      </c>
      <c r="B2222" t="s">
        <v>629</v>
      </c>
      <c r="C2222">
        <v>0</v>
      </c>
    </row>
    <row r="2223" spans="1:3" ht="15.75" x14ac:dyDescent="0.25">
      <c r="A2223">
        <v>535904</v>
      </c>
      <c r="B2223" t="s">
        <v>630</v>
      </c>
      <c r="C2223">
        <v>0</v>
      </c>
    </row>
    <row r="2224" spans="1:3" ht="15.75" x14ac:dyDescent="0.25">
      <c r="A2224">
        <v>5360</v>
      </c>
      <c r="B2224" t="s">
        <v>1325</v>
      </c>
      <c r="C2224">
        <v>3569542</v>
      </c>
    </row>
    <row r="2225" spans="1:3" ht="15.75" x14ac:dyDescent="0.25">
      <c r="A2225">
        <v>536001</v>
      </c>
      <c r="B2225" t="s">
        <v>384</v>
      </c>
      <c r="C2225">
        <v>0</v>
      </c>
    </row>
    <row r="2226" spans="1:3" ht="15.75" x14ac:dyDescent="0.25">
      <c r="A2226">
        <v>536002</v>
      </c>
      <c r="B2226" t="s">
        <v>385</v>
      </c>
      <c r="C2226">
        <v>412929</v>
      </c>
    </row>
    <row r="2227" spans="1:3" ht="15.75" x14ac:dyDescent="0.25">
      <c r="A2227">
        <v>536003</v>
      </c>
      <c r="B2227" t="s">
        <v>386</v>
      </c>
      <c r="C2227">
        <v>0</v>
      </c>
    </row>
    <row r="2228" spans="1:3" ht="15.75" x14ac:dyDescent="0.25">
      <c r="A2228">
        <v>536004</v>
      </c>
      <c r="B2228" t="s">
        <v>389</v>
      </c>
      <c r="C2228">
        <v>0</v>
      </c>
    </row>
    <row r="2229" spans="1:3" ht="15.75" x14ac:dyDescent="0.25">
      <c r="A2229">
        <v>536005</v>
      </c>
      <c r="B2229" t="s">
        <v>390</v>
      </c>
      <c r="C2229">
        <v>0</v>
      </c>
    </row>
    <row r="2230" spans="1:3" ht="15.75" x14ac:dyDescent="0.25">
      <c r="A2230">
        <v>536006</v>
      </c>
      <c r="B2230" t="s">
        <v>396</v>
      </c>
      <c r="C2230">
        <v>77051</v>
      </c>
    </row>
    <row r="2231" spans="1:3" ht="15.75" x14ac:dyDescent="0.25">
      <c r="A2231">
        <v>536007</v>
      </c>
      <c r="B2231" t="s">
        <v>310</v>
      </c>
      <c r="C2231">
        <v>3079562</v>
      </c>
    </row>
    <row r="2232" spans="1:3" ht="15.75" x14ac:dyDescent="0.25">
      <c r="A2232">
        <v>536008</v>
      </c>
      <c r="B2232" t="s">
        <v>392</v>
      </c>
      <c r="C2232">
        <v>0</v>
      </c>
    </row>
    <row r="2233" spans="1:3" ht="15.75" x14ac:dyDescent="0.25">
      <c r="A2233">
        <v>536009</v>
      </c>
      <c r="B2233" t="s">
        <v>391</v>
      </c>
      <c r="C2233">
        <v>0</v>
      </c>
    </row>
    <row r="2234" spans="1:3" ht="15.75" x14ac:dyDescent="0.25">
      <c r="A2234">
        <v>536010</v>
      </c>
      <c r="B2234" t="s">
        <v>397</v>
      </c>
      <c r="C2234">
        <v>0</v>
      </c>
    </row>
    <row r="2235" spans="1:3" ht="15.75" x14ac:dyDescent="0.25">
      <c r="A2235">
        <v>536011</v>
      </c>
      <c r="B2235" t="s">
        <v>535</v>
      </c>
      <c r="C2235">
        <v>0</v>
      </c>
    </row>
    <row r="2236" spans="1:3" ht="15.75" x14ac:dyDescent="0.25">
      <c r="A2236">
        <v>536012</v>
      </c>
      <c r="B2236" t="s">
        <v>536</v>
      </c>
      <c r="C2236">
        <v>0</v>
      </c>
    </row>
    <row r="2237" spans="1:3" ht="15.75" x14ac:dyDescent="0.25">
      <c r="A2237">
        <v>536013</v>
      </c>
      <c r="B2237" t="s">
        <v>537</v>
      </c>
      <c r="C2237">
        <v>0</v>
      </c>
    </row>
    <row r="2238" spans="1:3" ht="15.75" x14ac:dyDescent="0.25">
      <c r="A2238">
        <v>536014</v>
      </c>
      <c r="B2238" t="s">
        <v>538</v>
      </c>
      <c r="C2238">
        <v>0</v>
      </c>
    </row>
    <row r="2239" spans="1:3" ht="15.75" x14ac:dyDescent="0.25">
      <c r="A2239">
        <v>536015</v>
      </c>
      <c r="B2239" t="s">
        <v>539</v>
      </c>
      <c r="C2239">
        <v>0</v>
      </c>
    </row>
    <row r="2240" spans="1:3" ht="15.75" x14ac:dyDescent="0.25">
      <c r="A2240">
        <v>536016</v>
      </c>
      <c r="B2240" t="s">
        <v>540</v>
      </c>
      <c r="C2240">
        <v>0</v>
      </c>
    </row>
    <row r="2241" spans="1:3" ht="15.75" x14ac:dyDescent="0.25">
      <c r="A2241">
        <v>536017</v>
      </c>
      <c r="B2241" t="s">
        <v>541</v>
      </c>
      <c r="C2241">
        <v>0</v>
      </c>
    </row>
    <row r="2242" spans="1:3" ht="15.75" x14ac:dyDescent="0.25">
      <c r="A2242">
        <v>5362</v>
      </c>
      <c r="B2242" t="s">
        <v>1326</v>
      </c>
      <c r="C2242">
        <f>SUM(C2243:C2244)</f>
        <v>0</v>
      </c>
    </row>
    <row r="2243" spans="1:3" ht="15.75" x14ac:dyDescent="0.25">
      <c r="A2243">
        <v>536201</v>
      </c>
      <c r="B2243" t="s">
        <v>384</v>
      </c>
      <c r="C2243">
        <v>0</v>
      </c>
    </row>
    <row r="2244" spans="1:3" ht="15.75" x14ac:dyDescent="0.25">
      <c r="A2244">
        <v>536202</v>
      </c>
      <c r="B2244" t="s">
        <v>610</v>
      </c>
      <c r="C2244">
        <v>0</v>
      </c>
    </row>
    <row r="2245" spans="1:3" ht="15.75" x14ac:dyDescent="0.25">
      <c r="A2245">
        <v>5363</v>
      </c>
      <c r="B2245" t="s">
        <v>1327</v>
      </c>
      <c r="C2245">
        <f>SUM(C2246:C2249)</f>
        <v>0</v>
      </c>
    </row>
    <row r="2246" spans="1:3" ht="15.75" x14ac:dyDescent="0.25">
      <c r="A2246">
        <v>536301</v>
      </c>
      <c r="B2246" t="s">
        <v>627</v>
      </c>
      <c r="C2246">
        <v>0</v>
      </c>
    </row>
    <row r="2247" spans="1:3" ht="15.75" x14ac:dyDescent="0.25">
      <c r="A2247">
        <v>536302</v>
      </c>
      <c r="B2247" t="s">
        <v>628</v>
      </c>
      <c r="C2247">
        <v>0</v>
      </c>
    </row>
    <row r="2248" spans="1:3" ht="15.75" x14ac:dyDescent="0.25">
      <c r="A2248">
        <v>536303</v>
      </c>
      <c r="B2248" t="s">
        <v>629</v>
      </c>
      <c r="C2248">
        <v>0</v>
      </c>
    </row>
    <row r="2249" spans="1:3" ht="15.75" x14ac:dyDescent="0.25">
      <c r="A2249">
        <v>536304</v>
      </c>
      <c r="B2249" t="s">
        <v>630</v>
      </c>
      <c r="C2249">
        <v>0</v>
      </c>
    </row>
    <row r="2250" spans="1:3" ht="15.75" x14ac:dyDescent="0.25">
      <c r="A2250">
        <v>5366</v>
      </c>
      <c r="B2250" t="s">
        <v>1328</v>
      </c>
      <c r="C2250">
        <v>725000</v>
      </c>
    </row>
    <row r="2251" spans="1:3" ht="15.75" x14ac:dyDescent="0.25">
      <c r="A2251">
        <v>536601</v>
      </c>
      <c r="B2251" t="s">
        <v>615</v>
      </c>
      <c r="C2251">
        <v>350000</v>
      </c>
    </row>
    <row r="2252" spans="1:3" ht="15.75" x14ac:dyDescent="0.25">
      <c r="A2252">
        <v>536602</v>
      </c>
      <c r="B2252" t="s">
        <v>616</v>
      </c>
      <c r="C2252">
        <v>0</v>
      </c>
    </row>
    <row r="2253" spans="1:3" ht="15.75" x14ac:dyDescent="0.25">
      <c r="A2253">
        <v>536603</v>
      </c>
      <c r="B2253" t="s">
        <v>617</v>
      </c>
      <c r="C2253">
        <v>0</v>
      </c>
    </row>
    <row r="2254" spans="1:3" ht="15.75" x14ac:dyDescent="0.25">
      <c r="A2254">
        <v>536604</v>
      </c>
      <c r="B2254" t="s">
        <v>618</v>
      </c>
      <c r="C2254">
        <v>0</v>
      </c>
    </row>
    <row r="2255" spans="1:3" ht="15.75" x14ac:dyDescent="0.25">
      <c r="A2255">
        <v>536605</v>
      </c>
      <c r="B2255" t="s">
        <v>619</v>
      </c>
      <c r="C2255">
        <v>0</v>
      </c>
    </row>
    <row r="2256" spans="1:3" ht="15.75" x14ac:dyDescent="0.25">
      <c r="A2256">
        <v>536606</v>
      </c>
      <c r="B2256" t="s">
        <v>620</v>
      </c>
      <c r="C2256">
        <v>375000</v>
      </c>
    </row>
    <row r="2257" spans="1:3" ht="15.75" x14ac:dyDescent="0.25">
      <c r="A2257">
        <v>536609</v>
      </c>
      <c r="B2257" t="s">
        <v>622</v>
      </c>
      <c r="C2257">
        <v>0</v>
      </c>
    </row>
    <row r="2258" spans="1:3" ht="15.75" x14ac:dyDescent="0.25">
      <c r="A2258">
        <v>536690</v>
      </c>
      <c r="B2258" t="s">
        <v>623</v>
      </c>
      <c r="C2258">
        <v>0</v>
      </c>
    </row>
    <row r="2259" spans="1:3" ht="15.75" x14ac:dyDescent="0.25">
      <c r="A2259">
        <v>5368</v>
      </c>
      <c r="B2259" t="s">
        <v>1329</v>
      </c>
      <c r="C2259">
        <f>SUM(C2260:C2265)</f>
        <v>0</v>
      </c>
    </row>
    <row r="2260" spans="1:3" ht="15.75" x14ac:dyDescent="0.25">
      <c r="A2260">
        <v>536801</v>
      </c>
      <c r="B2260" t="s">
        <v>911</v>
      </c>
      <c r="C2260">
        <v>0</v>
      </c>
    </row>
    <row r="2261" spans="1:3" ht="15.75" x14ac:dyDescent="0.25">
      <c r="A2261">
        <v>536802</v>
      </c>
      <c r="B2261" t="s">
        <v>912</v>
      </c>
      <c r="C2261">
        <v>0</v>
      </c>
    </row>
    <row r="2262" spans="1:3" ht="15.75" x14ac:dyDescent="0.25">
      <c r="A2262">
        <v>536803</v>
      </c>
      <c r="B2262" t="s">
        <v>913</v>
      </c>
      <c r="C2262">
        <v>0</v>
      </c>
    </row>
    <row r="2263" spans="1:3" ht="15.75" x14ac:dyDescent="0.25">
      <c r="A2263">
        <v>536804</v>
      </c>
      <c r="B2263" t="s">
        <v>914</v>
      </c>
      <c r="C2263">
        <v>0</v>
      </c>
    </row>
    <row r="2264" spans="1:3" ht="15.75" x14ac:dyDescent="0.25">
      <c r="A2264">
        <v>536805</v>
      </c>
      <c r="B2264" t="s">
        <v>915</v>
      </c>
      <c r="C2264">
        <v>0</v>
      </c>
    </row>
    <row r="2265" spans="1:3" ht="15.75" x14ac:dyDescent="0.25">
      <c r="A2265">
        <v>536890</v>
      </c>
      <c r="B2265" t="s">
        <v>916</v>
      </c>
      <c r="C2265">
        <v>0</v>
      </c>
    </row>
    <row r="2266" spans="1:3" ht="15.75" x14ac:dyDescent="0.25">
      <c r="A2266">
        <v>5369</v>
      </c>
      <c r="B2266" t="s">
        <v>1330</v>
      </c>
      <c r="C2266">
        <f>SUM(C2267:C2268)</f>
        <v>0</v>
      </c>
    </row>
    <row r="2267" spans="1:3" ht="15.75" x14ac:dyDescent="0.25">
      <c r="A2267">
        <v>536901</v>
      </c>
      <c r="B2267" t="s">
        <v>918</v>
      </c>
      <c r="C2267">
        <v>0</v>
      </c>
    </row>
    <row r="2268" spans="1:3" ht="15.75" x14ac:dyDescent="0.25">
      <c r="A2268">
        <v>536902</v>
      </c>
      <c r="B2268" t="s">
        <v>819</v>
      </c>
      <c r="C2268">
        <v>0</v>
      </c>
    </row>
    <row r="2269" spans="1:3" ht="15.75" x14ac:dyDescent="0.25">
      <c r="A2269">
        <v>5373</v>
      </c>
      <c r="B2269" t="s">
        <v>919</v>
      </c>
      <c r="C2269">
        <f>SUM(C2270:C2277)</f>
        <v>0</v>
      </c>
    </row>
    <row r="2270" spans="1:3" ht="15.75" x14ac:dyDescent="0.25">
      <c r="A2270">
        <v>537302</v>
      </c>
      <c r="B2270" t="s">
        <v>920</v>
      </c>
      <c r="C2270">
        <v>0</v>
      </c>
    </row>
    <row r="2271" spans="1:3" ht="15.75" x14ac:dyDescent="0.25">
      <c r="A2271">
        <v>537303</v>
      </c>
      <c r="B2271" t="s">
        <v>921</v>
      </c>
      <c r="C2271">
        <v>0</v>
      </c>
    </row>
    <row r="2272" spans="1:3" ht="15.75" x14ac:dyDescent="0.25">
      <c r="A2272">
        <v>537304</v>
      </c>
      <c r="B2272" t="s">
        <v>922</v>
      </c>
      <c r="C2272">
        <v>0</v>
      </c>
    </row>
    <row r="2273" spans="1:3" ht="15.75" x14ac:dyDescent="0.25">
      <c r="A2273">
        <v>537305</v>
      </c>
      <c r="B2273" t="s">
        <v>923</v>
      </c>
      <c r="C2273">
        <v>0</v>
      </c>
    </row>
    <row r="2274" spans="1:3" ht="15.75" x14ac:dyDescent="0.25">
      <c r="A2274">
        <v>537306</v>
      </c>
      <c r="B2274" t="s">
        <v>924</v>
      </c>
      <c r="C2274">
        <v>0</v>
      </c>
    </row>
    <row r="2275" spans="1:3" ht="15.75" x14ac:dyDescent="0.25">
      <c r="A2275">
        <v>537307</v>
      </c>
      <c r="B2275" t="s">
        <v>925</v>
      </c>
      <c r="C2275">
        <v>0</v>
      </c>
    </row>
    <row r="2276" spans="1:3" ht="15.75" x14ac:dyDescent="0.25">
      <c r="A2276">
        <v>537308</v>
      </c>
      <c r="B2276" t="s">
        <v>930</v>
      </c>
      <c r="C2276">
        <v>0</v>
      </c>
    </row>
    <row r="2277" spans="1:3" ht="15.75" x14ac:dyDescent="0.25">
      <c r="A2277">
        <v>537390</v>
      </c>
      <c r="B2277" t="s">
        <v>931</v>
      </c>
      <c r="C2277">
        <v>0</v>
      </c>
    </row>
    <row r="2278" spans="1:3" ht="15.75" x14ac:dyDescent="0.25">
      <c r="A2278">
        <v>54</v>
      </c>
      <c r="B2278" t="s">
        <v>1148</v>
      </c>
      <c r="C2278">
        <f>SUM(C2279)</f>
        <v>0</v>
      </c>
    </row>
    <row r="2279" spans="1:3" ht="15.75" x14ac:dyDescent="0.25">
      <c r="A2279">
        <v>5424</v>
      </c>
      <c r="B2279" t="s">
        <v>1149</v>
      </c>
      <c r="C2279">
        <f>SUM(C2280:C2287)</f>
        <v>0</v>
      </c>
    </row>
    <row r="2280" spans="1:3" ht="15.75" x14ac:dyDescent="0.25">
      <c r="A2280">
        <v>542401</v>
      </c>
      <c r="B2280" t="s">
        <v>1150</v>
      </c>
      <c r="C2280">
        <v>0</v>
      </c>
    </row>
    <row r="2281" spans="1:3" ht="15.75" x14ac:dyDescent="0.25">
      <c r="A2281">
        <v>542402</v>
      </c>
      <c r="B2281" t="s">
        <v>1151</v>
      </c>
      <c r="C2281">
        <v>0</v>
      </c>
    </row>
    <row r="2282" spans="1:3" ht="15.75" x14ac:dyDescent="0.25">
      <c r="A2282">
        <v>542403</v>
      </c>
      <c r="B2282" t="s">
        <v>1331</v>
      </c>
      <c r="C2282">
        <v>0</v>
      </c>
    </row>
    <row r="2283" spans="1:3" ht="15.75" x14ac:dyDescent="0.25">
      <c r="A2283">
        <v>542404</v>
      </c>
      <c r="B2283" t="s">
        <v>221</v>
      </c>
      <c r="C2283">
        <v>0</v>
      </c>
    </row>
    <row r="2284" spans="1:3" ht="15.75" x14ac:dyDescent="0.25">
      <c r="A2284">
        <v>542405</v>
      </c>
      <c r="B2284" t="s">
        <v>693</v>
      </c>
      <c r="C2284">
        <v>0</v>
      </c>
    </row>
    <row r="2285" spans="1:3" ht="15.75" x14ac:dyDescent="0.25">
      <c r="A2285">
        <v>542407</v>
      </c>
      <c r="B2285" t="s">
        <v>1332</v>
      </c>
      <c r="C2285">
        <v>0</v>
      </c>
    </row>
    <row r="2286" spans="1:3" ht="15.75" x14ac:dyDescent="0.25">
      <c r="A2286">
        <v>542416</v>
      </c>
      <c r="B2286" t="s">
        <v>1154</v>
      </c>
      <c r="C2286">
        <v>0</v>
      </c>
    </row>
    <row r="2287" spans="1:3" ht="15.75" x14ac:dyDescent="0.25">
      <c r="A2287">
        <v>542490</v>
      </c>
      <c r="B2287" t="s">
        <v>223</v>
      </c>
      <c r="C2287">
        <v>0</v>
      </c>
    </row>
    <row r="2288" spans="1:3" ht="15.75" x14ac:dyDescent="0.25">
      <c r="A2288">
        <v>56</v>
      </c>
      <c r="B2288" t="s">
        <v>1333</v>
      </c>
      <c r="C2288">
        <f>SUM(C2289,C2313)</f>
        <v>0</v>
      </c>
    </row>
    <row r="2289" spans="1:3" ht="15.75" x14ac:dyDescent="0.25">
      <c r="A2289">
        <v>5613</v>
      </c>
      <c r="B2289" t="s">
        <v>794</v>
      </c>
      <c r="C2289">
        <f>SUM(C2290:C2312)</f>
        <v>0</v>
      </c>
    </row>
    <row r="2290" spans="1:3" ht="15.75" x14ac:dyDescent="0.25">
      <c r="A2290">
        <v>561301</v>
      </c>
      <c r="B2290" t="s">
        <v>795</v>
      </c>
      <c r="C2290">
        <v>0</v>
      </c>
    </row>
    <row r="2291" spans="1:3" ht="15.75" x14ac:dyDescent="0.25">
      <c r="A2291">
        <v>561302</v>
      </c>
      <c r="B2291" t="s">
        <v>796</v>
      </c>
      <c r="C2291">
        <v>0</v>
      </c>
    </row>
    <row r="2292" spans="1:3" ht="15.75" x14ac:dyDescent="0.25">
      <c r="A2292">
        <v>561303</v>
      </c>
      <c r="B2292" t="s">
        <v>797</v>
      </c>
      <c r="C2292">
        <v>0</v>
      </c>
    </row>
    <row r="2293" spans="1:3" ht="15.75" x14ac:dyDescent="0.25">
      <c r="A2293">
        <v>561304</v>
      </c>
      <c r="B2293" t="s">
        <v>798</v>
      </c>
      <c r="C2293">
        <v>0</v>
      </c>
    </row>
    <row r="2294" spans="1:3" ht="15.75" x14ac:dyDescent="0.25">
      <c r="A2294">
        <v>561305</v>
      </c>
      <c r="B2294" t="s">
        <v>799</v>
      </c>
      <c r="C2294">
        <v>0</v>
      </c>
    </row>
    <row r="2295" spans="1:3" ht="15.75" x14ac:dyDescent="0.25">
      <c r="A2295">
        <v>561306</v>
      </c>
      <c r="B2295" t="s">
        <v>1334</v>
      </c>
      <c r="C2295">
        <v>0</v>
      </c>
    </row>
    <row r="2296" spans="1:3" ht="15.75" x14ac:dyDescent="0.25">
      <c r="A2296">
        <v>561307</v>
      </c>
      <c r="B2296" t="s">
        <v>801</v>
      </c>
      <c r="C2296">
        <v>0</v>
      </c>
    </row>
    <row r="2297" spans="1:3" ht="15.75" x14ac:dyDescent="0.25">
      <c r="A2297">
        <v>561308</v>
      </c>
      <c r="B2297" t="s">
        <v>1335</v>
      </c>
      <c r="C2297">
        <v>0</v>
      </c>
    </row>
    <row r="2298" spans="1:3" ht="15.75" x14ac:dyDescent="0.25">
      <c r="A2298">
        <v>561309</v>
      </c>
      <c r="B2298" t="s">
        <v>803</v>
      </c>
      <c r="C2298">
        <v>0</v>
      </c>
    </row>
    <row r="2299" spans="1:3" ht="15.75" x14ac:dyDescent="0.25">
      <c r="A2299">
        <v>561310</v>
      </c>
      <c r="B2299" t="s">
        <v>804</v>
      </c>
      <c r="C2299">
        <v>0</v>
      </c>
    </row>
    <row r="2300" spans="1:3" ht="15.75" x14ac:dyDescent="0.25">
      <c r="A2300">
        <v>561311</v>
      </c>
      <c r="B2300" t="s">
        <v>805</v>
      </c>
      <c r="C2300">
        <v>0</v>
      </c>
    </row>
    <row r="2301" spans="1:3" ht="15.75" x14ac:dyDescent="0.25">
      <c r="A2301">
        <v>561312</v>
      </c>
      <c r="B2301" t="s">
        <v>1336</v>
      </c>
      <c r="C2301">
        <v>0</v>
      </c>
    </row>
    <row r="2302" spans="1:3" ht="15.75" x14ac:dyDescent="0.25">
      <c r="A2302">
        <v>561315</v>
      </c>
      <c r="B2302" t="s">
        <v>809</v>
      </c>
      <c r="C2302">
        <v>0</v>
      </c>
    </row>
    <row r="2303" spans="1:3" ht="15.75" x14ac:dyDescent="0.25">
      <c r="A2303">
        <v>561316</v>
      </c>
      <c r="B2303" t="s">
        <v>810</v>
      </c>
      <c r="C2303">
        <v>0</v>
      </c>
    </row>
    <row r="2304" spans="1:3" ht="15.75" x14ac:dyDescent="0.25">
      <c r="A2304">
        <v>561317</v>
      </c>
      <c r="B2304" t="s">
        <v>811</v>
      </c>
      <c r="C2304">
        <v>0</v>
      </c>
    </row>
    <row r="2305" spans="1:3" ht="15.75" x14ac:dyDescent="0.25">
      <c r="A2305">
        <v>561318</v>
      </c>
      <c r="B2305" t="s">
        <v>214</v>
      </c>
      <c r="C2305">
        <v>0</v>
      </c>
    </row>
    <row r="2306" spans="1:3" ht="15.75" x14ac:dyDescent="0.25">
      <c r="A2306">
        <v>561319</v>
      </c>
      <c r="B2306" t="s">
        <v>1036</v>
      </c>
      <c r="C2306">
        <v>0</v>
      </c>
    </row>
    <row r="2307" spans="1:3" ht="15.75" x14ac:dyDescent="0.25">
      <c r="A2307">
        <v>561320</v>
      </c>
      <c r="B2307" t="s">
        <v>926</v>
      </c>
      <c r="C2307">
        <v>0</v>
      </c>
    </row>
    <row r="2308" spans="1:3" ht="15.75" x14ac:dyDescent="0.25">
      <c r="A2308">
        <v>561321</v>
      </c>
      <c r="B2308" t="s">
        <v>927</v>
      </c>
      <c r="C2308">
        <v>0</v>
      </c>
    </row>
    <row r="2309" spans="1:3" ht="15.75" x14ac:dyDescent="0.25">
      <c r="A2309">
        <v>561322</v>
      </c>
      <c r="B2309" t="s">
        <v>928</v>
      </c>
      <c r="C2309">
        <v>0</v>
      </c>
    </row>
    <row r="2310" spans="1:3" ht="15.75" x14ac:dyDescent="0.25">
      <c r="A2310">
        <v>561323</v>
      </c>
      <c r="B2310" t="s">
        <v>929</v>
      </c>
      <c r="C2310">
        <v>0</v>
      </c>
    </row>
    <row r="2311" spans="1:3" ht="15.75" x14ac:dyDescent="0.25">
      <c r="A2311">
        <v>561324</v>
      </c>
      <c r="B2311" t="s">
        <v>792</v>
      </c>
      <c r="C2311">
        <v>0</v>
      </c>
    </row>
    <row r="2312" spans="1:3" ht="15.75" x14ac:dyDescent="0.25">
      <c r="A2312">
        <v>561390</v>
      </c>
      <c r="B2312" t="s">
        <v>1337</v>
      </c>
      <c r="C2312">
        <v>0</v>
      </c>
    </row>
    <row r="2313" spans="1:3" ht="15.75" x14ac:dyDescent="0.25">
      <c r="A2313">
        <v>5618</v>
      </c>
      <c r="B2313" t="s">
        <v>1125</v>
      </c>
      <c r="C2313">
        <f>SUM(C2314:C2322)</f>
        <v>0</v>
      </c>
    </row>
    <row r="2314" spans="1:3" ht="15.75" x14ac:dyDescent="0.25">
      <c r="A2314">
        <v>561802</v>
      </c>
      <c r="B2314" t="s">
        <v>1338</v>
      </c>
      <c r="C2314">
        <v>0</v>
      </c>
    </row>
    <row r="2315" spans="1:3" ht="15.75" x14ac:dyDescent="0.25">
      <c r="A2315">
        <v>561804</v>
      </c>
      <c r="B2315" t="s">
        <v>1339</v>
      </c>
      <c r="C2315">
        <v>0</v>
      </c>
    </row>
    <row r="2316" spans="1:3" ht="15.75" x14ac:dyDescent="0.25">
      <c r="A2316">
        <v>561805</v>
      </c>
      <c r="B2316" t="s">
        <v>1340</v>
      </c>
      <c r="C2316">
        <v>0</v>
      </c>
    </row>
    <row r="2317" spans="1:3" ht="15.75" x14ac:dyDescent="0.25">
      <c r="A2317">
        <v>561807</v>
      </c>
      <c r="B2317" t="s">
        <v>1341</v>
      </c>
      <c r="C2317">
        <v>0</v>
      </c>
    </row>
    <row r="2318" spans="1:3" ht="15.75" x14ac:dyDescent="0.25">
      <c r="A2318">
        <v>561808</v>
      </c>
      <c r="B2318" t="s">
        <v>1087</v>
      </c>
      <c r="C2318">
        <v>0</v>
      </c>
    </row>
    <row r="2319" spans="1:3" ht="15.75" x14ac:dyDescent="0.25">
      <c r="A2319">
        <v>561809</v>
      </c>
      <c r="B2319" t="s">
        <v>1342</v>
      </c>
      <c r="C2319">
        <v>0</v>
      </c>
    </row>
    <row r="2320" spans="1:3" ht="15.75" x14ac:dyDescent="0.25">
      <c r="A2320">
        <v>561810</v>
      </c>
      <c r="B2320" t="s">
        <v>921</v>
      </c>
      <c r="C2320">
        <v>0</v>
      </c>
    </row>
    <row r="2321" spans="1:3" ht="15.75" x14ac:dyDescent="0.25">
      <c r="A2321">
        <v>561811</v>
      </c>
      <c r="B2321" t="s">
        <v>841</v>
      </c>
      <c r="C2321">
        <v>0</v>
      </c>
    </row>
    <row r="2322" spans="1:3" ht="15.75" x14ac:dyDescent="0.25">
      <c r="A2322">
        <v>561890</v>
      </c>
      <c r="B2322" t="s">
        <v>1343</v>
      </c>
      <c r="C2322">
        <v>0</v>
      </c>
    </row>
    <row r="2323" spans="1:3" ht="15.75" x14ac:dyDescent="0.25">
      <c r="A2323">
        <v>58</v>
      </c>
      <c r="B2323" t="s">
        <v>1344</v>
      </c>
      <c r="C2323">
        <v>695359</v>
      </c>
    </row>
    <row r="2324" spans="1:3" ht="15.75" x14ac:dyDescent="0.25">
      <c r="A2324">
        <v>5802</v>
      </c>
      <c r="B2324" t="s">
        <v>1345</v>
      </c>
      <c r="C2324">
        <f>SUM(C2325:C2329)</f>
        <v>0</v>
      </c>
    </row>
    <row r="2325" spans="1:3" ht="15.75" x14ac:dyDescent="0.25">
      <c r="A2325">
        <v>580206</v>
      </c>
      <c r="B2325" t="s">
        <v>1346</v>
      </c>
      <c r="C2325">
        <v>0</v>
      </c>
    </row>
    <row r="2326" spans="1:3" ht="15.75" x14ac:dyDescent="0.25">
      <c r="A2326">
        <v>580237</v>
      </c>
      <c r="B2326" t="s">
        <v>1347</v>
      </c>
      <c r="C2326">
        <v>0</v>
      </c>
    </row>
    <row r="2327" spans="1:3" ht="15.75" x14ac:dyDescent="0.25">
      <c r="A2327">
        <v>580239</v>
      </c>
      <c r="B2327" t="s">
        <v>555</v>
      </c>
      <c r="C2327">
        <v>0</v>
      </c>
    </row>
    <row r="2328" spans="1:3" ht="15.75" x14ac:dyDescent="0.25">
      <c r="A2328">
        <v>580240</v>
      </c>
      <c r="B2328" t="s">
        <v>1348</v>
      </c>
      <c r="C2328">
        <v>0</v>
      </c>
    </row>
    <row r="2329" spans="1:3" ht="15.75" x14ac:dyDescent="0.25">
      <c r="A2329">
        <v>580290</v>
      </c>
      <c r="B2329" t="s">
        <v>1349</v>
      </c>
      <c r="C2329">
        <v>0</v>
      </c>
    </row>
    <row r="2330" spans="1:3" ht="15.75" x14ac:dyDescent="0.25">
      <c r="A2330">
        <v>5803</v>
      </c>
      <c r="B2330" t="s">
        <v>1189</v>
      </c>
      <c r="C2330">
        <f>SUM(C2331:C2348)</f>
        <v>0</v>
      </c>
    </row>
    <row r="2331" spans="1:3" ht="15.75" x14ac:dyDescent="0.25">
      <c r="A2331">
        <v>580301</v>
      </c>
      <c r="B2331" t="s">
        <v>548</v>
      </c>
      <c r="C2331">
        <v>0</v>
      </c>
    </row>
    <row r="2332" spans="1:3" ht="15.75" x14ac:dyDescent="0.25">
      <c r="A2332">
        <v>580302</v>
      </c>
      <c r="B2332" t="s">
        <v>225</v>
      </c>
      <c r="C2332">
        <v>0</v>
      </c>
    </row>
    <row r="2333" spans="1:3" ht="15.75" x14ac:dyDescent="0.25">
      <c r="A2333">
        <v>580303</v>
      </c>
      <c r="B2333" t="s">
        <v>286</v>
      </c>
      <c r="C2333">
        <v>0</v>
      </c>
    </row>
    <row r="2334" spans="1:3" ht="15.75" x14ac:dyDescent="0.25">
      <c r="A2334">
        <v>580312</v>
      </c>
      <c r="B2334" t="s">
        <v>844</v>
      </c>
      <c r="C2334">
        <v>0</v>
      </c>
    </row>
    <row r="2335" spans="1:3" ht="15.75" x14ac:dyDescent="0.25">
      <c r="A2335">
        <v>580313</v>
      </c>
      <c r="B2335" t="s">
        <v>845</v>
      </c>
      <c r="C2335">
        <v>0</v>
      </c>
    </row>
    <row r="2336" spans="1:3" ht="15.75" x14ac:dyDescent="0.25">
      <c r="A2336">
        <v>580334</v>
      </c>
      <c r="B2336" t="s">
        <v>1190</v>
      </c>
      <c r="C2336">
        <v>0</v>
      </c>
    </row>
    <row r="2337" spans="1:3" ht="15.75" x14ac:dyDescent="0.25">
      <c r="A2337">
        <v>580336</v>
      </c>
      <c r="B2337" t="s">
        <v>550</v>
      </c>
      <c r="C2337">
        <v>0</v>
      </c>
    </row>
    <row r="2338" spans="1:3" ht="15.75" x14ac:dyDescent="0.25">
      <c r="A2338">
        <v>580337</v>
      </c>
      <c r="B2338" t="s">
        <v>1191</v>
      </c>
      <c r="C2338">
        <v>0</v>
      </c>
    </row>
    <row r="2339" spans="1:3" ht="15.75" x14ac:dyDescent="0.25">
      <c r="A2339">
        <v>580338</v>
      </c>
      <c r="B2339" t="s">
        <v>1192</v>
      </c>
      <c r="C2339">
        <v>0</v>
      </c>
    </row>
    <row r="2340" spans="1:3" ht="15.75" x14ac:dyDescent="0.25">
      <c r="A2340">
        <v>580339</v>
      </c>
      <c r="B2340" t="s">
        <v>1193</v>
      </c>
      <c r="C2340">
        <v>0</v>
      </c>
    </row>
    <row r="2341" spans="1:3" ht="15.75" x14ac:dyDescent="0.25">
      <c r="A2341">
        <v>580340</v>
      </c>
      <c r="B2341" t="s">
        <v>1194</v>
      </c>
      <c r="C2341">
        <v>0</v>
      </c>
    </row>
    <row r="2342" spans="1:3" ht="15.75" x14ac:dyDescent="0.25">
      <c r="A2342">
        <v>580342</v>
      </c>
      <c r="B2342" t="s">
        <v>1195</v>
      </c>
      <c r="C2342">
        <v>0</v>
      </c>
    </row>
    <row r="2343" spans="1:3" ht="15.75" x14ac:dyDescent="0.25">
      <c r="A2343">
        <v>580343</v>
      </c>
      <c r="B2343" t="s">
        <v>1196</v>
      </c>
      <c r="C2343">
        <v>0</v>
      </c>
    </row>
    <row r="2344" spans="1:3" ht="15.75" x14ac:dyDescent="0.25">
      <c r="A2344">
        <v>580344</v>
      </c>
      <c r="B2344" t="s">
        <v>1197</v>
      </c>
      <c r="C2344">
        <v>0</v>
      </c>
    </row>
    <row r="2345" spans="1:3" ht="15.75" x14ac:dyDescent="0.25">
      <c r="A2345">
        <v>580345</v>
      </c>
      <c r="B2345" t="s">
        <v>1198</v>
      </c>
      <c r="C2345">
        <v>0</v>
      </c>
    </row>
    <row r="2346" spans="1:3" ht="15.75" x14ac:dyDescent="0.25">
      <c r="A2346">
        <v>580346</v>
      </c>
      <c r="B2346" t="s">
        <v>643</v>
      </c>
      <c r="C2346">
        <v>0</v>
      </c>
    </row>
    <row r="2347" spans="1:3" ht="15.75" x14ac:dyDescent="0.25">
      <c r="A2347">
        <v>580349</v>
      </c>
      <c r="B2347" t="s">
        <v>549</v>
      </c>
      <c r="C2347">
        <v>0</v>
      </c>
    </row>
    <row r="2348" spans="1:3" ht="15.75" x14ac:dyDescent="0.25">
      <c r="A2348">
        <v>580390</v>
      </c>
      <c r="B2348" t="s">
        <v>1199</v>
      </c>
      <c r="C2348">
        <v>0</v>
      </c>
    </row>
    <row r="2349" spans="1:3" ht="15.75" x14ac:dyDescent="0.25">
      <c r="A2349">
        <v>5804</v>
      </c>
      <c r="B2349" t="s">
        <v>1156</v>
      </c>
      <c r="C2349">
        <f>SUM(C2350:C2391)</f>
        <v>0</v>
      </c>
    </row>
    <row r="2350" spans="1:3" ht="15.75" x14ac:dyDescent="0.25">
      <c r="A2350">
        <v>580401</v>
      </c>
      <c r="B2350" t="s">
        <v>1350</v>
      </c>
      <c r="C2350">
        <v>0</v>
      </c>
    </row>
    <row r="2351" spans="1:3" ht="15.75" x14ac:dyDescent="0.25">
      <c r="A2351">
        <v>580402</v>
      </c>
      <c r="B2351" t="s">
        <v>1351</v>
      </c>
      <c r="C2351">
        <v>0</v>
      </c>
    </row>
    <row r="2352" spans="1:3" ht="15.75" x14ac:dyDescent="0.25">
      <c r="A2352">
        <v>580403</v>
      </c>
      <c r="B2352" t="s">
        <v>1352</v>
      </c>
      <c r="C2352">
        <v>0</v>
      </c>
    </row>
    <row r="2353" spans="1:3" ht="15.75" x14ac:dyDescent="0.25">
      <c r="A2353">
        <v>580404</v>
      </c>
      <c r="B2353" t="s">
        <v>1353</v>
      </c>
      <c r="C2353">
        <v>0</v>
      </c>
    </row>
    <row r="2354" spans="1:3" ht="15.75" x14ac:dyDescent="0.25">
      <c r="A2354">
        <v>580405</v>
      </c>
      <c r="B2354" t="s">
        <v>566</v>
      </c>
      <c r="C2354">
        <v>0</v>
      </c>
    </row>
    <row r="2355" spans="1:3" ht="15.75" x14ac:dyDescent="0.25">
      <c r="A2355">
        <v>580406</v>
      </c>
      <c r="B2355" t="s">
        <v>1354</v>
      </c>
      <c r="C2355">
        <v>0</v>
      </c>
    </row>
    <row r="2356" spans="1:3" ht="15.75" x14ac:dyDescent="0.25">
      <c r="A2356">
        <v>580407</v>
      </c>
      <c r="B2356" t="s">
        <v>1355</v>
      </c>
      <c r="C2356">
        <v>0</v>
      </c>
    </row>
    <row r="2357" spans="1:3" ht="15.75" x14ac:dyDescent="0.25">
      <c r="A2357">
        <v>580409</v>
      </c>
      <c r="B2357" t="s">
        <v>1356</v>
      </c>
      <c r="C2357">
        <v>0</v>
      </c>
    </row>
    <row r="2358" spans="1:3" ht="15.75" x14ac:dyDescent="0.25">
      <c r="A2358">
        <v>580410</v>
      </c>
      <c r="B2358" t="s">
        <v>1357</v>
      </c>
      <c r="C2358">
        <v>0</v>
      </c>
    </row>
    <row r="2359" spans="1:3" ht="15.75" x14ac:dyDescent="0.25">
      <c r="A2359">
        <v>580411</v>
      </c>
      <c r="B2359" t="s">
        <v>1358</v>
      </c>
      <c r="C2359">
        <v>0</v>
      </c>
    </row>
    <row r="2360" spans="1:3" ht="15.75" x14ac:dyDescent="0.25">
      <c r="A2360">
        <v>580412</v>
      </c>
      <c r="B2360" t="s">
        <v>1359</v>
      </c>
      <c r="C2360">
        <v>0</v>
      </c>
    </row>
    <row r="2361" spans="1:3" ht="15.75" x14ac:dyDescent="0.25">
      <c r="A2361">
        <v>580413</v>
      </c>
      <c r="B2361" t="s">
        <v>1360</v>
      </c>
      <c r="C2361">
        <v>0</v>
      </c>
    </row>
    <row r="2362" spans="1:3" ht="15.75" x14ac:dyDescent="0.25">
      <c r="A2362">
        <v>580414</v>
      </c>
      <c r="B2362" t="s">
        <v>1361</v>
      </c>
      <c r="C2362">
        <v>0</v>
      </c>
    </row>
    <row r="2363" spans="1:3" ht="15.75" x14ac:dyDescent="0.25">
      <c r="A2363">
        <v>580415</v>
      </c>
      <c r="B2363" t="s">
        <v>1362</v>
      </c>
      <c r="C2363">
        <v>0</v>
      </c>
    </row>
    <row r="2364" spans="1:3" ht="15.75" x14ac:dyDescent="0.25">
      <c r="A2364">
        <v>580416</v>
      </c>
      <c r="B2364" t="s">
        <v>1363</v>
      </c>
      <c r="C2364">
        <v>0</v>
      </c>
    </row>
    <row r="2365" spans="1:3" ht="15.75" x14ac:dyDescent="0.25">
      <c r="A2365">
        <v>580417</v>
      </c>
      <c r="B2365" t="s">
        <v>1364</v>
      </c>
      <c r="C2365">
        <v>0</v>
      </c>
    </row>
    <row r="2366" spans="1:3" ht="15.75" x14ac:dyDescent="0.25">
      <c r="A2366">
        <v>580418</v>
      </c>
      <c r="B2366" t="s">
        <v>1365</v>
      </c>
      <c r="C2366">
        <v>0</v>
      </c>
    </row>
    <row r="2367" spans="1:3" ht="15.75" x14ac:dyDescent="0.25">
      <c r="A2367">
        <v>580419</v>
      </c>
      <c r="B2367" t="s">
        <v>1366</v>
      </c>
      <c r="C2367">
        <v>0</v>
      </c>
    </row>
    <row r="2368" spans="1:3" ht="15.75" x14ac:dyDescent="0.25">
      <c r="A2368">
        <v>580420</v>
      </c>
      <c r="B2368" t="s">
        <v>1367</v>
      </c>
      <c r="C2368">
        <v>0</v>
      </c>
    </row>
    <row r="2369" spans="1:3" ht="15.75" x14ac:dyDescent="0.25">
      <c r="A2369">
        <v>580421</v>
      </c>
      <c r="B2369" t="s">
        <v>1368</v>
      </c>
      <c r="C2369">
        <v>0</v>
      </c>
    </row>
    <row r="2370" spans="1:3" ht="15.75" x14ac:dyDescent="0.25">
      <c r="A2370">
        <v>580422</v>
      </c>
      <c r="B2370" t="s">
        <v>1369</v>
      </c>
      <c r="C2370">
        <v>0</v>
      </c>
    </row>
    <row r="2371" spans="1:3" ht="15.75" x14ac:dyDescent="0.25">
      <c r="A2371">
        <v>580423</v>
      </c>
      <c r="B2371" t="s">
        <v>1370</v>
      </c>
      <c r="C2371">
        <v>0</v>
      </c>
    </row>
    <row r="2372" spans="1:3" ht="15.75" x14ac:dyDescent="0.25">
      <c r="A2372">
        <v>580426</v>
      </c>
      <c r="B2372" t="s">
        <v>1371</v>
      </c>
      <c r="C2372">
        <v>0</v>
      </c>
    </row>
    <row r="2373" spans="1:3" ht="15.75" x14ac:dyDescent="0.25">
      <c r="A2373">
        <v>580427</v>
      </c>
      <c r="B2373" t="s">
        <v>1372</v>
      </c>
      <c r="C2373">
        <v>0</v>
      </c>
    </row>
    <row r="2374" spans="1:3" ht="15.75" x14ac:dyDescent="0.25">
      <c r="A2374">
        <v>580428</v>
      </c>
      <c r="B2374" t="s">
        <v>1373</v>
      </c>
      <c r="C2374">
        <v>0</v>
      </c>
    </row>
    <row r="2375" spans="1:3" ht="15.75" x14ac:dyDescent="0.25">
      <c r="A2375">
        <v>580429</v>
      </c>
      <c r="B2375" t="s">
        <v>1374</v>
      </c>
      <c r="C2375">
        <v>0</v>
      </c>
    </row>
    <row r="2376" spans="1:3" ht="15.75" x14ac:dyDescent="0.25">
      <c r="A2376">
        <v>580430</v>
      </c>
      <c r="B2376" t="s">
        <v>1375</v>
      </c>
      <c r="C2376">
        <v>0</v>
      </c>
    </row>
    <row r="2377" spans="1:3" ht="15.75" x14ac:dyDescent="0.25">
      <c r="A2377">
        <v>580431</v>
      </c>
      <c r="B2377" t="s">
        <v>1376</v>
      </c>
      <c r="C2377">
        <v>0</v>
      </c>
    </row>
    <row r="2378" spans="1:3" ht="15.75" x14ac:dyDescent="0.25">
      <c r="A2378">
        <v>580433</v>
      </c>
      <c r="B2378" t="s">
        <v>1377</v>
      </c>
      <c r="C2378">
        <v>0</v>
      </c>
    </row>
    <row r="2379" spans="1:3" ht="15.75" x14ac:dyDescent="0.25">
      <c r="A2379">
        <v>580434</v>
      </c>
      <c r="B2379" t="s">
        <v>1378</v>
      </c>
      <c r="C2379">
        <v>0</v>
      </c>
    </row>
    <row r="2380" spans="1:3" ht="15.75" x14ac:dyDescent="0.25">
      <c r="A2380">
        <v>580435</v>
      </c>
      <c r="B2380" t="s">
        <v>1379</v>
      </c>
      <c r="C2380">
        <v>0</v>
      </c>
    </row>
    <row r="2381" spans="1:3" ht="15.75" x14ac:dyDescent="0.25">
      <c r="A2381">
        <v>580436</v>
      </c>
      <c r="B2381" t="s">
        <v>1380</v>
      </c>
      <c r="C2381">
        <v>0</v>
      </c>
    </row>
    <row r="2382" spans="1:3" ht="15.75" x14ac:dyDescent="0.25">
      <c r="A2382">
        <v>580437</v>
      </c>
      <c r="B2382" t="s">
        <v>1381</v>
      </c>
      <c r="C2382">
        <v>0</v>
      </c>
    </row>
    <row r="2383" spans="1:3" ht="15.75" x14ac:dyDescent="0.25">
      <c r="A2383">
        <v>580439</v>
      </c>
      <c r="B2383" t="s">
        <v>251</v>
      </c>
      <c r="C2383">
        <v>0</v>
      </c>
    </row>
    <row r="2384" spans="1:3" ht="15.75" x14ac:dyDescent="0.25">
      <c r="A2384">
        <v>580440</v>
      </c>
      <c r="B2384" t="s">
        <v>1382</v>
      </c>
      <c r="C2384">
        <v>0</v>
      </c>
    </row>
    <row r="2385" spans="1:3" ht="15.75" x14ac:dyDescent="0.25">
      <c r="A2385">
        <v>580442</v>
      </c>
      <c r="B2385" t="s">
        <v>1383</v>
      </c>
      <c r="C2385">
        <v>0</v>
      </c>
    </row>
    <row r="2386" spans="1:3" ht="15.75" x14ac:dyDescent="0.25">
      <c r="A2386">
        <v>580443</v>
      </c>
      <c r="B2386" t="s">
        <v>1384</v>
      </c>
      <c r="C2386">
        <v>0</v>
      </c>
    </row>
    <row r="2387" spans="1:3" ht="15.75" x14ac:dyDescent="0.25">
      <c r="A2387">
        <v>580444</v>
      </c>
      <c r="B2387" t="s">
        <v>1184</v>
      </c>
      <c r="C2387">
        <v>0</v>
      </c>
    </row>
    <row r="2388" spans="1:3" ht="15.75" x14ac:dyDescent="0.25">
      <c r="A2388">
        <v>580445</v>
      </c>
      <c r="B2388" t="s">
        <v>904</v>
      </c>
      <c r="C2388">
        <v>0</v>
      </c>
    </row>
    <row r="2389" spans="1:3" ht="15.75" x14ac:dyDescent="0.25">
      <c r="A2389">
        <v>580446</v>
      </c>
      <c r="B2389" t="s">
        <v>1385</v>
      </c>
      <c r="C2389">
        <v>0</v>
      </c>
    </row>
    <row r="2390" spans="1:3" ht="15.75" x14ac:dyDescent="0.25">
      <c r="A2390">
        <v>580447</v>
      </c>
      <c r="B2390" t="s">
        <v>1386</v>
      </c>
      <c r="C2390">
        <v>0</v>
      </c>
    </row>
    <row r="2391" spans="1:3" ht="15.75" x14ac:dyDescent="0.25">
      <c r="A2391">
        <v>580490</v>
      </c>
      <c r="B2391" t="s">
        <v>1387</v>
      </c>
      <c r="C2391">
        <v>0</v>
      </c>
    </row>
    <row r="2392" spans="1:3" ht="15.75" x14ac:dyDescent="0.25">
      <c r="A2392">
        <v>5811</v>
      </c>
      <c r="B2392" t="s">
        <v>1388</v>
      </c>
      <c r="C2392">
        <f>SUM(C2393:C2397)</f>
        <v>0</v>
      </c>
    </row>
    <row r="2393" spans="1:3" ht="15.75" x14ac:dyDescent="0.25">
      <c r="A2393">
        <v>581101</v>
      </c>
      <c r="B2393" t="s">
        <v>36</v>
      </c>
      <c r="C2393">
        <v>0</v>
      </c>
    </row>
    <row r="2394" spans="1:3" ht="15.75" x14ac:dyDescent="0.25">
      <c r="A2394">
        <v>581102</v>
      </c>
      <c r="B2394" t="s">
        <v>37</v>
      </c>
      <c r="C2394">
        <v>0</v>
      </c>
    </row>
    <row r="2395" spans="1:3" ht="15.75" x14ac:dyDescent="0.25">
      <c r="A2395">
        <v>581103</v>
      </c>
      <c r="B2395" t="s">
        <v>33</v>
      </c>
      <c r="C2395">
        <v>0</v>
      </c>
    </row>
    <row r="2396" spans="1:3" ht="15.75" x14ac:dyDescent="0.25">
      <c r="A2396">
        <v>581104</v>
      </c>
      <c r="B2396" t="s">
        <v>34</v>
      </c>
      <c r="C2396">
        <v>0</v>
      </c>
    </row>
    <row r="2397" spans="1:3" ht="15.75" x14ac:dyDescent="0.25">
      <c r="A2397">
        <v>581105</v>
      </c>
      <c r="B2397" t="s">
        <v>35</v>
      </c>
      <c r="C2397">
        <v>0</v>
      </c>
    </row>
    <row r="2398" spans="1:3" ht="15.75" x14ac:dyDescent="0.25">
      <c r="A2398">
        <v>5812</v>
      </c>
      <c r="B2398" t="s">
        <v>1389</v>
      </c>
      <c r="C2398">
        <f>SUM(C2399:C2403)</f>
        <v>0</v>
      </c>
    </row>
    <row r="2399" spans="1:3" ht="15.75" x14ac:dyDescent="0.25">
      <c r="A2399">
        <v>581201</v>
      </c>
      <c r="B2399" t="s">
        <v>36</v>
      </c>
      <c r="C2399">
        <v>0</v>
      </c>
    </row>
    <row r="2400" spans="1:3" ht="15.75" x14ac:dyDescent="0.25">
      <c r="A2400">
        <v>581202</v>
      </c>
      <c r="B2400" t="s">
        <v>37</v>
      </c>
      <c r="C2400">
        <v>0</v>
      </c>
    </row>
    <row r="2401" spans="1:3" ht="15.75" x14ac:dyDescent="0.25">
      <c r="A2401">
        <v>581203</v>
      </c>
      <c r="B2401" t="s">
        <v>33</v>
      </c>
      <c r="C2401">
        <v>0</v>
      </c>
    </row>
    <row r="2402" spans="1:3" ht="15.75" x14ac:dyDescent="0.25">
      <c r="A2402">
        <v>581204</v>
      </c>
      <c r="B2402" t="s">
        <v>34</v>
      </c>
      <c r="C2402">
        <v>0</v>
      </c>
    </row>
    <row r="2403" spans="1:3" ht="15.75" x14ac:dyDescent="0.25">
      <c r="A2403">
        <v>581205</v>
      </c>
      <c r="B2403" t="s">
        <v>35</v>
      </c>
      <c r="C2403">
        <v>0</v>
      </c>
    </row>
    <row r="2404" spans="1:3" ht="15.75" x14ac:dyDescent="0.25">
      <c r="A2404">
        <v>5813</v>
      </c>
      <c r="B2404" t="s">
        <v>1390</v>
      </c>
      <c r="C2404">
        <f>SUM(C2405:C2409)</f>
        <v>0</v>
      </c>
    </row>
    <row r="2405" spans="1:3" ht="15.75" x14ac:dyDescent="0.25">
      <c r="A2405">
        <v>581301</v>
      </c>
      <c r="B2405" t="s">
        <v>36</v>
      </c>
      <c r="C2405">
        <v>0</v>
      </c>
    </row>
    <row r="2406" spans="1:3" ht="15.75" x14ac:dyDescent="0.25">
      <c r="A2406">
        <v>581302</v>
      </c>
      <c r="B2406" t="s">
        <v>37</v>
      </c>
      <c r="C2406">
        <v>0</v>
      </c>
    </row>
    <row r="2407" spans="1:3" ht="15.75" x14ac:dyDescent="0.25">
      <c r="A2407">
        <v>581303</v>
      </c>
      <c r="B2407" t="s">
        <v>33</v>
      </c>
      <c r="C2407">
        <v>0</v>
      </c>
    </row>
    <row r="2408" spans="1:3" ht="15.75" x14ac:dyDescent="0.25">
      <c r="A2408">
        <v>581304</v>
      </c>
      <c r="B2408" t="s">
        <v>34</v>
      </c>
      <c r="C2408">
        <v>0</v>
      </c>
    </row>
    <row r="2409" spans="1:3" ht="15.75" x14ac:dyDescent="0.25">
      <c r="A2409">
        <v>581305</v>
      </c>
      <c r="B2409" t="s">
        <v>35</v>
      </c>
      <c r="C2409">
        <v>0</v>
      </c>
    </row>
    <row r="2410" spans="1:3" ht="15.75" x14ac:dyDescent="0.25">
      <c r="A2410">
        <v>5816</v>
      </c>
      <c r="B2410" t="s">
        <v>1391</v>
      </c>
      <c r="C2410">
        <f>SUM(C2411:C2412)</f>
        <v>0</v>
      </c>
    </row>
    <row r="2411" spans="1:3" ht="15.75" x14ac:dyDescent="0.25">
      <c r="A2411">
        <v>581601</v>
      </c>
      <c r="B2411" t="s">
        <v>1225</v>
      </c>
      <c r="C2411">
        <v>0</v>
      </c>
    </row>
    <row r="2412" spans="1:3" ht="15.75" x14ac:dyDescent="0.25">
      <c r="A2412">
        <v>581602</v>
      </c>
      <c r="B2412" t="s">
        <v>1226</v>
      </c>
      <c r="C2412">
        <v>0</v>
      </c>
    </row>
    <row r="2413" spans="1:3" ht="15.75" x14ac:dyDescent="0.25">
      <c r="A2413">
        <v>5820</v>
      </c>
      <c r="B2413" t="s">
        <v>1392</v>
      </c>
      <c r="C2413">
        <f>SUM(C2414:C2417)</f>
        <v>0</v>
      </c>
    </row>
    <row r="2414" spans="1:3" ht="15.75" x14ac:dyDescent="0.25">
      <c r="A2414">
        <v>582001</v>
      </c>
      <c r="B2414" t="s">
        <v>627</v>
      </c>
      <c r="C2414">
        <v>0</v>
      </c>
    </row>
    <row r="2415" spans="1:3" ht="15.75" x14ac:dyDescent="0.25">
      <c r="A2415">
        <v>582002</v>
      </c>
      <c r="B2415" t="s">
        <v>628</v>
      </c>
      <c r="C2415">
        <v>0</v>
      </c>
    </row>
    <row r="2416" spans="1:3" ht="15.75" x14ac:dyDescent="0.25">
      <c r="A2416">
        <v>582003</v>
      </c>
      <c r="B2416" t="s">
        <v>629</v>
      </c>
      <c r="C2416">
        <v>0</v>
      </c>
    </row>
    <row r="2417" spans="1:3" ht="15.75" x14ac:dyDescent="0.25">
      <c r="A2417">
        <v>582004</v>
      </c>
      <c r="B2417" t="s">
        <v>630</v>
      </c>
      <c r="C2417">
        <v>0</v>
      </c>
    </row>
    <row r="2418" spans="1:3" ht="15.75" x14ac:dyDescent="0.25">
      <c r="A2418">
        <v>5821</v>
      </c>
      <c r="B2418" t="s">
        <v>1393</v>
      </c>
      <c r="C2418">
        <f>SUM(C2419:C2420)</f>
        <v>0</v>
      </c>
    </row>
    <row r="2419" spans="1:3" ht="15.75" x14ac:dyDescent="0.25">
      <c r="A2419">
        <v>582101</v>
      </c>
      <c r="B2419" t="s">
        <v>742</v>
      </c>
      <c r="C2419">
        <v>0</v>
      </c>
    </row>
    <row r="2420" spans="1:3" ht="15.75" x14ac:dyDescent="0.25">
      <c r="A2420">
        <v>582104</v>
      </c>
      <c r="B2420" t="s">
        <v>761</v>
      </c>
      <c r="C2420">
        <v>0</v>
      </c>
    </row>
    <row r="2421" spans="1:3" ht="15.75" x14ac:dyDescent="0.25">
      <c r="A2421">
        <v>5822</v>
      </c>
      <c r="B2421" t="s">
        <v>1228</v>
      </c>
      <c r="C2421">
        <f>SUM(C2422:C2439)</f>
        <v>0</v>
      </c>
    </row>
    <row r="2422" spans="1:3" ht="15.75" x14ac:dyDescent="0.25">
      <c r="A2422">
        <v>582201</v>
      </c>
      <c r="B2422" t="s">
        <v>548</v>
      </c>
      <c r="C2422">
        <v>0</v>
      </c>
    </row>
    <row r="2423" spans="1:3" ht="15.75" x14ac:dyDescent="0.25">
      <c r="A2423">
        <v>582202</v>
      </c>
      <c r="B2423" t="s">
        <v>636</v>
      </c>
      <c r="C2423">
        <v>0</v>
      </c>
    </row>
    <row r="2424" spans="1:3" ht="15.75" x14ac:dyDescent="0.25">
      <c r="A2424">
        <v>582203</v>
      </c>
      <c r="B2424" t="s">
        <v>225</v>
      </c>
      <c r="C2424">
        <v>0</v>
      </c>
    </row>
    <row r="2425" spans="1:3" ht="15.75" x14ac:dyDescent="0.25">
      <c r="A2425">
        <v>582204</v>
      </c>
      <c r="B2425" t="s">
        <v>286</v>
      </c>
      <c r="C2425">
        <v>0</v>
      </c>
    </row>
    <row r="2426" spans="1:3" ht="15.75" x14ac:dyDescent="0.25">
      <c r="A2426">
        <v>582205</v>
      </c>
      <c r="B2426" t="s">
        <v>637</v>
      </c>
      <c r="C2426">
        <v>0</v>
      </c>
    </row>
    <row r="2427" spans="1:3" ht="15.75" x14ac:dyDescent="0.25">
      <c r="A2427">
        <v>582206</v>
      </c>
      <c r="B2427" t="s">
        <v>552</v>
      </c>
      <c r="C2427">
        <v>0</v>
      </c>
    </row>
    <row r="2428" spans="1:3" ht="15.75" x14ac:dyDescent="0.25">
      <c r="A2428">
        <v>582207</v>
      </c>
      <c r="B2428" t="s">
        <v>638</v>
      </c>
      <c r="C2428">
        <v>0</v>
      </c>
    </row>
    <row r="2429" spans="1:3" ht="15.75" x14ac:dyDescent="0.25">
      <c r="A2429">
        <v>582208</v>
      </c>
      <c r="B2429" t="s">
        <v>553</v>
      </c>
      <c r="C2429">
        <v>0</v>
      </c>
    </row>
    <row r="2430" spans="1:3" ht="15.75" x14ac:dyDescent="0.25">
      <c r="A2430">
        <v>582209</v>
      </c>
      <c r="B2430" t="s">
        <v>639</v>
      </c>
      <c r="C2430">
        <v>0</v>
      </c>
    </row>
    <row r="2431" spans="1:3" ht="15.75" x14ac:dyDescent="0.25">
      <c r="A2431">
        <v>582210</v>
      </c>
      <c r="B2431" t="s">
        <v>554</v>
      </c>
      <c r="C2431">
        <v>0</v>
      </c>
    </row>
    <row r="2432" spans="1:3" ht="15.75" x14ac:dyDescent="0.25">
      <c r="A2432">
        <v>582211</v>
      </c>
      <c r="B2432" t="s">
        <v>640</v>
      </c>
      <c r="C2432">
        <v>0</v>
      </c>
    </row>
    <row r="2433" spans="1:3" ht="15.75" x14ac:dyDescent="0.25">
      <c r="A2433">
        <v>582212</v>
      </c>
      <c r="B2433" t="s">
        <v>641</v>
      </c>
      <c r="C2433">
        <v>0</v>
      </c>
    </row>
    <row r="2434" spans="1:3" ht="15.75" x14ac:dyDescent="0.25">
      <c r="A2434">
        <v>582213</v>
      </c>
      <c r="B2434" t="s">
        <v>642</v>
      </c>
      <c r="C2434">
        <v>0</v>
      </c>
    </row>
    <row r="2435" spans="1:3" ht="15.75" x14ac:dyDescent="0.25">
      <c r="A2435">
        <v>582214</v>
      </c>
      <c r="B2435" t="s">
        <v>643</v>
      </c>
      <c r="C2435">
        <v>0</v>
      </c>
    </row>
    <row r="2436" spans="1:3" ht="15.75" x14ac:dyDescent="0.25">
      <c r="A2436">
        <v>582215</v>
      </c>
      <c r="B2436" t="s">
        <v>644</v>
      </c>
      <c r="C2436">
        <v>0</v>
      </c>
    </row>
    <row r="2437" spans="1:3" ht="15.75" x14ac:dyDescent="0.25">
      <c r="A2437">
        <v>582216</v>
      </c>
      <c r="B2437" t="s">
        <v>645</v>
      </c>
      <c r="C2437">
        <v>0</v>
      </c>
    </row>
    <row r="2438" spans="1:3" ht="15.75" x14ac:dyDescent="0.25">
      <c r="A2438">
        <v>582217</v>
      </c>
      <c r="B2438" t="s">
        <v>646</v>
      </c>
      <c r="C2438">
        <v>0</v>
      </c>
    </row>
    <row r="2439" spans="1:3" ht="15.75" x14ac:dyDescent="0.25">
      <c r="A2439">
        <v>582218</v>
      </c>
      <c r="B2439" t="s">
        <v>647</v>
      </c>
      <c r="C2439">
        <v>0</v>
      </c>
    </row>
    <row r="2440" spans="1:3" ht="15.75" x14ac:dyDescent="0.25">
      <c r="A2440">
        <v>5890</v>
      </c>
      <c r="B2440" t="s">
        <v>1394</v>
      </c>
      <c r="C2440">
        <v>695359</v>
      </c>
    </row>
    <row r="2441" spans="1:3" ht="15.75" x14ac:dyDescent="0.25">
      <c r="A2441">
        <v>589003</v>
      </c>
      <c r="B2441" t="s">
        <v>1395</v>
      </c>
      <c r="C2441">
        <v>0</v>
      </c>
    </row>
    <row r="2442" spans="1:3" ht="15.75" x14ac:dyDescent="0.25">
      <c r="A2442">
        <v>589004</v>
      </c>
      <c r="B2442" t="s">
        <v>1206</v>
      </c>
      <c r="C2442">
        <v>0</v>
      </c>
    </row>
    <row r="2443" spans="1:3" ht="15.75" x14ac:dyDescent="0.25">
      <c r="A2443">
        <v>589012</v>
      </c>
      <c r="B2443" t="s">
        <v>779</v>
      </c>
      <c r="C2443">
        <v>0</v>
      </c>
    </row>
    <row r="2444" spans="1:3" ht="15.75" x14ac:dyDescent="0.25">
      <c r="A2444">
        <v>589013</v>
      </c>
      <c r="B2444" t="s">
        <v>780</v>
      </c>
      <c r="C2444">
        <v>0</v>
      </c>
    </row>
    <row r="2445" spans="1:3" ht="15.75" x14ac:dyDescent="0.25">
      <c r="A2445">
        <v>589014</v>
      </c>
      <c r="B2445" t="s">
        <v>1396</v>
      </c>
      <c r="C2445">
        <v>0</v>
      </c>
    </row>
    <row r="2446" spans="1:3" ht="15.75" x14ac:dyDescent="0.25">
      <c r="A2446">
        <v>589015</v>
      </c>
      <c r="B2446" t="s">
        <v>245</v>
      </c>
      <c r="C2446">
        <v>0</v>
      </c>
    </row>
    <row r="2447" spans="1:3" ht="15.75" x14ac:dyDescent="0.25">
      <c r="A2447">
        <v>589017</v>
      </c>
      <c r="B2447" t="s">
        <v>1397</v>
      </c>
      <c r="C2447">
        <v>0</v>
      </c>
    </row>
    <row r="2448" spans="1:3" ht="15.75" x14ac:dyDescent="0.25">
      <c r="A2448">
        <v>589018</v>
      </c>
      <c r="B2448" t="s">
        <v>1398</v>
      </c>
      <c r="C2448">
        <v>0</v>
      </c>
    </row>
    <row r="2449" spans="1:3" ht="15.75" x14ac:dyDescent="0.25">
      <c r="A2449">
        <v>589019</v>
      </c>
      <c r="B2449" t="s">
        <v>1399</v>
      </c>
      <c r="C2449">
        <v>0</v>
      </c>
    </row>
    <row r="2450" spans="1:3" ht="15.75" x14ac:dyDescent="0.25">
      <c r="A2450">
        <v>589020</v>
      </c>
      <c r="B2450" t="s">
        <v>1400</v>
      </c>
      <c r="C2450">
        <v>0</v>
      </c>
    </row>
    <row r="2451" spans="1:3" ht="15.75" x14ac:dyDescent="0.25">
      <c r="A2451">
        <v>589021</v>
      </c>
      <c r="B2451" t="s">
        <v>1401</v>
      </c>
      <c r="C2451">
        <v>0</v>
      </c>
    </row>
    <row r="2452" spans="1:3" ht="15.75" x14ac:dyDescent="0.25">
      <c r="A2452">
        <v>589022</v>
      </c>
      <c r="B2452" t="s">
        <v>1402</v>
      </c>
      <c r="C2452">
        <v>0</v>
      </c>
    </row>
    <row r="2453" spans="1:3" ht="15.75" x14ac:dyDescent="0.25">
      <c r="A2453">
        <v>589024</v>
      </c>
      <c r="B2453" t="s">
        <v>1403</v>
      </c>
      <c r="C2453">
        <v>0</v>
      </c>
    </row>
    <row r="2454" spans="1:3" ht="15.75" x14ac:dyDescent="0.25">
      <c r="A2454">
        <v>589025</v>
      </c>
      <c r="B2454" t="s">
        <v>832</v>
      </c>
      <c r="C2454">
        <v>0</v>
      </c>
    </row>
    <row r="2455" spans="1:3" ht="15.75" x14ac:dyDescent="0.25">
      <c r="A2455">
        <v>589026</v>
      </c>
      <c r="B2455" t="s">
        <v>124</v>
      </c>
      <c r="C2455">
        <v>0</v>
      </c>
    </row>
    <row r="2456" spans="1:3" ht="15.75" x14ac:dyDescent="0.25">
      <c r="A2456">
        <v>589027</v>
      </c>
      <c r="B2456" t="s">
        <v>242</v>
      </c>
      <c r="C2456">
        <v>0</v>
      </c>
    </row>
    <row r="2457" spans="1:3" ht="15.75" x14ac:dyDescent="0.25">
      <c r="A2457">
        <v>589029</v>
      </c>
      <c r="B2457" t="s">
        <v>1404</v>
      </c>
      <c r="C2457">
        <v>0</v>
      </c>
    </row>
    <row r="2458" spans="1:3" ht="15.75" x14ac:dyDescent="0.25">
      <c r="A2458">
        <v>589034</v>
      </c>
      <c r="B2458" t="s">
        <v>1405</v>
      </c>
      <c r="C2458">
        <v>0</v>
      </c>
    </row>
    <row r="2459" spans="1:3" ht="15.75" x14ac:dyDescent="0.25">
      <c r="A2459">
        <v>589035</v>
      </c>
      <c r="B2459" t="s">
        <v>1406</v>
      </c>
      <c r="C2459">
        <v>0</v>
      </c>
    </row>
    <row r="2460" spans="1:3" ht="15.75" x14ac:dyDescent="0.25">
      <c r="A2460">
        <v>589036</v>
      </c>
      <c r="B2460" t="s">
        <v>1407</v>
      </c>
      <c r="C2460">
        <v>0</v>
      </c>
    </row>
    <row r="2461" spans="1:3" ht="15.75" x14ac:dyDescent="0.25">
      <c r="A2461">
        <v>589037</v>
      </c>
      <c r="B2461" t="s">
        <v>1408</v>
      </c>
      <c r="C2461">
        <v>0</v>
      </c>
    </row>
    <row r="2462" spans="1:3" ht="15.75" x14ac:dyDescent="0.25">
      <c r="A2462">
        <v>589090</v>
      </c>
      <c r="B2462" t="s">
        <v>1409</v>
      </c>
      <c r="C2462">
        <v>695359</v>
      </c>
    </row>
    <row r="2463" spans="1:3" ht="15.75" x14ac:dyDescent="0.25">
      <c r="A2463">
        <v>5893</v>
      </c>
      <c r="B2463" t="s">
        <v>1410</v>
      </c>
      <c r="C2463">
        <f>SUM(C2464)</f>
        <v>0</v>
      </c>
    </row>
    <row r="2464" spans="1:3" ht="15.75" x14ac:dyDescent="0.25">
      <c r="A2464">
        <v>589301</v>
      </c>
      <c r="B2464" t="s">
        <v>266</v>
      </c>
      <c r="C2464">
        <v>0</v>
      </c>
    </row>
    <row r="2465" spans="1:3" ht="15.75" x14ac:dyDescent="0.25">
      <c r="A2465">
        <v>5894</v>
      </c>
      <c r="B2465" t="s">
        <v>1411</v>
      </c>
      <c r="C2465">
        <f>SUM(C2466:C2471)</f>
        <v>0</v>
      </c>
    </row>
    <row r="2466" spans="1:3" ht="15.75" x14ac:dyDescent="0.25">
      <c r="A2466">
        <v>589401</v>
      </c>
      <c r="B2466" t="s">
        <v>119</v>
      </c>
      <c r="C2466">
        <v>0</v>
      </c>
    </row>
    <row r="2467" spans="1:3" ht="15.75" x14ac:dyDescent="0.25">
      <c r="A2467">
        <v>589402</v>
      </c>
      <c r="B2467" t="s">
        <v>1029</v>
      </c>
      <c r="C2467">
        <v>0</v>
      </c>
    </row>
    <row r="2468" spans="1:3" ht="15.75" x14ac:dyDescent="0.25">
      <c r="A2468">
        <v>589403</v>
      </c>
      <c r="B2468" t="s">
        <v>115</v>
      </c>
      <c r="C2468">
        <v>0</v>
      </c>
    </row>
    <row r="2469" spans="1:3" ht="15.75" x14ac:dyDescent="0.25">
      <c r="A2469">
        <v>589404</v>
      </c>
      <c r="B2469" t="s">
        <v>116</v>
      </c>
      <c r="C2469">
        <v>0</v>
      </c>
    </row>
    <row r="2470" spans="1:3" ht="15.75" x14ac:dyDescent="0.25">
      <c r="A2470">
        <v>589405</v>
      </c>
      <c r="B2470" t="s">
        <v>117</v>
      </c>
      <c r="C2470">
        <v>0</v>
      </c>
    </row>
    <row r="2471" spans="1:3" ht="15.75" x14ac:dyDescent="0.25">
      <c r="A2471">
        <v>589406</v>
      </c>
      <c r="B2471" t="s">
        <v>118</v>
      </c>
      <c r="C2471">
        <v>0</v>
      </c>
    </row>
    <row r="2472" spans="1:3" ht="15.75" x14ac:dyDescent="0.25">
      <c r="A2472">
        <v>5895</v>
      </c>
      <c r="B2472" t="s">
        <v>1412</v>
      </c>
      <c r="C2472">
        <f>SUM(C2473:C2485)</f>
        <v>0</v>
      </c>
    </row>
    <row r="2473" spans="1:3" ht="15.75" x14ac:dyDescent="0.25">
      <c r="A2473">
        <v>589502</v>
      </c>
      <c r="B2473" t="s">
        <v>150</v>
      </c>
      <c r="C2473">
        <v>0</v>
      </c>
    </row>
    <row r="2474" spans="1:3" ht="15.75" x14ac:dyDescent="0.25">
      <c r="A2474">
        <v>589503</v>
      </c>
      <c r="B2474" t="s">
        <v>154</v>
      </c>
      <c r="C2474">
        <v>0</v>
      </c>
    </row>
    <row r="2475" spans="1:3" ht="15.75" x14ac:dyDescent="0.25">
      <c r="A2475">
        <v>589504</v>
      </c>
      <c r="B2475" t="s">
        <v>121</v>
      </c>
      <c r="C2475">
        <v>0</v>
      </c>
    </row>
    <row r="2476" spans="1:3" ht="15.75" x14ac:dyDescent="0.25">
      <c r="A2476">
        <v>589505</v>
      </c>
      <c r="B2476" t="s">
        <v>155</v>
      </c>
      <c r="C2476">
        <v>0</v>
      </c>
    </row>
    <row r="2477" spans="1:3" ht="15.75" x14ac:dyDescent="0.25">
      <c r="A2477">
        <v>589506</v>
      </c>
      <c r="B2477" t="s">
        <v>122</v>
      </c>
      <c r="C2477">
        <v>0</v>
      </c>
    </row>
    <row r="2478" spans="1:3" ht="15.75" x14ac:dyDescent="0.25">
      <c r="A2478">
        <v>589507</v>
      </c>
      <c r="B2478" t="s">
        <v>123</v>
      </c>
      <c r="C2478">
        <v>0</v>
      </c>
    </row>
    <row r="2479" spans="1:3" ht="15.75" x14ac:dyDescent="0.25">
      <c r="A2479">
        <v>589509</v>
      </c>
      <c r="B2479" t="s">
        <v>1147</v>
      </c>
      <c r="C2479">
        <v>0</v>
      </c>
    </row>
    <row r="2480" spans="1:3" ht="15.75" x14ac:dyDescent="0.25">
      <c r="A2480">
        <v>589511</v>
      </c>
      <c r="B2480" t="s">
        <v>151</v>
      </c>
      <c r="C2480">
        <v>0</v>
      </c>
    </row>
    <row r="2481" spans="1:3" ht="15.75" x14ac:dyDescent="0.25">
      <c r="A2481">
        <v>589512</v>
      </c>
      <c r="B2481" t="s">
        <v>152</v>
      </c>
      <c r="C2481">
        <v>0</v>
      </c>
    </row>
    <row r="2482" spans="1:3" ht="15.75" x14ac:dyDescent="0.25">
      <c r="A2482">
        <v>589513</v>
      </c>
      <c r="B2482" t="s">
        <v>153</v>
      </c>
      <c r="C2482">
        <v>0</v>
      </c>
    </row>
    <row r="2483" spans="1:3" ht="15.75" x14ac:dyDescent="0.25">
      <c r="A2483">
        <v>589514</v>
      </c>
      <c r="B2483" t="s">
        <v>125</v>
      </c>
      <c r="C2483">
        <v>0</v>
      </c>
    </row>
    <row r="2484" spans="1:3" ht="15.75" x14ac:dyDescent="0.25">
      <c r="A2484">
        <v>589515</v>
      </c>
      <c r="B2484" t="s">
        <v>126</v>
      </c>
      <c r="C2484">
        <v>0</v>
      </c>
    </row>
    <row r="2485" spans="1:3" ht="15.75" x14ac:dyDescent="0.25">
      <c r="A2485">
        <v>589516</v>
      </c>
      <c r="B2485" t="s">
        <v>148</v>
      </c>
      <c r="C2485">
        <v>0</v>
      </c>
    </row>
    <row r="2486" spans="1:3" ht="15.75" x14ac:dyDescent="0.25">
      <c r="A2486">
        <v>5897</v>
      </c>
      <c r="B2486" t="s">
        <v>1413</v>
      </c>
      <c r="C2486">
        <f>SUM(C2487:C2488)</f>
        <v>0</v>
      </c>
    </row>
    <row r="2487" spans="1:3" ht="15.75" x14ac:dyDescent="0.25">
      <c r="A2487">
        <v>589701</v>
      </c>
      <c r="B2487" t="s">
        <v>358</v>
      </c>
      <c r="C2487">
        <v>0</v>
      </c>
    </row>
    <row r="2488" spans="1:3" ht="15.75" x14ac:dyDescent="0.25">
      <c r="A2488">
        <v>589723</v>
      </c>
      <c r="B2488" t="s">
        <v>723</v>
      </c>
      <c r="C2488">
        <v>0</v>
      </c>
    </row>
    <row r="2489" spans="1:3" ht="15.75" x14ac:dyDescent="0.25">
      <c r="A2489">
        <v>59</v>
      </c>
      <c r="B2489" t="s">
        <v>1414</v>
      </c>
      <c r="C2489">
        <v>-2382208</v>
      </c>
    </row>
    <row r="2490" spans="1:3" ht="15.75" x14ac:dyDescent="0.25">
      <c r="A2490">
        <v>5905</v>
      </c>
      <c r="B2490" t="s">
        <v>1414</v>
      </c>
      <c r="C2490">
        <v>-2382208</v>
      </c>
    </row>
    <row r="2491" spans="1:3" ht="15.75" x14ac:dyDescent="0.25">
      <c r="A2491">
        <v>590501</v>
      </c>
      <c r="B2491" t="s">
        <v>1415</v>
      </c>
      <c r="C2491">
        <v>-2382208</v>
      </c>
    </row>
    <row r="2492" spans="1:3" ht="15.75" x14ac:dyDescent="0.25">
      <c r="A2492">
        <v>6</v>
      </c>
      <c r="B2492" t="s">
        <v>1416</v>
      </c>
      <c r="C2492">
        <v>318566503</v>
      </c>
    </row>
    <row r="2493" spans="1:3" ht="15.75" x14ac:dyDescent="0.25">
      <c r="A2493">
        <v>62</v>
      </c>
      <c r="B2493" t="s">
        <v>1417</v>
      </c>
      <c r="C2493">
        <f>SUM(C2494,C2509)</f>
        <v>0</v>
      </c>
    </row>
    <row r="2494" spans="1:3" ht="15.75" x14ac:dyDescent="0.25">
      <c r="A2494">
        <v>6205</v>
      </c>
      <c r="B2494" t="s">
        <v>291</v>
      </c>
      <c r="C2494">
        <f>SUM(C2495:C2508)</f>
        <v>0</v>
      </c>
    </row>
    <row r="2495" spans="1:3" ht="15.75" x14ac:dyDescent="0.25">
      <c r="A2495">
        <v>620507</v>
      </c>
      <c r="B2495" t="s">
        <v>292</v>
      </c>
      <c r="C2495">
        <v>0</v>
      </c>
    </row>
    <row r="2496" spans="1:3" ht="15.75" x14ac:dyDescent="0.25">
      <c r="A2496">
        <v>620511</v>
      </c>
      <c r="B2496" t="s">
        <v>294</v>
      </c>
      <c r="C2496">
        <v>0</v>
      </c>
    </row>
    <row r="2497" spans="1:3" ht="15.75" x14ac:dyDescent="0.25">
      <c r="A2497">
        <v>620513</v>
      </c>
      <c r="B2497" t="s">
        <v>295</v>
      </c>
      <c r="C2497">
        <v>0</v>
      </c>
    </row>
    <row r="2498" spans="1:3" ht="15.75" x14ac:dyDescent="0.25">
      <c r="A2498">
        <v>620514</v>
      </c>
      <c r="B2498" t="s">
        <v>299</v>
      </c>
      <c r="C2498">
        <v>0</v>
      </c>
    </row>
    <row r="2499" spans="1:3" ht="15.75" x14ac:dyDescent="0.25">
      <c r="A2499">
        <v>620515</v>
      </c>
      <c r="B2499" t="s">
        <v>296</v>
      </c>
      <c r="C2499">
        <v>0</v>
      </c>
    </row>
    <row r="2500" spans="1:3" ht="15.75" x14ac:dyDescent="0.25">
      <c r="A2500">
        <v>620516</v>
      </c>
      <c r="B2500" t="s">
        <v>300</v>
      </c>
      <c r="C2500">
        <v>0</v>
      </c>
    </row>
    <row r="2501" spans="1:3" ht="15.75" x14ac:dyDescent="0.25">
      <c r="A2501">
        <v>620517</v>
      </c>
      <c r="B2501" t="s">
        <v>298</v>
      </c>
      <c r="C2501">
        <v>0</v>
      </c>
    </row>
    <row r="2502" spans="1:3" ht="15.75" x14ac:dyDescent="0.25">
      <c r="A2502">
        <v>620518</v>
      </c>
      <c r="B2502" t="s">
        <v>301</v>
      </c>
      <c r="C2502">
        <v>0</v>
      </c>
    </row>
    <row r="2503" spans="1:3" ht="15.75" x14ac:dyDescent="0.25">
      <c r="A2503">
        <v>620519</v>
      </c>
      <c r="B2503" t="s">
        <v>293</v>
      </c>
      <c r="C2503">
        <v>0</v>
      </c>
    </row>
    <row r="2504" spans="1:3" ht="15.75" x14ac:dyDescent="0.25">
      <c r="A2504">
        <v>620520</v>
      </c>
      <c r="B2504" t="s">
        <v>297</v>
      </c>
      <c r="C2504">
        <v>0</v>
      </c>
    </row>
    <row r="2505" spans="1:3" ht="15.75" x14ac:dyDescent="0.25">
      <c r="A2505">
        <v>620521</v>
      </c>
      <c r="B2505" t="s">
        <v>118</v>
      </c>
      <c r="C2505">
        <v>0</v>
      </c>
    </row>
    <row r="2506" spans="1:3" ht="15.75" x14ac:dyDescent="0.25">
      <c r="A2506">
        <v>620528</v>
      </c>
      <c r="B2506" t="s">
        <v>302</v>
      </c>
      <c r="C2506">
        <v>0</v>
      </c>
    </row>
    <row r="2507" spans="1:3" ht="15.75" x14ac:dyDescent="0.25">
      <c r="A2507">
        <v>620529</v>
      </c>
      <c r="B2507" t="s">
        <v>114</v>
      </c>
      <c r="C2507">
        <v>0</v>
      </c>
    </row>
    <row r="2508" spans="1:3" ht="15.75" x14ac:dyDescent="0.25">
      <c r="A2508">
        <v>620590</v>
      </c>
      <c r="B2508" t="s">
        <v>303</v>
      </c>
      <c r="C2508">
        <v>0</v>
      </c>
    </row>
    <row r="2509" spans="1:3" ht="15.75" x14ac:dyDescent="0.25">
      <c r="A2509">
        <v>6210</v>
      </c>
      <c r="B2509" t="s">
        <v>1025</v>
      </c>
      <c r="C2509">
        <f>SUM(C2510:C2534)</f>
        <v>0</v>
      </c>
    </row>
    <row r="2510" spans="1:3" ht="15.75" x14ac:dyDescent="0.25">
      <c r="A2510">
        <v>621001</v>
      </c>
      <c r="B2510" t="s">
        <v>305</v>
      </c>
      <c r="C2510">
        <v>0</v>
      </c>
    </row>
    <row r="2511" spans="1:3" ht="15.75" x14ac:dyDescent="0.25">
      <c r="A2511">
        <v>621002</v>
      </c>
      <c r="B2511" t="s">
        <v>118</v>
      </c>
      <c r="C2511">
        <v>0</v>
      </c>
    </row>
    <row r="2512" spans="1:3" ht="15.75" x14ac:dyDescent="0.25">
      <c r="A2512">
        <v>621003</v>
      </c>
      <c r="B2512" t="s">
        <v>292</v>
      </c>
      <c r="C2512">
        <v>0</v>
      </c>
    </row>
    <row r="2513" spans="1:3" ht="15.75" x14ac:dyDescent="0.25">
      <c r="A2513">
        <v>621008</v>
      </c>
      <c r="B2513" t="s">
        <v>294</v>
      </c>
      <c r="C2513">
        <v>0</v>
      </c>
    </row>
    <row r="2514" spans="1:3" ht="15.75" x14ac:dyDescent="0.25">
      <c r="A2514">
        <v>621010</v>
      </c>
      <c r="B2514" t="s">
        <v>306</v>
      </c>
      <c r="C2514">
        <v>0</v>
      </c>
    </row>
    <row r="2515" spans="1:3" ht="15.75" x14ac:dyDescent="0.25">
      <c r="A2515">
        <v>621011</v>
      </c>
      <c r="B2515" t="s">
        <v>307</v>
      </c>
      <c r="C2515">
        <v>0</v>
      </c>
    </row>
    <row r="2516" spans="1:3" ht="15.75" x14ac:dyDescent="0.25">
      <c r="A2516">
        <v>621012</v>
      </c>
      <c r="B2516" t="s">
        <v>308</v>
      </c>
      <c r="C2516">
        <v>0</v>
      </c>
    </row>
    <row r="2517" spans="1:3" ht="15.75" x14ac:dyDescent="0.25">
      <c r="A2517">
        <v>621013</v>
      </c>
      <c r="B2517" t="s">
        <v>293</v>
      </c>
      <c r="C2517">
        <v>0</v>
      </c>
    </row>
    <row r="2518" spans="1:3" ht="15.75" x14ac:dyDescent="0.25">
      <c r="A2518">
        <v>621015</v>
      </c>
      <c r="B2518" t="s">
        <v>296</v>
      </c>
      <c r="C2518">
        <v>0</v>
      </c>
    </row>
    <row r="2519" spans="1:3" ht="15.75" x14ac:dyDescent="0.25">
      <c r="A2519">
        <v>621016</v>
      </c>
      <c r="B2519" t="s">
        <v>298</v>
      </c>
      <c r="C2519">
        <v>0</v>
      </c>
    </row>
    <row r="2520" spans="1:3" ht="15.75" x14ac:dyDescent="0.25">
      <c r="A2520">
        <v>621017</v>
      </c>
      <c r="B2520" t="s">
        <v>309</v>
      </c>
      <c r="C2520">
        <v>0</v>
      </c>
    </row>
    <row r="2521" spans="1:3" ht="15.75" x14ac:dyDescent="0.25">
      <c r="A2521">
        <v>621023</v>
      </c>
      <c r="B2521" t="s">
        <v>295</v>
      </c>
      <c r="C2521">
        <v>0</v>
      </c>
    </row>
    <row r="2522" spans="1:3" ht="15.75" x14ac:dyDescent="0.25">
      <c r="A2522">
        <v>621024</v>
      </c>
      <c r="B2522" t="s">
        <v>318</v>
      </c>
      <c r="C2522">
        <v>0</v>
      </c>
    </row>
    <row r="2523" spans="1:3" ht="15.75" x14ac:dyDescent="0.25">
      <c r="A2523">
        <v>621025</v>
      </c>
      <c r="B2523" t="s">
        <v>319</v>
      </c>
      <c r="C2523">
        <v>0</v>
      </c>
    </row>
    <row r="2524" spans="1:3" ht="15.75" x14ac:dyDescent="0.25">
      <c r="A2524">
        <v>621028</v>
      </c>
      <c r="B2524" t="s">
        <v>310</v>
      </c>
      <c r="C2524">
        <v>0</v>
      </c>
    </row>
    <row r="2525" spans="1:3" ht="15.75" x14ac:dyDescent="0.25">
      <c r="A2525">
        <v>621029</v>
      </c>
      <c r="B2525" t="s">
        <v>311</v>
      </c>
      <c r="C2525">
        <v>0</v>
      </c>
    </row>
    <row r="2526" spans="1:3" ht="15.75" x14ac:dyDescent="0.25">
      <c r="A2526">
        <v>621030</v>
      </c>
      <c r="B2526" t="s">
        <v>312</v>
      </c>
      <c r="C2526">
        <v>0</v>
      </c>
    </row>
    <row r="2527" spans="1:3" ht="15.75" x14ac:dyDescent="0.25">
      <c r="A2527">
        <v>621031</v>
      </c>
      <c r="B2527" t="s">
        <v>313</v>
      </c>
      <c r="C2527">
        <v>0</v>
      </c>
    </row>
    <row r="2528" spans="1:3" ht="15.75" x14ac:dyDescent="0.25">
      <c r="A2528">
        <v>621033</v>
      </c>
      <c r="B2528" t="s">
        <v>314</v>
      </c>
      <c r="C2528">
        <v>0</v>
      </c>
    </row>
    <row r="2529" spans="1:3" ht="15.75" x14ac:dyDescent="0.25">
      <c r="A2529">
        <v>621034</v>
      </c>
      <c r="B2529" t="s">
        <v>1026</v>
      </c>
      <c r="C2529">
        <v>0</v>
      </c>
    </row>
    <row r="2530" spans="1:3" ht="15.75" x14ac:dyDescent="0.25">
      <c r="A2530">
        <v>621035</v>
      </c>
      <c r="B2530" t="s">
        <v>315</v>
      </c>
      <c r="C2530">
        <v>0</v>
      </c>
    </row>
    <row r="2531" spans="1:3" ht="15.75" x14ac:dyDescent="0.25">
      <c r="A2531">
        <v>621037</v>
      </c>
      <c r="B2531" t="s">
        <v>316</v>
      </c>
      <c r="C2531">
        <v>0</v>
      </c>
    </row>
    <row r="2532" spans="1:3" ht="15.75" x14ac:dyDescent="0.25">
      <c r="A2532">
        <v>621039</v>
      </c>
      <c r="B2532" t="s">
        <v>317</v>
      </c>
      <c r="C2532">
        <v>0</v>
      </c>
    </row>
    <row r="2533" spans="1:3" ht="15.75" x14ac:dyDescent="0.25">
      <c r="A2533">
        <v>621040</v>
      </c>
      <c r="B2533" t="s">
        <v>114</v>
      </c>
      <c r="C2533">
        <v>0</v>
      </c>
    </row>
    <row r="2534" spans="1:3" ht="15.75" x14ac:dyDescent="0.25">
      <c r="A2534">
        <v>621090</v>
      </c>
      <c r="B2534" t="s">
        <v>1027</v>
      </c>
      <c r="C2534">
        <v>0</v>
      </c>
    </row>
    <row r="2535" spans="1:3" ht="15.75" x14ac:dyDescent="0.25">
      <c r="A2535">
        <v>63</v>
      </c>
      <c r="B2535" t="s">
        <v>1418</v>
      </c>
      <c r="C2535">
        <v>318566503</v>
      </c>
    </row>
    <row r="2536" spans="1:3" ht="15.75" x14ac:dyDescent="0.25">
      <c r="A2536">
        <v>6310</v>
      </c>
      <c r="B2536" t="s">
        <v>1038</v>
      </c>
      <c r="C2536">
        <f>SUM(C2537:C2572)</f>
        <v>0</v>
      </c>
    </row>
    <row r="2537" spans="1:3" ht="15.75" x14ac:dyDescent="0.25">
      <c r="A2537">
        <v>631001</v>
      </c>
      <c r="B2537" t="s">
        <v>1039</v>
      </c>
      <c r="C2537">
        <v>0</v>
      </c>
    </row>
    <row r="2538" spans="1:3" ht="15.75" x14ac:dyDescent="0.25">
      <c r="A2538">
        <v>631002</v>
      </c>
      <c r="B2538" t="s">
        <v>1040</v>
      </c>
      <c r="C2538">
        <v>0</v>
      </c>
    </row>
    <row r="2539" spans="1:3" ht="15.75" x14ac:dyDescent="0.25">
      <c r="A2539">
        <v>631015</v>
      </c>
      <c r="B2539" t="s">
        <v>1041</v>
      </c>
      <c r="C2539">
        <v>0</v>
      </c>
    </row>
    <row r="2540" spans="1:3" ht="15.75" x14ac:dyDescent="0.25">
      <c r="A2540">
        <v>631016</v>
      </c>
      <c r="B2540" t="s">
        <v>1042</v>
      </c>
      <c r="C2540">
        <v>0</v>
      </c>
    </row>
    <row r="2541" spans="1:3" ht="15.75" x14ac:dyDescent="0.25">
      <c r="A2541">
        <v>631017</v>
      </c>
      <c r="B2541" t="s">
        <v>1419</v>
      </c>
      <c r="C2541">
        <v>0</v>
      </c>
    </row>
    <row r="2542" spans="1:3" ht="15.75" x14ac:dyDescent="0.25">
      <c r="A2542">
        <v>631018</v>
      </c>
      <c r="B2542" t="s">
        <v>1420</v>
      </c>
      <c r="C2542">
        <v>0</v>
      </c>
    </row>
    <row r="2543" spans="1:3" ht="15.75" x14ac:dyDescent="0.25">
      <c r="A2543">
        <v>631019</v>
      </c>
      <c r="B2543" t="s">
        <v>1045</v>
      </c>
      <c r="C2543">
        <v>0</v>
      </c>
    </row>
    <row r="2544" spans="1:3" ht="15.75" x14ac:dyDescent="0.25">
      <c r="A2544">
        <v>631025</v>
      </c>
      <c r="B2544" t="s">
        <v>1046</v>
      </c>
      <c r="C2544">
        <v>0</v>
      </c>
    </row>
    <row r="2545" spans="1:3" ht="15.75" x14ac:dyDescent="0.25">
      <c r="A2545">
        <v>631026</v>
      </c>
      <c r="B2545" t="s">
        <v>1047</v>
      </c>
      <c r="C2545">
        <v>0</v>
      </c>
    </row>
    <row r="2546" spans="1:3" ht="15.75" x14ac:dyDescent="0.25">
      <c r="A2546">
        <v>631027</v>
      </c>
      <c r="B2546" t="s">
        <v>1048</v>
      </c>
      <c r="C2546">
        <v>0</v>
      </c>
    </row>
    <row r="2547" spans="1:3" ht="15.75" x14ac:dyDescent="0.25">
      <c r="A2547">
        <v>631028</v>
      </c>
      <c r="B2547" t="s">
        <v>1049</v>
      </c>
      <c r="C2547">
        <v>0</v>
      </c>
    </row>
    <row r="2548" spans="1:3" ht="15.75" x14ac:dyDescent="0.25">
      <c r="A2548">
        <v>631029</v>
      </c>
      <c r="B2548" t="s">
        <v>1050</v>
      </c>
      <c r="C2548">
        <v>0</v>
      </c>
    </row>
    <row r="2549" spans="1:3" ht="15.75" x14ac:dyDescent="0.25">
      <c r="A2549">
        <v>631030</v>
      </c>
      <c r="B2549" t="s">
        <v>1051</v>
      </c>
      <c r="C2549">
        <v>0</v>
      </c>
    </row>
    <row r="2550" spans="1:3" ht="15.75" x14ac:dyDescent="0.25">
      <c r="A2550">
        <v>631031</v>
      </c>
      <c r="B2550" t="s">
        <v>1052</v>
      </c>
      <c r="C2550">
        <v>0</v>
      </c>
    </row>
    <row r="2551" spans="1:3" ht="15.75" x14ac:dyDescent="0.25">
      <c r="A2551">
        <v>631035</v>
      </c>
      <c r="B2551" t="s">
        <v>1053</v>
      </c>
      <c r="C2551">
        <v>0</v>
      </c>
    </row>
    <row r="2552" spans="1:3" ht="15.75" x14ac:dyDescent="0.25">
      <c r="A2552">
        <v>631036</v>
      </c>
      <c r="B2552" t="s">
        <v>1054</v>
      </c>
      <c r="C2552">
        <v>0</v>
      </c>
    </row>
    <row r="2553" spans="1:3" ht="15.75" x14ac:dyDescent="0.25">
      <c r="A2553">
        <v>631040</v>
      </c>
      <c r="B2553" t="s">
        <v>1055</v>
      </c>
      <c r="C2553">
        <v>0</v>
      </c>
    </row>
    <row r="2554" spans="1:3" ht="15.75" x14ac:dyDescent="0.25">
      <c r="A2554">
        <v>631041</v>
      </c>
      <c r="B2554" t="s">
        <v>1056</v>
      </c>
      <c r="C2554">
        <v>0</v>
      </c>
    </row>
    <row r="2555" spans="1:3" ht="15.75" x14ac:dyDescent="0.25">
      <c r="A2555">
        <v>631042</v>
      </c>
      <c r="B2555" t="s">
        <v>1057</v>
      </c>
      <c r="C2555">
        <v>0</v>
      </c>
    </row>
    <row r="2556" spans="1:3" ht="15.75" x14ac:dyDescent="0.25">
      <c r="A2556">
        <v>631043</v>
      </c>
      <c r="B2556" t="s">
        <v>1058</v>
      </c>
      <c r="C2556">
        <v>0</v>
      </c>
    </row>
    <row r="2557" spans="1:3" ht="15.75" x14ac:dyDescent="0.25">
      <c r="A2557">
        <v>631050</v>
      </c>
      <c r="B2557" t="s">
        <v>1059</v>
      </c>
      <c r="C2557">
        <v>0</v>
      </c>
    </row>
    <row r="2558" spans="1:3" ht="15.75" x14ac:dyDescent="0.25">
      <c r="A2558">
        <v>631051</v>
      </c>
      <c r="B2558" t="s">
        <v>1060</v>
      </c>
      <c r="C2558">
        <v>0</v>
      </c>
    </row>
    <row r="2559" spans="1:3" ht="15.75" x14ac:dyDescent="0.25">
      <c r="A2559">
        <v>631052</v>
      </c>
      <c r="B2559" t="s">
        <v>1061</v>
      </c>
      <c r="C2559">
        <v>0</v>
      </c>
    </row>
    <row r="2560" spans="1:3" ht="15.75" x14ac:dyDescent="0.25">
      <c r="A2560">
        <v>631053</v>
      </c>
      <c r="B2560" t="s">
        <v>1062</v>
      </c>
      <c r="C2560">
        <v>0</v>
      </c>
    </row>
    <row r="2561" spans="1:3" ht="15.75" x14ac:dyDescent="0.25">
      <c r="A2561">
        <v>631054</v>
      </c>
      <c r="B2561" t="s">
        <v>1063</v>
      </c>
      <c r="C2561">
        <v>0</v>
      </c>
    </row>
    <row r="2562" spans="1:3" ht="15.75" x14ac:dyDescent="0.25">
      <c r="A2562">
        <v>631055</v>
      </c>
      <c r="B2562" t="s">
        <v>1064</v>
      </c>
      <c r="C2562">
        <v>0</v>
      </c>
    </row>
    <row r="2563" spans="1:3" ht="15.75" x14ac:dyDescent="0.25">
      <c r="A2563">
        <v>631056</v>
      </c>
      <c r="B2563" t="s">
        <v>1065</v>
      </c>
      <c r="C2563">
        <v>0</v>
      </c>
    </row>
    <row r="2564" spans="1:3" ht="15.75" x14ac:dyDescent="0.25">
      <c r="A2564">
        <v>631057</v>
      </c>
      <c r="B2564" t="s">
        <v>1066</v>
      </c>
      <c r="C2564">
        <v>0</v>
      </c>
    </row>
    <row r="2565" spans="1:3" ht="15.75" x14ac:dyDescent="0.25">
      <c r="A2565">
        <v>631060</v>
      </c>
      <c r="B2565" t="s">
        <v>1067</v>
      </c>
      <c r="C2565">
        <v>0</v>
      </c>
    </row>
    <row r="2566" spans="1:3" ht="15.75" x14ac:dyDescent="0.25">
      <c r="A2566">
        <v>631061</v>
      </c>
      <c r="B2566" t="s">
        <v>1068</v>
      </c>
      <c r="C2566">
        <v>0</v>
      </c>
    </row>
    <row r="2567" spans="1:3" ht="15.75" x14ac:dyDescent="0.25">
      <c r="A2567">
        <v>631062</v>
      </c>
      <c r="B2567" t="s">
        <v>1069</v>
      </c>
      <c r="C2567">
        <v>0</v>
      </c>
    </row>
    <row r="2568" spans="1:3" ht="15.75" x14ac:dyDescent="0.25">
      <c r="A2568">
        <v>631063</v>
      </c>
      <c r="B2568" t="s">
        <v>1070</v>
      </c>
      <c r="C2568">
        <v>0</v>
      </c>
    </row>
    <row r="2569" spans="1:3" ht="15.75" x14ac:dyDescent="0.25">
      <c r="A2569">
        <v>631064</v>
      </c>
      <c r="B2569" t="s">
        <v>1421</v>
      </c>
      <c r="C2569">
        <v>0</v>
      </c>
    </row>
    <row r="2570" spans="1:3" ht="15.75" x14ac:dyDescent="0.25">
      <c r="A2570">
        <v>631065</v>
      </c>
      <c r="B2570" t="s">
        <v>1072</v>
      </c>
      <c r="C2570">
        <v>0</v>
      </c>
    </row>
    <row r="2571" spans="1:3" ht="15.75" x14ac:dyDescent="0.25">
      <c r="A2571">
        <v>631066</v>
      </c>
      <c r="B2571" t="s">
        <v>1073</v>
      </c>
      <c r="C2571">
        <v>0</v>
      </c>
    </row>
    <row r="2572" spans="1:3" ht="15.75" x14ac:dyDescent="0.25">
      <c r="A2572">
        <v>631067</v>
      </c>
      <c r="B2572" t="s">
        <v>1074</v>
      </c>
      <c r="C2572">
        <v>0</v>
      </c>
    </row>
    <row r="2573" spans="1:3" ht="15.75" x14ac:dyDescent="0.25">
      <c r="A2573">
        <v>6345</v>
      </c>
      <c r="B2573" t="s">
        <v>1103</v>
      </c>
      <c r="C2573">
        <f>SUM(C2574:C2578)</f>
        <v>0</v>
      </c>
    </row>
    <row r="2574" spans="1:3" ht="15.75" x14ac:dyDescent="0.25">
      <c r="A2574">
        <v>634501</v>
      </c>
      <c r="B2574" t="s">
        <v>1105</v>
      </c>
      <c r="C2574">
        <v>0</v>
      </c>
    </row>
    <row r="2575" spans="1:3" ht="15.75" x14ac:dyDescent="0.25">
      <c r="A2575">
        <v>634502</v>
      </c>
      <c r="B2575" t="s">
        <v>1104</v>
      </c>
      <c r="C2575">
        <v>0</v>
      </c>
    </row>
    <row r="2576" spans="1:3" ht="15.75" x14ac:dyDescent="0.25">
      <c r="A2576">
        <v>634503</v>
      </c>
      <c r="B2576" t="s">
        <v>1106</v>
      </c>
      <c r="C2576">
        <v>0</v>
      </c>
    </row>
    <row r="2577" spans="1:3" ht="15.75" x14ac:dyDescent="0.25">
      <c r="A2577">
        <v>634505</v>
      </c>
      <c r="B2577" t="s">
        <v>1107</v>
      </c>
      <c r="C2577">
        <v>0</v>
      </c>
    </row>
    <row r="2578" spans="1:3" ht="15.75" x14ac:dyDescent="0.25">
      <c r="A2578">
        <v>634590</v>
      </c>
      <c r="B2578" t="s">
        <v>1108</v>
      </c>
      <c r="C2578">
        <v>0</v>
      </c>
    </row>
    <row r="2579" spans="1:3" ht="15.75" x14ac:dyDescent="0.25">
      <c r="A2579">
        <v>6350</v>
      </c>
      <c r="B2579" t="s">
        <v>1133</v>
      </c>
      <c r="C2579">
        <f>SUM(C2580:C2582)</f>
        <v>0</v>
      </c>
    </row>
    <row r="2580" spans="1:3" ht="15.75" x14ac:dyDescent="0.25">
      <c r="A2580">
        <v>635001</v>
      </c>
      <c r="B2580" t="s">
        <v>1137</v>
      </c>
      <c r="C2580">
        <v>0</v>
      </c>
    </row>
    <row r="2581" spans="1:3" ht="15.75" x14ac:dyDescent="0.25">
      <c r="A2581">
        <v>635002</v>
      </c>
      <c r="B2581" t="s">
        <v>1138</v>
      </c>
      <c r="C2581">
        <v>0</v>
      </c>
    </row>
    <row r="2582" spans="1:3" ht="15.75" x14ac:dyDescent="0.25">
      <c r="A2582">
        <v>635090</v>
      </c>
      <c r="B2582" t="s">
        <v>1422</v>
      </c>
      <c r="C2582">
        <v>0</v>
      </c>
    </row>
    <row r="2583" spans="1:3" ht="15.75" x14ac:dyDescent="0.25">
      <c r="A2583">
        <v>6360</v>
      </c>
      <c r="B2583" t="s">
        <v>1423</v>
      </c>
      <c r="C2583">
        <v>318566503</v>
      </c>
    </row>
    <row r="2584" spans="1:3" ht="15.75" x14ac:dyDescent="0.25">
      <c r="A2584">
        <v>636002</v>
      </c>
      <c r="B2584" t="s">
        <v>1424</v>
      </c>
      <c r="C2584">
        <v>129431667</v>
      </c>
    </row>
    <row r="2585" spans="1:3" ht="15.75" x14ac:dyDescent="0.25">
      <c r="A2585">
        <v>636003</v>
      </c>
      <c r="B2585" t="s">
        <v>1425</v>
      </c>
      <c r="C2585">
        <v>60972636</v>
      </c>
    </row>
    <row r="2586" spans="1:3" ht="15.75" x14ac:dyDescent="0.25">
      <c r="A2586">
        <v>636004</v>
      </c>
      <c r="B2586" t="s">
        <v>1426</v>
      </c>
      <c r="C2586">
        <v>128162200</v>
      </c>
    </row>
    <row r="2587" spans="1:3" ht="15.75" x14ac:dyDescent="0.25">
      <c r="A2587">
        <v>636005</v>
      </c>
      <c r="B2587" t="s">
        <v>1427</v>
      </c>
      <c r="C2587">
        <v>0</v>
      </c>
    </row>
    <row r="2588" spans="1:3" ht="15.75" x14ac:dyDescent="0.25">
      <c r="A2588">
        <v>636006</v>
      </c>
      <c r="B2588" t="s">
        <v>1428</v>
      </c>
      <c r="C2588">
        <v>0</v>
      </c>
    </row>
    <row r="2589" spans="1:3" ht="15.75" x14ac:dyDescent="0.25">
      <c r="A2589">
        <v>636007</v>
      </c>
      <c r="B2589" t="s">
        <v>1429</v>
      </c>
      <c r="C2589">
        <v>0</v>
      </c>
    </row>
    <row r="2590" spans="1:3" ht="15.75" x14ac:dyDescent="0.25">
      <c r="A2590">
        <v>636090</v>
      </c>
      <c r="B2590" t="s">
        <v>1430</v>
      </c>
      <c r="C2590">
        <v>0</v>
      </c>
    </row>
    <row r="2591" spans="1:3" ht="15.75" x14ac:dyDescent="0.25">
      <c r="A2591">
        <v>6390</v>
      </c>
      <c r="B2591" t="s">
        <v>1145</v>
      </c>
      <c r="C2591">
        <f>SUM(C2592:C2601)</f>
        <v>0</v>
      </c>
    </row>
    <row r="2592" spans="1:3" ht="15.75" x14ac:dyDescent="0.25">
      <c r="A2592">
        <v>639002</v>
      </c>
      <c r="B2592" t="s">
        <v>125</v>
      </c>
      <c r="C2592">
        <v>0</v>
      </c>
    </row>
    <row r="2593" spans="1:3" ht="15.75" x14ac:dyDescent="0.25">
      <c r="A2593">
        <v>639004</v>
      </c>
      <c r="B2593" t="s">
        <v>129</v>
      </c>
      <c r="C2593">
        <v>0</v>
      </c>
    </row>
    <row r="2594" spans="1:3" ht="15.75" x14ac:dyDescent="0.25">
      <c r="A2594">
        <v>639006</v>
      </c>
      <c r="B2594" t="s">
        <v>126</v>
      </c>
      <c r="C2594">
        <v>0</v>
      </c>
    </row>
    <row r="2595" spans="1:3" ht="15.75" x14ac:dyDescent="0.25">
      <c r="A2595">
        <v>639007</v>
      </c>
      <c r="B2595" t="s">
        <v>136</v>
      </c>
      <c r="C2595">
        <v>0</v>
      </c>
    </row>
    <row r="2596" spans="1:3" ht="15.75" x14ac:dyDescent="0.25">
      <c r="A2596">
        <v>639008</v>
      </c>
      <c r="B2596" t="s">
        <v>127</v>
      </c>
      <c r="C2596">
        <v>0</v>
      </c>
    </row>
    <row r="2597" spans="1:3" ht="15.75" x14ac:dyDescent="0.25">
      <c r="A2597">
        <v>639010</v>
      </c>
      <c r="B2597" t="s">
        <v>139</v>
      </c>
      <c r="C2597">
        <v>0</v>
      </c>
    </row>
    <row r="2598" spans="1:3" ht="15.75" x14ac:dyDescent="0.25">
      <c r="A2598">
        <v>639012</v>
      </c>
      <c r="B2598" t="s">
        <v>147</v>
      </c>
      <c r="C2598">
        <v>0</v>
      </c>
    </row>
    <row r="2599" spans="1:3" ht="15.75" x14ac:dyDescent="0.25">
      <c r="A2599">
        <v>639013</v>
      </c>
      <c r="B2599" t="s">
        <v>144</v>
      </c>
      <c r="C2599">
        <v>0</v>
      </c>
    </row>
    <row r="2600" spans="1:3" ht="15.75" x14ac:dyDescent="0.25">
      <c r="A2600">
        <v>639014</v>
      </c>
      <c r="B2600" t="s">
        <v>146</v>
      </c>
      <c r="C2600">
        <v>0</v>
      </c>
    </row>
    <row r="2601" spans="1:3" ht="15.75" x14ac:dyDescent="0.25">
      <c r="A2601">
        <v>639090</v>
      </c>
      <c r="B2601" t="s">
        <v>148</v>
      </c>
      <c r="C2601">
        <v>0</v>
      </c>
    </row>
    <row r="2602" spans="1:3" ht="15.75" x14ac:dyDescent="0.25">
      <c r="A2602">
        <v>7</v>
      </c>
      <c r="B2602" t="s">
        <v>1431</v>
      </c>
      <c r="C2602">
        <v>0</v>
      </c>
    </row>
    <row r="2603" spans="1:3" ht="15.75" x14ac:dyDescent="0.25">
      <c r="A2603">
        <v>71</v>
      </c>
      <c r="B2603" t="s">
        <v>1432</v>
      </c>
      <c r="C2603">
        <f>SUM(C2604,C2617,C2630,C2643,C2656,C2669,C2682,C2695,C2708,C2721,C2734,C2747,C2760)</f>
        <v>0</v>
      </c>
    </row>
    <row r="2604" spans="1:3" ht="15.75" x14ac:dyDescent="0.25">
      <c r="A2604">
        <v>7116</v>
      </c>
      <c r="B2604" t="s">
        <v>1433</v>
      </c>
      <c r="C2604">
        <f>SUM(C2605:C2616)</f>
        <v>0</v>
      </c>
    </row>
    <row r="2605" spans="1:3" ht="15.75" x14ac:dyDescent="0.25">
      <c r="A2605">
        <v>711601</v>
      </c>
      <c r="B2605" t="s">
        <v>1434</v>
      </c>
      <c r="C2605">
        <v>0</v>
      </c>
    </row>
    <row r="2606" spans="1:3" ht="15.75" x14ac:dyDescent="0.25">
      <c r="A2606">
        <v>711602</v>
      </c>
      <c r="B2606" t="s">
        <v>1435</v>
      </c>
      <c r="C2606">
        <v>0</v>
      </c>
    </row>
    <row r="2607" spans="1:3" ht="15.75" x14ac:dyDescent="0.25">
      <c r="A2607">
        <v>711603</v>
      </c>
      <c r="B2607" t="s">
        <v>1436</v>
      </c>
      <c r="C2607">
        <v>0</v>
      </c>
    </row>
    <row r="2608" spans="1:3" ht="15.75" x14ac:dyDescent="0.25">
      <c r="A2608">
        <v>711604</v>
      </c>
      <c r="B2608" t="s">
        <v>567</v>
      </c>
      <c r="C2608">
        <v>0</v>
      </c>
    </row>
    <row r="2609" spans="1:3" ht="15.75" x14ac:dyDescent="0.25">
      <c r="A2609">
        <v>711605</v>
      </c>
      <c r="B2609" t="s">
        <v>1437</v>
      </c>
      <c r="C2609">
        <v>0</v>
      </c>
    </row>
    <row r="2610" spans="1:3" ht="15.75" x14ac:dyDescent="0.25">
      <c r="A2610">
        <v>711606</v>
      </c>
      <c r="B2610" t="s">
        <v>568</v>
      </c>
      <c r="C2610">
        <v>0</v>
      </c>
    </row>
    <row r="2611" spans="1:3" ht="15.75" x14ac:dyDescent="0.25">
      <c r="A2611">
        <v>711607</v>
      </c>
      <c r="B2611" t="s">
        <v>1438</v>
      </c>
      <c r="C2611">
        <v>0</v>
      </c>
    </row>
    <row r="2612" spans="1:3" ht="15.75" x14ac:dyDescent="0.25">
      <c r="A2612">
        <v>711608</v>
      </c>
      <c r="B2612" t="s">
        <v>1439</v>
      </c>
      <c r="C2612">
        <v>0</v>
      </c>
    </row>
    <row r="2613" spans="1:3" ht="15.75" x14ac:dyDescent="0.25">
      <c r="A2613">
        <v>711609</v>
      </c>
      <c r="B2613" t="s">
        <v>1440</v>
      </c>
      <c r="C2613">
        <v>0</v>
      </c>
    </row>
    <row r="2614" spans="1:3" ht="15.75" x14ac:dyDescent="0.25">
      <c r="A2614">
        <v>711610</v>
      </c>
      <c r="B2614" t="s">
        <v>1441</v>
      </c>
      <c r="C2614">
        <v>0</v>
      </c>
    </row>
    <row r="2615" spans="1:3" ht="15.75" x14ac:dyDescent="0.25">
      <c r="A2615">
        <v>711611</v>
      </c>
      <c r="B2615" t="s">
        <v>1442</v>
      </c>
      <c r="C2615">
        <v>0</v>
      </c>
    </row>
    <row r="2616" spans="1:3" ht="15.75" x14ac:dyDescent="0.25">
      <c r="A2616">
        <v>711695</v>
      </c>
      <c r="B2616" t="s">
        <v>1443</v>
      </c>
      <c r="C2616">
        <v>0</v>
      </c>
    </row>
    <row r="2617" spans="1:3" ht="15.75" x14ac:dyDescent="0.25">
      <c r="A2617">
        <v>7120</v>
      </c>
      <c r="B2617" t="s">
        <v>1444</v>
      </c>
      <c r="C2617">
        <f>SUM(C2618:C2629)</f>
        <v>0</v>
      </c>
    </row>
    <row r="2618" spans="1:3" ht="15.75" x14ac:dyDescent="0.25">
      <c r="A2618">
        <v>712001</v>
      </c>
      <c r="B2618" t="s">
        <v>1434</v>
      </c>
      <c r="C2618">
        <v>0</v>
      </c>
    </row>
    <row r="2619" spans="1:3" ht="15.75" x14ac:dyDescent="0.25">
      <c r="A2619">
        <v>712002</v>
      </c>
      <c r="B2619" t="s">
        <v>1435</v>
      </c>
      <c r="C2619">
        <v>0</v>
      </c>
    </row>
    <row r="2620" spans="1:3" ht="15.75" x14ac:dyDescent="0.25">
      <c r="A2620">
        <v>712003</v>
      </c>
      <c r="B2620" t="s">
        <v>1436</v>
      </c>
      <c r="C2620">
        <v>0</v>
      </c>
    </row>
    <row r="2621" spans="1:3" ht="15.75" x14ac:dyDescent="0.25">
      <c r="A2621">
        <v>712004</v>
      </c>
      <c r="B2621" t="s">
        <v>567</v>
      </c>
      <c r="C2621">
        <v>0</v>
      </c>
    </row>
    <row r="2622" spans="1:3" ht="15.75" x14ac:dyDescent="0.25">
      <c r="A2622">
        <v>712005</v>
      </c>
      <c r="B2622" t="s">
        <v>1437</v>
      </c>
      <c r="C2622">
        <v>0</v>
      </c>
    </row>
    <row r="2623" spans="1:3" ht="15.75" x14ac:dyDescent="0.25">
      <c r="A2623">
        <v>712006</v>
      </c>
      <c r="B2623" t="s">
        <v>568</v>
      </c>
      <c r="C2623">
        <v>0</v>
      </c>
    </row>
    <row r="2624" spans="1:3" ht="15.75" x14ac:dyDescent="0.25">
      <c r="A2624">
        <v>712007</v>
      </c>
      <c r="B2624" t="s">
        <v>1438</v>
      </c>
      <c r="C2624">
        <v>0</v>
      </c>
    </row>
    <row r="2625" spans="1:3" ht="15.75" x14ac:dyDescent="0.25">
      <c r="A2625">
        <v>712008</v>
      </c>
      <c r="B2625" t="s">
        <v>1439</v>
      </c>
      <c r="C2625">
        <v>0</v>
      </c>
    </row>
    <row r="2626" spans="1:3" ht="15.75" x14ac:dyDescent="0.25">
      <c r="A2626">
        <v>712009</v>
      </c>
      <c r="B2626" t="s">
        <v>1440</v>
      </c>
      <c r="C2626">
        <v>0</v>
      </c>
    </row>
    <row r="2627" spans="1:3" ht="15.75" x14ac:dyDescent="0.25">
      <c r="A2627">
        <v>712010</v>
      </c>
      <c r="B2627" t="s">
        <v>1441</v>
      </c>
      <c r="C2627">
        <v>0</v>
      </c>
    </row>
    <row r="2628" spans="1:3" ht="15.75" x14ac:dyDescent="0.25">
      <c r="A2628">
        <v>712011</v>
      </c>
      <c r="B2628" t="s">
        <v>1442</v>
      </c>
      <c r="C2628">
        <v>0</v>
      </c>
    </row>
    <row r="2629" spans="1:3" ht="15.75" x14ac:dyDescent="0.25">
      <c r="A2629">
        <v>712095</v>
      </c>
      <c r="B2629" t="s">
        <v>1443</v>
      </c>
      <c r="C2629">
        <v>0</v>
      </c>
    </row>
    <row r="2630" spans="1:3" ht="15.75" x14ac:dyDescent="0.25">
      <c r="A2630">
        <v>7122</v>
      </c>
      <c r="B2630" t="s">
        <v>1445</v>
      </c>
      <c r="C2630">
        <f>SUM(C2631:C2642)</f>
        <v>0</v>
      </c>
    </row>
    <row r="2631" spans="1:3" ht="15.75" x14ac:dyDescent="0.25">
      <c r="A2631">
        <v>712201</v>
      </c>
      <c r="B2631" t="s">
        <v>1434</v>
      </c>
      <c r="C2631">
        <v>0</v>
      </c>
    </row>
    <row r="2632" spans="1:3" ht="15.75" x14ac:dyDescent="0.25">
      <c r="A2632">
        <v>712202</v>
      </c>
      <c r="B2632" t="s">
        <v>1435</v>
      </c>
      <c r="C2632">
        <v>0</v>
      </c>
    </row>
    <row r="2633" spans="1:3" ht="15.75" x14ac:dyDescent="0.25">
      <c r="A2633">
        <v>712203</v>
      </c>
      <c r="B2633" t="s">
        <v>1436</v>
      </c>
      <c r="C2633">
        <v>0</v>
      </c>
    </row>
    <row r="2634" spans="1:3" ht="15.75" x14ac:dyDescent="0.25">
      <c r="A2634">
        <v>712204</v>
      </c>
      <c r="B2634" t="s">
        <v>567</v>
      </c>
      <c r="C2634">
        <v>0</v>
      </c>
    </row>
    <row r="2635" spans="1:3" ht="15.75" x14ac:dyDescent="0.25">
      <c r="A2635">
        <v>712205</v>
      </c>
      <c r="B2635" t="s">
        <v>1437</v>
      </c>
      <c r="C2635">
        <v>0</v>
      </c>
    </row>
    <row r="2636" spans="1:3" ht="15.75" x14ac:dyDescent="0.25">
      <c r="A2636">
        <v>712206</v>
      </c>
      <c r="B2636" t="s">
        <v>568</v>
      </c>
      <c r="C2636">
        <v>0</v>
      </c>
    </row>
    <row r="2637" spans="1:3" ht="15.75" x14ac:dyDescent="0.25">
      <c r="A2637">
        <v>712207</v>
      </c>
      <c r="B2637" t="s">
        <v>1438</v>
      </c>
      <c r="C2637">
        <v>0</v>
      </c>
    </row>
    <row r="2638" spans="1:3" ht="15.75" x14ac:dyDescent="0.25">
      <c r="A2638">
        <v>712208</v>
      </c>
      <c r="B2638" t="s">
        <v>1439</v>
      </c>
      <c r="C2638">
        <v>0</v>
      </c>
    </row>
    <row r="2639" spans="1:3" ht="15.75" x14ac:dyDescent="0.25">
      <c r="A2639">
        <v>712209</v>
      </c>
      <c r="B2639" t="s">
        <v>1440</v>
      </c>
      <c r="C2639">
        <v>0</v>
      </c>
    </row>
    <row r="2640" spans="1:3" ht="15.75" x14ac:dyDescent="0.25">
      <c r="A2640">
        <v>712210</v>
      </c>
      <c r="B2640" t="s">
        <v>1441</v>
      </c>
      <c r="C2640">
        <v>0</v>
      </c>
    </row>
    <row r="2641" spans="1:3" ht="15.75" x14ac:dyDescent="0.25">
      <c r="A2641">
        <v>712211</v>
      </c>
      <c r="B2641" t="s">
        <v>1442</v>
      </c>
      <c r="C2641">
        <v>0</v>
      </c>
    </row>
    <row r="2642" spans="1:3" ht="15.75" x14ac:dyDescent="0.25">
      <c r="A2642">
        <v>712295</v>
      </c>
      <c r="B2642" t="s">
        <v>1443</v>
      </c>
      <c r="C2642">
        <v>0</v>
      </c>
    </row>
    <row r="2643" spans="1:3" ht="15.75" x14ac:dyDescent="0.25">
      <c r="A2643">
        <v>7123</v>
      </c>
      <c r="B2643" t="s">
        <v>1446</v>
      </c>
      <c r="C2643">
        <f>SUM(C2644:C2655)</f>
        <v>0</v>
      </c>
    </row>
    <row r="2644" spans="1:3" ht="15.75" x14ac:dyDescent="0.25">
      <c r="A2644">
        <v>712301</v>
      </c>
      <c r="B2644" t="s">
        <v>1434</v>
      </c>
      <c r="C2644">
        <v>0</v>
      </c>
    </row>
    <row r="2645" spans="1:3" ht="15.75" x14ac:dyDescent="0.25">
      <c r="A2645">
        <v>712302</v>
      </c>
      <c r="B2645" t="s">
        <v>1435</v>
      </c>
      <c r="C2645">
        <v>0</v>
      </c>
    </row>
    <row r="2646" spans="1:3" ht="15.75" x14ac:dyDescent="0.25">
      <c r="A2646">
        <v>712303</v>
      </c>
      <c r="B2646" t="s">
        <v>1436</v>
      </c>
      <c r="C2646">
        <v>0</v>
      </c>
    </row>
    <row r="2647" spans="1:3" ht="15.75" x14ac:dyDescent="0.25">
      <c r="A2647">
        <v>712304</v>
      </c>
      <c r="B2647" t="s">
        <v>567</v>
      </c>
      <c r="C2647">
        <v>0</v>
      </c>
    </row>
    <row r="2648" spans="1:3" ht="15.75" x14ac:dyDescent="0.25">
      <c r="A2648">
        <v>712305</v>
      </c>
      <c r="B2648" t="s">
        <v>1437</v>
      </c>
      <c r="C2648">
        <v>0</v>
      </c>
    </row>
    <row r="2649" spans="1:3" ht="15.75" x14ac:dyDescent="0.25">
      <c r="A2649">
        <v>712306</v>
      </c>
      <c r="B2649" t="s">
        <v>568</v>
      </c>
      <c r="C2649">
        <v>0</v>
      </c>
    </row>
    <row r="2650" spans="1:3" ht="15.75" x14ac:dyDescent="0.25">
      <c r="A2650">
        <v>712307</v>
      </c>
      <c r="B2650" t="s">
        <v>1438</v>
      </c>
      <c r="C2650">
        <v>0</v>
      </c>
    </row>
    <row r="2651" spans="1:3" ht="15.75" x14ac:dyDescent="0.25">
      <c r="A2651">
        <v>712308</v>
      </c>
      <c r="B2651" t="s">
        <v>1439</v>
      </c>
      <c r="C2651">
        <v>0</v>
      </c>
    </row>
    <row r="2652" spans="1:3" ht="15.75" x14ac:dyDescent="0.25">
      <c r="A2652">
        <v>712309</v>
      </c>
      <c r="B2652" t="s">
        <v>1440</v>
      </c>
      <c r="C2652">
        <v>0</v>
      </c>
    </row>
    <row r="2653" spans="1:3" ht="15.75" x14ac:dyDescent="0.25">
      <c r="A2653">
        <v>712310</v>
      </c>
      <c r="B2653" t="s">
        <v>1441</v>
      </c>
      <c r="C2653">
        <v>0</v>
      </c>
    </row>
    <row r="2654" spans="1:3" ht="15.75" x14ac:dyDescent="0.25">
      <c r="A2654">
        <v>712311</v>
      </c>
      <c r="B2654" t="s">
        <v>1442</v>
      </c>
      <c r="C2654">
        <v>0</v>
      </c>
    </row>
    <row r="2655" spans="1:3" ht="15.75" x14ac:dyDescent="0.25">
      <c r="A2655">
        <v>712395</v>
      </c>
      <c r="B2655" t="s">
        <v>1443</v>
      </c>
      <c r="C2655">
        <v>0</v>
      </c>
    </row>
    <row r="2656" spans="1:3" ht="15.75" x14ac:dyDescent="0.25">
      <c r="A2656">
        <v>7124</v>
      </c>
      <c r="B2656" t="s">
        <v>1447</v>
      </c>
      <c r="C2656">
        <f>SUM(C2657:C2668)</f>
        <v>0</v>
      </c>
    </row>
    <row r="2657" spans="1:3" ht="15.75" x14ac:dyDescent="0.25">
      <c r="A2657">
        <v>712401</v>
      </c>
      <c r="B2657" t="s">
        <v>1434</v>
      </c>
      <c r="C2657">
        <v>0</v>
      </c>
    </row>
    <row r="2658" spans="1:3" ht="15.75" x14ac:dyDescent="0.25">
      <c r="A2658">
        <v>712402</v>
      </c>
      <c r="B2658" t="s">
        <v>1435</v>
      </c>
      <c r="C2658">
        <v>0</v>
      </c>
    </row>
    <row r="2659" spans="1:3" ht="15.75" x14ac:dyDescent="0.25">
      <c r="A2659">
        <v>712403</v>
      </c>
      <c r="B2659" t="s">
        <v>1436</v>
      </c>
      <c r="C2659">
        <v>0</v>
      </c>
    </row>
    <row r="2660" spans="1:3" ht="15.75" x14ac:dyDescent="0.25">
      <c r="A2660">
        <v>712404</v>
      </c>
      <c r="B2660" t="s">
        <v>567</v>
      </c>
      <c r="C2660">
        <v>0</v>
      </c>
    </row>
    <row r="2661" spans="1:3" ht="15.75" x14ac:dyDescent="0.25">
      <c r="A2661">
        <v>712405</v>
      </c>
      <c r="B2661" t="s">
        <v>1437</v>
      </c>
      <c r="C2661">
        <v>0</v>
      </c>
    </row>
    <row r="2662" spans="1:3" ht="15.75" x14ac:dyDescent="0.25">
      <c r="A2662">
        <v>712406</v>
      </c>
      <c r="B2662" t="s">
        <v>568</v>
      </c>
      <c r="C2662">
        <v>0</v>
      </c>
    </row>
    <row r="2663" spans="1:3" ht="15.75" x14ac:dyDescent="0.25">
      <c r="A2663">
        <v>712407</v>
      </c>
      <c r="B2663" t="s">
        <v>1438</v>
      </c>
      <c r="C2663">
        <v>0</v>
      </c>
    </row>
    <row r="2664" spans="1:3" ht="15.75" x14ac:dyDescent="0.25">
      <c r="A2664">
        <v>712408</v>
      </c>
      <c r="B2664" t="s">
        <v>1439</v>
      </c>
      <c r="C2664">
        <v>0</v>
      </c>
    </row>
    <row r="2665" spans="1:3" ht="15.75" x14ac:dyDescent="0.25">
      <c r="A2665">
        <v>712409</v>
      </c>
      <c r="B2665" t="s">
        <v>1440</v>
      </c>
      <c r="C2665">
        <v>0</v>
      </c>
    </row>
    <row r="2666" spans="1:3" ht="15.75" x14ac:dyDescent="0.25">
      <c r="A2666">
        <v>712410</v>
      </c>
      <c r="B2666" t="s">
        <v>1441</v>
      </c>
      <c r="C2666">
        <v>0</v>
      </c>
    </row>
    <row r="2667" spans="1:3" ht="15.75" x14ac:dyDescent="0.25">
      <c r="A2667">
        <v>712411</v>
      </c>
      <c r="B2667" t="s">
        <v>1442</v>
      </c>
      <c r="C2667">
        <v>0</v>
      </c>
    </row>
    <row r="2668" spans="1:3" ht="15.75" x14ac:dyDescent="0.25">
      <c r="A2668">
        <v>712495</v>
      </c>
      <c r="B2668" t="s">
        <v>1443</v>
      </c>
      <c r="C2668">
        <v>0</v>
      </c>
    </row>
    <row r="2669" spans="1:3" ht="15.75" x14ac:dyDescent="0.25">
      <c r="A2669">
        <v>7125</v>
      </c>
      <c r="B2669" t="s">
        <v>1448</v>
      </c>
      <c r="C2669">
        <f>SUM(C2670:C2681)</f>
        <v>0</v>
      </c>
    </row>
    <row r="2670" spans="1:3" ht="15.75" x14ac:dyDescent="0.25">
      <c r="A2670">
        <v>712501</v>
      </c>
      <c r="B2670" t="s">
        <v>1434</v>
      </c>
      <c r="C2670">
        <v>0</v>
      </c>
    </row>
    <row r="2671" spans="1:3" ht="15.75" x14ac:dyDescent="0.25">
      <c r="A2671">
        <v>712502</v>
      </c>
      <c r="B2671" t="s">
        <v>1435</v>
      </c>
      <c r="C2671">
        <v>0</v>
      </c>
    </row>
    <row r="2672" spans="1:3" ht="15.75" x14ac:dyDescent="0.25">
      <c r="A2672">
        <v>712503</v>
      </c>
      <c r="B2672" t="s">
        <v>1436</v>
      </c>
      <c r="C2672">
        <v>0</v>
      </c>
    </row>
    <row r="2673" spans="1:3" ht="15.75" x14ac:dyDescent="0.25">
      <c r="A2673">
        <v>712504</v>
      </c>
      <c r="B2673" t="s">
        <v>567</v>
      </c>
      <c r="C2673">
        <v>0</v>
      </c>
    </row>
    <row r="2674" spans="1:3" ht="15.75" x14ac:dyDescent="0.25">
      <c r="A2674">
        <v>712505</v>
      </c>
      <c r="B2674" t="s">
        <v>1437</v>
      </c>
      <c r="C2674">
        <v>0</v>
      </c>
    </row>
    <row r="2675" spans="1:3" ht="15.75" x14ac:dyDescent="0.25">
      <c r="A2675">
        <v>712506</v>
      </c>
      <c r="B2675" t="s">
        <v>568</v>
      </c>
      <c r="C2675">
        <v>0</v>
      </c>
    </row>
    <row r="2676" spans="1:3" ht="15.75" x14ac:dyDescent="0.25">
      <c r="A2676">
        <v>712507</v>
      </c>
      <c r="B2676" t="s">
        <v>1438</v>
      </c>
      <c r="C2676">
        <v>0</v>
      </c>
    </row>
    <row r="2677" spans="1:3" ht="15.75" x14ac:dyDescent="0.25">
      <c r="A2677">
        <v>712508</v>
      </c>
      <c r="B2677" t="s">
        <v>1439</v>
      </c>
      <c r="C2677">
        <v>0</v>
      </c>
    </row>
    <row r="2678" spans="1:3" ht="15.75" x14ac:dyDescent="0.25">
      <c r="A2678">
        <v>712509</v>
      </c>
      <c r="B2678" t="s">
        <v>1440</v>
      </c>
      <c r="C2678">
        <v>0</v>
      </c>
    </row>
    <row r="2679" spans="1:3" ht="15.75" x14ac:dyDescent="0.25">
      <c r="A2679">
        <v>712510</v>
      </c>
      <c r="B2679" t="s">
        <v>1441</v>
      </c>
      <c r="C2679">
        <v>0</v>
      </c>
    </row>
    <row r="2680" spans="1:3" ht="15.75" x14ac:dyDescent="0.25">
      <c r="A2680">
        <v>712511</v>
      </c>
      <c r="B2680" t="s">
        <v>1442</v>
      </c>
      <c r="C2680">
        <v>0</v>
      </c>
    </row>
    <row r="2681" spans="1:3" ht="15.75" x14ac:dyDescent="0.25">
      <c r="A2681">
        <v>712595</v>
      </c>
      <c r="B2681" t="s">
        <v>1443</v>
      </c>
      <c r="C2681">
        <v>0</v>
      </c>
    </row>
    <row r="2682" spans="1:3" ht="15.75" x14ac:dyDescent="0.25">
      <c r="A2682">
        <v>7126</v>
      </c>
      <c r="B2682" t="s">
        <v>1449</v>
      </c>
      <c r="C2682">
        <f>SUM(C2683:C2694)</f>
        <v>0</v>
      </c>
    </row>
    <row r="2683" spans="1:3" ht="15.75" x14ac:dyDescent="0.25">
      <c r="A2683">
        <v>712601</v>
      </c>
      <c r="B2683" t="s">
        <v>1434</v>
      </c>
      <c r="C2683">
        <v>0</v>
      </c>
    </row>
    <row r="2684" spans="1:3" ht="15.75" x14ac:dyDescent="0.25">
      <c r="A2684">
        <v>712602</v>
      </c>
      <c r="B2684" t="s">
        <v>1435</v>
      </c>
      <c r="C2684">
        <v>0</v>
      </c>
    </row>
    <row r="2685" spans="1:3" ht="15.75" x14ac:dyDescent="0.25">
      <c r="A2685">
        <v>712603</v>
      </c>
      <c r="B2685" t="s">
        <v>1436</v>
      </c>
      <c r="C2685">
        <v>0</v>
      </c>
    </row>
    <row r="2686" spans="1:3" ht="15.75" x14ac:dyDescent="0.25">
      <c r="A2686">
        <v>712604</v>
      </c>
      <c r="B2686" t="s">
        <v>567</v>
      </c>
      <c r="C2686">
        <v>0</v>
      </c>
    </row>
    <row r="2687" spans="1:3" ht="15.75" x14ac:dyDescent="0.25">
      <c r="A2687">
        <v>712605</v>
      </c>
      <c r="B2687" t="s">
        <v>1437</v>
      </c>
      <c r="C2687">
        <v>0</v>
      </c>
    </row>
    <row r="2688" spans="1:3" ht="15.75" x14ac:dyDescent="0.25">
      <c r="A2688">
        <v>712606</v>
      </c>
      <c r="B2688" t="s">
        <v>568</v>
      </c>
      <c r="C2688">
        <v>0</v>
      </c>
    </row>
    <row r="2689" spans="1:3" ht="15.75" x14ac:dyDescent="0.25">
      <c r="A2689">
        <v>712607</v>
      </c>
      <c r="B2689" t="s">
        <v>1438</v>
      </c>
      <c r="C2689">
        <v>0</v>
      </c>
    </row>
    <row r="2690" spans="1:3" ht="15.75" x14ac:dyDescent="0.25">
      <c r="A2690">
        <v>712608</v>
      </c>
      <c r="B2690" t="s">
        <v>1439</v>
      </c>
      <c r="C2690">
        <v>0</v>
      </c>
    </row>
    <row r="2691" spans="1:3" ht="15.75" x14ac:dyDescent="0.25">
      <c r="A2691">
        <v>712609</v>
      </c>
      <c r="B2691" t="s">
        <v>1440</v>
      </c>
      <c r="C2691">
        <v>0</v>
      </c>
    </row>
    <row r="2692" spans="1:3" ht="15.75" x14ac:dyDescent="0.25">
      <c r="A2692">
        <v>712610</v>
      </c>
      <c r="B2692" t="s">
        <v>1441</v>
      </c>
      <c r="C2692">
        <v>0</v>
      </c>
    </row>
    <row r="2693" spans="1:3" ht="15.75" x14ac:dyDescent="0.25">
      <c r="A2693">
        <v>712611</v>
      </c>
      <c r="B2693" t="s">
        <v>1442</v>
      </c>
      <c r="C2693">
        <v>0</v>
      </c>
    </row>
    <row r="2694" spans="1:3" ht="15.75" x14ac:dyDescent="0.25">
      <c r="A2694">
        <v>712695</v>
      </c>
      <c r="B2694" t="s">
        <v>1443</v>
      </c>
      <c r="C2694">
        <v>0</v>
      </c>
    </row>
    <row r="2695" spans="1:3" ht="15.75" x14ac:dyDescent="0.25">
      <c r="A2695">
        <v>7127</v>
      </c>
      <c r="B2695" t="s">
        <v>1450</v>
      </c>
      <c r="C2695">
        <f>SUM(C2696:C2707)</f>
        <v>0</v>
      </c>
    </row>
    <row r="2696" spans="1:3" ht="15.75" x14ac:dyDescent="0.25">
      <c r="A2696">
        <v>712701</v>
      </c>
      <c r="B2696" t="s">
        <v>1434</v>
      </c>
      <c r="C2696">
        <v>0</v>
      </c>
    </row>
    <row r="2697" spans="1:3" ht="15.75" x14ac:dyDescent="0.25">
      <c r="A2697">
        <v>712702</v>
      </c>
      <c r="B2697" t="s">
        <v>1435</v>
      </c>
      <c r="C2697">
        <v>0</v>
      </c>
    </row>
    <row r="2698" spans="1:3" ht="15.75" x14ac:dyDescent="0.25">
      <c r="A2698">
        <v>712703</v>
      </c>
      <c r="B2698" t="s">
        <v>1436</v>
      </c>
      <c r="C2698">
        <v>0</v>
      </c>
    </row>
    <row r="2699" spans="1:3" ht="15.75" x14ac:dyDescent="0.25">
      <c r="A2699">
        <v>712704</v>
      </c>
      <c r="B2699" t="s">
        <v>567</v>
      </c>
      <c r="C2699">
        <v>0</v>
      </c>
    </row>
    <row r="2700" spans="1:3" ht="15.75" x14ac:dyDescent="0.25">
      <c r="A2700">
        <v>712705</v>
      </c>
      <c r="B2700" t="s">
        <v>1437</v>
      </c>
      <c r="C2700">
        <v>0</v>
      </c>
    </row>
    <row r="2701" spans="1:3" ht="15.75" x14ac:dyDescent="0.25">
      <c r="A2701">
        <v>712706</v>
      </c>
      <c r="B2701" t="s">
        <v>568</v>
      </c>
      <c r="C2701">
        <v>0</v>
      </c>
    </row>
    <row r="2702" spans="1:3" ht="15.75" x14ac:dyDescent="0.25">
      <c r="A2702">
        <v>712707</v>
      </c>
      <c r="B2702" t="s">
        <v>1438</v>
      </c>
      <c r="C2702">
        <v>0</v>
      </c>
    </row>
    <row r="2703" spans="1:3" ht="15.75" x14ac:dyDescent="0.25">
      <c r="A2703">
        <v>712708</v>
      </c>
      <c r="B2703" t="s">
        <v>1439</v>
      </c>
      <c r="C2703">
        <v>0</v>
      </c>
    </row>
    <row r="2704" spans="1:3" ht="15.75" x14ac:dyDescent="0.25">
      <c r="A2704">
        <v>712709</v>
      </c>
      <c r="B2704" t="s">
        <v>1440</v>
      </c>
      <c r="C2704">
        <v>0</v>
      </c>
    </row>
    <row r="2705" spans="1:3" ht="15.75" x14ac:dyDescent="0.25">
      <c r="A2705">
        <v>712710</v>
      </c>
      <c r="B2705" t="s">
        <v>1441</v>
      </c>
      <c r="C2705">
        <v>0</v>
      </c>
    </row>
    <row r="2706" spans="1:3" ht="15.75" x14ac:dyDescent="0.25">
      <c r="A2706">
        <v>712711</v>
      </c>
      <c r="B2706" t="s">
        <v>1442</v>
      </c>
      <c r="C2706">
        <v>0</v>
      </c>
    </row>
    <row r="2707" spans="1:3" ht="15.75" x14ac:dyDescent="0.25">
      <c r="A2707">
        <v>712795</v>
      </c>
      <c r="B2707" t="s">
        <v>1443</v>
      </c>
      <c r="C2707">
        <v>0</v>
      </c>
    </row>
    <row r="2708" spans="1:3" ht="15.75" x14ac:dyDescent="0.25">
      <c r="A2708">
        <v>7128</v>
      </c>
      <c r="B2708" t="s">
        <v>1451</v>
      </c>
      <c r="C2708">
        <f>SUM(C2709:C2720)</f>
        <v>0</v>
      </c>
    </row>
    <row r="2709" spans="1:3" ht="15.75" x14ac:dyDescent="0.25">
      <c r="A2709">
        <v>712801</v>
      </c>
      <c r="B2709" t="s">
        <v>1434</v>
      </c>
      <c r="C2709">
        <v>0</v>
      </c>
    </row>
    <row r="2710" spans="1:3" ht="15.75" x14ac:dyDescent="0.25">
      <c r="A2710">
        <v>712802</v>
      </c>
      <c r="B2710" t="s">
        <v>1435</v>
      </c>
      <c r="C2710">
        <v>0</v>
      </c>
    </row>
    <row r="2711" spans="1:3" ht="15.75" x14ac:dyDescent="0.25">
      <c r="A2711">
        <v>712803</v>
      </c>
      <c r="B2711" t="s">
        <v>1436</v>
      </c>
      <c r="C2711">
        <v>0</v>
      </c>
    </row>
    <row r="2712" spans="1:3" ht="15.75" x14ac:dyDescent="0.25">
      <c r="A2712">
        <v>712804</v>
      </c>
      <c r="B2712" t="s">
        <v>567</v>
      </c>
      <c r="C2712">
        <v>0</v>
      </c>
    </row>
    <row r="2713" spans="1:3" ht="15.75" x14ac:dyDescent="0.25">
      <c r="A2713">
        <v>712805</v>
      </c>
      <c r="B2713" t="s">
        <v>1437</v>
      </c>
      <c r="C2713">
        <v>0</v>
      </c>
    </row>
    <row r="2714" spans="1:3" ht="15.75" x14ac:dyDescent="0.25">
      <c r="A2714">
        <v>712806</v>
      </c>
      <c r="B2714" t="s">
        <v>568</v>
      </c>
      <c r="C2714">
        <v>0</v>
      </c>
    </row>
    <row r="2715" spans="1:3" ht="15.75" x14ac:dyDescent="0.25">
      <c r="A2715">
        <v>712807</v>
      </c>
      <c r="B2715" t="s">
        <v>1438</v>
      </c>
      <c r="C2715">
        <v>0</v>
      </c>
    </row>
    <row r="2716" spans="1:3" ht="15.75" x14ac:dyDescent="0.25">
      <c r="A2716">
        <v>712808</v>
      </c>
      <c r="B2716" t="s">
        <v>1439</v>
      </c>
      <c r="C2716">
        <v>0</v>
      </c>
    </row>
    <row r="2717" spans="1:3" ht="15.75" x14ac:dyDescent="0.25">
      <c r="A2717">
        <v>712809</v>
      </c>
      <c r="B2717" t="s">
        <v>1440</v>
      </c>
      <c r="C2717">
        <v>0</v>
      </c>
    </row>
    <row r="2718" spans="1:3" ht="15.75" x14ac:dyDescent="0.25">
      <c r="A2718">
        <v>712810</v>
      </c>
      <c r="B2718" t="s">
        <v>1441</v>
      </c>
      <c r="C2718">
        <v>0</v>
      </c>
    </row>
    <row r="2719" spans="1:3" ht="15.75" x14ac:dyDescent="0.25">
      <c r="A2719">
        <v>712811</v>
      </c>
      <c r="B2719" t="s">
        <v>1442</v>
      </c>
      <c r="C2719">
        <v>0</v>
      </c>
    </row>
    <row r="2720" spans="1:3" ht="15.75" x14ac:dyDescent="0.25">
      <c r="A2720">
        <v>712895</v>
      </c>
      <c r="B2720" t="s">
        <v>1443</v>
      </c>
      <c r="C2720">
        <v>0</v>
      </c>
    </row>
    <row r="2721" spans="1:3" ht="15.75" x14ac:dyDescent="0.25">
      <c r="A2721">
        <v>7129</v>
      </c>
      <c r="B2721" t="s">
        <v>1452</v>
      </c>
      <c r="C2721">
        <f>SUM(C2722:C2733)</f>
        <v>0</v>
      </c>
    </row>
    <row r="2722" spans="1:3" ht="15.75" x14ac:dyDescent="0.25">
      <c r="A2722">
        <v>712901</v>
      </c>
      <c r="B2722" t="s">
        <v>1434</v>
      </c>
      <c r="C2722">
        <v>0</v>
      </c>
    </row>
    <row r="2723" spans="1:3" ht="15.75" x14ac:dyDescent="0.25">
      <c r="A2723">
        <v>712902</v>
      </c>
      <c r="B2723" t="s">
        <v>1435</v>
      </c>
      <c r="C2723">
        <v>0</v>
      </c>
    </row>
    <row r="2724" spans="1:3" ht="15.75" x14ac:dyDescent="0.25">
      <c r="A2724">
        <v>712903</v>
      </c>
      <c r="B2724" t="s">
        <v>1436</v>
      </c>
      <c r="C2724">
        <v>0</v>
      </c>
    </row>
    <row r="2725" spans="1:3" ht="15.75" x14ac:dyDescent="0.25">
      <c r="A2725">
        <v>712904</v>
      </c>
      <c r="B2725" t="s">
        <v>567</v>
      </c>
      <c r="C2725">
        <v>0</v>
      </c>
    </row>
    <row r="2726" spans="1:3" ht="15.75" x14ac:dyDescent="0.25">
      <c r="A2726">
        <v>712905</v>
      </c>
      <c r="B2726" t="s">
        <v>1437</v>
      </c>
      <c r="C2726">
        <v>0</v>
      </c>
    </row>
    <row r="2727" spans="1:3" ht="15.75" x14ac:dyDescent="0.25">
      <c r="A2727">
        <v>712906</v>
      </c>
      <c r="B2727" t="s">
        <v>568</v>
      </c>
      <c r="C2727">
        <v>0</v>
      </c>
    </row>
    <row r="2728" spans="1:3" ht="15.75" x14ac:dyDescent="0.25">
      <c r="A2728">
        <v>712907</v>
      </c>
      <c r="B2728" t="s">
        <v>1438</v>
      </c>
      <c r="C2728">
        <v>0</v>
      </c>
    </row>
    <row r="2729" spans="1:3" ht="15.75" x14ac:dyDescent="0.25">
      <c r="A2729">
        <v>712908</v>
      </c>
      <c r="B2729" t="s">
        <v>1439</v>
      </c>
      <c r="C2729">
        <v>0</v>
      </c>
    </row>
    <row r="2730" spans="1:3" ht="15.75" x14ac:dyDescent="0.25">
      <c r="A2730">
        <v>712909</v>
      </c>
      <c r="B2730" t="s">
        <v>1440</v>
      </c>
      <c r="C2730">
        <v>0</v>
      </c>
    </row>
    <row r="2731" spans="1:3" ht="15.75" x14ac:dyDescent="0.25">
      <c r="A2731">
        <v>712910</v>
      </c>
      <c r="B2731" t="s">
        <v>1441</v>
      </c>
      <c r="C2731">
        <v>0</v>
      </c>
    </row>
    <row r="2732" spans="1:3" ht="15.75" x14ac:dyDescent="0.25">
      <c r="A2732">
        <v>712911</v>
      </c>
      <c r="B2732" t="s">
        <v>1442</v>
      </c>
      <c r="C2732">
        <v>0</v>
      </c>
    </row>
    <row r="2733" spans="1:3" ht="15.75" x14ac:dyDescent="0.25">
      <c r="A2733">
        <v>712995</v>
      </c>
      <c r="B2733" t="s">
        <v>1443</v>
      </c>
      <c r="C2733">
        <v>0</v>
      </c>
    </row>
    <row r="2734" spans="1:3" ht="15.75" x14ac:dyDescent="0.25">
      <c r="A2734">
        <v>7130</v>
      </c>
      <c r="B2734" t="s">
        <v>1023</v>
      </c>
      <c r="C2734">
        <f>SUM(C2735:C2746)</f>
        <v>0</v>
      </c>
    </row>
    <row r="2735" spans="1:3" ht="15.75" x14ac:dyDescent="0.25">
      <c r="A2735">
        <v>713001</v>
      </c>
      <c r="B2735" t="s">
        <v>1434</v>
      </c>
      <c r="C2735">
        <v>0</v>
      </c>
    </row>
    <row r="2736" spans="1:3" ht="15.75" x14ac:dyDescent="0.25">
      <c r="A2736">
        <v>713002</v>
      </c>
      <c r="B2736" t="s">
        <v>1435</v>
      </c>
      <c r="C2736">
        <v>0</v>
      </c>
    </row>
    <row r="2737" spans="1:3" ht="15.75" x14ac:dyDescent="0.25">
      <c r="A2737">
        <v>713003</v>
      </c>
      <c r="B2737" t="s">
        <v>1436</v>
      </c>
      <c r="C2737">
        <v>0</v>
      </c>
    </row>
    <row r="2738" spans="1:3" ht="15.75" x14ac:dyDescent="0.25">
      <c r="A2738">
        <v>713004</v>
      </c>
      <c r="B2738" t="s">
        <v>567</v>
      </c>
      <c r="C2738">
        <v>0</v>
      </c>
    </row>
    <row r="2739" spans="1:3" ht="15.75" x14ac:dyDescent="0.25">
      <c r="A2739">
        <v>713005</v>
      </c>
      <c r="B2739" t="s">
        <v>1437</v>
      </c>
      <c r="C2739">
        <v>0</v>
      </c>
    </row>
    <row r="2740" spans="1:3" ht="15.75" x14ac:dyDescent="0.25">
      <c r="A2740">
        <v>713006</v>
      </c>
      <c r="B2740" t="s">
        <v>568</v>
      </c>
      <c r="C2740">
        <v>0</v>
      </c>
    </row>
    <row r="2741" spans="1:3" ht="15.75" x14ac:dyDescent="0.25">
      <c r="A2741">
        <v>713007</v>
      </c>
      <c r="B2741" t="s">
        <v>1438</v>
      </c>
      <c r="C2741">
        <v>0</v>
      </c>
    </row>
    <row r="2742" spans="1:3" ht="15.75" x14ac:dyDescent="0.25">
      <c r="A2742">
        <v>713008</v>
      </c>
      <c r="B2742" t="s">
        <v>1439</v>
      </c>
      <c r="C2742">
        <v>0</v>
      </c>
    </row>
    <row r="2743" spans="1:3" ht="15.75" x14ac:dyDescent="0.25">
      <c r="A2743">
        <v>713009</v>
      </c>
      <c r="B2743" t="s">
        <v>1440</v>
      </c>
      <c r="C2743">
        <v>0</v>
      </c>
    </row>
    <row r="2744" spans="1:3" ht="15.75" x14ac:dyDescent="0.25">
      <c r="A2744">
        <v>713010</v>
      </c>
      <c r="B2744" t="s">
        <v>1441</v>
      </c>
      <c r="C2744">
        <v>0</v>
      </c>
    </row>
    <row r="2745" spans="1:3" ht="15.75" x14ac:dyDescent="0.25">
      <c r="A2745">
        <v>713011</v>
      </c>
      <c r="B2745" t="s">
        <v>1442</v>
      </c>
      <c r="C2745">
        <v>0</v>
      </c>
    </row>
    <row r="2746" spans="1:3" ht="15.75" x14ac:dyDescent="0.25">
      <c r="A2746">
        <v>713095</v>
      </c>
      <c r="B2746" t="s">
        <v>1443</v>
      </c>
      <c r="C2746">
        <v>0</v>
      </c>
    </row>
    <row r="2747" spans="1:3" ht="15.75" x14ac:dyDescent="0.25">
      <c r="A2747">
        <v>7136</v>
      </c>
      <c r="B2747" t="s">
        <v>1453</v>
      </c>
      <c r="C2747">
        <f>SUM(C2748:C2759)</f>
        <v>0</v>
      </c>
    </row>
    <row r="2748" spans="1:3" ht="15.75" x14ac:dyDescent="0.25">
      <c r="A2748">
        <v>713601</v>
      </c>
      <c r="B2748" t="s">
        <v>1434</v>
      </c>
      <c r="C2748">
        <v>0</v>
      </c>
    </row>
    <row r="2749" spans="1:3" ht="15.75" x14ac:dyDescent="0.25">
      <c r="A2749">
        <v>713602</v>
      </c>
      <c r="B2749" t="s">
        <v>1435</v>
      </c>
      <c r="C2749">
        <v>0</v>
      </c>
    </row>
    <row r="2750" spans="1:3" ht="15.75" x14ac:dyDescent="0.25">
      <c r="A2750">
        <v>713603</v>
      </c>
      <c r="B2750" t="s">
        <v>1436</v>
      </c>
      <c r="C2750">
        <v>0</v>
      </c>
    </row>
    <row r="2751" spans="1:3" ht="15.75" x14ac:dyDescent="0.25">
      <c r="A2751">
        <v>713604</v>
      </c>
      <c r="B2751" t="s">
        <v>567</v>
      </c>
      <c r="C2751">
        <v>0</v>
      </c>
    </row>
    <row r="2752" spans="1:3" ht="15.75" x14ac:dyDescent="0.25">
      <c r="A2752">
        <v>713605</v>
      </c>
      <c r="B2752" t="s">
        <v>1437</v>
      </c>
      <c r="C2752">
        <v>0</v>
      </c>
    </row>
    <row r="2753" spans="1:3" ht="15.75" x14ac:dyDescent="0.25">
      <c r="A2753">
        <v>713606</v>
      </c>
      <c r="B2753" t="s">
        <v>568</v>
      </c>
      <c r="C2753">
        <v>0</v>
      </c>
    </row>
    <row r="2754" spans="1:3" ht="15.75" x14ac:dyDescent="0.25">
      <c r="A2754">
        <v>713607</v>
      </c>
      <c r="B2754" t="s">
        <v>1438</v>
      </c>
      <c r="C2754">
        <v>0</v>
      </c>
    </row>
    <row r="2755" spans="1:3" ht="15.75" x14ac:dyDescent="0.25">
      <c r="A2755">
        <v>713608</v>
      </c>
      <c r="B2755" t="s">
        <v>1439</v>
      </c>
      <c r="C2755">
        <v>0</v>
      </c>
    </row>
    <row r="2756" spans="1:3" ht="15.75" x14ac:dyDescent="0.25">
      <c r="A2756">
        <v>713609</v>
      </c>
      <c r="B2756" t="s">
        <v>1440</v>
      </c>
      <c r="C2756">
        <v>0</v>
      </c>
    </row>
    <row r="2757" spans="1:3" ht="15.75" x14ac:dyDescent="0.25">
      <c r="A2757">
        <v>713610</v>
      </c>
      <c r="B2757" t="s">
        <v>1441</v>
      </c>
      <c r="C2757">
        <v>0</v>
      </c>
    </row>
    <row r="2758" spans="1:3" ht="15.75" x14ac:dyDescent="0.25">
      <c r="A2758">
        <v>713611</v>
      </c>
      <c r="B2758" t="s">
        <v>1442</v>
      </c>
      <c r="C2758">
        <v>0</v>
      </c>
    </row>
    <row r="2759" spans="1:3" ht="15.75" x14ac:dyDescent="0.25">
      <c r="A2759">
        <v>713695</v>
      </c>
      <c r="B2759" t="s">
        <v>1443</v>
      </c>
      <c r="C2759">
        <v>0</v>
      </c>
    </row>
    <row r="2760" spans="1:3" ht="15.75" x14ac:dyDescent="0.25">
      <c r="A2760">
        <v>7190</v>
      </c>
      <c r="B2760" t="s">
        <v>1454</v>
      </c>
      <c r="C2760">
        <f>SUM(C2761:C2772)</f>
        <v>0</v>
      </c>
    </row>
    <row r="2761" spans="1:3" ht="15.75" x14ac:dyDescent="0.25">
      <c r="A2761">
        <v>719001</v>
      </c>
      <c r="B2761" t="s">
        <v>1434</v>
      </c>
      <c r="C2761">
        <v>0</v>
      </c>
    </row>
    <row r="2762" spans="1:3" ht="15.75" x14ac:dyDescent="0.25">
      <c r="A2762">
        <v>719002</v>
      </c>
      <c r="B2762" t="s">
        <v>1435</v>
      </c>
      <c r="C2762">
        <v>0</v>
      </c>
    </row>
    <row r="2763" spans="1:3" ht="15.75" x14ac:dyDescent="0.25">
      <c r="A2763">
        <v>719003</v>
      </c>
      <c r="B2763" t="s">
        <v>1436</v>
      </c>
      <c r="C2763">
        <v>0</v>
      </c>
    </row>
    <row r="2764" spans="1:3" ht="15.75" x14ac:dyDescent="0.25">
      <c r="A2764">
        <v>719004</v>
      </c>
      <c r="B2764" t="s">
        <v>567</v>
      </c>
      <c r="C2764">
        <v>0</v>
      </c>
    </row>
    <row r="2765" spans="1:3" ht="15.75" x14ac:dyDescent="0.25">
      <c r="A2765">
        <v>719005</v>
      </c>
      <c r="B2765" t="s">
        <v>1437</v>
      </c>
      <c r="C2765">
        <v>0</v>
      </c>
    </row>
    <row r="2766" spans="1:3" ht="15.75" x14ac:dyDescent="0.25">
      <c r="A2766">
        <v>719006</v>
      </c>
      <c r="B2766" t="s">
        <v>568</v>
      </c>
      <c r="C2766">
        <v>0</v>
      </c>
    </row>
    <row r="2767" spans="1:3" ht="15.75" x14ac:dyDescent="0.25">
      <c r="A2767">
        <v>719007</v>
      </c>
      <c r="B2767" t="s">
        <v>1438</v>
      </c>
      <c r="C2767">
        <v>0</v>
      </c>
    </row>
    <row r="2768" spans="1:3" ht="15.75" x14ac:dyDescent="0.25">
      <c r="A2768">
        <v>719008</v>
      </c>
      <c r="B2768" t="s">
        <v>1439</v>
      </c>
      <c r="C2768">
        <v>0</v>
      </c>
    </row>
    <row r="2769" spans="1:3" ht="15.75" x14ac:dyDescent="0.25">
      <c r="A2769">
        <v>719009</v>
      </c>
      <c r="B2769" t="s">
        <v>1440</v>
      </c>
      <c r="C2769">
        <v>0</v>
      </c>
    </row>
    <row r="2770" spans="1:3" ht="15.75" x14ac:dyDescent="0.25">
      <c r="A2770">
        <v>719010</v>
      </c>
      <c r="B2770" t="s">
        <v>1441</v>
      </c>
      <c r="C2770">
        <v>0</v>
      </c>
    </row>
    <row r="2771" spans="1:3" ht="15.75" x14ac:dyDescent="0.25">
      <c r="A2771">
        <v>719011</v>
      </c>
      <c r="B2771" t="s">
        <v>1442</v>
      </c>
      <c r="C2771">
        <v>0</v>
      </c>
    </row>
    <row r="2772" spans="1:3" ht="15.75" x14ac:dyDescent="0.25">
      <c r="A2772">
        <v>719095</v>
      </c>
      <c r="B2772" t="s">
        <v>1443</v>
      </c>
      <c r="C2772">
        <v>0</v>
      </c>
    </row>
    <row r="2773" spans="1:3" ht="15.75" x14ac:dyDescent="0.25">
      <c r="A2773">
        <v>73</v>
      </c>
      <c r="B2773" t="s">
        <v>1038</v>
      </c>
      <c r="C2773">
        <f>SUM(C2774,C2786,C2798,C2810,C2822,C2834,C2846,C2858,C2870,C2882,C2894,C2906,C2918,C2930,C2942,C2954,C2966,C2978,C2990,C3002,C3014,C3026,C3038,C3050,C3062,C3074,C3086,C3098,C3110,C3122,C3134,C3146,C3158,C3170,C3182,C3194)</f>
        <v>0</v>
      </c>
    </row>
    <row r="2774" spans="1:3" ht="15.75" x14ac:dyDescent="0.25">
      <c r="A2774">
        <v>7301</v>
      </c>
      <c r="B2774" t="s">
        <v>1455</v>
      </c>
      <c r="C2774">
        <f>SUM(C2775:C2785)</f>
        <v>0</v>
      </c>
    </row>
    <row r="2775" spans="1:3" ht="15.75" x14ac:dyDescent="0.25">
      <c r="A2775">
        <v>730101</v>
      </c>
      <c r="B2775" t="s">
        <v>1435</v>
      </c>
      <c r="C2775">
        <v>0</v>
      </c>
    </row>
    <row r="2776" spans="1:3" ht="15.75" x14ac:dyDescent="0.25">
      <c r="A2776">
        <v>730102</v>
      </c>
      <c r="B2776" t="s">
        <v>1436</v>
      </c>
      <c r="C2776">
        <v>0</v>
      </c>
    </row>
    <row r="2777" spans="1:3" ht="15.75" x14ac:dyDescent="0.25">
      <c r="A2777">
        <v>730103</v>
      </c>
      <c r="B2777" t="s">
        <v>567</v>
      </c>
      <c r="C2777">
        <v>0</v>
      </c>
    </row>
    <row r="2778" spans="1:3" ht="15.75" x14ac:dyDescent="0.25">
      <c r="A2778">
        <v>730104</v>
      </c>
      <c r="B2778" t="s">
        <v>1437</v>
      </c>
      <c r="C2778">
        <v>0</v>
      </c>
    </row>
    <row r="2779" spans="1:3" ht="15.75" x14ac:dyDescent="0.25">
      <c r="A2779">
        <v>730105</v>
      </c>
      <c r="B2779" t="s">
        <v>568</v>
      </c>
      <c r="C2779">
        <v>0</v>
      </c>
    </row>
    <row r="2780" spans="1:3" ht="15.75" x14ac:dyDescent="0.25">
      <c r="A2780">
        <v>730106</v>
      </c>
      <c r="B2780" t="s">
        <v>1438</v>
      </c>
      <c r="C2780">
        <v>0</v>
      </c>
    </row>
    <row r="2781" spans="1:3" ht="15.75" x14ac:dyDescent="0.25">
      <c r="A2781">
        <v>730107</v>
      </c>
      <c r="B2781" t="s">
        <v>1439</v>
      </c>
      <c r="C2781">
        <v>0</v>
      </c>
    </row>
    <row r="2782" spans="1:3" ht="15.75" x14ac:dyDescent="0.25">
      <c r="A2782">
        <v>730108</v>
      </c>
      <c r="B2782" t="s">
        <v>1440</v>
      </c>
      <c r="C2782">
        <v>0</v>
      </c>
    </row>
    <row r="2783" spans="1:3" ht="15.75" x14ac:dyDescent="0.25">
      <c r="A2783">
        <v>730109</v>
      </c>
      <c r="B2783" t="s">
        <v>1441</v>
      </c>
      <c r="C2783">
        <v>0</v>
      </c>
    </row>
    <row r="2784" spans="1:3" ht="15.75" x14ac:dyDescent="0.25">
      <c r="A2784">
        <v>730110</v>
      </c>
      <c r="B2784" t="s">
        <v>1442</v>
      </c>
      <c r="C2784">
        <v>0</v>
      </c>
    </row>
    <row r="2785" spans="1:3" ht="15.75" x14ac:dyDescent="0.25">
      <c r="A2785">
        <v>730195</v>
      </c>
      <c r="B2785" t="s">
        <v>1443</v>
      </c>
      <c r="C2785">
        <v>0</v>
      </c>
    </row>
    <row r="2786" spans="1:3" ht="15.75" x14ac:dyDescent="0.25">
      <c r="A2786">
        <v>7302</v>
      </c>
      <c r="B2786" t="s">
        <v>1456</v>
      </c>
      <c r="C2786">
        <f>SUM(C2787:C2797)</f>
        <v>0</v>
      </c>
    </row>
    <row r="2787" spans="1:3" ht="15.75" x14ac:dyDescent="0.25">
      <c r="A2787">
        <v>730201</v>
      </c>
      <c r="B2787" t="s">
        <v>1435</v>
      </c>
      <c r="C2787">
        <v>0</v>
      </c>
    </row>
    <row r="2788" spans="1:3" ht="15.75" x14ac:dyDescent="0.25">
      <c r="A2788">
        <v>730202</v>
      </c>
      <c r="B2788" t="s">
        <v>1436</v>
      </c>
      <c r="C2788">
        <v>0</v>
      </c>
    </row>
    <row r="2789" spans="1:3" ht="15.75" x14ac:dyDescent="0.25">
      <c r="A2789">
        <v>730203</v>
      </c>
      <c r="B2789" t="s">
        <v>567</v>
      </c>
      <c r="C2789">
        <v>0</v>
      </c>
    </row>
    <row r="2790" spans="1:3" ht="15.75" x14ac:dyDescent="0.25">
      <c r="A2790">
        <v>730204</v>
      </c>
      <c r="B2790" t="s">
        <v>1437</v>
      </c>
      <c r="C2790">
        <v>0</v>
      </c>
    </row>
    <row r="2791" spans="1:3" ht="15.75" x14ac:dyDescent="0.25">
      <c r="A2791">
        <v>730205</v>
      </c>
      <c r="B2791" t="s">
        <v>568</v>
      </c>
      <c r="C2791">
        <v>0</v>
      </c>
    </row>
    <row r="2792" spans="1:3" ht="15.75" x14ac:dyDescent="0.25">
      <c r="A2792">
        <v>730206</v>
      </c>
      <c r="B2792" t="s">
        <v>1438</v>
      </c>
      <c r="C2792">
        <v>0</v>
      </c>
    </row>
    <row r="2793" spans="1:3" ht="15.75" x14ac:dyDescent="0.25">
      <c r="A2793">
        <v>730207</v>
      </c>
      <c r="B2793" t="s">
        <v>1439</v>
      </c>
      <c r="C2793">
        <v>0</v>
      </c>
    </row>
    <row r="2794" spans="1:3" ht="15.75" x14ac:dyDescent="0.25">
      <c r="A2794">
        <v>730208</v>
      </c>
      <c r="B2794" t="s">
        <v>1440</v>
      </c>
      <c r="C2794">
        <v>0</v>
      </c>
    </row>
    <row r="2795" spans="1:3" ht="15.75" x14ac:dyDescent="0.25">
      <c r="A2795">
        <v>730209</v>
      </c>
      <c r="B2795" t="s">
        <v>1441</v>
      </c>
      <c r="C2795">
        <v>0</v>
      </c>
    </row>
    <row r="2796" spans="1:3" ht="15.75" x14ac:dyDescent="0.25">
      <c r="A2796">
        <v>730210</v>
      </c>
      <c r="B2796" t="s">
        <v>1442</v>
      </c>
      <c r="C2796">
        <v>0</v>
      </c>
    </row>
    <row r="2797" spans="1:3" ht="15.75" x14ac:dyDescent="0.25">
      <c r="A2797">
        <v>730295</v>
      </c>
      <c r="B2797" t="s">
        <v>1443</v>
      </c>
      <c r="C2797">
        <v>0</v>
      </c>
    </row>
    <row r="2798" spans="1:3" ht="15.75" x14ac:dyDescent="0.25">
      <c r="A2798">
        <v>7310</v>
      </c>
      <c r="B2798" t="s">
        <v>1457</v>
      </c>
      <c r="C2798">
        <f>SUM(C2799:C2809)</f>
        <v>0</v>
      </c>
    </row>
    <row r="2799" spans="1:3" ht="15.75" x14ac:dyDescent="0.25">
      <c r="A2799">
        <v>731001</v>
      </c>
      <c r="B2799" t="s">
        <v>1435</v>
      </c>
      <c r="C2799">
        <v>0</v>
      </c>
    </row>
    <row r="2800" spans="1:3" ht="15.75" x14ac:dyDescent="0.25">
      <c r="A2800">
        <v>731002</v>
      </c>
      <c r="B2800" t="s">
        <v>1436</v>
      </c>
      <c r="C2800">
        <v>0</v>
      </c>
    </row>
    <row r="2801" spans="1:3" ht="15.75" x14ac:dyDescent="0.25">
      <c r="A2801">
        <v>731003</v>
      </c>
      <c r="B2801" t="s">
        <v>567</v>
      </c>
      <c r="C2801">
        <v>0</v>
      </c>
    </row>
    <row r="2802" spans="1:3" ht="15.75" x14ac:dyDescent="0.25">
      <c r="A2802">
        <v>731004</v>
      </c>
      <c r="B2802" t="s">
        <v>1437</v>
      </c>
      <c r="C2802">
        <v>0</v>
      </c>
    </row>
    <row r="2803" spans="1:3" ht="15.75" x14ac:dyDescent="0.25">
      <c r="A2803">
        <v>731005</v>
      </c>
      <c r="B2803" t="s">
        <v>568</v>
      </c>
      <c r="C2803">
        <v>0</v>
      </c>
    </row>
    <row r="2804" spans="1:3" ht="15.75" x14ac:dyDescent="0.25">
      <c r="A2804">
        <v>731006</v>
      </c>
      <c r="B2804" t="s">
        <v>1438</v>
      </c>
      <c r="C2804">
        <v>0</v>
      </c>
    </row>
    <row r="2805" spans="1:3" ht="15.75" x14ac:dyDescent="0.25">
      <c r="A2805">
        <v>731007</v>
      </c>
      <c r="B2805" t="s">
        <v>1439</v>
      </c>
      <c r="C2805">
        <v>0</v>
      </c>
    </row>
    <row r="2806" spans="1:3" ht="15.75" x14ac:dyDescent="0.25">
      <c r="A2806">
        <v>731008</v>
      </c>
      <c r="B2806" t="s">
        <v>1440</v>
      </c>
      <c r="C2806">
        <v>0</v>
      </c>
    </row>
    <row r="2807" spans="1:3" ht="15.75" x14ac:dyDescent="0.25">
      <c r="A2807">
        <v>731009</v>
      </c>
      <c r="B2807" t="s">
        <v>1441</v>
      </c>
      <c r="C2807">
        <v>0</v>
      </c>
    </row>
    <row r="2808" spans="1:3" ht="15.75" x14ac:dyDescent="0.25">
      <c r="A2808">
        <v>731010</v>
      </c>
      <c r="B2808" t="s">
        <v>1442</v>
      </c>
      <c r="C2808">
        <v>0</v>
      </c>
    </row>
    <row r="2809" spans="1:3" ht="15.75" x14ac:dyDescent="0.25">
      <c r="A2809">
        <v>731095</v>
      </c>
      <c r="B2809" t="s">
        <v>1443</v>
      </c>
      <c r="C2809">
        <v>0</v>
      </c>
    </row>
    <row r="2810" spans="1:3" ht="15.75" x14ac:dyDescent="0.25">
      <c r="A2810">
        <v>7311</v>
      </c>
      <c r="B2810" t="s">
        <v>1458</v>
      </c>
      <c r="C2810">
        <f>SUM(C2811:C2821)</f>
        <v>0</v>
      </c>
    </row>
    <row r="2811" spans="1:3" ht="15.75" x14ac:dyDescent="0.25">
      <c r="A2811">
        <v>731101</v>
      </c>
      <c r="B2811" t="s">
        <v>1435</v>
      </c>
      <c r="C2811">
        <v>0</v>
      </c>
    </row>
    <row r="2812" spans="1:3" ht="15.75" x14ac:dyDescent="0.25">
      <c r="A2812">
        <v>731102</v>
      </c>
      <c r="B2812" t="s">
        <v>1436</v>
      </c>
      <c r="C2812">
        <v>0</v>
      </c>
    </row>
    <row r="2813" spans="1:3" ht="15.75" x14ac:dyDescent="0.25">
      <c r="A2813">
        <v>731103</v>
      </c>
      <c r="B2813" t="s">
        <v>567</v>
      </c>
      <c r="C2813">
        <v>0</v>
      </c>
    </row>
    <row r="2814" spans="1:3" ht="15.75" x14ac:dyDescent="0.25">
      <c r="A2814">
        <v>731104</v>
      </c>
      <c r="B2814" t="s">
        <v>1437</v>
      </c>
      <c r="C2814">
        <v>0</v>
      </c>
    </row>
    <row r="2815" spans="1:3" ht="15.75" x14ac:dyDescent="0.25">
      <c r="A2815">
        <v>731105</v>
      </c>
      <c r="B2815" t="s">
        <v>568</v>
      </c>
      <c r="C2815">
        <v>0</v>
      </c>
    </row>
    <row r="2816" spans="1:3" ht="15.75" x14ac:dyDescent="0.25">
      <c r="A2816">
        <v>731106</v>
      </c>
      <c r="B2816" t="s">
        <v>1438</v>
      </c>
      <c r="C2816">
        <v>0</v>
      </c>
    </row>
    <row r="2817" spans="1:3" ht="15.75" x14ac:dyDescent="0.25">
      <c r="A2817">
        <v>731107</v>
      </c>
      <c r="B2817" t="s">
        <v>1439</v>
      </c>
      <c r="C2817">
        <v>0</v>
      </c>
    </row>
    <row r="2818" spans="1:3" ht="15.75" x14ac:dyDescent="0.25">
      <c r="A2818">
        <v>731108</v>
      </c>
      <c r="B2818" t="s">
        <v>1440</v>
      </c>
      <c r="C2818">
        <v>0</v>
      </c>
    </row>
    <row r="2819" spans="1:3" ht="15.75" x14ac:dyDescent="0.25">
      <c r="A2819">
        <v>731109</v>
      </c>
      <c r="B2819" t="s">
        <v>1441</v>
      </c>
      <c r="C2819">
        <v>0</v>
      </c>
    </row>
    <row r="2820" spans="1:3" ht="15.75" x14ac:dyDescent="0.25">
      <c r="A2820">
        <v>731110</v>
      </c>
      <c r="B2820" t="s">
        <v>1442</v>
      </c>
      <c r="C2820">
        <v>0</v>
      </c>
    </row>
    <row r="2821" spans="1:3" ht="15.75" x14ac:dyDescent="0.25">
      <c r="A2821">
        <v>731195</v>
      </c>
      <c r="B2821" t="s">
        <v>1443</v>
      </c>
      <c r="C2821">
        <v>0</v>
      </c>
    </row>
    <row r="2822" spans="1:3" ht="15.75" x14ac:dyDescent="0.25">
      <c r="A2822">
        <v>7312</v>
      </c>
      <c r="B2822" t="s">
        <v>1459</v>
      </c>
      <c r="C2822">
        <f>SUM(C2823:C2833)</f>
        <v>0</v>
      </c>
    </row>
    <row r="2823" spans="1:3" ht="15.75" x14ac:dyDescent="0.25">
      <c r="A2823">
        <v>731201</v>
      </c>
      <c r="B2823" t="s">
        <v>1435</v>
      </c>
      <c r="C2823">
        <v>0</v>
      </c>
    </row>
    <row r="2824" spans="1:3" ht="15.75" x14ac:dyDescent="0.25">
      <c r="A2824">
        <v>731202</v>
      </c>
      <c r="B2824" t="s">
        <v>1436</v>
      </c>
      <c r="C2824">
        <v>0</v>
      </c>
    </row>
    <row r="2825" spans="1:3" ht="15.75" x14ac:dyDescent="0.25">
      <c r="A2825">
        <v>731203</v>
      </c>
      <c r="B2825" t="s">
        <v>567</v>
      </c>
      <c r="C2825">
        <v>0</v>
      </c>
    </row>
    <row r="2826" spans="1:3" ht="15.75" x14ac:dyDescent="0.25">
      <c r="A2826">
        <v>731204</v>
      </c>
      <c r="B2826" t="s">
        <v>1437</v>
      </c>
      <c r="C2826">
        <v>0</v>
      </c>
    </row>
    <row r="2827" spans="1:3" ht="15.75" x14ac:dyDescent="0.25">
      <c r="A2827">
        <v>731205</v>
      </c>
      <c r="B2827" t="s">
        <v>568</v>
      </c>
      <c r="C2827">
        <v>0</v>
      </c>
    </row>
    <row r="2828" spans="1:3" ht="15.75" x14ac:dyDescent="0.25">
      <c r="A2828">
        <v>731206</v>
      </c>
      <c r="B2828" t="s">
        <v>1438</v>
      </c>
      <c r="C2828">
        <v>0</v>
      </c>
    </row>
    <row r="2829" spans="1:3" ht="15.75" x14ac:dyDescent="0.25">
      <c r="A2829">
        <v>731207</v>
      </c>
      <c r="B2829" t="s">
        <v>1439</v>
      </c>
      <c r="C2829">
        <v>0</v>
      </c>
    </row>
    <row r="2830" spans="1:3" ht="15.75" x14ac:dyDescent="0.25">
      <c r="A2830">
        <v>731208</v>
      </c>
      <c r="B2830" t="s">
        <v>1440</v>
      </c>
      <c r="C2830">
        <v>0</v>
      </c>
    </row>
    <row r="2831" spans="1:3" ht="15.75" x14ac:dyDescent="0.25">
      <c r="A2831">
        <v>731209</v>
      </c>
      <c r="B2831" t="s">
        <v>1441</v>
      </c>
      <c r="C2831">
        <v>0</v>
      </c>
    </row>
    <row r="2832" spans="1:3" ht="15.75" x14ac:dyDescent="0.25">
      <c r="A2832">
        <v>731210</v>
      </c>
      <c r="B2832" t="s">
        <v>1442</v>
      </c>
      <c r="C2832">
        <v>0</v>
      </c>
    </row>
    <row r="2833" spans="1:3" ht="15.75" x14ac:dyDescent="0.25">
      <c r="A2833">
        <v>731295</v>
      </c>
      <c r="B2833" t="s">
        <v>1443</v>
      </c>
      <c r="C2833">
        <v>0</v>
      </c>
    </row>
    <row r="2834" spans="1:3" ht="15.75" x14ac:dyDescent="0.25">
      <c r="A2834">
        <v>7313</v>
      </c>
      <c r="B2834" t="s">
        <v>1460</v>
      </c>
      <c r="C2834">
        <f>SUM(C2835:C2845)</f>
        <v>0</v>
      </c>
    </row>
    <row r="2835" spans="1:3" ht="15.75" x14ac:dyDescent="0.25">
      <c r="A2835">
        <v>731301</v>
      </c>
      <c r="B2835" t="s">
        <v>1435</v>
      </c>
      <c r="C2835">
        <v>0</v>
      </c>
    </row>
    <row r="2836" spans="1:3" ht="15.75" x14ac:dyDescent="0.25">
      <c r="A2836">
        <v>731302</v>
      </c>
      <c r="B2836" t="s">
        <v>1436</v>
      </c>
      <c r="C2836">
        <v>0</v>
      </c>
    </row>
    <row r="2837" spans="1:3" ht="15.75" x14ac:dyDescent="0.25">
      <c r="A2837">
        <v>731303</v>
      </c>
      <c r="B2837" t="s">
        <v>567</v>
      </c>
      <c r="C2837">
        <v>0</v>
      </c>
    </row>
    <row r="2838" spans="1:3" ht="15.75" x14ac:dyDescent="0.25">
      <c r="A2838">
        <v>731304</v>
      </c>
      <c r="B2838" t="s">
        <v>1437</v>
      </c>
      <c r="C2838">
        <v>0</v>
      </c>
    </row>
    <row r="2839" spans="1:3" ht="15.75" x14ac:dyDescent="0.25">
      <c r="A2839">
        <v>731305</v>
      </c>
      <c r="B2839" t="s">
        <v>568</v>
      </c>
      <c r="C2839">
        <v>0</v>
      </c>
    </row>
    <row r="2840" spans="1:3" ht="15.75" x14ac:dyDescent="0.25">
      <c r="A2840">
        <v>731306</v>
      </c>
      <c r="B2840" t="s">
        <v>1438</v>
      </c>
      <c r="C2840">
        <v>0</v>
      </c>
    </row>
    <row r="2841" spans="1:3" ht="15.75" x14ac:dyDescent="0.25">
      <c r="A2841">
        <v>731307</v>
      </c>
      <c r="B2841" t="s">
        <v>1439</v>
      </c>
      <c r="C2841">
        <v>0</v>
      </c>
    </row>
    <row r="2842" spans="1:3" ht="15.75" x14ac:dyDescent="0.25">
      <c r="A2842">
        <v>731308</v>
      </c>
      <c r="B2842" t="s">
        <v>1440</v>
      </c>
      <c r="C2842">
        <v>0</v>
      </c>
    </row>
    <row r="2843" spans="1:3" ht="15.75" x14ac:dyDescent="0.25">
      <c r="A2843">
        <v>731309</v>
      </c>
      <c r="B2843" t="s">
        <v>1441</v>
      </c>
      <c r="C2843">
        <v>0</v>
      </c>
    </row>
    <row r="2844" spans="1:3" ht="15.75" x14ac:dyDescent="0.25">
      <c r="A2844">
        <v>731310</v>
      </c>
      <c r="B2844" t="s">
        <v>1442</v>
      </c>
      <c r="C2844">
        <v>0</v>
      </c>
    </row>
    <row r="2845" spans="1:3" ht="15.75" x14ac:dyDescent="0.25">
      <c r="A2845">
        <v>731395</v>
      </c>
      <c r="B2845" t="s">
        <v>1443</v>
      </c>
      <c r="C2845">
        <v>0</v>
      </c>
    </row>
    <row r="2846" spans="1:3" ht="15.75" x14ac:dyDescent="0.25">
      <c r="A2846">
        <v>7314</v>
      </c>
      <c r="B2846" t="s">
        <v>1461</v>
      </c>
      <c r="C2846">
        <f>SUM(C2847:C2857)</f>
        <v>0</v>
      </c>
    </row>
    <row r="2847" spans="1:3" ht="15.75" x14ac:dyDescent="0.25">
      <c r="A2847">
        <v>731401</v>
      </c>
      <c r="B2847" t="s">
        <v>1435</v>
      </c>
      <c r="C2847">
        <v>0</v>
      </c>
    </row>
    <row r="2848" spans="1:3" ht="15.75" x14ac:dyDescent="0.25">
      <c r="A2848">
        <v>731402</v>
      </c>
      <c r="B2848" t="s">
        <v>1436</v>
      </c>
      <c r="C2848">
        <v>0</v>
      </c>
    </row>
    <row r="2849" spans="1:3" ht="15.75" x14ac:dyDescent="0.25">
      <c r="A2849">
        <v>731403</v>
      </c>
      <c r="B2849" t="s">
        <v>567</v>
      </c>
      <c r="C2849">
        <v>0</v>
      </c>
    </row>
    <row r="2850" spans="1:3" ht="15.75" x14ac:dyDescent="0.25">
      <c r="A2850">
        <v>731404</v>
      </c>
      <c r="B2850" t="s">
        <v>1437</v>
      </c>
      <c r="C2850">
        <v>0</v>
      </c>
    </row>
    <row r="2851" spans="1:3" ht="15.75" x14ac:dyDescent="0.25">
      <c r="A2851">
        <v>731405</v>
      </c>
      <c r="B2851" t="s">
        <v>568</v>
      </c>
      <c r="C2851">
        <v>0</v>
      </c>
    </row>
    <row r="2852" spans="1:3" ht="15.75" x14ac:dyDescent="0.25">
      <c r="A2852">
        <v>731406</v>
      </c>
      <c r="B2852" t="s">
        <v>1438</v>
      </c>
      <c r="C2852">
        <v>0</v>
      </c>
    </row>
    <row r="2853" spans="1:3" ht="15.75" x14ac:dyDescent="0.25">
      <c r="A2853">
        <v>731407</v>
      </c>
      <c r="B2853" t="s">
        <v>1439</v>
      </c>
      <c r="C2853">
        <v>0</v>
      </c>
    </row>
    <row r="2854" spans="1:3" ht="15.75" x14ac:dyDescent="0.25">
      <c r="A2854">
        <v>731408</v>
      </c>
      <c r="B2854" t="s">
        <v>1440</v>
      </c>
      <c r="C2854">
        <v>0</v>
      </c>
    </row>
    <row r="2855" spans="1:3" ht="15.75" x14ac:dyDescent="0.25">
      <c r="A2855">
        <v>731409</v>
      </c>
      <c r="B2855" t="s">
        <v>1441</v>
      </c>
      <c r="C2855">
        <v>0</v>
      </c>
    </row>
    <row r="2856" spans="1:3" ht="15.75" x14ac:dyDescent="0.25">
      <c r="A2856">
        <v>731410</v>
      </c>
      <c r="B2856" t="s">
        <v>1442</v>
      </c>
      <c r="C2856">
        <v>0</v>
      </c>
    </row>
    <row r="2857" spans="1:3" ht="15.75" x14ac:dyDescent="0.25">
      <c r="A2857">
        <v>731495</v>
      </c>
      <c r="B2857" t="s">
        <v>1443</v>
      </c>
      <c r="C2857">
        <v>0</v>
      </c>
    </row>
    <row r="2858" spans="1:3" ht="15.75" x14ac:dyDescent="0.25">
      <c r="A2858">
        <v>7320</v>
      </c>
      <c r="B2858" t="s">
        <v>1462</v>
      </c>
      <c r="C2858">
        <f>SUM(C2859:C2869)</f>
        <v>0</v>
      </c>
    </row>
    <row r="2859" spans="1:3" ht="15.75" x14ac:dyDescent="0.25">
      <c r="A2859">
        <v>732001</v>
      </c>
      <c r="B2859" t="s">
        <v>1435</v>
      </c>
      <c r="C2859">
        <v>0</v>
      </c>
    </row>
    <row r="2860" spans="1:3" ht="15.75" x14ac:dyDescent="0.25">
      <c r="A2860">
        <v>732002</v>
      </c>
      <c r="B2860" t="s">
        <v>1436</v>
      </c>
      <c r="C2860">
        <v>0</v>
      </c>
    </row>
    <row r="2861" spans="1:3" ht="15.75" x14ac:dyDescent="0.25">
      <c r="A2861">
        <v>732003</v>
      </c>
      <c r="B2861" t="s">
        <v>567</v>
      </c>
      <c r="C2861">
        <v>0</v>
      </c>
    </row>
    <row r="2862" spans="1:3" ht="15.75" x14ac:dyDescent="0.25">
      <c r="A2862">
        <v>732004</v>
      </c>
      <c r="B2862" t="s">
        <v>1437</v>
      </c>
      <c r="C2862">
        <v>0</v>
      </c>
    </row>
    <row r="2863" spans="1:3" ht="15.75" x14ac:dyDescent="0.25">
      <c r="A2863">
        <v>732005</v>
      </c>
      <c r="B2863" t="s">
        <v>568</v>
      </c>
      <c r="C2863">
        <v>0</v>
      </c>
    </row>
    <row r="2864" spans="1:3" ht="15.75" x14ac:dyDescent="0.25">
      <c r="A2864">
        <v>732006</v>
      </c>
      <c r="B2864" t="s">
        <v>1438</v>
      </c>
      <c r="C2864">
        <v>0</v>
      </c>
    </row>
    <row r="2865" spans="1:3" ht="15.75" x14ac:dyDescent="0.25">
      <c r="A2865">
        <v>732007</v>
      </c>
      <c r="B2865" t="s">
        <v>1439</v>
      </c>
      <c r="C2865">
        <v>0</v>
      </c>
    </row>
    <row r="2866" spans="1:3" ht="15.75" x14ac:dyDescent="0.25">
      <c r="A2866">
        <v>732008</v>
      </c>
      <c r="B2866" t="s">
        <v>1440</v>
      </c>
      <c r="C2866">
        <v>0</v>
      </c>
    </row>
    <row r="2867" spans="1:3" ht="15.75" x14ac:dyDescent="0.25">
      <c r="A2867">
        <v>732009</v>
      </c>
      <c r="B2867" t="s">
        <v>1441</v>
      </c>
      <c r="C2867">
        <v>0</v>
      </c>
    </row>
    <row r="2868" spans="1:3" ht="15.75" x14ac:dyDescent="0.25">
      <c r="A2868">
        <v>732010</v>
      </c>
      <c r="B2868" t="s">
        <v>1442</v>
      </c>
      <c r="C2868">
        <v>0</v>
      </c>
    </row>
    <row r="2869" spans="1:3" ht="15.75" x14ac:dyDescent="0.25">
      <c r="A2869">
        <v>732095</v>
      </c>
      <c r="B2869" t="s">
        <v>1443</v>
      </c>
      <c r="C2869">
        <v>0</v>
      </c>
    </row>
    <row r="2870" spans="1:3" ht="15.75" x14ac:dyDescent="0.25">
      <c r="A2870">
        <v>7321</v>
      </c>
      <c r="B2870" t="s">
        <v>1463</v>
      </c>
      <c r="C2870">
        <f>SUM(C2871:C2881)</f>
        <v>0</v>
      </c>
    </row>
    <row r="2871" spans="1:3" ht="15.75" x14ac:dyDescent="0.25">
      <c r="A2871">
        <v>732101</v>
      </c>
      <c r="B2871" t="s">
        <v>1435</v>
      </c>
      <c r="C2871">
        <v>0</v>
      </c>
    </row>
    <row r="2872" spans="1:3" ht="15.75" x14ac:dyDescent="0.25">
      <c r="A2872">
        <v>732102</v>
      </c>
      <c r="B2872" t="s">
        <v>1436</v>
      </c>
      <c r="C2872">
        <v>0</v>
      </c>
    </row>
    <row r="2873" spans="1:3" ht="15.75" x14ac:dyDescent="0.25">
      <c r="A2873">
        <v>732103</v>
      </c>
      <c r="B2873" t="s">
        <v>567</v>
      </c>
      <c r="C2873">
        <v>0</v>
      </c>
    </row>
    <row r="2874" spans="1:3" ht="15.75" x14ac:dyDescent="0.25">
      <c r="A2874">
        <v>732104</v>
      </c>
      <c r="B2874" t="s">
        <v>1437</v>
      </c>
      <c r="C2874">
        <v>0</v>
      </c>
    </row>
    <row r="2875" spans="1:3" ht="15.75" x14ac:dyDescent="0.25">
      <c r="A2875">
        <v>732105</v>
      </c>
      <c r="B2875" t="s">
        <v>568</v>
      </c>
      <c r="C2875">
        <v>0</v>
      </c>
    </row>
    <row r="2876" spans="1:3" ht="15.75" x14ac:dyDescent="0.25">
      <c r="A2876">
        <v>732106</v>
      </c>
      <c r="B2876" t="s">
        <v>1438</v>
      </c>
      <c r="C2876">
        <v>0</v>
      </c>
    </row>
    <row r="2877" spans="1:3" ht="15.75" x14ac:dyDescent="0.25">
      <c r="A2877">
        <v>732107</v>
      </c>
      <c r="B2877" t="s">
        <v>1439</v>
      </c>
      <c r="C2877">
        <v>0</v>
      </c>
    </row>
    <row r="2878" spans="1:3" ht="15.75" x14ac:dyDescent="0.25">
      <c r="A2878">
        <v>732108</v>
      </c>
      <c r="B2878" t="s">
        <v>1440</v>
      </c>
      <c r="C2878">
        <v>0</v>
      </c>
    </row>
    <row r="2879" spans="1:3" ht="15.75" x14ac:dyDescent="0.25">
      <c r="A2879">
        <v>732109</v>
      </c>
      <c r="B2879" t="s">
        <v>1441</v>
      </c>
      <c r="C2879">
        <v>0</v>
      </c>
    </row>
    <row r="2880" spans="1:3" ht="15.75" x14ac:dyDescent="0.25">
      <c r="A2880">
        <v>732110</v>
      </c>
      <c r="B2880" t="s">
        <v>1442</v>
      </c>
      <c r="C2880">
        <v>0</v>
      </c>
    </row>
    <row r="2881" spans="1:3" ht="15.75" x14ac:dyDescent="0.25">
      <c r="A2881">
        <v>732195</v>
      </c>
      <c r="B2881" t="s">
        <v>1443</v>
      </c>
      <c r="C2881">
        <v>0</v>
      </c>
    </row>
    <row r="2882" spans="1:3" ht="15.75" x14ac:dyDescent="0.25">
      <c r="A2882">
        <v>7322</v>
      </c>
      <c r="B2882" t="s">
        <v>1464</v>
      </c>
      <c r="C2882">
        <f>SUM(C2883:C2893)</f>
        <v>0</v>
      </c>
    </row>
    <row r="2883" spans="1:3" ht="15.75" x14ac:dyDescent="0.25">
      <c r="A2883">
        <v>732201</v>
      </c>
      <c r="B2883" t="s">
        <v>1435</v>
      </c>
      <c r="C2883">
        <v>0</v>
      </c>
    </row>
    <row r="2884" spans="1:3" ht="15.75" x14ac:dyDescent="0.25">
      <c r="A2884">
        <v>732202</v>
      </c>
      <c r="B2884" t="s">
        <v>1436</v>
      </c>
      <c r="C2884">
        <v>0</v>
      </c>
    </row>
    <row r="2885" spans="1:3" ht="15.75" x14ac:dyDescent="0.25">
      <c r="A2885">
        <v>732203</v>
      </c>
      <c r="B2885" t="s">
        <v>567</v>
      </c>
      <c r="C2885">
        <v>0</v>
      </c>
    </row>
    <row r="2886" spans="1:3" ht="15.75" x14ac:dyDescent="0.25">
      <c r="A2886">
        <v>732204</v>
      </c>
      <c r="B2886" t="s">
        <v>1437</v>
      </c>
      <c r="C2886">
        <v>0</v>
      </c>
    </row>
    <row r="2887" spans="1:3" ht="15.75" x14ac:dyDescent="0.25">
      <c r="A2887">
        <v>732205</v>
      </c>
      <c r="B2887" t="s">
        <v>568</v>
      </c>
      <c r="C2887">
        <v>0</v>
      </c>
    </row>
    <row r="2888" spans="1:3" ht="15.75" x14ac:dyDescent="0.25">
      <c r="A2888">
        <v>732206</v>
      </c>
      <c r="B2888" t="s">
        <v>1438</v>
      </c>
      <c r="C2888">
        <v>0</v>
      </c>
    </row>
    <row r="2889" spans="1:3" ht="15.75" x14ac:dyDescent="0.25">
      <c r="A2889">
        <v>732207</v>
      </c>
      <c r="B2889" t="s">
        <v>1439</v>
      </c>
      <c r="C2889">
        <v>0</v>
      </c>
    </row>
    <row r="2890" spans="1:3" ht="15.75" x14ac:dyDescent="0.25">
      <c r="A2890">
        <v>732208</v>
      </c>
      <c r="B2890" t="s">
        <v>1440</v>
      </c>
      <c r="C2890">
        <v>0</v>
      </c>
    </row>
    <row r="2891" spans="1:3" ht="15.75" x14ac:dyDescent="0.25">
      <c r="A2891">
        <v>732209</v>
      </c>
      <c r="B2891" t="s">
        <v>1441</v>
      </c>
      <c r="C2891">
        <v>0</v>
      </c>
    </row>
    <row r="2892" spans="1:3" ht="15.75" x14ac:dyDescent="0.25">
      <c r="A2892">
        <v>732210</v>
      </c>
      <c r="B2892" t="s">
        <v>1442</v>
      </c>
      <c r="C2892">
        <v>0</v>
      </c>
    </row>
    <row r="2893" spans="1:3" ht="15.75" x14ac:dyDescent="0.25">
      <c r="A2893">
        <v>732295</v>
      </c>
      <c r="B2893" t="s">
        <v>1443</v>
      </c>
      <c r="C2893">
        <v>0</v>
      </c>
    </row>
    <row r="2894" spans="1:3" ht="15.75" x14ac:dyDescent="0.25">
      <c r="A2894">
        <v>7323</v>
      </c>
      <c r="B2894" t="s">
        <v>1465</v>
      </c>
      <c r="C2894">
        <f>SUM(C2895:C2905)</f>
        <v>0</v>
      </c>
    </row>
    <row r="2895" spans="1:3" ht="15.75" x14ac:dyDescent="0.25">
      <c r="A2895">
        <v>732301</v>
      </c>
      <c r="B2895" t="s">
        <v>1435</v>
      </c>
      <c r="C2895">
        <v>0</v>
      </c>
    </row>
    <row r="2896" spans="1:3" ht="15.75" x14ac:dyDescent="0.25">
      <c r="A2896">
        <v>732302</v>
      </c>
      <c r="B2896" t="s">
        <v>1436</v>
      </c>
      <c r="C2896">
        <v>0</v>
      </c>
    </row>
    <row r="2897" spans="1:3" ht="15.75" x14ac:dyDescent="0.25">
      <c r="A2897">
        <v>732303</v>
      </c>
      <c r="B2897" t="s">
        <v>567</v>
      </c>
      <c r="C2897">
        <v>0</v>
      </c>
    </row>
    <row r="2898" spans="1:3" ht="15.75" x14ac:dyDescent="0.25">
      <c r="A2898">
        <v>732304</v>
      </c>
      <c r="B2898" t="s">
        <v>1437</v>
      </c>
      <c r="C2898">
        <v>0</v>
      </c>
    </row>
    <row r="2899" spans="1:3" ht="15.75" x14ac:dyDescent="0.25">
      <c r="A2899">
        <v>732305</v>
      </c>
      <c r="B2899" t="s">
        <v>568</v>
      </c>
      <c r="C2899">
        <v>0</v>
      </c>
    </row>
    <row r="2900" spans="1:3" ht="15.75" x14ac:dyDescent="0.25">
      <c r="A2900">
        <v>732306</v>
      </c>
      <c r="B2900" t="s">
        <v>1438</v>
      </c>
      <c r="C2900">
        <v>0</v>
      </c>
    </row>
    <row r="2901" spans="1:3" ht="15.75" x14ac:dyDescent="0.25">
      <c r="A2901">
        <v>732307</v>
      </c>
      <c r="B2901" t="s">
        <v>1439</v>
      </c>
      <c r="C2901">
        <v>0</v>
      </c>
    </row>
    <row r="2902" spans="1:3" ht="15.75" x14ac:dyDescent="0.25">
      <c r="A2902">
        <v>732308</v>
      </c>
      <c r="B2902" t="s">
        <v>1440</v>
      </c>
      <c r="C2902">
        <v>0</v>
      </c>
    </row>
    <row r="2903" spans="1:3" ht="15.75" x14ac:dyDescent="0.25">
      <c r="A2903">
        <v>732309</v>
      </c>
      <c r="B2903" t="s">
        <v>1441</v>
      </c>
      <c r="C2903">
        <v>0</v>
      </c>
    </row>
    <row r="2904" spans="1:3" ht="15.75" x14ac:dyDescent="0.25">
      <c r="A2904">
        <v>732310</v>
      </c>
      <c r="B2904" t="s">
        <v>1442</v>
      </c>
      <c r="C2904">
        <v>0</v>
      </c>
    </row>
    <row r="2905" spans="1:3" ht="15.75" x14ac:dyDescent="0.25">
      <c r="A2905">
        <v>732395</v>
      </c>
      <c r="B2905" t="s">
        <v>1443</v>
      </c>
      <c r="C2905">
        <v>0</v>
      </c>
    </row>
    <row r="2906" spans="1:3" ht="15.75" x14ac:dyDescent="0.25">
      <c r="A2906">
        <v>7324</v>
      </c>
      <c r="B2906" t="s">
        <v>1466</v>
      </c>
      <c r="C2906">
        <f>SUM(C2907:C2917)</f>
        <v>0</v>
      </c>
    </row>
    <row r="2907" spans="1:3" ht="15.75" x14ac:dyDescent="0.25">
      <c r="A2907">
        <v>732401</v>
      </c>
      <c r="B2907" t="s">
        <v>1435</v>
      </c>
      <c r="C2907">
        <v>0</v>
      </c>
    </row>
    <row r="2908" spans="1:3" ht="15.75" x14ac:dyDescent="0.25">
      <c r="A2908">
        <v>732402</v>
      </c>
      <c r="B2908" t="s">
        <v>1436</v>
      </c>
      <c r="C2908">
        <v>0</v>
      </c>
    </row>
    <row r="2909" spans="1:3" ht="15.75" x14ac:dyDescent="0.25">
      <c r="A2909">
        <v>732403</v>
      </c>
      <c r="B2909" t="s">
        <v>567</v>
      </c>
      <c r="C2909">
        <v>0</v>
      </c>
    </row>
    <row r="2910" spans="1:3" ht="15.75" x14ac:dyDescent="0.25">
      <c r="A2910">
        <v>732404</v>
      </c>
      <c r="B2910" t="s">
        <v>1437</v>
      </c>
      <c r="C2910">
        <v>0</v>
      </c>
    </row>
    <row r="2911" spans="1:3" ht="15.75" x14ac:dyDescent="0.25">
      <c r="A2911">
        <v>732405</v>
      </c>
      <c r="B2911" t="s">
        <v>568</v>
      </c>
      <c r="C2911">
        <v>0</v>
      </c>
    </row>
    <row r="2912" spans="1:3" ht="15.75" x14ac:dyDescent="0.25">
      <c r="A2912">
        <v>732406</v>
      </c>
      <c r="B2912" t="s">
        <v>1438</v>
      </c>
      <c r="C2912">
        <v>0</v>
      </c>
    </row>
    <row r="2913" spans="1:3" ht="15.75" x14ac:dyDescent="0.25">
      <c r="A2913">
        <v>732407</v>
      </c>
      <c r="B2913" t="s">
        <v>1439</v>
      </c>
      <c r="C2913">
        <v>0</v>
      </c>
    </row>
    <row r="2914" spans="1:3" ht="15.75" x14ac:dyDescent="0.25">
      <c r="A2914">
        <v>732408</v>
      </c>
      <c r="B2914" t="s">
        <v>1440</v>
      </c>
      <c r="C2914">
        <v>0</v>
      </c>
    </row>
    <row r="2915" spans="1:3" ht="15.75" x14ac:dyDescent="0.25">
      <c r="A2915">
        <v>732409</v>
      </c>
      <c r="B2915" t="s">
        <v>1441</v>
      </c>
      <c r="C2915">
        <v>0</v>
      </c>
    </row>
    <row r="2916" spans="1:3" ht="15.75" x14ac:dyDescent="0.25">
      <c r="A2916">
        <v>732410</v>
      </c>
      <c r="B2916" t="s">
        <v>1442</v>
      </c>
      <c r="C2916">
        <v>0</v>
      </c>
    </row>
    <row r="2917" spans="1:3" ht="15.75" x14ac:dyDescent="0.25">
      <c r="A2917">
        <v>732495</v>
      </c>
      <c r="B2917" t="s">
        <v>1443</v>
      </c>
      <c r="C2917">
        <v>0</v>
      </c>
    </row>
    <row r="2918" spans="1:3" ht="15.75" x14ac:dyDescent="0.25">
      <c r="A2918">
        <v>7325</v>
      </c>
      <c r="B2918" t="s">
        <v>1467</v>
      </c>
      <c r="C2918">
        <f>SUM(C2919:C2929)</f>
        <v>0</v>
      </c>
    </row>
    <row r="2919" spans="1:3" ht="15.75" x14ac:dyDescent="0.25">
      <c r="A2919">
        <v>732501</v>
      </c>
      <c r="B2919" t="s">
        <v>1435</v>
      </c>
      <c r="C2919">
        <v>0</v>
      </c>
    </row>
    <row r="2920" spans="1:3" ht="15.75" x14ac:dyDescent="0.25">
      <c r="A2920">
        <v>732502</v>
      </c>
      <c r="B2920" t="s">
        <v>1436</v>
      </c>
      <c r="C2920">
        <v>0</v>
      </c>
    </row>
    <row r="2921" spans="1:3" ht="15.75" x14ac:dyDescent="0.25">
      <c r="A2921">
        <v>732503</v>
      </c>
      <c r="B2921" t="s">
        <v>567</v>
      </c>
      <c r="C2921">
        <v>0</v>
      </c>
    </row>
    <row r="2922" spans="1:3" ht="15.75" x14ac:dyDescent="0.25">
      <c r="A2922">
        <v>732504</v>
      </c>
      <c r="B2922" t="s">
        <v>1437</v>
      </c>
      <c r="C2922">
        <v>0</v>
      </c>
    </row>
    <row r="2923" spans="1:3" ht="15.75" x14ac:dyDescent="0.25">
      <c r="A2923">
        <v>732505</v>
      </c>
      <c r="B2923" t="s">
        <v>568</v>
      </c>
      <c r="C2923">
        <v>0</v>
      </c>
    </row>
    <row r="2924" spans="1:3" ht="15.75" x14ac:dyDescent="0.25">
      <c r="A2924">
        <v>732506</v>
      </c>
      <c r="B2924" t="s">
        <v>1438</v>
      </c>
      <c r="C2924">
        <v>0</v>
      </c>
    </row>
    <row r="2925" spans="1:3" ht="15.75" x14ac:dyDescent="0.25">
      <c r="A2925">
        <v>732507</v>
      </c>
      <c r="B2925" t="s">
        <v>1439</v>
      </c>
      <c r="C2925">
        <v>0</v>
      </c>
    </row>
    <row r="2926" spans="1:3" ht="15.75" x14ac:dyDescent="0.25">
      <c r="A2926">
        <v>732508</v>
      </c>
      <c r="B2926" t="s">
        <v>1440</v>
      </c>
      <c r="C2926">
        <v>0</v>
      </c>
    </row>
    <row r="2927" spans="1:3" ht="15.75" x14ac:dyDescent="0.25">
      <c r="A2927">
        <v>732509</v>
      </c>
      <c r="B2927" t="s">
        <v>1441</v>
      </c>
      <c r="C2927">
        <v>0</v>
      </c>
    </row>
    <row r="2928" spans="1:3" ht="15.75" x14ac:dyDescent="0.25">
      <c r="A2928">
        <v>732510</v>
      </c>
      <c r="B2928" t="s">
        <v>1442</v>
      </c>
      <c r="C2928">
        <v>0</v>
      </c>
    </row>
    <row r="2929" spans="1:3" ht="15.75" x14ac:dyDescent="0.25">
      <c r="A2929">
        <v>732595</v>
      </c>
      <c r="B2929" t="s">
        <v>1443</v>
      </c>
      <c r="C2929">
        <v>0</v>
      </c>
    </row>
    <row r="2930" spans="1:3" ht="15.75" x14ac:dyDescent="0.25">
      <c r="A2930">
        <v>7326</v>
      </c>
      <c r="B2930" t="s">
        <v>1468</v>
      </c>
      <c r="C2930">
        <f>SUM(C2931:C2941)</f>
        <v>0</v>
      </c>
    </row>
    <row r="2931" spans="1:3" ht="15.75" x14ac:dyDescent="0.25">
      <c r="A2931">
        <v>732601</v>
      </c>
      <c r="B2931" t="s">
        <v>1435</v>
      </c>
      <c r="C2931">
        <v>0</v>
      </c>
    </row>
    <row r="2932" spans="1:3" ht="15.75" x14ac:dyDescent="0.25">
      <c r="A2932">
        <v>732602</v>
      </c>
      <c r="B2932" t="s">
        <v>1436</v>
      </c>
      <c r="C2932">
        <v>0</v>
      </c>
    </row>
    <row r="2933" spans="1:3" ht="15.75" x14ac:dyDescent="0.25">
      <c r="A2933">
        <v>732603</v>
      </c>
      <c r="B2933" t="s">
        <v>567</v>
      </c>
      <c r="C2933">
        <v>0</v>
      </c>
    </row>
    <row r="2934" spans="1:3" ht="15.75" x14ac:dyDescent="0.25">
      <c r="A2934">
        <v>732604</v>
      </c>
      <c r="B2934" t="s">
        <v>1437</v>
      </c>
      <c r="C2934">
        <v>0</v>
      </c>
    </row>
    <row r="2935" spans="1:3" ht="15.75" x14ac:dyDescent="0.25">
      <c r="A2935">
        <v>732605</v>
      </c>
      <c r="B2935" t="s">
        <v>568</v>
      </c>
      <c r="C2935">
        <v>0</v>
      </c>
    </row>
    <row r="2936" spans="1:3" ht="15.75" x14ac:dyDescent="0.25">
      <c r="A2936">
        <v>732606</v>
      </c>
      <c r="B2936" t="s">
        <v>1438</v>
      </c>
      <c r="C2936">
        <v>0</v>
      </c>
    </row>
    <row r="2937" spans="1:3" ht="15.75" x14ac:dyDescent="0.25">
      <c r="A2937">
        <v>732607</v>
      </c>
      <c r="B2937" t="s">
        <v>1439</v>
      </c>
      <c r="C2937">
        <v>0</v>
      </c>
    </row>
    <row r="2938" spans="1:3" ht="15.75" x14ac:dyDescent="0.25">
      <c r="A2938">
        <v>732608</v>
      </c>
      <c r="B2938" t="s">
        <v>1440</v>
      </c>
      <c r="C2938">
        <v>0</v>
      </c>
    </row>
    <row r="2939" spans="1:3" ht="15.75" x14ac:dyDescent="0.25">
      <c r="A2939">
        <v>732609</v>
      </c>
      <c r="B2939" t="s">
        <v>1441</v>
      </c>
      <c r="C2939">
        <v>0</v>
      </c>
    </row>
    <row r="2940" spans="1:3" ht="15.75" x14ac:dyDescent="0.25">
      <c r="A2940">
        <v>732610</v>
      </c>
      <c r="B2940" t="s">
        <v>1442</v>
      </c>
      <c r="C2940">
        <v>0</v>
      </c>
    </row>
    <row r="2941" spans="1:3" ht="15.75" x14ac:dyDescent="0.25">
      <c r="A2941">
        <v>732695</v>
      </c>
      <c r="B2941" t="s">
        <v>1443</v>
      </c>
      <c r="C2941">
        <v>0</v>
      </c>
    </row>
    <row r="2942" spans="1:3" ht="15.75" x14ac:dyDescent="0.25">
      <c r="A2942">
        <v>7330</v>
      </c>
      <c r="B2942" t="s">
        <v>1469</v>
      </c>
      <c r="C2942">
        <f>SUM(C2943:C2953)</f>
        <v>0</v>
      </c>
    </row>
    <row r="2943" spans="1:3" ht="15.75" x14ac:dyDescent="0.25">
      <c r="A2943">
        <v>733001</v>
      </c>
      <c r="B2943" t="s">
        <v>1435</v>
      </c>
      <c r="C2943">
        <v>0</v>
      </c>
    </row>
    <row r="2944" spans="1:3" ht="15.75" x14ac:dyDescent="0.25">
      <c r="A2944">
        <v>733002</v>
      </c>
      <c r="B2944" t="s">
        <v>1436</v>
      </c>
      <c r="C2944">
        <v>0</v>
      </c>
    </row>
    <row r="2945" spans="1:3" ht="15.75" x14ac:dyDescent="0.25">
      <c r="A2945">
        <v>733003</v>
      </c>
      <c r="B2945" t="s">
        <v>567</v>
      </c>
      <c r="C2945">
        <v>0</v>
      </c>
    </row>
    <row r="2946" spans="1:3" ht="15.75" x14ac:dyDescent="0.25">
      <c r="A2946">
        <v>733004</v>
      </c>
      <c r="B2946" t="s">
        <v>1437</v>
      </c>
      <c r="C2946">
        <v>0</v>
      </c>
    </row>
    <row r="2947" spans="1:3" ht="15.75" x14ac:dyDescent="0.25">
      <c r="A2947">
        <v>733005</v>
      </c>
      <c r="B2947" t="s">
        <v>568</v>
      </c>
      <c r="C2947">
        <v>0</v>
      </c>
    </row>
    <row r="2948" spans="1:3" ht="15.75" x14ac:dyDescent="0.25">
      <c r="A2948">
        <v>733006</v>
      </c>
      <c r="B2948" t="s">
        <v>1438</v>
      </c>
      <c r="C2948">
        <v>0</v>
      </c>
    </row>
    <row r="2949" spans="1:3" ht="15.75" x14ac:dyDescent="0.25">
      <c r="A2949">
        <v>733007</v>
      </c>
      <c r="B2949" t="s">
        <v>1439</v>
      </c>
      <c r="C2949">
        <v>0</v>
      </c>
    </row>
    <row r="2950" spans="1:3" ht="15.75" x14ac:dyDescent="0.25">
      <c r="A2950">
        <v>733008</v>
      </c>
      <c r="B2950" t="s">
        <v>1440</v>
      </c>
      <c r="C2950">
        <v>0</v>
      </c>
    </row>
    <row r="2951" spans="1:3" ht="15.75" x14ac:dyDescent="0.25">
      <c r="A2951">
        <v>733009</v>
      </c>
      <c r="B2951" t="s">
        <v>1441</v>
      </c>
      <c r="C2951">
        <v>0</v>
      </c>
    </row>
    <row r="2952" spans="1:3" ht="15.75" x14ac:dyDescent="0.25">
      <c r="A2952">
        <v>733010</v>
      </c>
      <c r="B2952" t="s">
        <v>1442</v>
      </c>
      <c r="C2952">
        <v>0</v>
      </c>
    </row>
    <row r="2953" spans="1:3" ht="15.75" x14ac:dyDescent="0.25">
      <c r="A2953">
        <v>733095</v>
      </c>
      <c r="B2953" t="s">
        <v>1443</v>
      </c>
      <c r="C2953">
        <v>0</v>
      </c>
    </row>
    <row r="2954" spans="1:3" ht="15.75" x14ac:dyDescent="0.25">
      <c r="A2954">
        <v>7331</v>
      </c>
      <c r="B2954" t="s">
        <v>1470</v>
      </c>
      <c r="C2954">
        <f>SUM(C2955:C2965)</f>
        <v>0</v>
      </c>
    </row>
    <row r="2955" spans="1:3" ht="15.75" x14ac:dyDescent="0.25">
      <c r="A2955">
        <v>733101</v>
      </c>
      <c r="B2955" t="s">
        <v>1435</v>
      </c>
      <c r="C2955">
        <v>0</v>
      </c>
    </row>
    <row r="2956" spans="1:3" ht="15.75" x14ac:dyDescent="0.25">
      <c r="A2956">
        <v>733102</v>
      </c>
      <c r="B2956" t="s">
        <v>1436</v>
      </c>
      <c r="C2956">
        <v>0</v>
      </c>
    </row>
    <row r="2957" spans="1:3" ht="15.75" x14ac:dyDescent="0.25">
      <c r="A2957">
        <v>733103</v>
      </c>
      <c r="B2957" t="s">
        <v>567</v>
      </c>
      <c r="C2957">
        <v>0</v>
      </c>
    </row>
    <row r="2958" spans="1:3" ht="15.75" x14ac:dyDescent="0.25">
      <c r="A2958">
        <v>733104</v>
      </c>
      <c r="B2958" t="s">
        <v>1437</v>
      </c>
      <c r="C2958">
        <v>0</v>
      </c>
    </row>
    <row r="2959" spans="1:3" ht="15.75" x14ac:dyDescent="0.25">
      <c r="A2959">
        <v>733105</v>
      </c>
      <c r="B2959" t="s">
        <v>568</v>
      </c>
      <c r="C2959">
        <v>0</v>
      </c>
    </row>
    <row r="2960" spans="1:3" ht="15.75" x14ac:dyDescent="0.25">
      <c r="A2960">
        <v>733106</v>
      </c>
      <c r="B2960" t="s">
        <v>1438</v>
      </c>
      <c r="C2960">
        <v>0</v>
      </c>
    </row>
    <row r="2961" spans="1:3" ht="15.75" x14ac:dyDescent="0.25">
      <c r="A2961">
        <v>733107</v>
      </c>
      <c r="B2961" t="s">
        <v>1439</v>
      </c>
      <c r="C2961">
        <v>0</v>
      </c>
    </row>
    <row r="2962" spans="1:3" ht="15.75" x14ac:dyDescent="0.25">
      <c r="A2962">
        <v>733108</v>
      </c>
      <c r="B2962" t="s">
        <v>1440</v>
      </c>
      <c r="C2962">
        <v>0</v>
      </c>
    </row>
    <row r="2963" spans="1:3" ht="15.75" x14ac:dyDescent="0.25">
      <c r="A2963">
        <v>733109</v>
      </c>
      <c r="B2963" t="s">
        <v>1441</v>
      </c>
      <c r="C2963">
        <v>0</v>
      </c>
    </row>
    <row r="2964" spans="1:3" ht="15.75" x14ac:dyDescent="0.25">
      <c r="A2964">
        <v>733110</v>
      </c>
      <c r="B2964" t="s">
        <v>1442</v>
      </c>
      <c r="C2964">
        <v>0</v>
      </c>
    </row>
    <row r="2965" spans="1:3" ht="15.75" x14ac:dyDescent="0.25">
      <c r="A2965">
        <v>733195</v>
      </c>
      <c r="B2965" t="s">
        <v>1443</v>
      </c>
      <c r="C2965">
        <v>0</v>
      </c>
    </row>
    <row r="2966" spans="1:3" ht="15.75" x14ac:dyDescent="0.25">
      <c r="A2966">
        <v>7340</v>
      </c>
      <c r="B2966" t="s">
        <v>1471</v>
      </c>
      <c r="C2966">
        <f>SUM(C2967:C2977)</f>
        <v>0</v>
      </c>
    </row>
    <row r="2967" spans="1:3" ht="15.75" x14ac:dyDescent="0.25">
      <c r="A2967">
        <v>734001</v>
      </c>
      <c r="B2967" t="s">
        <v>1435</v>
      </c>
      <c r="C2967">
        <v>0</v>
      </c>
    </row>
    <row r="2968" spans="1:3" ht="15.75" x14ac:dyDescent="0.25">
      <c r="A2968">
        <v>734002</v>
      </c>
      <c r="B2968" t="s">
        <v>1436</v>
      </c>
      <c r="C2968">
        <v>0</v>
      </c>
    </row>
    <row r="2969" spans="1:3" ht="15.75" x14ac:dyDescent="0.25">
      <c r="A2969">
        <v>734003</v>
      </c>
      <c r="B2969" t="s">
        <v>567</v>
      </c>
      <c r="C2969">
        <v>0</v>
      </c>
    </row>
    <row r="2970" spans="1:3" ht="15.75" x14ac:dyDescent="0.25">
      <c r="A2970">
        <v>734004</v>
      </c>
      <c r="B2970" t="s">
        <v>1437</v>
      </c>
      <c r="C2970">
        <v>0</v>
      </c>
    </row>
    <row r="2971" spans="1:3" ht="15.75" x14ac:dyDescent="0.25">
      <c r="A2971">
        <v>734005</v>
      </c>
      <c r="B2971" t="s">
        <v>568</v>
      </c>
      <c r="C2971">
        <v>0</v>
      </c>
    </row>
    <row r="2972" spans="1:3" ht="15.75" x14ac:dyDescent="0.25">
      <c r="A2972">
        <v>734006</v>
      </c>
      <c r="B2972" t="s">
        <v>1438</v>
      </c>
      <c r="C2972">
        <v>0</v>
      </c>
    </row>
    <row r="2973" spans="1:3" ht="15.75" x14ac:dyDescent="0.25">
      <c r="A2973">
        <v>734007</v>
      </c>
      <c r="B2973" t="s">
        <v>1439</v>
      </c>
      <c r="C2973">
        <v>0</v>
      </c>
    </row>
    <row r="2974" spans="1:3" ht="15.75" x14ac:dyDescent="0.25">
      <c r="A2974">
        <v>734008</v>
      </c>
      <c r="B2974" t="s">
        <v>1440</v>
      </c>
      <c r="C2974">
        <v>0</v>
      </c>
    </row>
    <row r="2975" spans="1:3" ht="15.75" x14ac:dyDescent="0.25">
      <c r="A2975">
        <v>734009</v>
      </c>
      <c r="B2975" t="s">
        <v>1441</v>
      </c>
      <c r="C2975">
        <v>0</v>
      </c>
    </row>
    <row r="2976" spans="1:3" ht="15.75" x14ac:dyDescent="0.25">
      <c r="A2976">
        <v>734010</v>
      </c>
      <c r="B2976" t="s">
        <v>1442</v>
      </c>
      <c r="C2976">
        <v>0</v>
      </c>
    </row>
    <row r="2977" spans="1:3" ht="15.75" x14ac:dyDescent="0.25">
      <c r="A2977">
        <v>734095</v>
      </c>
      <c r="B2977" t="s">
        <v>1443</v>
      </c>
      <c r="C2977">
        <v>0</v>
      </c>
    </row>
    <row r="2978" spans="1:3" ht="15.75" x14ac:dyDescent="0.25">
      <c r="A2978">
        <v>7341</v>
      </c>
      <c r="B2978" t="s">
        <v>1472</v>
      </c>
      <c r="C2978">
        <f>SUM(C2979:C2989)</f>
        <v>0</v>
      </c>
    </row>
    <row r="2979" spans="1:3" ht="15.75" x14ac:dyDescent="0.25">
      <c r="A2979">
        <v>734101</v>
      </c>
      <c r="B2979" t="s">
        <v>1435</v>
      </c>
      <c r="C2979">
        <v>0</v>
      </c>
    </row>
    <row r="2980" spans="1:3" ht="15.75" x14ac:dyDescent="0.25">
      <c r="A2980">
        <v>734102</v>
      </c>
      <c r="B2980" t="s">
        <v>1436</v>
      </c>
      <c r="C2980">
        <v>0</v>
      </c>
    </row>
    <row r="2981" spans="1:3" ht="15.75" x14ac:dyDescent="0.25">
      <c r="A2981">
        <v>734103</v>
      </c>
      <c r="B2981" t="s">
        <v>567</v>
      </c>
      <c r="C2981">
        <v>0</v>
      </c>
    </row>
    <row r="2982" spans="1:3" ht="15.75" x14ac:dyDescent="0.25">
      <c r="A2982">
        <v>734104</v>
      </c>
      <c r="B2982" t="s">
        <v>1437</v>
      </c>
      <c r="C2982">
        <v>0</v>
      </c>
    </row>
    <row r="2983" spans="1:3" ht="15.75" x14ac:dyDescent="0.25">
      <c r="A2983">
        <v>734105</v>
      </c>
      <c r="B2983" t="s">
        <v>568</v>
      </c>
      <c r="C2983">
        <v>0</v>
      </c>
    </row>
    <row r="2984" spans="1:3" ht="15.75" x14ac:dyDescent="0.25">
      <c r="A2984">
        <v>734106</v>
      </c>
      <c r="B2984" t="s">
        <v>1438</v>
      </c>
      <c r="C2984">
        <v>0</v>
      </c>
    </row>
    <row r="2985" spans="1:3" ht="15.75" x14ac:dyDescent="0.25">
      <c r="A2985">
        <v>734107</v>
      </c>
      <c r="B2985" t="s">
        <v>1439</v>
      </c>
      <c r="C2985">
        <v>0</v>
      </c>
    </row>
    <row r="2986" spans="1:3" ht="15.75" x14ac:dyDescent="0.25">
      <c r="A2986">
        <v>734108</v>
      </c>
      <c r="B2986" t="s">
        <v>1440</v>
      </c>
      <c r="C2986">
        <v>0</v>
      </c>
    </row>
    <row r="2987" spans="1:3" ht="15.75" x14ac:dyDescent="0.25">
      <c r="A2987">
        <v>734109</v>
      </c>
      <c r="B2987" t="s">
        <v>1441</v>
      </c>
      <c r="C2987">
        <v>0</v>
      </c>
    </row>
    <row r="2988" spans="1:3" ht="15.75" x14ac:dyDescent="0.25">
      <c r="A2988">
        <v>734110</v>
      </c>
      <c r="B2988" t="s">
        <v>1442</v>
      </c>
      <c r="C2988">
        <v>0</v>
      </c>
    </row>
    <row r="2989" spans="1:3" ht="15.75" x14ac:dyDescent="0.25">
      <c r="A2989">
        <v>734195</v>
      </c>
      <c r="B2989" t="s">
        <v>1443</v>
      </c>
      <c r="C2989">
        <v>0</v>
      </c>
    </row>
    <row r="2990" spans="1:3" ht="15.75" x14ac:dyDescent="0.25">
      <c r="A2990">
        <v>7342</v>
      </c>
      <c r="B2990" t="s">
        <v>1473</v>
      </c>
      <c r="C2990">
        <f>SUM(C2991:C3001)</f>
        <v>0</v>
      </c>
    </row>
    <row r="2991" spans="1:3" ht="15.75" x14ac:dyDescent="0.25">
      <c r="A2991">
        <v>734201</v>
      </c>
      <c r="B2991" t="s">
        <v>1435</v>
      </c>
      <c r="C2991">
        <v>0</v>
      </c>
    </row>
    <row r="2992" spans="1:3" ht="15.75" x14ac:dyDescent="0.25">
      <c r="A2992">
        <v>734202</v>
      </c>
      <c r="B2992" t="s">
        <v>1436</v>
      </c>
      <c r="C2992">
        <v>0</v>
      </c>
    </row>
    <row r="2993" spans="1:3" ht="15.75" x14ac:dyDescent="0.25">
      <c r="A2993">
        <v>734203</v>
      </c>
      <c r="B2993" t="s">
        <v>567</v>
      </c>
      <c r="C2993">
        <v>0</v>
      </c>
    </row>
    <row r="2994" spans="1:3" ht="15.75" x14ac:dyDescent="0.25">
      <c r="A2994">
        <v>734204</v>
      </c>
      <c r="B2994" t="s">
        <v>1437</v>
      </c>
      <c r="C2994">
        <v>0</v>
      </c>
    </row>
    <row r="2995" spans="1:3" ht="15.75" x14ac:dyDescent="0.25">
      <c r="A2995">
        <v>734205</v>
      </c>
      <c r="B2995" t="s">
        <v>568</v>
      </c>
      <c r="C2995">
        <v>0</v>
      </c>
    </row>
    <row r="2996" spans="1:3" ht="15.75" x14ac:dyDescent="0.25">
      <c r="A2996">
        <v>734206</v>
      </c>
      <c r="B2996" t="s">
        <v>1438</v>
      </c>
      <c r="C2996">
        <v>0</v>
      </c>
    </row>
    <row r="2997" spans="1:3" ht="15.75" x14ac:dyDescent="0.25">
      <c r="A2997">
        <v>734207</v>
      </c>
      <c r="B2997" t="s">
        <v>1439</v>
      </c>
      <c r="C2997">
        <v>0</v>
      </c>
    </row>
    <row r="2998" spans="1:3" ht="15.75" x14ac:dyDescent="0.25">
      <c r="A2998">
        <v>734208</v>
      </c>
      <c r="B2998" t="s">
        <v>1440</v>
      </c>
      <c r="C2998">
        <v>0</v>
      </c>
    </row>
    <row r="2999" spans="1:3" ht="15.75" x14ac:dyDescent="0.25">
      <c r="A2999">
        <v>734209</v>
      </c>
      <c r="B2999" t="s">
        <v>1441</v>
      </c>
      <c r="C2999">
        <v>0</v>
      </c>
    </row>
    <row r="3000" spans="1:3" ht="15.75" x14ac:dyDescent="0.25">
      <c r="A3000">
        <v>734210</v>
      </c>
      <c r="B3000" t="s">
        <v>1442</v>
      </c>
      <c r="C3000">
        <v>0</v>
      </c>
    </row>
    <row r="3001" spans="1:3" ht="15.75" x14ac:dyDescent="0.25">
      <c r="A3001">
        <v>734295</v>
      </c>
      <c r="B3001" t="s">
        <v>1443</v>
      </c>
      <c r="C3001">
        <v>0</v>
      </c>
    </row>
    <row r="3002" spans="1:3" ht="15.75" x14ac:dyDescent="0.25">
      <c r="A3002">
        <v>7343</v>
      </c>
      <c r="B3002" t="s">
        <v>1474</v>
      </c>
      <c r="C3002">
        <f>SUM(C3003:C3013)</f>
        <v>0</v>
      </c>
    </row>
    <row r="3003" spans="1:3" ht="15.75" x14ac:dyDescent="0.25">
      <c r="A3003">
        <v>734301</v>
      </c>
      <c r="B3003" t="s">
        <v>1435</v>
      </c>
      <c r="C3003">
        <v>0</v>
      </c>
    </row>
    <row r="3004" spans="1:3" ht="15.75" x14ac:dyDescent="0.25">
      <c r="A3004">
        <v>734302</v>
      </c>
      <c r="B3004" t="s">
        <v>1436</v>
      </c>
      <c r="C3004">
        <v>0</v>
      </c>
    </row>
    <row r="3005" spans="1:3" ht="15.75" x14ac:dyDescent="0.25">
      <c r="A3005">
        <v>734303</v>
      </c>
      <c r="B3005" t="s">
        <v>567</v>
      </c>
      <c r="C3005">
        <v>0</v>
      </c>
    </row>
    <row r="3006" spans="1:3" ht="15.75" x14ac:dyDescent="0.25">
      <c r="A3006">
        <v>734304</v>
      </c>
      <c r="B3006" t="s">
        <v>1437</v>
      </c>
      <c r="C3006">
        <v>0</v>
      </c>
    </row>
    <row r="3007" spans="1:3" ht="15.75" x14ac:dyDescent="0.25">
      <c r="A3007">
        <v>734305</v>
      </c>
      <c r="B3007" t="s">
        <v>568</v>
      </c>
      <c r="C3007">
        <v>0</v>
      </c>
    </row>
    <row r="3008" spans="1:3" ht="15.75" x14ac:dyDescent="0.25">
      <c r="A3008">
        <v>734306</v>
      </c>
      <c r="B3008" t="s">
        <v>1438</v>
      </c>
      <c r="C3008">
        <v>0</v>
      </c>
    </row>
    <row r="3009" spans="1:3" ht="15.75" x14ac:dyDescent="0.25">
      <c r="A3009">
        <v>734307</v>
      </c>
      <c r="B3009" t="s">
        <v>1439</v>
      </c>
      <c r="C3009">
        <v>0</v>
      </c>
    </row>
    <row r="3010" spans="1:3" ht="15.75" x14ac:dyDescent="0.25">
      <c r="A3010">
        <v>734308</v>
      </c>
      <c r="B3010" t="s">
        <v>1440</v>
      </c>
      <c r="C3010">
        <v>0</v>
      </c>
    </row>
    <row r="3011" spans="1:3" ht="15.75" x14ac:dyDescent="0.25">
      <c r="A3011">
        <v>734309</v>
      </c>
      <c r="B3011" t="s">
        <v>1441</v>
      </c>
      <c r="C3011">
        <v>0</v>
      </c>
    </row>
    <row r="3012" spans="1:3" ht="15.75" x14ac:dyDescent="0.25">
      <c r="A3012">
        <v>734310</v>
      </c>
      <c r="B3012" t="s">
        <v>1442</v>
      </c>
      <c r="C3012">
        <v>0</v>
      </c>
    </row>
    <row r="3013" spans="1:3" ht="15.75" x14ac:dyDescent="0.25">
      <c r="A3013">
        <v>734395</v>
      </c>
      <c r="B3013" t="s">
        <v>1443</v>
      </c>
      <c r="C3013">
        <v>0</v>
      </c>
    </row>
    <row r="3014" spans="1:3" ht="15.75" x14ac:dyDescent="0.25">
      <c r="A3014">
        <v>7349</v>
      </c>
      <c r="B3014" t="s">
        <v>1475</v>
      </c>
      <c r="C3014">
        <f>SUM(C3015:C3025)</f>
        <v>0</v>
      </c>
    </row>
    <row r="3015" spans="1:3" ht="15.75" x14ac:dyDescent="0.25">
      <c r="A3015">
        <v>734901</v>
      </c>
      <c r="B3015" t="s">
        <v>1435</v>
      </c>
      <c r="C3015">
        <v>0</v>
      </c>
    </row>
    <row r="3016" spans="1:3" ht="15.75" x14ac:dyDescent="0.25">
      <c r="A3016">
        <v>734902</v>
      </c>
      <c r="B3016" t="s">
        <v>1436</v>
      </c>
      <c r="C3016">
        <v>0</v>
      </c>
    </row>
    <row r="3017" spans="1:3" ht="15.75" x14ac:dyDescent="0.25">
      <c r="A3017">
        <v>734903</v>
      </c>
      <c r="B3017" t="s">
        <v>567</v>
      </c>
      <c r="C3017">
        <v>0</v>
      </c>
    </row>
    <row r="3018" spans="1:3" ht="15.75" x14ac:dyDescent="0.25">
      <c r="A3018">
        <v>734904</v>
      </c>
      <c r="B3018" t="s">
        <v>1437</v>
      </c>
      <c r="C3018">
        <v>0</v>
      </c>
    </row>
    <row r="3019" spans="1:3" ht="15.75" x14ac:dyDescent="0.25">
      <c r="A3019">
        <v>734905</v>
      </c>
      <c r="B3019" t="s">
        <v>568</v>
      </c>
      <c r="C3019">
        <v>0</v>
      </c>
    </row>
    <row r="3020" spans="1:3" ht="15.75" x14ac:dyDescent="0.25">
      <c r="A3020">
        <v>734906</v>
      </c>
      <c r="B3020" t="s">
        <v>1438</v>
      </c>
      <c r="C3020">
        <v>0</v>
      </c>
    </row>
    <row r="3021" spans="1:3" ht="15.75" x14ac:dyDescent="0.25">
      <c r="A3021">
        <v>734907</v>
      </c>
      <c r="B3021" t="s">
        <v>1439</v>
      </c>
      <c r="C3021">
        <v>0</v>
      </c>
    </row>
    <row r="3022" spans="1:3" ht="15.75" x14ac:dyDescent="0.25">
      <c r="A3022">
        <v>734908</v>
      </c>
      <c r="B3022" t="s">
        <v>1440</v>
      </c>
      <c r="C3022">
        <v>0</v>
      </c>
    </row>
    <row r="3023" spans="1:3" ht="15.75" x14ac:dyDescent="0.25">
      <c r="A3023">
        <v>734909</v>
      </c>
      <c r="B3023" t="s">
        <v>1441</v>
      </c>
      <c r="C3023">
        <v>0</v>
      </c>
    </row>
    <row r="3024" spans="1:3" ht="15.75" x14ac:dyDescent="0.25">
      <c r="A3024">
        <v>734910</v>
      </c>
      <c r="B3024" t="s">
        <v>1442</v>
      </c>
      <c r="C3024">
        <v>0</v>
      </c>
    </row>
    <row r="3025" spans="1:3" ht="15.75" x14ac:dyDescent="0.25">
      <c r="A3025">
        <v>734995</v>
      </c>
      <c r="B3025" t="s">
        <v>1443</v>
      </c>
      <c r="C3025">
        <v>0</v>
      </c>
    </row>
    <row r="3026" spans="1:3" ht="15.75" x14ac:dyDescent="0.25">
      <c r="A3026">
        <v>7350</v>
      </c>
      <c r="B3026" t="s">
        <v>1476</v>
      </c>
      <c r="C3026">
        <f>SUM(C3027:C3037)</f>
        <v>0</v>
      </c>
    </row>
    <row r="3027" spans="1:3" ht="15.75" x14ac:dyDescent="0.25">
      <c r="A3027">
        <v>735001</v>
      </c>
      <c r="B3027" t="s">
        <v>1435</v>
      </c>
      <c r="C3027">
        <v>0</v>
      </c>
    </row>
    <row r="3028" spans="1:3" ht="15.75" x14ac:dyDescent="0.25">
      <c r="A3028">
        <v>735002</v>
      </c>
      <c r="B3028" t="s">
        <v>1436</v>
      </c>
      <c r="C3028">
        <v>0</v>
      </c>
    </row>
    <row r="3029" spans="1:3" ht="15.75" x14ac:dyDescent="0.25">
      <c r="A3029">
        <v>735003</v>
      </c>
      <c r="B3029" t="s">
        <v>567</v>
      </c>
      <c r="C3029">
        <v>0</v>
      </c>
    </row>
    <row r="3030" spans="1:3" ht="15.75" x14ac:dyDescent="0.25">
      <c r="A3030">
        <v>735004</v>
      </c>
      <c r="B3030" t="s">
        <v>1437</v>
      </c>
      <c r="C3030">
        <v>0</v>
      </c>
    </row>
    <row r="3031" spans="1:3" ht="15.75" x14ac:dyDescent="0.25">
      <c r="A3031">
        <v>735005</v>
      </c>
      <c r="B3031" t="s">
        <v>568</v>
      </c>
      <c r="C3031">
        <v>0</v>
      </c>
    </row>
    <row r="3032" spans="1:3" ht="15.75" x14ac:dyDescent="0.25">
      <c r="A3032">
        <v>735006</v>
      </c>
      <c r="B3032" t="s">
        <v>1438</v>
      </c>
      <c r="C3032">
        <v>0</v>
      </c>
    </row>
    <row r="3033" spans="1:3" ht="15.75" x14ac:dyDescent="0.25">
      <c r="A3033">
        <v>735007</v>
      </c>
      <c r="B3033" t="s">
        <v>1439</v>
      </c>
      <c r="C3033">
        <v>0</v>
      </c>
    </row>
    <row r="3034" spans="1:3" ht="15.75" x14ac:dyDescent="0.25">
      <c r="A3034">
        <v>735008</v>
      </c>
      <c r="B3034" t="s">
        <v>1440</v>
      </c>
      <c r="C3034">
        <v>0</v>
      </c>
    </row>
    <row r="3035" spans="1:3" ht="15.75" x14ac:dyDescent="0.25">
      <c r="A3035">
        <v>735009</v>
      </c>
      <c r="B3035" t="s">
        <v>1441</v>
      </c>
      <c r="C3035">
        <v>0</v>
      </c>
    </row>
    <row r="3036" spans="1:3" ht="15.75" x14ac:dyDescent="0.25">
      <c r="A3036">
        <v>735010</v>
      </c>
      <c r="B3036" t="s">
        <v>1442</v>
      </c>
      <c r="C3036">
        <v>0</v>
      </c>
    </row>
    <row r="3037" spans="1:3" ht="15.75" x14ac:dyDescent="0.25">
      <c r="A3037">
        <v>735095</v>
      </c>
      <c r="B3037" t="s">
        <v>1443</v>
      </c>
      <c r="C3037">
        <v>0</v>
      </c>
    </row>
    <row r="3038" spans="1:3" ht="15.75" x14ac:dyDescent="0.25">
      <c r="A3038">
        <v>7351</v>
      </c>
      <c r="B3038" t="s">
        <v>1477</v>
      </c>
      <c r="C3038">
        <f>SUM(C3039:C3049)</f>
        <v>0</v>
      </c>
    </row>
    <row r="3039" spans="1:3" ht="15.75" x14ac:dyDescent="0.25">
      <c r="A3039">
        <v>735101</v>
      </c>
      <c r="B3039" t="s">
        <v>1435</v>
      </c>
      <c r="C3039">
        <v>0</v>
      </c>
    </row>
    <row r="3040" spans="1:3" ht="15.75" x14ac:dyDescent="0.25">
      <c r="A3040">
        <v>735102</v>
      </c>
      <c r="B3040" t="s">
        <v>1436</v>
      </c>
      <c r="C3040">
        <v>0</v>
      </c>
    </row>
    <row r="3041" spans="1:3" ht="15.75" x14ac:dyDescent="0.25">
      <c r="A3041">
        <v>735103</v>
      </c>
      <c r="B3041" t="s">
        <v>567</v>
      </c>
      <c r="C3041">
        <v>0</v>
      </c>
    </row>
    <row r="3042" spans="1:3" ht="15.75" x14ac:dyDescent="0.25">
      <c r="A3042">
        <v>735104</v>
      </c>
      <c r="B3042" t="s">
        <v>1437</v>
      </c>
      <c r="C3042">
        <v>0</v>
      </c>
    </row>
    <row r="3043" spans="1:3" ht="15.75" x14ac:dyDescent="0.25">
      <c r="A3043">
        <v>735105</v>
      </c>
      <c r="B3043" t="s">
        <v>568</v>
      </c>
      <c r="C3043">
        <v>0</v>
      </c>
    </row>
    <row r="3044" spans="1:3" ht="15.75" x14ac:dyDescent="0.25">
      <c r="A3044">
        <v>735106</v>
      </c>
      <c r="B3044" t="s">
        <v>1438</v>
      </c>
      <c r="C3044">
        <v>0</v>
      </c>
    </row>
    <row r="3045" spans="1:3" ht="15.75" x14ac:dyDescent="0.25">
      <c r="A3045">
        <v>735107</v>
      </c>
      <c r="B3045" t="s">
        <v>1439</v>
      </c>
      <c r="C3045">
        <v>0</v>
      </c>
    </row>
    <row r="3046" spans="1:3" ht="15.75" x14ac:dyDescent="0.25">
      <c r="A3046">
        <v>735108</v>
      </c>
      <c r="B3046" t="s">
        <v>1440</v>
      </c>
      <c r="C3046">
        <v>0</v>
      </c>
    </row>
    <row r="3047" spans="1:3" ht="15.75" x14ac:dyDescent="0.25">
      <c r="A3047">
        <v>735109</v>
      </c>
      <c r="B3047" t="s">
        <v>1441</v>
      </c>
      <c r="C3047">
        <v>0</v>
      </c>
    </row>
    <row r="3048" spans="1:3" ht="15.75" x14ac:dyDescent="0.25">
      <c r="A3048">
        <v>735110</v>
      </c>
      <c r="B3048" t="s">
        <v>1442</v>
      </c>
      <c r="C3048">
        <v>0</v>
      </c>
    </row>
    <row r="3049" spans="1:3" ht="15.75" x14ac:dyDescent="0.25">
      <c r="A3049">
        <v>735195</v>
      </c>
      <c r="B3049" t="s">
        <v>1443</v>
      </c>
      <c r="C3049">
        <v>0</v>
      </c>
    </row>
    <row r="3050" spans="1:3" ht="15.75" x14ac:dyDescent="0.25">
      <c r="A3050">
        <v>7352</v>
      </c>
      <c r="B3050" t="s">
        <v>1478</v>
      </c>
      <c r="C3050">
        <f>SUM(C3051:C3061)</f>
        <v>0</v>
      </c>
    </row>
    <row r="3051" spans="1:3" ht="15.75" x14ac:dyDescent="0.25">
      <c r="A3051">
        <v>735201</v>
      </c>
      <c r="B3051" t="s">
        <v>1435</v>
      </c>
      <c r="C3051">
        <v>0</v>
      </c>
    </row>
    <row r="3052" spans="1:3" ht="15.75" x14ac:dyDescent="0.25">
      <c r="A3052">
        <v>735202</v>
      </c>
      <c r="B3052" t="s">
        <v>1436</v>
      </c>
      <c r="C3052">
        <v>0</v>
      </c>
    </row>
    <row r="3053" spans="1:3" ht="15.75" x14ac:dyDescent="0.25">
      <c r="A3053">
        <v>735203</v>
      </c>
      <c r="B3053" t="s">
        <v>567</v>
      </c>
      <c r="C3053">
        <v>0</v>
      </c>
    </row>
    <row r="3054" spans="1:3" ht="15.75" x14ac:dyDescent="0.25">
      <c r="A3054">
        <v>735204</v>
      </c>
      <c r="B3054" t="s">
        <v>1437</v>
      </c>
      <c r="C3054">
        <v>0</v>
      </c>
    </row>
    <row r="3055" spans="1:3" ht="15.75" x14ac:dyDescent="0.25">
      <c r="A3055">
        <v>735205</v>
      </c>
      <c r="B3055" t="s">
        <v>568</v>
      </c>
      <c r="C3055">
        <v>0</v>
      </c>
    </row>
    <row r="3056" spans="1:3" ht="15.75" x14ac:dyDescent="0.25">
      <c r="A3056">
        <v>735206</v>
      </c>
      <c r="B3056" t="s">
        <v>1438</v>
      </c>
      <c r="C3056">
        <v>0</v>
      </c>
    </row>
    <row r="3057" spans="1:3" ht="15.75" x14ac:dyDescent="0.25">
      <c r="A3057">
        <v>735207</v>
      </c>
      <c r="B3057" t="s">
        <v>1439</v>
      </c>
      <c r="C3057">
        <v>0</v>
      </c>
    </row>
    <row r="3058" spans="1:3" ht="15.75" x14ac:dyDescent="0.25">
      <c r="A3058">
        <v>735208</v>
      </c>
      <c r="B3058" t="s">
        <v>1440</v>
      </c>
      <c r="C3058">
        <v>0</v>
      </c>
    </row>
    <row r="3059" spans="1:3" ht="15.75" x14ac:dyDescent="0.25">
      <c r="A3059">
        <v>735209</v>
      </c>
      <c r="B3059" t="s">
        <v>1441</v>
      </c>
      <c r="C3059">
        <v>0</v>
      </c>
    </row>
    <row r="3060" spans="1:3" ht="15.75" x14ac:dyDescent="0.25">
      <c r="A3060">
        <v>735210</v>
      </c>
      <c r="B3060" t="s">
        <v>1442</v>
      </c>
      <c r="C3060">
        <v>0</v>
      </c>
    </row>
    <row r="3061" spans="1:3" ht="15.75" x14ac:dyDescent="0.25">
      <c r="A3061">
        <v>735295</v>
      </c>
      <c r="B3061" t="s">
        <v>1443</v>
      </c>
      <c r="C3061">
        <v>0</v>
      </c>
    </row>
    <row r="3062" spans="1:3" ht="15.75" x14ac:dyDescent="0.25">
      <c r="A3062">
        <v>7353</v>
      </c>
      <c r="B3062" t="s">
        <v>1479</v>
      </c>
      <c r="C3062">
        <f>SUM(C3063:C3073)</f>
        <v>0</v>
      </c>
    </row>
    <row r="3063" spans="1:3" ht="15.75" x14ac:dyDescent="0.25">
      <c r="A3063">
        <v>735301</v>
      </c>
      <c r="B3063" t="s">
        <v>1435</v>
      </c>
      <c r="C3063">
        <v>0</v>
      </c>
    </row>
    <row r="3064" spans="1:3" ht="15.75" x14ac:dyDescent="0.25">
      <c r="A3064">
        <v>735302</v>
      </c>
      <c r="B3064" t="s">
        <v>1436</v>
      </c>
      <c r="C3064">
        <v>0</v>
      </c>
    </row>
    <row r="3065" spans="1:3" ht="15.75" x14ac:dyDescent="0.25">
      <c r="A3065">
        <v>735303</v>
      </c>
      <c r="B3065" t="s">
        <v>567</v>
      </c>
      <c r="C3065">
        <v>0</v>
      </c>
    </row>
    <row r="3066" spans="1:3" ht="15.75" x14ac:dyDescent="0.25">
      <c r="A3066">
        <v>735304</v>
      </c>
      <c r="B3066" t="s">
        <v>1437</v>
      </c>
      <c r="C3066">
        <v>0</v>
      </c>
    </row>
    <row r="3067" spans="1:3" ht="15.75" x14ac:dyDescent="0.25">
      <c r="A3067">
        <v>735305</v>
      </c>
      <c r="B3067" t="s">
        <v>568</v>
      </c>
      <c r="C3067">
        <v>0</v>
      </c>
    </row>
    <row r="3068" spans="1:3" ht="15.75" x14ac:dyDescent="0.25">
      <c r="A3068">
        <v>735306</v>
      </c>
      <c r="B3068" t="s">
        <v>1438</v>
      </c>
      <c r="C3068">
        <v>0</v>
      </c>
    </row>
    <row r="3069" spans="1:3" ht="15.75" x14ac:dyDescent="0.25">
      <c r="A3069">
        <v>735307</v>
      </c>
      <c r="B3069" t="s">
        <v>1439</v>
      </c>
      <c r="C3069">
        <v>0</v>
      </c>
    </row>
    <row r="3070" spans="1:3" ht="15.75" x14ac:dyDescent="0.25">
      <c r="A3070">
        <v>735308</v>
      </c>
      <c r="B3070" t="s">
        <v>1440</v>
      </c>
      <c r="C3070">
        <v>0</v>
      </c>
    </row>
    <row r="3071" spans="1:3" ht="15.75" x14ac:dyDescent="0.25">
      <c r="A3071">
        <v>735309</v>
      </c>
      <c r="B3071" t="s">
        <v>1441</v>
      </c>
      <c r="C3071">
        <v>0</v>
      </c>
    </row>
    <row r="3072" spans="1:3" ht="15.75" x14ac:dyDescent="0.25">
      <c r="A3072">
        <v>735310</v>
      </c>
      <c r="B3072" t="s">
        <v>1442</v>
      </c>
      <c r="C3072">
        <v>0</v>
      </c>
    </row>
    <row r="3073" spans="1:3" ht="15.75" x14ac:dyDescent="0.25">
      <c r="A3073">
        <v>735395</v>
      </c>
      <c r="B3073" t="s">
        <v>1443</v>
      </c>
      <c r="C3073">
        <v>0</v>
      </c>
    </row>
    <row r="3074" spans="1:3" ht="15.75" x14ac:dyDescent="0.25">
      <c r="A3074">
        <v>7354</v>
      </c>
      <c r="B3074" t="s">
        <v>1480</v>
      </c>
      <c r="C3074">
        <f>SUM(C3075:C3085)</f>
        <v>0</v>
      </c>
    </row>
    <row r="3075" spans="1:3" ht="15.75" x14ac:dyDescent="0.25">
      <c r="A3075">
        <v>735401</v>
      </c>
      <c r="B3075" t="s">
        <v>1435</v>
      </c>
      <c r="C3075">
        <v>0</v>
      </c>
    </row>
    <row r="3076" spans="1:3" ht="15.75" x14ac:dyDescent="0.25">
      <c r="A3076">
        <v>735402</v>
      </c>
      <c r="B3076" t="s">
        <v>1436</v>
      </c>
      <c r="C3076">
        <v>0</v>
      </c>
    </row>
    <row r="3077" spans="1:3" ht="15.75" x14ac:dyDescent="0.25">
      <c r="A3077">
        <v>735403</v>
      </c>
      <c r="B3077" t="s">
        <v>567</v>
      </c>
      <c r="C3077">
        <v>0</v>
      </c>
    </row>
    <row r="3078" spans="1:3" ht="15.75" x14ac:dyDescent="0.25">
      <c r="A3078">
        <v>735404</v>
      </c>
      <c r="B3078" t="s">
        <v>1437</v>
      </c>
      <c r="C3078">
        <v>0</v>
      </c>
    </row>
    <row r="3079" spans="1:3" ht="15.75" x14ac:dyDescent="0.25">
      <c r="A3079">
        <v>735405</v>
      </c>
      <c r="B3079" t="s">
        <v>568</v>
      </c>
      <c r="C3079">
        <v>0</v>
      </c>
    </row>
    <row r="3080" spans="1:3" ht="15.75" x14ac:dyDescent="0.25">
      <c r="A3080">
        <v>735406</v>
      </c>
      <c r="B3080" t="s">
        <v>1438</v>
      </c>
      <c r="C3080">
        <v>0</v>
      </c>
    </row>
    <row r="3081" spans="1:3" ht="15.75" x14ac:dyDescent="0.25">
      <c r="A3081">
        <v>735407</v>
      </c>
      <c r="B3081" t="s">
        <v>1439</v>
      </c>
      <c r="C3081">
        <v>0</v>
      </c>
    </row>
    <row r="3082" spans="1:3" ht="15.75" x14ac:dyDescent="0.25">
      <c r="A3082">
        <v>735408</v>
      </c>
      <c r="B3082" t="s">
        <v>1440</v>
      </c>
      <c r="C3082">
        <v>0</v>
      </c>
    </row>
    <row r="3083" spans="1:3" ht="15.75" x14ac:dyDescent="0.25">
      <c r="A3083">
        <v>735409</v>
      </c>
      <c r="B3083" t="s">
        <v>1441</v>
      </c>
      <c r="C3083">
        <v>0</v>
      </c>
    </row>
    <row r="3084" spans="1:3" ht="15.75" x14ac:dyDescent="0.25">
      <c r="A3084">
        <v>735410</v>
      </c>
      <c r="B3084" t="s">
        <v>1442</v>
      </c>
      <c r="C3084">
        <v>0</v>
      </c>
    </row>
    <row r="3085" spans="1:3" ht="15.75" x14ac:dyDescent="0.25">
      <c r="A3085">
        <v>735495</v>
      </c>
      <c r="B3085" t="s">
        <v>1443</v>
      </c>
      <c r="C3085">
        <v>0</v>
      </c>
    </row>
    <row r="3086" spans="1:3" ht="15.75" x14ac:dyDescent="0.25">
      <c r="A3086">
        <v>7355</v>
      </c>
      <c r="B3086" t="s">
        <v>1481</v>
      </c>
      <c r="C3086">
        <f>SUM(C3087:C3097)</f>
        <v>0</v>
      </c>
    </row>
    <row r="3087" spans="1:3" ht="15.75" x14ac:dyDescent="0.25">
      <c r="A3087">
        <v>735501</v>
      </c>
      <c r="B3087" t="s">
        <v>1435</v>
      </c>
      <c r="C3087">
        <v>0</v>
      </c>
    </row>
    <row r="3088" spans="1:3" ht="15.75" x14ac:dyDescent="0.25">
      <c r="A3088">
        <v>735502</v>
      </c>
      <c r="B3088" t="s">
        <v>1436</v>
      </c>
      <c r="C3088">
        <v>0</v>
      </c>
    </row>
    <row r="3089" spans="1:3" ht="15.75" x14ac:dyDescent="0.25">
      <c r="A3089">
        <v>735503</v>
      </c>
      <c r="B3089" t="s">
        <v>567</v>
      </c>
      <c r="C3089">
        <v>0</v>
      </c>
    </row>
    <row r="3090" spans="1:3" ht="15.75" x14ac:dyDescent="0.25">
      <c r="A3090">
        <v>735504</v>
      </c>
      <c r="B3090" t="s">
        <v>1437</v>
      </c>
      <c r="C3090">
        <v>0</v>
      </c>
    </row>
    <row r="3091" spans="1:3" ht="15.75" x14ac:dyDescent="0.25">
      <c r="A3091">
        <v>735505</v>
      </c>
      <c r="B3091" t="s">
        <v>568</v>
      </c>
      <c r="C3091">
        <v>0</v>
      </c>
    </row>
    <row r="3092" spans="1:3" ht="15.75" x14ac:dyDescent="0.25">
      <c r="A3092">
        <v>735506</v>
      </c>
      <c r="B3092" t="s">
        <v>1438</v>
      </c>
      <c r="C3092">
        <v>0</v>
      </c>
    </row>
    <row r="3093" spans="1:3" ht="15.75" x14ac:dyDescent="0.25">
      <c r="A3093">
        <v>735507</v>
      </c>
      <c r="B3093" t="s">
        <v>1439</v>
      </c>
      <c r="C3093">
        <v>0</v>
      </c>
    </row>
    <row r="3094" spans="1:3" ht="15.75" x14ac:dyDescent="0.25">
      <c r="A3094">
        <v>735508</v>
      </c>
      <c r="B3094" t="s">
        <v>1440</v>
      </c>
      <c r="C3094">
        <v>0</v>
      </c>
    </row>
    <row r="3095" spans="1:3" ht="15.75" x14ac:dyDescent="0.25">
      <c r="A3095">
        <v>735509</v>
      </c>
      <c r="B3095" t="s">
        <v>1441</v>
      </c>
      <c r="C3095">
        <v>0</v>
      </c>
    </row>
    <row r="3096" spans="1:3" ht="15.75" x14ac:dyDescent="0.25">
      <c r="A3096">
        <v>735510</v>
      </c>
      <c r="B3096" t="s">
        <v>1442</v>
      </c>
      <c r="C3096">
        <v>0</v>
      </c>
    </row>
    <row r="3097" spans="1:3" ht="15.75" x14ac:dyDescent="0.25">
      <c r="A3097">
        <v>735595</v>
      </c>
      <c r="B3097" t="s">
        <v>1443</v>
      </c>
      <c r="C3097">
        <v>0</v>
      </c>
    </row>
    <row r="3098" spans="1:3" ht="15.75" x14ac:dyDescent="0.25">
      <c r="A3098">
        <v>7356</v>
      </c>
      <c r="B3098" t="s">
        <v>1482</v>
      </c>
      <c r="C3098">
        <f>SUM(C3099:C3109)</f>
        <v>0</v>
      </c>
    </row>
    <row r="3099" spans="1:3" ht="15.75" x14ac:dyDescent="0.25">
      <c r="A3099">
        <v>735601</v>
      </c>
      <c r="B3099" t="s">
        <v>1435</v>
      </c>
      <c r="C3099">
        <v>0</v>
      </c>
    </row>
    <row r="3100" spans="1:3" ht="15.75" x14ac:dyDescent="0.25">
      <c r="A3100">
        <v>735602</v>
      </c>
      <c r="B3100" t="s">
        <v>1436</v>
      </c>
      <c r="C3100">
        <v>0</v>
      </c>
    </row>
    <row r="3101" spans="1:3" ht="15.75" x14ac:dyDescent="0.25">
      <c r="A3101">
        <v>735603</v>
      </c>
      <c r="B3101" t="s">
        <v>567</v>
      </c>
      <c r="C3101">
        <v>0</v>
      </c>
    </row>
    <row r="3102" spans="1:3" ht="15.75" x14ac:dyDescent="0.25">
      <c r="A3102">
        <v>735604</v>
      </c>
      <c r="B3102" t="s">
        <v>1437</v>
      </c>
      <c r="C3102">
        <v>0</v>
      </c>
    </row>
    <row r="3103" spans="1:3" ht="15.75" x14ac:dyDescent="0.25">
      <c r="A3103">
        <v>735605</v>
      </c>
      <c r="B3103" t="s">
        <v>568</v>
      </c>
      <c r="C3103">
        <v>0</v>
      </c>
    </row>
    <row r="3104" spans="1:3" ht="15.75" x14ac:dyDescent="0.25">
      <c r="A3104">
        <v>735606</v>
      </c>
      <c r="B3104" t="s">
        <v>1438</v>
      </c>
      <c r="C3104">
        <v>0</v>
      </c>
    </row>
    <row r="3105" spans="1:3" ht="15.75" x14ac:dyDescent="0.25">
      <c r="A3105">
        <v>735607</v>
      </c>
      <c r="B3105" t="s">
        <v>1439</v>
      </c>
      <c r="C3105">
        <v>0</v>
      </c>
    </row>
    <row r="3106" spans="1:3" ht="15.75" x14ac:dyDescent="0.25">
      <c r="A3106">
        <v>735608</v>
      </c>
      <c r="B3106" t="s">
        <v>1440</v>
      </c>
      <c r="C3106">
        <v>0</v>
      </c>
    </row>
    <row r="3107" spans="1:3" ht="15.75" x14ac:dyDescent="0.25">
      <c r="A3107">
        <v>735609</v>
      </c>
      <c r="B3107" t="s">
        <v>1441</v>
      </c>
      <c r="C3107">
        <v>0</v>
      </c>
    </row>
    <row r="3108" spans="1:3" ht="15.75" x14ac:dyDescent="0.25">
      <c r="A3108">
        <v>735610</v>
      </c>
      <c r="B3108" t="s">
        <v>1442</v>
      </c>
      <c r="C3108">
        <v>0</v>
      </c>
    </row>
    <row r="3109" spans="1:3" ht="15.75" x14ac:dyDescent="0.25">
      <c r="A3109">
        <v>735695</v>
      </c>
      <c r="B3109" t="s">
        <v>1443</v>
      </c>
      <c r="C3109">
        <v>0</v>
      </c>
    </row>
    <row r="3110" spans="1:3" ht="15.75" x14ac:dyDescent="0.25">
      <c r="A3110">
        <v>7380</v>
      </c>
      <c r="B3110" t="s">
        <v>1483</v>
      </c>
      <c r="C3110">
        <f>SUM(C3111:C3121)</f>
        <v>0</v>
      </c>
    </row>
    <row r="3111" spans="1:3" ht="15.75" x14ac:dyDescent="0.25">
      <c r="A3111">
        <v>738001</v>
      </c>
      <c r="B3111" t="s">
        <v>1435</v>
      </c>
      <c r="C3111">
        <v>0</v>
      </c>
    </row>
    <row r="3112" spans="1:3" ht="15.75" x14ac:dyDescent="0.25">
      <c r="A3112">
        <v>738002</v>
      </c>
      <c r="B3112" t="s">
        <v>1436</v>
      </c>
      <c r="C3112">
        <v>0</v>
      </c>
    </row>
    <row r="3113" spans="1:3" ht="15.75" x14ac:dyDescent="0.25">
      <c r="A3113">
        <v>738003</v>
      </c>
      <c r="B3113" t="s">
        <v>567</v>
      </c>
      <c r="C3113">
        <v>0</v>
      </c>
    </row>
    <row r="3114" spans="1:3" ht="15.75" x14ac:dyDescent="0.25">
      <c r="A3114">
        <v>738004</v>
      </c>
      <c r="B3114" t="s">
        <v>1437</v>
      </c>
      <c r="C3114">
        <v>0</v>
      </c>
    </row>
    <row r="3115" spans="1:3" ht="15.75" x14ac:dyDescent="0.25">
      <c r="A3115">
        <v>738005</v>
      </c>
      <c r="B3115" t="s">
        <v>568</v>
      </c>
      <c r="C3115">
        <v>0</v>
      </c>
    </row>
    <row r="3116" spans="1:3" ht="15.75" x14ac:dyDescent="0.25">
      <c r="A3116">
        <v>738006</v>
      </c>
      <c r="B3116" t="s">
        <v>1438</v>
      </c>
      <c r="C3116">
        <v>0</v>
      </c>
    </row>
    <row r="3117" spans="1:3" ht="15.75" x14ac:dyDescent="0.25">
      <c r="A3117">
        <v>738007</v>
      </c>
      <c r="B3117" t="s">
        <v>1439</v>
      </c>
      <c r="C3117">
        <v>0</v>
      </c>
    </row>
    <row r="3118" spans="1:3" ht="15.75" x14ac:dyDescent="0.25">
      <c r="A3118">
        <v>738008</v>
      </c>
      <c r="B3118" t="s">
        <v>1440</v>
      </c>
      <c r="C3118">
        <v>0</v>
      </c>
    </row>
    <row r="3119" spans="1:3" ht="15.75" x14ac:dyDescent="0.25">
      <c r="A3119">
        <v>738009</v>
      </c>
      <c r="B3119" t="s">
        <v>1441</v>
      </c>
      <c r="C3119">
        <v>0</v>
      </c>
    </row>
    <row r="3120" spans="1:3" ht="15.75" x14ac:dyDescent="0.25">
      <c r="A3120">
        <v>738010</v>
      </c>
      <c r="B3120" t="s">
        <v>1442</v>
      </c>
      <c r="C3120">
        <v>0</v>
      </c>
    </row>
    <row r="3121" spans="1:3" ht="15.75" x14ac:dyDescent="0.25">
      <c r="A3121">
        <v>738095</v>
      </c>
      <c r="B3121" t="s">
        <v>1443</v>
      </c>
      <c r="C3121">
        <v>0</v>
      </c>
    </row>
    <row r="3122" spans="1:3" ht="15.75" x14ac:dyDescent="0.25">
      <c r="A3122">
        <v>7381</v>
      </c>
      <c r="B3122" t="s">
        <v>1484</v>
      </c>
      <c r="C3122">
        <f>SUM(C3123:C3133)</f>
        <v>0</v>
      </c>
    </row>
    <row r="3123" spans="1:3" ht="15.75" x14ac:dyDescent="0.25">
      <c r="A3123">
        <v>738101</v>
      </c>
      <c r="B3123" t="s">
        <v>1435</v>
      </c>
      <c r="C3123">
        <v>0</v>
      </c>
    </row>
    <row r="3124" spans="1:3" ht="15.75" x14ac:dyDescent="0.25">
      <c r="A3124">
        <v>738102</v>
      </c>
      <c r="B3124" t="s">
        <v>1436</v>
      </c>
      <c r="C3124">
        <v>0</v>
      </c>
    </row>
    <row r="3125" spans="1:3" ht="15.75" x14ac:dyDescent="0.25">
      <c r="A3125">
        <v>738103</v>
      </c>
      <c r="B3125" t="s">
        <v>567</v>
      </c>
      <c r="C3125">
        <v>0</v>
      </c>
    </row>
    <row r="3126" spans="1:3" ht="15.75" x14ac:dyDescent="0.25">
      <c r="A3126">
        <v>738104</v>
      </c>
      <c r="B3126" t="s">
        <v>1437</v>
      </c>
      <c r="C3126">
        <v>0</v>
      </c>
    </row>
    <row r="3127" spans="1:3" ht="15.75" x14ac:dyDescent="0.25">
      <c r="A3127">
        <v>738105</v>
      </c>
      <c r="B3127" t="s">
        <v>568</v>
      </c>
      <c r="C3127">
        <v>0</v>
      </c>
    </row>
    <row r="3128" spans="1:3" ht="15.75" x14ac:dyDescent="0.25">
      <c r="A3128">
        <v>738106</v>
      </c>
      <c r="B3128" t="s">
        <v>1438</v>
      </c>
      <c r="C3128">
        <v>0</v>
      </c>
    </row>
    <row r="3129" spans="1:3" ht="15.75" x14ac:dyDescent="0.25">
      <c r="A3129">
        <v>738107</v>
      </c>
      <c r="B3129" t="s">
        <v>1439</v>
      </c>
      <c r="C3129">
        <v>0</v>
      </c>
    </row>
    <row r="3130" spans="1:3" ht="15.75" x14ac:dyDescent="0.25">
      <c r="A3130">
        <v>738108</v>
      </c>
      <c r="B3130" t="s">
        <v>1440</v>
      </c>
      <c r="C3130">
        <v>0</v>
      </c>
    </row>
    <row r="3131" spans="1:3" ht="15.75" x14ac:dyDescent="0.25">
      <c r="A3131">
        <v>738109</v>
      </c>
      <c r="B3131" t="s">
        <v>1441</v>
      </c>
      <c r="C3131">
        <v>0</v>
      </c>
    </row>
    <row r="3132" spans="1:3" ht="15.75" x14ac:dyDescent="0.25">
      <c r="A3132">
        <v>738110</v>
      </c>
      <c r="B3132" t="s">
        <v>1442</v>
      </c>
      <c r="C3132">
        <v>0</v>
      </c>
    </row>
    <row r="3133" spans="1:3" ht="15.75" x14ac:dyDescent="0.25">
      <c r="A3133">
        <v>738195</v>
      </c>
      <c r="B3133" t="s">
        <v>1443</v>
      </c>
      <c r="C3133">
        <v>0</v>
      </c>
    </row>
    <row r="3134" spans="1:3" ht="15.75" x14ac:dyDescent="0.25">
      <c r="A3134">
        <v>7382</v>
      </c>
      <c r="B3134" t="s">
        <v>1485</v>
      </c>
      <c r="C3134">
        <f>SUM(C3135:C3145)</f>
        <v>0</v>
      </c>
    </row>
    <row r="3135" spans="1:3" ht="15.75" x14ac:dyDescent="0.25">
      <c r="A3135">
        <v>738201</v>
      </c>
      <c r="B3135" t="s">
        <v>1435</v>
      </c>
      <c r="C3135">
        <v>0</v>
      </c>
    </row>
    <row r="3136" spans="1:3" ht="15.75" x14ac:dyDescent="0.25">
      <c r="A3136">
        <v>738202</v>
      </c>
      <c r="B3136" t="s">
        <v>1436</v>
      </c>
      <c r="C3136">
        <v>0</v>
      </c>
    </row>
    <row r="3137" spans="1:3" ht="15.75" x14ac:dyDescent="0.25">
      <c r="A3137">
        <v>738203</v>
      </c>
      <c r="B3137" t="s">
        <v>567</v>
      </c>
      <c r="C3137">
        <v>0</v>
      </c>
    </row>
    <row r="3138" spans="1:3" ht="15.75" x14ac:dyDescent="0.25">
      <c r="A3138">
        <v>738204</v>
      </c>
      <c r="B3138" t="s">
        <v>1437</v>
      </c>
      <c r="C3138">
        <v>0</v>
      </c>
    </row>
    <row r="3139" spans="1:3" ht="15.75" x14ac:dyDescent="0.25">
      <c r="A3139">
        <v>738205</v>
      </c>
      <c r="B3139" t="s">
        <v>568</v>
      </c>
      <c r="C3139">
        <v>0</v>
      </c>
    </row>
    <row r="3140" spans="1:3" ht="15.75" x14ac:dyDescent="0.25">
      <c r="A3140">
        <v>738206</v>
      </c>
      <c r="B3140" t="s">
        <v>1438</v>
      </c>
      <c r="C3140">
        <v>0</v>
      </c>
    </row>
    <row r="3141" spans="1:3" ht="15.75" x14ac:dyDescent="0.25">
      <c r="A3141">
        <v>738207</v>
      </c>
      <c r="B3141" t="s">
        <v>1439</v>
      </c>
      <c r="C3141">
        <v>0</v>
      </c>
    </row>
    <row r="3142" spans="1:3" ht="15.75" x14ac:dyDescent="0.25">
      <c r="A3142">
        <v>738208</v>
      </c>
      <c r="B3142" t="s">
        <v>1440</v>
      </c>
      <c r="C3142">
        <v>0</v>
      </c>
    </row>
    <row r="3143" spans="1:3" ht="15.75" x14ac:dyDescent="0.25">
      <c r="A3143">
        <v>738209</v>
      </c>
      <c r="B3143" t="s">
        <v>1441</v>
      </c>
      <c r="C3143">
        <v>0</v>
      </c>
    </row>
    <row r="3144" spans="1:3" ht="15.75" x14ac:dyDescent="0.25">
      <c r="A3144">
        <v>738210</v>
      </c>
      <c r="B3144" t="s">
        <v>1442</v>
      </c>
      <c r="C3144">
        <v>0</v>
      </c>
    </row>
    <row r="3145" spans="1:3" ht="15.75" x14ac:dyDescent="0.25">
      <c r="A3145">
        <v>738295</v>
      </c>
      <c r="B3145" t="s">
        <v>1443</v>
      </c>
      <c r="C3145">
        <v>0</v>
      </c>
    </row>
    <row r="3146" spans="1:3" ht="15.75" x14ac:dyDescent="0.25">
      <c r="A3146">
        <v>7383</v>
      </c>
      <c r="B3146" t="s">
        <v>1486</v>
      </c>
      <c r="C3146">
        <f>SUM(C3147:C3157)</f>
        <v>0</v>
      </c>
    </row>
    <row r="3147" spans="1:3" ht="15.75" x14ac:dyDescent="0.25">
      <c r="A3147">
        <v>738301</v>
      </c>
      <c r="B3147" t="s">
        <v>1435</v>
      </c>
      <c r="C3147">
        <v>0</v>
      </c>
    </row>
    <row r="3148" spans="1:3" ht="15.75" x14ac:dyDescent="0.25">
      <c r="A3148">
        <v>738302</v>
      </c>
      <c r="B3148" t="s">
        <v>1436</v>
      </c>
      <c r="C3148">
        <v>0</v>
      </c>
    </row>
    <row r="3149" spans="1:3" ht="15.75" x14ac:dyDescent="0.25">
      <c r="A3149">
        <v>738303</v>
      </c>
      <c r="B3149" t="s">
        <v>567</v>
      </c>
      <c r="C3149">
        <v>0</v>
      </c>
    </row>
    <row r="3150" spans="1:3" ht="15.75" x14ac:dyDescent="0.25">
      <c r="A3150">
        <v>738304</v>
      </c>
      <c r="B3150" t="s">
        <v>1437</v>
      </c>
      <c r="C3150">
        <v>0</v>
      </c>
    </row>
    <row r="3151" spans="1:3" ht="15.75" x14ac:dyDescent="0.25">
      <c r="A3151">
        <v>738305</v>
      </c>
      <c r="B3151" t="s">
        <v>568</v>
      </c>
      <c r="C3151">
        <v>0</v>
      </c>
    </row>
    <row r="3152" spans="1:3" ht="15.75" x14ac:dyDescent="0.25">
      <c r="A3152">
        <v>738306</v>
      </c>
      <c r="B3152" t="s">
        <v>1438</v>
      </c>
      <c r="C3152">
        <v>0</v>
      </c>
    </row>
    <row r="3153" spans="1:3" ht="15.75" x14ac:dyDescent="0.25">
      <c r="A3153">
        <v>738307</v>
      </c>
      <c r="B3153" t="s">
        <v>1439</v>
      </c>
      <c r="C3153">
        <v>0</v>
      </c>
    </row>
    <row r="3154" spans="1:3" ht="15.75" x14ac:dyDescent="0.25">
      <c r="A3154">
        <v>738308</v>
      </c>
      <c r="B3154" t="s">
        <v>1440</v>
      </c>
      <c r="C3154">
        <v>0</v>
      </c>
    </row>
    <row r="3155" spans="1:3" ht="15.75" x14ac:dyDescent="0.25">
      <c r="A3155">
        <v>738309</v>
      </c>
      <c r="B3155" t="s">
        <v>1441</v>
      </c>
      <c r="C3155">
        <v>0</v>
      </c>
    </row>
    <row r="3156" spans="1:3" ht="15.75" x14ac:dyDescent="0.25">
      <c r="A3156">
        <v>738310</v>
      </c>
      <c r="B3156" t="s">
        <v>1442</v>
      </c>
      <c r="C3156">
        <v>0</v>
      </c>
    </row>
    <row r="3157" spans="1:3" ht="15.75" x14ac:dyDescent="0.25">
      <c r="A3157">
        <v>738395</v>
      </c>
      <c r="B3157" t="s">
        <v>1443</v>
      </c>
      <c r="C3157">
        <v>0</v>
      </c>
    </row>
    <row r="3158" spans="1:3" ht="15.75" x14ac:dyDescent="0.25">
      <c r="A3158">
        <v>7384</v>
      </c>
      <c r="B3158" t="s">
        <v>1487</v>
      </c>
      <c r="C3158">
        <f>SUM(C3159:C3169)</f>
        <v>0</v>
      </c>
    </row>
    <row r="3159" spans="1:3" ht="15.75" x14ac:dyDescent="0.25">
      <c r="A3159">
        <v>738401</v>
      </c>
      <c r="B3159" t="s">
        <v>1435</v>
      </c>
      <c r="C3159">
        <v>0</v>
      </c>
    </row>
    <row r="3160" spans="1:3" ht="15.75" x14ac:dyDescent="0.25">
      <c r="A3160">
        <v>738402</v>
      </c>
      <c r="B3160" t="s">
        <v>1436</v>
      </c>
      <c r="C3160">
        <v>0</v>
      </c>
    </row>
    <row r="3161" spans="1:3" ht="15.75" x14ac:dyDescent="0.25">
      <c r="A3161">
        <v>738403</v>
      </c>
      <c r="B3161" t="s">
        <v>567</v>
      </c>
      <c r="C3161">
        <v>0</v>
      </c>
    </row>
    <row r="3162" spans="1:3" ht="15.75" x14ac:dyDescent="0.25">
      <c r="A3162">
        <v>738404</v>
      </c>
      <c r="B3162" t="s">
        <v>1437</v>
      </c>
      <c r="C3162">
        <v>0</v>
      </c>
    </row>
    <row r="3163" spans="1:3" ht="15.75" x14ac:dyDescent="0.25">
      <c r="A3163">
        <v>738405</v>
      </c>
      <c r="B3163" t="s">
        <v>568</v>
      </c>
      <c r="C3163">
        <v>0</v>
      </c>
    </row>
    <row r="3164" spans="1:3" ht="15.75" x14ac:dyDescent="0.25">
      <c r="A3164">
        <v>738406</v>
      </c>
      <c r="B3164" t="s">
        <v>1438</v>
      </c>
      <c r="C3164">
        <v>0</v>
      </c>
    </row>
    <row r="3165" spans="1:3" ht="15.75" x14ac:dyDescent="0.25">
      <c r="A3165">
        <v>738407</v>
      </c>
      <c r="B3165" t="s">
        <v>1439</v>
      </c>
      <c r="C3165">
        <v>0</v>
      </c>
    </row>
    <row r="3166" spans="1:3" ht="15.75" x14ac:dyDescent="0.25">
      <c r="A3166">
        <v>738408</v>
      </c>
      <c r="B3166" t="s">
        <v>1440</v>
      </c>
      <c r="C3166">
        <v>0</v>
      </c>
    </row>
    <row r="3167" spans="1:3" ht="15.75" x14ac:dyDescent="0.25">
      <c r="A3167">
        <v>738409</v>
      </c>
      <c r="B3167" t="s">
        <v>1441</v>
      </c>
      <c r="C3167">
        <v>0</v>
      </c>
    </row>
    <row r="3168" spans="1:3" ht="15.75" x14ac:dyDescent="0.25">
      <c r="A3168">
        <v>738410</v>
      </c>
      <c r="B3168" t="s">
        <v>1442</v>
      </c>
      <c r="C3168">
        <v>0</v>
      </c>
    </row>
    <row r="3169" spans="1:3" ht="15.75" x14ac:dyDescent="0.25">
      <c r="A3169">
        <v>738495</v>
      </c>
      <c r="B3169" t="s">
        <v>1443</v>
      </c>
      <c r="C3169">
        <v>0</v>
      </c>
    </row>
    <row r="3170" spans="1:3" ht="15.75" x14ac:dyDescent="0.25">
      <c r="A3170">
        <v>7385</v>
      </c>
      <c r="B3170" t="s">
        <v>1488</v>
      </c>
      <c r="C3170">
        <f>SUM(C3171:C3181)</f>
        <v>0</v>
      </c>
    </row>
    <row r="3171" spans="1:3" ht="15.75" x14ac:dyDescent="0.25">
      <c r="A3171">
        <v>738501</v>
      </c>
      <c r="B3171" t="s">
        <v>1435</v>
      </c>
      <c r="C3171">
        <v>0</v>
      </c>
    </row>
    <row r="3172" spans="1:3" ht="15.75" x14ac:dyDescent="0.25">
      <c r="A3172">
        <v>738502</v>
      </c>
      <c r="B3172" t="s">
        <v>1436</v>
      </c>
      <c r="C3172">
        <v>0</v>
      </c>
    </row>
    <row r="3173" spans="1:3" ht="15.75" x14ac:dyDescent="0.25">
      <c r="A3173">
        <v>738503</v>
      </c>
      <c r="B3173" t="s">
        <v>567</v>
      </c>
      <c r="C3173">
        <v>0</v>
      </c>
    </row>
    <row r="3174" spans="1:3" ht="15.75" x14ac:dyDescent="0.25">
      <c r="A3174">
        <v>738504</v>
      </c>
      <c r="B3174" t="s">
        <v>1437</v>
      </c>
      <c r="C3174">
        <v>0</v>
      </c>
    </row>
    <row r="3175" spans="1:3" ht="15.75" x14ac:dyDescent="0.25">
      <c r="A3175">
        <v>738505</v>
      </c>
      <c r="B3175" t="s">
        <v>568</v>
      </c>
      <c r="C3175">
        <v>0</v>
      </c>
    </row>
    <row r="3176" spans="1:3" ht="15.75" x14ac:dyDescent="0.25">
      <c r="A3176">
        <v>738506</v>
      </c>
      <c r="B3176" t="s">
        <v>1438</v>
      </c>
      <c r="C3176">
        <v>0</v>
      </c>
    </row>
    <row r="3177" spans="1:3" ht="15.75" x14ac:dyDescent="0.25">
      <c r="A3177">
        <v>738507</v>
      </c>
      <c r="B3177" t="s">
        <v>1439</v>
      </c>
      <c r="C3177">
        <v>0</v>
      </c>
    </row>
    <row r="3178" spans="1:3" ht="15.75" x14ac:dyDescent="0.25">
      <c r="A3178">
        <v>738508</v>
      </c>
      <c r="B3178" t="s">
        <v>1440</v>
      </c>
      <c r="C3178">
        <v>0</v>
      </c>
    </row>
    <row r="3179" spans="1:3" ht="15.75" x14ac:dyDescent="0.25">
      <c r="A3179">
        <v>738509</v>
      </c>
      <c r="B3179" t="s">
        <v>1441</v>
      </c>
      <c r="C3179">
        <v>0</v>
      </c>
    </row>
    <row r="3180" spans="1:3" ht="15.75" x14ac:dyDescent="0.25">
      <c r="A3180">
        <v>738510</v>
      </c>
      <c r="B3180" t="s">
        <v>1442</v>
      </c>
      <c r="C3180">
        <v>0</v>
      </c>
    </row>
    <row r="3181" spans="1:3" ht="15.75" x14ac:dyDescent="0.25">
      <c r="A3181">
        <v>738595</v>
      </c>
      <c r="B3181" t="s">
        <v>1443</v>
      </c>
      <c r="C3181">
        <v>0</v>
      </c>
    </row>
    <row r="3182" spans="1:3" ht="15.75" x14ac:dyDescent="0.25">
      <c r="A3182">
        <v>7386</v>
      </c>
      <c r="B3182" t="s">
        <v>1489</v>
      </c>
      <c r="C3182">
        <f>SUM(C3183:C3193)</f>
        <v>0</v>
      </c>
    </row>
    <row r="3183" spans="1:3" ht="15.75" x14ac:dyDescent="0.25">
      <c r="A3183">
        <v>738601</v>
      </c>
      <c r="B3183" t="s">
        <v>1435</v>
      </c>
      <c r="C3183">
        <v>0</v>
      </c>
    </row>
    <row r="3184" spans="1:3" ht="15.75" x14ac:dyDescent="0.25">
      <c r="A3184">
        <v>738602</v>
      </c>
      <c r="B3184" t="s">
        <v>1436</v>
      </c>
      <c r="C3184">
        <v>0</v>
      </c>
    </row>
    <row r="3185" spans="1:3" ht="15.75" x14ac:dyDescent="0.25">
      <c r="A3185">
        <v>738603</v>
      </c>
      <c r="B3185" t="s">
        <v>567</v>
      </c>
      <c r="C3185">
        <v>0</v>
      </c>
    </row>
    <row r="3186" spans="1:3" ht="15.75" x14ac:dyDescent="0.25">
      <c r="A3186">
        <v>738604</v>
      </c>
      <c r="B3186" t="s">
        <v>1437</v>
      </c>
      <c r="C3186">
        <v>0</v>
      </c>
    </row>
    <row r="3187" spans="1:3" ht="15.75" x14ac:dyDescent="0.25">
      <c r="A3187">
        <v>738605</v>
      </c>
      <c r="B3187" t="s">
        <v>568</v>
      </c>
      <c r="C3187">
        <v>0</v>
      </c>
    </row>
    <row r="3188" spans="1:3" ht="15.75" x14ac:dyDescent="0.25">
      <c r="A3188">
        <v>738606</v>
      </c>
      <c r="B3188" t="s">
        <v>1438</v>
      </c>
      <c r="C3188">
        <v>0</v>
      </c>
    </row>
    <row r="3189" spans="1:3" ht="15.75" x14ac:dyDescent="0.25">
      <c r="A3189">
        <v>738607</v>
      </c>
      <c r="B3189" t="s">
        <v>1439</v>
      </c>
      <c r="C3189">
        <v>0</v>
      </c>
    </row>
    <row r="3190" spans="1:3" ht="15.75" x14ac:dyDescent="0.25">
      <c r="A3190">
        <v>738608</v>
      </c>
      <c r="B3190" t="s">
        <v>1440</v>
      </c>
      <c r="C3190">
        <v>0</v>
      </c>
    </row>
    <row r="3191" spans="1:3" ht="15.75" x14ac:dyDescent="0.25">
      <c r="A3191">
        <v>738609</v>
      </c>
      <c r="B3191" t="s">
        <v>1441</v>
      </c>
      <c r="C3191">
        <v>0</v>
      </c>
    </row>
    <row r="3192" spans="1:3" ht="15.75" x14ac:dyDescent="0.25">
      <c r="A3192">
        <v>738610</v>
      </c>
      <c r="B3192" t="s">
        <v>1442</v>
      </c>
      <c r="C3192">
        <v>0</v>
      </c>
    </row>
    <row r="3193" spans="1:3" ht="15.75" x14ac:dyDescent="0.25">
      <c r="A3193">
        <v>738695</v>
      </c>
      <c r="B3193" t="s">
        <v>1443</v>
      </c>
      <c r="C3193">
        <v>0</v>
      </c>
    </row>
    <row r="3194" spans="1:3" ht="15.75" x14ac:dyDescent="0.25">
      <c r="A3194">
        <v>7387</v>
      </c>
      <c r="B3194" t="s">
        <v>1490</v>
      </c>
      <c r="C3194">
        <f>SUM(C3195:C3205)</f>
        <v>0</v>
      </c>
    </row>
    <row r="3195" spans="1:3" ht="15.75" x14ac:dyDescent="0.25">
      <c r="A3195">
        <v>738701</v>
      </c>
      <c r="B3195" t="s">
        <v>1435</v>
      </c>
      <c r="C3195">
        <v>0</v>
      </c>
    </row>
    <row r="3196" spans="1:3" ht="15.75" x14ac:dyDescent="0.25">
      <c r="A3196">
        <v>738702</v>
      </c>
      <c r="B3196" t="s">
        <v>1436</v>
      </c>
      <c r="C3196">
        <v>0</v>
      </c>
    </row>
    <row r="3197" spans="1:3" ht="15.75" x14ac:dyDescent="0.25">
      <c r="A3197">
        <v>738703</v>
      </c>
      <c r="B3197" t="s">
        <v>567</v>
      </c>
      <c r="C3197">
        <v>0</v>
      </c>
    </row>
    <row r="3198" spans="1:3" ht="15.75" x14ac:dyDescent="0.25">
      <c r="A3198">
        <v>738704</v>
      </c>
      <c r="B3198" t="s">
        <v>1437</v>
      </c>
      <c r="C3198">
        <v>0</v>
      </c>
    </row>
    <row r="3199" spans="1:3" ht="15.75" x14ac:dyDescent="0.25">
      <c r="A3199">
        <v>738705</v>
      </c>
      <c r="B3199" t="s">
        <v>568</v>
      </c>
      <c r="C3199">
        <v>0</v>
      </c>
    </row>
    <row r="3200" spans="1:3" ht="15.75" x14ac:dyDescent="0.25">
      <c r="A3200">
        <v>738706</v>
      </c>
      <c r="B3200" t="s">
        <v>1438</v>
      </c>
      <c r="C3200">
        <v>0</v>
      </c>
    </row>
    <row r="3201" spans="1:3" ht="15.75" x14ac:dyDescent="0.25">
      <c r="A3201">
        <v>738707</v>
      </c>
      <c r="B3201" t="s">
        <v>1439</v>
      </c>
      <c r="C3201">
        <v>0</v>
      </c>
    </row>
    <row r="3202" spans="1:3" ht="15.75" x14ac:dyDescent="0.25">
      <c r="A3202">
        <v>738708</v>
      </c>
      <c r="B3202" t="s">
        <v>1440</v>
      </c>
      <c r="C3202">
        <v>0</v>
      </c>
    </row>
    <row r="3203" spans="1:3" ht="15.75" x14ac:dyDescent="0.25">
      <c r="A3203">
        <v>738709</v>
      </c>
      <c r="B3203" t="s">
        <v>1441</v>
      </c>
      <c r="C3203">
        <v>0</v>
      </c>
    </row>
    <row r="3204" spans="1:3" ht="15.75" x14ac:dyDescent="0.25">
      <c r="A3204">
        <v>738710</v>
      </c>
      <c r="B3204" t="s">
        <v>1442</v>
      </c>
      <c r="C3204">
        <v>0</v>
      </c>
    </row>
    <row r="3205" spans="1:3" ht="15.75" x14ac:dyDescent="0.25">
      <c r="A3205">
        <v>738795</v>
      </c>
      <c r="B3205" t="s">
        <v>1443</v>
      </c>
      <c r="C3205">
        <v>0</v>
      </c>
    </row>
    <row r="3206" spans="1:3" ht="15.75" x14ac:dyDescent="0.25">
      <c r="A3206">
        <v>74</v>
      </c>
      <c r="B3206" t="s">
        <v>1103</v>
      </c>
      <c r="C3206">
        <f>SUM(C3207,C3219,C3231,C3243,C3255)</f>
        <v>0</v>
      </c>
    </row>
    <row r="3207" spans="1:3" ht="15.75" x14ac:dyDescent="0.25">
      <c r="A3207">
        <v>7401</v>
      </c>
      <c r="B3207" t="s">
        <v>1491</v>
      </c>
      <c r="C3207">
        <f>SUM(C3208:C3218)</f>
        <v>0</v>
      </c>
    </row>
    <row r="3208" spans="1:3" ht="15.75" x14ac:dyDescent="0.25">
      <c r="A3208">
        <v>740101</v>
      </c>
      <c r="B3208" t="s">
        <v>1435</v>
      </c>
      <c r="C3208">
        <v>0</v>
      </c>
    </row>
    <row r="3209" spans="1:3" ht="15.75" x14ac:dyDescent="0.25">
      <c r="A3209">
        <v>740102</v>
      </c>
      <c r="B3209" t="s">
        <v>1436</v>
      </c>
      <c r="C3209">
        <v>0</v>
      </c>
    </row>
    <row r="3210" spans="1:3" ht="15.75" x14ac:dyDescent="0.25">
      <c r="A3210">
        <v>740103</v>
      </c>
      <c r="B3210" t="s">
        <v>567</v>
      </c>
      <c r="C3210">
        <v>0</v>
      </c>
    </row>
    <row r="3211" spans="1:3" ht="15.75" x14ac:dyDescent="0.25">
      <c r="A3211">
        <v>740104</v>
      </c>
      <c r="B3211" t="s">
        <v>1437</v>
      </c>
      <c r="C3211">
        <v>0</v>
      </c>
    </row>
    <row r="3212" spans="1:3" ht="15.75" x14ac:dyDescent="0.25">
      <c r="A3212">
        <v>740105</v>
      </c>
      <c r="B3212" t="s">
        <v>568</v>
      </c>
      <c r="C3212">
        <v>0</v>
      </c>
    </row>
    <row r="3213" spans="1:3" ht="15.75" x14ac:dyDescent="0.25">
      <c r="A3213">
        <v>740106</v>
      </c>
      <c r="B3213" t="s">
        <v>1438</v>
      </c>
      <c r="C3213">
        <v>0</v>
      </c>
    </row>
    <row r="3214" spans="1:3" ht="15.75" x14ac:dyDescent="0.25">
      <c r="A3214">
        <v>740107</v>
      </c>
      <c r="B3214" t="s">
        <v>1439</v>
      </c>
      <c r="C3214">
        <v>0</v>
      </c>
    </row>
    <row r="3215" spans="1:3" ht="15.75" x14ac:dyDescent="0.25">
      <c r="A3215">
        <v>740108</v>
      </c>
      <c r="B3215" t="s">
        <v>1440</v>
      </c>
      <c r="C3215">
        <v>0</v>
      </c>
    </row>
    <row r="3216" spans="1:3" ht="15.75" x14ac:dyDescent="0.25">
      <c r="A3216">
        <v>740109</v>
      </c>
      <c r="B3216" t="s">
        <v>1441</v>
      </c>
      <c r="C3216">
        <v>0</v>
      </c>
    </row>
    <row r="3217" spans="1:3" ht="15.75" x14ac:dyDescent="0.25">
      <c r="A3217">
        <v>740110</v>
      </c>
      <c r="B3217" t="s">
        <v>1442</v>
      </c>
      <c r="C3217">
        <v>0</v>
      </c>
    </row>
    <row r="3218" spans="1:3" ht="15.75" x14ac:dyDescent="0.25">
      <c r="A3218">
        <v>740195</v>
      </c>
      <c r="B3218" t="s">
        <v>1443</v>
      </c>
      <c r="C3218">
        <v>0</v>
      </c>
    </row>
    <row r="3219" spans="1:3" ht="15.75" x14ac:dyDescent="0.25">
      <c r="A3219">
        <v>7402</v>
      </c>
      <c r="B3219" t="s">
        <v>1492</v>
      </c>
      <c r="C3219">
        <f>SUM(C3220:C3230)</f>
        <v>0</v>
      </c>
    </row>
    <row r="3220" spans="1:3" ht="15.75" x14ac:dyDescent="0.25">
      <c r="A3220">
        <v>740201</v>
      </c>
      <c r="B3220" t="s">
        <v>1435</v>
      </c>
      <c r="C3220">
        <v>0</v>
      </c>
    </row>
    <row r="3221" spans="1:3" ht="15.75" x14ac:dyDescent="0.25">
      <c r="A3221">
        <v>740202</v>
      </c>
      <c r="B3221" t="s">
        <v>1436</v>
      </c>
      <c r="C3221">
        <v>0</v>
      </c>
    </row>
    <row r="3222" spans="1:3" ht="15.75" x14ac:dyDescent="0.25">
      <c r="A3222">
        <v>740203</v>
      </c>
      <c r="B3222" t="s">
        <v>567</v>
      </c>
      <c r="C3222">
        <v>0</v>
      </c>
    </row>
    <row r="3223" spans="1:3" ht="15.75" x14ac:dyDescent="0.25">
      <c r="A3223">
        <v>740204</v>
      </c>
      <c r="B3223" t="s">
        <v>1437</v>
      </c>
      <c r="C3223">
        <v>0</v>
      </c>
    </row>
    <row r="3224" spans="1:3" ht="15.75" x14ac:dyDescent="0.25">
      <c r="A3224">
        <v>740205</v>
      </c>
      <c r="B3224" t="s">
        <v>568</v>
      </c>
      <c r="C3224">
        <v>0</v>
      </c>
    </row>
    <row r="3225" spans="1:3" ht="15.75" x14ac:dyDescent="0.25">
      <c r="A3225">
        <v>740206</v>
      </c>
      <c r="B3225" t="s">
        <v>1438</v>
      </c>
      <c r="C3225">
        <v>0</v>
      </c>
    </row>
    <row r="3226" spans="1:3" ht="15.75" x14ac:dyDescent="0.25">
      <c r="A3226">
        <v>740207</v>
      </c>
      <c r="B3226" t="s">
        <v>1439</v>
      </c>
      <c r="C3226">
        <v>0</v>
      </c>
    </row>
    <row r="3227" spans="1:3" ht="15.75" x14ac:dyDescent="0.25">
      <c r="A3227">
        <v>740208</v>
      </c>
      <c r="B3227" t="s">
        <v>1440</v>
      </c>
      <c r="C3227">
        <v>0</v>
      </c>
    </row>
    <row r="3228" spans="1:3" ht="15.75" x14ac:dyDescent="0.25">
      <c r="A3228">
        <v>740209</v>
      </c>
      <c r="B3228" t="s">
        <v>1441</v>
      </c>
      <c r="C3228">
        <v>0</v>
      </c>
    </row>
    <row r="3229" spans="1:3" ht="15.75" x14ac:dyDescent="0.25">
      <c r="A3229">
        <v>740210</v>
      </c>
      <c r="B3229" t="s">
        <v>1442</v>
      </c>
      <c r="C3229">
        <v>0</v>
      </c>
    </row>
    <row r="3230" spans="1:3" ht="15.75" x14ac:dyDescent="0.25">
      <c r="A3230">
        <v>740295</v>
      </c>
      <c r="B3230" t="s">
        <v>1443</v>
      </c>
      <c r="C3230">
        <v>0</v>
      </c>
    </row>
    <row r="3231" spans="1:3" ht="15.75" x14ac:dyDescent="0.25">
      <c r="A3231">
        <v>7403</v>
      </c>
      <c r="B3231" t="s">
        <v>1493</v>
      </c>
      <c r="C3231">
        <f>SUM(C3232:C3242)</f>
        <v>0</v>
      </c>
    </row>
    <row r="3232" spans="1:3" ht="15.75" x14ac:dyDescent="0.25">
      <c r="A3232">
        <v>740301</v>
      </c>
      <c r="B3232" t="s">
        <v>1435</v>
      </c>
      <c r="C3232">
        <v>0</v>
      </c>
    </row>
    <row r="3233" spans="1:3" ht="15.75" x14ac:dyDescent="0.25">
      <c r="A3233">
        <v>740302</v>
      </c>
      <c r="B3233" t="s">
        <v>1436</v>
      </c>
      <c r="C3233">
        <v>0</v>
      </c>
    </row>
    <row r="3234" spans="1:3" ht="15.75" x14ac:dyDescent="0.25">
      <c r="A3234">
        <v>740303</v>
      </c>
      <c r="B3234" t="s">
        <v>567</v>
      </c>
      <c r="C3234">
        <v>0</v>
      </c>
    </row>
    <row r="3235" spans="1:3" ht="15.75" x14ac:dyDescent="0.25">
      <c r="A3235">
        <v>740304</v>
      </c>
      <c r="B3235" t="s">
        <v>1437</v>
      </c>
      <c r="C3235">
        <v>0</v>
      </c>
    </row>
    <row r="3236" spans="1:3" ht="15.75" x14ac:dyDescent="0.25">
      <c r="A3236">
        <v>740305</v>
      </c>
      <c r="B3236" t="s">
        <v>568</v>
      </c>
      <c r="C3236">
        <v>0</v>
      </c>
    </row>
    <row r="3237" spans="1:3" ht="15.75" x14ac:dyDescent="0.25">
      <c r="A3237">
        <v>740306</v>
      </c>
      <c r="B3237" t="s">
        <v>1438</v>
      </c>
      <c r="C3237">
        <v>0</v>
      </c>
    </row>
    <row r="3238" spans="1:3" ht="15.75" x14ac:dyDescent="0.25">
      <c r="A3238">
        <v>740307</v>
      </c>
      <c r="B3238" t="s">
        <v>1439</v>
      </c>
      <c r="C3238">
        <v>0</v>
      </c>
    </row>
    <row r="3239" spans="1:3" ht="15.75" x14ac:dyDescent="0.25">
      <c r="A3239">
        <v>740308</v>
      </c>
      <c r="B3239" t="s">
        <v>1440</v>
      </c>
      <c r="C3239">
        <v>0</v>
      </c>
    </row>
    <row r="3240" spans="1:3" ht="15.75" x14ac:dyDescent="0.25">
      <c r="A3240">
        <v>740309</v>
      </c>
      <c r="B3240" t="s">
        <v>1441</v>
      </c>
      <c r="C3240">
        <v>0</v>
      </c>
    </row>
    <row r="3241" spans="1:3" ht="15.75" x14ac:dyDescent="0.25">
      <c r="A3241">
        <v>740310</v>
      </c>
      <c r="B3241" t="s">
        <v>1442</v>
      </c>
      <c r="C3241">
        <v>0</v>
      </c>
    </row>
    <row r="3242" spans="1:3" ht="15.75" x14ac:dyDescent="0.25">
      <c r="A3242">
        <v>740395</v>
      </c>
      <c r="B3242" t="s">
        <v>1443</v>
      </c>
      <c r="C3242">
        <v>0</v>
      </c>
    </row>
    <row r="3243" spans="1:3" ht="15.75" x14ac:dyDescent="0.25">
      <c r="A3243">
        <v>7405</v>
      </c>
      <c r="B3243" t="s">
        <v>1494</v>
      </c>
      <c r="C3243">
        <f>SUM(C3244:C3254)</f>
        <v>0</v>
      </c>
    </row>
    <row r="3244" spans="1:3" ht="15.75" x14ac:dyDescent="0.25">
      <c r="A3244">
        <v>740501</v>
      </c>
      <c r="B3244" t="s">
        <v>1435</v>
      </c>
      <c r="C3244">
        <v>0</v>
      </c>
    </row>
    <row r="3245" spans="1:3" ht="15.75" x14ac:dyDescent="0.25">
      <c r="A3245">
        <v>740502</v>
      </c>
      <c r="B3245" t="s">
        <v>1436</v>
      </c>
      <c r="C3245">
        <v>0</v>
      </c>
    </row>
    <row r="3246" spans="1:3" ht="15.75" x14ac:dyDescent="0.25">
      <c r="A3246">
        <v>740503</v>
      </c>
      <c r="B3246" t="s">
        <v>567</v>
      </c>
      <c r="C3246">
        <v>0</v>
      </c>
    </row>
    <row r="3247" spans="1:3" ht="15.75" x14ac:dyDescent="0.25">
      <c r="A3247">
        <v>740504</v>
      </c>
      <c r="B3247" t="s">
        <v>1437</v>
      </c>
      <c r="C3247">
        <v>0</v>
      </c>
    </row>
    <row r="3248" spans="1:3" ht="15.75" x14ac:dyDescent="0.25">
      <c r="A3248">
        <v>740505</v>
      </c>
      <c r="B3248" t="s">
        <v>568</v>
      </c>
      <c r="C3248">
        <v>0</v>
      </c>
    </row>
    <row r="3249" spans="1:3" ht="15.75" x14ac:dyDescent="0.25">
      <c r="A3249">
        <v>740506</v>
      </c>
      <c r="B3249" t="s">
        <v>1438</v>
      </c>
      <c r="C3249">
        <v>0</v>
      </c>
    </row>
    <row r="3250" spans="1:3" ht="15.75" x14ac:dyDescent="0.25">
      <c r="A3250">
        <v>740507</v>
      </c>
      <c r="B3250" t="s">
        <v>1439</v>
      </c>
      <c r="C3250">
        <v>0</v>
      </c>
    </row>
    <row r="3251" spans="1:3" ht="15.75" x14ac:dyDescent="0.25">
      <c r="A3251">
        <v>740508</v>
      </c>
      <c r="B3251" t="s">
        <v>1440</v>
      </c>
      <c r="C3251">
        <v>0</v>
      </c>
    </row>
    <row r="3252" spans="1:3" ht="15.75" x14ac:dyDescent="0.25">
      <c r="A3252">
        <v>740509</v>
      </c>
      <c r="B3252" t="s">
        <v>1441</v>
      </c>
      <c r="C3252">
        <v>0</v>
      </c>
    </row>
    <row r="3253" spans="1:3" ht="15.75" x14ac:dyDescent="0.25">
      <c r="A3253">
        <v>740510</v>
      </c>
      <c r="B3253" t="s">
        <v>1442</v>
      </c>
      <c r="C3253">
        <v>0</v>
      </c>
    </row>
    <row r="3254" spans="1:3" ht="15.75" x14ac:dyDescent="0.25">
      <c r="A3254">
        <v>740595</v>
      </c>
      <c r="B3254" t="s">
        <v>1443</v>
      </c>
      <c r="C3254">
        <v>0</v>
      </c>
    </row>
    <row r="3255" spans="1:3" ht="15.75" x14ac:dyDescent="0.25">
      <c r="A3255">
        <v>7490</v>
      </c>
      <c r="B3255" t="s">
        <v>1495</v>
      </c>
      <c r="C3255">
        <f>SUM(C3256:C3266)</f>
        <v>0</v>
      </c>
    </row>
    <row r="3256" spans="1:3" ht="15.75" x14ac:dyDescent="0.25">
      <c r="A3256">
        <v>749001</v>
      </c>
      <c r="B3256" t="s">
        <v>1435</v>
      </c>
      <c r="C3256">
        <v>0</v>
      </c>
    </row>
    <row r="3257" spans="1:3" ht="15.75" x14ac:dyDescent="0.25">
      <c r="A3257">
        <v>749002</v>
      </c>
      <c r="B3257" t="s">
        <v>1436</v>
      </c>
      <c r="C3257">
        <v>0</v>
      </c>
    </row>
    <row r="3258" spans="1:3" ht="15.75" x14ac:dyDescent="0.25">
      <c r="A3258">
        <v>749003</v>
      </c>
      <c r="B3258" t="s">
        <v>567</v>
      </c>
      <c r="C3258">
        <v>0</v>
      </c>
    </row>
    <row r="3259" spans="1:3" ht="15.75" x14ac:dyDescent="0.25">
      <c r="A3259">
        <v>749004</v>
      </c>
      <c r="B3259" t="s">
        <v>1437</v>
      </c>
      <c r="C3259">
        <v>0</v>
      </c>
    </row>
    <row r="3260" spans="1:3" ht="15.75" x14ac:dyDescent="0.25">
      <c r="A3260">
        <v>749005</v>
      </c>
      <c r="B3260" t="s">
        <v>568</v>
      </c>
      <c r="C3260">
        <v>0</v>
      </c>
    </row>
    <row r="3261" spans="1:3" ht="15.75" x14ac:dyDescent="0.25">
      <c r="A3261">
        <v>749006</v>
      </c>
      <c r="B3261" t="s">
        <v>1438</v>
      </c>
      <c r="C3261">
        <v>0</v>
      </c>
    </row>
    <row r="3262" spans="1:3" ht="15.75" x14ac:dyDescent="0.25">
      <c r="A3262">
        <v>749007</v>
      </c>
      <c r="B3262" t="s">
        <v>1439</v>
      </c>
      <c r="C3262">
        <v>0</v>
      </c>
    </row>
    <row r="3263" spans="1:3" ht="15.75" x14ac:dyDescent="0.25">
      <c r="A3263">
        <v>749008</v>
      </c>
      <c r="B3263" t="s">
        <v>1440</v>
      </c>
      <c r="C3263">
        <v>0</v>
      </c>
    </row>
    <row r="3264" spans="1:3" ht="15.75" x14ac:dyDescent="0.25">
      <c r="A3264">
        <v>749009</v>
      </c>
      <c r="B3264" t="s">
        <v>1441</v>
      </c>
      <c r="C3264">
        <v>0</v>
      </c>
    </row>
    <row r="3265" spans="1:3" ht="15.75" x14ac:dyDescent="0.25">
      <c r="A3265">
        <v>749010</v>
      </c>
      <c r="B3265" t="s">
        <v>1442</v>
      </c>
      <c r="C3265">
        <v>0</v>
      </c>
    </row>
    <row r="3266" spans="1:3" ht="15.75" x14ac:dyDescent="0.25">
      <c r="A3266">
        <v>749095</v>
      </c>
      <c r="B3266" t="s">
        <v>1443</v>
      </c>
      <c r="C3266">
        <v>0</v>
      </c>
    </row>
    <row r="3267" spans="1:3" ht="15.75" x14ac:dyDescent="0.25">
      <c r="A3267">
        <v>75</v>
      </c>
      <c r="B3267" t="s">
        <v>1423</v>
      </c>
      <c r="C3267">
        <v>0</v>
      </c>
    </row>
    <row r="3268" spans="1:3" ht="15.75" x14ac:dyDescent="0.25">
      <c r="A3268">
        <v>7501</v>
      </c>
      <c r="B3268" t="s">
        <v>1496</v>
      </c>
      <c r="C3268">
        <f>SUM(C3269:C3279)</f>
        <v>0</v>
      </c>
    </row>
    <row r="3269" spans="1:3" ht="15.75" x14ac:dyDescent="0.25">
      <c r="A3269">
        <v>750101</v>
      </c>
      <c r="B3269" t="s">
        <v>1435</v>
      </c>
      <c r="C3269">
        <v>0</v>
      </c>
    </row>
    <row r="3270" spans="1:3" ht="15.75" x14ac:dyDescent="0.25">
      <c r="A3270">
        <v>750102</v>
      </c>
      <c r="B3270" t="s">
        <v>1436</v>
      </c>
      <c r="C3270">
        <v>0</v>
      </c>
    </row>
    <row r="3271" spans="1:3" ht="15.75" x14ac:dyDescent="0.25">
      <c r="A3271">
        <v>750103</v>
      </c>
      <c r="B3271" t="s">
        <v>567</v>
      </c>
      <c r="C3271">
        <v>0</v>
      </c>
    </row>
    <row r="3272" spans="1:3" ht="15.75" x14ac:dyDescent="0.25">
      <c r="A3272">
        <v>750104</v>
      </c>
      <c r="B3272" t="s">
        <v>1437</v>
      </c>
      <c r="C3272">
        <v>0</v>
      </c>
    </row>
    <row r="3273" spans="1:3" ht="15.75" x14ac:dyDescent="0.25">
      <c r="A3273">
        <v>750105</v>
      </c>
      <c r="B3273" t="s">
        <v>568</v>
      </c>
      <c r="C3273">
        <v>0</v>
      </c>
    </row>
    <row r="3274" spans="1:3" ht="15.75" x14ac:dyDescent="0.25">
      <c r="A3274">
        <v>750106</v>
      </c>
      <c r="B3274" t="s">
        <v>1438</v>
      </c>
      <c r="C3274">
        <v>0</v>
      </c>
    </row>
    <row r="3275" spans="1:3" ht="15.75" x14ac:dyDescent="0.25">
      <c r="A3275">
        <v>750107</v>
      </c>
      <c r="B3275" t="s">
        <v>1439</v>
      </c>
      <c r="C3275">
        <v>0</v>
      </c>
    </row>
    <row r="3276" spans="1:3" ht="15.75" x14ac:dyDescent="0.25">
      <c r="A3276">
        <v>750108</v>
      </c>
      <c r="B3276" t="s">
        <v>1440</v>
      </c>
      <c r="C3276">
        <v>0</v>
      </c>
    </row>
    <row r="3277" spans="1:3" ht="15.75" x14ac:dyDescent="0.25">
      <c r="A3277">
        <v>750109</v>
      </c>
      <c r="B3277" t="s">
        <v>1441</v>
      </c>
      <c r="C3277">
        <v>0</v>
      </c>
    </row>
    <row r="3278" spans="1:3" ht="15.75" x14ac:dyDescent="0.25">
      <c r="A3278">
        <v>750110</v>
      </c>
      <c r="B3278" t="s">
        <v>1442</v>
      </c>
      <c r="C3278">
        <v>0</v>
      </c>
    </row>
    <row r="3279" spans="1:3" ht="15.75" x14ac:dyDescent="0.25">
      <c r="A3279">
        <v>750195</v>
      </c>
      <c r="B3279" t="s">
        <v>1443</v>
      </c>
      <c r="C3279">
        <v>0</v>
      </c>
    </row>
    <row r="3280" spans="1:3" ht="15.75" x14ac:dyDescent="0.25">
      <c r="A3280">
        <v>7502</v>
      </c>
      <c r="B3280" t="s">
        <v>1497</v>
      </c>
      <c r="C3280">
        <v>0</v>
      </c>
    </row>
    <row r="3281" spans="1:3" ht="15.75" x14ac:dyDescent="0.25">
      <c r="A3281">
        <v>750201</v>
      </c>
      <c r="B3281" t="s">
        <v>1435</v>
      </c>
      <c r="C3281">
        <v>0</v>
      </c>
    </row>
    <row r="3282" spans="1:3" ht="15.75" x14ac:dyDescent="0.25">
      <c r="A3282">
        <v>750202</v>
      </c>
      <c r="B3282" t="s">
        <v>1436</v>
      </c>
      <c r="C3282">
        <v>0</v>
      </c>
    </row>
    <row r="3283" spans="1:3" ht="15.75" x14ac:dyDescent="0.25">
      <c r="A3283">
        <v>750203</v>
      </c>
      <c r="B3283" t="s">
        <v>567</v>
      </c>
      <c r="C3283">
        <v>0</v>
      </c>
    </row>
    <row r="3284" spans="1:3" ht="15.75" x14ac:dyDescent="0.25">
      <c r="A3284">
        <v>750204</v>
      </c>
      <c r="B3284" t="s">
        <v>1437</v>
      </c>
      <c r="C3284">
        <v>0</v>
      </c>
    </row>
    <row r="3285" spans="1:3" ht="15.75" x14ac:dyDescent="0.25">
      <c r="A3285">
        <v>750205</v>
      </c>
      <c r="B3285" t="s">
        <v>568</v>
      </c>
      <c r="C3285">
        <v>0</v>
      </c>
    </row>
    <row r="3286" spans="1:3" ht="15.75" x14ac:dyDescent="0.25">
      <c r="A3286">
        <v>750206</v>
      </c>
      <c r="B3286" t="s">
        <v>1438</v>
      </c>
      <c r="C3286">
        <v>0</v>
      </c>
    </row>
    <row r="3287" spans="1:3" ht="15.75" x14ac:dyDescent="0.25">
      <c r="A3287">
        <v>750207</v>
      </c>
      <c r="B3287" t="s">
        <v>1439</v>
      </c>
      <c r="C3287">
        <v>0</v>
      </c>
    </row>
    <row r="3288" spans="1:3" ht="15.75" x14ac:dyDescent="0.25">
      <c r="A3288">
        <v>750208</v>
      </c>
      <c r="B3288" t="s">
        <v>1440</v>
      </c>
      <c r="C3288">
        <v>0</v>
      </c>
    </row>
    <row r="3289" spans="1:3" ht="15.75" x14ac:dyDescent="0.25">
      <c r="A3289">
        <v>750209</v>
      </c>
      <c r="B3289" t="s">
        <v>1441</v>
      </c>
      <c r="C3289">
        <v>0</v>
      </c>
    </row>
    <row r="3290" spans="1:3" ht="15.75" x14ac:dyDescent="0.25">
      <c r="A3290">
        <v>750210</v>
      </c>
      <c r="B3290" t="s">
        <v>1442</v>
      </c>
      <c r="C3290">
        <v>0</v>
      </c>
    </row>
    <row r="3291" spans="1:3" ht="15.75" x14ac:dyDescent="0.25">
      <c r="A3291">
        <v>750295</v>
      </c>
      <c r="B3291" t="s">
        <v>1443</v>
      </c>
      <c r="C3291">
        <v>0</v>
      </c>
    </row>
    <row r="3292" spans="1:3" ht="15.75" x14ac:dyDescent="0.25">
      <c r="A3292">
        <v>7503</v>
      </c>
      <c r="B3292" t="s">
        <v>1498</v>
      </c>
      <c r="C3292">
        <v>0</v>
      </c>
    </row>
    <row r="3293" spans="1:3" ht="15.75" x14ac:dyDescent="0.25">
      <c r="A3293">
        <v>750301</v>
      </c>
      <c r="B3293" t="s">
        <v>1435</v>
      </c>
      <c r="C3293">
        <v>0</v>
      </c>
    </row>
    <row r="3294" spans="1:3" ht="15.75" x14ac:dyDescent="0.25">
      <c r="A3294">
        <v>750302</v>
      </c>
      <c r="B3294" t="s">
        <v>1436</v>
      </c>
      <c r="C3294">
        <v>0</v>
      </c>
    </row>
    <row r="3295" spans="1:3" ht="15.75" x14ac:dyDescent="0.25">
      <c r="A3295">
        <v>750303</v>
      </c>
      <c r="B3295" t="s">
        <v>567</v>
      </c>
      <c r="C3295">
        <v>0</v>
      </c>
    </row>
    <row r="3296" spans="1:3" ht="15.75" x14ac:dyDescent="0.25">
      <c r="A3296">
        <v>750304</v>
      </c>
      <c r="B3296" t="s">
        <v>1437</v>
      </c>
      <c r="C3296">
        <v>0</v>
      </c>
    </row>
    <row r="3297" spans="1:3" ht="15.75" x14ac:dyDescent="0.25">
      <c r="A3297">
        <v>750305</v>
      </c>
      <c r="B3297" t="s">
        <v>568</v>
      </c>
      <c r="C3297">
        <v>0</v>
      </c>
    </row>
    <row r="3298" spans="1:3" ht="15.75" x14ac:dyDescent="0.25">
      <c r="A3298">
        <v>750306</v>
      </c>
      <c r="B3298" t="s">
        <v>1438</v>
      </c>
      <c r="C3298">
        <v>0</v>
      </c>
    </row>
    <row r="3299" spans="1:3" ht="15.75" x14ac:dyDescent="0.25">
      <c r="A3299">
        <v>750307</v>
      </c>
      <c r="B3299" t="s">
        <v>1439</v>
      </c>
      <c r="C3299">
        <v>0</v>
      </c>
    </row>
    <row r="3300" spans="1:3" ht="15.75" x14ac:dyDescent="0.25">
      <c r="A3300">
        <v>750308</v>
      </c>
      <c r="B3300" t="s">
        <v>1440</v>
      </c>
      <c r="C3300">
        <v>0</v>
      </c>
    </row>
    <row r="3301" spans="1:3" ht="15.75" x14ac:dyDescent="0.25">
      <c r="A3301">
        <v>750309</v>
      </c>
      <c r="B3301" t="s">
        <v>1441</v>
      </c>
      <c r="C3301">
        <v>0</v>
      </c>
    </row>
    <row r="3302" spans="1:3" ht="15.75" x14ac:dyDescent="0.25">
      <c r="A3302">
        <v>750310</v>
      </c>
      <c r="B3302" t="s">
        <v>1442</v>
      </c>
      <c r="C3302">
        <v>0</v>
      </c>
    </row>
    <row r="3303" spans="1:3" ht="15.75" x14ac:dyDescent="0.25">
      <c r="A3303">
        <v>750395</v>
      </c>
      <c r="B3303" t="s">
        <v>1443</v>
      </c>
      <c r="C3303">
        <v>0</v>
      </c>
    </row>
    <row r="3304" spans="1:3" ht="15.75" x14ac:dyDescent="0.25">
      <c r="A3304">
        <v>7504</v>
      </c>
      <c r="B3304" t="s">
        <v>1499</v>
      </c>
      <c r="C3304">
        <v>0</v>
      </c>
    </row>
    <row r="3305" spans="1:3" ht="15.75" x14ac:dyDescent="0.25">
      <c r="A3305">
        <v>750401</v>
      </c>
      <c r="B3305" t="s">
        <v>1435</v>
      </c>
      <c r="C3305">
        <v>0</v>
      </c>
    </row>
    <row r="3306" spans="1:3" ht="15.75" x14ac:dyDescent="0.25">
      <c r="A3306">
        <v>750402</v>
      </c>
      <c r="B3306" t="s">
        <v>1436</v>
      </c>
      <c r="C3306">
        <v>0</v>
      </c>
    </row>
    <row r="3307" spans="1:3" ht="15.75" x14ac:dyDescent="0.25">
      <c r="A3307">
        <v>750403</v>
      </c>
      <c r="B3307" t="s">
        <v>567</v>
      </c>
      <c r="C3307">
        <v>0</v>
      </c>
    </row>
    <row r="3308" spans="1:3" ht="15.75" x14ac:dyDescent="0.25">
      <c r="A3308">
        <v>750404</v>
      </c>
      <c r="B3308" t="s">
        <v>1437</v>
      </c>
      <c r="C3308">
        <v>0</v>
      </c>
    </row>
    <row r="3309" spans="1:3" ht="15.75" x14ac:dyDescent="0.25">
      <c r="A3309">
        <v>750405</v>
      </c>
      <c r="B3309" t="s">
        <v>568</v>
      </c>
      <c r="C3309">
        <v>0</v>
      </c>
    </row>
    <row r="3310" spans="1:3" ht="15.75" x14ac:dyDescent="0.25">
      <c r="A3310">
        <v>750406</v>
      </c>
      <c r="B3310" t="s">
        <v>1438</v>
      </c>
      <c r="C3310">
        <v>0</v>
      </c>
    </row>
    <row r="3311" spans="1:3" ht="15.75" x14ac:dyDescent="0.25">
      <c r="A3311">
        <v>750407</v>
      </c>
      <c r="B3311" t="s">
        <v>1439</v>
      </c>
      <c r="C3311">
        <v>0</v>
      </c>
    </row>
    <row r="3312" spans="1:3" ht="15.75" x14ac:dyDescent="0.25">
      <c r="A3312">
        <v>750408</v>
      </c>
      <c r="B3312" t="s">
        <v>1440</v>
      </c>
      <c r="C3312">
        <v>0</v>
      </c>
    </row>
    <row r="3313" spans="1:3" ht="15.75" x14ac:dyDescent="0.25">
      <c r="A3313">
        <v>750409</v>
      </c>
      <c r="B3313" t="s">
        <v>1441</v>
      </c>
      <c r="C3313">
        <v>0</v>
      </c>
    </row>
    <row r="3314" spans="1:3" ht="15.75" x14ac:dyDescent="0.25">
      <c r="A3314">
        <v>750410</v>
      </c>
      <c r="B3314" t="s">
        <v>1442</v>
      </c>
      <c r="C3314">
        <v>0</v>
      </c>
    </row>
    <row r="3315" spans="1:3" ht="15.75" x14ac:dyDescent="0.25">
      <c r="A3315">
        <v>750495</v>
      </c>
      <c r="B3315" t="s">
        <v>1443</v>
      </c>
      <c r="C3315">
        <v>0</v>
      </c>
    </row>
    <row r="3316" spans="1:3" ht="15.75" x14ac:dyDescent="0.25">
      <c r="A3316">
        <v>7505</v>
      </c>
      <c r="B3316" t="s">
        <v>1500</v>
      </c>
      <c r="C3316">
        <f>SUM(C3317:C3327)</f>
        <v>0</v>
      </c>
    </row>
    <row r="3317" spans="1:3" ht="15.75" x14ac:dyDescent="0.25">
      <c r="A3317">
        <v>750501</v>
      </c>
      <c r="B3317" t="s">
        <v>1435</v>
      </c>
      <c r="C3317">
        <v>0</v>
      </c>
    </row>
    <row r="3318" spans="1:3" ht="15.75" x14ac:dyDescent="0.25">
      <c r="A3318">
        <v>750502</v>
      </c>
      <c r="B3318" t="s">
        <v>1436</v>
      </c>
      <c r="C3318">
        <v>0</v>
      </c>
    </row>
    <row r="3319" spans="1:3" ht="15.75" x14ac:dyDescent="0.25">
      <c r="A3319">
        <v>750503</v>
      </c>
      <c r="B3319" t="s">
        <v>567</v>
      </c>
      <c r="C3319">
        <v>0</v>
      </c>
    </row>
    <row r="3320" spans="1:3" ht="15.75" x14ac:dyDescent="0.25">
      <c r="A3320">
        <v>750504</v>
      </c>
      <c r="B3320" t="s">
        <v>1437</v>
      </c>
      <c r="C3320">
        <v>0</v>
      </c>
    </row>
    <row r="3321" spans="1:3" ht="15.75" x14ac:dyDescent="0.25">
      <c r="A3321">
        <v>750505</v>
      </c>
      <c r="B3321" t="s">
        <v>568</v>
      </c>
      <c r="C3321">
        <v>0</v>
      </c>
    </row>
    <row r="3322" spans="1:3" ht="15.75" x14ac:dyDescent="0.25">
      <c r="A3322">
        <v>750506</v>
      </c>
      <c r="B3322" t="s">
        <v>1438</v>
      </c>
      <c r="C3322">
        <v>0</v>
      </c>
    </row>
    <row r="3323" spans="1:3" ht="15.75" x14ac:dyDescent="0.25">
      <c r="A3323">
        <v>750507</v>
      </c>
      <c r="B3323" t="s">
        <v>1439</v>
      </c>
      <c r="C3323">
        <v>0</v>
      </c>
    </row>
    <row r="3324" spans="1:3" ht="15.75" x14ac:dyDescent="0.25">
      <c r="A3324">
        <v>750508</v>
      </c>
      <c r="B3324" t="s">
        <v>1440</v>
      </c>
      <c r="C3324">
        <v>0</v>
      </c>
    </row>
    <row r="3325" spans="1:3" ht="15.75" x14ac:dyDescent="0.25">
      <c r="A3325">
        <v>750509</v>
      </c>
      <c r="B3325" t="s">
        <v>1441</v>
      </c>
      <c r="C3325">
        <v>0</v>
      </c>
    </row>
    <row r="3326" spans="1:3" ht="15.75" x14ac:dyDescent="0.25">
      <c r="A3326">
        <v>750510</v>
      </c>
      <c r="B3326" t="s">
        <v>1442</v>
      </c>
      <c r="C3326">
        <v>0</v>
      </c>
    </row>
    <row r="3327" spans="1:3" ht="15.75" x14ac:dyDescent="0.25">
      <c r="A3327">
        <v>750595</v>
      </c>
      <c r="B3327" t="s">
        <v>1443</v>
      </c>
      <c r="C3327">
        <v>0</v>
      </c>
    </row>
    <row r="3328" spans="1:3" ht="15.75" x14ac:dyDescent="0.25">
      <c r="A3328">
        <v>7506</v>
      </c>
      <c r="B3328" t="s">
        <v>1501</v>
      </c>
      <c r="C3328">
        <f>SUM(C3329:C3339)</f>
        <v>0</v>
      </c>
    </row>
    <row r="3329" spans="1:3" ht="15.75" x14ac:dyDescent="0.25">
      <c r="A3329">
        <v>750601</v>
      </c>
      <c r="B3329" t="s">
        <v>1435</v>
      </c>
      <c r="C3329">
        <v>0</v>
      </c>
    </row>
    <row r="3330" spans="1:3" ht="15.75" x14ac:dyDescent="0.25">
      <c r="A3330">
        <v>750602</v>
      </c>
      <c r="B3330" t="s">
        <v>1436</v>
      </c>
      <c r="C3330">
        <v>0</v>
      </c>
    </row>
    <row r="3331" spans="1:3" ht="15.75" x14ac:dyDescent="0.25">
      <c r="A3331">
        <v>750603</v>
      </c>
      <c r="B3331" t="s">
        <v>567</v>
      </c>
      <c r="C3331">
        <v>0</v>
      </c>
    </row>
    <row r="3332" spans="1:3" ht="15.75" x14ac:dyDescent="0.25">
      <c r="A3332">
        <v>750604</v>
      </c>
      <c r="B3332" t="s">
        <v>1437</v>
      </c>
      <c r="C3332">
        <v>0</v>
      </c>
    </row>
    <row r="3333" spans="1:3" ht="15.75" x14ac:dyDescent="0.25">
      <c r="A3333">
        <v>750605</v>
      </c>
      <c r="B3333" t="s">
        <v>568</v>
      </c>
      <c r="C3333">
        <v>0</v>
      </c>
    </row>
    <row r="3334" spans="1:3" ht="15.75" x14ac:dyDescent="0.25">
      <c r="A3334">
        <v>750606</v>
      </c>
      <c r="B3334" t="s">
        <v>1438</v>
      </c>
      <c r="C3334">
        <v>0</v>
      </c>
    </row>
    <row r="3335" spans="1:3" ht="15.75" x14ac:dyDescent="0.25">
      <c r="A3335">
        <v>750607</v>
      </c>
      <c r="B3335" t="s">
        <v>1439</v>
      </c>
      <c r="C3335">
        <v>0</v>
      </c>
    </row>
    <row r="3336" spans="1:3" ht="15.75" x14ac:dyDescent="0.25">
      <c r="A3336">
        <v>750608</v>
      </c>
      <c r="B3336" t="s">
        <v>1440</v>
      </c>
      <c r="C3336">
        <v>0</v>
      </c>
    </row>
    <row r="3337" spans="1:3" ht="15.75" x14ac:dyDescent="0.25">
      <c r="A3337">
        <v>750609</v>
      </c>
      <c r="B3337" t="s">
        <v>1441</v>
      </c>
      <c r="C3337">
        <v>0</v>
      </c>
    </row>
    <row r="3338" spans="1:3" ht="15.75" x14ac:dyDescent="0.25">
      <c r="A3338">
        <v>750610</v>
      </c>
      <c r="B3338" t="s">
        <v>1442</v>
      </c>
      <c r="C3338">
        <v>0</v>
      </c>
    </row>
    <row r="3339" spans="1:3" ht="15.75" x14ac:dyDescent="0.25">
      <c r="A3339">
        <v>750695</v>
      </c>
      <c r="B3339" t="s">
        <v>1443</v>
      </c>
      <c r="C3339">
        <v>0</v>
      </c>
    </row>
    <row r="3340" spans="1:3" ht="15.75" x14ac:dyDescent="0.25">
      <c r="A3340">
        <v>76</v>
      </c>
      <c r="B3340" t="s">
        <v>1133</v>
      </c>
      <c r="C3340">
        <f>SUM(C3341,C3353,C3366)</f>
        <v>0</v>
      </c>
    </row>
    <row r="3341" spans="1:3" ht="15.75" x14ac:dyDescent="0.25">
      <c r="A3341">
        <v>7601</v>
      </c>
      <c r="B3341" t="s">
        <v>1502</v>
      </c>
      <c r="C3341">
        <f>SUM(C3342:C3352)</f>
        <v>0</v>
      </c>
    </row>
    <row r="3342" spans="1:3" ht="15.75" x14ac:dyDescent="0.25">
      <c r="A3342">
        <v>760101</v>
      </c>
      <c r="B3342" t="s">
        <v>1435</v>
      </c>
      <c r="C3342">
        <v>0</v>
      </c>
    </row>
    <row r="3343" spans="1:3" ht="15.75" x14ac:dyDescent="0.25">
      <c r="A3343">
        <v>760102</v>
      </c>
      <c r="B3343" t="s">
        <v>1436</v>
      </c>
      <c r="C3343">
        <v>0</v>
      </c>
    </row>
    <row r="3344" spans="1:3" ht="15.75" x14ac:dyDescent="0.25">
      <c r="A3344">
        <v>760103</v>
      </c>
      <c r="B3344" t="s">
        <v>567</v>
      </c>
      <c r="C3344">
        <v>0</v>
      </c>
    </row>
    <row r="3345" spans="1:3" ht="15.75" x14ac:dyDescent="0.25">
      <c r="A3345">
        <v>760104</v>
      </c>
      <c r="B3345" t="s">
        <v>1437</v>
      </c>
      <c r="C3345">
        <v>0</v>
      </c>
    </row>
    <row r="3346" spans="1:3" ht="15.75" x14ac:dyDescent="0.25">
      <c r="A3346">
        <v>760105</v>
      </c>
      <c r="B3346" t="s">
        <v>568</v>
      </c>
      <c r="C3346">
        <v>0</v>
      </c>
    </row>
    <row r="3347" spans="1:3" ht="15.75" x14ac:dyDescent="0.25">
      <c r="A3347">
        <v>760106</v>
      </c>
      <c r="B3347" t="s">
        <v>1438</v>
      </c>
      <c r="C3347">
        <v>0</v>
      </c>
    </row>
    <row r="3348" spans="1:3" ht="15.75" x14ac:dyDescent="0.25">
      <c r="A3348">
        <v>760107</v>
      </c>
      <c r="B3348" t="s">
        <v>1439</v>
      </c>
      <c r="C3348">
        <v>0</v>
      </c>
    </row>
    <row r="3349" spans="1:3" ht="15.75" x14ac:dyDescent="0.25">
      <c r="A3349">
        <v>760108</v>
      </c>
      <c r="B3349" t="s">
        <v>1440</v>
      </c>
      <c r="C3349">
        <v>0</v>
      </c>
    </row>
    <row r="3350" spans="1:3" ht="15.75" x14ac:dyDescent="0.25">
      <c r="A3350">
        <v>760109</v>
      </c>
      <c r="B3350" t="s">
        <v>1441</v>
      </c>
      <c r="C3350">
        <v>0</v>
      </c>
    </row>
    <row r="3351" spans="1:3" ht="15.75" x14ac:dyDescent="0.25">
      <c r="A3351">
        <v>760110</v>
      </c>
      <c r="B3351" t="s">
        <v>1442</v>
      </c>
      <c r="C3351">
        <v>0</v>
      </c>
    </row>
    <row r="3352" spans="1:3" ht="15.75" x14ac:dyDescent="0.25">
      <c r="A3352">
        <v>760195</v>
      </c>
      <c r="B3352" t="s">
        <v>1443</v>
      </c>
      <c r="C3352">
        <v>0</v>
      </c>
    </row>
    <row r="3353" spans="1:3" ht="15.75" x14ac:dyDescent="0.25">
      <c r="A3353">
        <v>7602</v>
      </c>
      <c r="B3353" t="s">
        <v>1503</v>
      </c>
      <c r="C3353">
        <f>SUM(C3354:C3365)</f>
        <v>0</v>
      </c>
    </row>
    <row r="3354" spans="1:3" ht="15.75" x14ac:dyDescent="0.25">
      <c r="A3354">
        <v>760201</v>
      </c>
      <c r="B3354" t="s">
        <v>1434</v>
      </c>
      <c r="C3354">
        <v>0</v>
      </c>
    </row>
    <row r="3355" spans="1:3" ht="15.75" x14ac:dyDescent="0.25">
      <c r="A3355">
        <v>760202</v>
      </c>
      <c r="B3355" t="s">
        <v>1435</v>
      </c>
      <c r="C3355">
        <v>0</v>
      </c>
    </row>
    <row r="3356" spans="1:3" ht="15.75" x14ac:dyDescent="0.25">
      <c r="A3356">
        <v>760203</v>
      </c>
      <c r="B3356" t="s">
        <v>1436</v>
      </c>
      <c r="C3356">
        <v>0</v>
      </c>
    </row>
    <row r="3357" spans="1:3" ht="15.75" x14ac:dyDescent="0.25">
      <c r="A3357">
        <v>760204</v>
      </c>
      <c r="B3357" t="s">
        <v>567</v>
      </c>
      <c r="C3357">
        <v>0</v>
      </c>
    </row>
    <row r="3358" spans="1:3" ht="15.75" x14ac:dyDescent="0.25">
      <c r="A3358">
        <v>760205</v>
      </c>
      <c r="B3358" t="s">
        <v>1437</v>
      </c>
      <c r="C3358">
        <v>0</v>
      </c>
    </row>
    <row r="3359" spans="1:3" ht="15.75" x14ac:dyDescent="0.25">
      <c r="A3359">
        <v>760206</v>
      </c>
      <c r="B3359" t="s">
        <v>568</v>
      </c>
      <c r="C3359">
        <v>0</v>
      </c>
    </row>
    <row r="3360" spans="1:3" ht="15.75" x14ac:dyDescent="0.25">
      <c r="A3360">
        <v>760207</v>
      </c>
      <c r="B3360" t="s">
        <v>1438</v>
      </c>
      <c r="C3360">
        <v>0</v>
      </c>
    </row>
    <row r="3361" spans="1:3" ht="15.75" x14ac:dyDescent="0.25">
      <c r="A3361">
        <v>760208</v>
      </c>
      <c r="B3361" t="s">
        <v>1439</v>
      </c>
      <c r="C3361">
        <v>0</v>
      </c>
    </row>
    <row r="3362" spans="1:3" ht="15.75" x14ac:dyDescent="0.25">
      <c r="A3362">
        <v>760209</v>
      </c>
      <c r="B3362" t="s">
        <v>1440</v>
      </c>
      <c r="C3362">
        <v>0</v>
      </c>
    </row>
    <row r="3363" spans="1:3" ht="15.75" x14ac:dyDescent="0.25">
      <c r="A3363">
        <v>760210</v>
      </c>
      <c r="B3363" t="s">
        <v>1441</v>
      </c>
      <c r="C3363">
        <v>0</v>
      </c>
    </row>
    <row r="3364" spans="1:3" ht="15.75" x14ac:dyDescent="0.25">
      <c r="A3364">
        <v>760211</v>
      </c>
      <c r="B3364" t="s">
        <v>1442</v>
      </c>
      <c r="C3364">
        <v>0</v>
      </c>
    </row>
    <row r="3365" spans="1:3" ht="15.75" x14ac:dyDescent="0.25">
      <c r="A3365">
        <v>760295</v>
      </c>
      <c r="B3365" t="s">
        <v>1443</v>
      </c>
      <c r="C3365">
        <v>0</v>
      </c>
    </row>
    <row r="3366" spans="1:3" ht="15.75" x14ac:dyDescent="0.25">
      <c r="A3366">
        <v>7690</v>
      </c>
      <c r="B3366" t="s">
        <v>1504</v>
      </c>
      <c r="C3366">
        <f>SUM(C3367:C3377)</f>
        <v>0</v>
      </c>
    </row>
    <row r="3367" spans="1:3" ht="15.75" x14ac:dyDescent="0.25">
      <c r="A3367">
        <v>769001</v>
      </c>
      <c r="B3367" t="s">
        <v>1435</v>
      </c>
      <c r="C3367">
        <v>0</v>
      </c>
    </row>
    <row r="3368" spans="1:3" ht="15.75" x14ac:dyDescent="0.25">
      <c r="A3368">
        <v>769002</v>
      </c>
      <c r="B3368" t="s">
        <v>1436</v>
      </c>
      <c r="C3368">
        <v>0</v>
      </c>
    </row>
    <row r="3369" spans="1:3" ht="15.75" x14ac:dyDescent="0.25">
      <c r="A3369">
        <v>769003</v>
      </c>
      <c r="B3369" t="s">
        <v>567</v>
      </c>
      <c r="C3369">
        <v>0</v>
      </c>
    </row>
    <row r="3370" spans="1:3" ht="15.75" x14ac:dyDescent="0.25">
      <c r="A3370">
        <v>769004</v>
      </c>
      <c r="B3370" t="s">
        <v>1437</v>
      </c>
      <c r="C3370">
        <v>0</v>
      </c>
    </row>
    <row r="3371" spans="1:3" ht="15.75" x14ac:dyDescent="0.25">
      <c r="A3371">
        <v>769005</v>
      </c>
      <c r="B3371" t="s">
        <v>568</v>
      </c>
      <c r="C3371">
        <v>0</v>
      </c>
    </row>
    <row r="3372" spans="1:3" ht="15.75" x14ac:dyDescent="0.25">
      <c r="A3372">
        <v>769006</v>
      </c>
      <c r="B3372" t="s">
        <v>1438</v>
      </c>
      <c r="C3372">
        <v>0</v>
      </c>
    </row>
    <row r="3373" spans="1:3" ht="15.75" x14ac:dyDescent="0.25">
      <c r="A3373">
        <v>769007</v>
      </c>
      <c r="B3373" t="s">
        <v>1439</v>
      </c>
      <c r="C3373">
        <v>0</v>
      </c>
    </row>
    <row r="3374" spans="1:3" ht="15.75" x14ac:dyDescent="0.25">
      <c r="A3374">
        <v>769008</v>
      </c>
      <c r="B3374" t="s">
        <v>1440</v>
      </c>
      <c r="C3374">
        <v>0</v>
      </c>
    </row>
    <row r="3375" spans="1:3" ht="15.75" x14ac:dyDescent="0.25">
      <c r="A3375">
        <v>769009</v>
      </c>
      <c r="B3375" t="s">
        <v>1441</v>
      </c>
      <c r="C3375">
        <v>0</v>
      </c>
    </row>
    <row r="3376" spans="1:3" ht="15.75" x14ac:dyDescent="0.25">
      <c r="A3376">
        <v>769010</v>
      </c>
      <c r="B3376" t="s">
        <v>1442</v>
      </c>
      <c r="C3376">
        <v>0</v>
      </c>
    </row>
    <row r="3377" spans="1:3" ht="15.75" x14ac:dyDescent="0.25">
      <c r="A3377">
        <v>769095</v>
      </c>
      <c r="B3377" t="s">
        <v>1443</v>
      </c>
      <c r="C3377">
        <v>0</v>
      </c>
    </row>
    <row r="3378" spans="1:3" ht="15.75" x14ac:dyDescent="0.25">
      <c r="A3378">
        <v>79</v>
      </c>
      <c r="B3378" t="s">
        <v>1145</v>
      </c>
      <c r="C3378">
        <f>SUM(C3379,C3391,C3403,C3415,C3427,C3439,C3451,C3463,C3475,C3487)</f>
        <v>0</v>
      </c>
    </row>
    <row r="3379" spans="1:3" ht="15.75" x14ac:dyDescent="0.25">
      <c r="A3379">
        <v>7902</v>
      </c>
      <c r="B3379" t="s">
        <v>1140</v>
      </c>
      <c r="C3379">
        <f>SUM(C3380:C3390)</f>
        <v>0</v>
      </c>
    </row>
    <row r="3380" spans="1:3" ht="15.75" x14ac:dyDescent="0.25">
      <c r="A3380">
        <v>790201</v>
      </c>
      <c r="B3380" t="s">
        <v>1435</v>
      </c>
      <c r="C3380">
        <v>0</v>
      </c>
    </row>
    <row r="3381" spans="1:3" ht="15.75" x14ac:dyDescent="0.25">
      <c r="A3381">
        <v>790202</v>
      </c>
      <c r="B3381" t="s">
        <v>1436</v>
      </c>
      <c r="C3381">
        <v>0</v>
      </c>
    </row>
    <row r="3382" spans="1:3" ht="15.75" x14ac:dyDescent="0.25">
      <c r="A3382">
        <v>790203</v>
      </c>
      <c r="B3382" t="s">
        <v>567</v>
      </c>
      <c r="C3382">
        <v>0</v>
      </c>
    </row>
    <row r="3383" spans="1:3" ht="15.75" x14ac:dyDescent="0.25">
      <c r="A3383">
        <v>790204</v>
      </c>
      <c r="B3383" t="s">
        <v>1437</v>
      </c>
      <c r="C3383">
        <v>0</v>
      </c>
    </row>
    <row r="3384" spans="1:3" ht="15.75" x14ac:dyDescent="0.25">
      <c r="A3384">
        <v>790205</v>
      </c>
      <c r="B3384" t="s">
        <v>568</v>
      </c>
      <c r="C3384">
        <v>0</v>
      </c>
    </row>
    <row r="3385" spans="1:3" ht="15.75" x14ac:dyDescent="0.25">
      <c r="A3385">
        <v>790206</v>
      </c>
      <c r="B3385" t="s">
        <v>1438</v>
      </c>
      <c r="C3385">
        <v>0</v>
      </c>
    </row>
    <row r="3386" spans="1:3" ht="15.75" x14ac:dyDescent="0.25">
      <c r="A3386">
        <v>790207</v>
      </c>
      <c r="B3386" t="s">
        <v>1439</v>
      </c>
      <c r="C3386">
        <v>0</v>
      </c>
    </row>
    <row r="3387" spans="1:3" ht="15.75" x14ac:dyDescent="0.25">
      <c r="A3387">
        <v>790208</v>
      </c>
      <c r="B3387" t="s">
        <v>1440</v>
      </c>
      <c r="C3387">
        <v>0</v>
      </c>
    </row>
    <row r="3388" spans="1:3" ht="15.75" x14ac:dyDescent="0.25">
      <c r="A3388">
        <v>790209</v>
      </c>
      <c r="B3388" t="s">
        <v>1441</v>
      </c>
      <c r="C3388">
        <v>0</v>
      </c>
    </row>
    <row r="3389" spans="1:3" ht="15.75" x14ac:dyDescent="0.25">
      <c r="A3389">
        <v>790210</v>
      </c>
      <c r="B3389" t="s">
        <v>1442</v>
      </c>
      <c r="C3389">
        <v>0</v>
      </c>
    </row>
    <row r="3390" spans="1:3" ht="15.75" x14ac:dyDescent="0.25">
      <c r="A3390">
        <v>790295</v>
      </c>
      <c r="B3390" t="s">
        <v>1443</v>
      </c>
      <c r="C3390">
        <v>0</v>
      </c>
    </row>
    <row r="3391" spans="1:3" ht="15.75" x14ac:dyDescent="0.25">
      <c r="A3391">
        <v>7904</v>
      </c>
      <c r="B3391" t="s">
        <v>1505</v>
      </c>
      <c r="C3391">
        <f>SUM(C3392:C3402)</f>
        <v>0</v>
      </c>
    </row>
    <row r="3392" spans="1:3" ht="15.75" x14ac:dyDescent="0.25">
      <c r="A3392">
        <v>790401</v>
      </c>
      <c r="B3392" t="s">
        <v>1435</v>
      </c>
      <c r="C3392">
        <v>0</v>
      </c>
    </row>
    <row r="3393" spans="1:3" ht="15.75" x14ac:dyDescent="0.25">
      <c r="A3393">
        <v>790402</v>
      </c>
      <c r="B3393" t="s">
        <v>1436</v>
      </c>
      <c r="C3393">
        <v>0</v>
      </c>
    </row>
    <row r="3394" spans="1:3" ht="15.75" x14ac:dyDescent="0.25">
      <c r="A3394">
        <v>790403</v>
      </c>
      <c r="B3394" t="s">
        <v>567</v>
      </c>
      <c r="C3394">
        <v>0</v>
      </c>
    </row>
    <row r="3395" spans="1:3" ht="15.75" x14ac:dyDescent="0.25">
      <c r="A3395">
        <v>790404</v>
      </c>
      <c r="B3395" t="s">
        <v>1437</v>
      </c>
      <c r="C3395">
        <v>0</v>
      </c>
    </row>
    <row r="3396" spans="1:3" ht="15.75" x14ac:dyDescent="0.25">
      <c r="A3396">
        <v>790405</v>
      </c>
      <c r="B3396" t="s">
        <v>568</v>
      </c>
      <c r="C3396">
        <v>0</v>
      </c>
    </row>
    <row r="3397" spans="1:3" ht="15.75" x14ac:dyDescent="0.25">
      <c r="A3397">
        <v>790406</v>
      </c>
      <c r="B3397" t="s">
        <v>1438</v>
      </c>
      <c r="C3397">
        <v>0</v>
      </c>
    </row>
    <row r="3398" spans="1:3" ht="15.75" x14ac:dyDescent="0.25">
      <c r="A3398">
        <v>790407</v>
      </c>
      <c r="B3398" t="s">
        <v>1439</v>
      </c>
      <c r="C3398">
        <v>0</v>
      </c>
    </row>
    <row r="3399" spans="1:3" ht="15.75" x14ac:dyDescent="0.25">
      <c r="A3399">
        <v>790408</v>
      </c>
      <c r="B3399" t="s">
        <v>1440</v>
      </c>
      <c r="C3399">
        <v>0</v>
      </c>
    </row>
    <row r="3400" spans="1:3" ht="15.75" x14ac:dyDescent="0.25">
      <c r="A3400">
        <v>790409</v>
      </c>
      <c r="B3400" t="s">
        <v>1441</v>
      </c>
      <c r="C3400">
        <v>0</v>
      </c>
    </row>
    <row r="3401" spans="1:3" ht="15.75" x14ac:dyDescent="0.25">
      <c r="A3401">
        <v>790410</v>
      </c>
      <c r="B3401" t="s">
        <v>1442</v>
      </c>
      <c r="C3401">
        <v>0</v>
      </c>
    </row>
    <row r="3402" spans="1:3" ht="15.75" x14ac:dyDescent="0.25">
      <c r="A3402">
        <v>790495</v>
      </c>
      <c r="B3402" t="s">
        <v>1443</v>
      </c>
      <c r="C3402">
        <v>0</v>
      </c>
    </row>
    <row r="3403" spans="1:3" ht="15.75" x14ac:dyDescent="0.25">
      <c r="A3403">
        <v>7905</v>
      </c>
      <c r="B3403" t="s">
        <v>1109</v>
      </c>
      <c r="C3403">
        <f>SUM(C3404:C3414)</f>
        <v>0</v>
      </c>
    </row>
    <row r="3404" spans="1:3" ht="15.75" x14ac:dyDescent="0.25">
      <c r="A3404">
        <v>790501</v>
      </c>
      <c r="B3404" t="s">
        <v>1435</v>
      </c>
      <c r="C3404">
        <v>0</v>
      </c>
    </row>
    <row r="3405" spans="1:3" ht="15.75" x14ac:dyDescent="0.25">
      <c r="A3405">
        <v>790502</v>
      </c>
      <c r="B3405" t="s">
        <v>1436</v>
      </c>
      <c r="C3405">
        <v>0</v>
      </c>
    </row>
    <row r="3406" spans="1:3" ht="15.75" x14ac:dyDescent="0.25">
      <c r="A3406">
        <v>790503</v>
      </c>
      <c r="B3406" t="s">
        <v>567</v>
      </c>
      <c r="C3406">
        <v>0</v>
      </c>
    </row>
    <row r="3407" spans="1:3" ht="15.75" x14ac:dyDescent="0.25">
      <c r="A3407">
        <v>790504</v>
      </c>
      <c r="B3407" t="s">
        <v>1437</v>
      </c>
      <c r="C3407">
        <v>0</v>
      </c>
    </row>
    <row r="3408" spans="1:3" ht="15.75" x14ac:dyDescent="0.25">
      <c r="A3408">
        <v>790505</v>
      </c>
      <c r="B3408" t="s">
        <v>568</v>
      </c>
      <c r="C3408">
        <v>0</v>
      </c>
    </row>
    <row r="3409" spans="1:3" ht="15.75" x14ac:dyDescent="0.25">
      <c r="A3409">
        <v>790506</v>
      </c>
      <c r="B3409" t="s">
        <v>1438</v>
      </c>
      <c r="C3409">
        <v>0</v>
      </c>
    </row>
    <row r="3410" spans="1:3" ht="15.75" x14ac:dyDescent="0.25">
      <c r="A3410">
        <v>790507</v>
      </c>
      <c r="B3410" t="s">
        <v>1439</v>
      </c>
      <c r="C3410">
        <v>0</v>
      </c>
    </row>
    <row r="3411" spans="1:3" ht="15.75" x14ac:dyDescent="0.25">
      <c r="A3411">
        <v>790508</v>
      </c>
      <c r="B3411" t="s">
        <v>1440</v>
      </c>
      <c r="C3411">
        <v>0</v>
      </c>
    </row>
    <row r="3412" spans="1:3" ht="15.75" x14ac:dyDescent="0.25">
      <c r="A3412">
        <v>790509</v>
      </c>
      <c r="B3412" t="s">
        <v>1441</v>
      </c>
      <c r="C3412">
        <v>0</v>
      </c>
    </row>
    <row r="3413" spans="1:3" ht="15.75" x14ac:dyDescent="0.25">
      <c r="A3413">
        <v>790510</v>
      </c>
      <c r="B3413" t="s">
        <v>1442</v>
      </c>
      <c r="C3413">
        <v>0</v>
      </c>
    </row>
    <row r="3414" spans="1:3" ht="15.75" x14ac:dyDescent="0.25">
      <c r="A3414">
        <v>790595</v>
      </c>
      <c r="B3414" t="s">
        <v>1443</v>
      </c>
      <c r="C3414">
        <v>0</v>
      </c>
    </row>
    <row r="3415" spans="1:3" ht="15.75" x14ac:dyDescent="0.25">
      <c r="A3415">
        <v>7906</v>
      </c>
      <c r="B3415" t="s">
        <v>1506</v>
      </c>
      <c r="C3415">
        <f>SUM(C3416:C3426)</f>
        <v>0</v>
      </c>
    </row>
    <row r="3416" spans="1:3" ht="15.75" x14ac:dyDescent="0.25">
      <c r="A3416">
        <v>790601</v>
      </c>
      <c r="B3416" t="s">
        <v>1435</v>
      </c>
      <c r="C3416">
        <v>0</v>
      </c>
    </row>
    <row r="3417" spans="1:3" ht="15.75" x14ac:dyDescent="0.25">
      <c r="A3417">
        <v>790602</v>
      </c>
      <c r="B3417" t="s">
        <v>1436</v>
      </c>
      <c r="C3417">
        <v>0</v>
      </c>
    </row>
    <row r="3418" spans="1:3" ht="15.75" x14ac:dyDescent="0.25">
      <c r="A3418">
        <v>790603</v>
      </c>
      <c r="B3418" t="s">
        <v>567</v>
      </c>
      <c r="C3418">
        <v>0</v>
      </c>
    </row>
    <row r="3419" spans="1:3" ht="15.75" x14ac:dyDescent="0.25">
      <c r="A3419">
        <v>790604</v>
      </c>
      <c r="B3419" t="s">
        <v>1437</v>
      </c>
      <c r="C3419">
        <v>0</v>
      </c>
    </row>
    <row r="3420" spans="1:3" ht="15.75" x14ac:dyDescent="0.25">
      <c r="A3420">
        <v>790605</v>
      </c>
      <c r="B3420" t="s">
        <v>568</v>
      </c>
      <c r="C3420">
        <v>0</v>
      </c>
    </row>
    <row r="3421" spans="1:3" ht="15.75" x14ac:dyDescent="0.25">
      <c r="A3421">
        <v>790606</v>
      </c>
      <c r="B3421" t="s">
        <v>1438</v>
      </c>
      <c r="C3421">
        <v>0</v>
      </c>
    </row>
    <row r="3422" spans="1:3" ht="15.75" x14ac:dyDescent="0.25">
      <c r="A3422">
        <v>790607</v>
      </c>
      <c r="B3422" t="s">
        <v>1439</v>
      </c>
      <c r="C3422">
        <v>0</v>
      </c>
    </row>
    <row r="3423" spans="1:3" ht="15.75" x14ac:dyDescent="0.25">
      <c r="A3423">
        <v>790608</v>
      </c>
      <c r="B3423" t="s">
        <v>1440</v>
      </c>
      <c r="C3423">
        <v>0</v>
      </c>
    </row>
    <row r="3424" spans="1:3" ht="15.75" x14ac:dyDescent="0.25">
      <c r="A3424">
        <v>790609</v>
      </c>
      <c r="B3424" t="s">
        <v>1441</v>
      </c>
      <c r="C3424">
        <v>0</v>
      </c>
    </row>
    <row r="3425" spans="1:3" ht="15.75" x14ac:dyDescent="0.25">
      <c r="A3425">
        <v>790610</v>
      </c>
      <c r="B3425" t="s">
        <v>1442</v>
      </c>
      <c r="C3425">
        <v>0</v>
      </c>
    </row>
    <row r="3426" spans="1:3" ht="15.75" x14ac:dyDescent="0.25">
      <c r="A3426">
        <v>790695</v>
      </c>
      <c r="B3426" t="s">
        <v>1443</v>
      </c>
      <c r="C3426">
        <v>0</v>
      </c>
    </row>
    <row r="3427" spans="1:3" ht="15.75" x14ac:dyDescent="0.25">
      <c r="A3427">
        <v>7907</v>
      </c>
      <c r="B3427" t="s">
        <v>1507</v>
      </c>
      <c r="C3427">
        <f>SUM(C3428:C3438)</f>
        <v>0</v>
      </c>
    </row>
    <row r="3428" spans="1:3" ht="15.75" x14ac:dyDescent="0.25">
      <c r="A3428">
        <v>790701</v>
      </c>
      <c r="B3428" t="s">
        <v>1435</v>
      </c>
      <c r="C3428">
        <v>0</v>
      </c>
    </row>
    <row r="3429" spans="1:3" ht="15.75" x14ac:dyDescent="0.25">
      <c r="A3429">
        <v>790702</v>
      </c>
      <c r="B3429" t="s">
        <v>1436</v>
      </c>
      <c r="C3429">
        <v>0</v>
      </c>
    </row>
    <row r="3430" spans="1:3" ht="15.75" x14ac:dyDescent="0.25">
      <c r="A3430">
        <v>790703</v>
      </c>
      <c r="B3430" t="s">
        <v>567</v>
      </c>
      <c r="C3430">
        <v>0</v>
      </c>
    </row>
    <row r="3431" spans="1:3" ht="15.75" x14ac:dyDescent="0.25">
      <c r="A3431">
        <v>790704</v>
      </c>
      <c r="B3431" t="s">
        <v>1437</v>
      </c>
      <c r="C3431">
        <v>0</v>
      </c>
    </row>
    <row r="3432" spans="1:3" ht="15.75" x14ac:dyDescent="0.25">
      <c r="A3432">
        <v>790705</v>
      </c>
      <c r="B3432" t="s">
        <v>568</v>
      </c>
      <c r="C3432">
        <v>0</v>
      </c>
    </row>
    <row r="3433" spans="1:3" ht="15.75" x14ac:dyDescent="0.25">
      <c r="A3433">
        <v>790706</v>
      </c>
      <c r="B3433" t="s">
        <v>1438</v>
      </c>
      <c r="C3433">
        <v>0</v>
      </c>
    </row>
    <row r="3434" spans="1:3" ht="15.75" x14ac:dyDescent="0.25">
      <c r="A3434">
        <v>790707</v>
      </c>
      <c r="B3434" t="s">
        <v>1439</v>
      </c>
      <c r="C3434">
        <v>0</v>
      </c>
    </row>
    <row r="3435" spans="1:3" ht="15.75" x14ac:dyDescent="0.25">
      <c r="A3435">
        <v>790708</v>
      </c>
      <c r="B3435" t="s">
        <v>1440</v>
      </c>
      <c r="C3435">
        <v>0</v>
      </c>
    </row>
    <row r="3436" spans="1:3" ht="15.75" x14ac:dyDescent="0.25">
      <c r="A3436">
        <v>790709</v>
      </c>
      <c r="B3436" t="s">
        <v>1441</v>
      </c>
      <c r="C3436">
        <v>0</v>
      </c>
    </row>
    <row r="3437" spans="1:3" ht="15.75" x14ac:dyDescent="0.25">
      <c r="A3437">
        <v>790710</v>
      </c>
      <c r="B3437" t="s">
        <v>1442</v>
      </c>
      <c r="C3437">
        <v>0</v>
      </c>
    </row>
    <row r="3438" spans="1:3" ht="15.75" x14ac:dyDescent="0.25">
      <c r="A3438">
        <v>790795</v>
      </c>
      <c r="B3438" t="s">
        <v>1443</v>
      </c>
      <c r="C3438">
        <v>0</v>
      </c>
    </row>
    <row r="3439" spans="1:3" ht="15.75" x14ac:dyDescent="0.25">
      <c r="A3439">
        <v>7908</v>
      </c>
      <c r="B3439" t="s">
        <v>1508</v>
      </c>
      <c r="C3439">
        <f>SUM(C3440:C3450)</f>
        <v>0</v>
      </c>
    </row>
    <row r="3440" spans="1:3" ht="15.75" x14ac:dyDescent="0.25">
      <c r="A3440">
        <v>790801</v>
      </c>
      <c r="B3440" t="s">
        <v>1435</v>
      </c>
      <c r="C3440">
        <v>0</v>
      </c>
    </row>
    <row r="3441" spans="1:3" ht="15.75" x14ac:dyDescent="0.25">
      <c r="A3441">
        <v>790802</v>
      </c>
      <c r="B3441" t="s">
        <v>1436</v>
      </c>
      <c r="C3441">
        <v>0</v>
      </c>
    </row>
    <row r="3442" spans="1:3" ht="15.75" x14ac:dyDescent="0.25">
      <c r="A3442">
        <v>790803</v>
      </c>
      <c r="B3442" t="s">
        <v>567</v>
      </c>
      <c r="C3442">
        <v>0</v>
      </c>
    </row>
    <row r="3443" spans="1:3" ht="15.75" x14ac:dyDescent="0.25">
      <c r="A3443">
        <v>790804</v>
      </c>
      <c r="B3443" t="s">
        <v>1437</v>
      </c>
      <c r="C3443">
        <v>0</v>
      </c>
    </row>
    <row r="3444" spans="1:3" ht="15.75" x14ac:dyDescent="0.25">
      <c r="A3444">
        <v>790805</v>
      </c>
      <c r="B3444" t="s">
        <v>568</v>
      </c>
      <c r="C3444">
        <v>0</v>
      </c>
    </row>
    <row r="3445" spans="1:3" ht="15.75" x14ac:dyDescent="0.25">
      <c r="A3445">
        <v>790806</v>
      </c>
      <c r="B3445" t="s">
        <v>1438</v>
      </c>
      <c r="C3445">
        <v>0</v>
      </c>
    </row>
    <row r="3446" spans="1:3" ht="15.75" x14ac:dyDescent="0.25">
      <c r="A3446">
        <v>790807</v>
      </c>
      <c r="B3446" t="s">
        <v>1439</v>
      </c>
      <c r="C3446">
        <v>0</v>
      </c>
    </row>
    <row r="3447" spans="1:3" ht="15.75" x14ac:dyDescent="0.25">
      <c r="A3447">
        <v>790808</v>
      </c>
      <c r="B3447" t="s">
        <v>1440</v>
      </c>
      <c r="C3447">
        <v>0</v>
      </c>
    </row>
    <row r="3448" spans="1:3" ht="15.75" x14ac:dyDescent="0.25">
      <c r="A3448">
        <v>790809</v>
      </c>
      <c r="B3448" t="s">
        <v>1441</v>
      </c>
      <c r="C3448">
        <v>0</v>
      </c>
    </row>
    <row r="3449" spans="1:3" ht="15.75" x14ac:dyDescent="0.25">
      <c r="A3449">
        <v>790810</v>
      </c>
      <c r="B3449" t="s">
        <v>1442</v>
      </c>
      <c r="C3449">
        <v>0</v>
      </c>
    </row>
    <row r="3450" spans="1:3" ht="15.75" x14ac:dyDescent="0.25">
      <c r="A3450">
        <v>790895</v>
      </c>
      <c r="B3450" t="s">
        <v>1443</v>
      </c>
      <c r="C3450">
        <v>0</v>
      </c>
    </row>
    <row r="3451" spans="1:3" ht="15.75" x14ac:dyDescent="0.25">
      <c r="A3451">
        <v>7910</v>
      </c>
      <c r="B3451" t="s">
        <v>1509</v>
      </c>
      <c r="C3451">
        <f>SUM(C3452:C3462)</f>
        <v>0</v>
      </c>
    </row>
    <row r="3452" spans="1:3" ht="15.75" x14ac:dyDescent="0.25">
      <c r="A3452">
        <v>791001</v>
      </c>
      <c r="B3452" t="s">
        <v>1435</v>
      </c>
      <c r="C3452">
        <v>0</v>
      </c>
    </row>
    <row r="3453" spans="1:3" ht="15.75" x14ac:dyDescent="0.25">
      <c r="A3453">
        <v>791002</v>
      </c>
      <c r="B3453" t="s">
        <v>1436</v>
      </c>
      <c r="C3453">
        <v>0</v>
      </c>
    </row>
    <row r="3454" spans="1:3" ht="15.75" x14ac:dyDescent="0.25">
      <c r="A3454">
        <v>791003</v>
      </c>
      <c r="B3454" t="s">
        <v>567</v>
      </c>
      <c r="C3454">
        <v>0</v>
      </c>
    </row>
    <row r="3455" spans="1:3" ht="15.75" x14ac:dyDescent="0.25">
      <c r="A3455">
        <v>791004</v>
      </c>
      <c r="B3455" t="s">
        <v>1437</v>
      </c>
      <c r="C3455">
        <v>0</v>
      </c>
    </row>
    <row r="3456" spans="1:3" ht="15.75" x14ac:dyDescent="0.25">
      <c r="A3456">
        <v>791005</v>
      </c>
      <c r="B3456" t="s">
        <v>568</v>
      </c>
      <c r="C3456">
        <v>0</v>
      </c>
    </row>
    <row r="3457" spans="1:3" ht="15.75" x14ac:dyDescent="0.25">
      <c r="A3457">
        <v>791006</v>
      </c>
      <c r="B3457" t="s">
        <v>1438</v>
      </c>
      <c r="C3457">
        <v>0</v>
      </c>
    </row>
    <row r="3458" spans="1:3" ht="15.75" x14ac:dyDescent="0.25">
      <c r="A3458">
        <v>791007</v>
      </c>
      <c r="B3458" t="s">
        <v>1439</v>
      </c>
      <c r="C3458">
        <v>0</v>
      </c>
    </row>
    <row r="3459" spans="1:3" ht="15.75" x14ac:dyDescent="0.25">
      <c r="A3459">
        <v>791008</v>
      </c>
      <c r="B3459" t="s">
        <v>1440</v>
      </c>
      <c r="C3459">
        <v>0</v>
      </c>
    </row>
    <row r="3460" spans="1:3" ht="15.75" x14ac:dyDescent="0.25">
      <c r="A3460">
        <v>791009</v>
      </c>
      <c r="B3460" t="s">
        <v>1441</v>
      </c>
      <c r="C3460">
        <v>0</v>
      </c>
    </row>
    <row r="3461" spans="1:3" ht="15.75" x14ac:dyDescent="0.25">
      <c r="A3461">
        <v>791010</v>
      </c>
      <c r="B3461" t="s">
        <v>1442</v>
      </c>
      <c r="C3461">
        <v>0</v>
      </c>
    </row>
    <row r="3462" spans="1:3" ht="15.75" x14ac:dyDescent="0.25">
      <c r="A3462">
        <v>791095</v>
      </c>
      <c r="B3462" t="s">
        <v>1443</v>
      </c>
      <c r="C3462">
        <v>0</v>
      </c>
    </row>
    <row r="3463" spans="1:3" ht="15.75" x14ac:dyDescent="0.25">
      <c r="A3463">
        <v>7911</v>
      </c>
      <c r="B3463" t="s">
        <v>1510</v>
      </c>
      <c r="C3463">
        <f>SUM(C3464:C3474)</f>
        <v>0</v>
      </c>
    </row>
    <row r="3464" spans="1:3" ht="15.75" x14ac:dyDescent="0.25">
      <c r="A3464">
        <v>791101</v>
      </c>
      <c r="B3464" t="s">
        <v>1435</v>
      </c>
      <c r="C3464">
        <v>0</v>
      </c>
    </row>
    <row r="3465" spans="1:3" ht="15.75" x14ac:dyDescent="0.25">
      <c r="A3465">
        <v>791102</v>
      </c>
      <c r="B3465" t="s">
        <v>1436</v>
      </c>
      <c r="C3465">
        <v>0</v>
      </c>
    </row>
    <row r="3466" spans="1:3" ht="15.75" x14ac:dyDescent="0.25">
      <c r="A3466">
        <v>791103</v>
      </c>
      <c r="B3466" t="s">
        <v>567</v>
      </c>
      <c r="C3466">
        <v>0</v>
      </c>
    </row>
    <row r="3467" spans="1:3" ht="15.75" x14ac:dyDescent="0.25">
      <c r="A3467">
        <v>791104</v>
      </c>
      <c r="B3467" t="s">
        <v>1437</v>
      </c>
      <c r="C3467">
        <v>0</v>
      </c>
    </row>
    <row r="3468" spans="1:3" ht="15.75" x14ac:dyDescent="0.25">
      <c r="A3468">
        <v>791105</v>
      </c>
      <c r="B3468" t="s">
        <v>568</v>
      </c>
      <c r="C3468">
        <v>0</v>
      </c>
    </row>
    <row r="3469" spans="1:3" ht="15.75" x14ac:dyDescent="0.25">
      <c r="A3469">
        <v>791106</v>
      </c>
      <c r="B3469" t="s">
        <v>1438</v>
      </c>
      <c r="C3469">
        <v>0</v>
      </c>
    </row>
    <row r="3470" spans="1:3" ht="15.75" x14ac:dyDescent="0.25">
      <c r="A3470">
        <v>791107</v>
      </c>
      <c r="B3470" t="s">
        <v>1439</v>
      </c>
      <c r="C3470">
        <v>0</v>
      </c>
    </row>
    <row r="3471" spans="1:3" ht="15.75" x14ac:dyDescent="0.25">
      <c r="A3471">
        <v>791108</v>
      </c>
      <c r="B3471" t="s">
        <v>1440</v>
      </c>
      <c r="C3471">
        <v>0</v>
      </c>
    </row>
    <row r="3472" spans="1:3" ht="15.75" x14ac:dyDescent="0.25">
      <c r="A3472">
        <v>791109</v>
      </c>
      <c r="B3472" t="s">
        <v>1441</v>
      </c>
      <c r="C3472">
        <v>0</v>
      </c>
    </row>
    <row r="3473" spans="1:3" ht="15.75" x14ac:dyDescent="0.25">
      <c r="A3473">
        <v>791110</v>
      </c>
      <c r="B3473" t="s">
        <v>1442</v>
      </c>
      <c r="C3473">
        <v>0</v>
      </c>
    </row>
    <row r="3474" spans="1:3" ht="15.75" x14ac:dyDescent="0.25">
      <c r="A3474">
        <v>791195</v>
      </c>
      <c r="B3474" t="s">
        <v>1443</v>
      </c>
      <c r="C3474">
        <v>0</v>
      </c>
    </row>
    <row r="3475" spans="1:3" ht="15.75" x14ac:dyDescent="0.25">
      <c r="A3475">
        <v>7912</v>
      </c>
      <c r="B3475" t="s">
        <v>1511</v>
      </c>
      <c r="C3475">
        <f>SUM(C3476:C3486)</f>
        <v>0</v>
      </c>
    </row>
    <row r="3476" spans="1:3" ht="15.75" x14ac:dyDescent="0.25">
      <c r="A3476">
        <v>791201</v>
      </c>
      <c r="B3476" t="s">
        <v>1435</v>
      </c>
      <c r="C3476">
        <v>0</v>
      </c>
    </row>
    <row r="3477" spans="1:3" ht="15.75" x14ac:dyDescent="0.25">
      <c r="A3477">
        <v>791202</v>
      </c>
      <c r="B3477" t="s">
        <v>1436</v>
      </c>
      <c r="C3477">
        <v>0</v>
      </c>
    </row>
    <row r="3478" spans="1:3" ht="15.75" x14ac:dyDescent="0.25">
      <c r="A3478">
        <v>791203</v>
      </c>
      <c r="B3478" t="s">
        <v>567</v>
      </c>
      <c r="C3478">
        <v>0</v>
      </c>
    </row>
    <row r="3479" spans="1:3" ht="15.75" x14ac:dyDescent="0.25">
      <c r="A3479">
        <v>791204</v>
      </c>
      <c r="B3479" t="s">
        <v>1437</v>
      </c>
      <c r="C3479">
        <v>0</v>
      </c>
    </row>
    <row r="3480" spans="1:3" ht="15.75" x14ac:dyDescent="0.25">
      <c r="A3480">
        <v>791205</v>
      </c>
      <c r="B3480" t="s">
        <v>568</v>
      </c>
      <c r="C3480">
        <v>0</v>
      </c>
    </row>
    <row r="3481" spans="1:3" ht="15.75" x14ac:dyDescent="0.25">
      <c r="A3481">
        <v>791206</v>
      </c>
      <c r="B3481" t="s">
        <v>1438</v>
      </c>
      <c r="C3481">
        <v>0</v>
      </c>
    </row>
    <row r="3482" spans="1:3" ht="15.75" x14ac:dyDescent="0.25">
      <c r="A3482">
        <v>791207</v>
      </c>
      <c r="B3482" t="s">
        <v>1439</v>
      </c>
      <c r="C3482">
        <v>0</v>
      </c>
    </row>
    <row r="3483" spans="1:3" ht="15.75" x14ac:dyDescent="0.25">
      <c r="A3483">
        <v>791208</v>
      </c>
      <c r="B3483" t="s">
        <v>1440</v>
      </c>
      <c r="C3483">
        <v>0</v>
      </c>
    </row>
    <row r="3484" spans="1:3" ht="15.75" x14ac:dyDescent="0.25">
      <c r="A3484">
        <v>791209</v>
      </c>
      <c r="B3484" t="s">
        <v>1441</v>
      </c>
      <c r="C3484">
        <v>0</v>
      </c>
    </row>
    <row r="3485" spans="1:3" ht="15.75" x14ac:dyDescent="0.25">
      <c r="A3485">
        <v>791210</v>
      </c>
      <c r="B3485" t="s">
        <v>1442</v>
      </c>
      <c r="C3485">
        <v>0</v>
      </c>
    </row>
    <row r="3486" spans="1:3" ht="15.75" x14ac:dyDescent="0.25">
      <c r="A3486">
        <v>791295</v>
      </c>
      <c r="B3486" t="s">
        <v>1443</v>
      </c>
      <c r="C3486">
        <v>0</v>
      </c>
    </row>
    <row r="3487" spans="1:3" ht="15.75" x14ac:dyDescent="0.25">
      <c r="A3487">
        <v>7990</v>
      </c>
      <c r="B3487" t="s">
        <v>1145</v>
      </c>
      <c r="C3487">
        <f>SUM(C3488:C3498)</f>
        <v>0</v>
      </c>
    </row>
    <row r="3488" spans="1:3" ht="15.75" x14ac:dyDescent="0.25">
      <c r="A3488">
        <v>799001</v>
      </c>
      <c r="B3488" t="s">
        <v>1435</v>
      </c>
      <c r="C3488">
        <v>0</v>
      </c>
    </row>
    <row r="3489" spans="1:3" ht="15.75" x14ac:dyDescent="0.25">
      <c r="A3489">
        <v>799002</v>
      </c>
      <c r="B3489" t="s">
        <v>1436</v>
      </c>
      <c r="C3489">
        <v>0</v>
      </c>
    </row>
    <row r="3490" spans="1:3" ht="15.75" x14ac:dyDescent="0.25">
      <c r="A3490">
        <v>799003</v>
      </c>
      <c r="B3490" t="s">
        <v>567</v>
      </c>
      <c r="C3490">
        <v>0</v>
      </c>
    </row>
    <row r="3491" spans="1:3" ht="15.75" x14ac:dyDescent="0.25">
      <c r="A3491">
        <v>799004</v>
      </c>
      <c r="B3491" t="s">
        <v>1437</v>
      </c>
      <c r="C3491">
        <v>0</v>
      </c>
    </row>
    <row r="3492" spans="1:3" ht="15.75" x14ac:dyDescent="0.25">
      <c r="A3492">
        <v>799005</v>
      </c>
      <c r="B3492" t="s">
        <v>568</v>
      </c>
      <c r="C3492">
        <v>0</v>
      </c>
    </row>
    <row r="3493" spans="1:3" ht="15.75" x14ac:dyDescent="0.25">
      <c r="A3493">
        <v>799006</v>
      </c>
      <c r="B3493" t="s">
        <v>1438</v>
      </c>
      <c r="C3493">
        <v>0</v>
      </c>
    </row>
    <row r="3494" spans="1:3" ht="15.75" x14ac:dyDescent="0.25">
      <c r="A3494">
        <v>799007</v>
      </c>
      <c r="B3494" t="s">
        <v>1439</v>
      </c>
      <c r="C3494">
        <v>0</v>
      </c>
    </row>
    <row r="3495" spans="1:3" ht="15.75" x14ac:dyDescent="0.25">
      <c r="A3495">
        <v>799008</v>
      </c>
      <c r="B3495" t="s">
        <v>1440</v>
      </c>
      <c r="C3495">
        <v>0</v>
      </c>
    </row>
    <row r="3496" spans="1:3" ht="15.75" x14ac:dyDescent="0.25">
      <c r="A3496">
        <v>799009</v>
      </c>
      <c r="B3496" t="s">
        <v>1441</v>
      </c>
      <c r="C3496">
        <v>0</v>
      </c>
    </row>
    <row r="3497" spans="1:3" ht="15.75" x14ac:dyDescent="0.25">
      <c r="A3497">
        <v>799010</v>
      </c>
      <c r="B3497" t="s">
        <v>1442</v>
      </c>
      <c r="C3497">
        <v>0</v>
      </c>
    </row>
    <row r="3498" spans="1:3" ht="15.75" x14ac:dyDescent="0.25">
      <c r="A3498">
        <v>799095</v>
      </c>
      <c r="B3498" t="s">
        <v>1443</v>
      </c>
      <c r="C3498">
        <v>0</v>
      </c>
    </row>
    <row r="3499" spans="1:3" ht="15.75" x14ac:dyDescent="0.25">
      <c r="A3499">
        <v>8</v>
      </c>
      <c r="B3499" t="s">
        <v>1512</v>
      </c>
      <c r="C3499">
        <v>0</v>
      </c>
    </row>
    <row r="3500" spans="1:3" ht="15.75" x14ac:dyDescent="0.25">
      <c r="A3500">
        <v>81</v>
      </c>
      <c r="B3500" t="s">
        <v>1513</v>
      </c>
      <c r="C3500">
        <v>0</v>
      </c>
    </row>
    <row r="3501" spans="1:3" ht="15.75" x14ac:dyDescent="0.25">
      <c r="A3501">
        <v>8120</v>
      </c>
      <c r="B3501" t="s">
        <v>1514</v>
      </c>
      <c r="C3501">
        <f>SUM(C3502:C3507)</f>
        <v>0</v>
      </c>
    </row>
    <row r="3502" spans="1:3" ht="15.75" x14ac:dyDescent="0.25">
      <c r="A3502">
        <v>812001</v>
      </c>
      <c r="B3502" t="s">
        <v>911</v>
      </c>
      <c r="C3502">
        <v>0</v>
      </c>
    </row>
    <row r="3503" spans="1:3" ht="15.75" x14ac:dyDescent="0.25">
      <c r="A3503">
        <v>812002</v>
      </c>
      <c r="B3503" t="s">
        <v>915</v>
      </c>
      <c r="C3503">
        <v>0</v>
      </c>
    </row>
    <row r="3504" spans="1:3" ht="15.75" x14ac:dyDescent="0.25">
      <c r="A3504">
        <v>812003</v>
      </c>
      <c r="B3504" t="s">
        <v>912</v>
      </c>
      <c r="C3504">
        <v>0</v>
      </c>
    </row>
    <row r="3505" spans="1:3" ht="15.75" x14ac:dyDescent="0.25">
      <c r="A3505">
        <v>812004</v>
      </c>
      <c r="B3505" t="s">
        <v>913</v>
      </c>
      <c r="C3505">
        <v>0</v>
      </c>
    </row>
    <row r="3506" spans="1:3" ht="15.75" x14ac:dyDescent="0.25">
      <c r="A3506">
        <v>812005</v>
      </c>
      <c r="B3506" t="s">
        <v>1515</v>
      </c>
      <c r="C3506">
        <v>0</v>
      </c>
    </row>
    <row r="3507" spans="1:3" ht="15.75" x14ac:dyDescent="0.25">
      <c r="A3507">
        <v>812090</v>
      </c>
      <c r="B3507" t="s">
        <v>1516</v>
      </c>
      <c r="C3507">
        <v>0</v>
      </c>
    </row>
    <row r="3508" spans="1:3" ht="15.75" x14ac:dyDescent="0.25">
      <c r="A3508">
        <v>8128</v>
      </c>
      <c r="B3508" t="s">
        <v>1517</v>
      </c>
      <c r="C3508">
        <f>SUM(C3509:C3516)</f>
        <v>0</v>
      </c>
    </row>
    <row r="3509" spans="1:3" ht="15.75" x14ac:dyDescent="0.25">
      <c r="A3509">
        <v>812801</v>
      </c>
      <c r="B3509" t="s">
        <v>1518</v>
      </c>
      <c r="C3509">
        <v>0</v>
      </c>
    </row>
    <row r="3510" spans="1:3" ht="15.75" x14ac:dyDescent="0.25">
      <c r="A3510">
        <v>812802</v>
      </c>
      <c r="B3510" t="s">
        <v>1519</v>
      </c>
      <c r="C3510">
        <v>0</v>
      </c>
    </row>
    <row r="3511" spans="1:3" ht="15.75" x14ac:dyDescent="0.25">
      <c r="A3511">
        <v>812803</v>
      </c>
      <c r="B3511" t="s">
        <v>1520</v>
      </c>
      <c r="C3511">
        <v>0</v>
      </c>
    </row>
    <row r="3512" spans="1:3" ht="15.75" x14ac:dyDescent="0.25">
      <c r="A3512">
        <v>812804</v>
      </c>
      <c r="B3512" t="s">
        <v>1521</v>
      </c>
      <c r="C3512">
        <v>0</v>
      </c>
    </row>
    <row r="3513" spans="1:3" ht="15.75" x14ac:dyDescent="0.25">
      <c r="A3513">
        <v>812805</v>
      </c>
      <c r="B3513" t="s">
        <v>1522</v>
      </c>
      <c r="C3513">
        <v>0</v>
      </c>
    </row>
    <row r="3514" spans="1:3" ht="15.75" x14ac:dyDescent="0.25">
      <c r="A3514">
        <v>812806</v>
      </c>
      <c r="B3514" t="s">
        <v>1523</v>
      </c>
      <c r="C3514">
        <v>0</v>
      </c>
    </row>
    <row r="3515" spans="1:3" ht="15.75" x14ac:dyDescent="0.25">
      <c r="A3515">
        <v>812807</v>
      </c>
      <c r="B3515" t="s">
        <v>1524</v>
      </c>
      <c r="C3515">
        <v>0</v>
      </c>
    </row>
    <row r="3516" spans="1:3" ht="15.75" x14ac:dyDescent="0.25">
      <c r="A3516">
        <v>812890</v>
      </c>
      <c r="B3516" t="s">
        <v>1525</v>
      </c>
      <c r="C3516">
        <v>0</v>
      </c>
    </row>
    <row r="3517" spans="1:3" ht="15.75" x14ac:dyDescent="0.25">
      <c r="A3517">
        <v>8129</v>
      </c>
      <c r="B3517" t="s">
        <v>1526</v>
      </c>
      <c r="C3517">
        <f>SUM(C3518:C3519)</f>
        <v>0</v>
      </c>
    </row>
    <row r="3518" spans="1:3" ht="15.75" x14ac:dyDescent="0.25">
      <c r="A3518">
        <v>812907</v>
      </c>
      <c r="B3518" t="s">
        <v>1527</v>
      </c>
      <c r="C3518">
        <v>0</v>
      </c>
    </row>
    <row r="3519" spans="1:3" ht="15.75" x14ac:dyDescent="0.25">
      <c r="A3519">
        <v>812908</v>
      </c>
      <c r="B3519" t="s">
        <v>1528</v>
      </c>
      <c r="C3519">
        <v>0</v>
      </c>
    </row>
    <row r="3520" spans="1:3" ht="15.75" x14ac:dyDescent="0.25">
      <c r="A3520">
        <v>8190</v>
      </c>
      <c r="B3520" t="s">
        <v>1529</v>
      </c>
      <c r="C3520">
        <f>SUM(C3521:C3523)</f>
        <v>0</v>
      </c>
    </row>
    <row r="3521" spans="1:3" ht="15.75" x14ac:dyDescent="0.25">
      <c r="A3521">
        <v>819002</v>
      </c>
      <c r="B3521" t="s">
        <v>1530</v>
      </c>
      <c r="C3521">
        <v>0</v>
      </c>
    </row>
    <row r="3522" spans="1:3" ht="15.75" x14ac:dyDescent="0.25">
      <c r="A3522">
        <v>819003</v>
      </c>
      <c r="B3522" t="s">
        <v>251</v>
      </c>
      <c r="C3522">
        <v>0</v>
      </c>
    </row>
    <row r="3523" spans="1:3" ht="15.75" x14ac:dyDescent="0.25">
      <c r="A3523">
        <v>819090</v>
      </c>
      <c r="B3523" t="s">
        <v>1531</v>
      </c>
      <c r="C3523">
        <v>0</v>
      </c>
    </row>
    <row r="3524" spans="1:3" ht="15.75" x14ac:dyDescent="0.25">
      <c r="A3524">
        <v>82</v>
      </c>
      <c r="B3524" t="s">
        <v>1532</v>
      </c>
      <c r="C3524">
        <v>0</v>
      </c>
    </row>
    <row r="3525" spans="1:3" ht="15.75" x14ac:dyDescent="0.25">
      <c r="A3525">
        <v>83</v>
      </c>
      <c r="B3525" t="s">
        <v>1533</v>
      </c>
      <c r="C3525">
        <v>0</v>
      </c>
    </row>
    <row r="3526" spans="1:3" ht="15.75" x14ac:dyDescent="0.25">
      <c r="A3526">
        <v>8301</v>
      </c>
      <c r="B3526" t="s">
        <v>1534</v>
      </c>
      <c r="C3526">
        <f>SUM(C3527:C3528)</f>
        <v>0</v>
      </c>
    </row>
    <row r="3527" spans="1:3" ht="15.75" x14ac:dyDescent="0.25">
      <c r="A3527">
        <v>830101</v>
      </c>
      <c r="B3527" t="s">
        <v>1535</v>
      </c>
      <c r="C3527">
        <v>0</v>
      </c>
    </row>
    <row r="3528" spans="1:3" ht="15.75" x14ac:dyDescent="0.25">
      <c r="A3528">
        <v>830102</v>
      </c>
      <c r="B3528" t="s">
        <v>618</v>
      </c>
      <c r="C3528">
        <v>0</v>
      </c>
    </row>
    <row r="3529" spans="1:3" ht="15.75" x14ac:dyDescent="0.25">
      <c r="A3529">
        <v>8306</v>
      </c>
      <c r="B3529" t="s">
        <v>1536</v>
      </c>
      <c r="C3529">
        <f>SUM(C3530:C3535)</f>
        <v>0</v>
      </c>
    </row>
    <row r="3530" spans="1:3" ht="15.75" x14ac:dyDescent="0.25">
      <c r="A3530">
        <v>830601</v>
      </c>
      <c r="B3530" t="s">
        <v>550</v>
      </c>
      <c r="C3530">
        <v>0</v>
      </c>
    </row>
    <row r="3531" spans="1:3" ht="15.75" x14ac:dyDescent="0.25">
      <c r="A3531">
        <v>830602</v>
      </c>
      <c r="B3531" t="s">
        <v>637</v>
      </c>
      <c r="C3531">
        <v>0</v>
      </c>
    </row>
    <row r="3532" spans="1:3" ht="15.75" x14ac:dyDescent="0.25">
      <c r="A3532">
        <v>830616</v>
      </c>
      <c r="B3532" t="s">
        <v>1537</v>
      </c>
      <c r="C3532">
        <v>0</v>
      </c>
    </row>
    <row r="3533" spans="1:3" ht="15.75" x14ac:dyDescent="0.25">
      <c r="A3533">
        <v>830617</v>
      </c>
      <c r="B3533" t="s">
        <v>552</v>
      </c>
      <c r="C3533">
        <v>0</v>
      </c>
    </row>
    <row r="3534" spans="1:3" ht="15.75" x14ac:dyDescent="0.25">
      <c r="A3534">
        <v>830618</v>
      </c>
      <c r="B3534" t="s">
        <v>554</v>
      </c>
      <c r="C3534">
        <v>0</v>
      </c>
    </row>
    <row r="3535" spans="1:3" ht="15.75" x14ac:dyDescent="0.25">
      <c r="A3535">
        <v>830690</v>
      </c>
      <c r="B3535" t="s">
        <v>1538</v>
      </c>
      <c r="C3535">
        <v>0</v>
      </c>
    </row>
    <row r="3536" spans="1:3" ht="15.75" x14ac:dyDescent="0.25">
      <c r="A3536">
        <v>8310</v>
      </c>
      <c r="B3536" t="s">
        <v>1539</v>
      </c>
      <c r="C3536">
        <f>SUM(C3537:C3541)</f>
        <v>0</v>
      </c>
    </row>
    <row r="3537" spans="1:3" ht="15.75" x14ac:dyDescent="0.25">
      <c r="A3537">
        <v>831001</v>
      </c>
      <c r="B3537" t="s">
        <v>1540</v>
      </c>
      <c r="C3537">
        <v>0</v>
      </c>
    </row>
    <row r="3538" spans="1:3" ht="15.75" x14ac:dyDescent="0.25">
      <c r="A3538">
        <v>831002</v>
      </c>
      <c r="B3538" t="s">
        <v>1541</v>
      </c>
      <c r="C3538">
        <v>0</v>
      </c>
    </row>
    <row r="3539" spans="1:3" ht="15.75" x14ac:dyDescent="0.25">
      <c r="A3539">
        <v>831003</v>
      </c>
      <c r="B3539" t="s">
        <v>1542</v>
      </c>
      <c r="C3539">
        <v>0</v>
      </c>
    </row>
    <row r="3540" spans="1:3" ht="15.75" x14ac:dyDescent="0.25">
      <c r="A3540">
        <v>831005</v>
      </c>
      <c r="B3540" t="s">
        <v>111</v>
      </c>
      <c r="C3540">
        <v>0</v>
      </c>
    </row>
    <row r="3541" spans="1:3" ht="15.75" x14ac:dyDescent="0.25">
      <c r="A3541">
        <v>831090</v>
      </c>
      <c r="B3541" t="s">
        <v>1543</v>
      </c>
      <c r="C3541">
        <v>0</v>
      </c>
    </row>
    <row r="3542" spans="1:3" ht="15.75" x14ac:dyDescent="0.25">
      <c r="A3542">
        <v>8312</v>
      </c>
      <c r="B3542" t="s">
        <v>1544</v>
      </c>
      <c r="C3542">
        <f>SUM(C3543:C3546)</f>
        <v>0</v>
      </c>
    </row>
    <row r="3543" spans="1:3" ht="15.75" x14ac:dyDescent="0.25">
      <c r="A3543">
        <v>831201</v>
      </c>
      <c r="B3543" t="s">
        <v>55</v>
      </c>
      <c r="C3543">
        <v>0</v>
      </c>
    </row>
    <row r="3544" spans="1:3" ht="15.75" x14ac:dyDescent="0.25">
      <c r="A3544">
        <v>831202</v>
      </c>
      <c r="B3544" t="s">
        <v>1545</v>
      </c>
      <c r="C3544">
        <v>0</v>
      </c>
    </row>
    <row r="3545" spans="1:3" ht="15.75" x14ac:dyDescent="0.25">
      <c r="A3545">
        <v>831203</v>
      </c>
      <c r="B3545" t="s">
        <v>1546</v>
      </c>
      <c r="C3545">
        <v>0</v>
      </c>
    </row>
    <row r="3546" spans="1:3" ht="15.75" x14ac:dyDescent="0.25">
      <c r="A3546">
        <v>831290</v>
      </c>
      <c r="B3546" t="s">
        <v>1547</v>
      </c>
      <c r="C3546">
        <v>0</v>
      </c>
    </row>
    <row r="3547" spans="1:3" ht="15.75" x14ac:dyDescent="0.25">
      <c r="A3547">
        <v>8313</v>
      </c>
      <c r="B3547" t="s">
        <v>1548</v>
      </c>
      <c r="C3547">
        <f>SUM(C3548)</f>
        <v>0</v>
      </c>
    </row>
    <row r="3548" spans="1:3" ht="15.75" x14ac:dyDescent="0.25">
      <c r="A3548">
        <v>831301</v>
      </c>
      <c r="B3548" t="s">
        <v>1549</v>
      </c>
      <c r="C3548">
        <v>0</v>
      </c>
    </row>
    <row r="3549" spans="1:3" ht="15.75" x14ac:dyDescent="0.25">
      <c r="A3549">
        <v>8315</v>
      </c>
      <c r="B3549" t="s">
        <v>1550</v>
      </c>
      <c r="C3549">
        <f>SUM(C3550:C3557)</f>
        <v>0</v>
      </c>
    </row>
    <row r="3550" spans="1:3" ht="15.75" x14ac:dyDescent="0.25">
      <c r="A3550">
        <v>831510</v>
      </c>
      <c r="B3550" t="s">
        <v>552</v>
      </c>
      <c r="C3550">
        <v>0</v>
      </c>
    </row>
    <row r="3551" spans="1:3" ht="15.75" x14ac:dyDescent="0.25">
      <c r="A3551">
        <v>831532</v>
      </c>
      <c r="B3551" t="s">
        <v>1551</v>
      </c>
      <c r="C3551">
        <v>0</v>
      </c>
    </row>
    <row r="3552" spans="1:3" ht="15.75" x14ac:dyDescent="0.25">
      <c r="A3552">
        <v>831533</v>
      </c>
      <c r="B3552" t="s">
        <v>1552</v>
      </c>
      <c r="C3552">
        <v>0</v>
      </c>
    </row>
    <row r="3553" spans="1:3" ht="15.75" x14ac:dyDescent="0.25">
      <c r="A3553">
        <v>831534</v>
      </c>
      <c r="B3553" t="s">
        <v>550</v>
      </c>
      <c r="C3553">
        <v>0</v>
      </c>
    </row>
    <row r="3554" spans="1:3" ht="15.75" x14ac:dyDescent="0.25">
      <c r="A3554">
        <v>831535</v>
      </c>
      <c r="B3554" t="s">
        <v>225</v>
      </c>
      <c r="C3554">
        <v>0</v>
      </c>
    </row>
    <row r="3555" spans="1:3" ht="15.75" x14ac:dyDescent="0.25">
      <c r="A3555">
        <v>831536</v>
      </c>
      <c r="B3555" t="s">
        <v>286</v>
      </c>
      <c r="C3555">
        <v>0</v>
      </c>
    </row>
    <row r="3556" spans="1:3" ht="15.75" x14ac:dyDescent="0.25">
      <c r="A3556">
        <v>831537</v>
      </c>
      <c r="B3556" t="s">
        <v>637</v>
      </c>
      <c r="C3556">
        <v>0</v>
      </c>
    </row>
    <row r="3557" spans="1:3" ht="15.75" x14ac:dyDescent="0.25">
      <c r="A3557">
        <v>831590</v>
      </c>
      <c r="B3557" t="s">
        <v>1553</v>
      </c>
      <c r="C3557">
        <v>0</v>
      </c>
    </row>
    <row r="3558" spans="1:3" ht="15.75" x14ac:dyDescent="0.25">
      <c r="A3558">
        <v>8333</v>
      </c>
      <c r="B3558" t="s">
        <v>1554</v>
      </c>
      <c r="C3558">
        <f>SUM(C3559:C3574)</f>
        <v>0</v>
      </c>
    </row>
    <row r="3559" spans="1:3" ht="15.75" x14ac:dyDescent="0.25">
      <c r="A3559">
        <v>833301</v>
      </c>
      <c r="B3559" t="s">
        <v>1555</v>
      </c>
      <c r="C3559">
        <v>0</v>
      </c>
    </row>
    <row r="3560" spans="1:3" ht="15.75" x14ac:dyDescent="0.25">
      <c r="A3560">
        <v>833302</v>
      </c>
      <c r="B3560" t="s">
        <v>1556</v>
      </c>
      <c r="C3560">
        <v>0</v>
      </c>
    </row>
    <row r="3561" spans="1:3" ht="15.75" x14ac:dyDescent="0.25">
      <c r="A3561">
        <v>833303</v>
      </c>
      <c r="B3561" t="s">
        <v>1557</v>
      </c>
      <c r="C3561">
        <v>0</v>
      </c>
    </row>
    <row r="3562" spans="1:3" ht="15.75" x14ac:dyDescent="0.25">
      <c r="A3562">
        <v>833304</v>
      </c>
      <c r="B3562" t="s">
        <v>1558</v>
      </c>
      <c r="C3562">
        <v>0</v>
      </c>
    </row>
    <row r="3563" spans="1:3" ht="15.75" x14ac:dyDescent="0.25">
      <c r="A3563">
        <v>833305</v>
      </c>
      <c r="B3563" t="s">
        <v>1559</v>
      </c>
      <c r="C3563">
        <v>0</v>
      </c>
    </row>
    <row r="3564" spans="1:3" ht="15.75" x14ac:dyDescent="0.25">
      <c r="A3564">
        <v>833306</v>
      </c>
      <c r="B3564" t="s">
        <v>1560</v>
      </c>
      <c r="C3564">
        <v>0</v>
      </c>
    </row>
    <row r="3565" spans="1:3" ht="15.75" x14ac:dyDescent="0.25">
      <c r="A3565">
        <v>833307</v>
      </c>
      <c r="B3565" t="s">
        <v>1561</v>
      </c>
      <c r="C3565">
        <v>0</v>
      </c>
    </row>
    <row r="3566" spans="1:3" ht="15.75" x14ac:dyDescent="0.25">
      <c r="A3566">
        <v>833308</v>
      </c>
      <c r="B3566" t="s">
        <v>1562</v>
      </c>
      <c r="C3566">
        <v>0</v>
      </c>
    </row>
    <row r="3567" spans="1:3" ht="15.75" x14ac:dyDescent="0.25">
      <c r="A3567">
        <v>833309</v>
      </c>
      <c r="B3567" t="s">
        <v>1563</v>
      </c>
      <c r="C3567">
        <v>0</v>
      </c>
    </row>
    <row r="3568" spans="1:3" ht="15.75" x14ac:dyDescent="0.25">
      <c r="A3568">
        <v>833310</v>
      </c>
      <c r="B3568" t="s">
        <v>1564</v>
      </c>
      <c r="C3568">
        <v>0</v>
      </c>
    </row>
    <row r="3569" spans="1:3" ht="15.75" x14ac:dyDescent="0.25">
      <c r="A3569">
        <v>833311</v>
      </c>
      <c r="B3569" t="s">
        <v>1565</v>
      </c>
      <c r="C3569">
        <v>0</v>
      </c>
    </row>
    <row r="3570" spans="1:3" ht="15.75" x14ac:dyDescent="0.25">
      <c r="A3570">
        <v>833312</v>
      </c>
      <c r="B3570" t="s">
        <v>1566</v>
      </c>
      <c r="C3570">
        <v>0</v>
      </c>
    </row>
    <row r="3571" spans="1:3" ht="15.75" x14ac:dyDescent="0.25">
      <c r="A3571">
        <v>833313</v>
      </c>
      <c r="B3571" t="s">
        <v>1567</v>
      </c>
      <c r="C3571">
        <v>0</v>
      </c>
    </row>
    <row r="3572" spans="1:3" ht="15.75" x14ac:dyDescent="0.25">
      <c r="A3572">
        <v>833314</v>
      </c>
      <c r="B3572" t="s">
        <v>192</v>
      </c>
      <c r="C3572">
        <v>0</v>
      </c>
    </row>
    <row r="3573" spans="1:3" ht="15.75" x14ac:dyDescent="0.25">
      <c r="A3573">
        <v>833315</v>
      </c>
      <c r="B3573" t="s">
        <v>1568</v>
      </c>
      <c r="C3573">
        <v>0</v>
      </c>
    </row>
    <row r="3574" spans="1:3" ht="15.75" x14ac:dyDescent="0.25">
      <c r="A3574">
        <v>833390</v>
      </c>
      <c r="B3574" t="s">
        <v>194</v>
      </c>
      <c r="C3574">
        <v>0</v>
      </c>
    </row>
    <row r="3575" spans="1:3" ht="15.75" x14ac:dyDescent="0.25">
      <c r="A3575">
        <v>8344</v>
      </c>
      <c r="B3575" t="s">
        <v>1569</v>
      </c>
      <c r="C3575">
        <f>SUM(C3576:C3577)</f>
        <v>0</v>
      </c>
    </row>
    <row r="3576" spans="1:3" ht="15.75" x14ac:dyDescent="0.25">
      <c r="A3576">
        <v>834404</v>
      </c>
      <c r="B3576" t="s">
        <v>1570</v>
      </c>
      <c r="C3576">
        <v>0</v>
      </c>
    </row>
    <row r="3577" spans="1:3" ht="15.75" x14ac:dyDescent="0.25">
      <c r="A3577">
        <v>834405</v>
      </c>
      <c r="B3577" t="s">
        <v>1571</v>
      </c>
      <c r="C3577">
        <v>0</v>
      </c>
    </row>
    <row r="3578" spans="1:3" ht="15.75" x14ac:dyDescent="0.25">
      <c r="A3578">
        <v>8347</v>
      </c>
      <c r="B3578" t="s">
        <v>1572</v>
      </c>
      <c r="C3578">
        <f>SUM(C3579:C3582)</f>
        <v>0</v>
      </c>
    </row>
    <row r="3579" spans="1:3" ht="15.75" x14ac:dyDescent="0.25">
      <c r="A3579">
        <v>834704</v>
      </c>
      <c r="B3579" t="s">
        <v>552</v>
      </c>
      <c r="C3579">
        <v>0</v>
      </c>
    </row>
    <row r="3580" spans="1:3" ht="15.75" x14ac:dyDescent="0.25">
      <c r="A3580">
        <v>834705</v>
      </c>
      <c r="B3580" t="s">
        <v>1573</v>
      </c>
      <c r="C3580">
        <v>0</v>
      </c>
    </row>
    <row r="3581" spans="1:3" ht="15.75" x14ac:dyDescent="0.25">
      <c r="A3581">
        <v>834707</v>
      </c>
      <c r="B3581" t="s">
        <v>638</v>
      </c>
      <c r="C3581">
        <v>0</v>
      </c>
    </row>
    <row r="3582" spans="1:3" ht="15.75" x14ac:dyDescent="0.25">
      <c r="A3582">
        <v>834790</v>
      </c>
      <c r="B3582" t="s">
        <v>1574</v>
      </c>
      <c r="C3582">
        <v>0</v>
      </c>
    </row>
    <row r="3583" spans="1:3" ht="15.75" x14ac:dyDescent="0.25">
      <c r="A3583">
        <v>8350</v>
      </c>
      <c r="B3583" t="s">
        <v>1575</v>
      </c>
      <c r="C3583">
        <f>SUM(C3584:C3585)</f>
        <v>0</v>
      </c>
    </row>
    <row r="3584" spans="1:3" ht="15.75" x14ac:dyDescent="0.25">
      <c r="A3584">
        <v>835013</v>
      </c>
      <c r="B3584" t="s">
        <v>1576</v>
      </c>
      <c r="C3584">
        <v>0</v>
      </c>
    </row>
    <row r="3585" spans="1:3" ht="15.75" x14ac:dyDescent="0.25">
      <c r="A3585">
        <v>835014</v>
      </c>
      <c r="B3585" t="s">
        <v>1577</v>
      </c>
      <c r="C3585">
        <v>0</v>
      </c>
    </row>
    <row r="3586" spans="1:3" ht="15.75" x14ac:dyDescent="0.25">
      <c r="A3586">
        <v>8355</v>
      </c>
      <c r="B3586" t="s">
        <v>1578</v>
      </c>
      <c r="C3586">
        <f>SUM(C3587:C3588)</f>
        <v>0</v>
      </c>
    </row>
    <row r="3587" spans="1:3" ht="15.75" x14ac:dyDescent="0.25">
      <c r="A3587">
        <v>835510</v>
      </c>
      <c r="B3587" t="s">
        <v>1570</v>
      </c>
      <c r="C3587">
        <v>0</v>
      </c>
    </row>
    <row r="3588" spans="1:3" ht="15.75" x14ac:dyDescent="0.25">
      <c r="A3588">
        <v>835511</v>
      </c>
      <c r="B3588" t="s">
        <v>1579</v>
      </c>
      <c r="C3588">
        <v>0</v>
      </c>
    </row>
    <row r="3589" spans="1:3" ht="15.75" x14ac:dyDescent="0.25">
      <c r="A3589">
        <v>8361</v>
      </c>
      <c r="B3589" t="s">
        <v>1580</v>
      </c>
      <c r="C3589">
        <f>SUM(C3590:C3591)</f>
        <v>0</v>
      </c>
    </row>
    <row r="3590" spans="1:3" ht="15.75" x14ac:dyDescent="0.25">
      <c r="A3590">
        <v>836101</v>
      </c>
      <c r="B3590" t="s">
        <v>1581</v>
      </c>
      <c r="C3590">
        <v>0</v>
      </c>
    </row>
    <row r="3591" spans="1:3" ht="15.75" x14ac:dyDescent="0.25">
      <c r="A3591">
        <v>836102</v>
      </c>
      <c r="B3591" t="s">
        <v>1582</v>
      </c>
      <c r="C3591">
        <v>0</v>
      </c>
    </row>
    <row r="3592" spans="1:3" ht="15.75" x14ac:dyDescent="0.25">
      <c r="A3592">
        <v>8366</v>
      </c>
      <c r="B3592" t="s">
        <v>1583</v>
      </c>
      <c r="C3592">
        <f>SUM(C3593:C3594)</f>
        <v>0</v>
      </c>
    </row>
    <row r="3593" spans="1:3" ht="15.75" x14ac:dyDescent="0.25">
      <c r="A3593">
        <v>836601</v>
      </c>
      <c r="B3593" t="s">
        <v>1584</v>
      </c>
      <c r="C3593">
        <v>0</v>
      </c>
    </row>
    <row r="3594" spans="1:3" ht="15.75" x14ac:dyDescent="0.25">
      <c r="A3594">
        <v>836602</v>
      </c>
      <c r="B3594" t="s">
        <v>1585</v>
      </c>
      <c r="C3594">
        <v>0</v>
      </c>
    </row>
    <row r="3595" spans="1:3" ht="15.75" x14ac:dyDescent="0.25">
      <c r="A3595">
        <v>8367</v>
      </c>
      <c r="B3595" t="s">
        <v>1586</v>
      </c>
      <c r="C3595">
        <f>SUM(C3596:C3603)</f>
        <v>0</v>
      </c>
    </row>
    <row r="3596" spans="1:3" ht="15.75" x14ac:dyDescent="0.25">
      <c r="A3596">
        <v>836701</v>
      </c>
      <c r="B3596" t="s">
        <v>1587</v>
      </c>
      <c r="C3596">
        <v>0</v>
      </c>
    </row>
    <row r="3597" spans="1:3" ht="15.75" x14ac:dyDescent="0.25">
      <c r="A3597">
        <v>836702</v>
      </c>
      <c r="B3597" t="s">
        <v>1588</v>
      </c>
      <c r="C3597">
        <v>0</v>
      </c>
    </row>
    <row r="3598" spans="1:3" ht="15.75" x14ac:dyDescent="0.25">
      <c r="A3598">
        <v>836703</v>
      </c>
      <c r="B3598" t="s">
        <v>1589</v>
      </c>
      <c r="C3598">
        <v>0</v>
      </c>
    </row>
    <row r="3599" spans="1:3" ht="15.75" x14ac:dyDescent="0.25">
      <c r="A3599">
        <v>836704</v>
      </c>
      <c r="B3599" t="s">
        <v>1590</v>
      </c>
      <c r="C3599">
        <v>0</v>
      </c>
    </row>
    <row r="3600" spans="1:3" ht="15.75" x14ac:dyDescent="0.25">
      <c r="A3600">
        <v>836705</v>
      </c>
      <c r="B3600" t="s">
        <v>1591</v>
      </c>
      <c r="C3600">
        <v>0</v>
      </c>
    </row>
    <row r="3601" spans="1:3" ht="15.75" x14ac:dyDescent="0.25">
      <c r="A3601">
        <v>836706</v>
      </c>
      <c r="B3601" t="s">
        <v>384</v>
      </c>
      <c r="C3601">
        <v>0</v>
      </c>
    </row>
    <row r="3602" spans="1:3" ht="15.75" x14ac:dyDescent="0.25">
      <c r="A3602">
        <v>836707</v>
      </c>
      <c r="B3602" t="s">
        <v>1592</v>
      </c>
      <c r="C3602">
        <v>0</v>
      </c>
    </row>
    <row r="3603" spans="1:3" ht="15.75" x14ac:dyDescent="0.25">
      <c r="A3603">
        <v>836790</v>
      </c>
      <c r="B3603" t="s">
        <v>1593</v>
      </c>
      <c r="C3603">
        <v>0</v>
      </c>
    </row>
    <row r="3604" spans="1:3" ht="15.75" x14ac:dyDescent="0.25">
      <c r="A3604">
        <v>8368</v>
      </c>
      <c r="B3604" t="s">
        <v>1594</v>
      </c>
      <c r="C3604">
        <f>SUM(C3605:C3611)</f>
        <v>0</v>
      </c>
    </row>
    <row r="3605" spans="1:3" ht="15.75" x14ac:dyDescent="0.25">
      <c r="A3605">
        <v>836801</v>
      </c>
      <c r="B3605" t="s">
        <v>1595</v>
      </c>
      <c r="C3605">
        <v>0</v>
      </c>
    </row>
    <row r="3606" spans="1:3" ht="15.75" x14ac:dyDescent="0.25">
      <c r="A3606">
        <v>836802</v>
      </c>
      <c r="B3606" t="s">
        <v>1592</v>
      </c>
      <c r="C3606">
        <v>0</v>
      </c>
    </row>
    <row r="3607" spans="1:3" ht="15.75" x14ac:dyDescent="0.25">
      <c r="A3607">
        <v>836803</v>
      </c>
      <c r="B3607" t="s">
        <v>524</v>
      </c>
      <c r="C3607">
        <v>0</v>
      </c>
    </row>
    <row r="3608" spans="1:3" ht="15.75" x14ac:dyDescent="0.25">
      <c r="A3608">
        <v>836804</v>
      </c>
      <c r="B3608" t="s">
        <v>1596</v>
      </c>
      <c r="C3608">
        <v>0</v>
      </c>
    </row>
    <row r="3609" spans="1:3" ht="15.75" x14ac:dyDescent="0.25">
      <c r="A3609">
        <v>836808</v>
      </c>
      <c r="B3609" t="s">
        <v>527</v>
      </c>
      <c r="C3609">
        <v>0</v>
      </c>
    </row>
    <row r="3610" spans="1:3" ht="15.75" x14ac:dyDescent="0.25">
      <c r="A3610">
        <v>836809</v>
      </c>
      <c r="B3610" t="s">
        <v>1597</v>
      </c>
      <c r="C3610">
        <v>0</v>
      </c>
    </row>
    <row r="3611" spans="1:3" ht="15.75" x14ac:dyDescent="0.25">
      <c r="A3611">
        <v>836890</v>
      </c>
      <c r="B3611" t="s">
        <v>1598</v>
      </c>
      <c r="C3611">
        <v>0</v>
      </c>
    </row>
    <row r="3612" spans="1:3" ht="15.75" x14ac:dyDescent="0.25">
      <c r="A3612">
        <v>8390</v>
      </c>
      <c r="B3612" t="s">
        <v>1599</v>
      </c>
      <c r="C3612">
        <f>SUM(C3613:C3614)</f>
        <v>0</v>
      </c>
    </row>
    <row r="3613" spans="1:3" ht="15.75" x14ac:dyDescent="0.25">
      <c r="A3613">
        <v>839004</v>
      </c>
      <c r="B3613" t="s">
        <v>240</v>
      </c>
      <c r="C3613">
        <v>0</v>
      </c>
    </row>
    <row r="3614" spans="1:3" ht="15.75" x14ac:dyDescent="0.25">
      <c r="A3614">
        <v>839090</v>
      </c>
      <c r="B3614" t="s">
        <v>1600</v>
      </c>
      <c r="C3614">
        <v>0</v>
      </c>
    </row>
    <row r="3615" spans="1:3" ht="15.75" x14ac:dyDescent="0.25">
      <c r="A3615">
        <v>89</v>
      </c>
      <c r="B3615" t="s">
        <v>1601</v>
      </c>
      <c r="C3615">
        <v>0</v>
      </c>
    </row>
    <row r="3616" spans="1:3" ht="15.75" x14ac:dyDescent="0.25">
      <c r="A3616">
        <v>8905</v>
      </c>
      <c r="B3616" t="s">
        <v>1602</v>
      </c>
      <c r="C3616">
        <f>SUM(C3617:C3620)</f>
        <v>0</v>
      </c>
    </row>
    <row r="3617" spans="1:3" ht="15.75" x14ac:dyDescent="0.25">
      <c r="A3617">
        <v>890506</v>
      </c>
      <c r="B3617" t="s">
        <v>1603</v>
      </c>
      <c r="C3617">
        <v>0</v>
      </c>
    </row>
    <row r="3618" spans="1:3" ht="15.75" x14ac:dyDescent="0.25">
      <c r="A3618">
        <v>890509</v>
      </c>
      <c r="B3618" t="s">
        <v>918</v>
      </c>
      <c r="C3618">
        <v>0</v>
      </c>
    </row>
    <row r="3619" spans="1:3" ht="15.75" x14ac:dyDescent="0.25">
      <c r="A3619">
        <v>890512</v>
      </c>
      <c r="B3619" t="s">
        <v>1604</v>
      </c>
      <c r="C3619">
        <v>0</v>
      </c>
    </row>
    <row r="3620" spans="1:3" ht="15.75" x14ac:dyDescent="0.25">
      <c r="A3620">
        <v>890590</v>
      </c>
      <c r="B3620" t="s">
        <v>1605</v>
      </c>
      <c r="C3620">
        <v>0</v>
      </c>
    </row>
    <row r="3621" spans="1:3" ht="15.75" x14ac:dyDescent="0.25">
      <c r="A3621">
        <v>8910</v>
      </c>
      <c r="B3621" t="s">
        <v>1606</v>
      </c>
      <c r="C3621">
        <f>SUM(C3622)</f>
        <v>0</v>
      </c>
    </row>
    <row r="3622" spans="1:3" ht="15.75" x14ac:dyDescent="0.25">
      <c r="A3622">
        <v>891001</v>
      </c>
      <c r="B3622" t="s">
        <v>1607</v>
      </c>
      <c r="C3622">
        <v>0</v>
      </c>
    </row>
    <row r="3623" spans="1:3" ht="15.75" x14ac:dyDescent="0.25">
      <c r="A3623">
        <v>8915</v>
      </c>
      <c r="B3623" t="s">
        <v>1608</v>
      </c>
      <c r="C3623">
        <f>SUM(C3624:C3639)</f>
        <v>0</v>
      </c>
    </row>
    <row r="3624" spans="1:3" ht="15.75" x14ac:dyDescent="0.25">
      <c r="A3624">
        <v>891502</v>
      </c>
      <c r="B3624" t="s">
        <v>1609</v>
      </c>
      <c r="C3624">
        <v>0</v>
      </c>
    </row>
    <row r="3625" spans="1:3" ht="15.75" x14ac:dyDescent="0.25">
      <c r="A3625">
        <v>891503</v>
      </c>
      <c r="B3625" t="s">
        <v>1610</v>
      </c>
      <c r="C3625">
        <v>0</v>
      </c>
    </row>
    <row r="3626" spans="1:3" ht="15.75" x14ac:dyDescent="0.25">
      <c r="A3626">
        <v>891504</v>
      </c>
      <c r="B3626" t="s">
        <v>1611</v>
      </c>
      <c r="C3626">
        <v>0</v>
      </c>
    </row>
    <row r="3627" spans="1:3" ht="15.75" x14ac:dyDescent="0.25">
      <c r="A3627">
        <v>891505</v>
      </c>
      <c r="B3627" t="s">
        <v>1549</v>
      </c>
      <c r="C3627">
        <v>0</v>
      </c>
    </row>
    <row r="3628" spans="1:3" ht="15.75" x14ac:dyDescent="0.25">
      <c r="A3628">
        <v>891506</v>
      </c>
      <c r="B3628" t="s">
        <v>1612</v>
      </c>
      <c r="C3628">
        <v>0</v>
      </c>
    </row>
    <row r="3629" spans="1:3" ht="15.75" x14ac:dyDescent="0.25">
      <c r="A3629">
        <v>891513</v>
      </c>
      <c r="B3629" t="s">
        <v>1613</v>
      </c>
      <c r="C3629">
        <v>0</v>
      </c>
    </row>
    <row r="3630" spans="1:3" ht="15.75" x14ac:dyDescent="0.25">
      <c r="A3630">
        <v>891515</v>
      </c>
      <c r="B3630" t="s">
        <v>1614</v>
      </c>
      <c r="C3630">
        <v>0</v>
      </c>
    </row>
    <row r="3631" spans="1:3" ht="15.75" x14ac:dyDescent="0.25">
      <c r="A3631">
        <v>891516</v>
      </c>
      <c r="B3631" t="s">
        <v>1615</v>
      </c>
      <c r="C3631">
        <v>0</v>
      </c>
    </row>
    <row r="3632" spans="1:3" ht="15.75" x14ac:dyDescent="0.25">
      <c r="A3632">
        <v>891517</v>
      </c>
      <c r="B3632" t="s">
        <v>1616</v>
      </c>
      <c r="C3632">
        <v>0</v>
      </c>
    </row>
    <row r="3633" spans="1:3" ht="15.75" x14ac:dyDescent="0.25">
      <c r="A3633">
        <v>891518</v>
      </c>
      <c r="B3633" t="s">
        <v>1617</v>
      </c>
      <c r="C3633">
        <v>0</v>
      </c>
    </row>
    <row r="3634" spans="1:3" ht="15.75" x14ac:dyDescent="0.25">
      <c r="A3634">
        <v>891521</v>
      </c>
      <c r="B3634" t="s">
        <v>1618</v>
      </c>
      <c r="C3634">
        <v>0</v>
      </c>
    </row>
    <row r="3635" spans="1:3" ht="15.75" x14ac:dyDescent="0.25">
      <c r="A3635">
        <v>891525</v>
      </c>
      <c r="B3635" t="s">
        <v>1619</v>
      </c>
      <c r="C3635">
        <v>0</v>
      </c>
    </row>
    <row r="3636" spans="1:3" ht="15.75" x14ac:dyDescent="0.25">
      <c r="A3636">
        <v>891529</v>
      </c>
      <c r="B3636" t="s">
        <v>1620</v>
      </c>
      <c r="C3636">
        <v>0</v>
      </c>
    </row>
    <row r="3637" spans="1:3" ht="15.75" x14ac:dyDescent="0.25">
      <c r="A3637">
        <v>891531</v>
      </c>
      <c r="B3637" t="s">
        <v>1551</v>
      </c>
      <c r="C3637">
        <v>0</v>
      </c>
    </row>
    <row r="3638" spans="1:3" ht="15.75" x14ac:dyDescent="0.25">
      <c r="A3638">
        <v>891532</v>
      </c>
      <c r="B3638" t="s">
        <v>1621</v>
      </c>
      <c r="C3638">
        <v>0</v>
      </c>
    </row>
    <row r="3639" spans="1:3" ht="15.75" x14ac:dyDescent="0.25">
      <c r="A3639">
        <v>891590</v>
      </c>
      <c r="B3639" t="s">
        <v>1622</v>
      </c>
      <c r="C3639">
        <v>0</v>
      </c>
    </row>
    <row r="3640" spans="1:3" ht="15.75" x14ac:dyDescent="0.25">
      <c r="A3640">
        <v>9</v>
      </c>
      <c r="B3640" t="s">
        <v>1623</v>
      </c>
      <c r="C3640">
        <v>0</v>
      </c>
    </row>
    <row r="3641" spans="1:3" ht="15.75" x14ac:dyDescent="0.25">
      <c r="A3641">
        <v>91</v>
      </c>
      <c r="B3641" t="s">
        <v>1624</v>
      </c>
      <c r="C3641">
        <v>0</v>
      </c>
    </row>
    <row r="3642" spans="1:3" ht="15.75" x14ac:dyDescent="0.25">
      <c r="A3642">
        <v>9120</v>
      </c>
      <c r="B3642" t="s">
        <v>1514</v>
      </c>
      <c r="C3642">
        <f>SUM(C3643:C3647)</f>
        <v>0</v>
      </c>
    </row>
    <row r="3643" spans="1:3" ht="15.75" x14ac:dyDescent="0.25">
      <c r="A3643">
        <v>912001</v>
      </c>
      <c r="B3643" t="s">
        <v>911</v>
      </c>
      <c r="C3643">
        <v>0</v>
      </c>
    </row>
    <row r="3644" spans="1:3" ht="15.75" x14ac:dyDescent="0.25">
      <c r="A3644">
        <v>912002</v>
      </c>
      <c r="B3644" t="s">
        <v>915</v>
      </c>
      <c r="C3644">
        <v>0</v>
      </c>
    </row>
    <row r="3645" spans="1:3" ht="15.75" x14ac:dyDescent="0.25">
      <c r="A3645">
        <v>912004</v>
      </c>
      <c r="B3645" t="s">
        <v>1625</v>
      </c>
      <c r="C3645">
        <v>0</v>
      </c>
    </row>
    <row r="3646" spans="1:3" ht="15.75" x14ac:dyDescent="0.25">
      <c r="A3646">
        <v>912005</v>
      </c>
      <c r="B3646" t="s">
        <v>914</v>
      </c>
      <c r="C3646">
        <v>0</v>
      </c>
    </row>
    <row r="3647" spans="1:3" ht="15.75" x14ac:dyDescent="0.25">
      <c r="A3647">
        <v>912090</v>
      </c>
      <c r="B3647" t="s">
        <v>1516</v>
      </c>
      <c r="C3647">
        <v>0</v>
      </c>
    </row>
    <row r="3648" spans="1:3" ht="15.75" x14ac:dyDescent="0.25">
      <c r="A3648">
        <v>9128</v>
      </c>
      <c r="B3648" t="s">
        <v>1517</v>
      </c>
      <c r="C3648">
        <f>SUM(C3649:C3656)</f>
        <v>0</v>
      </c>
    </row>
    <row r="3649" spans="1:3" ht="15.75" x14ac:dyDescent="0.25">
      <c r="A3649">
        <v>912801</v>
      </c>
      <c r="B3649" t="s">
        <v>1518</v>
      </c>
      <c r="C3649">
        <v>0</v>
      </c>
    </row>
    <row r="3650" spans="1:3" ht="15.75" x14ac:dyDescent="0.25">
      <c r="A3650">
        <v>912802</v>
      </c>
      <c r="B3650" t="s">
        <v>1519</v>
      </c>
      <c r="C3650">
        <v>0</v>
      </c>
    </row>
    <row r="3651" spans="1:3" ht="15.75" x14ac:dyDescent="0.25">
      <c r="A3651">
        <v>912803</v>
      </c>
      <c r="B3651" t="s">
        <v>1520</v>
      </c>
      <c r="C3651">
        <v>0</v>
      </c>
    </row>
    <row r="3652" spans="1:3" ht="15.75" x14ac:dyDescent="0.25">
      <c r="A3652">
        <v>912804</v>
      </c>
      <c r="B3652" t="s">
        <v>1521</v>
      </c>
      <c r="C3652">
        <v>0</v>
      </c>
    </row>
    <row r="3653" spans="1:3" ht="15.75" x14ac:dyDescent="0.25">
      <c r="A3653">
        <v>912805</v>
      </c>
      <c r="B3653" t="s">
        <v>1522</v>
      </c>
      <c r="C3653">
        <v>0</v>
      </c>
    </row>
    <row r="3654" spans="1:3" ht="15.75" x14ac:dyDescent="0.25">
      <c r="A3654">
        <v>912806</v>
      </c>
      <c r="B3654" t="s">
        <v>1523</v>
      </c>
      <c r="C3654">
        <v>0</v>
      </c>
    </row>
    <row r="3655" spans="1:3" ht="15.75" x14ac:dyDescent="0.25">
      <c r="A3655">
        <v>912807</v>
      </c>
      <c r="B3655" t="s">
        <v>1524</v>
      </c>
      <c r="C3655">
        <v>0</v>
      </c>
    </row>
    <row r="3656" spans="1:3" ht="15.75" x14ac:dyDescent="0.25">
      <c r="A3656">
        <v>912890</v>
      </c>
      <c r="B3656" t="s">
        <v>1525</v>
      </c>
      <c r="C3656">
        <v>0</v>
      </c>
    </row>
    <row r="3657" spans="1:3" ht="15.75" x14ac:dyDescent="0.25">
      <c r="A3657">
        <v>9129</v>
      </c>
      <c r="B3657" t="s">
        <v>1626</v>
      </c>
      <c r="C3657">
        <f>SUM(C3658:C3659)</f>
        <v>0</v>
      </c>
    </row>
    <row r="3658" spans="1:3" ht="15.75" x14ac:dyDescent="0.25">
      <c r="A3658">
        <v>912907</v>
      </c>
      <c r="B3658" t="s">
        <v>1527</v>
      </c>
      <c r="C3658">
        <v>0</v>
      </c>
    </row>
    <row r="3659" spans="1:3" ht="15.75" x14ac:dyDescent="0.25">
      <c r="A3659">
        <v>912908</v>
      </c>
      <c r="B3659" t="s">
        <v>1528</v>
      </c>
      <c r="C3659">
        <v>0</v>
      </c>
    </row>
    <row r="3660" spans="1:3" ht="15.75" x14ac:dyDescent="0.25">
      <c r="A3660">
        <v>9190</v>
      </c>
      <c r="B3660" t="s">
        <v>1627</v>
      </c>
      <c r="C3660">
        <f>SUM(C3661:C3664)</f>
        <v>0</v>
      </c>
    </row>
    <row r="3661" spans="1:3" ht="15.75" x14ac:dyDescent="0.25">
      <c r="A3661">
        <v>919001</v>
      </c>
      <c r="B3661" t="s">
        <v>1628</v>
      </c>
      <c r="C3661">
        <v>0</v>
      </c>
    </row>
    <row r="3662" spans="1:3" ht="15.75" x14ac:dyDescent="0.25">
      <c r="A3662">
        <v>919002</v>
      </c>
      <c r="B3662" t="s">
        <v>1629</v>
      </c>
      <c r="C3662">
        <v>0</v>
      </c>
    </row>
    <row r="3663" spans="1:3" ht="15.75" x14ac:dyDescent="0.25">
      <c r="A3663">
        <v>919003</v>
      </c>
      <c r="B3663" t="s">
        <v>1630</v>
      </c>
      <c r="C3663">
        <v>0</v>
      </c>
    </row>
    <row r="3664" spans="1:3" ht="15.75" x14ac:dyDescent="0.25">
      <c r="A3664">
        <v>919090</v>
      </c>
      <c r="B3664" t="s">
        <v>1631</v>
      </c>
      <c r="C3664">
        <v>0</v>
      </c>
    </row>
    <row r="3665" spans="1:3" ht="15.75" x14ac:dyDescent="0.25">
      <c r="A3665">
        <v>92</v>
      </c>
      <c r="B3665" t="s">
        <v>1632</v>
      </c>
      <c r="C3665">
        <v>0</v>
      </c>
    </row>
    <row r="3666" spans="1:3" ht="15.75" x14ac:dyDescent="0.25">
      <c r="A3666">
        <v>93</v>
      </c>
      <c r="B3666" t="s">
        <v>1633</v>
      </c>
      <c r="C3666">
        <v>0</v>
      </c>
    </row>
    <row r="3667" spans="1:3" ht="15.75" x14ac:dyDescent="0.25">
      <c r="A3667">
        <v>9301</v>
      </c>
      <c r="B3667" t="s">
        <v>1634</v>
      </c>
      <c r="C3667">
        <f>SUM(C3668:C3669)</f>
        <v>0</v>
      </c>
    </row>
    <row r="3668" spans="1:3" ht="15.75" x14ac:dyDescent="0.25">
      <c r="A3668">
        <v>930101</v>
      </c>
      <c r="B3668" t="s">
        <v>1535</v>
      </c>
      <c r="C3668">
        <v>0</v>
      </c>
    </row>
    <row r="3669" spans="1:3" ht="15.75" x14ac:dyDescent="0.25">
      <c r="A3669">
        <v>930102</v>
      </c>
      <c r="B3669" t="s">
        <v>618</v>
      </c>
      <c r="C3669">
        <v>0</v>
      </c>
    </row>
    <row r="3670" spans="1:3" ht="15.75" x14ac:dyDescent="0.25">
      <c r="A3670">
        <v>9302</v>
      </c>
      <c r="B3670" t="s">
        <v>1635</v>
      </c>
      <c r="C3670">
        <f>SUM(C3671:C3673)</f>
        <v>0</v>
      </c>
    </row>
    <row r="3671" spans="1:3" ht="15.75" x14ac:dyDescent="0.25">
      <c r="A3671">
        <v>930201</v>
      </c>
      <c r="B3671" t="s">
        <v>1636</v>
      </c>
      <c r="C3671">
        <v>0</v>
      </c>
    </row>
    <row r="3672" spans="1:3" ht="15.75" x14ac:dyDescent="0.25">
      <c r="A3672">
        <v>930202</v>
      </c>
      <c r="B3672" t="s">
        <v>1637</v>
      </c>
      <c r="C3672">
        <v>0</v>
      </c>
    </row>
    <row r="3673" spans="1:3" ht="15.75" x14ac:dyDescent="0.25">
      <c r="A3673">
        <v>930203</v>
      </c>
      <c r="B3673" t="s">
        <v>1638</v>
      </c>
      <c r="C3673">
        <v>0</v>
      </c>
    </row>
    <row r="3674" spans="1:3" ht="15.75" x14ac:dyDescent="0.25">
      <c r="A3674">
        <v>9306</v>
      </c>
      <c r="B3674" t="s">
        <v>1639</v>
      </c>
      <c r="C3674">
        <f>SUM(C3675:C3680)</f>
        <v>0</v>
      </c>
    </row>
    <row r="3675" spans="1:3" ht="15.75" x14ac:dyDescent="0.25">
      <c r="A3675">
        <v>930601</v>
      </c>
      <c r="B3675" t="s">
        <v>550</v>
      </c>
      <c r="C3675">
        <v>0</v>
      </c>
    </row>
    <row r="3676" spans="1:3" ht="15.75" x14ac:dyDescent="0.25">
      <c r="A3676">
        <v>930602</v>
      </c>
      <c r="B3676" t="s">
        <v>637</v>
      </c>
      <c r="C3676">
        <v>0</v>
      </c>
    </row>
    <row r="3677" spans="1:3" ht="15.75" x14ac:dyDescent="0.25">
      <c r="A3677">
        <v>930616</v>
      </c>
      <c r="B3677" t="s">
        <v>1537</v>
      </c>
      <c r="C3677">
        <v>0</v>
      </c>
    </row>
    <row r="3678" spans="1:3" ht="15.75" x14ac:dyDescent="0.25">
      <c r="A3678">
        <v>930617</v>
      </c>
      <c r="B3678" t="s">
        <v>552</v>
      </c>
      <c r="C3678">
        <v>0</v>
      </c>
    </row>
    <row r="3679" spans="1:3" ht="15.75" x14ac:dyDescent="0.25">
      <c r="A3679">
        <v>930618</v>
      </c>
      <c r="B3679" t="s">
        <v>554</v>
      </c>
      <c r="C3679">
        <v>0</v>
      </c>
    </row>
    <row r="3680" spans="1:3" ht="15.75" x14ac:dyDescent="0.25">
      <c r="A3680">
        <v>930690</v>
      </c>
      <c r="B3680" t="s">
        <v>1640</v>
      </c>
      <c r="C3680">
        <v>0</v>
      </c>
    </row>
    <row r="3681" spans="1:3" ht="15.75" x14ac:dyDescent="0.25">
      <c r="A3681">
        <v>9308</v>
      </c>
      <c r="B3681" t="s">
        <v>1641</v>
      </c>
      <c r="C3681">
        <f>SUM(C3682:C3686)</f>
        <v>0</v>
      </c>
    </row>
    <row r="3682" spans="1:3" ht="15.75" x14ac:dyDescent="0.25">
      <c r="A3682">
        <v>930802</v>
      </c>
      <c r="B3682" t="s">
        <v>550</v>
      </c>
      <c r="C3682">
        <v>0</v>
      </c>
    </row>
    <row r="3683" spans="1:3" ht="15.75" x14ac:dyDescent="0.25">
      <c r="A3683">
        <v>930803</v>
      </c>
      <c r="B3683" t="s">
        <v>1642</v>
      </c>
      <c r="C3683">
        <v>0</v>
      </c>
    </row>
    <row r="3684" spans="1:3" ht="15.75" x14ac:dyDescent="0.25">
      <c r="A3684">
        <v>930804</v>
      </c>
      <c r="B3684" t="s">
        <v>1643</v>
      </c>
      <c r="C3684">
        <v>0</v>
      </c>
    </row>
    <row r="3685" spans="1:3" ht="15.75" x14ac:dyDescent="0.25">
      <c r="A3685">
        <v>930805</v>
      </c>
      <c r="B3685" t="s">
        <v>618</v>
      </c>
      <c r="C3685">
        <v>0</v>
      </c>
    </row>
    <row r="3686" spans="1:3" ht="15.75" x14ac:dyDescent="0.25">
      <c r="A3686">
        <v>930806</v>
      </c>
      <c r="B3686" t="s">
        <v>1535</v>
      </c>
      <c r="C3686">
        <v>0</v>
      </c>
    </row>
    <row r="3687" spans="1:3" ht="15.75" x14ac:dyDescent="0.25">
      <c r="A3687">
        <v>9311</v>
      </c>
      <c r="B3687" t="s">
        <v>1644</v>
      </c>
      <c r="C3687">
        <f>SUM(C3688:C3692)</f>
        <v>0</v>
      </c>
    </row>
    <row r="3688" spans="1:3" ht="15.75" x14ac:dyDescent="0.25">
      <c r="A3688">
        <v>931101</v>
      </c>
      <c r="B3688" t="s">
        <v>1645</v>
      </c>
      <c r="C3688">
        <v>0</v>
      </c>
    </row>
    <row r="3689" spans="1:3" ht="15.75" x14ac:dyDescent="0.25">
      <c r="A3689">
        <v>931102</v>
      </c>
      <c r="B3689" t="s">
        <v>233</v>
      </c>
      <c r="C3689">
        <v>0</v>
      </c>
    </row>
    <row r="3690" spans="1:3" ht="15.75" x14ac:dyDescent="0.25">
      <c r="A3690">
        <v>931103</v>
      </c>
      <c r="B3690" t="s">
        <v>1646</v>
      </c>
      <c r="C3690">
        <v>0</v>
      </c>
    </row>
    <row r="3691" spans="1:3" ht="15.75" x14ac:dyDescent="0.25">
      <c r="A3691">
        <v>931104</v>
      </c>
      <c r="B3691" t="s">
        <v>1647</v>
      </c>
      <c r="C3691">
        <v>0</v>
      </c>
    </row>
    <row r="3692" spans="1:3" ht="15.75" x14ac:dyDescent="0.25">
      <c r="A3692">
        <v>931105</v>
      </c>
      <c r="B3692" t="s">
        <v>1648</v>
      </c>
      <c r="C3692">
        <v>0</v>
      </c>
    </row>
    <row r="3693" spans="1:3" ht="15.75" x14ac:dyDescent="0.25">
      <c r="A3693">
        <v>931106</v>
      </c>
      <c r="B3693" t="s">
        <v>1649</v>
      </c>
      <c r="C3693">
        <v>0</v>
      </c>
    </row>
    <row r="3694" spans="1:3" ht="15.75" x14ac:dyDescent="0.25">
      <c r="A3694">
        <v>9312</v>
      </c>
      <c r="B3694" t="s">
        <v>1650</v>
      </c>
      <c r="C3694">
        <f>SUM(C3695)</f>
        <v>0</v>
      </c>
    </row>
    <row r="3695" spans="1:3" ht="15.75" x14ac:dyDescent="0.25">
      <c r="A3695">
        <v>931202</v>
      </c>
      <c r="B3695" t="s">
        <v>1651</v>
      </c>
      <c r="C3695">
        <v>0</v>
      </c>
    </row>
    <row r="3696" spans="1:3" ht="15.75" x14ac:dyDescent="0.25">
      <c r="A3696">
        <v>9313</v>
      </c>
      <c r="B3696" t="s">
        <v>1652</v>
      </c>
      <c r="C3696">
        <f>SUM(C3697)</f>
        <v>0</v>
      </c>
    </row>
    <row r="3697" spans="1:3" ht="15.75" x14ac:dyDescent="0.25">
      <c r="A3697">
        <v>931301</v>
      </c>
      <c r="B3697" t="s">
        <v>1653</v>
      </c>
      <c r="C3697">
        <v>0</v>
      </c>
    </row>
    <row r="3698" spans="1:3" ht="15.75" x14ac:dyDescent="0.25">
      <c r="A3698">
        <v>9350</v>
      </c>
      <c r="B3698" t="s">
        <v>1654</v>
      </c>
      <c r="C3698">
        <f>SUM(C3699:C3704)</f>
        <v>0</v>
      </c>
    </row>
    <row r="3699" spans="1:3" ht="15.75" x14ac:dyDescent="0.25">
      <c r="A3699">
        <v>935001</v>
      </c>
      <c r="B3699" t="s">
        <v>1655</v>
      </c>
      <c r="C3699">
        <v>0</v>
      </c>
    </row>
    <row r="3700" spans="1:3" ht="15.75" x14ac:dyDescent="0.25">
      <c r="A3700">
        <v>935002</v>
      </c>
      <c r="B3700" t="s">
        <v>1656</v>
      </c>
      <c r="C3700">
        <v>0</v>
      </c>
    </row>
    <row r="3701" spans="1:3" ht="15.75" x14ac:dyDescent="0.25">
      <c r="A3701">
        <v>935003</v>
      </c>
      <c r="B3701" t="s">
        <v>1657</v>
      </c>
      <c r="C3701">
        <v>0</v>
      </c>
    </row>
    <row r="3702" spans="1:3" ht="15.75" x14ac:dyDescent="0.25">
      <c r="A3702">
        <v>935004</v>
      </c>
      <c r="B3702" t="s">
        <v>1658</v>
      </c>
      <c r="C3702">
        <v>0</v>
      </c>
    </row>
    <row r="3703" spans="1:3" ht="15.75" x14ac:dyDescent="0.25">
      <c r="A3703">
        <v>935005</v>
      </c>
      <c r="B3703" t="s">
        <v>1659</v>
      </c>
      <c r="C3703">
        <v>0</v>
      </c>
    </row>
    <row r="3704" spans="1:3" ht="15.75" x14ac:dyDescent="0.25">
      <c r="A3704">
        <v>935090</v>
      </c>
      <c r="B3704" t="s">
        <v>1660</v>
      </c>
      <c r="C3704">
        <v>0</v>
      </c>
    </row>
    <row r="3705" spans="1:3" ht="15.75" x14ac:dyDescent="0.25">
      <c r="A3705">
        <v>9355</v>
      </c>
      <c r="B3705" t="s">
        <v>1578</v>
      </c>
      <c r="C3705">
        <f>SUM(C3706:C3707)</f>
        <v>0</v>
      </c>
    </row>
    <row r="3706" spans="1:3" ht="15.75" x14ac:dyDescent="0.25">
      <c r="A3706">
        <v>935501</v>
      </c>
      <c r="B3706" t="s">
        <v>1661</v>
      </c>
      <c r="C3706">
        <v>0</v>
      </c>
    </row>
    <row r="3707" spans="1:3" ht="15.75" x14ac:dyDescent="0.25">
      <c r="A3707">
        <v>935502</v>
      </c>
      <c r="B3707" t="s">
        <v>1662</v>
      </c>
      <c r="C3707">
        <v>0</v>
      </c>
    </row>
    <row r="3708" spans="1:3" ht="15.75" x14ac:dyDescent="0.25">
      <c r="A3708">
        <v>9390</v>
      </c>
      <c r="B3708" t="s">
        <v>1663</v>
      </c>
      <c r="C3708">
        <f>SUM(C3709:C3716)</f>
        <v>0</v>
      </c>
    </row>
    <row r="3709" spans="1:3" ht="15.75" x14ac:dyDescent="0.25">
      <c r="A3709">
        <v>939002</v>
      </c>
      <c r="B3709" t="s">
        <v>1664</v>
      </c>
      <c r="C3709">
        <v>0</v>
      </c>
    </row>
    <row r="3710" spans="1:3" ht="15.75" x14ac:dyDescent="0.25">
      <c r="A3710">
        <v>939004</v>
      </c>
      <c r="B3710" t="s">
        <v>1665</v>
      </c>
      <c r="C3710">
        <v>0</v>
      </c>
    </row>
    <row r="3711" spans="1:3" ht="15.75" x14ac:dyDescent="0.25">
      <c r="A3711">
        <v>939010</v>
      </c>
      <c r="B3711" t="s">
        <v>816</v>
      </c>
      <c r="C3711">
        <v>0</v>
      </c>
    </row>
    <row r="3712" spans="1:3" ht="15.75" x14ac:dyDescent="0.25">
      <c r="A3712">
        <v>939011</v>
      </c>
      <c r="B3712" t="s">
        <v>1666</v>
      </c>
      <c r="C3712">
        <v>0</v>
      </c>
    </row>
    <row r="3713" spans="1:3" ht="15.75" x14ac:dyDescent="0.25">
      <c r="A3713">
        <v>939012</v>
      </c>
      <c r="B3713" t="s">
        <v>1667</v>
      </c>
      <c r="C3713">
        <v>0</v>
      </c>
    </row>
    <row r="3714" spans="1:3" ht="15.75" x14ac:dyDescent="0.25">
      <c r="A3714">
        <v>939013</v>
      </c>
      <c r="B3714" t="s">
        <v>1668</v>
      </c>
      <c r="C3714">
        <v>0</v>
      </c>
    </row>
    <row r="3715" spans="1:3" ht="15.75" x14ac:dyDescent="0.25">
      <c r="A3715">
        <v>939017</v>
      </c>
      <c r="B3715" t="s">
        <v>688</v>
      </c>
      <c r="C3715">
        <v>0</v>
      </c>
    </row>
    <row r="3716" spans="1:3" ht="15.75" x14ac:dyDescent="0.25">
      <c r="A3716">
        <v>939090</v>
      </c>
      <c r="B3716" t="s">
        <v>1669</v>
      </c>
      <c r="C3716">
        <v>0</v>
      </c>
    </row>
    <row r="3717" spans="1:3" ht="15.75" x14ac:dyDescent="0.25">
      <c r="A3717">
        <v>99</v>
      </c>
      <c r="B3717" t="s">
        <v>1670</v>
      </c>
      <c r="C3717">
        <v>0</v>
      </c>
    </row>
    <row r="3718" spans="1:3" ht="15.75" x14ac:dyDescent="0.25">
      <c r="A3718">
        <v>9905</v>
      </c>
      <c r="B3718" t="s">
        <v>1671</v>
      </c>
      <c r="C3718">
        <f>SUM(C3719:C3722)</f>
        <v>0</v>
      </c>
    </row>
    <row r="3719" spans="1:3" ht="15.75" x14ac:dyDescent="0.25">
      <c r="A3719">
        <v>990505</v>
      </c>
      <c r="B3719" t="s">
        <v>1603</v>
      </c>
      <c r="C3719">
        <v>0</v>
      </c>
    </row>
    <row r="3720" spans="1:3" ht="15.75" x14ac:dyDescent="0.25">
      <c r="A3720">
        <v>990511</v>
      </c>
      <c r="B3720" t="s">
        <v>918</v>
      </c>
      <c r="C3720">
        <v>0</v>
      </c>
    </row>
    <row r="3721" spans="1:3" ht="15.75" x14ac:dyDescent="0.25">
      <c r="A3721">
        <v>990514</v>
      </c>
      <c r="B3721" t="s">
        <v>1672</v>
      </c>
      <c r="C3721">
        <v>0</v>
      </c>
    </row>
    <row r="3722" spans="1:3" ht="15.75" x14ac:dyDescent="0.25">
      <c r="A3722">
        <v>990590</v>
      </c>
      <c r="B3722" t="s">
        <v>1673</v>
      </c>
      <c r="C3722">
        <v>0</v>
      </c>
    </row>
    <row r="3723" spans="1:3" ht="15.75" x14ac:dyDescent="0.25">
      <c r="A3723">
        <v>9910</v>
      </c>
      <c r="B3723" t="s">
        <v>1674</v>
      </c>
      <c r="C3723">
        <f>SUM(C3724)</f>
        <v>0</v>
      </c>
    </row>
    <row r="3724" spans="1:3" ht="15.75" x14ac:dyDescent="0.25">
      <c r="A3724">
        <v>991001</v>
      </c>
      <c r="B3724" t="s">
        <v>1675</v>
      </c>
      <c r="C3724">
        <v>0</v>
      </c>
    </row>
    <row r="3725" spans="1:3" ht="15.75" x14ac:dyDescent="0.25">
      <c r="A3725">
        <v>9915</v>
      </c>
      <c r="B3725" t="s">
        <v>1676</v>
      </c>
      <c r="C3725">
        <f>SUM(C3726:C3735)</f>
        <v>0</v>
      </c>
    </row>
    <row r="3726" spans="1:3" ht="15.75" x14ac:dyDescent="0.25">
      <c r="A3726">
        <v>991502</v>
      </c>
      <c r="B3726" t="s">
        <v>1677</v>
      </c>
      <c r="C3726">
        <v>0</v>
      </c>
    </row>
    <row r="3727" spans="1:3" ht="15.75" x14ac:dyDescent="0.25">
      <c r="A3727">
        <v>991503</v>
      </c>
      <c r="B3727" t="s">
        <v>1653</v>
      </c>
      <c r="C3727">
        <v>0</v>
      </c>
    </row>
    <row r="3728" spans="1:3" ht="15.75" x14ac:dyDescent="0.25">
      <c r="A3728">
        <v>991507</v>
      </c>
      <c r="B3728" t="s">
        <v>1678</v>
      </c>
      <c r="C3728">
        <v>0</v>
      </c>
    </row>
    <row r="3729" spans="1:3" ht="15.75" x14ac:dyDescent="0.25">
      <c r="A3729">
        <v>991510</v>
      </c>
      <c r="B3729" t="s">
        <v>1679</v>
      </c>
      <c r="C3729">
        <v>0</v>
      </c>
    </row>
    <row r="3730" spans="1:3" ht="15.75" x14ac:dyDescent="0.25">
      <c r="A3730">
        <v>991511</v>
      </c>
      <c r="B3730" t="s">
        <v>1680</v>
      </c>
      <c r="C3730">
        <v>0</v>
      </c>
    </row>
    <row r="3731" spans="1:3" ht="15.75" x14ac:dyDescent="0.25">
      <c r="A3731">
        <v>991522</v>
      </c>
      <c r="B3731" t="s">
        <v>1615</v>
      </c>
      <c r="C3731">
        <v>0</v>
      </c>
    </row>
    <row r="3732" spans="1:3" ht="15.75" x14ac:dyDescent="0.25">
      <c r="A3732">
        <v>991524</v>
      </c>
      <c r="B3732" t="s">
        <v>1681</v>
      </c>
      <c r="C3732">
        <v>0</v>
      </c>
    </row>
    <row r="3733" spans="1:3" ht="15.75" x14ac:dyDescent="0.25">
      <c r="A3733">
        <v>991530</v>
      </c>
      <c r="B3733" t="s">
        <v>1682</v>
      </c>
      <c r="C3733">
        <v>0</v>
      </c>
    </row>
    <row r="3734" spans="1:3" ht="15.75" x14ac:dyDescent="0.25">
      <c r="A3734">
        <v>991532</v>
      </c>
      <c r="B3734" t="s">
        <v>1683</v>
      </c>
      <c r="C3734">
        <v>0</v>
      </c>
    </row>
    <row r="3735" spans="1:3" ht="15.75" x14ac:dyDescent="0.25">
      <c r="A3735">
        <v>991590</v>
      </c>
      <c r="B3735" t="s">
        <v>1684</v>
      </c>
      <c r="C3735">
        <v>0</v>
      </c>
    </row>
  </sheetData>
  <autoFilter ref="A1:C3735" xr:uid="{00000000-0001-0000-0000-000000000000}"/>
  <pageMargins left="0.7" right="0.7" top="0.75" bottom="0.75" header="0.3" footer="0.3"/>
  <ignoredErrors>
    <ignoredError sqref="A1:C37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Eudoro Enríquez Ramos</dc:creator>
  <cp:lastModifiedBy>Eduardo Eudoro Enríquez Ramos</cp:lastModifiedBy>
  <dcterms:created xsi:type="dcterms:W3CDTF">2025-12-28T14:57:37Z</dcterms:created>
  <dcterms:modified xsi:type="dcterms:W3CDTF">2026-03-21T00:53:59Z</dcterms:modified>
</cp:coreProperties>
</file>